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8_{A3AB2B5A-A3B2-4AAD-8A6E-2215A9208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เริ่มต้น" sheetId="1" r:id="rId1"/>
    <sheet name="คำตอบนักเรียน" sheetId="2" r:id="rId2"/>
    <sheet name="คำถาม RIASEC" sheetId="3" r:id="rId3"/>
    <sheet name="อาชีพและคณะ" sheetId="4" r:id="rId4"/>
    <sheet name="มหาวิทยาลัย 5 ตัวเลือก" sheetId="5" r:id="rId5"/>
    <sheet name="ลิงก์ไทย" sheetId="6" r:id="rId6"/>
    <sheet name="สรุปผลห้อง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7" i="7"/>
  <c r="B6" i="7"/>
  <c r="E5" i="7"/>
  <c r="B5" i="7"/>
  <c r="E4" i="7"/>
  <c r="B4" i="7"/>
  <c r="AY205" i="2"/>
  <c r="AX205" i="2"/>
  <c r="AW205" i="2"/>
  <c r="AV205" i="2"/>
  <c r="AU205" i="2"/>
  <c r="AT205" i="2"/>
  <c r="AS205" i="2"/>
  <c r="AR205" i="2"/>
  <c r="AY204" i="2"/>
  <c r="AX204" i="2"/>
  <c r="AW204" i="2"/>
  <c r="AV204" i="2"/>
  <c r="AU204" i="2"/>
  <c r="AT204" i="2"/>
  <c r="AS204" i="2"/>
  <c r="AR204" i="2"/>
  <c r="AY203" i="2"/>
  <c r="AX203" i="2"/>
  <c r="AW203" i="2"/>
  <c r="AV203" i="2"/>
  <c r="AU203" i="2"/>
  <c r="AT203" i="2"/>
  <c r="AS203" i="2"/>
  <c r="AR203" i="2"/>
  <c r="AY202" i="2"/>
  <c r="AX202" i="2"/>
  <c r="AW202" i="2"/>
  <c r="AV202" i="2"/>
  <c r="AU202" i="2"/>
  <c r="AT202" i="2"/>
  <c r="AS202" i="2"/>
  <c r="AR202" i="2"/>
  <c r="AY201" i="2"/>
  <c r="AX201" i="2"/>
  <c r="AW201" i="2"/>
  <c r="AV201" i="2"/>
  <c r="AU201" i="2"/>
  <c r="AT201" i="2"/>
  <c r="AS201" i="2"/>
  <c r="AR201" i="2"/>
  <c r="AY200" i="2"/>
  <c r="AX200" i="2"/>
  <c r="AW200" i="2"/>
  <c r="AV200" i="2"/>
  <c r="AU200" i="2"/>
  <c r="AT200" i="2"/>
  <c r="AS200" i="2"/>
  <c r="AR200" i="2"/>
  <c r="AY199" i="2"/>
  <c r="AX199" i="2"/>
  <c r="AW199" i="2"/>
  <c r="AV199" i="2"/>
  <c r="AU199" i="2"/>
  <c r="AT199" i="2"/>
  <c r="AS199" i="2"/>
  <c r="AR199" i="2"/>
  <c r="AY198" i="2"/>
  <c r="AX198" i="2"/>
  <c r="AW198" i="2"/>
  <c r="AV198" i="2"/>
  <c r="AU198" i="2"/>
  <c r="AT198" i="2"/>
  <c r="AS198" i="2"/>
  <c r="AR198" i="2"/>
  <c r="AY197" i="2"/>
  <c r="AX197" i="2"/>
  <c r="AW197" i="2"/>
  <c r="AV197" i="2"/>
  <c r="AU197" i="2"/>
  <c r="AT197" i="2"/>
  <c r="AS197" i="2"/>
  <c r="AR197" i="2"/>
  <c r="AY196" i="2"/>
  <c r="AX196" i="2"/>
  <c r="AW196" i="2"/>
  <c r="AV196" i="2"/>
  <c r="AU196" i="2"/>
  <c r="AT196" i="2"/>
  <c r="AS196" i="2"/>
  <c r="AR196" i="2"/>
  <c r="AY195" i="2"/>
  <c r="AX195" i="2"/>
  <c r="AW195" i="2"/>
  <c r="AV195" i="2"/>
  <c r="AU195" i="2"/>
  <c r="AT195" i="2"/>
  <c r="AS195" i="2"/>
  <c r="AR195" i="2"/>
  <c r="AY194" i="2"/>
  <c r="AX194" i="2"/>
  <c r="AW194" i="2"/>
  <c r="AV194" i="2"/>
  <c r="AU194" i="2"/>
  <c r="AT194" i="2"/>
  <c r="AS194" i="2"/>
  <c r="AR194" i="2"/>
  <c r="AY193" i="2"/>
  <c r="AX193" i="2"/>
  <c r="AW193" i="2"/>
  <c r="AV193" i="2"/>
  <c r="AU193" i="2"/>
  <c r="AT193" i="2"/>
  <c r="AS193" i="2"/>
  <c r="AR193" i="2"/>
  <c r="AY192" i="2"/>
  <c r="AX192" i="2"/>
  <c r="AW192" i="2"/>
  <c r="AV192" i="2"/>
  <c r="AU192" i="2"/>
  <c r="AT192" i="2"/>
  <c r="AS192" i="2"/>
  <c r="AR192" i="2"/>
  <c r="AY191" i="2"/>
  <c r="AX191" i="2"/>
  <c r="AW191" i="2"/>
  <c r="AV191" i="2"/>
  <c r="AU191" i="2"/>
  <c r="AT191" i="2"/>
  <c r="AS191" i="2"/>
  <c r="AR191" i="2"/>
  <c r="AY190" i="2"/>
  <c r="AX190" i="2"/>
  <c r="AW190" i="2"/>
  <c r="AV190" i="2"/>
  <c r="AU190" i="2"/>
  <c r="AT190" i="2"/>
  <c r="AS190" i="2"/>
  <c r="AR190" i="2"/>
  <c r="AY189" i="2"/>
  <c r="AX189" i="2"/>
  <c r="AW189" i="2"/>
  <c r="AV189" i="2"/>
  <c r="AU189" i="2"/>
  <c r="AT189" i="2"/>
  <c r="AS189" i="2"/>
  <c r="AR189" i="2"/>
  <c r="AY188" i="2"/>
  <c r="AX188" i="2"/>
  <c r="AW188" i="2"/>
  <c r="AV188" i="2"/>
  <c r="AU188" i="2"/>
  <c r="AT188" i="2"/>
  <c r="AS188" i="2"/>
  <c r="AR188" i="2"/>
  <c r="AY187" i="2"/>
  <c r="AX187" i="2"/>
  <c r="AW187" i="2"/>
  <c r="AV187" i="2"/>
  <c r="AU187" i="2"/>
  <c r="AT187" i="2"/>
  <c r="AS187" i="2"/>
  <c r="AR187" i="2"/>
  <c r="AY186" i="2"/>
  <c r="AX186" i="2"/>
  <c r="AW186" i="2"/>
  <c r="AV186" i="2"/>
  <c r="AU186" i="2"/>
  <c r="AT186" i="2"/>
  <c r="AS186" i="2"/>
  <c r="AR186" i="2"/>
  <c r="AY185" i="2"/>
  <c r="AX185" i="2"/>
  <c r="AW185" i="2"/>
  <c r="AV185" i="2"/>
  <c r="AU185" i="2"/>
  <c r="AT185" i="2"/>
  <c r="AS185" i="2"/>
  <c r="AR185" i="2"/>
  <c r="AY184" i="2"/>
  <c r="AX184" i="2"/>
  <c r="AW184" i="2"/>
  <c r="AV184" i="2"/>
  <c r="AU184" i="2"/>
  <c r="AT184" i="2"/>
  <c r="AS184" i="2"/>
  <c r="AR184" i="2"/>
  <c r="AY183" i="2"/>
  <c r="AX183" i="2"/>
  <c r="AW183" i="2"/>
  <c r="AV183" i="2"/>
  <c r="AU183" i="2"/>
  <c r="AT183" i="2"/>
  <c r="AS183" i="2"/>
  <c r="AR183" i="2"/>
  <c r="AY182" i="2"/>
  <c r="AX182" i="2"/>
  <c r="AW182" i="2"/>
  <c r="AV182" i="2"/>
  <c r="AU182" i="2"/>
  <c r="AT182" i="2"/>
  <c r="AS182" i="2"/>
  <c r="AR182" i="2"/>
  <c r="AY181" i="2"/>
  <c r="AX181" i="2"/>
  <c r="AW181" i="2"/>
  <c r="AV181" i="2"/>
  <c r="AU181" i="2"/>
  <c r="AT181" i="2"/>
  <c r="AS181" i="2"/>
  <c r="AR181" i="2"/>
  <c r="AY180" i="2"/>
  <c r="AX180" i="2"/>
  <c r="AW180" i="2"/>
  <c r="AV180" i="2"/>
  <c r="AU180" i="2"/>
  <c r="AT180" i="2"/>
  <c r="AS180" i="2"/>
  <c r="AR180" i="2"/>
  <c r="AY179" i="2"/>
  <c r="AX179" i="2"/>
  <c r="AW179" i="2"/>
  <c r="AV179" i="2"/>
  <c r="AU179" i="2"/>
  <c r="AT179" i="2"/>
  <c r="AS179" i="2"/>
  <c r="AR179" i="2"/>
  <c r="AY178" i="2"/>
  <c r="AX178" i="2"/>
  <c r="AW178" i="2"/>
  <c r="AV178" i="2"/>
  <c r="AU178" i="2"/>
  <c r="AT178" i="2"/>
  <c r="AS178" i="2"/>
  <c r="AR178" i="2"/>
  <c r="AY177" i="2"/>
  <c r="AX177" i="2"/>
  <c r="AW177" i="2"/>
  <c r="AV177" i="2"/>
  <c r="AU177" i="2"/>
  <c r="AT177" i="2"/>
  <c r="AS177" i="2"/>
  <c r="AR177" i="2"/>
  <c r="AY176" i="2"/>
  <c r="AX176" i="2"/>
  <c r="AW176" i="2"/>
  <c r="AV176" i="2"/>
  <c r="AU176" i="2"/>
  <c r="AT176" i="2"/>
  <c r="AS176" i="2"/>
  <c r="AR176" i="2"/>
  <c r="AY175" i="2"/>
  <c r="AX175" i="2"/>
  <c r="AW175" i="2"/>
  <c r="AV175" i="2"/>
  <c r="AU175" i="2"/>
  <c r="AT175" i="2"/>
  <c r="AS175" i="2"/>
  <c r="AR175" i="2"/>
  <c r="AY174" i="2"/>
  <c r="AX174" i="2"/>
  <c r="AW174" i="2"/>
  <c r="AV174" i="2"/>
  <c r="AU174" i="2"/>
  <c r="AT174" i="2"/>
  <c r="AS174" i="2"/>
  <c r="AR174" i="2"/>
  <c r="AY173" i="2"/>
  <c r="AX173" i="2"/>
  <c r="AW173" i="2"/>
  <c r="AV173" i="2"/>
  <c r="AU173" i="2"/>
  <c r="AT173" i="2"/>
  <c r="AS173" i="2"/>
  <c r="AR173" i="2"/>
  <c r="AY172" i="2"/>
  <c r="AX172" i="2"/>
  <c r="AW172" i="2"/>
  <c r="AV172" i="2"/>
  <c r="AU172" i="2"/>
  <c r="AT172" i="2"/>
  <c r="AS172" i="2"/>
  <c r="AR172" i="2"/>
  <c r="AY171" i="2"/>
  <c r="AX171" i="2"/>
  <c r="AW171" i="2"/>
  <c r="AV171" i="2"/>
  <c r="AU171" i="2"/>
  <c r="AT171" i="2"/>
  <c r="AS171" i="2"/>
  <c r="AR171" i="2"/>
  <c r="AY170" i="2"/>
  <c r="AX170" i="2"/>
  <c r="AW170" i="2"/>
  <c r="AV170" i="2"/>
  <c r="AU170" i="2"/>
  <c r="AT170" i="2"/>
  <c r="AS170" i="2"/>
  <c r="AR170" i="2"/>
  <c r="AY169" i="2"/>
  <c r="AX169" i="2"/>
  <c r="AW169" i="2"/>
  <c r="AV169" i="2"/>
  <c r="AU169" i="2"/>
  <c r="AT169" i="2"/>
  <c r="AS169" i="2"/>
  <c r="AR169" i="2"/>
  <c r="AY168" i="2"/>
  <c r="AX168" i="2"/>
  <c r="AW168" i="2"/>
  <c r="AV168" i="2"/>
  <c r="AU168" i="2"/>
  <c r="AT168" i="2"/>
  <c r="AS168" i="2"/>
  <c r="AR168" i="2"/>
  <c r="AY167" i="2"/>
  <c r="AX167" i="2"/>
  <c r="AW167" i="2"/>
  <c r="AV167" i="2"/>
  <c r="AU167" i="2"/>
  <c r="AT167" i="2"/>
  <c r="AS167" i="2"/>
  <c r="AR167" i="2"/>
  <c r="AY166" i="2"/>
  <c r="AX166" i="2"/>
  <c r="AW166" i="2"/>
  <c r="AV166" i="2"/>
  <c r="AU166" i="2"/>
  <c r="AT166" i="2"/>
  <c r="AS166" i="2"/>
  <c r="AR166" i="2"/>
  <c r="AY165" i="2"/>
  <c r="AX165" i="2"/>
  <c r="AW165" i="2"/>
  <c r="AV165" i="2"/>
  <c r="AU165" i="2"/>
  <c r="AT165" i="2"/>
  <c r="AS165" i="2"/>
  <c r="AR165" i="2"/>
  <c r="AY164" i="2"/>
  <c r="AX164" i="2"/>
  <c r="AW164" i="2"/>
  <c r="AV164" i="2"/>
  <c r="AU164" i="2"/>
  <c r="AT164" i="2"/>
  <c r="AS164" i="2"/>
  <c r="AR164" i="2"/>
  <c r="AY163" i="2"/>
  <c r="AX163" i="2"/>
  <c r="AW163" i="2"/>
  <c r="AV163" i="2"/>
  <c r="AU163" i="2"/>
  <c r="AT163" i="2"/>
  <c r="AS163" i="2"/>
  <c r="AR163" i="2"/>
  <c r="AY162" i="2"/>
  <c r="AX162" i="2"/>
  <c r="AW162" i="2"/>
  <c r="AV162" i="2"/>
  <c r="AU162" i="2"/>
  <c r="AT162" i="2"/>
  <c r="AS162" i="2"/>
  <c r="AR162" i="2"/>
  <c r="AY161" i="2"/>
  <c r="AX161" i="2"/>
  <c r="AW161" i="2"/>
  <c r="AV161" i="2"/>
  <c r="AU161" i="2"/>
  <c r="AT161" i="2"/>
  <c r="AS161" i="2"/>
  <c r="AR161" i="2"/>
  <c r="AY160" i="2"/>
  <c r="AX160" i="2"/>
  <c r="AW160" i="2"/>
  <c r="AV160" i="2"/>
  <c r="AU160" i="2"/>
  <c r="AT160" i="2"/>
  <c r="AS160" i="2"/>
  <c r="AR160" i="2"/>
  <c r="AY159" i="2"/>
  <c r="AX159" i="2"/>
  <c r="AW159" i="2"/>
  <c r="AV159" i="2"/>
  <c r="AU159" i="2"/>
  <c r="AT159" i="2"/>
  <c r="AS159" i="2"/>
  <c r="AR159" i="2"/>
  <c r="AY158" i="2"/>
  <c r="AX158" i="2"/>
  <c r="AW158" i="2"/>
  <c r="AV158" i="2"/>
  <c r="AU158" i="2"/>
  <c r="AT158" i="2"/>
  <c r="AS158" i="2"/>
  <c r="AR158" i="2"/>
  <c r="AY157" i="2"/>
  <c r="AX157" i="2"/>
  <c r="AW157" i="2"/>
  <c r="AV157" i="2"/>
  <c r="AU157" i="2"/>
  <c r="AT157" i="2"/>
  <c r="AS157" i="2"/>
  <c r="AR157" i="2"/>
  <c r="AY156" i="2"/>
  <c r="AX156" i="2"/>
  <c r="AW156" i="2"/>
  <c r="AV156" i="2"/>
  <c r="AU156" i="2"/>
  <c r="AT156" i="2"/>
  <c r="AS156" i="2"/>
  <c r="AR156" i="2"/>
  <c r="AY155" i="2"/>
  <c r="AX155" i="2"/>
  <c r="AW155" i="2"/>
  <c r="AV155" i="2"/>
  <c r="AU155" i="2"/>
  <c r="AT155" i="2"/>
  <c r="AS155" i="2"/>
  <c r="AR155" i="2"/>
  <c r="AY154" i="2"/>
  <c r="AX154" i="2"/>
  <c r="AW154" i="2"/>
  <c r="AV154" i="2"/>
  <c r="AU154" i="2"/>
  <c r="AT154" i="2"/>
  <c r="AS154" i="2"/>
  <c r="AR154" i="2"/>
  <c r="AY153" i="2"/>
  <c r="AX153" i="2"/>
  <c r="AW153" i="2"/>
  <c r="AV153" i="2"/>
  <c r="AU153" i="2"/>
  <c r="AT153" i="2"/>
  <c r="AS153" i="2"/>
  <c r="AR153" i="2"/>
  <c r="AY152" i="2"/>
  <c r="AX152" i="2"/>
  <c r="AW152" i="2"/>
  <c r="AV152" i="2"/>
  <c r="AU152" i="2"/>
  <c r="AT152" i="2"/>
  <c r="AS152" i="2"/>
  <c r="AR152" i="2"/>
  <c r="AY151" i="2"/>
  <c r="AX151" i="2"/>
  <c r="AW151" i="2"/>
  <c r="AV151" i="2"/>
  <c r="AU151" i="2"/>
  <c r="AT151" i="2"/>
  <c r="AS151" i="2"/>
  <c r="AR151" i="2"/>
  <c r="AY150" i="2"/>
  <c r="AX150" i="2"/>
  <c r="AW150" i="2"/>
  <c r="AV150" i="2"/>
  <c r="AU150" i="2"/>
  <c r="AT150" i="2"/>
  <c r="AS150" i="2"/>
  <c r="AR150" i="2"/>
  <c r="AY149" i="2"/>
  <c r="AX149" i="2"/>
  <c r="AW149" i="2"/>
  <c r="AV149" i="2"/>
  <c r="AU149" i="2"/>
  <c r="AT149" i="2"/>
  <c r="AS149" i="2"/>
  <c r="AR149" i="2"/>
  <c r="AY148" i="2"/>
  <c r="AX148" i="2"/>
  <c r="AW148" i="2"/>
  <c r="AV148" i="2"/>
  <c r="AU148" i="2"/>
  <c r="AT148" i="2"/>
  <c r="AS148" i="2"/>
  <c r="AR148" i="2"/>
  <c r="AY147" i="2"/>
  <c r="AX147" i="2"/>
  <c r="AW147" i="2"/>
  <c r="AV147" i="2"/>
  <c r="AU147" i="2"/>
  <c r="AT147" i="2"/>
  <c r="AS147" i="2"/>
  <c r="AR147" i="2"/>
  <c r="AY146" i="2"/>
  <c r="AX146" i="2"/>
  <c r="AW146" i="2"/>
  <c r="AV146" i="2"/>
  <c r="AU146" i="2"/>
  <c r="AT146" i="2"/>
  <c r="AS146" i="2"/>
  <c r="AR146" i="2"/>
  <c r="AY145" i="2"/>
  <c r="AX145" i="2"/>
  <c r="AW145" i="2"/>
  <c r="AV145" i="2"/>
  <c r="AU145" i="2"/>
  <c r="AT145" i="2"/>
  <c r="AS145" i="2"/>
  <c r="AR145" i="2"/>
  <c r="AY144" i="2"/>
  <c r="AX144" i="2"/>
  <c r="AW144" i="2"/>
  <c r="AV144" i="2"/>
  <c r="AU144" i="2"/>
  <c r="AT144" i="2"/>
  <c r="AS144" i="2"/>
  <c r="AR144" i="2"/>
  <c r="AY143" i="2"/>
  <c r="AX143" i="2"/>
  <c r="AW143" i="2"/>
  <c r="AV143" i="2"/>
  <c r="AU143" i="2"/>
  <c r="AT143" i="2"/>
  <c r="AS143" i="2"/>
  <c r="AR143" i="2"/>
  <c r="AY142" i="2"/>
  <c r="AX142" i="2"/>
  <c r="AW142" i="2"/>
  <c r="AV142" i="2"/>
  <c r="AU142" i="2"/>
  <c r="AT142" i="2"/>
  <c r="AS142" i="2"/>
  <c r="AR142" i="2"/>
  <c r="AY141" i="2"/>
  <c r="AX141" i="2"/>
  <c r="AW141" i="2"/>
  <c r="AV141" i="2"/>
  <c r="AU141" i="2"/>
  <c r="AT141" i="2"/>
  <c r="AS141" i="2"/>
  <c r="AR141" i="2"/>
  <c r="AY140" i="2"/>
  <c r="AX140" i="2"/>
  <c r="AW140" i="2"/>
  <c r="AV140" i="2"/>
  <c r="AU140" i="2"/>
  <c r="AT140" i="2"/>
  <c r="AS140" i="2"/>
  <c r="AR140" i="2"/>
  <c r="AY139" i="2"/>
  <c r="AX139" i="2"/>
  <c r="AW139" i="2"/>
  <c r="AV139" i="2"/>
  <c r="AU139" i="2"/>
  <c r="AT139" i="2"/>
  <c r="AS139" i="2"/>
  <c r="AR139" i="2"/>
  <c r="AY138" i="2"/>
  <c r="AX138" i="2"/>
  <c r="AW138" i="2"/>
  <c r="AV138" i="2"/>
  <c r="AU138" i="2"/>
  <c r="AT138" i="2"/>
  <c r="AS138" i="2"/>
  <c r="AR138" i="2"/>
  <c r="AY137" i="2"/>
  <c r="AX137" i="2"/>
  <c r="AW137" i="2"/>
  <c r="AV137" i="2"/>
  <c r="AU137" i="2"/>
  <c r="AT137" i="2"/>
  <c r="AS137" i="2"/>
  <c r="AR137" i="2"/>
  <c r="AY136" i="2"/>
  <c r="AX136" i="2"/>
  <c r="AW136" i="2"/>
  <c r="AV136" i="2"/>
  <c r="AU136" i="2"/>
  <c r="AT136" i="2"/>
  <c r="AS136" i="2"/>
  <c r="AR136" i="2"/>
  <c r="AY135" i="2"/>
  <c r="AX135" i="2"/>
  <c r="AW135" i="2"/>
  <c r="AV135" i="2"/>
  <c r="AU135" i="2"/>
  <c r="AT135" i="2"/>
  <c r="AS135" i="2"/>
  <c r="AR135" i="2"/>
  <c r="AY134" i="2"/>
  <c r="AX134" i="2"/>
  <c r="AW134" i="2"/>
  <c r="AV134" i="2"/>
  <c r="AU134" i="2"/>
  <c r="AT134" i="2"/>
  <c r="AS134" i="2"/>
  <c r="AR134" i="2"/>
  <c r="AY133" i="2"/>
  <c r="AX133" i="2"/>
  <c r="AW133" i="2"/>
  <c r="AV133" i="2"/>
  <c r="AU133" i="2"/>
  <c r="AT133" i="2"/>
  <c r="AS133" i="2"/>
  <c r="AR133" i="2"/>
  <c r="AY132" i="2"/>
  <c r="AX132" i="2"/>
  <c r="AW132" i="2"/>
  <c r="AV132" i="2"/>
  <c r="AU132" i="2"/>
  <c r="AT132" i="2"/>
  <c r="AS132" i="2"/>
  <c r="AR132" i="2"/>
  <c r="AY131" i="2"/>
  <c r="AX131" i="2"/>
  <c r="AW131" i="2"/>
  <c r="AV131" i="2"/>
  <c r="AU131" i="2"/>
  <c r="AT131" i="2"/>
  <c r="AS131" i="2"/>
  <c r="AR131" i="2"/>
  <c r="AY130" i="2"/>
  <c r="AX130" i="2"/>
  <c r="AW130" i="2"/>
  <c r="AV130" i="2"/>
  <c r="AU130" i="2"/>
  <c r="AT130" i="2"/>
  <c r="AS130" i="2"/>
  <c r="AR130" i="2"/>
  <c r="AY129" i="2"/>
  <c r="AX129" i="2"/>
  <c r="AW129" i="2"/>
  <c r="AV129" i="2"/>
  <c r="AU129" i="2"/>
  <c r="AT129" i="2"/>
  <c r="AS129" i="2"/>
  <c r="AR129" i="2"/>
  <c r="AY128" i="2"/>
  <c r="AX128" i="2"/>
  <c r="AW128" i="2"/>
  <c r="AV128" i="2"/>
  <c r="AU128" i="2"/>
  <c r="AT128" i="2"/>
  <c r="AS128" i="2"/>
  <c r="AR128" i="2"/>
  <c r="AY127" i="2"/>
  <c r="AX127" i="2"/>
  <c r="AW127" i="2"/>
  <c r="AV127" i="2"/>
  <c r="AU127" i="2"/>
  <c r="AT127" i="2"/>
  <c r="AS127" i="2"/>
  <c r="AR127" i="2"/>
  <c r="AY126" i="2"/>
  <c r="AX126" i="2"/>
  <c r="AW126" i="2"/>
  <c r="AV126" i="2"/>
  <c r="AU126" i="2"/>
  <c r="AT126" i="2"/>
  <c r="AS126" i="2"/>
  <c r="AR126" i="2"/>
  <c r="AY125" i="2"/>
  <c r="AX125" i="2"/>
  <c r="AW125" i="2"/>
  <c r="AV125" i="2"/>
  <c r="AU125" i="2"/>
  <c r="AT125" i="2"/>
  <c r="AS125" i="2"/>
  <c r="AR125" i="2"/>
  <c r="AY124" i="2"/>
  <c r="AX124" i="2"/>
  <c r="AW124" i="2"/>
  <c r="AV124" i="2"/>
  <c r="AU124" i="2"/>
  <c r="AT124" i="2"/>
  <c r="AS124" i="2"/>
  <c r="AR124" i="2"/>
  <c r="AY123" i="2"/>
  <c r="AX123" i="2"/>
  <c r="AW123" i="2"/>
  <c r="AV123" i="2"/>
  <c r="AU123" i="2"/>
  <c r="AT123" i="2"/>
  <c r="AS123" i="2"/>
  <c r="AR123" i="2"/>
  <c r="AY122" i="2"/>
  <c r="AX122" i="2"/>
  <c r="AW122" i="2"/>
  <c r="AV122" i="2"/>
  <c r="AU122" i="2"/>
  <c r="AT122" i="2"/>
  <c r="AS122" i="2"/>
  <c r="AR122" i="2"/>
  <c r="AY121" i="2"/>
  <c r="AX121" i="2"/>
  <c r="AW121" i="2"/>
  <c r="AV121" i="2"/>
  <c r="AU121" i="2"/>
  <c r="AT121" i="2"/>
  <c r="AS121" i="2"/>
  <c r="AR121" i="2"/>
  <c r="AY120" i="2"/>
  <c r="AX120" i="2"/>
  <c r="AW120" i="2"/>
  <c r="AV120" i="2"/>
  <c r="AU120" i="2"/>
  <c r="AT120" i="2"/>
  <c r="AS120" i="2"/>
  <c r="AR120" i="2"/>
  <c r="AY119" i="2"/>
  <c r="AX119" i="2"/>
  <c r="AW119" i="2"/>
  <c r="AV119" i="2"/>
  <c r="AU119" i="2"/>
  <c r="AT119" i="2"/>
  <c r="AS119" i="2"/>
  <c r="AR119" i="2"/>
  <c r="AY118" i="2"/>
  <c r="AX118" i="2"/>
  <c r="AW118" i="2"/>
  <c r="AV118" i="2"/>
  <c r="AU118" i="2"/>
  <c r="AT118" i="2"/>
  <c r="AS118" i="2"/>
  <c r="AR118" i="2"/>
  <c r="AY117" i="2"/>
  <c r="AX117" i="2"/>
  <c r="AW117" i="2"/>
  <c r="AV117" i="2"/>
  <c r="AU117" i="2"/>
  <c r="AT117" i="2"/>
  <c r="AS117" i="2"/>
  <c r="AR117" i="2"/>
  <c r="AY116" i="2"/>
  <c r="AX116" i="2"/>
  <c r="AW116" i="2"/>
  <c r="AV116" i="2"/>
  <c r="AU116" i="2"/>
  <c r="AT116" i="2"/>
  <c r="AS116" i="2"/>
  <c r="AR116" i="2"/>
  <c r="AY115" i="2"/>
  <c r="AX115" i="2"/>
  <c r="AW115" i="2"/>
  <c r="AV115" i="2"/>
  <c r="AU115" i="2"/>
  <c r="AT115" i="2"/>
  <c r="AS115" i="2"/>
  <c r="AR115" i="2"/>
  <c r="AY114" i="2"/>
  <c r="AX114" i="2"/>
  <c r="AW114" i="2"/>
  <c r="AV114" i="2"/>
  <c r="AU114" i="2"/>
  <c r="AT114" i="2"/>
  <c r="AS114" i="2"/>
  <c r="AR114" i="2"/>
  <c r="AY113" i="2"/>
  <c r="AX113" i="2"/>
  <c r="AW113" i="2"/>
  <c r="AV113" i="2"/>
  <c r="AU113" i="2"/>
  <c r="AT113" i="2"/>
  <c r="AS113" i="2"/>
  <c r="AR113" i="2"/>
  <c r="AY112" i="2"/>
  <c r="AX112" i="2"/>
  <c r="AW112" i="2"/>
  <c r="AV112" i="2"/>
  <c r="AU112" i="2"/>
  <c r="AT112" i="2"/>
  <c r="AS112" i="2"/>
  <c r="AR112" i="2"/>
  <c r="AY111" i="2"/>
  <c r="AX111" i="2"/>
  <c r="AW111" i="2"/>
  <c r="AV111" i="2"/>
  <c r="AU111" i="2"/>
  <c r="AT111" i="2"/>
  <c r="AS111" i="2"/>
  <c r="AR111" i="2"/>
  <c r="AY110" i="2"/>
  <c r="AX110" i="2"/>
  <c r="AW110" i="2"/>
  <c r="AV110" i="2"/>
  <c r="AU110" i="2"/>
  <c r="AT110" i="2"/>
  <c r="AS110" i="2"/>
  <c r="AR110" i="2"/>
  <c r="AY109" i="2"/>
  <c r="AX109" i="2"/>
  <c r="AW109" i="2"/>
  <c r="AV109" i="2"/>
  <c r="AU109" i="2"/>
  <c r="AT109" i="2"/>
  <c r="AS109" i="2"/>
  <c r="AR109" i="2"/>
  <c r="AY108" i="2"/>
  <c r="AX108" i="2"/>
  <c r="AW108" i="2"/>
  <c r="AV108" i="2"/>
  <c r="AU108" i="2"/>
  <c r="AT108" i="2"/>
  <c r="AS108" i="2"/>
  <c r="AR108" i="2"/>
  <c r="AY107" i="2"/>
  <c r="AX107" i="2"/>
  <c r="AW107" i="2"/>
  <c r="AV107" i="2"/>
  <c r="AU107" i="2"/>
  <c r="AT107" i="2"/>
  <c r="AS107" i="2"/>
  <c r="AR107" i="2"/>
  <c r="AY106" i="2"/>
  <c r="AX106" i="2"/>
  <c r="AW106" i="2"/>
  <c r="AV106" i="2"/>
  <c r="AU106" i="2"/>
  <c r="AT106" i="2"/>
  <c r="AS106" i="2"/>
  <c r="AR106" i="2"/>
  <c r="AY105" i="2"/>
  <c r="AX105" i="2"/>
  <c r="AW105" i="2"/>
  <c r="AV105" i="2"/>
  <c r="AU105" i="2"/>
  <c r="AT105" i="2"/>
  <c r="AS105" i="2"/>
  <c r="AR105" i="2"/>
  <c r="AY104" i="2"/>
  <c r="AX104" i="2"/>
  <c r="AW104" i="2"/>
  <c r="AV104" i="2"/>
  <c r="AU104" i="2"/>
  <c r="AT104" i="2"/>
  <c r="AS104" i="2"/>
  <c r="AR104" i="2"/>
  <c r="AY103" i="2"/>
  <c r="AX103" i="2"/>
  <c r="AW103" i="2"/>
  <c r="AV103" i="2"/>
  <c r="AU103" i="2"/>
  <c r="AT103" i="2"/>
  <c r="AS103" i="2"/>
  <c r="AR103" i="2"/>
  <c r="AY102" i="2"/>
  <c r="AX102" i="2"/>
  <c r="AW102" i="2"/>
  <c r="AV102" i="2"/>
  <c r="AU102" i="2"/>
  <c r="AT102" i="2"/>
  <c r="AS102" i="2"/>
  <c r="AR102" i="2"/>
  <c r="AY101" i="2"/>
  <c r="AX101" i="2"/>
  <c r="AW101" i="2"/>
  <c r="AV101" i="2"/>
  <c r="AU101" i="2"/>
  <c r="AT101" i="2"/>
  <c r="AS101" i="2"/>
  <c r="AR101" i="2"/>
  <c r="AY100" i="2"/>
  <c r="AX100" i="2"/>
  <c r="AW100" i="2"/>
  <c r="AV100" i="2"/>
  <c r="AU100" i="2"/>
  <c r="AT100" i="2"/>
  <c r="AS100" i="2"/>
  <c r="AR100" i="2"/>
  <c r="AY99" i="2"/>
  <c r="AX99" i="2"/>
  <c r="AW99" i="2"/>
  <c r="AV99" i="2"/>
  <c r="AU99" i="2"/>
  <c r="AT99" i="2"/>
  <c r="AS99" i="2"/>
  <c r="AR99" i="2"/>
  <c r="AY98" i="2"/>
  <c r="AX98" i="2"/>
  <c r="AW98" i="2"/>
  <c r="AV98" i="2"/>
  <c r="AU98" i="2"/>
  <c r="AT98" i="2"/>
  <c r="AS98" i="2"/>
  <c r="AR98" i="2"/>
  <c r="AY97" i="2"/>
  <c r="AX97" i="2"/>
  <c r="AW97" i="2"/>
  <c r="AV97" i="2"/>
  <c r="AU97" i="2"/>
  <c r="AT97" i="2"/>
  <c r="AS97" i="2"/>
  <c r="AR97" i="2"/>
  <c r="AY96" i="2"/>
  <c r="AX96" i="2"/>
  <c r="AW96" i="2"/>
  <c r="AV96" i="2"/>
  <c r="AU96" i="2"/>
  <c r="AT96" i="2"/>
  <c r="AS96" i="2"/>
  <c r="AR96" i="2"/>
  <c r="AY95" i="2"/>
  <c r="AX95" i="2"/>
  <c r="AW95" i="2"/>
  <c r="AV95" i="2"/>
  <c r="AU95" i="2"/>
  <c r="AT95" i="2"/>
  <c r="AS95" i="2"/>
  <c r="AR95" i="2"/>
  <c r="AY94" i="2"/>
  <c r="AX94" i="2"/>
  <c r="AW94" i="2"/>
  <c r="AV94" i="2"/>
  <c r="AU94" i="2"/>
  <c r="AT94" i="2"/>
  <c r="AS94" i="2"/>
  <c r="AR94" i="2"/>
  <c r="AY93" i="2"/>
  <c r="AX93" i="2"/>
  <c r="AW93" i="2"/>
  <c r="AV93" i="2"/>
  <c r="AU93" i="2"/>
  <c r="AT93" i="2"/>
  <c r="AS93" i="2"/>
  <c r="AR93" i="2"/>
  <c r="AY92" i="2"/>
  <c r="AX92" i="2"/>
  <c r="AW92" i="2"/>
  <c r="AV92" i="2"/>
  <c r="AU92" i="2"/>
  <c r="AT92" i="2"/>
  <c r="AS92" i="2"/>
  <c r="AR92" i="2"/>
  <c r="AY91" i="2"/>
  <c r="AX91" i="2"/>
  <c r="AW91" i="2"/>
  <c r="AV91" i="2"/>
  <c r="AU91" i="2"/>
  <c r="AT91" i="2"/>
  <c r="AS91" i="2"/>
  <c r="AR91" i="2"/>
  <c r="AY90" i="2"/>
  <c r="AX90" i="2"/>
  <c r="AW90" i="2"/>
  <c r="AV90" i="2"/>
  <c r="AU90" i="2"/>
  <c r="AT90" i="2"/>
  <c r="AS90" i="2"/>
  <c r="AR90" i="2"/>
  <c r="AY89" i="2"/>
  <c r="AX89" i="2"/>
  <c r="AW89" i="2"/>
  <c r="AV89" i="2"/>
  <c r="AU89" i="2"/>
  <c r="AT89" i="2"/>
  <c r="AS89" i="2"/>
  <c r="AR89" i="2"/>
  <c r="AY88" i="2"/>
  <c r="AX88" i="2"/>
  <c r="AW88" i="2"/>
  <c r="AV88" i="2"/>
  <c r="AU88" i="2"/>
  <c r="AT88" i="2"/>
  <c r="AS88" i="2"/>
  <c r="AR88" i="2"/>
  <c r="AY87" i="2"/>
  <c r="AX87" i="2"/>
  <c r="AW87" i="2"/>
  <c r="AV87" i="2"/>
  <c r="AU87" i="2"/>
  <c r="AT87" i="2"/>
  <c r="AS87" i="2"/>
  <c r="AR87" i="2"/>
  <c r="AY86" i="2"/>
  <c r="AX86" i="2"/>
  <c r="AW86" i="2"/>
  <c r="AV86" i="2"/>
  <c r="AU86" i="2"/>
  <c r="AT86" i="2"/>
  <c r="AS86" i="2"/>
  <c r="AR86" i="2"/>
  <c r="AY85" i="2"/>
  <c r="AX85" i="2"/>
  <c r="AW85" i="2"/>
  <c r="AV85" i="2"/>
  <c r="AU85" i="2"/>
  <c r="AT85" i="2"/>
  <c r="AS85" i="2"/>
  <c r="AR85" i="2"/>
  <c r="AY84" i="2"/>
  <c r="AX84" i="2"/>
  <c r="AW84" i="2"/>
  <c r="AV84" i="2"/>
  <c r="AU84" i="2"/>
  <c r="AT84" i="2"/>
  <c r="AS84" i="2"/>
  <c r="AR84" i="2"/>
  <c r="AY83" i="2"/>
  <c r="AX83" i="2"/>
  <c r="AW83" i="2"/>
  <c r="AV83" i="2"/>
  <c r="AU83" i="2"/>
  <c r="AT83" i="2"/>
  <c r="AS83" i="2"/>
  <c r="AR83" i="2"/>
  <c r="AY82" i="2"/>
  <c r="AX82" i="2"/>
  <c r="AW82" i="2"/>
  <c r="AV82" i="2"/>
  <c r="AU82" i="2"/>
  <c r="AT82" i="2"/>
  <c r="AS82" i="2"/>
  <c r="AR82" i="2"/>
  <c r="AY81" i="2"/>
  <c r="AX81" i="2"/>
  <c r="AW81" i="2"/>
  <c r="AV81" i="2"/>
  <c r="AU81" i="2"/>
  <c r="AT81" i="2"/>
  <c r="AS81" i="2"/>
  <c r="AR81" i="2"/>
  <c r="AY80" i="2"/>
  <c r="AX80" i="2"/>
  <c r="AW80" i="2"/>
  <c r="AV80" i="2"/>
  <c r="AU80" i="2"/>
  <c r="AT80" i="2"/>
  <c r="AS80" i="2"/>
  <c r="AR80" i="2"/>
  <c r="AY79" i="2"/>
  <c r="AX79" i="2"/>
  <c r="AW79" i="2"/>
  <c r="AV79" i="2"/>
  <c r="AU79" i="2"/>
  <c r="AT79" i="2"/>
  <c r="AS79" i="2"/>
  <c r="AR79" i="2"/>
  <c r="AY78" i="2"/>
  <c r="AX78" i="2"/>
  <c r="AW78" i="2"/>
  <c r="AV78" i="2"/>
  <c r="AU78" i="2"/>
  <c r="AT78" i="2"/>
  <c r="AS78" i="2"/>
  <c r="AR78" i="2"/>
  <c r="AY77" i="2"/>
  <c r="AX77" i="2"/>
  <c r="AW77" i="2"/>
  <c r="AV77" i="2"/>
  <c r="AU77" i="2"/>
  <c r="AT77" i="2"/>
  <c r="AS77" i="2"/>
  <c r="AR77" i="2"/>
  <c r="AY76" i="2"/>
  <c r="AX76" i="2"/>
  <c r="AW76" i="2"/>
  <c r="AV76" i="2"/>
  <c r="AU76" i="2"/>
  <c r="AT76" i="2"/>
  <c r="AS76" i="2"/>
  <c r="AR76" i="2"/>
  <c r="AY75" i="2"/>
  <c r="AX75" i="2"/>
  <c r="AW75" i="2"/>
  <c r="AV75" i="2"/>
  <c r="AU75" i="2"/>
  <c r="AT75" i="2"/>
  <c r="AS75" i="2"/>
  <c r="AR75" i="2"/>
  <c r="AY74" i="2"/>
  <c r="AX74" i="2"/>
  <c r="AW74" i="2"/>
  <c r="AV74" i="2"/>
  <c r="AU74" i="2"/>
  <c r="AT74" i="2"/>
  <c r="AS74" i="2"/>
  <c r="AR74" i="2"/>
  <c r="AY73" i="2"/>
  <c r="AX73" i="2"/>
  <c r="AW73" i="2"/>
  <c r="AV73" i="2"/>
  <c r="AU73" i="2"/>
  <c r="AT73" i="2"/>
  <c r="AS73" i="2"/>
  <c r="AR73" i="2"/>
  <c r="AY72" i="2"/>
  <c r="AX72" i="2"/>
  <c r="AW72" i="2"/>
  <c r="AV72" i="2"/>
  <c r="AU72" i="2"/>
  <c r="AT72" i="2"/>
  <c r="AS72" i="2"/>
  <c r="AR72" i="2"/>
  <c r="AY71" i="2"/>
  <c r="AX71" i="2"/>
  <c r="AW71" i="2"/>
  <c r="AV71" i="2"/>
  <c r="AU71" i="2"/>
  <c r="AT71" i="2"/>
  <c r="AS71" i="2"/>
  <c r="AR71" i="2"/>
  <c r="AY70" i="2"/>
  <c r="AX70" i="2"/>
  <c r="AW70" i="2"/>
  <c r="AV70" i="2"/>
  <c r="AU70" i="2"/>
  <c r="AT70" i="2"/>
  <c r="AS70" i="2"/>
  <c r="AR70" i="2"/>
  <c r="AY69" i="2"/>
  <c r="AX69" i="2"/>
  <c r="AW69" i="2"/>
  <c r="AV69" i="2"/>
  <c r="AU69" i="2"/>
  <c r="AT69" i="2"/>
  <c r="AS69" i="2"/>
  <c r="AR69" i="2"/>
  <c r="AY68" i="2"/>
  <c r="AX68" i="2"/>
  <c r="AW68" i="2"/>
  <c r="AV68" i="2"/>
  <c r="AU68" i="2"/>
  <c r="AT68" i="2"/>
  <c r="AS68" i="2"/>
  <c r="AR68" i="2"/>
  <c r="AY67" i="2"/>
  <c r="AX67" i="2"/>
  <c r="AW67" i="2"/>
  <c r="AV67" i="2"/>
  <c r="AU67" i="2"/>
  <c r="AT67" i="2"/>
  <c r="AS67" i="2"/>
  <c r="AR67" i="2"/>
  <c r="AY66" i="2"/>
  <c r="AX66" i="2"/>
  <c r="AW66" i="2"/>
  <c r="AV66" i="2"/>
  <c r="AU66" i="2"/>
  <c r="AT66" i="2"/>
  <c r="AS66" i="2"/>
  <c r="AR66" i="2"/>
  <c r="AY65" i="2"/>
  <c r="AX65" i="2"/>
  <c r="AW65" i="2"/>
  <c r="AV65" i="2"/>
  <c r="AU65" i="2"/>
  <c r="AT65" i="2"/>
  <c r="AS65" i="2"/>
  <c r="AR65" i="2"/>
  <c r="AY64" i="2"/>
  <c r="AX64" i="2"/>
  <c r="AW64" i="2"/>
  <c r="AV64" i="2"/>
  <c r="AU64" i="2"/>
  <c r="AT64" i="2"/>
  <c r="AS64" i="2"/>
  <c r="AR64" i="2"/>
  <c r="AY63" i="2"/>
  <c r="AX63" i="2"/>
  <c r="AW63" i="2"/>
  <c r="AV63" i="2"/>
  <c r="AU63" i="2"/>
  <c r="AT63" i="2"/>
  <c r="AS63" i="2"/>
  <c r="AR63" i="2"/>
  <c r="AY62" i="2"/>
  <c r="AX62" i="2"/>
  <c r="AW62" i="2"/>
  <c r="AV62" i="2"/>
  <c r="AU62" i="2"/>
  <c r="AT62" i="2"/>
  <c r="AS62" i="2"/>
  <c r="AR62" i="2"/>
  <c r="AY61" i="2"/>
  <c r="AX61" i="2"/>
  <c r="AW61" i="2"/>
  <c r="AV61" i="2"/>
  <c r="AU61" i="2"/>
  <c r="AT61" i="2"/>
  <c r="AS61" i="2"/>
  <c r="AR61" i="2"/>
  <c r="AY60" i="2"/>
  <c r="AX60" i="2"/>
  <c r="AW60" i="2"/>
  <c r="AV60" i="2"/>
  <c r="AU60" i="2"/>
  <c r="AT60" i="2"/>
  <c r="AS60" i="2"/>
  <c r="AR60" i="2"/>
  <c r="AY59" i="2"/>
  <c r="AX59" i="2"/>
  <c r="AW59" i="2"/>
  <c r="AV59" i="2"/>
  <c r="AU59" i="2"/>
  <c r="AT59" i="2"/>
  <c r="AS59" i="2"/>
  <c r="AR59" i="2"/>
  <c r="AY58" i="2"/>
  <c r="AX58" i="2"/>
  <c r="AW58" i="2"/>
  <c r="AV58" i="2"/>
  <c r="AU58" i="2"/>
  <c r="AT58" i="2"/>
  <c r="AS58" i="2"/>
  <c r="AR58" i="2"/>
  <c r="AY57" i="2"/>
  <c r="AX57" i="2"/>
  <c r="AW57" i="2"/>
  <c r="AV57" i="2"/>
  <c r="AU57" i="2"/>
  <c r="AT57" i="2"/>
  <c r="AS57" i="2"/>
  <c r="AR57" i="2"/>
  <c r="AY56" i="2"/>
  <c r="AX56" i="2"/>
  <c r="AW56" i="2"/>
  <c r="AV56" i="2"/>
  <c r="AU56" i="2"/>
  <c r="AT56" i="2"/>
  <c r="AS56" i="2"/>
  <c r="AR56" i="2"/>
  <c r="AY55" i="2"/>
  <c r="AX55" i="2"/>
  <c r="AW55" i="2"/>
  <c r="AV55" i="2"/>
  <c r="AU55" i="2"/>
  <c r="AT55" i="2"/>
  <c r="AS55" i="2"/>
  <c r="AR55" i="2"/>
  <c r="AY54" i="2"/>
  <c r="AX54" i="2"/>
  <c r="AW54" i="2"/>
  <c r="AV54" i="2"/>
  <c r="AU54" i="2"/>
  <c r="AT54" i="2"/>
  <c r="AS54" i="2"/>
  <c r="AR54" i="2"/>
  <c r="AY53" i="2"/>
  <c r="AX53" i="2"/>
  <c r="AW53" i="2"/>
  <c r="AV53" i="2"/>
  <c r="AU53" i="2"/>
  <c r="AT53" i="2"/>
  <c r="AS53" i="2"/>
  <c r="AR53" i="2"/>
  <c r="AY52" i="2"/>
  <c r="AX52" i="2"/>
  <c r="AW52" i="2"/>
  <c r="AV52" i="2"/>
  <c r="AU52" i="2"/>
  <c r="AT52" i="2"/>
  <c r="AS52" i="2"/>
  <c r="AR52" i="2"/>
  <c r="AY51" i="2"/>
  <c r="AX51" i="2"/>
  <c r="AW51" i="2"/>
  <c r="AV51" i="2"/>
  <c r="AU51" i="2"/>
  <c r="AT51" i="2"/>
  <c r="AS51" i="2"/>
  <c r="AR51" i="2"/>
  <c r="AY50" i="2"/>
  <c r="AX50" i="2"/>
  <c r="AW50" i="2"/>
  <c r="AV50" i="2"/>
  <c r="AU50" i="2"/>
  <c r="AT50" i="2"/>
  <c r="AS50" i="2"/>
  <c r="AR50" i="2"/>
  <c r="AY49" i="2"/>
  <c r="AX49" i="2"/>
  <c r="AW49" i="2"/>
  <c r="AV49" i="2"/>
  <c r="AU49" i="2"/>
  <c r="AT49" i="2"/>
  <c r="AS49" i="2"/>
  <c r="AR49" i="2"/>
  <c r="AY48" i="2"/>
  <c r="AX48" i="2"/>
  <c r="AW48" i="2"/>
  <c r="AV48" i="2"/>
  <c r="AU48" i="2"/>
  <c r="AT48" i="2"/>
  <c r="AS48" i="2"/>
  <c r="AR48" i="2"/>
  <c r="AY47" i="2"/>
  <c r="AX47" i="2"/>
  <c r="AW47" i="2"/>
  <c r="AV47" i="2"/>
  <c r="AU47" i="2"/>
  <c r="AT47" i="2"/>
  <c r="AS47" i="2"/>
  <c r="AR47" i="2"/>
  <c r="AY46" i="2"/>
  <c r="AX46" i="2"/>
  <c r="AW46" i="2"/>
  <c r="AV46" i="2"/>
  <c r="AU46" i="2"/>
  <c r="AT46" i="2"/>
  <c r="AS46" i="2"/>
  <c r="AR46" i="2"/>
  <c r="AY45" i="2"/>
  <c r="AX45" i="2"/>
  <c r="AW45" i="2"/>
  <c r="AV45" i="2"/>
  <c r="AU45" i="2"/>
  <c r="AT45" i="2"/>
  <c r="AS45" i="2"/>
  <c r="AR45" i="2"/>
  <c r="AY44" i="2"/>
  <c r="AX44" i="2"/>
  <c r="AW44" i="2"/>
  <c r="AV44" i="2"/>
  <c r="AU44" i="2"/>
  <c r="AT44" i="2"/>
  <c r="AS44" i="2"/>
  <c r="AR44" i="2"/>
  <c r="AY43" i="2"/>
  <c r="AX43" i="2"/>
  <c r="AW43" i="2"/>
  <c r="AV43" i="2"/>
  <c r="AU43" i="2"/>
  <c r="AT43" i="2"/>
  <c r="AS43" i="2"/>
  <c r="AR43" i="2"/>
  <c r="AY42" i="2"/>
  <c r="AX42" i="2"/>
  <c r="AW42" i="2"/>
  <c r="AV42" i="2"/>
  <c r="AU42" i="2"/>
  <c r="AT42" i="2"/>
  <c r="AS42" i="2"/>
  <c r="AR42" i="2"/>
  <c r="AY41" i="2"/>
  <c r="AX41" i="2"/>
  <c r="AW41" i="2"/>
  <c r="AV41" i="2"/>
  <c r="AU41" i="2"/>
  <c r="AT41" i="2"/>
  <c r="AS41" i="2"/>
  <c r="AR41" i="2"/>
  <c r="AY40" i="2"/>
  <c r="AX40" i="2"/>
  <c r="AW40" i="2"/>
  <c r="AV40" i="2"/>
  <c r="AU40" i="2"/>
  <c r="AT40" i="2"/>
  <c r="AS40" i="2"/>
  <c r="AR40" i="2"/>
  <c r="AY39" i="2"/>
  <c r="AX39" i="2"/>
  <c r="AW39" i="2"/>
  <c r="AV39" i="2"/>
  <c r="AU39" i="2"/>
  <c r="AT39" i="2"/>
  <c r="AS39" i="2"/>
  <c r="AR39" i="2"/>
  <c r="AY38" i="2"/>
  <c r="AX38" i="2"/>
  <c r="AW38" i="2"/>
  <c r="AV38" i="2"/>
  <c r="AU38" i="2"/>
  <c r="AT38" i="2"/>
  <c r="AS38" i="2"/>
  <c r="AR38" i="2"/>
  <c r="AY37" i="2"/>
  <c r="AX37" i="2"/>
  <c r="AW37" i="2"/>
  <c r="AV37" i="2"/>
  <c r="AU37" i="2"/>
  <c r="AT37" i="2"/>
  <c r="AS37" i="2"/>
  <c r="AR37" i="2"/>
  <c r="AY36" i="2"/>
  <c r="AX36" i="2"/>
  <c r="AW36" i="2"/>
  <c r="AV36" i="2"/>
  <c r="AU36" i="2"/>
  <c r="AT36" i="2"/>
  <c r="AS36" i="2"/>
  <c r="AR36" i="2"/>
  <c r="AY35" i="2"/>
  <c r="AX35" i="2"/>
  <c r="AW35" i="2"/>
  <c r="AV35" i="2"/>
  <c r="AU35" i="2"/>
  <c r="AT35" i="2"/>
  <c r="AS35" i="2"/>
  <c r="AR35" i="2"/>
  <c r="AY34" i="2"/>
  <c r="AX34" i="2"/>
  <c r="AW34" i="2"/>
  <c r="AV34" i="2"/>
  <c r="AU34" i="2"/>
  <c r="AT34" i="2"/>
  <c r="AS34" i="2"/>
  <c r="AR34" i="2"/>
  <c r="AY33" i="2"/>
  <c r="AX33" i="2"/>
  <c r="AW33" i="2"/>
  <c r="AV33" i="2"/>
  <c r="AU33" i="2"/>
  <c r="AT33" i="2"/>
  <c r="AS33" i="2"/>
  <c r="AR33" i="2"/>
  <c r="AY32" i="2"/>
  <c r="AX32" i="2"/>
  <c r="AW32" i="2"/>
  <c r="AV32" i="2"/>
  <c r="AU32" i="2"/>
  <c r="AT32" i="2"/>
  <c r="AS32" i="2"/>
  <c r="AR32" i="2"/>
  <c r="AY31" i="2"/>
  <c r="AX31" i="2"/>
  <c r="AW31" i="2"/>
  <c r="AV31" i="2"/>
  <c r="AU31" i="2"/>
  <c r="AT31" i="2"/>
  <c r="AS31" i="2"/>
  <c r="AR31" i="2"/>
  <c r="AY30" i="2"/>
  <c r="AX30" i="2"/>
  <c r="AW30" i="2"/>
  <c r="AV30" i="2"/>
  <c r="AU30" i="2"/>
  <c r="AT30" i="2"/>
  <c r="AS30" i="2"/>
  <c r="AR30" i="2"/>
  <c r="AY29" i="2"/>
  <c r="AX29" i="2"/>
  <c r="AW29" i="2"/>
  <c r="AV29" i="2"/>
  <c r="AU29" i="2"/>
  <c r="AT29" i="2"/>
  <c r="AS29" i="2"/>
  <c r="AR29" i="2"/>
  <c r="AY28" i="2"/>
  <c r="AX28" i="2"/>
  <c r="AW28" i="2"/>
  <c r="AV28" i="2"/>
  <c r="AU28" i="2"/>
  <c r="AT28" i="2"/>
  <c r="AS28" i="2"/>
  <c r="AR28" i="2"/>
  <c r="AY27" i="2"/>
  <c r="AX27" i="2"/>
  <c r="AW27" i="2"/>
  <c r="AV27" i="2"/>
  <c r="AU27" i="2"/>
  <c r="AT27" i="2"/>
  <c r="AS27" i="2"/>
  <c r="AR27" i="2"/>
  <c r="AY26" i="2"/>
  <c r="AX26" i="2"/>
  <c r="AW26" i="2"/>
  <c r="AV26" i="2"/>
  <c r="AU26" i="2"/>
  <c r="AT26" i="2"/>
  <c r="AS26" i="2"/>
  <c r="AR26" i="2"/>
  <c r="AY25" i="2"/>
  <c r="AX25" i="2"/>
  <c r="AW25" i="2"/>
  <c r="AV25" i="2"/>
  <c r="AU25" i="2"/>
  <c r="AT25" i="2"/>
  <c r="AS25" i="2"/>
  <c r="AR25" i="2"/>
  <c r="AY24" i="2"/>
  <c r="AX24" i="2"/>
  <c r="AW24" i="2"/>
  <c r="AV24" i="2"/>
  <c r="AU24" i="2"/>
  <c r="AT24" i="2"/>
  <c r="AS24" i="2"/>
  <c r="AR24" i="2"/>
  <c r="AY23" i="2"/>
  <c r="AX23" i="2"/>
  <c r="AW23" i="2"/>
  <c r="AV23" i="2"/>
  <c r="AU23" i="2"/>
  <c r="AT23" i="2"/>
  <c r="AS23" i="2"/>
  <c r="AR23" i="2"/>
  <c r="AY22" i="2"/>
  <c r="AX22" i="2"/>
  <c r="AW22" i="2"/>
  <c r="AV22" i="2"/>
  <c r="AU22" i="2"/>
  <c r="AT22" i="2"/>
  <c r="AS22" i="2"/>
  <c r="AR22" i="2"/>
  <c r="AY21" i="2"/>
  <c r="AX21" i="2"/>
  <c r="AW21" i="2"/>
  <c r="AV21" i="2"/>
  <c r="AU21" i="2"/>
  <c r="AT21" i="2"/>
  <c r="AS21" i="2"/>
  <c r="AR21" i="2"/>
  <c r="AY20" i="2"/>
  <c r="AX20" i="2"/>
  <c r="AW20" i="2"/>
  <c r="AV20" i="2"/>
  <c r="AU20" i="2"/>
  <c r="AT20" i="2"/>
  <c r="AS20" i="2"/>
  <c r="AR20" i="2"/>
  <c r="AY19" i="2"/>
  <c r="AX19" i="2"/>
  <c r="AW19" i="2"/>
  <c r="AV19" i="2"/>
  <c r="AU19" i="2"/>
  <c r="AT19" i="2"/>
  <c r="AS19" i="2"/>
  <c r="AR19" i="2"/>
  <c r="AY18" i="2"/>
  <c r="AX18" i="2"/>
  <c r="AW18" i="2"/>
  <c r="AV18" i="2"/>
  <c r="AU18" i="2"/>
  <c r="AT18" i="2"/>
  <c r="AS18" i="2"/>
  <c r="AR18" i="2"/>
  <c r="AY17" i="2"/>
  <c r="AX17" i="2"/>
  <c r="AW17" i="2"/>
  <c r="AV17" i="2"/>
  <c r="AU17" i="2"/>
  <c r="AT17" i="2"/>
  <c r="AS17" i="2"/>
  <c r="AR17" i="2"/>
  <c r="AY16" i="2"/>
  <c r="AX16" i="2"/>
  <c r="AW16" i="2"/>
  <c r="AV16" i="2"/>
  <c r="AU16" i="2"/>
  <c r="AT16" i="2"/>
  <c r="AS16" i="2"/>
  <c r="AR16" i="2"/>
  <c r="AY15" i="2"/>
  <c r="AX15" i="2"/>
  <c r="AW15" i="2"/>
  <c r="AV15" i="2"/>
  <c r="AU15" i="2"/>
  <c r="AT15" i="2"/>
  <c r="AS15" i="2"/>
  <c r="AR15" i="2"/>
  <c r="AY14" i="2"/>
  <c r="AX14" i="2"/>
  <c r="AW14" i="2"/>
  <c r="AV14" i="2"/>
  <c r="AU14" i="2"/>
  <c r="AT14" i="2"/>
  <c r="AS14" i="2"/>
  <c r="AR14" i="2"/>
  <c r="AY13" i="2"/>
  <c r="AX13" i="2"/>
  <c r="AW13" i="2"/>
  <c r="AV13" i="2"/>
  <c r="AU13" i="2"/>
  <c r="AT13" i="2"/>
  <c r="AS13" i="2"/>
  <c r="AR13" i="2"/>
  <c r="AY12" i="2"/>
  <c r="AX12" i="2"/>
  <c r="AW12" i="2"/>
  <c r="AV12" i="2"/>
  <c r="AU12" i="2"/>
  <c r="AT12" i="2"/>
  <c r="AS12" i="2"/>
  <c r="AR12" i="2"/>
  <c r="AY11" i="2"/>
  <c r="AX11" i="2"/>
  <c r="AW11" i="2"/>
  <c r="AV11" i="2"/>
  <c r="AU11" i="2"/>
  <c r="AT11" i="2"/>
  <c r="AS11" i="2"/>
  <c r="AR11" i="2"/>
  <c r="AY10" i="2"/>
  <c r="AX10" i="2"/>
  <c r="AW10" i="2"/>
  <c r="AV10" i="2"/>
  <c r="AU10" i="2"/>
  <c r="AT10" i="2"/>
  <c r="AS10" i="2"/>
  <c r="AR10" i="2"/>
  <c r="AY9" i="2"/>
  <c r="AX9" i="2"/>
  <c r="AW9" i="2"/>
  <c r="AV9" i="2"/>
  <c r="AU9" i="2"/>
  <c r="AT9" i="2"/>
  <c r="AS9" i="2"/>
  <c r="AR9" i="2"/>
  <c r="AY8" i="2"/>
  <c r="AX8" i="2"/>
  <c r="AW8" i="2"/>
  <c r="AV8" i="2"/>
  <c r="AU8" i="2"/>
  <c r="AT8" i="2"/>
  <c r="AS8" i="2"/>
  <c r="AR8" i="2"/>
  <c r="AY7" i="2"/>
  <c r="AX7" i="2"/>
  <c r="AW7" i="2"/>
  <c r="AV7" i="2"/>
  <c r="AU7" i="2"/>
  <c r="AT7" i="2"/>
  <c r="AS7" i="2"/>
  <c r="AR7" i="2"/>
  <c r="AY6" i="2"/>
  <c r="AX6" i="2"/>
  <c r="AW6" i="2"/>
  <c r="AV6" i="2"/>
  <c r="AU6" i="2"/>
  <c r="AT6" i="2"/>
  <c r="AS6" i="2"/>
  <c r="AR6" i="2"/>
  <c r="AY5" i="2"/>
  <c r="AX5" i="2"/>
  <c r="AW5" i="2"/>
  <c r="AV5" i="2"/>
  <c r="AU5" i="2"/>
  <c r="AT5" i="2"/>
  <c r="AS5" i="2"/>
  <c r="AR5" i="2"/>
</calcChain>
</file>

<file path=xl/sharedStrings.xml><?xml version="1.0" encoding="utf-8"?>
<sst xmlns="http://schemas.openxmlformats.org/spreadsheetml/2006/main" count="582" uniqueCount="253">
  <si>
    <t>เข็มทิศอาชีพ · RIASEC Thailand</t>
  </si>
  <si>
    <t>เวิร์กบุ๊กสำหรับ Google Sheets + Glide: รับคำตอบนักเรียน คำนวณผล และสรุปภาพรวมของห้อง</t>
  </si>
  <si>
    <t>1. อัปโหลดไฟล์นี้เข้า Google Drive</t>
  </si>
  <si>
    <t>เลือก New &gt; File upload แล้วเปิดด้วย Google Sheets เพื่อใช้เป็นฐานข้อมูลออนไลน์</t>
  </si>
  <si>
    <t>2. สร้างแอปใน Glide</t>
  </si>
  <si>
    <t>เลือกฐานข้อมูล Google Sheets นี้ แล้วใช้ตาราง “คำตอบนักเรียน” เป็นตารางหลัก</t>
  </si>
  <si>
    <t>3. สร้างแบบฟอร์ม</t>
  </si>
  <si>
    <t>รับข้อมูลชื่อ ห้อง เลขที่ และ Q01–Q36 (กำหนดค่า 1 = ใช่/สนใจ, 0 = ไม่ใช่)</t>
  </si>
  <si>
    <t>4. ตั้งค่าให้ผู้เรียนส่งคำตอบ</t>
  </si>
  <si>
    <t>ให้ Glide เพิ่มหนึ่งแถวใน “คำตอบนักเรียน”; คอลัมน์คะแนนและ Holland Code จะคำนวณอัตโนมัติ</t>
  </si>
  <si>
    <t>5. ทำ QR Code</t>
  </si>
  <si>
    <t>คัดลอก Public app link จาก Glide แล้วสร้าง QR ใน Glide หรือเครื่องมือ QR ที่โรงเรียนใช้อยู่</t>
  </si>
  <si>
    <t>ความเป็นส่วนตัว</t>
  </si>
  <si>
    <t>แนะนำเปิดเฉพาะผู้มีลิงก์/อีเมลโรงเรียน และเก็บข้อมูลเท่าที่จำเป็นตามนโยบายโรงเรียน</t>
  </si>
  <si>
    <t>คำตอบนักเรียน</t>
  </si>
  <si>
    <t>Glide ต้องเพิ่มข้อมูล 1 แถวต่อผู้เรียน: Q01–Q36 ใช้ 1 เมื่อ ใช่/สนใจ และ 0 เมื่อ ไม่ใช่</t>
  </si>
  <si>
    <t>รหัสรายการ</t>
  </si>
  <si>
    <t>วันเวลา</t>
  </si>
  <si>
    <t>ชื่อ-นามสกุล</t>
  </si>
  <si>
    <t>ชื่อเล่น</t>
  </si>
  <si>
    <t>ห้อง</t>
  </si>
  <si>
    <t>เลขที่</t>
  </si>
  <si>
    <t>ยินยอมให้ใช้ข้อมูล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</si>
  <si>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</si>
  <si>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</si>
  <si>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</si>
  <si>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</si>
  <si>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</si>
  <si>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</si>
  <si>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</si>
  <si>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</si>
  <si>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</si>
  <si>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</si>
  <si>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</si>
  <si>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</si>
  <si>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</si>
  <si>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</si>
  <si>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</si>
  <si>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</si>
  <si>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</si>
  <si>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</si>
  <si>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</si>
  <si>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</si>
  <si>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</si>
  <si>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</si>
  <si>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</si>
  <si>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</si>
  <si>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</si>
  <si>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</si>
  <si>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</si>
  <si>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</si>
  <si>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</si>
  <si>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</si>
  <si>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</si>
  <si>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</si>
  <si>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</si>
  <si>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</si>
  <si>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</si>
  <si>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</si>
  <si>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R</t>
  </si>
  <si>
    <t>I</t>
  </si>
  <si>
    <t>A</t>
  </si>
  <si>
    <t>S</t>
  </si>
  <si>
    <t>E</t>
  </si>
  <si>
    <t>C</t>
  </si>
  <si>
    <t>Holland Code</t>
  </si>
  <si>
    <t>บุคลิกภาพเด่น</t>
  </si>
  <si>
    <t>EXAMPLE-001</t>
  </si>
  <si>
    <t>ตัวอย่าง นักเรียน</t>
  </si>
  <si>
    <t>น้องตัวอย่าง</t>
  </si>
  <si>
    <t>ม.5/1</t>
  </si>
  <si>
    <t>ยินยอม</t>
  </si>
  <si>
    <t>คำถาม RIASEC</t>
  </si>
  <si>
    <t>แก้ไขข้อความได้ตามบริบทโรงเรียน แต่คงรหัส R/I/A/S/E/C และค่าคำตอบไว้เพื่อสูตรคะแนน</t>
  </si>
  <si>
    <t>รหัสคำถาม</t>
  </si>
  <si>
    <t>มิติ S.D.S.</t>
  </si>
  <si>
    <t>รหัส RIASEC</t>
  </si>
  <si>
    <t>ข้อความคำถาม</t>
  </si>
  <si>
    <t>ใช่/สนใจ</t>
  </si>
  <si>
    <t>ไม่ใช่</t>
  </si>
  <si>
    <t>01</t>
  </si>
  <si>
    <t>กิจกรรม</t>
  </si>
  <si>
    <t>ประกอบหรือซ่อมสิ่งของที่มีชิ้นส่วน</t>
  </si>
  <si>
    <t>02</t>
  </si>
  <si>
    <t>ทดลอง ค้นคว้า หรือหาคำตอบจากข้อมูล</t>
  </si>
  <si>
    <t>03</t>
  </si>
  <si>
    <t>วาดภาพ ออกแบบ หรือสร้างผลงาน</t>
  </si>
  <si>
    <t>04</t>
  </si>
  <si>
    <t>สอน อธิบาย หรือช่วยคนแก้ปัญหา</t>
  </si>
  <si>
    <t>05</t>
  </si>
  <si>
    <t>ชวนคนเห็นด้วยกับไอเดียของคุณ</t>
  </si>
  <si>
    <t>06</t>
  </si>
  <si>
    <t>จัดแฟ้ม ข้อมูล หรือรายการให้เป็นระเบียบ</t>
  </si>
  <si>
    <t>07</t>
  </si>
  <si>
    <t>ความสามารถ</t>
  </si>
  <si>
    <t>ใช้เครื่องมือหรืออุปกรณ์ได้อย่างคล่องแคล่ว</t>
  </si>
  <si>
    <t>08</t>
  </si>
  <si>
    <t>วิเคราะห์โจทย์ที่มีเหตุผลหลายขั้นตอน</t>
  </si>
  <si>
    <t>09</t>
  </si>
  <si>
    <t>คิดไอเดียหรือวิธีนำเสนอแปลกใหม่</t>
  </si>
  <si>
    <t>10</t>
  </si>
  <si>
    <t>รับฟังความรู้สึกและสื่อสารกับคนอื่น</t>
  </si>
  <si>
    <t>11</t>
  </si>
  <si>
    <t>วางเป้าหมายและพาคนอื่นทำงานให้สำเร็จ</t>
  </si>
  <si>
    <t>12</t>
  </si>
  <si>
    <t>ตรวจรายละเอียด ตัวเลข หรือเอกสารได้รอบคอบ</t>
  </si>
  <si>
    <t>13</t>
  </si>
  <si>
    <t>อาชีพ</t>
  </si>
  <si>
    <t>สนใจอาชีพที่ได้ทำงานกับเครื่องมือ เทคโนโลยี หรือภาคสนาม</t>
  </si>
  <si>
    <t>14</t>
  </si>
  <si>
    <t>สนใจอาชีพนักวิทยาศาสตร์ นักวิจัย หรือผู้เชี่ยวชาญ</t>
  </si>
  <si>
    <t>15</t>
  </si>
  <si>
    <t>สนใจอาชีพนักออกแบบ นักเขียน หรือผู้สร้างสื่อ</t>
  </si>
  <si>
    <t>16</t>
  </si>
  <si>
    <t>สนใจอาชีพครู บุคลากรสุขภาพ หรือผู้ให้คำปรึกษา</t>
  </si>
  <si>
    <t>17</t>
  </si>
  <si>
    <t>สนใจอาชีพนักธุรกิจ นักการตลาด หรือผู้นำโครงการ</t>
  </si>
  <si>
    <t>18</t>
  </si>
  <si>
    <t>สนใจอาชีพบัญชี การเงิน ธุรการ หรือวางระบบข้อมูล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</si>
  <si>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</si>
  <si>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</si>
  <si>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</si>
  <si>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</si>
  <si>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</si>
  <si>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</si>
  <si>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</si>
  <si>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</si>
  <si>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</si>
  <si>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</si>
  <si>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</si>
  <si>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</si>
  <si>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</si>
  <si>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</si>
  <si>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</si>
  <si>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</si>
  <si>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</si>
  <si>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</si>
  <si>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อาชีพและคณะ</t>
  </si>
  <si>
    <t>ตารางอ้างอิงสำหรับหน้า Career Explorer ใน Glide</t>
  </si>
  <si>
    <t>ภาพรวมงาน</t>
  </si>
  <si>
    <t>คณะ/สาขาในไทย</t>
  </si>
  <si>
    <t>ลิงก์ค้นหาหลักสูตร</t>
  </si>
  <si>
    <t>วิศวกรหุ่นยนต์</t>
  </si>
  <si>
    <t>RI</t>
  </si>
  <si>
    <t>ออกแบบระบบอัตโนมัติ</t>
  </si>
  <si>
    <t>วิศวกรรมเมคคาทรอนิกส์ / หุ่นยนต์</t>
  </si>
  <si>
    <t>https://course.mytcas.com/</t>
  </si>
  <si>
    <t>นักพัฒนาซอฟต์แวร์</t>
  </si>
  <si>
    <t>IC</t>
  </si>
  <si>
    <t>สร้างระบบและแอป</t>
  </si>
  <si>
    <t>วิทยาการคอมพิวเตอร์ / IT</t>
  </si>
  <si>
    <t>นักวิเคราะห์ข้อมูล</t>
  </si>
  <si>
    <t>แปลข้อมูลเป็นข้อค้นพบ</t>
  </si>
  <si>
    <t>สถิติ / Data Science</t>
  </si>
  <si>
    <t>นักออกแบบ UX/UI</t>
  </si>
  <si>
    <t>AI</t>
  </si>
  <si>
    <t>ออกแบบประสบการณ์ดิจิทัล</t>
  </si>
  <si>
    <t>ออกแบบนิเทศศิลป์ / IT</t>
  </si>
  <si>
    <t>ครู</t>
  </si>
  <si>
    <t>SA</t>
  </si>
  <si>
    <t>ออกแบบการเรียนรู้</t>
  </si>
  <si>
    <t>ครุศาสตร์ / ศึกษาศาสตร์</t>
  </si>
  <si>
    <t>นักจิตวิทยา</t>
  </si>
  <si>
    <t>SI</t>
  </si>
  <si>
    <t>ส่งเสริมสุขภาวะทางใจ</t>
  </si>
  <si>
    <t>จิตวิทยา</t>
  </si>
  <si>
    <t>พยาบาลวิชาชีพ</t>
  </si>
  <si>
    <t>ดูแลสุขภาพด้วยความรู้และหัวใจ</t>
  </si>
  <si>
    <t>พยาบาลศาสตร์</t>
  </si>
  <si>
    <t>ผู้ประกอบการ</t>
  </si>
  <si>
    <t>ER</t>
  </si>
  <si>
    <t>เปลี่ยนปัญหาเป็นโอกาส</t>
  </si>
  <si>
    <t>บริหารธุรกิจ / ผู้ประกอบการ</t>
  </si>
  <si>
    <t>นักการตลาดดิจิทัล</t>
  </si>
  <si>
    <t>EA</t>
  </si>
  <si>
    <t>เข้าใจลูกค้าและแบรนด์</t>
  </si>
  <si>
    <t>การตลาด / นิเทศศาสตร์</t>
  </si>
  <si>
    <t>นักบัญชี</t>
  </si>
  <si>
    <t>CE</t>
  </si>
  <si>
    <t>จัดการข้อมูลการเงิน</t>
  </si>
  <si>
    <t>บัญชี</t>
  </si>
  <si>
    <t>นักโลจิสติกส์</t>
  </si>
  <si>
    <t>CR</t>
  </si>
  <si>
    <t>จัดระบบการเคลื่อนย้ายสินค้า</t>
  </si>
  <si>
    <t>โลจิสติกส์ / วิศวกรรมอุตสาหการ</t>
  </si>
  <si>
    <t>เกษตรกรอัจฉริยะ</t>
  </si>
  <si>
    <t>ใช้ข้อมูลยกระดับการเกษตร</t>
  </si>
  <si>
    <t>เกษตรศาสตร์ / เกษตรดิจิทัล</t>
  </si>
  <si>
    <t>มหาวิทยาลัย 5 ตัวเลือกต่อสาขา</t>
  </si>
  <si>
    <t>รายการแนะนำเพื่อเริ่มค้นหา ไม่ใช่อันดับทางการ; ตรวจสอบหลักสูตรและรอบ TCAS ปัจจุบันจาก MyTCAS ก่อนตัดสินใจ</t>
  </si>
  <si>
    <t>สาขา/หลักสูตร</t>
  </si>
  <si>
    <t>ลำดับแนะนำ</t>
  </si>
  <si>
    <t>มหาวิทยาลัย</t>
  </si>
  <si>
    <t>คำแนะนำก่อนสมัคร</t>
  </si>
  <si>
    <t>จุฬาลงกรณ์มหาวิทยาลัย</t>
  </si>
  <si>
    <t>ตรวจสอบชื่อคณะ/หลักสูตรและรอบรับสมัครล่าสุดใน MyTCAS</t>
  </si>
  <si>
    <t>มหาวิทยาลัยเทคโนโลยีพระจอมเกล้าธนบุรี</t>
  </si>
  <si>
    <t>สถาบันเทคโนโลยีพระจอมเกล้าเจ้าคุณทหารลาดกระบัง</t>
  </si>
  <si>
    <t>มหาวิทยาลัยเกษตรศาสตร์</t>
  </si>
  <si>
    <t>มหาวิทยาลัยเทคโนโลยีสุรนารี</t>
  </si>
  <si>
    <t>มหาวิทยาลัยมหิดล</t>
  </si>
  <si>
    <t>มหาวิทยาลัยธรรมศาสตร์</t>
  </si>
  <si>
    <t>มหาวิทยาลัยเชียงใหม่</t>
  </si>
  <si>
    <t>มหาวิทยาลัยศิลปากร</t>
  </si>
  <si>
    <t>มหาวิทยาลัยกรุงเทพ</t>
  </si>
  <si>
    <t>มหาวิทยาลัยขอนแก่น</t>
  </si>
  <si>
    <t>มหาวิทยาลัยศรีนครินทรวิโรฒ</t>
  </si>
  <si>
    <t>มหาวิทยาลัยสงขลานครินทร์</t>
  </si>
  <si>
    <t>มหาวิทยาลัยบูรพา</t>
  </si>
  <si>
    <t>มหาวิทยาลัยนเรศวร</t>
  </si>
  <si>
    <t>มหาวิทยาลัยแม่โจ้</t>
  </si>
  <si>
    <t>ลิงก์ไทย</t>
  </si>
  <si>
    <t>ใช้ในหน้าทรัพยากรและการศึกษาต่อของ Glide</t>
  </si>
  <si>
    <t>แหล่งข้อมูล</t>
  </si>
  <si>
    <t>การใช้งาน</t>
  </si>
  <si>
    <t>URL</t>
  </si>
  <si>
    <t>MyTCAS · ค้นหาหลักสูตร</t>
  </si>
  <si>
    <t>ค้นหาคณะ มหาวิทยาลัย และหลักสูตร</t>
  </si>
  <si>
    <t>MyTCAS · ระบบ TCAS</t>
  </si>
  <si>
    <t>ข้อมูลการรับสมัครระดับอุดมศึกษา</t>
  </si>
  <si>
    <t>https://www.mytcas.com/</t>
  </si>
  <si>
    <t>กระทรวงแรงงาน</t>
  </si>
  <si>
    <t>ข่าวและข้อมูลด้านแรงงานไทย</t>
  </si>
  <si>
    <t>https://www.mol.go.th/</t>
  </si>
  <si>
    <t>กรมการจัดหางาน</t>
  </si>
  <si>
    <t>บริการหางานและข้อมูลตลาดแรงงาน</t>
  </si>
  <si>
    <t>https://www.doe.go.th/</t>
  </si>
  <si>
    <t>JobThai</t>
  </si>
  <si>
    <t>ค้นหางานและฝึกงานในไทย</t>
  </si>
  <si>
    <t>https://www.jobthai.com/</t>
  </si>
  <si>
    <t>JobsDB Thailand</t>
  </si>
  <si>
    <t>งานและคำแนะนำอาชีพ</t>
  </si>
  <si>
    <t>https://th.jobsdb.com/</t>
  </si>
  <si>
    <t>JOBBKK</t>
  </si>
  <si>
    <t>ค้นหางานและสร้างเรซูเม่</t>
  </si>
  <si>
    <t>https://www.jobbkk.com/</t>
  </si>
  <si>
    <t>JobTH</t>
  </si>
  <si>
    <t>ตำแหน่งงานทั่วประเทศไทย</t>
  </si>
  <si>
    <t>https://www.jobth.com/</t>
  </si>
  <si>
    <t>สรุปผลห้อง</t>
  </si>
  <si>
    <t>หน้า Dashboard สำหรับครูแนะแนว: สูตรจะนับจากตารางคำตอบนักเรียนอัตโนมัติ</t>
  </si>
  <si>
    <t>นักเรียนที่ส่งคำตอบ</t>
  </si>
  <si>
    <t>คะแนน E เฉลี่ย</t>
  </si>
  <si>
    <t>คะแนน R เฉลี่ย</t>
  </si>
  <si>
    <t>คะแนน C เฉลี่ย</t>
  </si>
  <si>
    <t>คะแนน I เฉลี่ย</t>
  </si>
  <si>
    <t>หมายเหตุ</t>
  </si>
  <si>
    <t>เพิ่มแถวในคำตอบนักเรียนได้ถึงแถว 205</t>
  </si>
  <si>
    <t>คะแนน A เฉลี่ย</t>
  </si>
  <si>
    <t>ข้อควรใช้</t>
  </si>
  <si>
    <t>ใช้เพื่อแนะแนว ไม่ใช่ตัดสินอนาคต</t>
  </si>
  <si>
    <t>คะแนน S เฉลี่ย</t>
  </si>
  <si>
    <t>แหล่งหลักสูตร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</si>
</sst>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>
    <font>
      <sz val="11"/>
      <name val="Carlito"/>
    </font>
    <font>
      <b/>
      <sz val="18"/>
      <color rgb="FFFFFFFF"/>
      <name val="Carlito"/>
    </font>
    <font>
      <i/>
      <sz val="10"/>
      <color rgb="FF60756F"/>
      <name val="Carlito"/>
    </font>
    <font>
      <b/>
      <sz val="11"/>
      <color rgb="FF193D3A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93D3A"/>
      </patternFill>
    </fill>
    <fill>
      <patternFill patternType="solid">
        <fgColor rgb="FFE8F3EE"/>
      </patternFill>
    </fill>
    <fill>
      <patternFill patternType="solid">
        <fgColor rgb="FFDCEBE5"/>
      </patternFill>
    </fill>
  </fills>
  <borders count="5">
    <border>
      <left/>
      <right/>
      <top/>
      <bottom/>
      <diagonal/>
    </border>
    <border>
      <left style="thin">
        <color rgb="FFD8E0DC"/>
      </left>
      <right style="thin">
        <color rgb="FFD8E0DC"/>
      </right>
      <top style="thin">
        <color rgb="FFD8E0DC"/>
      </top>
      <bottom style="thin">
        <color rgb="FFD8E0DC"/>
      </bottom>
      <diagonal/>
    </border>
    <border>
      <left style="thin">
        <color rgb="FFD8E0DC"/>
      </left>
      <right/>
      <top style="thin">
        <color rgb="FFD8E0DC"/>
      </top>
      <bottom style="thin">
        <color rgb="FFD8E0DC"/>
      </bottom>
      <diagonal/>
    </border>
    <border>
      <left/>
      <right/>
      <top style="thin">
        <color rgb="FFD8E0DC"/>
      </top>
      <bottom style="thin">
        <color rgb="FFD8E0DC"/>
      </bottom>
      <diagonal/>
    </border>
    <border>
      <left/>
      <right style="thin">
        <color rgb="FFD8E0DC"/>
      </right>
      <top style="thin">
        <color rgb="FFD8E0DC"/>
      </top>
      <bottom style="thin">
        <color rgb="FFD8E0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3" fillId="3" borderId="1" xfId="0" applyFont="1" applyFill="1" applyBorder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selection activeCell="F5" sqref="F5"/>
    </sheetView>
  </sheetViews>
  <sheetFormatPr defaultRowHeight="13.8"/>
  <cols>
    <col min="1" max="1" width="30" customWidth="1"/>
    <col min="2" max="2" width="75" customWidth="1"/>
  </cols>
  <sheetData>
    <row r="1" spans="1:8" ht="22.8">
      <c r="A1" s="11" t="s">
        <v>0</v>
      </c>
      <c r="B1" s="11"/>
      <c r="C1" s="11"/>
      <c r="D1" s="11"/>
      <c r="E1" s="11"/>
      <c r="F1" s="11"/>
      <c r="G1" s="11"/>
      <c r="H1" s="11"/>
    </row>
    <row r="2" spans="1:8">
      <c r="A2" s="1" t="s">
        <v>1</v>
      </c>
    </row>
    <row r="4" spans="1:8" ht="43.95" customHeight="1">
      <c r="A4" s="3" t="s">
        <v>2</v>
      </c>
      <c r="B4" s="4" t="s">
        <v>3</v>
      </c>
    </row>
    <row r="5" spans="1:8" ht="43.95" customHeight="1">
      <c r="A5" s="3" t="s">
        <v>4</v>
      </c>
      <c r="B5" s="4" t="s">
        <v>5</v>
      </c>
    </row>
    <row r="6" spans="1:8" ht="43.95" customHeight="1">
      <c r="A6" s="3" t="s">
        <v>6</v>
      </c>
      <c r="B6" s="4" t="s">
        <v>7</v>
      </c>
    </row>
    <row r="7" spans="1:8" ht="43.95" customHeight="1">
      <c r="A7" s="3" t="s">
        <v>8</v>
      </c>
      <c r="B7" s="4" t="s">
        <v>9</v>
      </c>
    </row>
    <row r="8" spans="1:8" ht="43.95" customHeight="1">
      <c r="A8" s="3" t="s">
        <v>10</v>
      </c>
      <c r="B8" s="4" t="s">
        <v>11</v>
      </c>
    </row>
    <row r="9" spans="1:8" ht="43.95" customHeight="1">
      <c r="A9" s="3" t="s">
        <v>12</v>
      </c>
      <c r="B9" s="4" t="s">
        <v>13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05"/>
  <sheetViews>
    <sheetView showGridLines="0" workbookViewId="0">
      <selection sqref="A1:AY1"/>
    </sheetView>
  </sheetViews>
  <sheetFormatPr defaultRowHeight="13.8"/>
  <cols>
    <col min="1" max="1" width="18" customWidth="1"/>
    <col min="2" max="2" width="19" customWidth="1"/>
    <col min="3" max="7" width="16" customWidth="1"/>
    <col min="8" max="43" width="8" customWidth="1"/>
    <col min="44" max="51" width="15" customWidth="1"/>
  </cols>
  <sheetData>
    <row r="1" spans="1:51" ht="22.8">
      <c r="A1" s="11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>
      <c r="A2" s="1" t="s">
        <v>15</v>
      </c>
    </row>
    <row r="4" spans="1:51" ht="27.6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31</v>
      </c>
      <c r="Q4" s="6" t="s">
        <v>32</v>
      </c>
      <c r="R4" s="6" t="s">
        <v>33</v>
      </c>
      <c r="S4" s="6" t="s">
        <v>34</v>
      </c>
      <c r="T4" s="6" t="s">
        <v>35</v>
      </c>
      <c r="U4" s="6" t="s">
        <v>36</v>
      </c>
      <c r="V4" s="6" t="s">
        <v>37</v>
      </c>
      <c r="W4" s="6" t="s">
        <v>38</v>
      </c>
      <c r="X4" s="6" t="s">
        <v>39</v>
      </c>
      <c r="Y4" s="6" t="s">
        <v>40</v>
      </c>
      <c r="Z4" s="6" t="s">
        <v>41</v>
      </c>
      <c r="AA4" s="6" t="s">
        <v>42</v>
      </c>
      <c r="AB4" s="6" t="s">
        <v>43</v>
      </c>
      <c r="AC4" s="6" t="s">
        <v>44</v>
      </c>
      <c r="AD4" s="6" t="s">
        <v>45</v>
      </c>
      <c r="AE4" s="6" t="s">
        <v>46</v>
      </c>
      <c r="AF4" s="6" t="s">
        <v>47</v>
      </c>
      <c r="AG4" s="6" t="s">
        <v>48</v>
      </c>
      <c r="AH4" s="6" t="s">
        <v>49</v>
      </c>
      <c r="AI4" s="6" t="s">
        <v>50</v>
      </c>
      <c r="AJ4" s="6" t="s">
        <v>51</v>
      </c>
      <c r="AK4" s="6" t="s">
        <v>52</v>
      </c>
      <c r="AL4" s="6" t="s">
        <v>53</v>
      </c>
      <c r="AM4" s="6" t="s">
        <v>54</v>
      </c>
      <c r="AN4" s="6" t="s">
        <v>55</v>
      </c>
      <c r="AO4" s="6" t="s">
        <v>56</v>
      </c>
      <c r="AP4" s="6" t="s">
        <v>57</v>
      </c>
      <c r="AQ4" s="6" t="s">
        <v>58</v>
      </c>
      <c r="AR4" s="6" t="s">
        <v>59</v>
      </c>
      <c r="AS4" s="6" t="s">
        <v>60</v>
      </c>
      <c r="AT4" s="6" t="s">
        <v>61</v>
      </c>
      <c r="AU4" s="6" t="s">
        <v>62</v>
      </c>
      <c r="AV4" s="6" t="s">
        <v>63</v>
      </c>
      <c r="AW4" s="6" t="s">
        <v>64</v>
      </c>
      <c r="AX4" s="6" t="s">
        <v>65</v>
      </c>
      <c r="AY4" s="7" t="s">
        <v>66</v>
      </c>
    </row>
    <row r="5" spans="1:51">
      <c r="A5" t="s">
        <v>67</v>
      </c>
      <c r="B5" s="8">
        <v>46223.083333333336</v>
      </c>
      <c r="C5" t="s">
        <v>68</v>
      </c>
      <c r="D5" t="s">
        <v>69</v>
      </c>
      <c r="E5" t="s">
        <v>70</v>
      </c>
      <c r="F5">
        <v>1</v>
      </c>
      <c r="G5" t="s">
        <v>71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1</v>
      </c>
      <c r="AO5">
        <v>1</v>
      </c>
      <c r="AP5">
        <v>1</v>
      </c>
      <c r="AQ5">
        <v>1</v>
      </c>
      <c r="AR5">
        <f t="shared" ref="AR5:AW5" si="0">SUM(H5,N5,T5,Z5,AF5,AL5)</f>
        <v>5</v>
      </c>
      <c r="AS5">
        <f t="shared" si="0"/>
        <v>5</v>
      </c>
      <c r="AT5">
        <f t="shared" si="0"/>
        <v>6</v>
      </c>
      <c r="AU5">
        <f t="shared" si="0"/>
        <v>6</v>
      </c>
      <c r="AV5">
        <f t="shared" si="0"/>
        <v>5</v>
      </c>
      <c r="AW5">
        <f t="shared" si="0"/>
        <v>6</v>
      </c>
      <c r="AX5" t="e">
        <f ca="1">_xludf.CONCAT(IF(AR5&gt;=LARGE(AR5:AW5,3),"R",""),IF(AS5&gt;=LARGE(AR5:AW5,3),"I",""),IF(AT5&gt;=LARGE(AR5:AW5,3),"A",""),IF(AU5&gt;=LARGE(AR5:AW5,3),"S",""),IF(AV5&gt;=LARGE(AR5:AW5,3),"E",""),IF(AW5&gt;=LARGE(AR5:AW5,3),"C",""))</f>
        <v>#NAME?</v>
      </c>
      <c r="AY5" t="str">
        <f>IF(AR5=MAX(AR5:AW5),"นักปฏิบัติ",IF(AS5=MAX(AR5:AW5),"นักคิดวิเคราะห์",IF(AT5=MAX(AR5:AW5),"นักสร้างสรรค์",IF(AU5=MAX(AR5:AW5),"ผู้เข้าใจผู้คน",IF(AV5=MAX(AR5:AW5),"ผู้นำการเปลี่ยนแปลง","ผู้จัดระบบ")))))</f>
        <v>นักสร้างสรรค์</v>
      </c>
    </row>
    <row r="6" spans="1:51">
      <c r="B6" s="8"/>
      <c r="AR6" t="str">
        <f t="shared" ref="AR6:AR37" si="1">IF(C6="","",SUM(H6,N6,T6,Z6,AF6,AL6))</f>
        <v/>
      </c>
      <c r="AS6" t="str">
        <f t="shared" ref="AS6:AS37" si="2">IF(C6="","",SUM(I6,O6,U6,AA6,AG6,AM6))</f>
        <v/>
      </c>
      <c r="AT6" t="str">
        <f t="shared" ref="AT6:AT37" si="3">IF(C6="","",SUM(J6,P6,V6,AB6,AH6,AN6))</f>
        <v/>
      </c>
      <c r="AU6" t="str">
        <f t="shared" ref="AU6:AU37" si="4">IF(C6="","",SUM(K6,Q6,W6,AC6,AI6,AO6))</f>
        <v/>
      </c>
      <c r="AV6" t="str">
        <f t="shared" ref="AV6:AV37" si="5">IF(C6="","",SUM(L6,R6,X6,AD6,AJ6,AP6))</f>
        <v/>
      </c>
      <c r="AW6" t="str">
        <f t="shared" ref="AW6:AW37" si="6">IF(C6="","",SUM(M6,S6,Y6,AE6,AK6,AQ6))</f>
        <v/>
      </c>
      <c r="AX6" t="str">
        <f t="shared" ref="AX6:AX37" si="7">IF(C6="","",_xludf.CONCAT(IF(AR6&gt;=LARGE(AR6:AW6,3),"R",""),IF(AS6&gt;=LARGE(AR6:AW6,3),"I",""),IF(AT6&gt;=LARGE(AR6:AW6,3),"A",""),IF(AU6&gt;=LARGE(AR6:AW6,3),"S",""),IF(AV6&gt;=LARGE(AR6:AW6,3),"E",""),IF(AW6&gt;=LARGE(AR6:AW6,3),"C","")))</f>
        <v/>
      </c>
      <c r="AY6" t="str">
        <f t="shared" ref="AY6:AY37" si="8">IF(C6="","",IF(AR6=MAX(AR6:AW6),"นักปฏิบัติ",IF(AS6=MAX(AR6:AW6),"นักคิดวิเคราะห์",IF(AT6=MAX(AR6:AW6),"นักสร้างสรรค์",IF(AU6=MAX(AR6:AW6),"ผู้เข้าใจผู้คน",IF(AV6=MAX(AR6:AW6),"ผู้นำการเปลี่ยนแปลง","ผู้จัดระบบ"))))))</f>
        <v/>
      </c>
    </row>
    <row r="7" spans="1:51">
      <c r="B7" s="8"/>
      <c r="AR7" t="str">
        <f t="shared" si="1"/>
        <v/>
      </c>
      <c r="AS7" t="str">
        <f t="shared" si="2"/>
        <v/>
      </c>
      <c r="AT7" t="str">
        <f t="shared" si="3"/>
        <v/>
      </c>
      <c r="AU7" t="str">
        <f t="shared" si="4"/>
        <v/>
      </c>
      <c r="AV7" t="str">
        <f t="shared" si="5"/>
        <v/>
      </c>
      <c r="AW7" t="str">
        <f t="shared" si="6"/>
        <v/>
      </c>
      <c r="AX7" t="str">
        <f t="shared" si="7"/>
        <v/>
      </c>
      <c r="AY7" t="str">
        <f t="shared" si="8"/>
        <v/>
      </c>
    </row>
    <row r="8" spans="1:51">
      <c r="B8" s="8"/>
      <c r="AR8" t="str">
        <f t="shared" si="1"/>
        <v/>
      </c>
      <c r="AS8" t="str">
        <f t="shared" si="2"/>
        <v/>
      </c>
      <c r="AT8" t="str">
        <f t="shared" si="3"/>
        <v/>
      </c>
      <c r="AU8" t="str">
        <f t="shared" si="4"/>
        <v/>
      </c>
      <c r="AV8" t="str">
        <f t="shared" si="5"/>
        <v/>
      </c>
      <c r="AW8" t="str">
        <f t="shared" si="6"/>
        <v/>
      </c>
      <c r="AX8" t="str">
        <f t="shared" si="7"/>
        <v/>
      </c>
      <c r="AY8" t="str">
        <f t="shared" si="8"/>
        <v/>
      </c>
    </row>
    <row r="9" spans="1:51">
      <c r="B9" s="8"/>
      <c r="AR9" t="str">
        <f t="shared" si="1"/>
        <v/>
      </c>
      <c r="AS9" t="str">
        <f t="shared" si="2"/>
        <v/>
      </c>
      <c r="AT9" t="str">
        <f t="shared" si="3"/>
        <v/>
      </c>
      <c r="AU9" t="str">
        <f t="shared" si="4"/>
        <v/>
      </c>
      <c r="AV9" t="str">
        <f t="shared" si="5"/>
        <v/>
      </c>
      <c r="AW9" t="str">
        <f t="shared" si="6"/>
        <v/>
      </c>
      <c r="AX9" t="str">
        <f t="shared" si="7"/>
        <v/>
      </c>
      <c r="AY9" t="str">
        <f t="shared" si="8"/>
        <v/>
      </c>
    </row>
    <row r="10" spans="1:51">
      <c r="B10" s="8"/>
      <c r="AR10" t="str">
        <f t="shared" si="1"/>
        <v/>
      </c>
      <c r="AS10" t="str">
        <f t="shared" si="2"/>
        <v/>
      </c>
      <c r="AT10" t="str">
        <f t="shared" si="3"/>
        <v/>
      </c>
      <c r="AU10" t="str">
        <f t="shared" si="4"/>
        <v/>
      </c>
      <c r="AV10" t="str">
        <f t="shared" si="5"/>
        <v/>
      </c>
      <c r="AW10" t="str">
        <f t="shared" si="6"/>
        <v/>
      </c>
      <c r="AX10" t="str">
        <f t="shared" si="7"/>
        <v/>
      </c>
      <c r="AY10" t="str">
        <f t="shared" si="8"/>
        <v/>
      </c>
    </row>
    <row r="11" spans="1:51">
      <c r="B11" s="8"/>
      <c r="AR11" t="str">
        <f t="shared" si="1"/>
        <v/>
      </c>
      <c r="AS11" t="str">
        <f t="shared" si="2"/>
        <v/>
      </c>
      <c r="AT11" t="str">
        <f t="shared" si="3"/>
        <v/>
      </c>
      <c r="AU11" t="str">
        <f t="shared" si="4"/>
        <v/>
      </c>
      <c r="AV11" t="str">
        <f t="shared" si="5"/>
        <v/>
      </c>
      <c r="AW11" t="str">
        <f t="shared" si="6"/>
        <v/>
      </c>
      <c r="AX11" t="str">
        <f t="shared" si="7"/>
        <v/>
      </c>
      <c r="AY11" t="str">
        <f t="shared" si="8"/>
        <v/>
      </c>
    </row>
    <row r="12" spans="1:51">
      <c r="B12" s="8"/>
      <c r="AR12" t="str">
        <f t="shared" si="1"/>
        <v/>
      </c>
      <c r="AS12" t="str">
        <f t="shared" si="2"/>
        <v/>
      </c>
      <c r="AT12" t="str">
        <f t="shared" si="3"/>
        <v/>
      </c>
      <c r="AU12" t="str">
        <f t="shared" si="4"/>
        <v/>
      </c>
      <c r="AV12" t="str">
        <f t="shared" si="5"/>
        <v/>
      </c>
      <c r="AW12" t="str">
        <f t="shared" si="6"/>
        <v/>
      </c>
      <c r="AX12" t="str">
        <f t="shared" si="7"/>
        <v/>
      </c>
      <c r="AY12" t="str">
        <f t="shared" si="8"/>
        <v/>
      </c>
    </row>
    <row r="13" spans="1:51">
      <c r="B13" s="8"/>
      <c r="AR13" t="str">
        <f t="shared" si="1"/>
        <v/>
      </c>
      <c r="AS13" t="str">
        <f t="shared" si="2"/>
        <v/>
      </c>
      <c r="AT13" t="str">
        <f t="shared" si="3"/>
        <v/>
      </c>
      <c r="AU13" t="str">
        <f t="shared" si="4"/>
        <v/>
      </c>
      <c r="AV13" t="str">
        <f t="shared" si="5"/>
        <v/>
      </c>
      <c r="AW13" t="str">
        <f t="shared" si="6"/>
        <v/>
      </c>
      <c r="AX13" t="str">
        <f t="shared" si="7"/>
        <v/>
      </c>
      <c r="AY13" t="str">
        <f t="shared" si="8"/>
        <v/>
      </c>
    </row>
    <row r="14" spans="1:51">
      <c r="B14" s="8"/>
      <c r="AR14" t="str">
        <f t="shared" si="1"/>
        <v/>
      </c>
      <c r="AS14" t="str">
        <f t="shared" si="2"/>
        <v/>
      </c>
      <c r="AT14" t="str">
        <f t="shared" si="3"/>
        <v/>
      </c>
      <c r="AU14" t="str">
        <f t="shared" si="4"/>
        <v/>
      </c>
      <c r="AV14" t="str">
        <f t="shared" si="5"/>
        <v/>
      </c>
      <c r="AW14" t="str">
        <f t="shared" si="6"/>
        <v/>
      </c>
      <c r="AX14" t="str">
        <f t="shared" si="7"/>
        <v/>
      </c>
      <c r="AY14" t="str">
        <f t="shared" si="8"/>
        <v/>
      </c>
    </row>
    <row r="15" spans="1:51">
      <c r="B15" s="8"/>
      <c r="AR15" t="str">
        <f t="shared" si="1"/>
        <v/>
      </c>
      <c r="AS15" t="str">
        <f t="shared" si="2"/>
        <v/>
      </c>
      <c r="AT15" t="str">
        <f t="shared" si="3"/>
        <v/>
      </c>
      <c r="AU15" t="str">
        <f t="shared" si="4"/>
        <v/>
      </c>
      <c r="AV15" t="str">
        <f t="shared" si="5"/>
        <v/>
      </c>
      <c r="AW15" t="str">
        <f t="shared" si="6"/>
        <v/>
      </c>
      <c r="AX15" t="str">
        <f t="shared" si="7"/>
        <v/>
      </c>
      <c r="AY15" t="str">
        <f t="shared" si="8"/>
        <v/>
      </c>
    </row>
    <row r="16" spans="1:51">
      <c r="B16" s="8"/>
      <c r="AR16" t="str">
        <f t="shared" si="1"/>
        <v/>
      </c>
      <c r="AS16" t="str">
        <f t="shared" si="2"/>
        <v/>
      </c>
      <c r="AT16" t="str">
        <f t="shared" si="3"/>
        <v/>
      </c>
      <c r="AU16" t="str">
        <f t="shared" si="4"/>
        <v/>
      </c>
      <c r="AV16" t="str">
        <f t="shared" si="5"/>
        <v/>
      </c>
      <c r="AW16" t="str">
        <f t="shared" si="6"/>
        <v/>
      </c>
      <c r="AX16" t="str">
        <f t="shared" si="7"/>
        <v/>
      </c>
      <c r="AY16" t="str">
        <f t="shared" si="8"/>
        <v/>
      </c>
    </row>
    <row r="17" spans="2:51">
      <c r="B17" s="8"/>
      <c r="AR17" t="str">
        <f t="shared" si="1"/>
        <v/>
      </c>
      <c r="AS17" t="str">
        <f t="shared" si="2"/>
        <v/>
      </c>
      <c r="AT17" t="str">
        <f t="shared" si="3"/>
        <v/>
      </c>
      <c r="AU17" t="str">
        <f t="shared" si="4"/>
        <v/>
      </c>
      <c r="AV17" t="str">
        <f t="shared" si="5"/>
        <v/>
      </c>
      <c r="AW17" t="str">
        <f t="shared" si="6"/>
        <v/>
      </c>
      <c r="AX17" t="str">
        <f t="shared" si="7"/>
        <v/>
      </c>
      <c r="AY17" t="str">
        <f t="shared" si="8"/>
        <v/>
      </c>
    </row>
    <row r="18" spans="2:51">
      <c r="B18" s="8"/>
      <c r="AR18" t="str">
        <f t="shared" si="1"/>
        <v/>
      </c>
      <c r="AS18" t="str">
        <f t="shared" si="2"/>
        <v/>
      </c>
      <c r="AT18" t="str">
        <f t="shared" si="3"/>
        <v/>
      </c>
      <c r="AU18" t="str">
        <f t="shared" si="4"/>
        <v/>
      </c>
      <c r="AV18" t="str">
        <f t="shared" si="5"/>
        <v/>
      </c>
      <c r="AW18" t="str">
        <f t="shared" si="6"/>
        <v/>
      </c>
      <c r="AX18" t="str">
        <f t="shared" si="7"/>
        <v/>
      </c>
      <c r="AY18" t="str">
        <f t="shared" si="8"/>
        <v/>
      </c>
    </row>
    <row r="19" spans="2:51">
      <c r="B19" s="8"/>
      <c r="AR19" t="str">
        <f t="shared" si="1"/>
        <v/>
      </c>
      <c r="AS19" t="str">
        <f t="shared" si="2"/>
        <v/>
      </c>
      <c r="AT19" t="str">
        <f t="shared" si="3"/>
        <v/>
      </c>
      <c r="AU19" t="str">
        <f t="shared" si="4"/>
        <v/>
      </c>
      <c r="AV19" t="str">
        <f t="shared" si="5"/>
        <v/>
      </c>
      <c r="AW19" t="str">
        <f t="shared" si="6"/>
        <v/>
      </c>
      <c r="AX19" t="str">
        <f t="shared" si="7"/>
        <v/>
      </c>
      <c r="AY19" t="str">
        <f t="shared" si="8"/>
        <v/>
      </c>
    </row>
    <row r="20" spans="2:51">
      <c r="B20" s="8"/>
      <c r="AR20" t="str">
        <f t="shared" si="1"/>
        <v/>
      </c>
      <c r="AS20" t="str">
        <f t="shared" si="2"/>
        <v/>
      </c>
      <c r="AT20" t="str">
        <f t="shared" si="3"/>
        <v/>
      </c>
      <c r="AU20" t="str">
        <f t="shared" si="4"/>
        <v/>
      </c>
      <c r="AV20" t="str">
        <f t="shared" si="5"/>
        <v/>
      </c>
      <c r="AW20" t="str">
        <f t="shared" si="6"/>
        <v/>
      </c>
      <c r="AX20" t="str">
        <f t="shared" si="7"/>
        <v/>
      </c>
      <c r="AY20" t="str">
        <f t="shared" si="8"/>
        <v/>
      </c>
    </row>
    <row r="21" spans="2:51">
      <c r="B21" s="8"/>
      <c r="AR21" t="str">
        <f t="shared" si="1"/>
        <v/>
      </c>
      <c r="AS21" t="str">
        <f t="shared" si="2"/>
        <v/>
      </c>
      <c r="AT21" t="str">
        <f t="shared" si="3"/>
        <v/>
      </c>
      <c r="AU21" t="str">
        <f t="shared" si="4"/>
        <v/>
      </c>
      <c r="AV21" t="str">
        <f t="shared" si="5"/>
        <v/>
      </c>
      <c r="AW21" t="str">
        <f t="shared" si="6"/>
        <v/>
      </c>
      <c r="AX21" t="str">
        <f t="shared" si="7"/>
        <v/>
      </c>
      <c r="AY21" t="str">
        <f t="shared" si="8"/>
        <v/>
      </c>
    </row>
    <row r="22" spans="2:51">
      <c r="B22" s="8"/>
      <c r="AR22" t="str">
        <f t="shared" si="1"/>
        <v/>
      </c>
      <c r="AS22" t="str">
        <f t="shared" si="2"/>
        <v/>
      </c>
      <c r="AT22" t="str">
        <f t="shared" si="3"/>
        <v/>
      </c>
      <c r="AU22" t="str">
        <f t="shared" si="4"/>
        <v/>
      </c>
      <c r="AV22" t="str">
        <f t="shared" si="5"/>
        <v/>
      </c>
      <c r="AW22" t="str">
        <f t="shared" si="6"/>
        <v/>
      </c>
      <c r="AX22" t="str">
        <f t="shared" si="7"/>
        <v/>
      </c>
      <c r="AY22" t="str">
        <f t="shared" si="8"/>
        <v/>
      </c>
    </row>
    <row r="23" spans="2:51">
      <c r="B23" s="8"/>
      <c r="AR23" t="str">
        <f t="shared" si="1"/>
        <v/>
      </c>
      <c r="AS23" t="str">
        <f t="shared" si="2"/>
        <v/>
      </c>
      <c r="AT23" t="str">
        <f t="shared" si="3"/>
        <v/>
      </c>
      <c r="AU23" t="str">
        <f t="shared" si="4"/>
        <v/>
      </c>
      <c r="AV23" t="str">
        <f t="shared" si="5"/>
        <v/>
      </c>
      <c r="AW23" t="str">
        <f t="shared" si="6"/>
        <v/>
      </c>
      <c r="AX23" t="str">
        <f t="shared" si="7"/>
        <v/>
      </c>
      <c r="AY23" t="str">
        <f t="shared" si="8"/>
        <v/>
      </c>
    </row>
    <row r="24" spans="2:51">
      <c r="B24" s="8"/>
      <c r="AR24" t="str">
        <f t="shared" si="1"/>
        <v/>
      </c>
      <c r="AS24" t="str">
        <f t="shared" si="2"/>
        <v/>
      </c>
      <c r="AT24" t="str">
        <f t="shared" si="3"/>
        <v/>
      </c>
      <c r="AU24" t="str">
        <f t="shared" si="4"/>
        <v/>
      </c>
      <c r="AV24" t="str">
        <f t="shared" si="5"/>
        <v/>
      </c>
      <c r="AW24" t="str">
        <f t="shared" si="6"/>
        <v/>
      </c>
      <c r="AX24" t="str">
        <f t="shared" si="7"/>
        <v/>
      </c>
      <c r="AY24" t="str">
        <f t="shared" si="8"/>
        <v/>
      </c>
    </row>
    <row r="25" spans="2:51">
      <c r="B25" s="8"/>
      <c r="AR25" t="str">
        <f t="shared" si="1"/>
        <v/>
      </c>
      <c r="AS25" t="str">
        <f t="shared" si="2"/>
        <v/>
      </c>
      <c r="AT25" t="str">
        <f t="shared" si="3"/>
        <v/>
      </c>
      <c r="AU25" t="str">
        <f t="shared" si="4"/>
        <v/>
      </c>
      <c r="AV25" t="str">
        <f t="shared" si="5"/>
        <v/>
      </c>
      <c r="AW25" t="str">
        <f t="shared" si="6"/>
        <v/>
      </c>
      <c r="AX25" t="str">
        <f t="shared" si="7"/>
        <v/>
      </c>
      <c r="AY25" t="str">
        <f t="shared" si="8"/>
        <v/>
      </c>
    </row>
    <row r="26" spans="2:51">
      <c r="B26" s="8"/>
      <c r="AR26" t="str">
        <f t="shared" si="1"/>
        <v/>
      </c>
      <c r="AS26" t="str">
        <f t="shared" si="2"/>
        <v/>
      </c>
      <c r="AT26" t="str">
        <f t="shared" si="3"/>
        <v/>
      </c>
      <c r="AU26" t="str">
        <f t="shared" si="4"/>
        <v/>
      </c>
      <c r="AV26" t="str">
        <f t="shared" si="5"/>
        <v/>
      </c>
      <c r="AW26" t="str">
        <f t="shared" si="6"/>
        <v/>
      </c>
      <c r="AX26" t="str">
        <f t="shared" si="7"/>
        <v/>
      </c>
      <c r="AY26" t="str">
        <f t="shared" si="8"/>
        <v/>
      </c>
    </row>
    <row r="27" spans="2:51">
      <c r="B27" s="8"/>
      <c r="AR27" t="str">
        <f t="shared" si="1"/>
        <v/>
      </c>
      <c r="AS27" t="str">
        <f t="shared" si="2"/>
        <v/>
      </c>
      <c r="AT27" t="str">
        <f t="shared" si="3"/>
        <v/>
      </c>
      <c r="AU27" t="str">
        <f t="shared" si="4"/>
        <v/>
      </c>
      <c r="AV27" t="str">
        <f t="shared" si="5"/>
        <v/>
      </c>
      <c r="AW27" t="str">
        <f t="shared" si="6"/>
        <v/>
      </c>
      <c r="AX27" t="str">
        <f t="shared" si="7"/>
        <v/>
      </c>
      <c r="AY27" t="str">
        <f t="shared" si="8"/>
        <v/>
      </c>
    </row>
    <row r="28" spans="2:51">
      <c r="B28" s="8"/>
      <c r="AR28" t="str">
        <f t="shared" si="1"/>
        <v/>
      </c>
      <c r="AS28" t="str">
        <f t="shared" si="2"/>
        <v/>
      </c>
      <c r="AT28" t="str">
        <f t="shared" si="3"/>
        <v/>
      </c>
      <c r="AU28" t="str">
        <f t="shared" si="4"/>
        <v/>
      </c>
      <c r="AV28" t="str">
        <f t="shared" si="5"/>
        <v/>
      </c>
      <c r="AW28" t="str">
        <f t="shared" si="6"/>
        <v/>
      </c>
      <c r="AX28" t="str">
        <f t="shared" si="7"/>
        <v/>
      </c>
      <c r="AY28" t="str">
        <f t="shared" si="8"/>
        <v/>
      </c>
    </row>
    <row r="29" spans="2:51">
      <c r="B29" s="8"/>
      <c r="AR29" t="str">
        <f t="shared" si="1"/>
        <v/>
      </c>
      <c r="AS29" t="str">
        <f t="shared" si="2"/>
        <v/>
      </c>
      <c r="AT29" t="str">
        <f t="shared" si="3"/>
        <v/>
      </c>
      <c r="AU29" t="str">
        <f t="shared" si="4"/>
        <v/>
      </c>
      <c r="AV29" t="str">
        <f t="shared" si="5"/>
        <v/>
      </c>
      <c r="AW29" t="str">
        <f t="shared" si="6"/>
        <v/>
      </c>
      <c r="AX29" t="str">
        <f t="shared" si="7"/>
        <v/>
      </c>
      <c r="AY29" t="str">
        <f t="shared" si="8"/>
        <v/>
      </c>
    </row>
    <row r="30" spans="2:51">
      <c r="B30" s="8"/>
      <c r="AR30" t="str">
        <f t="shared" si="1"/>
        <v/>
      </c>
      <c r="AS30" t="str">
        <f t="shared" si="2"/>
        <v/>
      </c>
      <c r="AT30" t="str">
        <f t="shared" si="3"/>
        <v/>
      </c>
      <c r="AU30" t="str">
        <f t="shared" si="4"/>
        <v/>
      </c>
      <c r="AV30" t="str">
        <f t="shared" si="5"/>
        <v/>
      </c>
      <c r="AW30" t="str">
        <f t="shared" si="6"/>
        <v/>
      </c>
      <c r="AX30" t="str">
        <f t="shared" si="7"/>
        <v/>
      </c>
      <c r="AY30" t="str">
        <f t="shared" si="8"/>
        <v/>
      </c>
    </row>
    <row r="31" spans="2:51">
      <c r="B31" s="8"/>
      <c r="AR31" t="str">
        <f t="shared" si="1"/>
        <v/>
      </c>
      <c r="AS31" t="str">
        <f t="shared" si="2"/>
        <v/>
      </c>
      <c r="AT31" t="str">
        <f t="shared" si="3"/>
        <v/>
      </c>
      <c r="AU31" t="str">
        <f t="shared" si="4"/>
        <v/>
      </c>
      <c r="AV31" t="str">
        <f t="shared" si="5"/>
        <v/>
      </c>
      <c r="AW31" t="str">
        <f t="shared" si="6"/>
        <v/>
      </c>
      <c r="AX31" t="str">
        <f t="shared" si="7"/>
        <v/>
      </c>
      <c r="AY31" t="str">
        <f t="shared" si="8"/>
        <v/>
      </c>
    </row>
    <row r="32" spans="2:51">
      <c r="B32" s="8"/>
      <c r="AR32" t="str">
        <f t="shared" si="1"/>
        <v/>
      </c>
      <c r="AS32" t="str">
        <f t="shared" si="2"/>
        <v/>
      </c>
      <c r="AT32" t="str">
        <f t="shared" si="3"/>
        <v/>
      </c>
      <c r="AU32" t="str">
        <f t="shared" si="4"/>
        <v/>
      </c>
      <c r="AV32" t="str">
        <f t="shared" si="5"/>
        <v/>
      </c>
      <c r="AW32" t="str">
        <f t="shared" si="6"/>
        <v/>
      </c>
      <c r="AX32" t="str">
        <f t="shared" si="7"/>
        <v/>
      </c>
      <c r="AY32" t="str">
        <f t="shared" si="8"/>
        <v/>
      </c>
    </row>
    <row r="33" spans="2:51">
      <c r="B33" s="8"/>
      <c r="AR33" t="str">
        <f t="shared" si="1"/>
        <v/>
      </c>
      <c r="AS33" t="str">
        <f t="shared" si="2"/>
        <v/>
      </c>
      <c r="AT33" t="str">
        <f t="shared" si="3"/>
        <v/>
      </c>
      <c r="AU33" t="str">
        <f t="shared" si="4"/>
        <v/>
      </c>
      <c r="AV33" t="str">
        <f t="shared" si="5"/>
        <v/>
      </c>
      <c r="AW33" t="str">
        <f t="shared" si="6"/>
        <v/>
      </c>
      <c r="AX33" t="str">
        <f t="shared" si="7"/>
        <v/>
      </c>
      <c r="AY33" t="str">
        <f t="shared" si="8"/>
        <v/>
      </c>
    </row>
    <row r="34" spans="2:51">
      <c r="B34" s="8"/>
      <c r="AR34" t="str">
        <f t="shared" si="1"/>
        <v/>
      </c>
      <c r="AS34" t="str">
        <f t="shared" si="2"/>
        <v/>
      </c>
      <c r="AT34" t="str">
        <f t="shared" si="3"/>
        <v/>
      </c>
      <c r="AU34" t="str">
        <f t="shared" si="4"/>
        <v/>
      </c>
      <c r="AV34" t="str">
        <f t="shared" si="5"/>
        <v/>
      </c>
      <c r="AW34" t="str">
        <f t="shared" si="6"/>
        <v/>
      </c>
      <c r="AX34" t="str">
        <f t="shared" si="7"/>
        <v/>
      </c>
      <c r="AY34" t="str">
        <f t="shared" si="8"/>
        <v/>
      </c>
    </row>
    <row r="35" spans="2:51">
      <c r="B35" s="8"/>
      <c r="AR35" t="str">
        <f t="shared" si="1"/>
        <v/>
      </c>
      <c r="AS35" t="str">
        <f t="shared" si="2"/>
        <v/>
      </c>
      <c r="AT35" t="str">
        <f t="shared" si="3"/>
        <v/>
      </c>
      <c r="AU35" t="str">
        <f t="shared" si="4"/>
        <v/>
      </c>
      <c r="AV35" t="str">
        <f t="shared" si="5"/>
        <v/>
      </c>
      <c r="AW35" t="str">
        <f t="shared" si="6"/>
        <v/>
      </c>
      <c r="AX35" t="str">
        <f t="shared" si="7"/>
        <v/>
      </c>
      <c r="AY35" t="str">
        <f t="shared" si="8"/>
        <v/>
      </c>
    </row>
    <row r="36" spans="2:51">
      <c r="B36" s="8"/>
      <c r="AR36" t="str">
        <f t="shared" si="1"/>
        <v/>
      </c>
      <c r="AS36" t="str">
        <f t="shared" si="2"/>
        <v/>
      </c>
      <c r="AT36" t="str">
        <f t="shared" si="3"/>
        <v/>
      </c>
      <c r="AU36" t="str">
        <f t="shared" si="4"/>
        <v/>
      </c>
      <c r="AV36" t="str">
        <f t="shared" si="5"/>
        <v/>
      </c>
      <c r="AW36" t="str">
        <f t="shared" si="6"/>
        <v/>
      </c>
      <c r="AX36" t="str">
        <f t="shared" si="7"/>
        <v/>
      </c>
      <c r="AY36" t="str">
        <f t="shared" si="8"/>
        <v/>
      </c>
    </row>
    <row r="37" spans="2:51">
      <c r="B37" s="8"/>
      <c r="AR37" t="str">
        <f t="shared" si="1"/>
        <v/>
      </c>
      <c r="AS37" t="str">
        <f t="shared" si="2"/>
        <v/>
      </c>
      <c r="AT37" t="str">
        <f t="shared" si="3"/>
        <v/>
      </c>
      <c r="AU37" t="str">
        <f t="shared" si="4"/>
        <v/>
      </c>
      <c r="AV37" t="str">
        <f t="shared" si="5"/>
        <v/>
      </c>
      <c r="AW37" t="str">
        <f t="shared" si="6"/>
        <v/>
      </c>
      <c r="AX37" t="str">
        <f t="shared" si="7"/>
        <v/>
      </c>
      <c r="AY37" t="str">
        <f t="shared" si="8"/>
        <v/>
      </c>
    </row>
    <row r="38" spans="2:51">
      <c r="B38" s="8"/>
      <c r="AR38" t="str">
        <f t="shared" ref="AR38:AR69" si="9">IF(C38="","",SUM(H38,N38,T38,Z38,AF38,AL38))</f>
        <v/>
      </c>
      <c r="AS38" t="str">
        <f t="shared" ref="AS38:AS69" si="10">IF(C38="","",SUM(I38,O38,U38,AA38,AG38,AM38))</f>
        <v/>
      </c>
      <c r="AT38" t="str">
        <f t="shared" ref="AT38:AT69" si="11">IF(C38="","",SUM(J38,P38,V38,AB38,AH38,AN38))</f>
        <v/>
      </c>
      <c r="AU38" t="str">
        <f t="shared" ref="AU38:AU69" si="12">IF(C38="","",SUM(K38,Q38,W38,AC38,AI38,AO38))</f>
        <v/>
      </c>
      <c r="AV38" t="str">
        <f t="shared" ref="AV38:AV69" si="13">IF(C38="","",SUM(L38,R38,X38,AD38,AJ38,AP38))</f>
        <v/>
      </c>
      <c r="AW38" t="str">
        <f t="shared" ref="AW38:AW69" si="14">IF(C38="","",SUM(M38,S38,Y38,AE38,AK38,AQ38))</f>
        <v/>
      </c>
      <c r="AX38" t="str">
        <f t="shared" ref="AX38:AX69" si="15">IF(C38="","",_xludf.CONCAT(IF(AR38&gt;=LARGE(AR38:AW38,3),"R",""),IF(AS38&gt;=LARGE(AR38:AW38,3),"I",""),IF(AT38&gt;=LARGE(AR38:AW38,3),"A",""),IF(AU38&gt;=LARGE(AR38:AW38,3),"S",""),IF(AV38&gt;=LARGE(AR38:AW38,3),"E",""),IF(AW38&gt;=LARGE(AR38:AW38,3),"C","")))</f>
        <v/>
      </c>
      <c r="AY38" t="str">
        <f t="shared" ref="AY38:AY69" si="16">IF(C38="","",IF(AR38=MAX(AR38:AW38),"นักปฏิบัติ",IF(AS38=MAX(AR38:AW38),"นักคิดวิเคราะห์",IF(AT38=MAX(AR38:AW38),"นักสร้างสรรค์",IF(AU38=MAX(AR38:AW38),"ผู้เข้าใจผู้คน",IF(AV38=MAX(AR38:AW38),"ผู้นำการเปลี่ยนแปลง","ผู้จัดระบบ"))))))</f>
        <v/>
      </c>
    </row>
    <row r="39" spans="2:51">
      <c r="B39" s="8"/>
      <c r="AR39" t="str">
        <f t="shared" si="9"/>
        <v/>
      </c>
      <c r="AS39" t="str">
        <f t="shared" si="10"/>
        <v/>
      </c>
      <c r="AT39" t="str">
        <f t="shared" si="11"/>
        <v/>
      </c>
      <c r="AU39" t="str">
        <f t="shared" si="12"/>
        <v/>
      </c>
      <c r="AV39" t="str">
        <f t="shared" si="13"/>
        <v/>
      </c>
      <c r="AW39" t="str">
        <f t="shared" si="14"/>
        <v/>
      </c>
      <c r="AX39" t="str">
        <f t="shared" si="15"/>
        <v/>
      </c>
      <c r="AY39" t="str">
        <f t="shared" si="16"/>
        <v/>
      </c>
    </row>
    <row r="40" spans="2:51">
      <c r="B40" s="8"/>
      <c r="AR40" t="str">
        <f t="shared" si="9"/>
        <v/>
      </c>
      <c r="AS40" t="str">
        <f t="shared" si="10"/>
        <v/>
      </c>
      <c r="AT40" t="str">
        <f t="shared" si="11"/>
        <v/>
      </c>
      <c r="AU40" t="str">
        <f t="shared" si="12"/>
        <v/>
      </c>
      <c r="AV40" t="str">
        <f t="shared" si="13"/>
        <v/>
      </c>
      <c r="AW40" t="str">
        <f t="shared" si="14"/>
        <v/>
      </c>
      <c r="AX40" t="str">
        <f t="shared" si="15"/>
        <v/>
      </c>
      <c r="AY40" t="str">
        <f t="shared" si="16"/>
        <v/>
      </c>
    </row>
    <row r="41" spans="2:51">
      <c r="B41" s="8"/>
      <c r="AR41" t="str">
        <f t="shared" si="9"/>
        <v/>
      </c>
      <c r="AS41" t="str">
        <f t="shared" si="10"/>
        <v/>
      </c>
      <c r="AT41" t="str">
        <f t="shared" si="11"/>
        <v/>
      </c>
      <c r="AU41" t="str">
        <f t="shared" si="12"/>
        <v/>
      </c>
      <c r="AV41" t="str">
        <f t="shared" si="13"/>
        <v/>
      </c>
      <c r="AW41" t="str">
        <f t="shared" si="14"/>
        <v/>
      </c>
      <c r="AX41" t="str">
        <f t="shared" si="15"/>
        <v/>
      </c>
      <c r="AY41" t="str">
        <f t="shared" si="16"/>
        <v/>
      </c>
    </row>
    <row r="42" spans="2:51">
      <c r="B42" s="8"/>
      <c r="AR42" t="str">
        <f t="shared" si="9"/>
        <v/>
      </c>
      <c r="AS42" t="str">
        <f t="shared" si="10"/>
        <v/>
      </c>
      <c r="AT42" t="str">
        <f t="shared" si="11"/>
        <v/>
      </c>
      <c r="AU42" t="str">
        <f t="shared" si="12"/>
        <v/>
      </c>
      <c r="AV42" t="str">
        <f t="shared" si="13"/>
        <v/>
      </c>
      <c r="AW42" t="str">
        <f t="shared" si="14"/>
        <v/>
      </c>
      <c r="AX42" t="str">
        <f t="shared" si="15"/>
        <v/>
      </c>
      <c r="AY42" t="str">
        <f t="shared" si="16"/>
        <v/>
      </c>
    </row>
    <row r="43" spans="2:51">
      <c r="B43" s="8"/>
      <c r="AR43" t="str">
        <f t="shared" si="9"/>
        <v/>
      </c>
      <c r="AS43" t="str">
        <f t="shared" si="10"/>
        <v/>
      </c>
      <c r="AT43" t="str">
        <f t="shared" si="11"/>
        <v/>
      </c>
      <c r="AU43" t="str">
        <f t="shared" si="12"/>
        <v/>
      </c>
      <c r="AV43" t="str">
        <f t="shared" si="13"/>
        <v/>
      </c>
      <c r="AW43" t="str">
        <f t="shared" si="14"/>
        <v/>
      </c>
      <c r="AX43" t="str">
        <f t="shared" si="15"/>
        <v/>
      </c>
      <c r="AY43" t="str">
        <f t="shared" si="16"/>
        <v/>
      </c>
    </row>
    <row r="44" spans="2:51">
      <c r="B44" s="8"/>
      <c r="AR44" t="str">
        <f t="shared" si="9"/>
        <v/>
      </c>
      <c r="AS44" t="str">
        <f t="shared" si="10"/>
        <v/>
      </c>
      <c r="AT44" t="str">
        <f t="shared" si="11"/>
        <v/>
      </c>
      <c r="AU44" t="str">
        <f t="shared" si="12"/>
        <v/>
      </c>
      <c r="AV44" t="str">
        <f t="shared" si="13"/>
        <v/>
      </c>
      <c r="AW44" t="str">
        <f t="shared" si="14"/>
        <v/>
      </c>
      <c r="AX44" t="str">
        <f t="shared" si="15"/>
        <v/>
      </c>
      <c r="AY44" t="str">
        <f t="shared" si="16"/>
        <v/>
      </c>
    </row>
    <row r="45" spans="2:51">
      <c r="B45" s="8"/>
      <c r="AR45" t="str">
        <f t="shared" si="9"/>
        <v/>
      </c>
      <c r="AS45" t="str">
        <f t="shared" si="10"/>
        <v/>
      </c>
      <c r="AT45" t="str">
        <f t="shared" si="11"/>
        <v/>
      </c>
      <c r="AU45" t="str">
        <f t="shared" si="12"/>
        <v/>
      </c>
      <c r="AV45" t="str">
        <f t="shared" si="13"/>
        <v/>
      </c>
      <c r="AW45" t="str">
        <f t="shared" si="14"/>
        <v/>
      </c>
      <c r="AX45" t="str">
        <f t="shared" si="15"/>
        <v/>
      </c>
      <c r="AY45" t="str">
        <f t="shared" si="16"/>
        <v/>
      </c>
    </row>
    <row r="46" spans="2:51">
      <c r="B46" s="8"/>
      <c r="AR46" t="str">
        <f t="shared" si="9"/>
        <v/>
      </c>
      <c r="AS46" t="str">
        <f t="shared" si="10"/>
        <v/>
      </c>
      <c r="AT46" t="str">
        <f t="shared" si="11"/>
        <v/>
      </c>
      <c r="AU46" t="str">
        <f t="shared" si="12"/>
        <v/>
      </c>
      <c r="AV46" t="str">
        <f t="shared" si="13"/>
        <v/>
      </c>
      <c r="AW46" t="str">
        <f t="shared" si="14"/>
        <v/>
      </c>
      <c r="AX46" t="str">
        <f t="shared" si="15"/>
        <v/>
      </c>
      <c r="AY46" t="str">
        <f t="shared" si="16"/>
        <v/>
      </c>
    </row>
    <row r="47" spans="2:51">
      <c r="B47" s="8"/>
      <c r="AR47" t="str">
        <f t="shared" si="9"/>
        <v/>
      </c>
      <c r="AS47" t="str">
        <f t="shared" si="10"/>
        <v/>
      </c>
      <c r="AT47" t="str">
        <f t="shared" si="11"/>
        <v/>
      </c>
      <c r="AU47" t="str">
        <f t="shared" si="12"/>
        <v/>
      </c>
      <c r="AV47" t="str">
        <f t="shared" si="13"/>
        <v/>
      </c>
      <c r="AW47" t="str">
        <f t="shared" si="14"/>
        <v/>
      </c>
      <c r="AX47" t="str">
        <f t="shared" si="15"/>
        <v/>
      </c>
      <c r="AY47" t="str">
        <f t="shared" si="16"/>
        <v/>
      </c>
    </row>
    <row r="48" spans="2:51">
      <c r="B48" s="8"/>
      <c r="AR48" t="str">
        <f t="shared" si="9"/>
        <v/>
      </c>
      <c r="AS48" t="str">
        <f t="shared" si="10"/>
        <v/>
      </c>
      <c r="AT48" t="str">
        <f t="shared" si="11"/>
        <v/>
      </c>
      <c r="AU48" t="str">
        <f t="shared" si="12"/>
        <v/>
      </c>
      <c r="AV48" t="str">
        <f t="shared" si="13"/>
        <v/>
      </c>
      <c r="AW48" t="str">
        <f t="shared" si="14"/>
        <v/>
      </c>
      <c r="AX48" t="str">
        <f t="shared" si="15"/>
        <v/>
      </c>
      <c r="AY48" t="str">
        <f t="shared" si="16"/>
        <v/>
      </c>
    </row>
    <row r="49" spans="2:51">
      <c r="B49" s="8"/>
      <c r="AR49" t="str">
        <f t="shared" si="9"/>
        <v/>
      </c>
      <c r="AS49" t="str">
        <f t="shared" si="10"/>
        <v/>
      </c>
      <c r="AT49" t="str">
        <f t="shared" si="11"/>
        <v/>
      </c>
      <c r="AU49" t="str">
        <f t="shared" si="12"/>
        <v/>
      </c>
      <c r="AV49" t="str">
        <f t="shared" si="13"/>
        <v/>
      </c>
      <c r="AW49" t="str">
        <f t="shared" si="14"/>
        <v/>
      </c>
      <c r="AX49" t="str">
        <f t="shared" si="15"/>
        <v/>
      </c>
      <c r="AY49" t="str">
        <f t="shared" si="16"/>
        <v/>
      </c>
    </row>
    <row r="50" spans="2:51">
      <c r="B50" s="8"/>
      <c r="AR50" t="str">
        <f t="shared" si="9"/>
        <v/>
      </c>
      <c r="AS50" t="str">
        <f t="shared" si="10"/>
        <v/>
      </c>
      <c r="AT50" t="str">
        <f t="shared" si="11"/>
        <v/>
      </c>
      <c r="AU50" t="str">
        <f t="shared" si="12"/>
        <v/>
      </c>
      <c r="AV50" t="str">
        <f t="shared" si="13"/>
        <v/>
      </c>
      <c r="AW50" t="str">
        <f t="shared" si="14"/>
        <v/>
      </c>
      <c r="AX50" t="str">
        <f t="shared" si="15"/>
        <v/>
      </c>
      <c r="AY50" t="str">
        <f t="shared" si="16"/>
        <v/>
      </c>
    </row>
    <row r="51" spans="2:51">
      <c r="B51" s="8"/>
      <c r="AR51" t="str">
        <f t="shared" si="9"/>
        <v/>
      </c>
      <c r="AS51" t="str">
        <f t="shared" si="10"/>
        <v/>
      </c>
      <c r="AT51" t="str">
        <f t="shared" si="11"/>
        <v/>
      </c>
      <c r="AU51" t="str">
        <f t="shared" si="12"/>
        <v/>
      </c>
      <c r="AV51" t="str">
        <f t="shared" si="13"/>
        <v/>
      </c>
      <c r="AW51" t="str">
        <f t="shared" si="14"/>
        <v/>
      </c>
      <c r="AX51" t="str">
        <f t="shared" si="15"/>
        <v/>
      </c>
      <c r="AY51" t="str">
        <f t="shared" si="16"/>
        <v/>
      </c>
    </row>
    <row r="52" spans="2:51">
      <c r="B52" s="8"/>
      <c r="AR52" t="str">
        <f t="shared" si="9"/>
        <v/>
      </c>
      <c r="AS52" t="str">
        <f t="shared" si="10"/>
        <v/>
      </c>
      <c r="AT52" t="str">
        <f t="shared" si="11"/>
        <v/>
      </c>
      <c r="AU52" t="str">
        <f t="shared" si="12"/>
        <v/>
      </c>
      <c r="AV52" t="str">
        <f t="shared" si="13"/>
        <v/>
      </c>
      <c r="AW52" t="str">
        <f t="shared" si="14"/>
        <v/>
      </c>
      <c r="AX52" t="str">
        <f t="shared" si="15"/>
        <v/>
      </c>
      <c r="AY52" t="str">
        <f t="shared" si="16"/>
        <v/>
      </c>
    </row>
    <row r="53" spans="2:51">
      <c r="B53" s="8"/>
      <c r="AR53" t="str">
        <f t="shared" si="9"/>
        <v/>
      </c>
      <c r="AS53" t="str">
        <f t="shared" si="10"/>
        <v/>
      </c>
      <c r="AT53" t="str">
        <f t="shared" si="11"/>
        <v/>
      </c>
      <c r="AU53" t="str">
        <f t="shared" si="12"/>
        <v/>
      </c>
      <c r="AV53" t="str">
        <f t="shared" si="13"/>
        <v/>
      </c>
      <c r="AW53" t="str">
        <f t="shared" si="14"/>
        <v/>
      </c>
      <c r="AX53" t="str">
        <f t="shared" si="15"/>
        <v/>
      </c>
      <c r="AY53" t="str">
        <f t="shared" si="16"/>
        <v/>
      </c>
    </row>
    <row r="54" spans="2:51">
      <c r="B54" s="8"/>
      <c r="AR54" t="str">
        <f t="shared" si="9"/>
        <v/>
      </c>
      <c r="AS54" t="str">
        <f t="shared" si="10"/>
        <v/>
      </c>
      <c r="AT54" t="str">
        <f t="shared" si="11"/>
        <v/>
      </c>
      <c r="AU54" t="str">
        <f t="shared" si="12"/>
        <v/>
      </c>
      <c r="AV54" t="str">
        <f t="shared" si="13"/>
        <v/>
      </c>
      <c r="AW54" t="str">
        <f t="shared" si="14"/>
        <v/>
      </c>
      <c r="AX54" t="str">
        <f t="shared" si="15"/>
        <v/>
      </c>
      <c r="AY54" t="str">
        <f t="shared" si="16"/>
        <v/>
      </c>
    </row>
    <row r="55" spans="2:51">
      <c r="B55" s="8"/>
      <c r="AR55" t="str">
        <f t="shared" si="9"/>
        <v/>
      </c>
      <c r="AS55" t="str">
        <f t="shared" si="10"/>
        <v/>
      </c>
      <c r="AT55" t="str">
        <f t="shared" si="11"/>
        <v/>
      </c>
      <c r="AU55" t="str">
        <f t="shared" si="12"/>
        <v/>
      </c>
      <c r="AV55" t="str">
        <f t="shared" si="13"/>
        <v/>
      </c>
      <c r="AW55" t="str">
        <f t="shared" si="14"/>
        <v/>
      </c>
      <c r="AX55" t="str">
        <f t="shared" si="15"/>
        <v/>
      </c>
      <c r="AY55" t="str">
        <f t="shared" si="16"/>
        <v/>
      </c>
    </row>
    <row r="56" spans="2:51">
      <c r="B56" s="8"/>
      <c r="AR56" t="str">
        <f t="shared" si="9"/>
        <v/>
      </c>
      <c r="AS56" t="str">
        <f t="shared" si="10"/>
        <v/>
      </c>
      <c r="AT56" t="str">
        <f t="shared" si="11"/>
        <v/>
      </c>
      <c r="AU56" t="str">
        <f t="shared" si="12"/>
        <v/>
      </c>
      <c r="AV56" t="str">
        <f t="shared" si="13"/>
        <v/>
      </c>
      <c r="AW56" t="str">
        <f t="shared" si="14"/>
        <v/>
      </c>
      <c r="AX56" t="str">
        <f t="shared" si="15"/>
        <v/>
      </c>
      <c r="AY56" t="str">
        <f t="shared" si="16"/>
        <v/>
      </c>
    </row>
    <row r="57" spans="2:51">
      <c r="B57" s="8"/>
      <c r="AR57" t="str">
        <f t="shared" si="9"/>
        <v/>
      </c>
      <c r="AS57" t="str">
        <f t="shared" si="10"/>
        <v/>
      </c>
      <c r="AT57" t="str">
        <f t="shared" si="11"/>
        <v/>
      </c>
      <c r="AU57" t="str">
        <f t="shared" si="12"/>
        <v/>
      </c>
      <c r="AV57" t="str">
        <f t="shared" si="13"/>
        <v/>
      </c>
      <c r="AW57" t="str">
        <f t="shared" si="14"/>
        <v/>
      </c>
      <c r="AX57" t="str">
        <f t="shared" si="15"/>
        <v/>
      </c>
      <c r="AY57" t="str">
        <f t="shared" si="16"/>
        <v/>
      </c>
    </row>
    <row r="58" spans="2:51">
      <c r="B58" s="8"/>
      <c r="AR58" t="str">
        <f t="shared" si="9"/>
        <v/>
      </c>
      <c r="AS58" t="str">
        <f t="shared" si="10"/>
        <v/>
      </c>
      <c r="AT58" t="str">
        <f t="shared" si="11"/>
        <v/>
      </c>
      <c r="AU58" t="str">
        <f t="shared" si="12"/>
        <v/>
      </c>
      <c r="AV58" t="str">
        <f t="shared" si="13"/>
        <v/>
      </c>
      <c r="AW58" t="str">
        <f t="shared" si="14"/>
        <v/>
      </c>
      <c r="AX58" t="str">
        <f t="shared" si="15"/>
        <v/>
      </c>
      <c r="AY58" t="str">
        <f t="shared" si="16"/>
        <v/>
      </c>
    </row>
    <row r="59" spans="2:51">
      <c r="B59" s="8"/>
      <c r="AR59" t="str">
        <f t="shared" si="9"/>
        <v/>
      </c>
      <c r="AS59" t="str">
        <f t="shared" si="10"/>
        <v/>
      </c>
      <c r="AT59" t="str">
        <f t="shared" si="11"/>
        <v/>
      </c>
      <c r="AU59" t="str">
        <f t="shared" si="12"/>
        <v/>
      </c>
      <c r="AV59" t="str">
        <f t="shared" si="13"/>
        <v/>
      </c>
      <c r="AW59" t="str">
        <f t="shared" si="14"/>
        <v/>
      </c>
      <c r="AX59" t="str">
        <f t="shared" si="15"/>
        <v/>
      </c>
      <c r="AY59" t="str">
        <f t="shared" si="16"/>
        <v/>
      </c>
    </row>
    <row r="60" spans="2:51">
      <c r="B60" s="8"/>
      <c r="AR60" t="str">
        <f t="shared" si="9"/>
        <v/>
      </c>
      <c r="AS60" t="str">
        <f t="shared" si="10"/>
        <v/>
      </c>
      <c r="AT60" t="str">
        <f t="shared" si="11"/>
        <v/>
      </c>
      <c r="AU60" t="str">
        <f t="shared" si="12"/>
        <v/>
      </c>
      <c r="AV60" t="str">
        <f t="shared" si="13"/>
        <v/>
      </c>
      <c r="AW60" t="str">
        <f t="shared" si="14"/>
        <v/>
      </c>
      <c r="AX60" t="str">
        <f t="shared" si="15"/>
        <v/>
      </c>
      <c r="AY60" t="str">
        <f t="shared" si="16"/>
        <v/>
      </c>
    </row>
    <row r="61" spans="2:51">
      <c r="B61" s="8"/>
      <c r="AR61" t="str">
        <f t="shared" si="9"/>
        <v/>
      </c>
      <c r="AS61" t="str">
        <f t="shared" si="10"/>
        <v/>
      </c>
      <c r="AT61" t="str">
        <f t="shared" si="11"/>
        <v/>
      </c>
      <c r="AU61" t="str">
        <f t="shared" si="12"/>
        <v/>
      </c>
      <c r="AV61" t="str">
        <f t="shared" si="13"/>
        <v/>
      </c>
      <c r="AW61" t="str">
        <f t="shared" si="14"/>
        <v/>
      </c>
      <c r="AX61" t="str">
        <f t="shared" si="15"/>
        <v/>
      </c>
      <c r="AY61" t="str">
        <f t="shared" si="16"/>
        <v/>
      </c>
    </row>
    <row r="62" spans="2:51">
      <c r="B62" s="8"/>
      <c r="AR62" t="str">
        <f t="shared" si="9"/>
        <v/>
      </c>
      <c r="AS62" t="str">
        <f t="shared" si="10"/>
        <v/>
      </c>
      <c r="AT62" t="str">
        <f t="shared" si="11"/>
        <v/>
      </c>
      <c r="AU62" t="str">
        <f t="shared" si="12"/>
        <v/>
      </c>
      <c r="AV62" t="str">
        <f t="shared" si="13"/>
        <v/>
      </c>
      <c r="AW62" t="str">
        <f t="shared" si="14"/>
        <v/>
      </c>
      <c r="AX62" t="str">
        <f t="shared" si="15"/>
        <v/>
      </c>
      <c r="AY62" t="str">
        <f t="shared" si="16"/>
        <v/>
      </c>
    </row>
    <row r="63" spans="2:51">
      <c r="B63" s="8"/>
      <c r="AR63" t="str">
        <f t="shared" si="9"/>
        <v/>
      </c>
      <c r="AS63" t="str">
        <f t="shared" si="10"/>
        <v/>
      </c>
      <c r="AT63" t="str">
        <f t="shared" si="11"/>
        <v/>
      </c>
      <c r="AU63" t="str">
        <f t="shared" si="12"/>
        <v/>
      </c>
      <c r="AV63" t="str">
        <f t="shared" si="13"/>
        <v/>
      </c>
      <c r="AW63" t="str">
        <f t="shared" si="14"/>
        <v/>
      </c>
      <c r="AX63" t="str">
        <f t="shared" si="15"/>
        <v/>
      </c>
      <c r="AY63" t="str">
        <f t="shared" si="16"/>
        <v/>
      </c>
    </row>
    <row r="64" spans="2:51">
      <c r="B64" s="8"/>
      <c r="AR64" t="str">
        <f t="shared" si="9"/>
        <v/>
      </c>
      <c r="AS64" t="str">
        <f t="shared" si="10"/>
        <v/>
      </c>
      <c r="AT64" t="str">
        <f t="shared" si="11"/>
        <v/>
      </c>
      <c r="AU64" t="str">
        <f t="shared" si="12"/>
        <v/>
      </c>
      <c r="AV64" t="str">
        <f t="shared" si="13"/>
        <v/>
      </c>
      <c r="AW64" t="str">
        <f t="shared" si="14"/>
        <v/>
      </c>
      <c r="AX64" t="str">
        <f t="shared" si="15"/>
        <v/>
      </c>
      <c r="AY64" t="str">
        <f t="shared" si="16"/>
        <v/>
      </c>
    </row>
    <row r="65" spans="2:51">
      <c r="B65" s="8"/>
      <c r="AR65" t="str">
        <f t="shared" si="9"/>
        <v/>
      </c>
      <c r="AS65" t="str">
        <f t="shared" si="10"/>
        <v/>
      </c>
      <c r="AT65" t="str">
        <f t="shared" si="11"/>
        <v/>
      </c>
      <c r="AU65" t="str">
        <f t="shared" si="12"/>
        <v/>
      </c>
      <c r="AV65" t="str">
        <f t="shared" si="13"/>
        <v/>
      </c>
      <c r="AW65" t="str">
        <f t="shared" si="14"/>
        <v/>
      </c>
      <c r="AX65" t="str">
        <f t="shared" si="15"/>
        <v/>
      </c>
      <c r="AY65" t="str">
        <f t="shared" si="16"/>
        <v/>
      </c>
    </row>
    <row r="66" spans="2:51">
      <c r="B66" s="8"/>
      <c r="AR66" t="str">
        <f t="shared" si="9"/>
        <v/>
      </c>
      <c r="AS66" t="str">
        <f t="shared" si="10"/>
        <v/>
      </c>
      <c r="AT66" t="str">
        <f t="shared" si="11"/>
        <v/>
      </c>
      <c r="AU66" t="str">
        <f t="shared" si="12"/>
        <v/>
      </c>
      <c r="AV66" t="str">
        <f t="shared" si="13"/>
        <v/>
      </c>
      <c r="AW66" t="str">
        <f t="shared" si="14"/>
        <v/>
      </c>
      <c r="AX66" t="str">
        <f t="shared" si="15"/>
        <v/>
      </c>
      <c r="AY66" t="str">
        <f t="shared" si="16"/>
        <v/>
      </c>
    </row>
    <row r="67" spans="2:51">
      <c r="B67" s="8"/>
      <c r="AR67" t="str">
        <f t="shared" si="9"/>
        <v/>
      </c>
      <c r="AS67" t="str">
        <f t="shared" si="10"/>
        <v/>
      </c>
      <c r="AT67" t="str">
        <f t="shared" si="11"/>
        <v/>
      </c>
      <c r="AU67" t="str">
        <f t="shared" si="12"/>
        <v/>
      </c>
      <c r="AV67" t="str">
        <f t="shared" si="13"/>
        <v/>
      </c>
      <c r="AW67" t="str">
        <f t="shared" si="14"/>
        <v/>
      </c>
      <c r="AX67" t="str">
        <f t="shared" si="15"/>
        <v/>
      </c>
      <c r="AY67" t="str">
        <f t="shared" si="16"/>
        <v/>
      </c>
    </row>
    <row r="68" spans="2:51">
      <c r="B68" s="8"/>
      <c r="AR68" t="str">
        <f t="shared" si="9"/>
        <v/>
      </c>
      <c r="AS68" t="str">
        <f t="shared" si="10"/>
        <v/>
      </c>
      <c r="AT68" t="str">
        <f t="shared" si="11"/>
        <v/>
      </c>
      <c r="AU68" t="str">
        <f t="shared" si="12"/>
        <v/>
      </c>
      <c r="AV68" t="str">
        <f t="shared" si="13"/>
        <v/>
      </c>
      <c r="AW68" t="str">
        <f t="shared" si="14"/>
        <v/>
      </c>
      <c r="AX68" t="str">
        <f t="shared" si="15"/>
        <v/>
      </c>
      <c r="AY68" t="str">
        <f t="shared" si="16"/>
        <v/>
      </c>
    </row>
    <row r="69" spans="2:51">
      <c r="B69" s="8"/>
      <c r="AR69" t="str">
        <f t="shared" si="9"/>
        <v/>
      </c>
      <c r="AS69" t="str">
        <f t="shared" si="10"/>
        <v/>
      </c>
      <c r="AT69" t="str">
        <f t="shared" si="11"/>
        <v/>
      </c>
      <c r="AU69" t="str">
        <f t="shared" si="12"/>
        <v/>
      </c>
      <c r="AV69" t="str">
        <f t="shared" si="13"/>
        <v/>
      </c>
      <c r="AW69" t="str">
        <f t="shared" si="14"/>
        <v/>
      </c>
      <c r="AX69" t="str">
        <f t="shared" si="15"/>
        <v/>
      </c>
      <c r="AY69" t="str">
        <f t="shared" si="16"/>
        <v/>
      </c>
    </row>
    <row r="70" spans="2:51">
      <c r="B70" s="8"/>
      <c r="AR70" t="str">
        <f t="shared" ref="AR70:AR101" si="17">IF(C70="","",SUM(H70,N70,T70,Z70,AF70,AL70))</f>
        <v/>
      </c>
      <c r="AS70" t="str">
        <f t="shared" ref="AS70:AS101" si="18">IF(C70="","",SUM(I70,O70,U70,AA70,AG70,AM70))</f>
        <v/>
      </c>
      <c r="AT70" t="str">
        <f t="shared" ref="AT70:AT101" si="19">IF(C70="","",SUM(J70,P70,V70,AB70,AH70,AN70))</f>
        <v/>
      </c>
      <c r="AU70" t="str">
        <f t="shared" ref="AU70:AU101" si="20">IF(C70="","",SUM(K70,Q70,W70,AC70,AI70,AO70))</f>
        <v/>
      </c>
      <c r="AV70" t="str">
        <f t="shared" ref="AV70:AV101" si="21">IF(C70="","",SUM(L70,R70,X70,AD70,AJ70,AP70))</f>
        <v/>
      </c>
      <c r="AW70" t="str">
        <f t="shared" ref="AW70:AW101" si="22">IF(C70="","",SUM(M70,S70,Y70,AE70,AK70,AQ70))</f>
        <v/>
      </c>
      <c r="AX70" t="str">
        <f t="shared" ref="AX70:AX101" si="23">IF(C70="","",_xludf.CONCAT(IF(AR70&gt;=LARGE(AR70:AW70,3),"R",""),IF(AS70&gt;=LARGE(AR70:AW70,3),"I",""),IF(AT70&gt;=LARGE(AR70:AW70,3),"A",""),IF(AU70&gt;=LARGE(AR70:AW70,3),"S",""),IF(AV70&gt;=LARGE(AR70:AW70,3),"E",""),IF(AW70&gt;=LARGE(AR70:AW70,3),"C","")))</f>
        <v/>
      </c>
      <c r="AY70" t="str">
        <f t="shared" ref="AY70:AY101" si="24">IF(C70="","",IF(AR70=MAX(AR70:AW70),"นักปฏิบัติ",IF(AS70=MAX(AR70:AW70),"นักคิดวิเคราะห์",IF(AT70=MAX(AR70:AW70),"นักสร้างสรรค์",IF(AU70=MAX(AR70:AW70),"ผู้เข้าใจผู้คน",IF(AV70=MAX(AR70:AW70),"ผู้นำการเปลี่ยนแปลง","ผู้จัดระบบ"))))))</f>
        <v/>
      </c>
    </row>
    <row r="71" spans="2:51">
      <c r="B71" s="8"/>
      <c r="AR71" t="str">
        <f t="shared" si="17"/>
        <v/>
      </c>
      <c r="AS71" t="str">
        <f t="shared" si="18"/>
        <v/>
      </c>
      <c r="AT71" t="str">
        <f t="shared" si="19"/>
        <v/>
      </c>
      <c r="AU71" t="str">
        <f t="shared" si="20"/>
        <v/>
      </c>
      <c r="AV71" t="str">
        <f t="shared" si="21"/>
        <v/>
      </c>
      <c r="AW71" t="str">
        <f t="shared" si="22"/>
        <v/>
      </c>
      <c r="AX71" t="str">
        <f t="shared" si="23"/>
        <v/>
      </c>
      <c r="AY71" t="str">
        <f t="shared" si="24"/>
        <v/>
      </c>
    </row>
    <row r="72" spans="2:51">
      <c r="B72" s="8"/>
      <c r="AR72" t="str">
        <f t="shared" si="17"/>
        <v/>
      </c>
      <c r="AS72" t="str">
        <f t="shared" si="18"/>
        <v/>
      </c>
      <c r="AT72" t="str">
        <f t="shared" si="19"/>
        <v/>
      </c>
      <c r="AU72" t="str">
        <f t="shared" si="20"/>
        <v/>
      </c>
      <c r="AV72" t="str">
        <f t="shared" si="21"/>
        <v/>
      </c>
      <c r="AW72" t="str">
        <f t="shared" si="22"/>
        <v/>
      </c>
      <c r="AX72" t="str">
        <f t="shared" si="23"/>
        <v/>
      </c>
      <c r="AY72" t="str">
        <f t="shared" si="24"/>
        <v/>
      </c>
    </row>
    <row r="73" spans="2:51">
      <c r="B73" s="8"/>
      <c r="AR73" t="str">
        <f t="shared" si="17"/>
        <v/>
      </c>
      <c r="AS73" t="str">
        <f t="shared" si="18"/>
        <v/>
      </c>
      <c r="AT73" t="str">
        <f t="shared" si="19"/>
        <v/>
      </c>
      <c r="AU73" t="str">
        <f t="shared" si="20"/>
        <v/>
      </c>
      <c r="AV73" t="str">
        <f t="shared" si="21"/>
        <v/>
      </c>
      <c r="AW73" t="str">
        <f t="shared" si="22"/>
        <v/>
      </c>
      <c r="AX73" t="str">
        <f t="shared" si="23"/>
        <v/>
      </c>
      <c r="AY73" t="str">
        <f t="shared" si="24"/>
        <v/>
      </c>
    </row>
    <row r="74" spans="2:51">
      <c r="B74" s="8"/>
      <c r="AR74" t="str">
        <f t="shared" si="17"/>
        <v/>
      </c>
      <c r="AS74" t="str">
        <f t="shared" si="18"/>
        <v/>
      </c>
      <c r="AT74" t="str">
        <f t="shared" si="19"/>
        <v/>
      </c>
      <c r="AU74" t="str">
        <f t="shared" si="20"/>
        <v/>
      </c>
      <c r="AV74" t="str">
        <f t="shared" si="21"/>
        <v/>
      </c>
      <c r="AW74" t="str">
        <f t="shared" si="22"/>
        <v/>
      </c>
      <c r="AX74" t="str">
        <f t="shared" si="23"/>
        <v/>
      </c>
      <c r="AY74" t="str">
        <f t="shared" si="24"/>
        <v/>
      </c>
    </row>
    <row r="75" spans="2:51">
      <c r="B75" s="8"/>
      <c r="AR75" t="str">
        <f t="shared" si="17"/>
        <v/>
      </c>
      <c r="AS75" t="str">
        <f t="shared" si="18"/>
        <v/>
      </c>
      <c r="AT75" t="str">
        <f t="shared" si="19"/>
        <v/>
      </c>
      <c r="AU75" t="str">
        <f t="shared" si="20"/>
        <v/>
      </c>
      <c r="AV75" t="str">
        <f t="shared" si="21"/>
        <v/>
      </c>
      <c r="AW75" t="str">
        <f t="shared" si="22"/>
        <v/>
      </c>
      <c r="AX75" t="str">
        <f t="shared" si="23"/>
        <v/>
      </c>
      <c r="AY75" t="str">
        <f t="shared" si="24"/>
        <v/>
      </c>
    </row>
    <row r="76" spans="2:51">
      <c r="B76" s="8"/>
      <c r="AR76" t="str">
        <f t="shared" si="17"/>
        <v/>
      </c>
      <c r="AS76" t="str">
        <f t="shared" si="18"/>
        <v/>
      </c>
      <c r="AT76" t="str">
        <f t="shared" si="19"/>
        <v/>
      </c>
      <c r="AU76" t="str">
        <f t="shared" si="20"/>
        <v/>
      </c>
      <c r="AV76" t="str">
        <f t="shared" si="21"/>
        <v/>
      </c>
      <c r="AW76" t="str">
        <f t="shared" si="22"/>
        <v/>
      </c>
      <c r="AX76" t="str">
        <f t="shared" si="23"/>
        <v/>
      </c>
      <c r="AY76" t="str">
        <f t="shared" si="24"/>
        <v/>
      </c>
    </row>
    <row r="77" spans="2:51">
      <c r="B77" s="8"/>
      <c r="AR77" t="str">
        <f t="shared" si="17"/>
        <v/>
      </c>
      <c r="AS77" t="str">
        <f t="shared" si="18"/>
        <v/>
      </c>
      <c r="AT77" t="str">
        <f t="shared" si="19"/>
        <v/>
      </c>
      <c r="AU77" t="str">
        <f t="shared" si="20"/>
        <v/>
      </c>
      <c r="AV77" t="str">
        <f t="shared" si="21"/>
        <v/>
      </c>
      <c r="AW77" t="str">
        <f t="shared" si="22"/>
        <v/>
      </c>
      <c r="AX77" t="str">
        <f t="shared" si="23"/>
        <v/>
      </c>
      <c r="AY77" t="str">
        <f t="shared" si="24"/>
        <v/>
      </c>
    </row>
    <row r="78" spans="2:51">
      <c r="B78" s="8"/>
      <c r="AR78" t="str">
        <f t="shared" si="17"/>
        <v/>
      </c>
      <c r="AS78" t="str">
        <f t="shared" si="18"/>
        <v/>
      </c>
      <c r="AT78" t="str">
        <f t="shared" si="19"/>
        <v/>
      </c>
      <c r="AU78" t="str">
        <f t="shared" si="20"/>
        <v/>
      </c>
      <c r="AV78" t="str">
        <f t="shared" si="21"/>
        <v/>
      </c>
      <c r="AW78" t="str">
        <f t="shared" si="22"/>
        <v/>
      </c>
      <c r="AX78" t="str">
        <f t="shared" si="23"/>
        <v/>
      </c>
      <c r="AY78" t="str">
        <f t="shared" si="24"/>
        <v/>
      </c>
    </row>
    <row r="79" spans="2:51">
      <c r="B79" s="8"/>
      <c r="AR79" t="str">
        <f t="shared" si="17"/>
        <v/>
      </c>
      <c r="AS79" t="str">
        <f t="shared" si="18"/>
        <v/>
      </c>
      <c r="AT79" t="str">
        <f t="shared" si="19"/>
        <v/>
      </c>
      <c r="AU79" t="str">
        <f t="shared" si="20"/>
        <v/>
      </c>
      <c r="AV79" t="str">
        <f t="shared" si="21"/>
        <v/>
      </c>
      <c r="AW79" t="str">
        <f t="shared" si="22"/>
        <v/>
      </c>
      <c r="AX79" t="str">
        <f t="shared" si="23"/>
        <v/>
      </c>
      <c r="AY79" t="str">
        <f t="shared" si="24"/>
        <v/>
      </c>
    </row>
    <row r="80" spans="2:51">
      <c r="B80" s="8"/>
      <c r="AR80" t="str">
        <f t="shared" si="17"/>
        <v/>
      </c>
      <c r="AS80" t="str">
        <f t="shared" si="18"/>
        <v/>
      </c>
      <c r="AT80" t="str">
        <f t="shared" si="19"/>
        <v/>
      </c>
      <c r="AU80" t="str">
        <f t="shared" si="20"/>
        <v/>
      </c>
      <c r="AV80" t="str">
        <f t="shared" si="21"/>
        <v/>
      </c>
      <c r="AW80" t="str">
        <f t="shared" si="22"/>
        <v/>
      </c>
      <c r="AX80" t="str">
        <f t="shared" si="23"/>
        <v/>
      </c>
      <c r="AY80" t="str">
        <f t="shared" si="24"/>
        <v/>
      </c>
    </row>
    <row r="81" spans="2:51">
      <c r="B81" s="8"/>
      <c r="AR81" t="str">
        <f t="shared" si="17"/>
        <v/>
      </c>
      <c r="AS81" t="str">
        <f t="shared" si="18"/>
        <v/>
      </c>
      <c r="AT81" t="str">
        <f t="shared" si="19"/>
        <v/>
      </c>
      <c r="AU81" t="str">
        <f t="shared" si="20"/>
        <v/>
      </c>
      <c r="AV81" t="str">
        <f t="shared" si="21"/>
        <v/>
      </c>
      <c r="AW81" t="str">
        <f t="shared" si="22"/>
        <v/>
      </c>
      <c r="AX81" t="str">
        <f t="shared" si="23"/>
        <v/>
      </c>
      <c r="AY81" t="str">
        <f t="shared" si="24"/>
        <v/>
      </c>
    </row>
    <row r="82" spans="2:51">
      <c r="B82" s="8"/>
      <c r="AR82" t="str">
        <f t="shared" si="17"/>
        <v/>
      </c>
      <c r="AS82" t="str">
        <f t="shared" si="18"/>
        <v/>
      </c>
      <c r="AT82" t="str">
        <f t="shared" si="19"/>
        <v/>
      </c>
      <c r="AU82" t="str">
        <f t="shared" si="20"/>
        <v/>
      </c>
      <c r="AV82" t="str">
        <f t="shared" si="21"/>
        <v/>
      </c>
      <c r="AW82" t="str">
        <f t="shared" si="22"/>
        <v/>
      </c>
      <c r="AX82" t="str">
        <f t="shared" si="23"/>
        <v/>
      </c>
      <c r="AY82" t="str">
        <f t="shared" si="24"/>
        <v/>
      </c>
    </row>
    <row r="83" spans="2:51">
      <c r="B83" s="8"/>
      <c r="AR83" t="str">
        <f t="shared" si="17"/>
        <v/>
      </c>
      <c r="AS83" t="str">
        <f t="shared" si="18"/>
        <v/>
      </c>
      <c r="AT83" t="str">
        <f t="shared" si="19"/>
        <v/>
      </c>
      <c r="AU83" t="str">
        <f t="shared" si="20"/>
        <v/>
      </c>
      <c r="AV83" t="str">
        <f t="shared" si="21"/>
        <v/>
      </c>
      <c r="AW83" t="str">
        <f t="shared" si="22"/>
        <v/>
      </c>
      <c r="AX83" t="str">
        <f t="shared" si="23"/>
        <v/>
      </c>
      <c r="AY83" t="str">
        <f t="shared" si="24"/>
        <v/>
      </c>
    </row>
    <row r="84" spans="2:51">
      <c r="B84" s="8"/>
      <c r="AR84" t="str">
        <f t="shared" si="17"/>
        <v/>
      </c>
      <c r="AS84" t="str">
        <f t="shared" si="18"/>
        <v/>
      </c>
      <c r="AT84" t="str">
        <f t="shared" si="19"/>
        <v/>
      </c>
      <c r="AU84" t="str">
        <f t="shared" si="20"/>
        <v/>
      </c>
      <c r="AV84" t="str">
        <f t="shared" si="21"/>
        <v/>
      </c>
      <c r="AW84" t="str">
        <f t="shared" si="22"/>
        <v/>
      </c>
      <c r="AX84" t="str">
        <f t="shared" si="23"/>
        <v/>
      </c>
      <c r="AY84" t="str">
        <f t="shared" si="24"/>
        <v/>
      </c>
    </row>
    <row r="85" spans="2:51">
      <c r="B85" s="8"/>
      <c r="AR85" t="str">
        <f t="shared" si="17"/>
        <v/>
      </c>
      <c r="AS85" t="str">
        <f t="shared" si="18"/>
        <v/>
      </c>
      <c r="AT85" t="str">
        <f t="shared" si="19"/>
        <v/>
      </c>
      <c r="AU85" t="str">
        <f t="shared" si="20"/>
        <v/>
      </c>
      <c r="AV85" t="str">
        <f t="shared" si="21"/>
        <v/>
      </c>
      <c r="AW85" t="str">
        <f t="shared" si="22"/>
        <v/>
      </c>
      <c r="AX85" t="str">
        <f t="shared" si="23"/>
        <v/>
      </c>
      <c r="AY85" t="str">
        <f t="shared" si="24"/>
        <v/>
      </c>
    </row>
    <row r="86" spans="2:51">
      <c r="B86" s="8"/>
      <c r="AR86" t="str">
        <f t="shared" si="17"/>
        <v/>
      </c>
      <c r="AS86" t="str">
        <f t="shared" si="18"/>
        <v/>
      </c>
      <c r="AT86" t="str">
        <f t="shared" si="19"/>
        <v/>
      </c>
      <c r="AU86" t="str">
        <f t="shared" si="20"/>
        <v/>
      </c>
      <c r="AV86" t="str">
        <f t="shared" si="21"/>
        <v/>
      </c>
      <c r="AW86" t="str">
        <f t="shared" si="22"/>
        <v/>
      </c>
      <c r="AX86" t="str">
        <f t="shared" si="23"/>
        <v/>
      </c>
      <c r="AY86" t="str">
        <f t="shared" si="24"/>
        <v/>
      </c>
    </row>
    <row r="87" spans="2:51">
      <c r="B87" s="8"/>
      <c r="AR87" t="str">
        <f t="shared" si="17"/>
        <v/>
      </c>
      <c r="AS87" t="str">
        <f t="shared" si="18"/>
        <v/>
      </c>
      <c r="AT87" t="str">
        <f t="shared" si="19"/>
        <v/>
      </c>
      <c r="AU87" t="str">
        <f t="shared" si="20"/>
        <v/>
      </c>
      <c r="AV87" t="str">
        <f t="shared" si="21"/>
        <v/>
      </c>
      <c r="AW87" t="str">
        <f t="shared" si="22"/>
        <v/>
      </c>
      <c r="AX87" t="str">
        <f t="shared" si="23"/>
        <v/>
      </c>
      <c r="AY87" t="str">
        <f t="shared" si="24"/>
        <v/>
      </c>
    </row>
    <row r="88" spans="2:51">
      <c r="B88" s="8"/>
      <c r="AR88" t="str">
        <f t="shared" si="17"/>
        <v/>
      </c>
      <c r="AS88" t="str">
        <f t="shared" si="18"/>
        <v/>
      </c>
      <c r="AT88" t="str">
        <f t="shared" si="19"/>
        <v/>
      </c>
      <c r="AU88" t="str">
        <f t="shared" si="20"/>
        <v/>
      </c>
      <c r="AV88" t="str">
        <f t="shared" si="21"/>
        <v/>
      </c>
      <c r="AW88" t="str">
        <f t="shared" si="22"/>
        <v/>
      </c>
      <c r="AX88" t="str">
        <f t="shared" si="23"/>
        <v/>
      </c>
      <c r="AY88" t="str">
        <f t="shared" si="24"/>
        <v/>
      </c>
    </row>
    <row r="89" spans="2:51">
      <c r="B89" s="8"/>
      <c r="AR89" t="str">
        <f t="shared" si="17"/>
        <v/>
      </c>
      <c r="AS89" t="str">
        <f t="shared" si="18"/>
        <v/>
      </c>
      <c r="AT89" t="str">
        <f t="shared" si="19"/>
        <v/>
      </c>
      <c r="AU89" t="str">
        <f t="shared" si="20"/>
        <v/>
      </c>
      <c r="AV89" t="str">
        <f t="shared" si="21"/>
        <v/>
      </c>
      <c r="AW89" t="str">
        <f t="shared" si="22"/>
        <v/>
      </c>
      <c r="AX89" t="str">
        <f t="shared" si="23"/>
        <v/>
      </c>
      <c r="AY89" t="str">
        <f t="shared" si="24"/>
        <v/>
      </c>
    </row>
    <row r="90" spans="2:51">
      <c r="B90" s="8"/>
      <c r="AR90" t="str">
        <f t="shared" si="17"/>
        <v/>
      </c>
      <c r="AS90" t="str">
        <f t="shared" si="18"/>
        <v/>
      </c>
      <c r="AT90" t="str">
        <f t="shared" si="19"/>
        <v/>
      </c>
      <c r="AU90" t="str">
        <f t="shared" si="20"/>
        <v/>
      </c>
      <c r="AV90" t="str">
        <f t="shared" si="21"/>
        <v/>
      </c>
      <c r="AW90" t="str">
        <f t="shared" si="22"/>
        <v/>
      </c>
      <c r="AX90" t="str">
        <f t="shared" si="23"/>
        <v/>
      </c>
      <c r="AY90" t="str">
        <f t="shared" si="24"/>
        <v/>
      </c>
    </row>
    <row r="91" spans="2:51">
      <c r="B91" s="8"/>
      <c r="AR91" t="str">
        <f t="shared" si="17"/>
        <v/>
      </c>
      <c r="AS91" t="str">
        <f t="shared" si="18"/>
        <v/>
      </c>
      <c r="AT91" t="str">
        <f t="shared" si="19"/>
        <v/>
      </c>
      <c r="AU91" t="str">
        <f t="shared" si="20"/>
        <v/>
      </c>
      <c r="AV91" t="str">
        <f t="shared" si="21"/>
        <v/>
      </c>
      <c r="AW91" t="str">
        <f t="shared" si="22"/>
        <v/>
      </c>
      <c r="AX91" t="str">
        <f t="shared" si="23"/>
        <v/>
      </c>
      <c r="AY91" t="str">
        <f t="shared" si="24"/>
        <v/>
      </c>
    </row>
    <row r="92" spans="2:51">
      <c r="B92" s="8"/>
      <c r="AR92" t="str">
        <f t="shared" si="17"/>
        <v/>
      </c>
      <c r="AS92" t="str">
        <f t="shared" si="18"/>
        <v/>
      </c>
      <c r="AT92" t="str">
        <f t="shared" si="19"/>
        <v/>
      </c>
      <c r="AU92" t="str">
        <f t="shared" si="20"/>
        <v/>
      </c>
      <c r="AV92" t="str">
        <f t="shared" si="21"/>
        <v/>
      </c>
      <c r="AW92" t="str">
        <f t="shared" si="22"/>
        <v/>
      </c>
      <c r="AX92" t="str">
        <f t="shared" si="23"/>
        <v/>
      </c>
      <c r="AY92" t="str">
        <f t="shared" si="24"/>
        <v/>
      </c>
    </row>
    <row r="93" spans="2:51">
      <c r="B93" s="8"/>
      <c r="AR93" t="str">
        <f t="shared" si="17"/>
        <v/>
      </c>
      <c r="AS93" t="str">
        <f t="shared" si="18"/>
        <v/>
      </c>
      <c r="AT93" t="str">
        <f t="shared" si="19"/>
        <v/>
      </c>
      <c r="AU93" t="str">
        <f t="shared" si="20"/>
        <v/>
      </c>
      <c r="AV93" t="str">
        <f t="shared" si="21"/>
        <v/>
      </c>
      <c r="AW93" t="str">
        <f t="shared" si="22"/>
        <v/>
      </c>
      <c r="AX93" t="str">
        <f t="shared" si="23"/>
        <v/>
      </c>
      <c r="AY93" t="str">
        <f t="shared" si="24"/>
        <v/>
      </c>
    </row>
    <row r="94" spans="2:51">
      <c r="B94" s="8"/>
      <c r="AR94" t="str">
        <f t="shared" si="17"/>
        <v/>
      </c>
      <c r="AS94" t="str">
        <f t="shared" si="18"/>
        <v/>
      </c>
      <c r="AT94" t="str">
        <f t="shared" si="19"/>
        <v/>
      </c>
      <c r="AU94" t="str">
        <f t="shared" si="20"/>
        <v/>
      </c>
      <c r="AV94" t="str">
        <f t="shared" si="21"/>
        <v/>
      </c>
      <c r="AW94" t="str">
        <f t="shared" si="22"/>
        <v/>
      </c>
      <c r="AX94" t="str">
        <f t="shared" si="23"/>
        <v/>
      </c>
      <c r="AY94" t="str">
        <f t="shared" si="24"/>
        <v/>
      </c>
    </row>
    <row r="95" spans="2:51">
      <c r="B95" s="8"/>
      <c r="AR95" t="str">
        <f t="shared" si="17"/>
        <v/>
      </c>
      <c r="AS95" t="str">
        <f t="shared" si="18"/>
        <v/>
      </c>
      <c r="AT95" t="str">
        <f t="shared" si="19"/>
        <v/>
      </c>
      <c r="AU95" t="str">
        <f t="shared" si="20"/>
        <v/>
      </c>
      <c r="AV95" t="str">
        <f t="shared" si="21"/>
        <v/>
      </c>
      <c r="AW95" t="str">
        <f t="shared" si="22"/>
        <v/>
      </c>
      <c r="AX95" t="str">
        <f t="shared" si="23"/>
        <v/>
      </c>
      <c r="AY95" t="str">
        <f t="shared" si="24"/>
        <v/>
      </c>
    </row>
    <row r="96" spans="2:51">
      <c r="B96" s="8"/>
      <c r="AR96" t="str">
        <f t="shared" si="17"/>
        <v/>
      </c>
      <c r="AS96" t="str">
        <f t="shared" si="18"/>
        <v/>
      </c>
      <c r="AT96" t="str">
        <f t="shared" si="19"/>
        <v/>
      </c>
      <c r="AU96" t="str">
        <f t="shared" si="20"/>
        <v/>
      </c>
      <c r="AV96" t="str">
        <f t="shared" si="21"/>
        <v/>
      </c>
      <c r="AW96" t="str">
        <f t="shared" si="22"/>
        <v/>
      </c>
      <c r="AX96" t="str">
        <f t="shared" si="23"/>
        <v/>
      </c>
      <c r="AY96" t="str">
        <f t="shared" si="24"/>
        <v/>
      </c>
    </row>
    <row r="97" spans="2:51">
      <c r="B97" s="8"/>
      <c r="AR97" t="str">
        <f t="shared" si="17"/>
        <v/>
      </c>
      <c r="AS97" t="str">
        <f t="shared" si="18"/>
        <v/>
      </c>
      <c r="AT97" t="str">
        <f t="shared" si="19"/>
        <v/>
      </c>
      <c r="AU97" t="str">
        <f t="shared" si="20"/>
        <v/>
      </c>
      <c r="AV97" t="str">
        <f t="shared" si="21"/>
        <v/>
      </c>
      <c r="AW97" t="str">
        <f t="shared" si="22"/>
        <v/>
      </c>
      <c r="AX97" t="str">
        <f t="shared" si="23"/>
        <v/>
      </c>
      <c r="AY97" t="str">
        <f t="shared" si="24"/>
        <v/>
      </c>
    </row>
    <row r="98" spans="2:51">
      <c r="B98" s="8"/>
      <c r="AR98" t="str">
        <f t="shared" si="17"/>
        <v/>
      </c>
      <c r="AS98" t="str">
        <f t="shared" si="18"/>
        <v/>
      </c>
      <c r="AT98" t="str">
        <f t="shared" si="19"/>
        <v/>
      </c>
      <c r="AU98" t="str">
        <f t="shared" si="20"/>
        <v/>
      </c>
      <c r="AV98" t="str">
        <f t="shared" si="21"/>
        <v/>
      </c>
      <c r="AW98" t="str">
        <f t="shared" si="22"/>
        <v/>
      </c>
      <c r="AX98" t="str">
        <f t="shared" si="23"/>
        <v/>
      </c>
      <c r="AY98" t="str">
        <f t="shared" si="24"/>
        <v/>
      </c>
    </row>
    <row r="99" spans="2:51">
      <c r="B99" s="8"/>
      <c r="AR99" t="str">
        <f t="shared" si="17"/>
        <v/>
      </c>
      <c r="AS99" t="str">
        <f t="shared" si="18"/>
        <v/>
      </c>
      <c r="AT99" t="str">
        <f t="shared" si="19"/>
        <v/>
      </c>
      <c r="AU99" t="str">
        <f t="shared" si="20"/>
        <v/>
      </c>
      <c r="AV99" t="str">
        <f t="shared" si="21"/>
        <v/>
      </c>
      <c r="AW99" t="str">
        <f t="shared" si="22"/>
        <v/>
      </c>
      <c r="AX99" t="str">
        <f t="shared" si="23"/>
        <v/>
      </c>
      <c r="AY99" t="str">
        <f t="shared" si="24"/>
        <v/>
      </c>
    </row>
    <row r="100" spans="2:51">
      <c r="B100" s="8"/>
      <c r="AR100" t="str">
        <f t="shared" si="17"/>
        <v/>
      </c>
      <c r="AS100" t="str">
        <f t="shared" si="18"/>
        <v/>
      </c>
      <c r="AT100" t="str">
        <f t="shared" si="19"/>
        <v/>
      </c>
      <c r="AU100" t="str">
        <f t="shared" si="20"/>
        <v/>
      </c>
      <c r="AV100" t="str">
        <f t="shared" si="21"/>
        <v/>
      </c>
      <c r="AW100" t="str">
        <f t="shared" si="22"/>
        <v/>
      </c>
      <c r="AX100" t="str">
        <f t="shared" si="23"/>
        <v/>
      </c>
      <c r="AY100" t="str">
        <f t="shared" si="24"/>
        <v/>
      </c>
    </row>
    <row r="101" spans="2:51">
      <c r="B101" s="8"/>
      <c r="AR101" t="str">
        <f t="shared" si="17"/>
        <v/>
      </c>
      <c r="AS101" t="str">
        <f t="shared" si="18"/>
        <v/>
      </c>
      <c r="AT101" t="str">
        <f t="shared" si="19"/>
        <v/>
      </c>
      <c r="AU101" t="str">
        <f t="shared" si="20"/>
        <v/>
      </c>
      <c r="AV101" t="str">
        <f t="shared" si="21"/>
        <v/>
      </c>
      <c r="AW101" t="str">
        <f t="shared" si="22"/>
        <v/>
      </c>
      <c r="AX101" t="str">
        <f t="shared" si="23"/>
        <v/>
      </c>
      <c r="AY101" t="str">
        <f t="shared" si="24"/>
        <v/>
      </c>
    </row>
    <row r="102" spans="2:51">
      <c r="B102" s="8"/>
      <c r="AR102" t="str">
        <f t="shared" ref="AR102:AR133" si="25">IF(C102="","",SUM(H102,N102,T102,Z102,AF102,AL102))</f>
        <v/>
      </c>
      <c r="AS102" t="str">
        <f t="shared" ref="AS102:AS133" si="26">IF(C102="","",SUM(I102,O102,U102,AA102,AG102,AM102))</f>
        <v/>
      </c>
      <c r="AT102" t="str">
        <f t="shared" ref="AT102:AT133" si="27">IF(C102="","",SUM(J102,P102,V102,AB102,AH102,AN102))</f>
        <v/>
      </c>
      <c r="AU102" t="str">
        <f t="shared" ref="AU102:AU133" si="28">IF(C102="","",SUM(K102,Q102,W102,AC102,AI102,AO102))</f>
        <v/>
      </c>
      <c r="AV102" t="str">
        <f t="shared" ref="AV102:AV133" si="29">IF(C102="","",SUM(L102,R102,X102,AD102,AJ102,AP102))</f>
        <v/>
      </c>
      <c r="AW102" t="str">
        <f t="shared" ref="AW102:AW133" si="30">IF(C102="","",SUM(M102,S102,Y102,AE102,AK102,AQ102))</f>
        <v/>
      </c>
      <c r="AX102" t="str">
        <f t="shared" ref="AX102:AX133" si="31">IF(C102="","",_xludf.CONCAT(IF(AR102&gt;=LARGE(AR102:AW102,3),"R",""),IF(AS102&gt;=LARGE(AR102:AW102,3),"I",""),IF(AT102&gt;=LARGE(AR102:AW102,3),"A",""),IF(AU102&gt;=LARGE(AR102:AW102,3),"S",""),IF(AV102&gt;=LARGE(AR102:AW102,3),"E",""),IF(AW102&gt;=LARGE(AR102:AW102,3),"C","")))</f>
        <v/>
      </c>
      <c r="AY102" t="str">
        <f t="shared" ref="AY102:AY133" si="32">IF(C102="","",IF(AR102=MAX(AR102:AW102),"นักปฏิบัติ",IF(AS102=MAX(AR102:AW102),"นักคิดวิเคราะห์",IF(AT102=MAX(AR102:AW102),"นักสร้างสรรค์",IF(AU102=MAX(AR102:AW102),"ผู้เข้าใจผู้คน",IF(AV102=MAX(AR102:AW102),"ผู้นำการเปลี่ยนแปลง","ผู้จัดระบบ"))))))</f>
        <v/>
      </c>
    </row>
    <row r="103" spans="2:51">
      <c r="B103" s="8"/>
      <c r="AR103" t="str">
        <f t="shared" si="25"/>
        <v/>
      </c>
      <c r="AS103" t="str">
        <f t="shared" si="26"/>
        <v/>
      </c>
      <c r="AT103" t="str">
        <f t="shared" si="27"/>
        <v/>
      </c>
      <c r="AU103" t="str">
        <f t="shared" si="28"/>
        <v/>
      </c>
      <c r="AV103" t="str">
        <f t="shared" si="29"/>
        <v/>
      </c>
      <c r="AW103" t="str">
        <f t="shared" si="30"/>
        <v/>
      </c>
      <c r="AX103" t="str">
        <f t="shared" si="31"/>
        <v/>
      </c>
      <c r="AY103" t="str">
        <f t="shared" si="32"/>
        <v/>
      </c>
    </row>
    <row r="104" spans="2:51">
      <c r="B104" s="8"/>
      <c r="AR104" t="str">
        <f t="shared" si="25"/>
        <v/>
      </c>
      <c r="AS104" t="str">
        <f t="shared" si="26"/>
        <v/>
      </c>
      <c r="AT104" t="str">
        <f t="shared" si="27"/>
        <v/>
      </c>
      <c r="AU104" t="str">
        <f t="shared" si="28"/>
        <v/>
      </c>
      <c r="AV104" t="str">
        <f t="shared" si="29"/>
        <v/>
      </c>
      <c r="AW104" t="str">
        <f t="shared" si="30"/>
        <v/>
      </c>
      <c r="AX104" t="str">
        <f t="shared" si="31"/>
        <v/>
      </c>
      <c r="AY104" t="str">
        <f t="shared" si="32"/>
        <v/>
      </c>
    </row>
    <row r="105" spans="2:51">
      <c r="B105" s="8"/>
      <c r="AR105" t="str">
        <f t="shared" si="25"/>
        <v/>
      </c>
      <c r="AS105" t="str">
        <f t="shared" si="26"/>
        <v/>
      </c>
      <c r="AT105" t="str">
        <f t="shared" si="27"/>
        <v/>
      </c>
      <c r="AU105" t="str">
        <f t="shared" si="28"/>
        <v/>
      </c>
      <c r="AV105" t="str">
        <f t="shared" si="29"/>
        <v/>
      </c>
      <c r="AW105" t="str">
        <f t="shared" si="30"/>
        <v/>
      </c>
      <c r="AX105" t="str">
        <f t="shared" si="31"/>
        <v/>
      </c>
      <c r="AY105" t="str">
        <f t="shared" si="32"/>
        <v/>
      </c>
    </row>
    <row r="106" spans="2:51">
      <c r="B106" s="8"/>
      <c r="AR106" t="str">
        <f t="shared" si="25"/>
        <v/>
      </c>
      <c r="AS106" t="str">
        <f t="shared" si="26"/>
        <v/>
      </c>
      <c r="AT106" t="str">
        <f t="shared" si="27"/>
        <v/>
      </c>
      <c r="AU106" t="str">
        <f t="shared" si="28"/>
        <v/>
      </c>
      <c r="AV106" t="str">
        <f t="shared" si="29"/>
        <v/>
      </c>
      <c r="AW106" t="str">
        <f t="shared" si="30"/>
        <v/>
      </c>
      <c r="AX106" t="str">
        <f t="shared" si="31"/>
        <v/>
      </c>
      <c r="AY106" t="str">
        <f t="shared" si="32"/>
        <v/>
      </c>
    </row>
    <row r="107" spans="2:51">
      <c r="B107" s="8"/>
      <c r="AR107" t="str">
        <f t="shared" si="25"/>
        <v/>
      </c>
      <c r="AS107" t="str">
        <f t="shared" si="26"/>
        <v/>
      </c>
      <c r="AT107" t="str">
        <f t="shared" si="27"/>
        <v/>
      </c>
      <c r="AU107" t="str">
        <f t="shared" si="28"/>
        <v/>
      </c>
      <c r="AV107" t="str">
        <f t="shared" si="29"/>
        <v/>
      </c>
      <c r="AW107" t="str">
        <f t="shared" si="30"/>
        <v/>
      </c>
      <c r="AX107" t="str">
        <f t="shared" si="31"/>
        <v/>
      </c>
      <c r="AY107" t="str">
        <f t="shared" si="32"/>
        <v/>
      </c>
    </row>
    <row r="108" spans="2:51">
      <c r="B108" s="8"/>
      <c r="AR108" t="str">
        <f t="shared" si="25"/>
        <v/>
      </c>
      <c r="AS108" t="str">
        <f t="shared" si="26"/>
        <v/>
      </c>
      <c r="AT108" t="str">
        <f t="shared" si="27"/>
        <v/>
      </c>
      <c r="AU108" t="str">
        <f t="shared" si="28"/>
        <v/>
      </c>
      <c r="AV108" t="str">
        <f t="shared" si="29"/>
        <v/>
      </c>
      <c r="AW108" t="str">
        <f t="shared" si="30"/>
        <v/>
      </c>
      <c r="AX108" t="str">
        <f t="shared" si="31"/>
        <v/>
      </c>
      <c r="AY108" t="str">
        <f t="shared" si="32"/>
        <v/>
      </c>
    </row>
    <row r="109" spans="2:51">
      <c r="B109" s="8"/>
      <c r="AR109" t="str">
        <f t="shared" si="25"/>
        <v/>
      </c>
      <c r="AS109" t="str">
        <f t="shared" si="26"/>
        <v/>
      </c>
      <c r="AT109" t="str">
        <f t="shared" si="27"/>
        <v/>
      </c>
      <c r="AU109" t="str">
        <f t="shared" si="28"/>
        <v/>
      </c>
      <c r="AV109" t="str">
        <f t="shared" si="29"/>
        <v/>
      </c>
      <c r="AW109" t="str">
        <f t="shared" si="30"/>
        <v/>
      </c>
      <c r="AX109" t="str">
        <f t="shared" si="31"/>
        <v/>
      </c>
      <c r="AY109" t="str">
        <f t="shared" si="32"/>
        <v/>
      </c>
    </row>
    <row r="110" spans="2:51">
      <c r="B110" s="8"/>
      <c r="AR110" t="str">
        <f t="shared" si="25"/>
        <v/>
      </c>
      <c r="AS110" t="str">
        <f t="shared" si="26"/>
        <v/>
      </c>
      <c r="AT110" t="str">
        <f t="shared" si="27"/>
        <v/>
      </c>
      <c r="AU110" t="str">
        <f t="shared" si="28"/>
        <v/>
      </c>
      <c r="AV110" t="str">
        <f t="shared" si="29"/>
        <v/>
      </c>
      <c r="AW110" t="str">
        <f t="shared" si="30"/>
        <v/>
      </c>
      <c r="AX110" t="str">
        <f t="shared" si="31"/>
        <v/>
      </c>
      <c r="AY110" t="str">
        <f t="shared" si="32"/>
        <v/>
      </c>
    </row>
    <row r="111" spans="2:51">
      <c r="B111" s="8"/>
      <c r="AR111" t="str">
        <f t="shared" si="25"/>
        <v/>
      </c>
      <c r="AS111" t="str">
        <f t="shared" si="26"/>
        <v/>
      </c>
      <c r="AT111" t="str">
        <f t="shared" si="27"/>
        <v/>
      </c>
      <c r="AU111" t="str">
        <f t="shared" si="28"/>
        <v/>
      </c>
      <c r="AV111" t="str">
        <f t="shared" si="29"/>
        <v/>
      </c>
      <c r="AW111" t="str">
        <f t="shared" si="30"/>
        <v/>
      </c>
      <c r="AX111" t="str">
        <f t="shared" si="31"/>
        <v/>
      </c>
      <c r="AY111" t="str">
        <f t="shared" si="32"/>
        <v/>
      </c>
    </row>
    <row r="112" spans="2:51">
      <c r="B112" s="8"/>
      <c r="AR112" t="str">
        <f t="shared" si="25"/>
        <v/>
      </c>
      <c r="AS112" t="str">
        <f t="shared" si="26"/>
        <v/>
      </c>
      <c r="AT112" t="str">
        <f t="shared" si="27"/>
        <v/>
      </c>
      <c r="AU112" t="str">
        <f t="shared" si="28"/>
        <v/>
      </c>
      <c r="AV112" t="str">
        <f t="shared" si="29"/>
        <v/>
      </c>
      <c r="AW112" t="str">
        <f t="shared" si="30"/>
        <v/>
      </c>
      <c r="AX112" t="str">
        <f t="shared" si="31"/>
        <v/>
      </c>
      <c r="AY112" t="str">
        <f t="shared" si="32"/>
        <v/>
      </c>
    </row>
    <row r="113" spans="2:51">
      <c r="B113" s="8"/>
      <c r="AR113" t="str">
        <f t="shared" si="25"/>
        <v/>
      </c>
      <c r="AS113" t="str">
        <f t="shared" si="26"/>
        <v/>
      </c>
      <c r="AT113" t="str">
        <f t="shared" si="27"/>
        <v/>
      </c>
      <c r="AU113" t="str">
        <f t="shared" si="28"/>
        <v/>
      </c>
      <c r="AV113" t="str">
        <f t="shared" si="29"/>
        <v/>
      </c>
      <c r="AW113" t="str">
        <f t="shared" si="30"/>
        <v/>
      </c>
      <c r="AX113" t="str">
        <f t="shared" si="31"/>
        <v/>
      </c>
      <c r="AY113" t="str">
        <f t="shared" si="32"/>
        <v/>
      </c>
    </row>
    <row r="114" spans="2:51">
      <c r="B114" s="8"/>
      <c r="AR114" t="str">
        <f t="shared" si="25"/>
        <v/>
      </c>
      <c r="AS114" t="str">
        <f t="shared" si="26"/>
        <v/>
      </c>
      <c r="AT114" t="str">
        <f t="shared" si="27"/>
        <v/>
      </c>
      <c r="AU114" t="str">
        <f t="shared" si="28"/>
        <v/>
      </c>
      <c r="AV114" t="str">
        <f t="shared" si="29"/>
        <v/>
      </c>
      <c r="AW114" t="str">
        <f t="shared" si="30"/>
        <v/>
      </c>
      <c r="AX114" t="str">
        <f t="shared" si="31"/>
        <v/>
      </c>
      <c r="AY114" t="str">
        <f t="shared" si="32"/>
        <v/>
      </c>
    </row>
    <row r="115" spans="2:51">
      <c r="B115" s="8"/>
      <c r="AR115" t="str">
        <f t="shared" si="25"/>
        <v/>
      </c>
      <c r="AS115" t="str">
        <f t="shared" si="26"/>
        <v/>
      </c>
      <c r="AT115" t="str">
        <f t="shared" si="27"/>
        <v/>
      </c>
      <c r="AU115" t="str">
        <f t="shared" si="28"/>
        <v/>
      </c>
      <c r="AV115" t="str">
        <f t="shared" si="29"/>
        <v/>
      </c>
      <c r="AW115" t="str">
        <f t="shared" si="30"/>
        <v/>
      </c>
      <c r="AX115" t="str">
        <f t="shared" si="31"/>
        <v/>
      </c>
      <c r="AY115" t="str">
        <f t="shared" si="32"/>
        <v/>
      </c>
    </row>
    <row r="116" spans="2:51">
      <c r="B116" s="8"/>
      <c r="AR116" t="str">
        <f t="shared" si="25"/>
        <v/>
      </c>
      <c r="AS116" t="str">
        <f t="shared" si="26"/>
        <v/>
      </c>
      <c r="AT116" t="str">
        <f t="shared" si="27"/>
        <v/>
      </c>
      <c r="AU116" t="str">
        <f t="shared" si="28"/>
        <v/>
      </c>
      <c r="AV116" t="str">
        <f t="shared" si="29"/>
        <v/>
      </c>
      <c r="AW116" t="str">
        <f t="shared" si="30"/>
        <v/>
      </c>
      <c r="AX116" t="str">
        <f t="shared" si="31"/>
        <v/>
      </c>
      <c r="AY116" t="str">
        <f t="shared" si="32"/>
        <v/>
      </c>
    </row>
    <row r="117" spans="2:51">
      <c r="B117" s="8"/>
      <c r="AR117" t="str">
        <f t="shared" si="25"/>
        <v/>
      </c>
      <c r="AS117" t="str">
        <f t="shared" si="26"/>
        <v/>
      </c>
      <c r="AT117" t="str">
        <f t="shared" si="27"/>
        <v/>
      </c>
      <c r="AU117" t="str">
        <f t="shared" si="28"/>
        <v/>
      </c>
      <c r="AV117" t="str">
        <f t="shared" si="29"/>
        <v/>
      </c>
      <c r="AW117" t="str">
        <f t="shared" si="30"/>
        <v/>
      </c>
      <c r="AX117" t="str">
        <f t="shared" si="31"/>
        <v/>
      </c>
      <c r="AY117" t="str">
        <f t="shared" si="32"/>
        <v/>
      </c>
    </row>
    <row r="118" spans="2:51">
      <c r="B118" s="8"/>
      <c r="AR118" t="str">
        <f t="shared" si="25"/>
        <v/>
      </c>
      <c r="AS118" t="str">
        <f t="shared" si="26"/>
        <v/>
      </c>
      <c r="AT118" t="str">
        <f t="shared" si="27"/>
        <v/>
      </c>
      <c r="AU118" t="str">
        <f t="shared" si="28"/>
        <v/>
      </c>
      <c r="AV118" t="str">
        <f t="shared" si="29"/>
        <v/>
      </c>
      <c r="AW118" t="str">
        <f t="shared" si="30"/>
        <v/>
      </c>
      <c r="AX118" t="str">
        <f t="shared" si="31"/>
        <v/>
      </c>
      <c r="AY118" t="str">
        <f t="shared" si="32"/>
        <v/>
      </c>
    </row>
    <row r="119" spans="2:51">
      <c r="B119" s="8"/>
      <c r="AR119" t="str">
        <f t="shared" si="25"/>
        <v/>
      </c>
      <c r="AS119" t="str">
        <f t="shared" si="26"/>
        <v/>
      </c>
      <c r="AT119" t="str">
        <f t="shared" si="27"/>
        <v/>
      </c>
      <c r="AU119" t="str">
        <f t="shared" si="28"/>
        <v/>
      </c>
      <c r="AV119" t="str">
        <f t="shared" si="29"/>
        <v/>
      </c>
      <c r="AW119" t="str">
        <f t="shared" si="30"/>
        <v/>
      </c>
      <c r="AX119" t="str">
        <f t="shared" si="31"/>
        <v/>
      </c>
      <c r="AY119" t="str">
        <f t="shared" si="32"/>
        <v/>
      </c>
    </row>
    <row r="120" spans="2:51">
      <c r="B120" s="8"/>
      <c r="AR120" t="str">
        <f t="shared" si="25"/>
        <v/>
      </c>
      <c r="AS120" t="str">
        <f t="shared" si="26"/>
        <v/>
      </c>
      <c r="AT120" t="str">
        <f t="shared" si="27"/>
        <v/>
      </c>
      <c r="AU120" t="str">
        <f t="shared" si="28"/>
        <v/>
      </c>
      <c r="AV120" t="str">
        <f t="shared" si="29"/>
        <v/>
      </c>
      <c r="AW120" t="str">
        <f t="shared" si="30"/>
        <v/>
      </c>
      <c r="AX120" t="str">
        <f t="shared" si="31"/>
        <v/>
      </c>
      <c r="AY120" t="str">
        <f t="shared" si="32"/>
        <v/>
      </c>
    </row>
    <row r="121" spans="2:51">
      <c r="B121" s="8"/>
      <c r="AR121" t="str">
        <f t="shared" si="25"/>
        <v/>
      </c>
      <c r="AS121" t="str">
        <f t="shared" si="26"/>
        <v/>
      </c>
      <c r="AT121" t="str">
        <f t="shared" si="27"/>
        <v/>
      </c>
      <c r="AU121" t="str">
        <f t="shared" si="28"/>
        <v/>
      </c>
      <c r="AV121" t="str">
        <f t="shared" si="29"/>
        <v/>
      </c>
      <c r="AW121" t="str">
        <f t="shared" si="30"/>
        <v/>
      </c>
      <c r="AX121" t="str">
        <f t="shared" si="31"/>
        <v/>
      </c>
      <c r="AY121" t="str">
        <f t="shared" si="32"/>
        <v/>
      </c>
    </row>
    <row r="122" spans="2:51">
      <c r="B122" s="8"/>
      <c r="AR122" t="str">
        <f t="shared" si="25"/>
        <v/>
      </c>
      <c r="AS122" t="str">
        <f t="shared" si="26"/>
        <v/>
      </c>
      <c r="AT122" t="str">
        <f t="shared" si="27"/>
        <v/>
      </c>
      <c r="AU122" t="str">
        <f t="shared" si="28"/>
        <v/>
      </c>
      <c r="AV122" t="str">
        <f t="shared" si="29"/>
        <v/>
      </c>
      <c r="AW122" t="str">
        <f t="shared" si="30"/>
        <v/>
      </c>
      <c r="AX122" t="str">
        <f t="shared" si="31"/>
        <v/>
      </c>
      <c r="AY122" t="str">
        <f t="shared" si="32"/>
        <v/>
      </c>
    </row>
    <row r="123" spans="2:51">
      <c r="B123" s="8"/>
      <c r="AR123" t="str">
        <f t="shared" si="25"/>
        <v/>
      </c>
      <c r="AS123" t="str">
        <f t="shared" si="26"/>
        <v/>
      </c>
      <c r="AT123" t="str">
        <f t="shared" si="27"/>
        <v/>
      </c>
      <c r="AU123" t="str">
        <f t="shared" si="28"/>
        <v/>
      </c>
      <c r="AV123" t="str">
        <f t="shared" si="29"/>
        <v/>
      </c>
      <c r="AW123" t="str">
        <f t="shared" si="30"/>
        <v/>
      </c>
      <c r="AX123" t="str">
        <f t="shared" si="31"/>
        <v/>
      </c>
      <c r="AY123" t="str">
        <f t="shared" si="32"/>
        <v/>
      </c>
    </row>
    <row r="124" spans="2:51">
      <c r="B124" s="8"/>
      <c r="AR124" t="str">
        <f t="shared" si="25"/>
        <v/>
      </c>
      <c r="AS124" t="str">
        <f t="shared" si="26"/>
        <v/>
      </c>
      <c r="AT124" t="str">
        <f t="shared" si="27"/>
        <v/>
      </c>
      <c r="AU124" t="str">
        <f t="shared" si="28"/>
        <v/>
      </c>
      <c r="AV124" t="str">
        <f t="shared" si="29"/>
        <v/>
      </c>
      <c r="AW124" t="str">
        <f t="shared" si="30"/>
        <v/>
      </c>
      <c r="AX124" t="str">
        <f t="shared" si="31"/>
        <v/>
      </c>
      <c r="AY124" t="str">
        <f t="shared" si="32"/>
        <v/>
      </c>
    </row>
    <row r="125" spans="2:51">
      <c r="B125" s="8"/>
      <c r="AR125" t="str">
        <f t="shared" si="25"/>
        <v/>
      </c>
      <c r="AS125" t="str">
        <f t="shared" si="26"/>
        <v/>
      </c>
      <c r="AT125" t="str">
        <f t="shared" si="27"/>
        <v/>
      </c>
      <c r="AU125" t="str">
        <f t="shared" si="28"/>
        <v/>
      </c>
      <c r="AV125" t="str">
        <f t="shared" si="29"/>
        <v/>
      </c>
      <c r="AW125" t="str">
        <f t="shared" si="30"/>
        <v/>
      </c>
      <c r="AX125" t="str">
        <f t="shared" si="31"/>
        <v/>
      </c>
      <c r="AY125" t="str">
        <f t="shared" si="32"/>
        <v/>
      </c>
    </row>
    <row r="126" spans="2:51">
      <c r="B126" s="8"/>
      <c r="AR126" t="str">
        <f t="shared" si="25"/>
        <v/>
      </c>
      <c r="AS126" t="str">
        <f t="shared" si="26"/>
        <v/>
      </c>
      <c r="AT126" t="str">
        <f t="shared" si="27"/>
        <v/>
      </c>
      <c r="AU126" t="str">
        <f t="shared" si="28"/>
        <v/>
      </c>
      <c r="AV126" t="str">
        <f t="shared" si="29"/>
        <v/>
      </c>
      <c r="AW126" t="str">
        <f t="shared" si="30"/>
        <v/>
      </c>
      <c r="AX126" t="str">
        <f t="shared" si="31"/>
        <v/>
      </c>
      <c r="AY126" t="str">
        <f t="shared" si="32"/>
        <v/>
      </c>
    </row>
    <row r="127" spans="2:51">
      <c r="B127" s="8"/>
      <c r="AR127" t="str">
        <f t="shared" si="25"/>
        <v/>
      </c>
      <c r="AS127" t="str">
        <f t="shared" si="26"/>
        <v/>
      </c>
      <c r="AT127" t="str">
        <f t="shared" si="27"/>
        <v/>
      </c>
      <c r="AU127" t="str">
        <f t="shared" si="28"/>
        <v/>
      </c>
      <c r="AV127" t="str">
        <f t="shared" si="29"/>
        <v/>
      </c>
      <c r="AW127" t="str">
        <f t="shared" si="30"/>
        <v/>
      </c>
      <c r="AX127" t="str">
        <f t="shared" si="31"/>
        <v/>
      </c>
      <c r="AY127" t="str">
        <f t="shared" si="32"/>
        <v/>
      </c>
    </row>
    <row r="128" spans="2:51">
      <c r="B128" s="8"/>
      <c r="AR128" t="str">
        <f t="shared" si="25"/>
        <v/>
      </c>
      <c r="AS128" t="str">
        <f t="shared" si="26"/>
        <v/>
      </c>
      <c r="AT128" t="str">
        <f t="shared" si="27"/>
        <v/>
      </c>
      <c r="AU128" t="str">
        <f t="shared" si="28"/>
        <v/>
      </c>
      <c r="AV128" t="str">
        <f t="shared" si="29"/>
        <v/>
      </c>
      <c r="AW128" t="str">
        <f t="shared" si="30"/>
        <v/>
      </c>
      <c r="AX128" t="str">
        <f t="shared" si="31"/>
        <v/>
      </c>
      <c r="AY128" t="str">
        <f t="shared" si="32"/>
        <v/>
      </c>
    </row>
    <row r="129" spans="2:51">
      <c r="B129" s="8"/>
      <c r="AR129" t="str">
        <f t="shared" si="25"/>
        <v/>
      </c>
      <c r="AS129" t="str">
        <f t="shared" si="26"/>
        <v/>
      </c>
      <c r="AT129" t="str">
        <f t="shared" si="27"/>
        <v/>
      </c>
      <c r="AU129" t="str">
        <f t="shared" si="28"/>
        <v/>
      </c>
      <c r="AV129" t="str">
        <f t="shared" si="29"/>
        <v/>
      </c>
      <c r="AW129" t="str">
        <f t="shared" si="30"/>
        <v/>
      </c>
      <c r="AX129" t="str">
        <f t="shared" si="31"/>
        <v/>
      </c>
      <c r="AY129" t="str">
        <f t="shared" si="32"/>
        <v/>
      </c>
    </row>
    <row r="130" spans="2:51">
      <c r="B130" s="8"/>
      <c r="AR130" t="str">
        <f t="shared" si="25"/>
        <v/>
      </c>
      <c r="AS130" t="str">
        <f t="shared" si="26"/>
        <v/>
      </c>
      <c r="AT130" t="str">
        <f t="shared" si="27"/>
        <v/>
      </c>
      <c r="AU130" t="str">
        <f t="shared" si="28"/>
        <v/>
      </c>
      <c r="AV130" t="str">
        <f t="shared" si="29"/>
        <v/>
      </c>
      <c r="AW130" t="str">
        <f t="shared" si="30"/>
        <v/>
      </c>
      <c r="AX130" t="str">
        <f t="shared" si="31"/>
        <v/>
      </c>
      <c r="AY130" t="str">
        <f t="shared" si="32"/>
        <v/>
      </c>
    </row>
    <row r="131" spans="2:51">
      <c r="B131" s="8"/>
      <c r="AR131" t="str">
        <f t="shared" si="25"/>
        <v/>
      </c>
      <c r="AS131" t="str">
        <f t="shared" si="26"/>
        <v/>
      </c>
      <c r="AT131" t="str">
        <f t="shared" si="27"/>
        <v/>
      </c>
      <c r="AU131" t="str">
        <f t="shared" si="28"/>
        <v/>
      </c>
      <c r="AV131" t="str">
        <f t="shared" si="29"/>
        <v/>
      </c>
      <c r="AW131" t="str">
        <f t="shared" si="30"/>
        <v/>
      </c>
      <c r="AX131" t="str">
        <f t="shared" si="31"/>
        <v/>
      </c>
      <c r="AY131" t="str">
        <f t="shared" si="32"/>
        <v/>
      </c>
    </row>
    <row r="132" spans="2:51">
      <c r="B132" s="8"/>
      <c r="AR132" t="str">
        <f t="shared" si="25"/>
        <v/>
      </c>
      <c r="AS132" t="str">
        <f t="shared" si="26"/>
        <v/>
      </c>
      <c r="AT132" t="str">
        <f t="shared" si="27"/>
        <v/>
      </c>
      <c r="AU132" t="str">
        <f t="shared" si="28"/>
        <v/>
      </c>
      <c r="AV132" t="str">
        <f t="shared" si="29"/>
        <v/>
      </c>
      <c r="AW132" t="str">
        <f t="shared" si="30"/>
        <v/>
      </c>
      <c r="AX132" t="str">
        <f t="shared" si="31"/>
        <v/>
      </c>
      <c r="AY132" t="str">
        <f t="shared" si="32"/>
        <v/>
      </c>
    </row>
    <row r="133" spans="2:51">
      <c r="B133" s="8"/>
      <c r="AR133" t="str">
        <f t="shared" si="25"/>
        <v/>
      </c>
      <c r="AS133" t="str">
        <f t="shared" si="26"/>
        <v/>
      </c>
      <c r="AT133" t="str">
        <f t="shared" si="27"/>
        <v/>
      </c>
      <c r="AU133" t="str">
        <f t="shared" si="28"/>
        <v/>
      </c>
      <c r="AV133" t="str">
        <f t="shared" si="29"/>
        <v/>
      </c>
      <c r="AW133" t="str">
        <f t="shared" si="30"/>
        <v/>
      </c>
      <c r="AX133" t="str">
        <f t="shared" si="31"/>
        <v/>
      </c>
      <c r="AY133" t="str">
        <f t="shared" si="32"/>
        <v/>
      </c>
    </row>
    <row r="134" spans="2:51">
      <c r="B134" s="8"/>
      <c r="AR134" t="str">
        <f t="shared" ref="AR134:AR165" si="33">IF(C134="","",SUM(H134,N134,T134,Z134,AF134,AL134))</f>
        <v/>
      </c>
      <c r="AS134" t="str">
        <f t="shared" ref="AS134:AS165" si="34">IF(C134="","",SUM(I134,O134,U134,AA134,AG134,AM134))</f>
        <v/>
      </c>
      <c r="AT134" t="str">
        <f t="shared" ref="AT134:AT165" si="35">IF(C134="","",SUM(J134,P134,V134,AB134,AH134,AN134))</f>
        <v/>
      </c>
      <c r="AU134" t="str">
        <f t="shared" ref="AU134:AU165" si="36">IF(C134="","",SUM(K134,Q134,W134,AC134,AI134,AO134))</f>
        <v/>
      </c>
      <c r="AV134" t="str">
        <f t="shared" ref="AV134:AV165" si="37">IF(C134="","",SUM(L134,R134,X134,AD134,AJ134,AP134))</f>
        <v/>
      </c>
      <c r="AW134" t="str">
        <f t="shared" ref="AW134:AW165" si="38">IF(C134="","",SUM(M134,S134,Y134,AE134,AK134,AQ134))</f>
        <v/>
      </c>
      <c r="AX134" t="str">
        <f t="shared" ref="AX134:AX165" si="39">IF(C134="","",_xludf.CONCAT(IF(AR134&gt;=LARGE(AR134:AW134,3),"R",""),IF(AS134&gt;=LARGE(AR134:AW134,3),"I",""),IF(AT134&gt;=LARGE(AR134:AW134,3),"A",""),IF(AU134&gt;=LARGE(AR134:AW134,3),"S",""),IF(AV134&gt;=LARGE(AR134:AW134,3),"E",""),IF(AW134&gt;=LARGE(AR134:AW134,3),"C","")))</f>
        <v/>
      </c>
      <c r="AY134" t="str">
        <f t="shared" ref="AY134:AY165" si="40">IF(C134="","",IF(AR134=MAX(AR134:AW134),"นักปฏิบัติ",IF(AS134=MAX(AR134:AW134),"นักคิดวิเคราะห์",IF(AT134=MAX(AR134:AW134),"นักสร้างสรรค์",IF(AU134=MAX(AR134:AW134),"ผู้เข้าใจผู้คน",IF(AV134=MAX(AR134:AW134),"ผู้นำการเปลี่ยนแปลง","ผู้จัดระบบ"))))))</f>
        <v/>
      </c>
    </row>
    <row r="135" spans="2:51">
      <c r="B135" s="8"/>
      <c r="AR135" t="str">
        <f t="shared" si="33"/>
        <v/>
      </c>
      <c r="AS135" t="str">
        <f t="shared" si="34"/>
        <v/>
      </c>
      <c r="AT135" t="str">
        <f t="shared" si="35"/>
        <v/>
      </c>
      <c r="AU135" t="str">
        <f t="shared" si="36"/>
        <v/>
      </c>
      <c r="AV135" t="str">
        <f t="shared" si="37"/>
        <v/>
      </c>
      <c r="AW135" t="str">
        <f t="shared" si="38"/>
        <v/>
      </c>
      <c r="AX135" t="str">
        <f t="shared" si="39"/>
        <v/>
      </c>
      <c r="AY135" t="str">
        <f t="shared" si="40"/>
        <v/>
      </c>
    </row>
    <row r="136" spans="2:51">
      <c r="B136" s="8"/>
      <c r="AR136" t="str">
        <f t="shared" si="33"/>
        <v/>
      </c>
      <c r="AS136" t="str">
        <f t="shared" si="34"/>
        <v/>
      </c>
      <c r="AT136" t="str">
        <f t="shared" si="35"/>
        <v/>
      </c>
      <c r="AU136" t="str">
        <f t="shared" si="36"/>
        <v/>
      </c>
      <c r="AV136" t="str">
        <f t="shared" si="37"/>
        <v/>
      </c>
      <c r="AW136" t="str">
        <f t="shared" si="38"/>
        <v/>
      </c>
      <c r="AX136" t="str">
        <f t="shared" si="39"/>
        <v/>
      </c>
      <c r="AY136" t="str">
        <f t="shared" si="40"/>
        <v/>
      </c>
    </row>
    <row r="137" spans="2:51">
      <c r="B137" s="8"/>
      <c r="AR137" t="str">
        <f t="shared" si="33"/>
        <v/>
      </c>
      <c r="AS137" t="str">
        <f t="shared" si="34"/>
        <v/>
      </c>
      <c r="AT137" t="str">
        <f t="shared" si="35"/>
        <v/>
      </c>
      <c r="AU137" t="str">
        <f t="shared" si="36"/>
        <v/>
      </c>
      <c r="AV137" t="str">
        <f t="shared" si="37"/>
        <v/>
      </c>
      <c r="AW137" t="str">
        <f t="shared" si="38"/>
        <v/>
      </c>
      <c r="AX137" t="str">
        <f t="shared" si="39"/>
        <v/>
      </c>
      <c r="AY137" t="str">
        <f t="shared" si="40"/>
        <v/>
      </c>
    </row>
    <row r="138" spans="2:51">
      <c r="B138" s="8"/>
      <c r="AR138" t="str">
        <f t="shared" si="33"/>
        <v/>
      </c>
      <c r="AS138" t="str">
        <f t="shared" si="34"/>
        <v/>
      </c>
      <c r="AT138" t="str">
        <f t="shared" si="35"/>
        <v/>
      </c>
      <c r="AU138" t="str">
        <f t="shared" si="36"/>
        <v/>
      </c>
      <c r="AV138" t="str">
        <f t="shared" si="37"/>
        <v/>
      </c>
      <c r="AW138" t="str">
        <f t="shared" si="38"/>
        <v/>
      </c>
      <c r="AX138" t="str">
        <f t="shared" si="39"/>
        <v/>
      </c>
      <c r="AY138" t="str">
        <f t="shared" si="40"/>
        <v/>
      </c>
    </row>
    <row r="139" spans="2:51">
      <c r="B139" s="8"/>
      <c r="AR139" t="str">
        <f t="shared" si="33"/>
        <v/>
      </c>
      <c r="AS139" t="str">
        <f t="shared" si="34"/>
        <v/>
      </c>
      <c r="AT139" t="str">
        <f t="shared" si="35"/>
        <v/>
      </c>
      <c r="AU139" t="str">
        <f t="shared" si="36"/>
        <v/>
      </c>
      <c r="AV139" t="str">
        <f t="shared" si="37"/>
        <v/>
      </c>
      <c r="AW139" t="str">
        <f t="shared" si="38"/>
        <v/>
      </c>
      <c r="AX139" t="str">
        <f t="shared" si="39"/>
        <v/>
      </c>
      <c r="AY139" t="str">
        <f t="shared" si="40"/>
        <v/>
      </c>
    </row>
    <row r="140" spans="2:51">
      <c r="B140" s="8"/>
      <c r="AR140" t="str">
        <f t="shared" si="33"/>
        <v/>
      </c>
      <c r="AS140" t="str">
        <f t="shared" si="34"/>
        <v/>
      </c>
      <c r="AT140" t="str">
        <f t="shared" si="35"/>
        <v/>
      </c>
      <c r="AU140" t="str">
        <f t="shared" si="36"/>
        <v/>
      </c>
      <c r="AV140" t="str">
        <f t="shared" si="37"/>
        <v/>
      </c>
      <c r="AW140" t="str">
        <f t="shared" si="38"/>
        <v/>
      </c>
      <c r="AX140" t="str">
        <f t="shared" si="39"/>
        <v/>
      </c>
      <c r="AY140" t="str">
        <f t="shared" si="40"/>
        <v/>
      </c>
    </row>
    <row r="141" spans="2:51">
      <c r="B141" s="8"/>
      <c r="AR141" t="str">
        <f t="shared" si="33"/>
        <v/>
      </c>
      <c r="AS141" t="str">
        <f t="shared" si="34"/>
        <v/>
      </c>
      <c r="AT141" t="str">
        <f t="shared" si="35"/>
        <v/>
      </c>
      <c r="AU141" t="str">
        <f t="shared" si="36"/>
        <v/>
      </c>
      <c r="AV141" t="str">
        <f t="shared" si="37"/>
        <v/>
      </c>
      <c r="AW141" t="str">
        <f t="shared" si="38"/>
        <v/>
      </c>
      <c r="AX141" t="str">
        <f t="shared" si="39"/>
        <v/>
      </c>
      <c r="AY141" t="str">
        <f t="shared" si="40"/>
        <v/>
      </c>
    </row>
    <row r="142" spans="2:51">
      <c r="B142" s="8"/>
      <c r="AR142" t="str">
        <f t="shared" si="33"/>
        <v/>
      </c>
      <c r="AS142" t="str">
        <f t="shared" si="34"/>
        <v/>
      </c>
      <c r="AT142" t="str">
        <f t="shared" si="35"/>
        <v/>
      </c>
      <c r="AU142" t="str">
        <f t="shared" si="36"/>
        <v/>
      </c>
      <c r="AV142" t="str">
        <f t="shared" si="37"/>
        <v/>
      </c>
      <c r="AW142" t="str">
        <f t="shared" si="38"/>
        <v/>
      </c>
      <c r="AX142" t="str">
        <f t="shared" si="39"/>
        <v/>
      </c>
      <c r="AY142" t="str">
        <f t="shared" si="40"/>
        <v/>
      </c>
    </row>
    <row r="143" spans="2:51">
      <c r="B143" s="8"/>
      <c r="AR143" t="str">
        <f t="shared" si="33"/>
        <v/>
      </c>
      <c r="AS143" t="str">
        <f t="shared" si="34"/>
        <v/>
      </c>
      <c r="AT143" t="str">
        <f t="shared" si="35"/>
        <v/>
      </c>
      <c r="AU143" t="str">
        <f t="shared" si="36"/>
        <v/>
      </c>
      <c r="AV143" t="str">
        <f t="shared" si="37"/>
        <v/>
      </c>
      <c r="AW143" t="str">
        <f t="shared" si="38"/>
        <v/>
      </c>
      <c r="AX143" t="str">
        <f t="shared" si="39"/>
        <v/>
      </c>
      <c r="AY143" t="str">
        <f t="shared" si="40"/>
        <v/>
      </c>
    </row>
    <row r="144" spans="2:51">
      <c r="B144" s="8"/>
      <c r="AR144" t="str">
        <f t="shared" si="33"/>
        <v/>
      </c>
      <c r="AS144" t="str">
        <f t="shared" si="34"/>
        <v/>
      </c>
      <c r="AT144" t="str">
        <f t="shared" si="35"/>
        <v/>
      </c>
      <c r="AU144" t="str">
        <f t="shared" si="36"/>
        <v/>
      </c>
      <c r="AV144" t="str">
        <f t="shared" si="37"/>
        <v/>
      </c>
      <c r="AW144" t="str">
        <f t="shared" si="38"/>
        <v/>
      </c>
      <c r="AX144" t="str">
        <f t="shared" si="39"/>
        <v/>
      </c>
      <c r="AY144" t="str">
        <f t="shared" si="40"/>
        <v/>
      </c>
    </row>
    <row r="145" spans="2:51">
      <c r="B145" s="8"/>
      <c r="AR145" t="str">
        <f t="shared" si="33"/>
        <v/>
      </c>
      <c r="AS145" t="str">
        <f t="shared" si="34"/>
        <v/>
      </c>
      <c r="AT145" t="str">
        <f t="shared" si="35"/>
        <v/>
      </c>
      <c r="AU145" t="str">
        <f t="shared" si="36"/>
        <v/>
      </c>
      <c r="AV145" t="str">
        <f t="shared" si="37"/>
        <v/>
      </c>
      <c r="AW145" t="str">
        <f t="shared" si="38"/>
        <v/>
      </c>
      <c r="AX145" t="str">
        <f t="shared" si="39"/>
        <v/>
      </c>
      <c r="AY145" t="str">
        <f t="shared" si="40"/>
        <v/>
      </c>
    </row>
    <row r="146" spans="2:51">
      <c r="B146" s="8"/>
      <c r="AR146" t="str">
        <f t="shared" si="33"/>
        <v/>
      </c>
      <c r="AS146" t="str">
        <f t="shared" si="34"/>
        <v/>
      </c>
      <c r="AT146" t="str">
        <f t="shared" si="35"/>
        <v/>
      </c>
      <c r="AU146" t="str">
        <f t="shared" si="36"/>
        <v/>
      </c>
      <c r="AV146" t="str">
        <f t="shared" si="37"/>
        <v/>
      </c>
      <c r="AW146" t="str">
        <f t="shared" si="38"/>
        <v/>
      </c>
      <c r="AX146" t="str">
        <f t="shared" si="39"/>
        <v/>
      </c>
      <c r="AY146" t="str">
        <f t="shared" si="40"/>
        <v/>
      </c>
    </row>
    <row r="147" spans="2:51">
      <c r="B147" s="8"/>
      <c r="AR147" t="str">
        <f t="shared" si="33"/>
        <v/>
      </c>
      <c r="AS147" t="str">
        <f t="shared" si="34"/>
        <v/>
      </c>
      <c r="AT147" t="str">
        <f t="shared" si="35"/>
        <v/>
      </c>
      <c r="AU147" t="str">
        <f t="shared" si="36"/>
        <v/>
      </c>
      <c r="AV147" t="str">
        <f t="shared" si="37"/>
        <v/>
      </c>
      <c r="AW147" t="str">
        <f t="shared" si="38"/>
        <v/>
      </c>
      <c r="AX147" t="str">
        <f t="shared" si="39"/>
        <v/>
      </c>
      <c r="AY147" t="str">
        <f t="shared" si="40"/>
        <v/>
      </c>
    </row>
    <row r="148" spans="2:51">
      <c r="B148" s="8"/>
      <c r="AR148" t="str">
        <f t="shared" si="33"/>
        <v/>
      </c>
      <c r="AS148" t="str">
        <f t="shared" si="34"/>
        <v/>
      </c>
      <c r="AT148" t="str">
        <f t="shared" si="35"/>
        <v/>
      </c>
      <c r="AU148" t="str">
        <f t="shared" si="36"/>
        <v/>
      </c>
      <c r="AV148" t="str">
        <f t="shared" si="37"/>
        <v/>
      </c>
      <c r="AW148" t="str">
        <f t="shared" si="38"/>
        <v/>
      </c>
      <c r="AX148" t="str">
        <f t="shared" si="39"/>
        <v/>
      </c>
      <c r="AY148" t="str">
        <f t="shared" si="40"/>
        <v/>
      </c>
    </row>
    <row r="149" spans="2:51">
      <c r="B149" s="8"/>
      <c r="AR149" t="str">
        <f t="shared" si="33"/>
        <v/>
      </c>
      <c r="AS149" t="str">
        <f t="shared" si="34"/>
        <v/>
      </c>
      <c r="AT149" t="str">
        <f t="shared" si="35"/>
        <v/>
      </c>
      <c r="AU149" t="str">
        <f t="shared" si="36"/>
        <v/>
      </c>
      <c r="AV149" t="str">
        <f t="shared" si="37"/>
        <v/>
      </c>
      <c r="AW149" t="str">
        <f t="shared" si="38"/>
        <v/>
      </c>
      <c r="AX149" t="str">
        <f t="shared" si="39"/>
        <v/>
      </c>
      <c r="AY149" t="str">
        <f t="shared" si="40"/>
        <v/>
      </c>
    </row>
    <row r="150" spans="2:51">
      <c r="B150" s="8"/>
      <c r="AR150" t="str">
        <f t="shared" si="33"/>
        <v/>
      </c>
      <c r="AS150" t="str">
        <f t="shared" si="34"/>
        <v/>
      </c>
      <c r="AT150" t="str">
        <f t="shared" si="35"/>
        <v/>
      </c>
      <c r="AU150" t="str">
        <f t="shared" si="36"/>
        <v/>
      </c>
      <c r="AV150" t="str">
        <f t="shared" si="37"/>
        <v/>
      </c>
      <c r="AW150" t="str">
        <f t="shared" si="38"/>
        <v/>
      </c>
      <c r="AX150" t="str">
        <f t="shared" si="39"/>
        <v/>
      </c>
      <c r="AY150" t="str">
        <f t="shared" si="40"/>
        <v/>
      </c>
    </row>
    <row r="151" spans="2:51">
      <c r="B151" s="8"/>
      <c r="AR151" t="str">
        <f t="shared" si="33"/>
        <v/>
      </c>
      <c r="AS151" t="str">
        <f t="shared" si="34"/>
        <v/>
      </c>
      <c r="AT151" t="str">
        <f t="shared" si="35"/>
        <v/>
      </c>
      <c r="AU151" t="str">
        <f t="shared" si="36"/>
        <v/>
      </c>
      <c r="AV151" t="str">
        <f t="shared" si="37"/>
        <v/>
      </c>
      <c r="AW151" t="str">
        <f t="shared" si="38"/>
        <v/>
      </c>
      <c r="AX151" t="str">
        <f t="shared" si="39"/>
        <v/>
      </c>
      <c r="AY151" t="str">
        <f t="shared" si="40"/>
        <v/>
      </c>
    </row>
    <row r="152" spans="2:51">
      <c r="B152" s="8"/>
      <c r="AR152" t="str">
        <f t="shared" si="33"/>
        <v/>
      </c>
      <c r="AS152" t="str">
        <f t="shared" si="34"/>
        <v/>
      </c>
      <c r="AT152" t="str">
        <f t="shared" si="35"/>
        <v/>
      </c>
      <c r="AU152" t="str">
        <f t="shared" si="36"/>
        <v/>
      </c>
      <c r="AV152" t="str">
        <f t="shared" si="37"/>
        <v/>
      </c>
      <c r="AW152" t="str">
        <f t="shared" si="38"/>
        <v/>
      </c>
      <c r="AX152" t="str">
        <f t="shared" si="39"/>
        <v/>
      </c>
      <c r="AY152" t="str">
        <f t="shared" si="40"/>
        <v/>
      </c>
    </row>
    <row r="153" spans="2:51">
      <c r="B153" s="8"/>
      <c r="AR153" t="str">
        <f t="shared" si="33"/>
        <v/>
      </c>
      <c r="AS153" t="str">
        <f t="shared" si="34"/>
        <v/>
      </c>
      <c r="AT153" t="str">
        <f t="shared" si="35"/>
        <v/>
      </c>
      <c r="AU153" t="str">
        <f t="shared" si="36"/>
        <v/>
      </c>
      <c r="AV153" t="str">
        <f t="shared" si="37"/>
        <v/>
      </c>
      <c r="AW153" t="str">
        <f t="shared" si="38"/>
        <v/>
      </c>
      <c r="AX153" t="str">
        <f t="shared" si="39"/>
        <v/>
      </c>
      <c r="AY153" t="str">
        <f t="shared" si="40"/>
        <v/>
      </c>
    </row>
    <row r="154" spans="2:51">
      <c r="B154" s="8"/>
      <c r="AR154" t="str">
        <f t="shared" si="33"/>
        <v/>
      </c>
      <c r="AS154" t="str">
        <f t="shared" si="34"/>
        <v/>
      </c>
      <c r="AT154" t="str">
        <f t="shared" si="35"/>
        <v/>
      </c>
      <c r="AU154" t="str">
        <f t="shared" si="36"/>
        <v/>
      </c>
      <c r="AV154" t="str">
        <f t="shared" si="37"/>
        <v/>
      </c>
      <c r="AW154" t="str">
        <f t="shared" si="38"/>
        <v/>
      </c>
      <c r="AX154" t="str">
        <f t="shared" si="39"/>
        <v/>
      </c>
      <c r="AY154" t="str">
        <f t="shared" si="40"/>
        <v/>
      </c>
    </row>
    <row r="155" spans="2:51">
      <c r="B155" s="8"/>
      <c r="AR155" t="str">
        <f t="shared" si="33"/>
        <v/>
      </c>
      <c r="AS155" t="str">
        <f t="shared" si="34"/>
        <v/>
      </c>
      <c r="AT155" t="str">
        <f t="shared" si="35"/>
        <v/>
      </c>
      <c r="AU155" t="str">
        <f t="shared" si="36"/>
        <v/>
      </c>
      <c r="AV155" t="str">
        <f t="shared" si="37"/>
        <v/>
      </c>
      <c r="AW155" t="str">
        <f t="shared" si="38"/>
        <v/>
      </c>
      <c r="AX155" t="str">
        <f t="shared" si="39"/>
        <v/>
      </c>
      <c r="AY155" t="str">
        <f t="shared" si="40"/>
        <v/>
      </c>
    </row>
    <row r="156" spans="2:51">
      <c r="B156" s="8"/>
      <c r="AR156" t="str">
        <f t="shared" si="33"/>
        <v/>
      </c>
      <c r="AS156" t="str">
        <f t="shared" si="34"/>
        <v/>
      </c>
      <c r="AT156" t="str">
        <f t="shared" si="35"/>
        <v/>
      </c>
      <c r="AU156" t="str">
        <f t="shared" si="36"/>
        <v/>
      </c>
      <c r="AV156" t="str">
        <f t="shared" si="37"/>
        <v/>
      </c>
      <c r="AW156" t="str">
        <f t="shared" si="38"/>
        <v/>
      </c>
      <c r="AX156" t="str">
        <f t="shared" si="39"/>
        <v/>
      </c>
      <c r="AY156" t="str">
        <f t="shared" si="40"/>
        <v/>
      </c>
    </row>
    <row r="157" spans="2:51">
      <c r="B157" s="8"/>
      <c r="AR157" t="str">
        <f t="shared" si="33"/>
        <v/>
      </c>
      <c r="AS157" t="str">
        <f t="shared" si="34"/>
        <v/>
      </c>
      <c r="AT157" t="str">
        <f t="shared" si="35"/>
        <v/>
      </c>
      <c r="AU157" t="str">
        <f t="shared" si="36"/>
        <v/>
      </c>
      <c r="AV157" t="str">
        <f t="shared" si="37"/>
        <v/>
      </c>
      <c r="AW157" t="str">
        <f t="shared" si="38"/>
        <v/>
      </c>
      <c r="AX157" t="str">
        <f t="shared" si="39"/>
        <v/>
      </c>
      <c r="AY157" t="str">
        <f t="shared" si="40"/>
        <v/>
      </c>
    </row>
    <row r="158" spans="2:51">
      <c r="B158" s="8"/>
      <c r="AR158" t="str">
        <f t="shared" si="33"/>
        <v/>
      </c>
      <c r="AS158" t="str">
        <f t="shared" si="34"/>
        <v/>
      </c>
      <c r="AT158" t="str">
        <f t="shared" si="35"/>
        <v/>
      </c>
      <c r="AU158" t="str">
        <f t="shared" si="36"/>
        <v/>
      </c>
      <c r="AV158" t="str">
        <f t="shared" si="37"/>
        <v/>
      </c>
      <c r="AW158" t="str">
        <f t="shared" si="38"/>
        <v/>
      </c>
      <c r="AX158" t="str">
        <f t="shared" si="39"/>
        <v/>
      </c>
      <c r="AY158" t="str">
        <f t="shared" si="40"/>
        <v/>
      </c>
    </row>
    <row r="159" spans="2:51">
      <c r="B159" s="8"/>
      <c r="AR159" t="str">
        <f t="shared" si="33"/>
        <v/>
      </c>
      <c r="AS159" t="str">
        <f t="shared" si="34"/>
        <v/>
      </c>
      <c r="AT159" t="str">
        <f t="shared" si="35"/>
        <v/>
      </c>
      <c r="AU159" t="str">
        <f t="shared" si="36"/>
        <v/>
      </c>
      <c r="AV159" t="str">
        <f t="shared" si="37"/>
        <v/>
      </c>
      <c r="AW159" t="str">
        <f t="shared" si="38"/>
        <v/>
      </c>
      <c r="AX159" t="str">
        <f t="shared" si="39"/>
        <v/>
      </c>
      <c r="AY159" t="str">
        <f t="shared" si="40"/>
        <v/>
      </c>
    </row>
    <row r="160" spans="2:51">
      <c r="B160" s="8"/>
      <c r="AR160" t="str">
        <f t="shared" si="33"/>
        <v/>
      </c>
      <c r="AS160" t="str">
        <f t="shared" si="34"/>
        <v/>
      </c>
      <c r="AT160" t="str">
        <f t="shared" si="35"/>
        <v/>
      </c>
      <c r="AU160" t="str">
        <f t="shared" si="36"/>
        <v/>
      </c>
      <c r="AV160" t="str">
        <f t="shared" si="37"/>
        <v/>
      </c>
      <c r="AW160" t="str">
        <f t="shared" si="38"/>
        <v/>
      </c>
      <c r="AX160" t="str">
        <f t="shared" si="39"/>
        <v/>
      </c>
      <c r="AY160" t="str">
        <f t="shared" si="40"/>
        <v/>
      </c>
    </row>
    <row r="161" spans="2:51">
      <c r="B161" s="8"/>
      <c r="AR161" t="str">
        <f t="shared" si="33"/>
        <v/>
      </c>
      <c r="AS161" t="str">
        <f t="shared" si="34"/>
        <v/>
      </c>
      <c r="AT161" t="str">
        <f t="shared" si="35"/>
        <v/>
      </c>
      <c r="AU161" t="str">
        <f t="shared" si="36"/>
        <v/>
      </c>
      <c r="AV161" t="str">
        <f t="shared" si="37"/>
        <v/>
      </c>
      <c r="AW161" t="str">
        <f t="shared" si="38"/>
        <v/>
      </c>
      <c r="AX161" t="str">
        <f t="shared" si="39"/>
        <v/>
      </c>
      <c r="AY161" t="str">
        <f t="shared" si="40"/>
        <v/>
      </c>
    </row>
    <row r="162" spans="2:51">
      <c r="B162" s="8"/>
      <c r="AR162" t="str">
        <f t="shared" si="33"/>
        <v/>
      </c>
      <c r="AS162" t="str">
        <f t="shared" si="34"/>
        <v/>
      </c>
      <c r="AT162" t="str">
        <f t="shared" si="35"/>
        <v/>
      </c>
      <c r="AU162" t="str">
        <f t="shared" si="36"/>
        <v/>
      </c>
      <c r="AV162" t="str">
        <f t="shared" si="37"/>
        <v/>
      </c>
      <c r="AW162" t="str">
        <f t="shared" si="38"/>
        <v/>
      </c>
      <c r="AX162" t="str">
        <f t="shared" si="39"/>
        <v/>
      </c>
      <c r="AY162" t="str">
        <f t="shared" si="40"/>
        <v/>
      </c>
    </row>
    <row r="163" spans="2:51">
      <c r="B163" s="8"/>
      <c r="AR163" t="str">
        <f t="shared" si="33"/>
        <v/>
      </c>
      <c r="AS163" t="str">
        <f t="shared" si="34"/>
        <v/>
      </c>
      <c r="AT163" t="str">
        <f t="shared" si="35"/>
        <v/>
      </c>
      <c r="AU163" t="str">
        <f t="shared" si="36"/>
        <v/>
      </c>
      <c r="AV163" t="str">
        <f t="shared" si="37"/>
        <v/>
      </c>
      <c r="AW163" t="str">
        <f t="shared" si="38"/>
        <v/>
      </c>
      <c r="AX163" t="str">
        <f t="shared" si="39"/>
        <v/>
      </c>
      <c r="AY163" t="str">
        <f t="shared" si="40"/>
        <v/>
      </c>
    </row>
    <row r="164" spans="2:51">
      <c r="B164" s="8"/>
      <c r="AR164" t="str">
        <f t="shared" si="33"/>
        <v/>
      </c>
      <c r="AS164" t="str">
        <f t="shared" si="34"/>
        <v/>
      </c>
      <c r="AT164" t="str">
        <f t="shared" si="35"/>
        <v/>
      </c>
      <c r="AU164" t="str">
        <f t="shared" si="36"/>
        <v/>
      </c>
      <c r="AV164" t="str">
        <f t="shared" si="37"/>
        <v/>
      </c>
      <c r="AW164" t="str">
        <f t="shared" si="38"/>
        <v/>
      </c>
      <c r="AX164" t="str">
        <f t="shared" si="39"/>
        <v/>
      </c>
      <c r="AY164" t="str">
        <f t="shared" si="40"/>
        <v/>
      </c>
    </row>
    <row r="165" spans="2:51">
      <c r="B165" s="8"/>
      <c r="AR165" t="str">
        <f t="shared" si="33"/>
        <v/>
      </c>
      <c r="AS165" t="str">
        <f t="shared" si="34"/>
        <v/>
      </c>
      <c r="AT165" t="str">
        <f t="shared" si="35"/>
        <v/>
      </c>
      <c r="AU165" t="str">
        <f t="shared" si="36"/>
        <v/>
      </c>
      <c r="AV165" t="str">
        <f t="shared" si="37"/>
        <v/>
      </c>
      <c r="AW165" t="str">
        <f t="shared" si="38"/>
        <v/>
      </c>
      <c r="AX165" t="str">
        <f t="shared" si="39"/>
        <v/>
      </c>
      <c r="AY165" t="str">
        <f t="shared" si="40"/>
        <v/>
      </c>
    </row>
    <row r="166" spans="2:51">
      <c r="B166" s="8"/>
      <c r="AR166" t="str">
        <f t="shared" ref="AR166:AR197" si="41">IF(C166="","",SUM(H166,N166,T166,Z166,AF166,AL166))</f>
        <v/>
      </c>
      <c r="AS166" t="str">
        <f t="shared" ref="AS166:AS197" si="42">IF(C166="","",SUM(I166,O166,U166,AA166,AG166,AM166))</f>
        <v/>
      </c>
      <c r="AT166" t="str">
        <f t="shared" ref="AT166:AT197" si="43">IF(C166="","",SUM(J166,P166,V166,AB166,AH166,AN166))</f>
        <v/>
      </c>
      <c r="AU166" t="str">
        <f t="shared" ref="AU166:AU197" si="44">IF(C166="","",SUM(K166,Q166,W166,AC166,AI166,AO166))</f>
        <v/>
      </c>
      <c r="AV166" t="str">
        <f t="shared" ref="AV166:AV197" si="45">IF(C166="","",SUM(L166,R166,X166,AD166,AJ166,AP166))</f>
        <v/>
      </c>
      <c r="AW166" t="str">
        <f t="shared" ref="AW166:AW197" si="46">IF(C166="","",SUM(M166,S166,Y166,AE166,AK166,AQ166))</f>
        <v/>
      </c>
      <c r="AX166" t="str">
        <f t="shared" ref="AX166:AX197" si="47">IF(C166="","",_xludf.CONCAT(IF(AR166&gt;=LARGE(AR166:AW166,3),"R",""),IF(AS166&gt;=LARGE(AR166:AW166,3),"I",""),IF(AT166&gt;=LARGE(AR166:AW166,3),"A",""),IF(AU166&gt;=LARGE(AR166:AW166,3),"S",""),IF(AV166&gt;=LARGE(AR166:AW166,3),"E",""),IF(AW166&gt;=LARGE(AR166:AW166,3),"C","")))</f>
        <v/>
      </c>
      <c r="AY166" t="str">
        <f t="shared" ref="AY166:AY197" si="48">IF(C166="","",IF(AR166=MAX(AR166:AW166),"นักปฏิบัติ",IF(AS166=MAX(AR166:AW166),"นักคิดวิเคราะห์",IF(AT166=MAX(AR166:AW166),"นักสร้างสรรค์",IF(AU166=MAX(AR166:AW166),"ผู้เข้าใจผู้คน",IF(AV166=MAX(AR166:AW166),"ผู้นำการเปลี่ยนแปลง","ผู้จัดระบบ"))))))</f>
        <v/>
      </c>
    </row>
    <row r="167" spans="2:51">
      <c r="B167" s="8"/>
      <c r="AR167" t="str">
        <f t="shared" si="41"/>
        <v/>
      </c>
      <c r="AS167" t="str">
        <f t="shared" si="42"/>
        <v/>
      </c>
      <c r="AT167" t="str">
        <f t="shared" si="43"/>
        <v/>
      </c>
      <c r="AU167" t="str">
        <f t="shared" si="44"/>
        <v/>
      </c>
      <c r="AV167" t="str">
        <f t="shared" si="45"/>
        <v/>
      </c>
      <c r="AW167" t="str">
        <f t="shared" si="46"/>
        <v/>
      </c>
      <c r="AX167" t="str">
        <f t="shared" si="47"/>
        <v/>
      </c>
      <c r="AY167" t="str">
        <f t="shared" si="48"/>
        <v/>
      </c>
    </row>
    <row r="168" spans="2:51">
      <c r="B168" s="8"/>
      <c r="AR168" t="str">
        <f t="shared" si="41"/>
        <v/>
      </c>
      <c r="AS168" t="str">
        <f t="shared" si="42"/>
        <v/>
      </c>
      <c r="AT168" t="str">
        <f t="shared" si="43"/>
        <v/>
      </c>
      <c r="AU168" t="str">
        <f t="shared" si="44"/>
        <v/>
      </c>
      <c r="AV168" t="str">
        <f t="shared" si="45"/>
        <v/>
      </c>
      <c r="AW168" t="str">
        <f t="shared" si="46"/>
        <v/>
      </c>
      <c r="AX168" t="str">
        <f t="shared" si="47"/>
        <v/>
      </c>
      <c r="AY168" t="str">
        <f t="shared" si="48"/>
        <v/>
      </c>
    </row>
    <row r="169" spans="2:51">
      <c r="B169" s="8"/>
      <c r="AR169" t="str">
        <f t="shared" si="41"/>
        <v/>
      </c>
      <c r="AS169" t="str">
        <f t="shared" si="42"/>
        <v/>
      </c>
      <c r="AT169" t="str">
        <f t="shared" si="43"/>
        <v/>
      </c>
      <c r="AU169" t="str">
        <f t="shared" si="44"/>
        <v/>
      </c>
      <c r="AV169" t="str">
        <f t="shared" si="45"/>
        <v/>
      </c>
      <c r="AW169" t="str">
        <f t="shared" si="46"/>
        <v/>
      </c>
      <c r="AX169" t="str">
        <f t="shared" si="47"/>
        <v/>
      </c>
      <c r="AY169" t="str">
        <f t="shared" si="48"/>
        <v/>
      </c>
    </row>
    <row r="170" spans="2:51">
      <c r="B170" s="8"/>
      <c r="AR170" t="str">
        <f t="shared" si="41"/>
        <v/>
      </c>
      <c r="AS170" t="str">
        <f t="shared" si="42"/>
        <v/>
      </c>
      <c r="AT170" t="str">
        <f t="shared" si="43"/>
        <v/>
      </c>
      <c r="AU170" t="str">
        <f t="shared" si="44"/>
        <v/>
      </c>
      <c r="AV170" t="str">
        <f t="shared" si="45"/>
        <v/>
      </c>
      <c r="AW170" t="str">
        <f t="shared" si="46"/>
        <v/>
      </c>
      <c r="AX170" t="str">
        <f t="shared" si="47"/>
        <v/>
      </c>
      <c r="AY170" t="str">
        <f t="shared" si="48"/>
        <v/>
      </c>
    </row>
    <row r="171" spans="2:51">
      <c r="B171" s="8"/>
      <c r="AR171" t="str">
        <f t="shared" si="41"/>
        <v/>
      </c>
      <c r="AS171" t="str">
        <f t="shared" si="42"/>
        <v/>
      </c>
      <c r="AT171" t="str">
        <f t="shared" si="43"/>
        <v/>
      </c>
      <c r="AU171" t="str">
        <f t="shared" si="44"/>
        <v/>
      </c>
      <c r="AV171" t="str">
        <f t="shared" si="45"/>
        <v/>
      </c>
      <c r="AW171" t="str">
        <f t="shared" si="46"/>
        <v/>
      </c>
      <c r="AX171" t="str">
        <f t="shared" si="47"/>
        <v/>
      </c>
      <c r="AY171" t="str">
        <f t="shared" si="48"/>
        <v/>
      </c>
    </row>
    <row r="172" spans="2:51">
      <c r="B172" s="8"/>
      <c r="AR172" t="str">
        <f t="shared" si="41"/>
        <v/>
      </c>
      <c r="AS172" t="str">
        <f t="shared" si="42"/>
        <v/>
      </c>
      <c r="AT172" t="str">
        <f t="shared" si="43"/>
        <v/>
      </c>
      <c r="AU172" t="str">
        <f t="shared" si="44"/>
        <v/>
      </c>
      <c r="AV172" t="str">
        <f t="shared" si="45"/>
        <v/>
      </c>
      <c r="AW172" t="str">
        <f t="shared" si="46"/>
        <v/>
      </c>
      <c r="AX172" t="str">
        <f t="shared" si="47"/>
        <v/>
      </c>
      <c r="AY172" t="str">
        <f t="shared" si="48"/>
        <v/>
      </c>
    </row>
    <row r="173" spans="2:51">
      <c r="B173" s="8"/>
      <c r="AR173" t="str">
        <f t="shared" si="41"/>
        <v/>
      </c>
      <c r="AS173" t="str">
        <f t="shared" si="42"/>
        <v/>
      </c>
      <c r="AT173" t="str">
        <f t="shared" si="43"/>
        <v/>
      </c>
      <c r="AU173" t="str">
        <f t="shared" si="44"/>
        <v/>
      </c>
      <c r="AV173" t="str">
        <f t="shared" si="45"/>
        <v/>
      </c>
      <c r="AW173" t="str">
        <f t="shared" si="46"/>
        <v/>
      </c>
      <c r="AX173" t="str">
        <f t="shared" si="47"/>
        <v/>
      </c>
      <c r="AY173" t="str">
        <f t="shared" si="48"/>
        <v/>
      </c>
    </row>
    <row r="174" spans="2:51">
      <c r="B174" s="8"/>
      <c r="AR174" t="str">
        <f t="shared" si="41"/>
        <v/>
      </c>
      <c r="AS174" t="str">
        <f t="shared" si="42"/>
        <v/>
      </c>
      <c r="AT174" t="str">
        <f t="shared" si="43"/>
        <v/>
      </c>
      <c r="AU174" t="str">
        <f t="shared" si="44"/>
        <v/>
      </c>
      <c r="AV174" t="str">
        <f t="shared" si="45"/>
        <v/>
      </c>
      <c r="AW174" t="str">
        <f t="shared" si="46"/>
        <v/>
      </c>
      <c r="AX174" t="str">
        <f t="shared" si="47"/>
        <v/>
      </c>
      <c r="AY174" t="str">
        <f t="shared" si="48"/>
        <v/>
      </c>
    </row>
    <row r="175" spans="2:51">
      <c r="B175" s="8"/>
      <c r="AR175" t="str">
        <f t="shared" si="41"/>
        <v/>
      </c>
      <c r="AS175" t="str">
        <f t="shared" si="42"/>
        <v/>
      </c>
      <c r="AT175" t="str">
        <f t="shared" si="43"/>
        <v/>
      </c>
      <c r="AU175" t="str">
        <f t="shared" si="44"/>
        <v/>
      </c>
      <c r="AV175" t="str">
        <f t="shared" si="45"/>
        <v/>
      </c>
      <c r="AW175" t="str">
        <f t="shared" si="46"/>
        <v/>
      </c>
      <c r="AX175" t="str">
        <f t="shared" si="47"/>
        <v/>
      </c>
      <c r="AY175" t="str">
        <f t="shared" si="48"/>
        <v/>
      </c>
    </row>
    <row r="176" spans="2:51">
      <c r="B176" s="8"/>
      <c r="AR176" t="str">
        <f t="shared" si="41"/>
        <v/>
      </c>
      <c r="AS176" t="str">
        <f t="shared" si="42"/>
        <v/>
      </c>
      <c r="AT176" t="str">
        <f t="shared" si="43"/>
        <v/>
      </c>
      <c r="AU176" t="str">
        <f t="shared" si="44"/>
        <v/>
      </c>
      <c r="AV176" t="str">
        <f t="shared" si="45"/>
        <v/>
      </c>
      <c r="AW176" t="str">
        <f t="shared" si="46"/>
        <v/>
      </c>
      <c r="AX176" t="str">
        <f t="shared" si="47"/>
        <v/>
      </c>
      <c r="AY176" t="str">
        <f t="shared" si="48"/>
        <v/>
      </c>
    </row>
    <row r="177" spans="2:51">
      <c r="B177" s="8"/>
      <c r="AR177" t="str">
        <f t="shared" si="41"/>
        <v/>
      </c>
      <c r="AS177" t="str">
        <f t="shared" si="42"/>
        <v/>
      </c>
      <c r="AT177" t="str">
        <f t="shared" si="43"/>
        <v/>
      </c>
      <c r="AU177" t="str">
        <f t="shared" si="44"/>
        <v/>
      </c>
      <c r="AV177" t="str">
        <f t="shared" si="45"/>
        <v/>
      </c>
      <c r="AW177" t="str">
        <f t="shared" si="46"/>
        <v/>
      </c>
      <c r="AX177" t="str">
        <f t="shared" si="47"/>
        <v/>
      </c>
      <c r="AY177" t="str">
        <f t="shared" si="48"/>
        <v/>
      </c>
    </row>
    <row r="178" spans="2:51">
      <c r="B178" s="8"/>
      <c r="AR178" t="str">
        <f t="shared" si="41"/>
        <v/>
      </c>
      <c r="AS178" t="str">
        <f t="shared" si="42"/>
        <v/>
      </c>
      <c r="AT178" t="str">
        <f t="shared" si="43"/>
        <v/>
      </c>
      <c r="AU178" t="str">
        <f t="shared" si="44"/>
        <v/>
      </c>
      <c r="AV178" t="str">
        <f t="shared" si="45"/>
        <v/>
      </c>
      <c r="AW178" t="str">
        <f t="shared" si="46"/>
        <v/>
      </c>
      <c r="AX178" t="str">
        <f t="shared" si="47"/>
        <v/>
      </c>
      <c r="AY178" t="str">
        <f t="shared" si="48"/>
        <v/>
      </c>
    </row>
    <row r="179" spans="2:51">
      <c r="B179" s="8"/>
      <c r="AR179" t="str">
        <f t="shared" si="41"/>
        <v/>
      </c>
      <c r="AS179" t="str">
        <f t="shared" si="42"/>
        <v/>
      </c>
      <c r="AT179" t="str">
        <f t="shared" si="43"/>
        <v/>
      </c>
      <c r="AU179" t="str">
        <f t="shared" si="44"/>
        <v/>
      </c>
      <c r="AV179" t="str">
        <f t="shared" si="45"/>
        <v/>
      </c>
      <c r="AW179" t="str">
        <f t="shared" si="46"/>
        <v/>
      </c>
      <c r="AX179" t="str">
        <f t="shared" si="47"/>
        <v/>
      </c>
      <c r="AY179" t="str">
        <f t="shared" si="48"/>
        <v/>
      </c>
    </row>
    <row r="180" spans="2:51">
      <c r="B180" s="8"/>
      <c r="AR180" t="str">
        <f t="shared" si="41"/>
        <v/>
      </c>
      <c r="AS180" t="str">
        <f t="shared" si="42"/>
        <v/>
      </c>
      <c r="AT180" t="str">
        <f t="shared" si="43"/>
        <v/>
      </c>
      <c r="AU180" t="str">
        <f t="shared" si="44"/>
        <v/>
      </c>
      <c r="AV180" t="str">
        <f t="shared" si="45"/>
        <v/>
      </c>
      <c r="AW180" t="str">
        <f t="shared" si="46"/>
        <v/>
      </c>
      <c r="AX180" t="str">
        <f t="shared" si="47"/>
        <v/>
      </c>
      <c r="AY180" t="str">
        <f t="shared" si="48"/>
        <v/>
      </c>
    </row>
    <row r="181" spans="2:51">
      <c r="B181" s="8"/>
      <c r="AR181" t="str">
        <f t="shared" si="41"/>
        <v/>
      </c>
      <c r="AS181" t="str">
        <f t="shared" si="42"/>
        <v/>
      </c>
      <c r="AT181" t="str">
        <f t="shared" si="43"/>
        <v/>
      </c>
      <c r="AU181" t="str">
        <f t="shared" si="44"/>
        <v/>
      </c>
      <c r="AV181" t="str">
        <f t="shared" si="45"/>
        <v/>
      </c>
      <c r="AW181" t="str">
        <f t="shared" si="46"/>
        <v/>
      </c>
      <c r="AX181" t="str">
        <f t="shared" si="47"/>
        <v/>
      </c>
      <c r="AY181" t="str">
        <f t="shared" si="48"/>
        <v/>
      </c>
    </row>
    <row r="182" spans="2:51">
      <c r="B182" s="8"/>
      <c r="AR182" t="str">
        <f t="shared" si="41"/>
        <v/>
      </c>
      <c r="AS182" t="str">
        <f t="shared" si="42"/>
        <v/>
      </c>
      <c r="AT182" t="str">
        <f t="shared" si="43"/>
        <v/>
      </c>
      <c r="AU182" t="str">
        <f t="shared" si="44"/>
        <v/>
      </c>
      <c r="AV182" t="str">
        <f t="shared" si="45"/>
        <v/>
      </c>
      <c r="AW182" t="str">
        <f t="shared" si="46"/>
        <v/>
      </c>
      <c r="AX182" t="str">
        <f t="shared" si="47"/>
        <v/>
      </c>
      <c r="AY182" t="str">
        <f t="shared" si="48"/>
        <v/>
      </c>
    </row>
    <row r="183" spans="2:51">
      <c r="B183" s="8"/>
      <c r="AR183" t="str">
        <f t="shared" si="41"/>
        <v/>
      </c>
      <c r="AS183" t="str">
        <f t="shared" si="42"/>
        <v/>
      </c>
      <c r="AT183" t="str">
        <f t="shared" si="43"/>
        <v/>
      </c>
      <c r="AU183" t="str">
        <f t="shared" si="44"/>
        <v/>
      </c>
      <c r="AV183" t="str">
        <f t="shared" si="45"/>
        <v/>
      </c>
      <c r="AW183" t="str">
        <f t="shared" si="46"/>
        <v/>
      </c>
      <c r="AX183" t="str">
        <f t="shared" si="47"/>
        <v/>
      </c>
      <c r="AY183" t="str">
        <f t="shared" si="48"/>
        <v/>
      </c>
    </row>
    <row r="184" spans="2:51">
      <c r="B184" s="8"/>
      <c r="AR184" t="str">
        <f t="shared" si="41"/>
        <v/>
      </c>
      <c r="AS184" t="str">
        <f t="shared" si="42"/>
        <v/>
      </c>
      <c r="AT184" t="str">
        <f t="shared" si="43"/>
        <v/>
      </c>
      <c r="AU184" t="str">
        <f t="shared" si="44"/>
        <v/>
      </c>
      <c r="AV184" t="str">
        <f t="shared" si="45"/>
        <v/>
      </c>
      <c r="AW184" t="str">
        <f t="shared" si="46"/>
        <v/>
      </c>
      <c r="AX184" t="str">
        <f t="shared" si="47"/>
        <v/>
      </c>
      <c r="AY184" t="str">
        <f t="shared" si="48"/>
        <v/>
      </c>
    </row>
    <row r="185" spans="2:51">
      <c r="B185" s="8"/>
      <c r="AR185" t="str">
        <f t="shared" si="41"/>
        <v/>
      </c>
      <c r="AS185" t="str">
        <f t="shared" si="42"/>
        <v/>
      </c>
      <c r="AT185" t="str">
        <f t="shared" si="43"/>
        <v/>
      </c>
      <c r="AU185" t="str">
        <f t="shared" si="44"/>
        <v/>
      </c>
      <c r="AV185" t="str">
        <f t="shared" si="45"/>
        <v/>
      </c>
      <c r="AW185" t="str">
        <f t="shared" si="46"/>
        <v/>
      </c>
      <c r="AX185" t="str">
        <f t="shared" si="47"/>
        <v/>
      </c>
      <c r="AY185" t="str">
        <f t="shared" si="48"/>
        <v/>
      </c>
    </row>
    <row r="186" spans="2:51">
      <c r="B186" s="8"/>
      <c r="AR186" t="str">
        <f t="shared" si="41"/>
        <v/>
      </c>
      <c r="AS186" t="str">
        <f t="shared" si="42"/>
        <v/>
      </c>
      <c r="AT186" t="str">
        <f t="shared" si="43"/>
        <v/>
      </c>
      <c r="AU186" t="str">
        <f t="shared" si="44"/>
        <v/>
      </c>
      <c r="AV186" t="str">
        <f t="shared" si="45"/>
        <v/>
      </c>
      <c r="AW186" t="str">
        <f t="shared" si="46"/>
        <v/>
      </c>
      <c r="AX186" t="str">
        <f t="shared" si="47"/>
        <v/>
      </c>
      <c r="AY186" t="str">
        <f t="shared" si="48"/>
        <v/>
      </c>
    </row>
    <row r="187" spans="2:51">
      <c r="B187" s="8"/>
      <c r="AR187" t="str">
        <f t="shared" si="41"/>
        <v/>
      </c>
      <c r="AS187" t="str">
        <f t="shared" si="42"/>
        <v/>
      </c>
      <c r="AT187" t="str">
        <f t="shared" si="43"/>
        <v/>
      </c>
      <c r="AU187" t="str">
        <f t="shared" si="44"/>
        <v/>
      </c>
      <c r="AV187" t="str">
        <f t="shared" si="45"/>
        <v/>
      </c>
      <c r="AW187" t="str">
        <f t="shared" si="46"/>
        <v/>
      </c>
      <c r="AX187" t="str">
        <f t="shared" si="47"/>
        <v/>
      </c>
      <c r="AY187" t="str">
        <f t="shared" si="48"/>
        <v/>
      </c>
    </row>
    <row r="188" spans="2:51">
      <c r="B188" s="8"/>
      <c r="AR188" t="str">
        <f t="shared" si="41"/>
        <v/>
      </c>
      <c r="AS188" t="str">
        <f t="shared" si="42"/>
        <v/>
      </c>
      <c r="AT188" t="str">
        <f t="shared" si="43"/>
        <v/>
      </c>
      <c r="AU188" t="str">
        <f t="shared" si="44"/>
        <v/>
      </c>
      <c r="AV188" t="str">
        <f t="shared" si="45"/>
        <v/>
      </c>
      <c r="AW188" t="str">
        <f t="shared" si="46"/>
        <v/>
      </c>
      <c r="AX188" t="str">
        <f t="shared" si="47"/>
        <v/>
      </c>
      <c r="AY188" t="str">
        <f t="shared" si="48"/>
        <v/>
      </c>
    </row>
    <row r="189" spans="2:51">
      <c r="B189" s="8"/>
      <c r="AR189" t="str">
        <f t="shared" si="41"/>
        <v/>
      </c>
      <c r="AS189" t="str">
        <f t="shared" si="42"/>
        <v/>
      </c>
      <c r="AT189" t="str">
        <f t="shared" si="43"/>
        <v/>
      </c>
      <c r="AU189" t="str">
        <f t="shared" si="44"/>
        <v/>
      </c>
      <c r="AV189" t="str">
        <f t="shared" si="45"/>
        <v/>
      </c>
      <c r="AW189" t="str">
        <f t="shared" si="46"/>
        <v/>
      </c>
      <c r="AX189" t="str">
        <f t="shared" si="47"/>
        <v/>
      </c>
      <c r="AY189" t="str">
        <f t="shared" si="48"/>
        <v/>
      </c>
    </row>
    <row r="190" spans="2:51">
      <c r="B190" s="8"/>
      <c r="AR190" t="str">
        <f t="shared" si="41"/>
        <v/>
      </c>
      <c r="AS190" t="str">
        <f t="shared" si="42"/>
        <v/>
      </c>
      <c r="AT190" t="str">
        <f t="shared" si="43"/>
        <v/>
      </c>
      <c r="AU190" t="str">
        <f t="shared" si="44"/>
        <v/>
      </c>
      <c r="AV190" t="str">
        <f t="shared" si="45"/>
        <v/>
      </c>
      <c r="AW190" t="str">
        <f t="shared" si="46"/>
        <v/>
      </c>
      <c r="AX190" t="str">
        <f t="shared" si="47"/>
        <v/>
      </c>
      <c r="AY190" t="str">
        <f t="shared" si="48"/>
        <v/>
      </c>
    </row>
    <row r="191" spans="2:51">
      <c r="B191" s="8"/>
      <c r="AR191" t="str">
        <f t="shared" si="41"/>
        <v/>
      </c>
      <c r="AS191" t="str">
        <f t="shared" si="42"/>
        <v/>
      </c>
      <c r="AT191" t="str">
        <f t="shared" si="43"/>
        <v/>
      </c>
      <c r="AU191" t="str">
        <f t="shared" si="44"/>
        <v/>
      </c>
      <c r="AV191" t="str">
        <f t="shared" si="45"/>
        <v/>
      </c>
      <c r="AW191" t="str">
        <f t="shared" si="46"/>
        <v/>
      </c>
      <c r="AX191" t="str">
        <f t="shared" si="47"/>
        <v/>
      </c>
      <c r="AY191" t="str">
        <f t="shared" si="48"/>
        <v/>
      </c>
    </row>
    <row r="192" spans="2:51">
      <c r="B192" s="8"/>
      <c r="AR192" t="str">
        <f t="shared" si="41"/>
        <v/>
      </c>
      <c r="AS192" t="str">
        <f t="shared" si="42"/>
        <v/>
      </c>
      <c r="AT192" t="str">
        <f t="shared" si="43"/>
        <v/>
      </c>
      <c r="AU192" t="str">
        <f t="shared" si="44"/>
        <v/>
      </c>
      <c r="AV192" t="str">
        <f t="shared" si="45"/>
        <v/>
      </c>
      <c r="AW192" t="str">
        <f t="shared" si="46"/>
        <v/>
      </c>
      <c r="AX192" t="str">
        <f t="shared" si="47"/>
        <v/>
      </c>
      <c r="AY192" t="str">
        <f t="shared" si="48"/>
        <v/>
      </c>
    </row>
    <row r="193" spans="2:51">
      <c r="B193" s="8"/>
      <c r="AR193" t="str">
        <f t="shared" si="41"/>
        <v/>
      </c>
      <c r="AS193" t="str">
        <f t="shared" si="42"/>
        <v/>
      </c>
      <c r="AT193" t="str">
        <f t="shared" si="43"/>
        <v/>
      </c>
      <c r="AU193" t="str">
        <f t="shared" si="44"/>
        <v/>
      </c>
      <c r="AV193" t="str">
        <f t="shared" si="45"/>
        <v/>
      </c>
      <c r="AW193" t="str">
        <f t="shared" si="46"/>
        <v/>
      </c>
      <c r="AX193" t="str">
        <f t="shared" si="47"/>
        <v/>
      </c>
      <c r="AY193" t="str">
        <f t="shared" si="48"/>
        <v/>
      </c>
    </row>
    <row r="194" spans="2:51">
      <c r="B194" s="8"/>
      <c r="AR194" t="str">
        <f t="shared" si="41"/>
        <v/>
      </c>
      <c r="AS194" t="str">
        <f t="shared" si="42"/>
        <v/>
      </c>
      <c r="AT194" t="str">
        <f t="shared" si="43"/>
        <v/>
      </c>
      <c r="AU194" t="str">
        <f t="shared" si="44"/>
        <v/>
      </c>
      <c r="AV194" t="str">
        <f t="shared" si="45"/>
        <v/>
      </c>
      <c r="AW194" t="str">
        <f t="shared" si="46"/>
        <v/>
      </c>
      <c r="AX194" t="str">
        <f t="shared" si="47"/>
        <v/>
      </c>
      <c r="AY194" t="str">
        <f t="shared" si="48"/>
        <v/>
      </c>
    </row>
    <row r="195" spans="2:51">
      <c r="B195" s="8"/>
      <c r="AR195" t="str">
        <f t="shared" si="41"/>
        <v/>
      </c>
      <c r="AS195" t="str">
        <f t="shared" si="42"/>
        <v/>
      </c>
      <c r="AT195" t="str">
        <f t="shared" si="43"/>
        <v/>
      </c>
      <c r="AU195" t="str">
        <f t="shared" si="44"/>
        <v/>
      </c>
      <c r="AV195" t="str">
        <f t="shared" si="45"/>
        <v/>
      </c>
      <c r="AW195" t="str">
        <f t="shared" si="46"/>
        <v/>
      </c>
      <c r="AX195" t="str">
        <f t="shared" si="47"/>
        <v/>
      </c>
      <c r="AY195" t="str">
        <f t="shared" si="48"/>
        <v/>
      </c>
    </row>
    <row r="196" spans="2:51">
      <c r="B196" s="8"/>
      <c r="AR196" t="str">
        <f t="shared" si="41"/>
        <v/>
      </c>
      <c r="AS196" t="str">
        <f t="shared" si="42"/>
        <v/>
      </c>
      <c r="AT196" t="str">
        <f t="shared" si="43"/>
        <v/>
      </c>
      <c r="AU196" t="str">
        <f t="shared" si="44"/>
        <v/>
      </c>
      <c r="AV196" t="str">
        <f t="shared" si="45"/>
        <v/>
      </c>
      <c r="AW196" t="str">
        <f t="shared" si="46"/>
        <v/>
      </c>
      <c r="AX196" t="str">
        <f t="shared" si="47"/>
        <v/>
      </c>
      <c r="AY196" t="str">
        <f t="shared" si="48"/>
        <v/>
      </c>
    </row>
    <row r="197" spans="2:51">
      <c r="B197" s="8"/>
      <c r="AR197" t="str">
        <f t="shared" si="41"/>
        <v/>
      </c>
      <c r="AS197" t="str">
        <f t="shared" si="42"/>
        <v/>
      </c>
      <c r="AT197" t="str">
        <f t="shared" si="43"/>
        <v/>
      </c>
      <c r="AU197" t="str">
        <f t="shared" si="44"/>
        <v/>
      </c>
      <c r="AV197" t="str">
        <f t="shared" si="45"/>
        <v/>
      </c>
      <c r="AW197" t="str">
        <f t="shared" si="46"/>
        <v/>
      </c>
      <c r="AX197" t="str">
        <f t="shared" si="47"/>
        <v/>
      </c>
      <c r="AY197" t="str">
        <f t="shared" si="48"/>
        <v/>
      </c>
    </row>
    <row r="198" spans="2:51">
      <c r="B198" s="8"/>
      <c r="AR198" t="str">
        <f t="shared" ref="AR198:AR205" si="49">IF(C198="","",SUM(H198,N198,T198,Z198,AF198,AL198))</f>
        <v/>
      </c>
      <c r="AS198" t="str">
        <f t="shared" ref="AS198:AS205" si="50">IF(C198="","",SUM(I198,O198,U198,AA198,AG198,AM198))</f>
        <v/>
      </c>
      <c r="AT198" t="str">
        <f t="shared" ref="AT198:AT205" si="51">IF(C198="","",SUM(J198,P198,V198,AB198,AH198,AN198))</f>
        <v/>
      </c>
      <c r="AU198" t="str">
        <f t="shared" ref="AU198:AU205" si="52">IF(C198="","",SUM(K198,Q198,W198,AC198,AI198,AO198))</f>
        <v/>
      </c>
      <c r="AV198" t="str">
        <f t="shared" ref="AV198:AV205" si="53">IF(C198="","",SUM(L198,R198,X198,AD198,AJ198,AP198))</f>
        <v/>
      </c>
      <c r="AW198" t="str">
        <f t="shared" ref="AW198:AW205" si="54">IF(C198="","",SUM(M198,S198,Y198,AE198,AK198,AQ198))</f>
        <v/>
      </c>
      <c r="AX198" t="str">
        <f t="shared" ref="AX198:AX229" si="55">IF(C198="","",_xludf.CONCAT(IF(AR198&gt;=LARGE(AR198:AW198,3),"R",""),IF(AS198&gt;=LARGE(AR198:AW198,3),"I",""),IF(AT198&gt;=LARGE(AR198:AW198,3),"A",""),IF(AU198&gt;=LARGE(AR198:AW198,3),"S",""),IF(AV198&gt;=LARGE(AR198:AW198,3),"E",""),IF(AW198&gt;=LARGE(AR198:AW198,3),"C","")))</f>
        <v/>
      </c>
      <c r="AY198" t="str">
        <f t="shared" ref="AY198:AY205" si="56">IF(C198="","",IF(AR198=MAX(AR198:AW198),"นักปฏิบัติ",IF(AS198=MAX(AR198:AW198),"นักคิดวิเคราะห์",IF(AT198=MAX(AR198:AW198),"นักสร้างสรรค์",IF(AU198=MAX(AR198:AW198),"ผู้เข้าใจผู้คน",IF(AV198=MAX(AR198:AW198),"ผู้นำการเปลี่ยนแปลง","ผู้จัดระบบ"))))))</f>
        <v/>
      </c>
    </row>
    <row r="199" spans="2:51">
      <c r="B199" s="8"/>
      <c r="AR199" t="str">
        <f t="shared" si="49"/>
        <v/>
      </c>
      <c r="AS199" t="str">
        <f t="shared" si="50"/>
        <v/>
      </c>
      <c r="AT199" t="str">
        <f t="shared" si="51"/>
        <v/>
      </c>
      <c r="AU199" t="str">
        <f t="shared" si="52"/>
        <v/>
      </c>
      <c r="AV199" t="str">
        <f t="shared" si="53"/>
        <v/>
      </c>
      <c r="AW199" t="str">
        <f t="shared" si="54"/>
        <v/>
      </c>
      <c r="AX199" t="str">
        <f t="shared" si="55"/>
        <v/>
      </c>
      <c r="AY199" t="str">
        <f t="shared" si="56"/>
        <v/>
      </c>
    </row>
    <row r="200" spans="2:51">
      <c r="B200" s="8"/>
      <c r="AR200" t="str">
        <f t="shared" si="49"/>
        <v/>
      </c>
      <c r="AS200" t="str">
        <f t="shared" si="50"/>
        <v/>
      </c>
      <c r="AT200" t="str">
        <f t="shared" si="51"/>
        <v/>
      </c>
      <c r="AU200" t="str">
        <f t="shared" si="52"/>
        <v/>
      </c>
      <c r="AV200" t="str">
        <f t="shared" si="53"/>
        <v/>
      </c>
      <c r="AW200" t="str">
        <f t="shared" si="54"/>
        <v/>
      </c>
      <c r="AX200" t="str">
        <f t="shared" si="55"/>
        <v/>
      </c>
      <c r="AY200" t="str">
        <f t="shared" si="56"/>
        <v/>
      </c>
    </row>
    <row r="201" spans="2:51">
      <c r="B201" s="8"/>
      <c r="AR201" t="str">
        <f t="shared" si="49"/>
        <v/>
      </c>
      <c r="AS201" t="str">
        <f t="shared" si="50"/>
        <v/>
      </c>
      <c r="AT201" t="str">
        <f t="shared" si="51"/>
        <v/>
      </c>
      <c r="AU201" t="str">
        <f t="shared" si="52"/>
        <v/>
      </c>
      <c r="AV201" t="str">
        <f t="shared" si="53"/>
        <v/>
      </c>
      <c r="AW201" t="str">
        <f t="shared" si="54"/>
        <v/>
      </c>
      <c r="AX201" t="str">
        <f t="shared" si="55"/>
        <v/>
      </c>
      <c r="AY201" t="str">
        <f t="shared" si="56"/>
        <v/>
      </c>
    </row>
    <row r="202" spans="2:51">
      <c r="B202" s="8"/>
      <c r="AR202" t="str">
        <f t="shared" si="49"/>
        <v/>
      </c>
      <c r="AS202" t="str">
        <f t="shared" si="50"/>
        <v/>
      </c>
      <c r="AT202" t="str">
        <f t="shared" si="51"/>
        <v/>
      </c>
      <c r="AU202" t="str">
        <f t="shared" si="52"/>
        <v/>
      </c>
      <c r="AV202" t="str">
        <f t="shared" si="53"/>
        <v/>
      </c>
      <c r="AW202" t="str">
        <f t="shared" si="54"/>
        <v/>
      </c>
      <c r="AX202" t="str">
        <f t="shared" si="55"/>
        <v/>
      </c>
      <c r="AY202" t="str">
        <f t="shared" si="56"/>
        <v/>
      </c>
    </row>
    <row r="203" spans="2:51">
      <c r="B203" s="8"/>
      <c r="AR203" t="str">
        <f t="shared" si="49"/>
        <v/>
      </c>
      <c r="AS203" t="str">
        <f t="shared" si="50"/>
        <v/>
      </c>
      <c r="AT203" t="str">
        <f t="shared" si="51"/>
        <v/>
      </c>
      <c r="AU203" t="str">
        <f t="shared" si="52"/>
        <v/>
      </c>
      <c r="AV203" t="str">
        <f t="shared" si="53"/>
        <v/>
      </c>
      <c r="AW203" t="str">
        <f t="shared" si="54"/>
        <v/>
      </c>
      <c r="AX203" t="str">
        <f t="shared" si="55"/>
        <v/>
      </c>
      <c r="AY203" t="str">
        <f t="shared" si="56"/>
        <v/>
      </c>
    </row>
    <row r="204" spans="2:51">
      <c r="B204" s="8"/>
      <c r="AR204" t="str">
        <f t="shared" si="49"/>
        <v/>
      </c>
      <c r="AS204" t="str">
        <f t="shared" si="50"/>
        <v/>
      </c>
      <c r="AT204" t="str">
        <f t="shared" si="51"/>
        <v/>
      </c>
      <c r="AU204" t="str">
        <f t="shared" si="52"/>
        <v/>
      </c>
      <c r="AV204" t="str">
        <f t="shared" si="53"/>
        <v/>
      </c>
      <c r="AW204" t="str">
        <f t="shared" si="54"/>
        <v/>
      </c>
      <c r="AX204" t="str">
        <f t="shared" si="55"/>
        <v/>
      </c>
      <c r="AY204" t="str">
        <f t="shared" si="56"/>
        <v/>
      </c>
    </row>
    <row r="205" spans="2:51">
      <c r="B205" s="8"/>
      <c r="AR205" t="str">
        <f t="shared" si="49"/>
        <v/>
      </c>
      <c r="AS205" t="str">
        <f t="shared" si="50"/>
        <v/>
      </c>
      <c r="AT205" t="str">
        <f t="shared" si="51"/>
        <v/>
      </c>
      <c r="AU205" t="str">
        <f t="shared" si="52"/>
        <v/>
      </c>
      <c r="AV205" t="str">
        <f t="shared" si="53"/>
        <v/>
      </c>
      <c r="AW205" t="str">
        <f t="shared" si="54"/>
        <v/>
      </c>
      <c r="AX205" t="str">
        <f t="shared" si="55"/>
        <v/>
      </c>
      <c r="AY205" t="str">
        <f t="shared" si="56"/>
        <v/>
      </c>
    </row>
  </sheetData>
  <mergeCells count="1">
    <mergeCell ref="A1:A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showGridLines="0" workbookViewId="0"/>
  </sheetViews>
  <sheetFormatPr defaultRowHeight="13.8"/>
  <cols>
    <col min="1" max="1" width="12" customWidth="1"/>
    <col min="2" max="2" width="18" customWidth="1"/>
    <col min="3" max="3" width="14" customWidth="1"/>
    <col min="4" max="4" width="62" customWidth="1"/>
    <col min="5" max="6" width="12" customWidth="1"/>
  </cols>
  <sheetData>
    <row r="1" spans="1:6" ht="22.8">
      <c r="A1" s="11" t="s">
        <v>72</v>
      </c>
      <c r="B1" s="11"/>
      <c r="C1" s="11"/>
      <c r="D1" s="11"/>
      <c r="E1" s="11"/>
      <c r="F1" s="11"/>
    </row>
    <row r="2" spans="1:6">
      <c r="A2" s="1" t="s">
        <v>73</v>
      </c>
    </row>
    <row r="4" spans="1:6">
      <c r="A4" s="5" t="s">
        <v>74</v>
      </c>
      <c r="B4" s="6" t="s">
        <v>75</v>
      </c>
      <c r="C4" s="6" t="s">
        <v>76</v>
      </c>
      <c r="D4" s="6" t="s">
        <v>77</v>
      </c>
      <c r="E4" s="6" t="s">
        <v>78</v>
      </c>
      <c r="F4" s="7" t="s">
        <v>79</v>
      </c>
    </row>
    <row r="5" spans="1:6">
      <c r="A5" s="2" t="s">
        <v>80</v>
      </c>
      <c r="B5" s="2" t="s">
        <v>81</v>
      </c>
      <c r="C5" s="2" t="s">
        <v>59</v>
      </c>
      <c r="D5" s="2" t="s">
        <v>82</v>
      </c>
      <c r="E5" s="2">
        <v>1</v>
      </c>
      <c r="F5" s="2">
        <v>0</v>
      </c>
    </row>
    <row r="6" spans="1:6">
      <c r="A6" s="2" t="s">
        <v>83</v>
      </c>
      <c r="B6" s="2" t="s">
        <v>81</v>
      </c>
      <c r="C6" s="2" t="s">
        <v>60</v>
      </c>
      <c r="D6" s="2" t="s">
        <v>84</v>
      </c>
      <c r="E6" s="2">
        <v>1</v>
      </c>
      <c r="F6" s="2">
        <v>0</v>
      </c>
    </row>
    <row r="7" spans="1:6">
      <c r="A7" s="2" t="s">
        <v>85</v>
      </c>
      <c r="B7" s="2" t="s">
        <v>81</v>
      </c>
      <c r="C7" s="2" t="s">
        <v>61</v>
      </c>
      <c r="D7" s="2" t="s">
        <v>86</v>
      </c>
      <c r="E7" s="2">
        <v>1</v>
      </c>
      <c r="F7" s="2">
        <v>0</v>
      </c>
    </row>
    <row r="8" spans="1:6">
      <c r="A8" s="2" t="s">
        <v>87</v>
      </c>
      <c r="B8" s="2" t="s">
        <v>81</v>
      </c>
      <c r="C8" s="2" t="s">
        <v>62</v>
      </c>
      <c r="D8" s="2" t="s">
        <v>88</v>
      </c>
      <c r="E8" s="2">
        <v>1</v>
      </c>
      <c r="F8" s="2">
        <v>0</v>
      </c>
    </row>
    <row r="9" spans="1:6">
      <c r="A9" s="2" t="s">
        <v>89</v>
      </c>
      <c r="B9" s="2" t="s">
        <v>81</v>
      </c>
      <c r="C9" s="2" t="s">
        <v>63</v>
      </c>
      <c r="D9" s="2" t="s">
        <v>90</v>
      </c>
      <c r="E9" s="2">
        <v>1</v>
      </c>
      <c r="F9" s="2">
        <v>0</v>
      </c>
    </row>
    <row r="10" spans="1:6">
      <c r="A10" s="2" t="s">
        <v>91</v>
      </c>
      <c r="B10" s="2" t="s">
        <v>81</v>
      </c>
      <c r="C10" s="2" t="s">
        <v>64</v>
      </c>
      <c r="D10" s="2" t="s">
        <v>92</v>
      </c>
      <c r="E10" s="2">
        <v>1</v>
      </c>
      <c r="F10" s="2">
        <v>0</v>
      </c>
    </row>
    <row r="11" spans="1:6">
      <c r="A11" s="2" t="s">
        <v>93</v>
      </c>
      <c r="B11" s="2" t="s">
        <v>94</v>
      </c>
      <c r="C11" s="2" t="s">
        <v>59</v>
      </c>
      <c r="D11" s="2" t="s">
        <v>95</v>
      </c>
      <c r="E11" s="2">
        <v>1</v>
      </c>
      <c r="F11" s="2">
        <v>0</v>
      </c>
    </row>
    <row r="12" spans="1:6">
      <c r="A12" s="2" t="s">
        <v>96</v>
      </c>
      <c r="B12" s="2" t="s">
        <v>94</v>
      </c>
      <c r="C12" s="2" t="s">
        <v>60</v>
      </c>
      <c r="D12" s="2" t="s">
        <v>97</v>
      </c>
      <c r="E12" s="2">
        <v>1</v>
      </c>
      <c r="F12" s="2">
        <v>0</v>
      </c>
    </row>
    <row r="13" spans="1:6">
      <c r="A13" s="2" t="s">
        <v>98</v>
      </c>
      <c r="B13" s="2" t="s">
        <v>94</v>
      </c>
      <c r="C13" s="2" t="s">
        <v>61</v>
      </c>
      <c r="D13" s="2" t="s">
        <v>99</v>
      </c>
      <c r="E13" s="2">
        <v>1</v>
      </c>
      <c r="F13" s="2">
        <v>0</v>
      </c>
    </row>
    <row r="14" spans="1:6">
      <c r="A14" s="2" t="s">
        <v>100</v>
      </c>
      <c r="B14" s="2" t="s">
        <v>94</v>
      </c>
      <c r="C14" s="2" t="s">
        <v>62</v>
      </c>
      <c r="D14" s="2" t="s">
        <v>101</v>
      </c>
      <c r="E14" s="2">
        <v>1</v>
      </c>
      <c r="F14" s="2">
        <v>0</v>
      </c>
    </row>
    <row r="15" spans="1:6">
      <c r="A15" s="2" t="s">
        <v>102</v>
      </c>
      <c r="B15" s="2" t="s">
        <v>94</v>
      </c>
      <c r="C15" s="2" t="s">
        <v>63</v>
      </c>
      <c r="D15" s="2" t="s">
        <v>103</v>
      </c>
      <c r="E15" s="2">
        <v>1</v>
      </c>
      <c r="F15" s="2">
        <v>0</v>
      </c>
    </row>
    <row r="16" spans="1:6">
      <c r="A16" s="2" t="s">
        <v>104</v>
      </c>
      <c r="B16" s="2" t="s">
        <v>94</v>
      </c>
      <c r="C16" s="2" t="s">
        <v>64</v>
      </c>
      <c r="D16" s="2" t="s">
        <v>105</v>
      </c>
      <c r="E16" s="2">
        <v>1</v>
      </c>
      <c r="F16" s="2">
        <v>0</v>
      </c>
    </row>
    <row r="17" spans="1:6">
      <c r="A17" s="2" t="s">
        <v>106</v>
      </c>
      <c r="B17" s="2" t="s">
        <v>107</v>
      </c>
      <c r="C17" s="2" t="s">
        <v>59</v>
      </c>
      <c r="D17" s="2" t="s">
        <v>108</v>
      </c>
      <c r="E17" s="2">
        <v>1</v>
      </c>
      <c r="F17" s="2">
        <v>0</v>
      </c>
    </row>
    <row r="18" spans="1:6">
      <c r="A18" s="2" t="s">
        <v>109</v>
      </c>
      <c r="B18" s="2" t="s">
        <v>107</v>
      </c>
      <c r="C18" s="2" t="s">
        <v>60</v>
      </c>
      <c r="D18" s="2" t="s">
        <v>110</v>
      </c>
      <c r="E18" s="2">
        <v>1</v>
      </c>
      <c r="F18" s="2">
        <v>0</v>
      </c>
    </row>
    <row r="19" spans="1:6">
      <c r="A19" s="2" t="s">
        <v>111</v>
      </c>
      <c r="B19" s="2" t="s">
        <v>107</v>
      </c>
      <c r="C19" s="2" t="s">
        <v>61</v>
      </c>
      <c r="D19" s="2" t="s">
        <v>112</v>
      </c>
      <c r="E19" s="2">
        <v>1</v>
      </c>
      <c r="F19" s="2">
        <v>0</v>
      </c>
    </row>
    <row r="20" spans="1:6">
      <c r="A20" s="2" t="s">
        <v>113</v>
      </c>
      <c r="B20" s="2" t="s">
        <v>107</v>
      </c>
      <c r="C20" s="2" t="s">
        <v>62</v>
      </c>
      <c r="D20" s="2" t="s">
        <v>114</v>
      </c>
      <c r="E20" s="2">
        <v>1</v>
      </c>
      <c r="F20" s="2">
        <v>0</v>
      </c>
    </row>
    <row r="21" spans="1:6">
      <c r="A21" s="2" t="s">
        <v>115</v>
      </c>
      <c r="B21" s="2" t="s">
        <v>107</v>
      </c>
      <c r="C21" s="2" t="s">
        <v>63</v>
      </c>
      <c r="D21" s="2" t="s">
        <v>116</v>
      </c>
      <c r="E21" s="2">
        <v>1</v>
      </c>
      <c r="F21" s="2">
        <v>0</v>
      </c>
    </row>
    <row r="22" spans="1:6">
      <c r="A22" s="2" t="s">
        <v>117</v>
      </c>
      <c r="B22" s="2" t="s">
        <v>107</v>
      </c>
      <c r="C22" s="2" t="s">
        <v>64</v>
      </c>
      <c r="D22" s="2" t="s">
        <v>118</v>
      </c>
      <c r="E22" s="2">
        <v>1</v>
      </c>
      <c r="F22" s="2">
        <v>0</v>
      </c>
    </row>
    <row r="23" spans="1:6">
      <c r="A23" s="2" t="s">
        <v>119</v>
      </c>
      <c r="B23" s="2" t="s">
        <v>81</v>
      </c>
      <c r="C23" s="2" t="s">
        <v>59</v>
      </c>
      <c r="D23" s="2" t="s">
        <v>82</v>
      </c>
      <c r="E23" s="2">
        <v>1</v>
      </c>
      <c r="F23" s="2">
        <v>0</v>
      </c>
    </row>
    <row r="24" spans="1:6">
      <c r="A24" s="2" t="s">
        <v>120</v>
      </c>
      <c r="B24" s="2" t="s">
        <v>81</v>
      </c>
      <c r="C24" s="2" t="s">
        <v>60</v>
      </c>
      <c r="D24" s="2" t="s">
        <v>84</v>
      </c>
      <c r="E24" s="2">
        <v>1</v>
      </c>
      <c r="F24" s="2">
        <v>0</v>
      </c>
    </row>
    <row r="25" spans="1:6">
      <c r="A25" s="2" t="s">
        <v>121</v>
      </c>
      <c r="B25" s="2" t="s">
        <v>81</v>
      </c>
      <c r="C25" s="2" t="s">
        <v>61</v>
      </c>
      <c r="D25" s="2" t="s">
        <v>86</v>
      </c>
      <c r="E25" s="2">
        <v>1</v>
      </c>
      <c r="F25" s="2">
        <v>0</v>
      </c>
    </row>
    <row r="26" spans="1:6">
      <c r="A26" s="2" t="s">
        <v>122</v>
      </c>
      <c r="B26" s="2" t="s">
        <v>81</v>
      </c>
      <c r="C26" s="2" t="s">
        <v>62</v>
      </c>
      <c r="D26" s="2" t="s">
        <v>88</v>
      </c>
      <c r="E26" s="2">
        <v>1</v>
      </c>
      <c r="F26" s="2">
        <v>0</v>
      </c>
    </row>
    <row r="27" spans="1:6">
      <c r="A27" s="2" t="s">
        <v>123</v>
      </c>
      <c r="B27" s="2" t="s">
        <v>81</v>
      </c>
      <c r="C27" s="2" t="s">
        <v>63</v>
      </c>
      <c r="D27" s="2" t="s">
        <v>90</v>
      </c>
      <c r="E27" s="2">
        <v>1</v>
      </c>
      <c r="F27" s="2">
        <v>0</v>
      </c>
    </row>
    <row r="28" spans="1:6">
      <c r="A28" s="2" t="s">
        <v>124</v>
      </c>
      <c r="B28" s="2" t="s">
        <v>81</v>
      </c>
      <c r="C28" s="2" t="s">
        <v>64</v>
      </c>
      <c r="D28" s="2" t="s">
        <v>92</v>
      </c>
      <c r="E28" s="2">
        <v>1</v>
      </c>
      <c r="F28" s="2">
        <v>0</v>
      </c>
    </row>
    <row r="29" spans="1:6">
      <c r="A29" s="2" t="s">
        <v>125</v>
      </c>
      <c r="B29" s="2" t="s">
        <v>94</v>
      </c>
      <c r="C29" s="2" t="s">
        <v>59</v>
      </c>
      <c r="D29" s="2" t="s">
        <v>95</v>
      </c>
      <c r="E29" s="2">
        <v>1</v>
      </c>
      <c r="F29" s="2">
        <v>0</v>
      </c>
    </row>
    <row r="30" spans="1:6">
      <c r="A30" s="2" t="s">
        <v>126</v>
      </c>
      <c r="B30" s="2" t="s">
        <v>94</v>
      </c>
      <c r="C30" s="2" t="s">
        <v>60</v>
      </c>
      <c r="D30" s="2" t="s">
        <v>97</v>
      </c>
      <c r="E30" s="2">
        <v>1</v>
      </c>
      <c r="F30" s="2">
        <v>0</v>
      </c>
    </row>
    <row r="31" spans="1:6">
      <c r="A31" s="2" t="s">
        <v>127</v>
      </c>
      <c r="B31" s="2" t="s">
        <v>94</v>
      </c>
      <c r="C31" s="2" t="s">
        <v>61</v>
      </c>
      <c r="D31" s="2" t="s">
        <v>99</v>
      </c>
      <c r="E31" s="2">
        <v>1</v>
      </c>
      <c r="F31" s="2">
        <v>0</v>
      </c>
    </row>
    <row r="32" spans="1:6">
      <c r="A32" s="2" t="s">
        <v>128</v>
      </c>
      <c r="B32" s="2" t="s">
        <v>94</v>
      </c>
      <c r="C32" s="2" t="s">
        <v>62</v>
      </c>
      <c r="D32" s="2" t="s">
        <v>101</v>
      </c>
      <c r="E32" s="2">
        <v>1</v>
      </c>
      <c r="F32" s="2">
        <v>0</v>
      </c>
    </row>
    <row r="33" spans="1:6">
      <c r="A33" s="2" t="s">
        <v>129</v>
      </c>
      <c r="B33" s="2" t="s">
        <v>94</v>
      </c>
      <c r="C33" s="2" t="s">
        <v>63</v>
      </c>
      <c r="D33" s="2" t="s">
        <v>103</v>
      </c>
      <c r="E33" s="2">
        <v>1</v>
      </c>
      <c r="F33" s="2">
        <v>0</v>
      </c>
    </row>
    <row r="34" spans="1:6">
      <c r="A34" s="2" t="s">
        <v>130</v>
      </c>
      <c r="B34" s="2" t="s">
        <v>94</v>
      </c>
      <c r="C34" s="2" t="s">
        <v>64</v>
      </c>
      <c r="D34" s="2" t="s">
        <v>105</v>
      </c>
      <c r="E34" s="2">
        <v>1</v>
      </c>
      <c r="F34" s="2">
        <v>0</v>
      </c>
    </row>
    <row r="35" spans="1:6">
      <c r="A35" s="2" t="s">
        <v>131</v>
      </c>
      <c r="B35" s="2" t="s">
        <v>107</v>
      </c>
      <c r="C35" s="2" t="s">
        <v>59</v>
      </c>
      <c r="D35" s="2" t="s">
        <v>108</v>
      </c>
      <c r="E35" s="2">
        <v>1</v>
      </c>
      <c r="F35" s="2">
        <v>0</v>
      </c>
    </row>
    <row r="36" spans="1:6">
      <c r="A36" s="2" t="s">
        <v>132</v>
      </c>
      <c r="B36" s="2" t="s">
        <v>107</v>
      </c>
      <c r="C36" s="2" t="s">
        <v>60</v>
      </c>
      <c r="D36" s="2" t="s">
        <v>110</v>
      </c>
      <c r="E36" s="2">
        <v>1</v>
      </c>
      <c r="F36" s="2">
        <v>0</v>
      </c>
    </row>
    <row r="37" spans="1:6">
      <c r="A37" s="2" t="s">
        <v>133</v>
      </c>
      <c r="B37" s="2" t="s">
        <v>107</v>
      </c>
      <c r="C37" s="2" t="s">
        <v>61</v>
      </c>
      <c r="D37" s="2" t="s">
        <v>112</v>
      </c>
      <c r="E37" s="2">
        <v>1</v>
      </c>
      <c r="F37" s="2">
        <v>0</v>
      </c>
    </row>
    <row r="38" spans="1:6">
      <c r="A38" s="2" t="s">
        <v>134</v>
      </c>
      <c r="B38" s="2" t="s">
        <v>107</v>
      </c>
      <c r="C38" s="2" t="s">
        <v>62</v>
      </c>
      <c r="D38" s="2" t="s">
        <v>114</v>
      </c>
      <c r="E38" s="2">
        <v>1</v>
      </c>
      <c r="F38" s="2">
        <v>0</v>
      </c>
    </row>
    <row r="39" spans="1:6">
      <c r="A39" s="2" t="s">
        <v>135</v>
      </c>
      <c r="B39" s="2" t="s">
        <v>107</v>
      </c>
      <c r="C39" s="2" t="s">
        <v>63</v>
      </c>
      <c r="D39" s="2" t="s">
        <v>116</v>
      </c>
      <c r="E39" s="2">
        <v>1</v>
      </c>
      <c r="F39" s="2">
        <v>0</v>
      </c>
    </row>
    <row r="40" spans="1:6">
      <c r="A40" s="2" t="s">
        <v>136</v>
      </c>
      <c r="B40" s="2" t="s">
        <v>107</v>
      </c>
      <c r="C40" s="2" t="s">
        <v>64</v>
      </c>
      <c r="D40" s="2" t="s">
        <v>118</v>
      </c>
      <c r="E40" s="2">
        <v>1</v>
      </c>
      <c r="F40" s="2">
        <v>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workbookViewId="0">
      <selection sqref="A1:E1"/>
    </sheetView>
  </sheetViews>
  <sheetFormatPr defaultRowHeight="13.8"/>
  <cols>
    <col min="1" max="2" width="28" customWidth="1"/>
    <col min="3" max="3" width="42" customWidth="1"/>
    <col min="4" max="4" width="38" customWidth="1"/>
    <col min="5" max="5" width="28" customWidth="1"/>
  </cols>
  <sheetData>
    <row r="1" spans="1:5" ht="22.8">
      <c r="A1" s="11" t="s">
        <v>137</v>
      </c>
      <c r="B1" s="11"/>
      <c r="C1" s="11"/>
      <c r="D1" s="11"/>
      <c r="E1" s="11"/>
    </row>
    <row r="2" spans="1:5">
      <c r="A2" s="1" t="s">
        <v>138</v>
      </c>
    </row>
    <row r="4" spans="1:5">
      <c r="A4" s="5" t="s">
        <v>107</v>
      </c>
      <c r="B4" s="6" t="s">
        <v>76</v>
      </c>
      <c r="C4" s="6" t="s">
        <v>139</v>
      </c>
      <c r="D4" s="6" t="s">
        <v>140</v>
      </c>
      <c r="E4" s="7" t="s">
        <v>141</v>
      </c>
    </row>
    <row r="5" spans="1:5">
      <c r="A5" s="2" t="s">
        <v>142</v>
      </c>
      <c r="B5" s="2" t="s">
        <v>143</v>
      </c>
      <c r="C5" s="2" t="s">
        <v>144</v>
      </c>
      <c r="D5" s="2" t="s">
        <v>145</v>
      </c>
      <c r="E5" s="2" t="s">
        <v>146</v>
      </c>
    </row>
    <row r="6" spans="1:5">
      <c r="A6" s="2" t="s">
        <v>147</v>
      </c>
      <c r="B6" s="2" t="s">
        <v>148</v>
      </c>
      <c r="C6" s="2" t="s">
        <v>149</v>
      </c>
      <c r="D6" s="2" t="s">
        <v>150</v>
      </c>
      <c r="E6" s="2" t="s">
        <v>146</v>
      </c>
    </row>
    <row r="7" spans="1:5">
      <c r="A7" s="2" t="s">
        <v>151</v>
      </c>
      <c r="B7" s="2" t="s">
        <v>148</v>
      </c>
      <c r="C7" s="2" t="s">
        <v>152</v>
      </c>
      <c r="D7" s="2" t="s">
        <v>153</v>
      </c>
      <c r="E7" s="2" t="s">
        <v>146</v>
      </c>
    </row>
    <row r="8" spans="1:5">
      <c r="A8" s="2" t="s">
        <v>154</v>
      </c>
      <c r="B8" s="2" t="s">
        <v>155</v>
      </c>
      <c r="C8" s="2" t="s">
        <v>156</v>
      </c>
      <c r="D8" s="2" t="s">
        <v>157</v>
      </c>
      <c r="E8" s="2" t="s">
        <v>146</v>
      </c>
    </row>
    <row r="9" spans="1:5">
      <c r="A9" s="2" t="s">
        <v>158</v>
      </c>
      <c r="B9" s="2" t="s">
        <v>159</v>
      </c>
      <c r="C9" s="2" t="s">
        <v>160</v>
      </c>
      <c r="D9" s="2" t="s">
        <v>161</v>
      </c>
      <c r="E9" s="2" t="s">
        <v>146</v>
      </c>
    </row>
    <row r="10" spans="1:5">
      <c r="A10" s="2" t="s">
        <v>162</v>
      </c>
      <c r="B10" s="2" t="s">
        <v>163</v>
      </c>
      <c r="C10" s="2" t="s">
        <v>164</v>
      </c>
      <c r="D10" s="2" t="s">
        <v>165</v>
      </c>
      <c r="E10" s="2" t="s">
        <v>146</v>
      </c>
    </row>
    <row r="11" spans="1:5">
      <c r="A11" s="2" t="s">
        <v>166</v>
      </c>
      <c r="B11" s="2" t="s">
        <v>163</v>
      </c>
      <c r="C11" s="2" t="s">
        <v>167</v>
      </c>
      <c r="D11" s="2" t="s">
        <v>168</v>
      </c>
      <c r="E11" s="2" t="s">
        <v>146</v>
      </c>
    </row>
    <row r="12" spans="1:5">
      <c r="A12" s="2" t="s">
        <v>169</v>
      </c>
      <c r="B12" s="2" t="s">
        <v>170</v>
      </c>
      <c r="C12" s="2" t="s">
        <v>171</v>
      </c>
      <c r="D12" s="2" t="s">
        <v>172</v>
      </c>
      <c r="E12" s="2" t="s">
        <v>146</v>
      </c>
    </row>
    <row r="13" spans="1:5">
      <c r="A13" s="2" t="s">
        <v>173</v>
      </c>
      <c r="B13" s="2" t="s">
        <v>174</v>
      </c>
      <c r="C13" s="2" t="s">
        <v>175</v>
      </c>
      <c r="D13" s="2" t="s">
        <v>176</v>
      </c>
      <c r="E13" s="2" t="s">
        <v>146</v>
      </c>
    </row>
    <row r="14" spans="1:5">
      <c r="A14" s="2" t="s">
        <v>177</v>
      </c>
      <c r="B14" s="2" t="s">
        <v>178</v>
      </c>
      <c r="C14" s="2" t="s">
        <v>179</v>
      </c>
      <c r="D14" s="2" t="s">
        <v>180</v>
      </c>
      <c r="E14" s="2" t="s">
        <v>146</v>
      </c>
    </row>
    <row r="15" spans="1:5">
      <c r="A15" s="2" t="s">
        <v>181</v>
      </c>
      <c r="B15" s="2" t="s">
        <v>182</v>
      </c>
      <c r="C15" s="2" t="s">
        <v>183</v>
      </c>
      <c r="D15" s="2" t="s">
        <v>184</v>
      </c>
      <c r="E15" s="2" t="s">
        <v>146</v>
      </c>
    </row>
    <row r="16" spans="1:5">
      <c r="A16" s="2" t="s">
        <v>185</v>
      </c>
      <c r="B16" s="2" t="s">
        <v>143</v>
      </c>
      <c r="C16" s="2" t="s">
        <v>186</v>
      </c>
      <c r="D16" s="2" t="s">
        <v>187</v>
      </c>
      <c r="E16" s="2" t="s">
        <v>146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4"/>
  <sheetViews>
    <sheetView showGridLines="0" workbookViewId="0">
      <selection activeCell="E6" sqref="E6"/>
    </sheetView>
  </sheetViews>
  <sheetFormatPr defaultRowHeight="13.8"/>
  <cols>
    <col min="1" max="1" width="38" customWidth="1"/>
    <col min="2" max="2" width="14" customWidth="1"/>
    <col min="3" max="3" width="42" customWidth="1"/>
    <col min="4" max="4" width="50" customWidth="1"/>
    <col min="5" max="5" width="32" customWidth="1"/>
  </cols>
  <sheetData>
    <row r="1" spans="1:5" ht="22.8">
      <c r="A1" s="11" t="s">
        <v>188</v>
      </c>
      <c r="B1" s="11"/>
      <c r="C1" s="11"/>
      <c r="D1" s="11"/>
      <c r="E1" s="11"/>
    </row>
    <row r="2" spans="1:5">
      <c r="A2" s="1" t="s">
        <v>189</v>
      </c>
    </row>
    <row r="4" spans="1:5">
      <c r="A4" s="5" t="s">
        <v>190</v>
      </c>
      <c r="B4" s="6" t="s">
        <v>191</v>
      </c>
      <c r="C4" s="6" t="s">
        <v>192</v>
      </c>
      <c r="D4" s="6" t="s">
        <v>193</v>
      </c>
      <c r="E4" s="7" t="s">
        <v>141</v>
      </c>
    </row>
    <row r="5" spans="1:5">
      <c r="A5" s="2" t="s">
        <v>145</v>
      </c>
      <c r="B5" s="2">
        <v>1</v>
      </c>
      <c r="C5" s="2" t="s">
        <v>194</v>
      </c>
      <c r="D5" s="2" t="s">
        <v>195</v>
      </c>
      <c r="E5" s="2" t="s">
        <v>146</v>
      </c>
    </row>
    <row r="6" spans="1:5">
      <c r="A6" s="2" t="s">
        <v>145</v>
      </c>
      <c r="B6" s="2">
        <v>2</v>
      </c>
      <c r="C6" s="2" t="s">
        <v>196</v>
      </c>
      <c r="D6" s="2" t="s">
        <v>195</v>
      </c>
      <c r="E6" s="2" t="s">
        <v>146</v>
      </c>
    </row>
    <row r="7" spans="1:5">
      <c r="A7" s="2" t="s">
        <v>145</v>
      </c>
      <c r="B7" s="2">
        <v>3</v>
      </c>
      <c r="C7" s="2" t="s">
        <v>197</v>
      </c>
      <c r="D7" s="2" t="s">
        <v>195</v>
      </c>
      <c r="E7" s="2" t="s">
        <v>146</v>
      </c>
    </row>
    <row r="8" spans="1:5">
      <c r="A8" s="2" t="s">
        <v>145</v>
      </c>
      <c r="B8" s="2">
        <v>4</v>
      </c>
      <c r="C8" s="2" t="s">
        <v>198</v>
      </c>
      <c r="D8" s="2" t="s">
        <v>195</v>
      </c>
      <c r="E8" s="2" t="s">
        <v>146</v>
      </c>
    </row>
    <row r="9" spans="1:5">
      <c r="A9" s="2" t="s">
        <v>145</v>
      </c>
      <c r="B9" s="2">
        <v>5</v>
      </c>
      <c r="C9" s="2" t="s">
        <v>199</v>
      </c>
      <c r="D9" s="2" t="s">
        <v>195</v>
      </c>
      <c r="E9" s="2" t="s">
        <v>146</v>
      </c>
    </row>
    <row r="10" spans="1:5">
      <c r="A10" s="2" t="s">
        <v>150</v>
      </c>
      <c r="B10" s="2">
        <v>1</v>
      </c>
      <c r="C10" s="2" t="s">
        <v>194</v>
      </c>
      <c r="D10" s="2" t="s">
        <v>195</v>
      </c>
      <c r="E10" s="2" t="s">
        <v>146</v>
      </c>
    </row>
    <row r="11" spans="1:5">
      <c r="A11" s="2" t="s">
        <v>150</v>
      </c>
      <c r="B11" s="2">
        <v>2</v>
      </c>
      <c r="C11" s="2" t="s">
        <v>196</v>
      </c>
      <c r="D11" s="2" t="s">
        <v>195</v>
      </c>
      <c r="E11" s="2" t="s">
        <v>146</v>
      </c>
    </row>
    <row r="12" spans="1:5">
      <c r="A12" s="2" t="s">
        <v>150</v>
      </c>
      <c r="B12" s="2">
        <v>3</v>
      </c>
      <c r="C12" s="2" t="s">
        <v>197</v>
      </c>
      <c r="D12" s="2" t="s">
        <v>195</v>
      </c>
      <c r="E12" s="2" t="s">
        <v>146</v>
      </c>
    </row>
    <row r="13" spans="1:5">
      <c r="A13" s="2" t="s">
        <v>150</v>
      </c>
      <c r="B13" s="2">
        <v>4</v>
      </c>
      <c r="C13" s="2" t="s">
        <v>198</v>
      </c>
      <c r="D13" s="2" t="s">
        <v>195</v>
      </c>
      <c r="E13" s="2" t="s">
        <v>146</v>
      </c>
    </row>
    <row r="14" spans="1:5">
      <c r="A14" s="2" t="s">
        <v>150</v>
      </c>
      <c r="B14" s="2">
        <v>5</v>
      </c>
      <c r="C14" s="2" t="s">
        <v>200</v>
      </c>
      <c r="D14" s="2" t="s">
        <v>195</v>
      </c>
      <c r="E14" s="2" t="s">
        <v>146</v>
      </c>
    </row>
    <row r="15" spans="1:5">
      <c r="A15" s="2" t="s">
        <v>153</v>
      </c>
      <c r="B15" s="2">
        <v>1</v>
      </c>
      <c r="C15" s="2" t="s">
        <v>194</v>
      </c>
      <c r="D15" s="2" t="s">
        <v>195</v>
      </c>
      <c r="E15" s="2" t="s">
        <v>146</v>
      </c>
    </row>
    <row r="16" spans="1:5">
      <c r="A16" s="2" t="s">
        <v>153</v>
      </c>
      <c r="B16" s="2">
        <v>2</v>
      </c>
      <c r="C16" s="2" t="s">
        <v>201</v>
      </c>
      <c r="D16" s="2" t="s">
        <v>195</v>
      </c>
      <c r="E16" s="2" t="s">
        <v>146</v>
      </c>
    </row>
    <row r="17" spans="1:5">
      <c r="A17" s="2" t="s">
        <v>153</v>
      </c>
      <c r="B17" s="2">
        <v>3</v>
      </c>
      <c r="C17" s="2" t="s">
        <v>200</v>
      </c>
      <c r="D17" s="2" t="s">
        <v>195</v>
      </c>
      <c r="E17" s="2" t="s">
        <v>146</v>
      </c>
    </row>
    <row r="18" spans="1:5">
      <c r="A18" s="2" t="s">
        <v>153</v>
      </c>
      <c r="B18" s="2">
        <v>4</v>
      </c>
      <c r="C18" s="2" t="s">
        <v>198</v>
      </c>
      <c r="D18" s="2" t="s">
        <v>195</v>
      </c>
      <c r="E18" s="2" t="s">
        <v>146</v>
      </c>
    </row>
    <row r="19" spans="1:5">
      <c r="A19" s="2" t="s">
        <v>153</v>
      </c>
      <c r="B19" s="2">
        <v>5</v>
      </c>
      <c r="C19" s="2" t="s">
        <v>202</v>
      </c>
      <c r="D19" s="2" t="s">
        <v>195</v>
      </c>
      <c r="E19" s="2" t="s">
        <v>146</v>
      </c>
    </row>
    <row r="20" spans="1:5">
      <c r="A20" s="2" t="s">
        <v>157</v>
      </c>
      <c r="B20" s="2">
        <v>1</v>
      </c>
      <c r="C20" s="2" t="s">
        <v>194</v>
      </c>
      <c r="D20" s="2" t="s">
        <v>195</v>
      </c>
      <c r="E20" s="2" t="s">
        <v>146</v>
      </c>
    </row>
    <row r="21" spans="1:5">
      <c r="A21" s="2" t="s">
        <v>157</v>
      </c>
      <c r="B21" s="2">
        <v>2</v>
      </c>
      <c r="C21" s="2" t="s">
        <v>196</v>
      </c>
      <c r="D21" s="2" t="s">
        <v>195</v>
      </c>
      <c r="E21" s="2" t="s">
        <v>146</v>
      </c>
    </row>
    <row r="22" spans="1:5">
      <c r="A22" s="2" t="s">
        <v>157</v>
      </c>
      <c r="B22" s="2">
        <v>3</v>
      </c>
      <c r="C22" s="2" t="s">
        <v>197</v>
      </c>
      <c r="D22" s="2" t="s">
        <v>195</v>
      </c>
      <c r="E22" s="2" t="s">
        <v>146</v>
      </c>
    </row>
    <row r="23" spans="1:5">
      <c r="A23" s="2" t="s">
        <v>157</v>
      </c>
      <c r="B23" s="2">
        <v>4</v>
      </c>
      <c r="C23" s="2" t="s">
        <v>203</v>
      </c>
      <c r="D23" s="2" t="s">
        <v>195</v>
      </c>
      <c r="E23" s="2" t="s">
        <v>146</v>
      </c>
    </row>
    <row r="24" spans="1:5">
      <c r="A24" s="2" t="s">
        <v>157</v>
      </c>
      <c r="B24" s="2">
        <v>5</v>
      </c>
      <c r="C24" s="2" t="s">
        <v>204</v>
      </c>
      <c r="D24" s="2" t="s">
        <v>195</v>
      </c>
      <c r="E24" s="2" t="s">
        <v>146</v>
      </c>
    </row>
    <row r="25" spans="1:5">
      <c r="A25" s="2" t="s">
        <v>161</v>
      </c>
      <c r="B25" s="2">
        <v>1</v>
      </c>
      <c r="C25" s="2" t="s">
        <v>194</v>
      </c>
      <c r="D25" s="2" t="s">
        <v>195</v>
      </c>
      <c r="E25" s="2" t="s">
        <v>146</v>
      </c>
    </row>
    <row r="26" spans="1:5">
      <c r="A26" s="2" t="s">
        <v>161</v>
      </c>
      <c r="B26" s="2">
        <v>2</v>
      </c>
      <c r="C26" s="2" t="s">
        <v>198</v>
      </c>
      <c r="D26" s="2" t="s">
        <v>195</v>
      </c>
      <c r="E26" s="2" t="s">
        <v>146</v>
      </c>
    </row>
    <row r="27" spans="1:5">
      <c r="A27" s="2" t="s">
        <v>161</v>
      </c>
      <c r="B27" s="2">
        <v>3</v>
      </c>
      <c r="C27" s="2" t="s">
        <v>202</v>
      </c>
      <c r="D27" s="2" t="s">
        <v>195</v>
      </c>
      <c r="E27" s="2" t="s">
        <v>146</v>
      </c>
    </row>
    <row r="28" spans="1:5">
      <c r="A28" s="2" t="s">
        <v>161</v>
      </c>
      <c r="B28" s="2">
        <v>4</v>
      </c>
      <c r="C28" s="2" t="s">
        <v>205</v>
      </c>
      <c r="D28" s="2" t="s">
        <v>195</v>
      </c>
      <c r="E28" s="2" t="s">
        <v>146</v>
      </c>
    </row>
    <row r="29" spans="1:5">
      <c r="A29" s="2" t="s">
        <v>161</v>
      </c>
      <c r="B29" s="2">
        <v>5</v>
      </c>
      <c r="C29" s="2" t="s">
        <v>206</v>
      </c>
      <c r="D29" s="2" t="s">
        <v>195</v>
      </c>
      <c r="E29" s="2" t="s">
        <v>146</v>
      </c>
    </row>
    <row r="30" spans="1:5">
      <c r="A30" s="2" t="s">
        <v>165</v>
      </c>
      <c r="B30" s="2">
        <v>1</v>
      </c>
      <c r="C30" s="2" t="s">
        <v>194</v>
      </c>
      <c r="D30" s="2" t="s">
        <v>195</v>
      </c>
      <c r="E30" s="2" t="s">
        <v>146</v>
      </c>
    </row>
    <row r="31" spans="1:5">
      <c r="A31" s="2" t="s">
        <v>165</v>
      </c>
      <c r="B31" s="2">
        <v>2</v>
      </c>
      <c r="C31" s="2" t="s">
        <v>201</v>
      </c>
      <c r="D31" s="2" t="s">
        <v>195</v>
      </c>
      <c r="E31" s="2" t="s">
        <v>146</v>
      </c>
    </row>
    <row r="32" spans="1:5">
      <c r="A32" s="2" t="s">
        <v>165</v>
      </c>
      <c r="B32" s="2">
        <v>3</v>
      </c>
      <c r="C32" s="2" t="s">
        <v>198</v>
      </c>
      <c r="D32" s="2" t="s">
        <v>195</v>
      </c>
      <c r="E32" s="2" t="s">
        <v>146</v>
      </c>
    </row>
    <row r="33" spans="1:5">
      <c r="A33" s="2" t="s">
        <v>165</v>
      </c>
      <c r="B33" s="2">
        <v>4</v>
      </c>
      <c r="C33" s="2" t="s">
        <v>202</v>
      </c>
      <c r="D33" s="2" t="s">
        <v>195</v>
      </c>
      <c r="E33" s="2" t="s">
        <v>146</v>
      </c>
    </row>
    <row r="34" spans="1:5">
      <c r="A34" s="2" t="s">
        <v>165</v>
      </c>
      <c r="B34" s="2">
        <v>5</v>
      </c>
      <c r="C34" s="2" t="s">
        <v>206</v>
      </c>
      <c r="D34" s="2" t="s">
        <v>195</v>
      </c>
      <c r="E34" s="2" t="s">
        <v>146</v>
      </c>
    </row>
    <row r="35" spans="1:5">
      <c r="A35" s="2" t="s">
        <v>168</v>
      </c>
      <c r="B35" s="2">
        <v>1</v>
      </c>
      <c r="C35" s="2" t="s">
        <v>200</v>
      </c>
      <c r="D35" s="2" t="s">
        <v>195</v>
      </c>
      <c r="E35" s="2" t="s">
        <v>146</v>
      </c>
    </row>
    <row r="36" spans="1:5">
      <c r="A36" s="2" t="s">
        <v>168</v>
      </c>
      <c r="B36" s="2">
        <v>2</v>
      </c>
      <c r="C36" s="2" t="s">
        <v>194</v>
      </c>
      <c r="D36" s="2" t="s">
        <v>195</v>
      </c>
      <c r="E36" s="2" t="s">
        <v>146</v>
      </c>
    </row>
    <row r="37" spans="1:5">
      <c r="A37" s="2" t="s">
        <v>168</v>
      </c>
      <c r="B37" s="2">
        <v>3</v>
      </c>
      <c r="C37" s="2" t="s">
        <v>202</v>
      </c>
      <c r="D37" s="2" t="s">
        <v>195</v>
      </c>
      <c r="E37" s="2" t="s">
        <v>146</v>
      </c>
    </row>
    <row r="38" spans="1:5">
      <c r="A38" s="2" t="s">
        <v>168</v>
      </c>
      <c r="B38" s="2">
        <v>4</v>
      </c>
      <c r="C38" s="2" t="s">
        <v>205</v>
      </c>
      <c r="D38" s="2" t="s">
        <v>195</v>
      </c>
      <c r="E38" s="2" t="s">
        <v>146</v>
      </c>
    </row>
    <row r="39" spans="1:5">
      <c r="A39" s="2" t="s">
        <v>168</v>
      </c>
      <c r="B39" s="2">
        <v>5</v>
      </c>
      <c r="C39" s="2" t="s">
        <v>207</v>
      </c>
      <c r="D39" s="2" t="s">
        <v>195</v>
      </c>
      <c r="E39" s="2" t="s">
        <v>146</v>
      </c>
    </row>
    <row r="40" spans="1:5">
      <c r="A40" s="2" t="s">
        <v>172</v>
      </c>
      <c r="B40" s="2">
        <v>1</v>
      </c>
      <c r="C40" s="2" t="s">
        <v>194</v>
      </c>
      <c r="D40" s="2" t="s">
        <v>195</v>
      </c>
      <c r="E40" s="2" t="s">
        <v>146</v>
      </c>
    </row>
    <row r="41" spans="1:5">
      <c r="A41" s="2" t="s">
        <v>172</v>
      </c>
      <c r="B41" s="2">
        <v>2</v>
      </c>
      <c r="C41" s="2" t="s">
        <v>201</v>
      </c>
      <c r="D41" s="2" t="s">
        <v>195</v>
      </c>
      <c r="E41" s="2" t="s">
        <v>146</v>
      </c>
    </row>
    <row r="42" spans="1:5">
      <c r="A42" s="2" t="s">
        <v>172</v>
      </c>
      <c r="B42" s="2">
        <v>3</v>
      </c>
      <c r="C42" s="2" t="s">
        <v>200</v>
      </c>
      <c r="D42" s="2" t="s">
        <v>195</v>
      </c>
      <c r="E42" s="2" t="s">
        <v>146</v>
      </c>
    </row>
    <row r="43" spans="1:5">
      <c r="A43" s="2" t="s">
        <v>172</v>
      </c>
      <c r="B43" s="2">
        <v>4</v>
      </c>
      <c r="C43" s="2" t="s">
        <v>198</v>
      </c>
      <c r="D43" s="2" t="s">
        <v>195</v>
      </c>
      <c r="E43" s="2" t="s">
        <v>146</v>
      </c>
    </row>
    <row r="44" spans="1:5">
      <c r="A44" s="2" t="s">
        <v>172</v>
      </c>
      <c r="B44" s="2">
        <v>5</v>
      </c>
      <c r="C44" s="2" t="s">
        <v>202</v>
      </c>
      <c r="D44" s="2" t="s">
        <v>195</v>
      </c>
      <c r="E44" s="2" t="s">
        <v>146</v>
      </c>
    </row>
    <row r="45" spans="1:5">
      <c r="A45" s="2" t="s">
        <v>176</v>
      </c>
      <c r="B45" s="2">
        <v>1</v>
      </c>
      <c r="C45" s="2" t="s">
        <v>194</v>
      </c>
      <c r="D45" s="2" t="s">
        <v>195</v>
      </c>
      <c r="E45" s="2" t="s">
        <v>146</v>
      </c>
    </row>
    <row r="46" spans="1:5">
      <c r="A46" s="2" t="s">
        <v>176</v>
      </c>
      <c r="B46" s="2">
        <v>2</v>
      </c>
      <c r="C46" s="2" t="s">
        <v>201</v>
      </c>
      <c r="D46" s="2" t="s">
        <v>195</v>
      </c>
      <c r="E46" s="2" t="s">
        <v>146</v>
      </c>
    </row>
    <row r="47" spans="1:5">
      <c r="A47" s="2" t="s">
        <v>176</v>
      </c>
      <c r="B47" s="2">
        <v>3</v>
      </c>
      <c r="C47" s="2" t="s">
        <v>200</v>
      </c>
      <c r="D47" s="2" t="s">
        <v>195</v>
      </c>
      <c r="E47" s="2" t="s">
        <v>146</v>
      </c>
    </row>
    <row r="48" spans="1:5">
      <c r="A48" s="2" t="s">
        <v>176</v>
      </c>
      <c r="B48" s="2">
        <v>4</v>
      </c>
      <c r="C48" s="2" t="s">
        <v>198</v>
      </c>
      <c r="D48" s="2" t="s">
        <v>195</v>
      </c>
      <c r="E48" s="2" t="s">
        <v>146</v>
      </c>
    </row>
    <row r="49" spans="1:5">
      <c r="A49" s="2" t="s">
        <v>176</v>
      </c>
      <c r="B49" s="2">
        <v>5</v>
      </c>
      <c r="C49" s="2" t="s">
        <v>202</v>
      </c>
      <c r="D49" s="2" t="s">
        <v>195</v>
      </c>
      <c r="E49" s="2" t="s">
        <v>146</v>
      </c>
    </row>
    <row r="50" spans="1:5">
      <c r="A50" s="2" t="s">
        <v>180</v>
      </c>
      <c r="B50" s="2">
        <v>1</v>
      </c>
      <c r="C50" s="2" t="s">
        <v>194</v>
      </c>
      <c r="D50" s="2" t="s">
        <v>195</v>
      </c>
      <c r="E50" s="2" t="s">
        <v>146</v>
      </c>
    </row>
    <row r="51" spans="1:5">
      <c r="A51" s="2" t="s">
        <v>180</v>
      </c>
      <c r="B51" s="2">
        <v>2</v>
      </c>
      <c r="C51" s="2" t="s">
        <v>201</v>
      </c>
      <c r="D51" s="2" t="s">
        <v>195</v>
      </c>
      <c r="E51" s="2" t="s">
        <v>146</v>
      </c>
    </row>
    <row r="52" spans="1:5">
      <c r="A52" s="2" t="s">
        <v>180</v>
      </c>
      <c r="B52" s="2">
        <v>3</v>
      </c>
      <c r="C52" s="2" t="s">
        <v>198</v>
      </c>
      <c r="D52" s="2" t="s">
        <v>195</v>
      </c>
      <c r="E52" s="2" t="s">
        <v>146</v>
      </c>
    </row>
    <row r="53" spans="1:5">
      <c r="A53" s="2" t="s">
        <v>180</v>
      </c>
      <c r="B53" s="2">
        <v>4</v>
      </c>
      <c r="C53" s="2" t="s">
        <v>200</v>
      </c>
      <c r="D53" s="2" t="s">
        <v>195</v>
      </c>
      <c r="E53" s="2" t="s">
        <v>146</v>
      </c>
    </row>
    <row r="54" spans="1:5">
      <c r="A54" s="2" t="s">
        <v>180</v>
      </c>
      <c r="B54" s="2">
        <v>5</v>
      </c>
      <c r="C54" s="2" t="s">
        <v>202</v>
      </c>
      <c r="D54" s="2" t="s">
        <v>195</v>
      </c>
      <c r="E54" s="2" t="s">
        <v>146</v>
      </c>
    </row>
    <row r="55" spans="1:5">
      <c r="A55" s="2" t="s">
        <v>184</v>
      </c>
      <c r="B55" s="2">
        <v>1</v>
      </c>
      <c r="C55" s="2" t="s">
        <v>208</v>
      </c>
      <c r="D55" s="2" t="s">
        <v>195</v>
      </c>
      <c r="E55" s="2" t="s">
        <v>146</v>
      </c>
    </row>
    <row r="56" spans="1:5">
      <c r="A56" s="2" t="s">
        <v>184</v>
      </c>
      <c r="B56" s="2">
        <v>2</v>
      </c>
      <c r="C56" s="2" t="s">
        <v>198</v>
      </c>
      <c r="D56" s="2" t="s">
        <v>195</v>
      </c>
      <c r="E56" s="2" t="s">
        <v>146</v>
      </c>
    </row>
    <row r="57" spans="1:5">
      <c r="A57" s="2" t="s">
        <v>184</v>
      </c>
      <c r="B57" s="2">
        <v>3</v>
      </c>
      <c r="C57" s="2" t="s">
        <v>196</v>
      </c>
      <c r="D57" s="2" t="s">
        <v>195</v>
      </c>
      <c r="E57" s="2" t="s">
        <v>146</v>
      </c>
    </row>
    <row r="58" spans="1:5">
      <c r="A58" s="2" t="s">
        <v>184</v>
      </c>
      <c r="B58" s="2">
        <v>4</v>
      </c>
      <c r="C58" s="2" t="s">
        <v>197</v>
      </c>
      <c r="D58" s="2" t="s">
        <v>195</v>
      </c>
      <c r="E58" s="2" t="s">
        <v>146</v>
      </c>
    </row>
    <row r="59" spans="1:5">
      <c r="A59" s="2" t="s">
        <v>184</v>
      </c>
      <c r="B59" s="2">
        <v>5</v>
      </c>
      <c r="C59" s="2" t="s">
        <v>209</v>
      </c>
      <c r="D59" s="2" t="s">
        <v>195</v>
      </c>
      <c r="E59" s="2" t="s">
        <v>146</v>
      </c>
    </row>
    <row r="60" spans="1:5">
      <c r="A60" s="2" t="s">
        <v>187</v>
      </c>
      <c r="B60" s="2">
        <v>1</v>
      </c>
      <c r="C60" s="2" t="s">
        <v>198</v>
      </c>
      <c r="D60" s="2" t="s">
        <v>195</v>
      </c>
      <c r="E60" s="2" t="s">
        <v>146</v>
      </c>
    </row>
    <row r="61" spans="1:5">
      <c r="A61" s="2" t="s">
        <v>187</v>
      </c>
      <c r="B61" s="2">
        <v>2</v>
      </c>
      <c r="C61" s="2" t="s">
        <v>210</v>
      </c>
      <c r="D61" s="2" t="s">
        <v>195</v>
      </c>
      <c r="E61" s="2" t="s">
        <v>146</v>
      </c>
    </row>
    <row r="62" spans="1:5">
      <c r="A62" s="2" t="s">
        <v>187</v>
      </c>
      <c r="B62" s="2">
        <v>3</v>
      </c>
      <c r="C62" s="2" t="s">
        <v>205</v>
      </c>
      <c r="D62" s="2" t="s">
        <v>195</v>
      </c>
      <c r="E62" s="2" t="s">
        <v>146</v>
      </c>
    </row>
    <row r="63" spans="1:5">
      <c r="A63" s="2" t="s">
        <v>187</v>
      </c>
      <c r="B63" s="2">
        <v>4</v>
      </c>
      <c r="C63" s="2" t="s">
        <v>202</v>
      </c>
      <c r="D63" s="2" t="s">
        <v>195</v>
      </c>
      <c r="E63" s="2" t="s">
        <v>146</v>
      </c>
    </row>
    <row r="64" spans="1:5">
      <c r="A64" s="2" t="s">
        <v>187</v>
      </c>
      <c r="B64" s="2">
        <v>5</v>
      </c>
      <c r="C64" s="2" t="s">
        <v>207</v>
      </c>
      <c r="D64" s="2" t="s">
        <v>195</v>
      </c>
      <c r="E64" s="2" t="s">
        <v>146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showGridLines="0" workbookViewId="0">
      <selection sqref="A1:C1"/>
    </sheetView>
  </sheetViews>
  <sheetFormatPr defaultRowHeight="13.8"/>
  <cols>
    <col min="1" max="1" width="34" customWidth="1"/>
    <col min="2" max="2" width="44" customWidth="1"/>
    <col min="3" max="3" width="34" customWidth="1"/>
  </cols>
  <sheetData>
    <row r="1" spans="1:3" ht="22.8">
      <c r="A1" s="11" t="s">
        <v>211</v>
      </c>
      <c r="B1" s="11"/>
      <c r="C1" s="11"/>
    </row>
    <row r="2" spans="1:3">
      <c r="A2" s="1" t="s">
        <v>212</v>
      </c>
    </row>
    <row r="4" spans="1:3">
      <c r="A4" s="5" t="s">
        <v>213</v>
      </c>
      <c r="B4" s="6" t="s">
        <v>214</v>
      </c>
      <c r="C4" s="7" t="s">
        <v>215</v>
      </c>
    </row>
    <row r="5" spans="1:3">
      <c r="A5" s="2" t="s">
        <v>216</v>
      </c>
      <c r="B5" s="2" t="s">
        <v>217</v>
      </c>
      <c r="C5" s="2" t="s">
        <v>146</v>
      </c>
    </row>
    <row r="6" spans="1:3">
      <c r="A6" s="2" t="s">
        <v>218</v>
      </c>
      <c r="B6" s="2" t="s">
        <v>219</v>
      </c>
      <c r="C6" s="2" t="s">
        <v>220</v>
      </c>
    </row>
    <row r="7" spans="1:3">
      <c r="A7" s="2" t="s">
        <v>221</v>
      </c>
      <c r="B7" s="2" t="s">
        <v>222</v>
      </c>
      <c r="C7" s="2" t="s">
        <v>223</v>
      </c>
    </row>
    <row r="8" spans="1:3">
      <c r="A8" s="2" t="s">
        <v>224</v>
      </c>
      <c r="B8" s="2" t="s">
        <v>225</v>
      </c>
      <c r="C8" s="2" t="s">
        <v>226</v>
      </c>
    </row>
    <row r="9" spans="1:3">
      <c r="A9" s="2" t="s">
        <v>227</v>
      </c>
      <c r="B9" s="2" t="s">
        <v>228</v>
      </c>
      <c r="C9" s="2" t="s">
        <v>229</v>
      </c>
    </row>
    <row r="10" spans="1:3">
      <c r="A10" s="2" t="s">
        <v>230</v>
      </c>
      <c r="B10" s="2" t="s">
        <v>231</v>
      </c>
      <c r="C10" s="2" t="s">
        <v>232</v>
      </c>
    </row>
    <row r="11" spans="1:3">
      <c r="A11" s="2" t="s">
        <v>233</v>
      </c>
      <c r="B11" s="2" t="s">
        <v>234</v>
      </c>
      <c r="C11" s="2" t="s">
        <v>235</v>
      </c>
    </row>
    <row r="12" spans="1:3">
      <c r="A12" s="2" t="s">
        <v>236</v>
      </c>
      <c r="B12" s="2" t="s">
        <v>237</v>
      </c>
      <c r="C12" s="2" t="s">
        <v>238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selection sqref="A1:H1"/>
    </sheetView>
  </sheetViews>
  <sheetFormatPr defaultRowHeight="13.8"/>
  <cols>
    <col min="1" max="1" width="27" customWidth="1"/>
    <col min="2" max="2" width="20" customWidth="1"/>
    <col min="4" max="4" width="27" customWidth="1"/>
    <col min="5" max="5" width="46" customWidth="1"/>
  </cols>
  <sheetData>
    <row r="1" spans="1:8" ht="22.8">
      <c r="A1" s="11" t="s">
        <v>239</v>
      </c>
      <c r="B1" s="11"/>
      <c r="C1" s="11"/>
      <c r="D1" s="11"/>
      <c r="E1" s="11"/>
      <c r="F1" s="11"/>
      <c r="G1" s="11"/>
      <c r="H1" s="11"/>
    </row>
    <row r="2" spans="1:8">
      <c r="A2" s="1" t="s">
        <v>240</v>
      </c>
    </row>
    <row r="4" spans="1:8">
      <c r="A4" s="10" t="s">
        <v>241</v>
      </c>
      <c r="B4" s="9">
        <f>COUNTIF(คำตอบนักเรียน!C5:C205,"&lt;&gt;")</f>
        <v>1</v>
      </c>
      <c r="D4" s="10" t="s">
        <v>242</v>
      </c>
      <c r="E4" s="9">
        <f>AVERAGEIF(คำตอบนักเรียน!AV5:AV205,"&gt;=0")</f>
        <v>5</v>
      </c>
    </row>
    <row r="5" spans="1:8">
      <c r="A5" s="10" t="s">
        <v>243</v>
      </c>
      <c r="B5" s="9">
        <f>AVERAGEIF(คำตอบนักเรียน!AR5:AR205,"&gt;=0")</f>
        <v>5</v>
      </c>
      <c r="D5" s="10" t="s">
        <v>244</v>
      </c>
      <c r="E5" s="9">
        <f>AVERAGEIF(คำตอบนักเรียน!AW5:AW205,"&gt;=0")</f>
        <v>6</v>
      </c>
    </row>
    <row r="6" spans="1:8">
      <c r="A6" s="10" t="s">
        <v>245</v>
      </c>
      <c r="B6" s="9">
        <f>AVERAGEIF(คำตอบนักเรียน!AS5:AS205,"&gt;=0")</f>
        <v>5</v>
      </c>
      <c r="D6" s="10" t="s">
        <v>246</v>
      </c>
      <c r="E6" s="9" t="s">
        <v>247</v>
      </c>
    </row>
    <row r="7" spans="1:8">
      <c r="A7" s="10" t="s">
        <v>248</v>
      </c>
      <c r="B7" s="9">
        <f>AVERAGEIF(คำตอบนักเรียน!AT5:AT205,"&gt;=0")</f>
        <v>6</v>
      </c>
      <c r="D7" s="10" t="s">
        <v>249</v>
      </c>
      <c r="E7" s="9" t="s">
        <v>250</v>
      </c>
    </row>
    <row r="8" spans="1:8">
      <c r="A8" s="10" t="s">
        <v>251</v>
      </c>
      <c r="B8" s="9">
        <f>AVERAGEIF(คำตอบนักเรียน!AU5:AU205,"&gt;=0")</f>
        <v>6</v>
      </c>
      <c r="D8" s="10" t="s">
        <v>252</v>
      </c>
      <c r="E8" s="9" t="s">
        <v>146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เริ่มต้น</vt:lpstr>
      <vt:lpstr>คำตอบนักเรียน</vt:lpstr>
      <vt:lpstr>คำถาม RIASEC</vt:lpstr>
      <vt:lpstr>อาชีพและคณะ</vt:lpstr>
      <vt:lpstr>มหาวิทยาลัย 5 ตัวเลือก</vt:lpstr>
      <vt:lpstr>ลิงก์ไทย</vt:lpstr>
      <vt:lpstr>สรุปผลห้อง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</dc:creator>
  <cp:lastModifiedBy>Tippayarat Yootaekool</cp:lastModifiedBy>
  <dcterms:created xsi:type="dcterms:W3CDTF">2026-07-20T13:26:47Z</dcterms:created>
  <dcterms:modified xsi:type="dcterms:W3CDTF">2026-07-20T13:26:47Z</dcterms:modified>
</cp:coreProperties>
</file>
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baaab4b5134e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เริ่มต้น" sheetId="1" r:id="R0e8ebc8534e44471"/>
    <x:sheet xmlns:r="http://schemas.openxmlformats.org/officeDocument/2006/relationships" name="คำตอบนักเรียน" sheetId="2" r:id="R8a1f42af80b74a31"/>
    <x:sheet xmlns:r="http://schemas.openxmlformats.org/officeDocument/2006/relationships" name="คำถาม RIASEC" sheetId="3" r:id="R45d8faa6b56048f2"/>
    <x:sheet xmlns:r="http://schemas.openxmlformats.org/officeDocument/2006/relationships" name="อาชีพและคณะ" sheetId="4" r:id="R31c9bd8d22f24379"/>
    <x:sheet xmlns:r="http://schemas.openxmlformats.org/officeDocument/2006/relationships" name="มหาวิทยาลัย 5 ตัวเลือก" sheetId="5" r:id="R4addbb21ef864ec2"/>
    <x:sheet xmlns:r="http://schemas.openxmlformats.org/officeDocument/2006/relationships" name="ลิงก์ไทย" sheetId="6" r:id="R91b011f8856740f2"/>
    <x:sheet xmlns:r="http://schemas.openxmlformats.org/officeDocument/2006/relationships" name="สรุปผลห้อง" sheetId="7" r:id="R5f821ef2f79b48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0756F"/>
      <x:name val="Carlito"/>
    </x:font>
    <x:font>
      <x:b/>
      <x:sz val="11"/>
      <x:color rgb="FF193D3A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93D3A"/>
      </x:patternFill>
    </x:fill>
    <x:fill>
      <x:patternFill patternType="solid">
        <x:fgColor rgb="FFE8F3EE"/>
      </x:patternFill>
    </x:fill>
    <x:fill>
      <x:patternFill patternType="solid">
        <x:fgColor rgb="FFDCEBE5"/>
      </x:patternFill>
    </x:fill>
  </x:fills>
  <x:borders count="5">
    <x:border/>
    <x:border>
      <x:left style="thin">
        <x:color rgb="FFD8E0DC"/>
      </x:left>
      <x:right style="thin">
        <x:color rgb="FFD8E0DC"/>
      </x:right>
      <x:top style="thin">
        <x:color rgb="FFD8E0DC"/>
      </x:top>
      <x:bottom style="thin">
        <x:color rgb="FFD8E0DC"/>
      </x:bottom>
    </x:border>
    <x:border>
      <x:left style="thin">
        <x:color rgb="FFD8E0DC"/>
      </x:left>
      <x:top style="thin">
        <x:color rgb="FFD8E0DC"/>
      </x:top>
      <x:bottom style="thin">
        <x:color rgb="FFD8E0DC"/>
      </x:bottom>
    </x:border>
    <x:border>
      <x:top style="thin">
        <x:color rgb="FFD8E0DC"/>
      </x:top>
      <x:bottom style="thin">
        <x:color rgb="FFD8E0DC"/>
      </x:bottom>
    </x:border>
    <x:border>
      <x:right style="thin">
        <x:color rgb="FFD8E0DC"/>
      </x:right>
      <x:top style="thin">
        <x:color rgb="FFD8E0DC"/>
      </x:top>
      <x:bottom style="thin">
        <x:color rgb="FFD8E0DC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26ba0744054e9b" /><Relationship Type="http://schemas.openxmlformats.org/officeDocument/2006/relationships/theme" Target="/xl/theme/theme1.xml" Id="R092e2e54006a4fd0" /><Relationship Type="http://schemas.openxmlformats.org/officeDocument/2006/relationships/sharedStrings" Target="/xl/sharedStrings.xml" Id="R23029da8df8642e8" /><Relationship Type="http://schemas.openxmlformats.org/officeDocument/2006/relationships/worksheet" Target="/xl/worksheets/sheet1.xml" Id="R0e8ebc8534e44471" /><Relationship Type="http://schemas.openxmlformats.org/officeDocument/2006/relationships/worksheet" Target="/xl/worksheets/sheet2.xml" Id="R8a1f42af80b74a31" /><Relationship Type="http://schemas.openxmlformats.org/officeDocument/2006/relationships/worksheet" Target="/xl/worksheets/sheet3.xml" Id="R45d8faa6b56048f2" /><Relationship Type="http://schemas.openxmlformats.org/officeDocument/2006/relationships/worksheet" Target="/xl/worksheets/sheet4.xml" Id="R31c9bd8d22f24379" /><Relationship Type="http://schemas.openxmlformats.org/officeDocument/2006/relationships/worksheet" Target="/xl/worksheets/sheet5.xml" Id="R4addbb21ef864ec2" /><Relationship Type="http://schemas.openxmlformats.org/officeDocument/2006/relationships/worksheet" Target="/xl/worksheets/sheet6.xml" Id="R91b011f8856740f2" /><Relationship Type="http://schemas.openxmlformats.org/officeDocument/2006/relationships/worksheet" Target="/xl/worksheets/sheet7.xml" Id="R5f821ef2f79b481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75" hidden="0" customWidth="1"/>
  </x:cols>
  <x:sheetData>
    <x:row r="1">
      <x:c r="A1" s="4" t="str">
        <x:v>เข็มทิศอาชีพ · RIASEC Thailand</x:v>
      </x:c>
      <x:c r="B1" s="4"/>
      <x:c r="C1" s="4"/>
      <x:c r="D1" s="4"/>
      <x:c r="E1" s="4"/>
      <x:c r="F1" s="4"/>
      <x:c r="G1" s="4"/>
      <x:c r="H1" s="4"/>
    </x:row>
    <x:row r="2">
      <x:c r="A2" s="5" t="str">
        <x:v>เวิร์กบุ๊กสำหรับ Google Sheets + Glide: รับคำตอบนักเรียน คำนวณผล และสรุปภาพรวมของห้อง</x:v>
      </x:c>
    </x:row>
    <x:row r="4" ht="44" customHeight="1">
      <x:c r="A4" s="10" t="str">
        <x:v>1. อัปโหลดไฟล์นี้เข้า Google Drive</x:v>
      </x:c>
      <x:c r="B4" s="11" t="str">
        <x:v>เลือก New &gt; File upload แล้วเปิดด้วย Google Sheets เพื่อใช้เป็นฐานข้อมูลออนไลน์</x:v>
      </x:c>
    </x:row>
    <x:row r="5" ht="44" customHeight="1">
      <x:c r="A5" s="10" t="str">
        <x:v>2. สร้างแอปใน Glide</x:v>
      </x:c>
      <x:c r="B5" s="11" t="str">
        <x:v>เลือกฐานข้อมูล Google Sheets นี้ แล้วใช้ตาราง “คำตอบนักเรียน” เป็นตารางหลัก</x:v>
      </x:c>
    </x:row>
    <x:row r="6" ht="44" customHeight="1">
      <x:c r="A6" s="10" t="str">
        <x:v>3. สร้างแบบฟอร์ม</x:v>
      </x:c>
      <x:c r="B6" s="11" t="str">
        <x:v>รับข้อมูลชื่อ ห้อง เลขที่ และ Q01–Q36 (กำหนดค่า 1 = ใช่/สนใจ, 0 = ไม่ใช่)</x:v>
      </x:c>
    </x:row>
    <x:row r="7" ht="44" customHeight="1">
      <x:c r="A7" s="10" t="str">
        <x:v>4. ตั้งค่าให้ผู้เรียนส่งคำตอบ</x:v>
      </x:c>
      <x:c r="B7" s="11" t="str">
        <x:v>ให้ Glide เพิ่มหนึ่งแถวใน “คำตอบนักเรียน”; คอลัมน์คะแนนและ Holland Code จะคำนวณอัตโนมัติ</x:v>
      </x:c>
    </x:row>
    <x:row r="8" ht="44" customHeight="1">
      <x:c r="A8" s="10" t="str">
        <x:v>5. ทำ QR Code</x:v>
      </x:c>
      <x:c r="B8" s="11" t="str">
        <x:v>คัดลอก Public app link จาก Glide แล้วสร้าง QR ใน Glide หรือเครื่องมือ QR ที่โรงเรียนใช้อยู่</x:v>
      </x:c>
    </x:row>
    <x:row r="9" ht="44" customHeight="1">
      <x:c r="A9" s="10" t="str">
        <x:v>ความเป็นส่วนตัว</x:v>
      </x:c>
      <x:c r="B9" s="11" t="str">
        <x:v>แนะนำเปิดเฉพาะผู้มีลิงก์/อีเมลโรงเรียน และเก็บข้อมูลเท่าที่จำเป็นตามนโยบายโรงเรียน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9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8" hidden="0" customWidth="1"/>
    <x:col min="9" max="9" width="8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  <x:col min="18" max="18" width="8" hidden="0" customWidth="1"/>
    <x:col min="19" max="19" width="8" hidden="0" customWidth="1"/>
    <x:col min="20" max="20" width="8" hidden="0" customWidth="1"/>
    <x:col min="21" max="21" width="8" hidden="0" customWidth="1"/>
    <x:col min="22" max="22" width="8" hidden="0" customWidth="1"/>
    <x:col min="23" max="23" width="8" hidden="0" customWidth="1"/>
    <x:col min="24" max="24" width="8" hidden="0" customWidth="1"/>
    <x:col min="25" max="25" width="8" hidden="0" customWidth="1"/>
    <x:col min="26" max="26" width="8" hidden="0" customWidth="1"/>
    <x:col min="27" max="27" width="8" hidden="0" customWidth="1"/>
    <x:col min="28" max="28" width="8" hidden="0" customWidth="1"/>
    <x:col min="29" max="29" width="8" hidden="0" customWidth="1"/>
    <x:col min="30" max="30" width="8" hidden="0" customWidth="1"/>
    <x:col min="31" max="31" width="8" hidden="0" customWidth="1"/>
    <x:col min="32" max="32" width="8" hidden="0" customWidth="1"/>
    <x:col min="33" max="33" width="8" hidden="0" customWidth="1"/>
    <x:col min="34" max="34" width="8" hidden="0" customWidth="1"/>
    <x:col min="35" max="35" width="8" hidden="0" customWidth="1"/>
    <x:col min="36" max="36" width="8" hidden="0" customWidth="1"/>
    <x:col min="37" max="37" width="8" hidden="0" customWidth="1"/>
    <x:col min="38" max="38" width="8" hidden="0" customWidth="1"/>
    <x:col min="39" max="39" width="8" hidden="0" customWidth="1"/>
    <x:col min="40" max="40" width="8" hidden="0" customWidth="1"/>
    <x:col min="41" max="41" width="8" hidden="0" customWidth="1"/>
    <x:col min="42" max="42" width="8" hidden="0" customWidth="1"/>
    <x:col min="43" max="43" width="8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</x:cols>
  <x:sheetData>
    <x:row r="1">
      <x:c r="A1" s="4" t="str">
        <x:v>คำตอบนักเรียน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</x:row>
    <x:row r="2">
      <x:c r="A2" s="5" t="str">
        <x:v>Glide ต้องเพิ่มข้อมูล 1 แถวต่อผู้เรียน: Q01–Q36 ใช้ 1 เมื่อ ใช่/สนใจ และ 0 เมื่อ ไม่ใช่</x:v>
      </x:c>
    </x:row>
    <x:row r="4">
      <x:c r="A4" s="23" t="str">
        <x:v>รหัสรายการ</x:v>
      </x:c>
      <x:c r="B4" s="24" t="str">
        <x:v>วันเวลา</x:v>
      </x:c>
      <x:c r="C4" s="24" t="str">
        <x:v>ชื่อ-นามสกุล</x:v>
      </x:c>
      <x:c r="D4" s="24" t="str">
        <x:v>ชื่อเล่น</x:v>
      </x:c>
      <x:c r="E4" s="24" t="str">
        <x:v>ห้อง</x:v>
      </x:c>
      <x:c r="F4" s="24" t="str">
        <x:v>เลขที่</x:v>
      </x:c>
      <x:c r="G4" s="24" t="str">
        <x:v>ยินยอมให้ใช้ข้อมูล</x:v>
      </x:c>
      <x:c r="H4" s="24" t="str">
        <x:v>Q01</x:v>
      </x:c>
      <x:c r="I4" s="24" t="str">
        <x:v>Q02</x:v>
      </x:c>
      <x:c r="J4" s="24" t="str">
        <x:v>Q03</x:v>
      </x:c>
      <x:c r="K4" s="24" t="str">
        <x:v>Q04</x:v>
      </x:c>
      <x:c r="L4" s="24" t="str">
        <x:v>Q05</x:v>
      </x:c>
      <x:c r="M4" s="24" t="str">
        <x:v>Q06</x:v>
      </x:c>
      <x:c r="N4" s="24" t="str">
        <x:v>Q07</x:v>
      </x:c>
      <x:c r="O4" s="24" t="str">
        <x:v>Q08</x:v>
      </x:c>
      <x:c r="P4" s="24" t="str">
        <x:v>Q09</x:v>
      </x:c>
      <x:c r="Q4" s="24" t="str">
        <x:v>Q10</x:v>
      </x:c>
      <x:c r="R4" s="24" t="str">
        <x:v>Q11</x:v>
      </x:c>
      <x:c r="S4" s="24" t="str">
        <x:v>Q12</x:v>
      </x:c>
      <x:c r="T4" s="24" t="str">
        <x:v>Q13</x:v>
      </x:c>
      <x:c r="U4" s="24" t="str">
        <x:v>Q14</x:v>
      </x:c>
      <x:c r="V4" s="24" t="str">
        <x:v>Q15</x:v>
      </x:c>
      <x:c r="W4" s="24" t="str">
        <x:v>Q16</x:v>
      </x:c>
      <x:c r="X4" s="24" t="str">
        <x:v>Q17</x:v>
      </x:c>
      <x:c r="Y4" s="24" t="str">
        <x:v>Q18</x:v>
      </x:c>
      <x:c r="Z4" s="24" t="str">
        <x:v>Q19</x:v>
      </x:c>
      <x:c r="AA4" s="24" t="str">
        <x:v>Q20</x:v>
      </x:c>
      <x:c r="AB4" s="24" t="str">
        <x:v>Q21</x:v>
      </x:c>
      <x:c r="AC4" s="24" t="str">
        <x:v>Q22</x:v>
      </x:c>
      <x:c r="AD4" s="24" t="str">
        <x:v>Q23</x:v>
      </x:c>
      <x:c r="AE4" s="24" t="str">
        <x:v>Q24</x:v>
      </x:c>
      <x:c r="AF4" s="24" t="str">
        <x:v>Q25</x:v>
      </x:c>
      <x:c r="AG4" s="24" t="str">
        <x:v>Q26</x:v>
      </x:c>
      <x:c r="AH4" s="24" t="str">
        <x:v>Q27</x:v>
      </x:c>
      <x:c r="AI4" s="24" t="str">
        <x:v>Q28</x:v>
      </x:c>
      <x:c r="AJ4" s="24" t="str">
        <x:v>Q29</x:v>
      </x:c>
      <x:c r="AK4" s="24" t="str">
        <x:v>Q30</x:v>
      </x:c>
      <x:c r="AL4" s="24" t="str">
        <x:v>Q31</x:v>
      </x:c>
      <x:c r="AM4" s="24" t="str">
        <x:v>Q32</x:v>
      </x:c>
      <x:c r="AN4" s="24" t="str">
        <x:v>Q33</x:v>
      </x:c>
      <x:c r="AO4" s="24" t="str">
        <x:v>Q34</x:v>
      </x:c>
      <x:c r="AP4" s="24" t="str">
        <x:v>Q35</x:v>
      </x:c>
      <x:c r="AQ4" s="24" t="str">
        <x:v>Q36</x:v>
      </x:c>
      <x:c r="AR4" s="24" t="str">
        <x:v>R</x:v>
      </x:c>
      <x:c r="AS4" s="24" t="str">
        <x:v>I</x:v>
      </x:c>
      <x:c r="AT4" s="24" t="str">
        <x:v>A</x:v>
      </x:c>
      <x:c r="AU4" s="24" t="str">
        <x:v>S</x:v>
      </x:c>
      <x:c r="AV4" s="24" t="str">
        <x:v>E</x:v>
      </x:c>
      <x:c r="AW4" s="24" t="str">
        <x:v>C</x:v>
      </x:c>
      <x:c r="AX4" s="24" t="str">
        <x:v>Holland Code</x:v>
      </x:c>
      <x:c r="AY4" s="25" t="str">
        <x:v>บุคลิกภาพเด่น</x:v>
      </x:c>
    </x:row>
    <x:row r="5">
      <x:c r="A5" s="27" t="str">
        <x:v>EXAMPLE-001</x:v>
      </x:c>
      <x:c r="B5" s="28" t="n">
        <x:v>46223.083333333336</x:v>
      </x:c>
      <x:c r="C5" s="27" t="str">
        <x:v>ตัวอย่าง นักเรียน</x:v>
      </x:c>
      <x:c r="D5" s="27" t="str">
        <x:v>น้องตัวอย่าง</x:v>
      </x:c>
      <x:c r="E5" s="27" t="str">
        <x:v>ม.5/1</x:v>
      </x:c>
      <x:c r="F5" s="27" t="n">
        <x:v>1</x:v>
      </x:c>
      <x:c r="G5" s="27" t="str">
        <x:v>ยินยอม</x:v>
      </x:c>
      <x:c r="H5" s="27" t="n">
        <x:v>1</x:v>
      </x:c>
      <x:c r="I5" s="27" t="n">
        <x:v>1</x:v>
      </x:c>
      <x:c r="J5" s="27" t="n">
        <x:v>1</x:v>
      </x:c>
      <x:c r="K5" s="27" t="n">
        <x:v>1</x:v>
      </x:c>
      <x:c r="L5" s="27" t="n">
        <x:v>1</x:v>
      </x:c>
      <x:c r="M5" s="27" t="n">
        <x:v>1</x:v>
      </x:c>
      <x:c r="N5" s="27" t="n">
        <x:v>1</x:v>
      </x:c>
      <x:c r="O5" s="27" t="n">
        <x:v>1</x:v>
      </x:c>
      <x:c r="P5" s="27" t="n">
        <x:v>1</x:v>
      </x:c>
      <x:c r="Q5" s="27" t="n">
        <x:v>1</x:v>
      </x:c>
      <x:c r="R5" s="27" t="n">
        <x:v>1</x:v>
      </x:c>
      <x:c r="S5" s="27" t="n">
        <x:v>1</x:v>
      </x:c>
      <x:c r="T5" s="27" t="n">
        <x:v>1</x:v>
      </x:c>
      <x:c r="U5" s="27" t="n">
        <x:v>1</x:v>
      </x:c>
      <x:c r="V5" s="27" t="n">
        <x:v>1</x:v>
      </x:c>
      <x:c r="W5" s="27" t="n">
        <x:v>1</x:v>
      </x:c>
      <x:c r="X5" s="27" t="n">
        <x:v>1</x:v>
      </x:c>
      <x:c r="Y5" s="27" t="n">
        <x:v>1</x:v>
      </x:c>
      <x:c r="Z5" s="27" t="n">
        <x:v>0</x:v>
      </x:c>
      <x:c r="AA5" s="27" t="n">
        <x:v>1</x:v>
      </x:c>
      <x:c r="AB5" s="27" t="n">
        <x:v>1</x:v>
      </x:c>
      <x:c r="AC5" s="27" t="n">
        <x:v>1</x:v>
      </x:c>
      <x:c r="AD5" s="27" t="n">
        <x:v>0</x:v>
      </x:c>
      <x:c r="AE5" s="27" t="n">
        <x:v>1</x:v>
      </x:c>
      <x:c r="AF5" s="27" t="n">
        <x:v>1</x:v>
      </x:c>
      <x:c r="AG5" s="27" t="n">
        <x:v>1</x:v>
      </x:c>
      <x:c r="AH5" s="27" t="n">
        <x:v>1</x:v>
      </x:c>
      <x:c r="AI5" s="27" t="n">
        <x:v>1</x:v>
      </x:c>
      <x:c r="AJ5" s="27" t="n">
        <x:v>1</x:v>
      </x:c>
      <x:c r="AK5" s="27" t="n">
        <x:v>1</x:v>
      </x:c>
      <x:c r="AL5" s="27" t="n">
        <x:v>1</x:v>
      </x:c>
      <x:c r="AM5" s="27" t="n">
        <x:v>0</x:v>
      </x:c>
      <x:c r="AN5" s="27" t="n">
        <x:v>1</x:v>
      </x:c>
      <x:c r="AO5" s="27" t="n">
        <x:v>1</x:v>
      </x:c>
      <x:c r="AP5" s="27" t="n">
        <x:v>1</x:v>
      </x:c>
      <x:c r="AQ5" s="27" t="n">
        <x:v>1</x:v>
      </x:c>
      <x:c r="AR5" s="27" t="n">
        <x:f>SUM(H5,N5,T5,Z5,AF5,AL5)</x:f>
        <x:v>5</x:v>
      </x:c>
      <x:c r="AS5" s="27" t="n">
        <x:f>SUM(I5,O5,U5,AA5,AG5,AM5)</x:f>
        <x:v>5</x:v>
      </x:c>
      <x:c r="AT5" s="27" t="n">
        <x:f>SUM(J5,P5,V5,AB5,AH5,AN5)</x:f>
        <x:v>6</x:v>
      </x:c>
      <x:c r="AU5" s="27" t="n">
        <x:f>SUM(K5,Q5,W5,AC5,AI5,AO5)</x:f>
        <x:v>6</x:v>
      </x:c>
      <x:c r="AV5" s="27" t="n">
        <x:f>SUM(L5,R5,X5,AD5,AJ5,AP5)</x:f>
        <x:v>5</x:v>
      </x:c>
      <x:c r="AW5" s="27" t="n">
        <x:f>SUM(M5,S5,Y5,AE5,AK5,AQ5)</x:f>
        <x:v>6</x:v>
      </x:c>
      <x:c r="AX5" s="27" t="str">
        <x:f>IF(IF(AS5*1000000+SUM(U5,AM5)*10000+SUM(O5,AG5)*100+SUM(I5,AA5)+0.005&gt;AR5*1000000+SUM(T5,AL5)*10000+SUM(N5,AF5)*100+SUM(H5,Z5)+0.006,1,0)+IF(AT5*1000000+SUM(V5,AN5)*10000+SUM(P5,AH5)*100+SUM(J5,AB5)+0.004&gt;AR5*1000000+SUM(T5,AL5)*10000+SUM(N5,AF5)*100+SUM(H5,Z5)+0.006,1,0)+IF(AU5*1000000+SUM(W5,AO5)*10000+SUM(Q5,AI5)*100+SUM(K5,AC5)+0.003&gt;AR5*1000000+SUM(T5,AL5)*10000+SUM(N5,AF5)*100+SUM(H5,Z5)+0.006,1,0)+IF(AV5*1000000+SUM(X5,AP5)*10000+SUM(R5,AJ5)*100+SUM(L5,AD5)+0.002&gt;AR5*1000000+SUM(T5,AL5)*10000+SUM(N5,AF5)*100+SUM(H5,Z5)+0.006,1,0)+IF(AW5*1000000+SUM(Y5,AQ5)*10000+SUM(S5,AK5)*100+SUM(M5,AE5)+0.001&gt;AR5*1000000+SUM(T5,AL5)*10000+SUM(N5,AF5)*100+SUM(H5,Z5)+0.006,1,0)=0,"R",IF(IF(AR5*1000000+SUM(T5,AL5)*10000+SUM(N5,AF5)*100+SUM(H5,Z5)+0.006&gt;AS5*1000000+SUM(U5,AM5)*10000+SUM(O5,AG5)*100+SUM(I5,AA5)+0.005,1,0)+IF(AT5*1000000+SUM(V5,AN5)*10000+SUM(P5,AH5)*100+SUM(J5,AB5)+0.004&gt;AS5*1000000+SUM(U5,AM5)*10000+SUM(O5,AG5)*100+SUM(I5,AA5)+0.005,1,0)+IF(AU5*1000000+SUM(W5,AO5)*10000+SUM(Q5,AI5)*100+SUM(K5,AC5)+0.003&gt;AS5*1000000+SUM(U5,AM5)*10000+SUM(O5,AG5)*100+SUM(I5,AA5)+0.005,1,0)+IF(AV5*1000000+SUM(X5,AP5)*10000+SUM(R5,AJ5)*100+SUM(L5,AD5)+0.002&gt;AS5*1000000+SUM(U5,AM5)*10000+SUM(O5,AG5)*100+SUM(I5,AA5)+0.005,1,0)+IF(AW5*1000000+SUM(Y5,AQ5)*10000+SUM(S5,AK5)*100+SUM(M5,AE5)+0.001&gt;AS5*1000000+SUM(U5,AM5)*10000+SUM(O5,AG5)*100+SUM(I5,AA5)+0.005,1,0)=0,"I",IF(IF(AR5*1000000+SUM(T5,AL5)*10000+SUM(N5,AF5)*100+SUM(H5,Z5)+0.006&gt;AT5*1000000+SUM(V5,AN5)*10000+SUM(P5,AH5)*100+SUM(J5,AB5)+0.004,1,0)+IF(AS5*1000000+SUM(U5,AM5)*10000+SUM(O5,AG5)*100+SUM(I5,AA5)+0.005&gt;AT5*1000000+SUM(V5,AN5)*10000+SUM(P5,AH5)*100+SUM(J5,AB5)+0.004,1,0)+IF(AU5*1000000+SUM(W5,AO5)*10000+SUM(Q5,AI5)*100+SUM(K5,AC5)+0.003&gt;AT5*1000000+SUM(V5,AN5)*10000+SUM(P5,AH5)*100+SUM(J5,AB5)+0.004,1,0)+IF(AV5*1000000+SUM(X5,AP5)*10000+SUM(R5,AJ5)*100+SUM(L5,AD5)+0.002&gt;AT5*1000000+SUM(V5,AN5)*10000+SUM(P5,AH5)*100+SUM(J5,AB5)+0.004,1,0)+IF(AW5*1000000+SUM(Y5,AQ5)*10000+SUM(S5,AK5)*100+SUM(M5,AE5)+0.001&gt;AT5*1000000+SUM(V5,AN5)*10000+SUM(P5,AH5)*100+SUM(J5,AB5)+0.004,1,0)=0,"A",IF(IF(AR5*1000000+SUM(T5,AL5)*10000+SUM(N5,AF5)*100+SUM(H5,Z5)+0.006&gt;AU5*1000000+SUM(W5,AO5)*10000+SUM(Q5,AI5)*100+SUM(K5,AC5)+0.003,1,0)+IF(AS5*1000000+SUM(U5,AM5)*10000+SUM(O5,AG5)*100+SUM(I5,AA5)+0.005&gt;AU5*1000000+SUM(W5,AO5)*10000+SUM(Q5,AI5)*100+SUM(K5,AC5)+0.003,1,0)+IF(AT5*1000000+SUM(V5,AN5)*10000+SUM(P5,AH5)*100+SUM(J5,AB5)+0.004&gt;AU5*1000000+SUM(W5,AO5)*10000+SUM(Q5,AI5)*100+SUM(K5,AC5)+0.003,1,0)+IF(AV5*1000000+SUM(X5,AP5)*10000+SUM(R5,AJ5)*100+SUM(L5,AD5)+0.002&gt;AU5*1000000+SUM(W5,AO5)*10000+SUM(Q5,AI5)*100+SUM(K5,AC5)+0.003,1,0)+IF(AW5*1000000+SUM(Y5,AQ5)*10000+SUM(S5,AK5)*100+SUM(M5,AE5)+0.001&gt;AU5*1000000+SUM(W5,AO5)*10000+SUM(Q5,AI5)*100+SUM(K5,AC5)+0.003,1,0)=0,"S",IF(IF(AR5*1000000+SUM(T5,AL5)*10000+SUM(N5,AF5)*100+SUM(H5,Z5)+0.006&gt;AV5*1000000+SUM(X5,AP5)*10000+SUM(R5,AJ5)*100+SUM(L5,AD5)+0.002,1,0)+IF(AS5*1000000+SUM(U5,AM5)*10000+SUM(O5,AG5)*100+SUM(I5,AA5)+0.005&gt;AV5*1000000+SUM(X5,AP5)*10000+SUM(R5,AJ5)*100+SUM(L5,AD5)+0.002,1,0)+IF(AT5*1000000+SUM(V5,AN5)*10000+SUM(P5,AH5)*100+SUM(J5,AB5)+0.004&gt;AV5*1000000+SUM(X5,AP5)*10000+SUM(R5,AJ5)*100+SUM(L5,AD5)+0.002,1,0)+IF(AU5*1000000+SUM(W5,AO5)*10000+SUM(Q5,AI5)*100+SUM(K5,AC5)+0.003&gt;AV5*1000000+SUM(X5,AP5)*10000+SUM(R5,AJ5)*100+SUM(L5,AD5)+0.002,1,0)+IF(AW5*1000000+SUM(Y5,AQ5)*10000+SUM(S5,AK5)*100+SUM(M5,AE5)+0.001&gt;AV5*1000000+SUM(X5,AP5)*10000+SUM(R5,AJ5)*100+SUM(L5,AD5)+0.002,1,0)=0,"E",IF(IF(AR5*1000000+SUM(T5,AL5)*10000+SUM(N5,AF5)*100+SUM(H5,Z5)+0.006&gt;AW5*1000000+SUM(Y5,AQ5)*10000+SUM(S5,AK5)*100+SUM(M5,AE5)+0.001,1,0)+IF(AS5*1000000+SUM(U5,AM5)*10000+SUM(O5,AG5)*100+SUM(I5,AA5)+0.005&gt;AW5*1000000+SUM(Y5,AQ5)*10000+SUM(S5,AK5)*100+SUM(M5,AE5)+0.001,1,0)+IF(AT5*1000000+SUM(V5,AN5)*10000+SUM(P5,AH5)*100+SUM(J5,AB5)+0.004&gt;AW5*1000000+SUM(Y5,AQ5)*10000+SUM(S5,AK5)*100+SUM(M5,AE5)+0.001,1,0)+IF(AU5*1000000+SUM(W5,AO5)*10000+SUM(Q5,AI5)*100+SUM(K5,AC5)+0.003&gt;AW5*1000000+SUM(Y5,AQ5)*10000+SUM(S5,AK5)*100+SUM(M5,AE5)+0.001,1,0)+IF(AV5*1000000+SUM(X5,AP5)*10000+SUM(R5,AJ5)*100+SUM(L5,AD5)+0.002&gt;AW5*1000000+SUM(Y5,AQ5)*10000+SUM(S5,AK5)*100+SUM(M5,AE5)+0.001,1,0)=0,"C",""))))))&amp;IF(IF(AS5*1000000+SUM(U5,AM5)*10000+SUM(O5,AG5)*100+SUM(I5,AA5)+0.005&gt;AR5*1000000+SUM(T5,AL5)*10000+SUM(N5,AF5)*100+SUM(H5,Z5)+0.006,1,0)+IF(AT5*1000000+SUM(V5,AN5)*10000+SUM(P5,AH5)*100+SUM(J5,AB5)+0.004&gt;AR5*1000000+SUM(T5,AL5)*10000+SUM(N5,AF5)*100+SUM(H5,Z5)+0.006,1,0)+IF(AU5*1000000+SUM(W5,AO5)*10000+SUM(Q5,AI5)*100+SUM(K5,AC5)+0.003&gt;AR5*1000000+SUM(T5,AL5)*10000+SUM(N5,AF5)*100+SUM(H5,Z5)+0.006,1,0)+IF(AV5*1000000+SUM(X5,AP5)*10000+SUM(R5,AJ5)*100+SUM(L5,AD5)+0.002&gt;AR5*1000000+SUM(T5,AL5)*10000+SUM(N5,AF5)*100+SUM(H5,Z5)+0.006,1,0)+IF(AW5*1000000+SUM(Y5,AQ5)*10000+SUM(S5,AK5)*100+SUM(M5,AE5)+0.001&gt;AR5*1000000+SUM(T5,AL5)*10000+SUM(N5,AF5)*100+SUM(H5,Z5)+0.006,1,0)=1,"R",IF(IF(AR5*1000000+SUM(T5,AL5)*10000+SUM(N5,AF5)*100+SUM(H5,Z5)+0.006&gt;AS5*1000000+SUM(U5,AM5)*10000+SUM(O5,AG5)*100+SUM(I5,AA5)+0.005,1,0)+IF(AT5*1000000+SUM(V5,AN5)*10000+SUM(P5,AH5)*100+SUM(J5,AB5)+0.004&gt;AS5*1000000+SUM(U5,AM5)*10000+SUM(O5,AG5)*100+SUM(I5,AA5)+0.005,1,0)+IF(AU5*1000000+SUM(W5,AO5)*10000+SUM(Q5,AI5)*100+SUM(K5,AC5)+0.003&gt;AS5*1000000+SUM(U5,AM5)*10000+SUM(O5,AG5)*100+SUM(I5,AA5)+0.005,1,0)+IF(AV5*1000000+SUM(X5,AP5)*10000+SUM(R5,AJ5)*100+SUM(L5,AD5)+0.002&gt;AS5*1000000+SUM(U5,AM5)*10000+SUM(O5,AG5)*100+SUM(I5,AA5)+0.005,1,0)+IF(AW5*1000000+SUM(Y5,AQ5)*10000+SUM(S5,AK5)*100+SUM(M5,AE5)+0.001&gt;AS5*1000000+SUM(U5,AM5)*10000+SUM(O5,AG5)*100+SUM(I5,AA5)+0.005,1,0)=1,"I",IF(IF(AR5*1000000+SUM(T5,AL5)*10000+SUM(N5,AF5)*100+SUM(H5,Z5)+0.006&gt;AT5*1000000+SUM(V5,AN5)*10000+SUM(P5,AH5)*100+SUM(J5,AB5)+0.004,1,0)+IF(AS5*1000000+SUM(U5,AM5)*10000+SUM(O5,AG5)*100+SUM(I5,AA5)+0.005&gt;AT5*1000000+SUM(V5,AN5)*10000+SUM(P5,AH5)*100+SUM(J5,AB5)+0.004,1,0)+IF(AU5*1000000+SUM(W5,AO5)*10000+SUM(Q5,AI5)*100+SUM(K5,AC5)+0.003&gt;AT5*1000000+SUM(V5,AN5)*10000+SUM(P5,AH5)*100+SUM(J5,AB5)+0.004,1,0)+IF(AV5*1000000+SUM(X5,AP5)*10000+SUM(R5,AJ5)*100+SUM(L5,AD5)+0.002&gt;AT5*1000000+SUM(V5,AN5)*10000+SUM(P5,AH5)*100+SUM(J5,AB5)+0.004,1,0)+IF(AW5*1000000+SUM(Y5,AQ5)*10000+SUM(S5,AK5)*100+SUM(M5,AE5)+0.001&gt;AT5*1000000+SUM(V5,AN5)*10000+SUM(P5,AH5)*100+SUM(J5,AB5)+0.004,1,0)=1,"A",IF(IF(AR5*1000000+SUM(T5,AL5)*10000+SUM(N5,AF5)*100+SUM(H5,Z5)+0.006&gt;AU5*1000000+SUM(W5,AO5)*10000+SUM(Q5,AI5)*100+SUM(K5,AC5)+0.003,1,0)+IF(AS5*1000000+SUM(U5,AM5)*10000+SUM(O5,AG5)*100+SUM(I5,AA5)+0.005&gt;AU5*1000000+SUM(W5,AO5)*10000+SUM(Q5,AI5)*100+SUM(K5,AC5)+0.003,1,0)+IF(AT5*1000000+SUM(V5,AN5)*10000+SUM(P5,AH5)*100+SUM(J5,AB5)+0.004&gt;AU5*1000000+SUM(W5,AO5)*10000+SUM(Q5,AI5)*100+SUM(K5,AC5)+0.003,1,0)+IF(AV5*1000000+SUM(X5,AP5)*10000+SUM(R5,AJ5)*100+SUM(L5,AD5)+0.002&gt;AU5*1000000+SUM(W5,AO5)*10000+SUM(Q5,AI5)*100+SUM(K5,AC5)+0.003,1,0)+IF(AW5*1000000+SUM(Y5,AQ5)*10000+SUM(S5,AK5)*100+SUM(M5,AE5)+0.001&gt;AU5*1000000+SUM(W5,AO5)*10000+SUM(Q5,AI5)*100+SUM(K5,AC5)+0.003,1,0)=1,"S",IF(IF(AR5*1000000+SUM(T5,AL5)*10000+SUM(N5,AF5)*100+SUM(H5,Z5)+0.006&gt;AV5*1000000+SUM(X5,AP5)*10000+SUM(R5,AJ5)*100+SUM(L5,AD5)+0.002,1,0)+IF(AS5*1000000+SUM(U5,AM5)*10000+SUM(O5,AG5)*100+SUM(I5,AA5)+0.005&gt;AV5*1000000+SUM(X5,AP5)*10000+SUM(R5,AJ5)*100+SUM(L5,AD5)+0.002,1,0)+IF(AT5*1000000+SUM(V5,AN5)*10000+SUM(P5,AH5)*100+SUM(J5,AB5)+0.004&gt;AV5*1000000+SUM(X5,AP5)*10000+SUM(R5,AJ5)*100+SUM(L5,AD5)+0.002,1,0)+IF(AU5*1000000+SUM(W5,AO5)*10000+SUM(Q5,AI5)*100+SUM(K5,AC5)+0.003&gt;AV5*1000000+SUM(X5,AP5)*10000+SUM(R5,AJ5)*100+SUM(L5,AD5)+0.002,1,0)+IF(AW5*1000000+SUM(Y5,AQ5)*10000+SUM(S5,AK5)*100+SUM(M5,AE5)+0.001&gt;AV5*1000000+SUM(X5,AP5)*10000+SUM(R5,AJ5)*100+SUM(L5,AD5)+0.002,1,0)=1,"E",IF(IF(AR5*1000000+SUM(T5,AL5)*10000+SUM(N5,AF5)*100+SUM(H5,Z5)+0.006&gt;AW5*1000000+SUM(Y5,AQ5)*10000+SUM(S5,AK5)*100+SUM(M5,AE5)+0.001,1,0)+IF(AS5*1000000+SUM(U5,AM5)*10000+SUM(O5,AG5)*100+SUM(I5,AA5)+0.005&gt;AW5*1000000+SUM(Y5,AQ5)*10000+SUM(S5,AK5)*100+SUM(M5,AE5)+0.001,1,0)+IF(AT5*1000000+SUM(V5,AN5)*10000+SUM(P5,AH5)*100+SUM(J5,AB5)+0.004&gt;AW5*1000000+SUM(Y5,AQ5)*10000+SUM(S5,AK5)*100+SUM(M5,AE5)+0.001,1,0)+IF(AU5*1000000+SUM(W5,AO5)*10000+SUM(Q5,AI5)*100+SUM(K5,AC5)+0.003&gt;AW5*1000000+SUM(Y5,AQ5)*10000+SUM(S5,AK5)*100+SUM(M5,AE5)+0.001,1,0)+IF(AV5*1000000+SUM(X5,AP5)*10000+SUM(R5,AJ5)*100+SUM(L5,AD5)+0.002&gt;AW5*1000000+SUM(Y5,AQ5)*10000+SUM(S5,AK5)*100+SUM(M5,AE5)+0.001,1,0)=1,"C",""))))))&amp;IF(IF(AS5*1000000+SUM(U5,AM5)*10000+SUM(O5,AG5)*100+SUM(I5,AA5)+0.005&gt;AR5*1000000+SUM(T5,AL5)*10000+SUM(N5,AF5)*100+SUM(H5,Z5)+0.006,1,0)+IF(AT5*1000000+SUM(V5,AN5)*10000+SUM(P5,AH5)*100+SUM(J5,AB5)+0.004&gt;AR5*1000000+SUM(T5,AL5)*10000+SUM(N5,AF5)*100+SUM(H5,Z5)+0.006,1,0)+IF(AU5*1000000+SUM(W5,AO5)*10000+SUM(Q5,AI5)*100+SUM(K5,AC5)+0.003&gt;AR5*1000000+SUM(T5,AL5)*10000+SUM(N5,AF5)*100+SUM(H5,Z5)+0.006,1,0)+IF(AV5*1000000+SUM(X5,AP5)*10000+SUM(R5,AJ5)*100+SUM(L5,AD5)+0.002&gt;AR5*1000000+SUM(T5,AL5)*10000+SUM(N5,AF5)*100+SUM(H5,Z5)+0.006,1,0)+IF(AW5*1000000+SUM(Y5,AQ5)*10000+SUM(S5,AK5)*100+SUM(M5,AE5)+0.001&gt;AR5*1000000+SUM(T5,AL5)*10000+SUM(N5,AF5)*100+SUM(H5,Z5)+0.006,1,0)=2,"R",IF(IF(AR5*1000000+SUM(T5,AL5)*10000+SUM(N5,AF5)*100+SUM(H5,Z5)+0.006&gt;AS5*1000000+SUM(U5,AM5)*10000+SUM(O5,AG5)*100+SUM(I5,AA5)+0.005,1,0)+IF(AT5*1000000+SUM(V5,AN5)*10000+SUM(P5,AH5)*100+SUM(J5,AB5)+0.004&gt;AS5*1000000+SUM(U5,AM5)*10000+SUM(O5,AG5)*100+SUM(I5,AA5)+0.005,1,0)+IF(AU5*1000000+SUM(W5,AO5)*10000+SUM(Q5,AI5)*100+SUM(K5,AC5)+0.003&gt;AS5*1000000+SUM(U5,AM5)*10000+SUM(O5,AG5)*100+SUM(I5,AA5)+0.005,1,0)+IF(AV5*1000000+SUM(X5,AP5)*10000+SUM(R5,AJ5)*100+SUM(L5,AD5)+0.002&gt;AS5*1000000+SUM(U5,AM5)*10000+SUM(O5,AG5)*100+SUM(I5,AA5)+0.005,1,0)+IF(AW5*1000000+SUM(Y5,AQ5)*10000+SUM(S5,AK5)*100+SUM(M5,AE5)+0.001&gt;AS5*1000000+SUM(U5,AM5)*10000+SUM(O5,AG5)*100+SUM(I5,AA5)+0.005,1,0)=2,"I",IF(IF(AR5*1000000+SUM(T5,AL5)*10000+SUM(N5,AF5)*100+SUM(H5,Z5)+0.006&gt;AT5*1000000+SUM(V5,AN5)*10000+SUM(P5,AH5)*100+SUM(J5,AB5)+0.004,1,0)+IF(AS5*1000000+SUM(U5,AM5)*10000+SUM(O5,AG5)*100+SUM(I5,AA5)+0.005&gt;AT5*1000000+SUM(V5,AN5)*10000+SUM(P5,AH5)*100+SUM(J5,AB5)+0.004,1,0)+IF(AU5*1000000+SUM(W5,AO5)*10000+SUM(Q5,AI5)*100+SUM(K5,AC5)+0.003&gt;AT5*1000000+SUM(V5,AN5)*10000+SUM(P5,AH5)*100+SUM(J5,AB5)+0.004,1,0)+IF(AV5*1000000+SUM(X5,AP5)*10000+SUM(R5,AJ5)*100+SUM(L5,AD5)+0.002&gt;AT5*1000000+SUM(V5,AN5)*10000+SUM(P5,AH5)*100+SUM(J5,AB5)+0.004,1,0)+IF(AW5*1000000+SUM(Y5,AQ5)*10000+SUM(S5,AK5)*100+SUM(M5,AE5)+0.001&gt;AT5*1000000+SUM(V5,AN5)*10000+SUM(P5,AH5)*100+SUM(J5,AB5)+0.004,1,0)=2,"A",IF(IF(AR5*1000000+SUM(T5,AL5)*10000+SUM(N5,AF5)*100+SUM(H5,Z5)+0.006&gt;AU5*1000000+SUM(W5,AO5)*10000+SUM(Q5,AI5)*100+SUM(K5,AC5)+0.003,1,0)+IF(AS5*1000000+SUM(U5,AM5)*10000+SUM(O5,AG5)*100+SUM(I5,AA5)+0.005&gt;AU5*1000000+SUM(W5,AO5)*10000+SUM(Q5,AI5)*100+SUM(K5,AC5)+0.003,1,0)+IF(AT5*1000000+SUM(V5,AN5)*10000+SUM(P5,AH5)*100+SUM(J5,AB5)+0.004&gt;AU5*1000000+SUM(W5,AO5)*10000+SUM(Q5,AI5)*100+SUM(K5,AC5)+0.003,1,0)+IF(AV5*1000000+SUM(X5,AP5)*10000+SUM(R5,AJ5)*100+SUM(L5,AD5)+0.002&gt;AU5*1000000+SUM(W5,AO5)*10000+SUM(Q5,AI5)*100+SUM(K5,AC5)+0.003,1,0)+IF(AW5*1000000+SUM(Y5,AQ5)*10000+SUM(S5,AK5)*100+SUM(M5,AE5)+0.001&gt;AU5*1000000+SUM(W5,AO5)*10000+SUM(Q5,AI5)*100+SUM(K5,AC5)+0.003,1,0)=2,"S",IF(IF(AR5*1000000+SUM(T5,AL5)*10000+SUM(N5,AF5)*100+SUM(H5,Z5)+0.006&gt;AV5*1000000+SUM(X5,AP5)*10000+SUM(R5,AJ5)*100+SUM(L5,AD5)+0.002,1,0)+IF(AS5*1000000+SUM(U5,AM5)*10000+SUM(O5,AG5)*100+SUM(I5,AA5)+0.005&gt;AV5*1000000+SUM(X5,AP5)*10000+SUM(R5,AJ5)*100+SUM(L5,AD5)+0.002,1,0)+IF(AT5*1000000+SUM(V5,AN5)*10000+SUM(P5,AH5)*100+SUM(J5,AB5)+0.004&gt;AV5*1000000+SUM(X5,AP5)*10000+SUM(R5,AJ5)*100+SUM(L5,AD5)+0.002,1,0)+IF(AU5*1000000+SUM(W5,AO5)*10000+SUM(Q5,AI5)*100+SUM(K5,AC5)+0.003&gt;AV5*1000000+SUM(X5,AP5)*10000+SUM(R5,AJ5)*100+SUM(L5,AD5)+0.002,1,0)+IF(AW5*1000000+SUM(Y5,AQ5)*10000+SUM(S5,AK5)*100+SUM(M5,AE5)+0.001&gt;AV5*1000000+SUM(X5,AP5)*10000+SUM(R5,AJ5)*100+SUM(L5,AD5)+0.002,1,0)=2,"E",IF(IF(AR5*1000000+SUM(T5,AL5)*10000+SUM(N5,AF5)*100+SUM(H5,Z5)+0.006&gt;AW5*1000000+SUM(Y5,AQ5)*10000+SUM(S5,AK5)*100+SUM(M5,AE5)+0.001,1,0)+IF(AS5*1000000+SUM(U5,AM5)*10000+SUM(O5,AG5)*100+SUM(I5,AA5)+0.005&gt;AW5*1000000+SUM(Y5,AQ5)*10000+SUM(S5,AK5)*100+SUM(M5,AE5)+0.001,1,0)+IF(AT5*1000000+SUM(V5,AN5)*10000+SUM(P5,AH5)*100+SUM(J5,AB5)+0.004&gt;AW5*1000000+SUM(Y5,AQ5)*10000+SUM(S5,AK5)*100+SUM(M5,AE5)+0.001,1,0)+IF(AU5*1000000+SUM(W5,AO5)*10000+SUM(Q5,AI5)*100+SUM(K5,AC5)+0.003&gt;AW5*1000000+SUM(Y5,AQ5)*10000+SUM(S5,AK5)*100+SUM(M5,AE5)+0.001,1,0)+IF(AV5*1000000+SUM(X5,AP5)*10000+SUM(R5,AJ5)*100+SUM(L5,AD5)+0.002&gt;AW5*1000000+SUM(Y5,AQ5)*10000+SUM(S5,AK5)*100+SUM(M5,AE5)+0.001,1,0)=2,"C",""))))))</x:f>
        <x:v>ASC</x:v>
      </x:c>
      <x:c r="AY5" s="27" t="str">
        <x:f>IF(LEFT(AX5,1)="R","นักปฏิบัติ",IF(LEFT(AX5,1)="I","นักคิดวิเคราะห์",IF(LEFT(AX5,1)="A","นักสร้างสรรค์",IF(LEFT(AX5,1)="S","ผู้เข้าใจผู้คน",IF(LEFT(AX5,1)="E","ผู้นำการเปลี่ยนแปลง","ผู้จัดระบบ")))))</x:f>
        <x:v>นักสร้างสรรค์</x:v>
      </x:c>
    </x:row>
    <x:row r="6">
      <x:c r="A6" s="27"/>
      <x:c r="B6" s="28"/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  <x:c r="N6" s="27"/>
      <x:c r="O6" s="27"/>
      <x:c r="P6" s="27"/>
      <x:c r="Q6" s="27"/>
      <x:c r="R6" s="27"/>
      <x:c r="S6" s="27"/>
      <x:c r="T6" s="27"/>
      <x:c r="U6" s="27"/>
      <x:c r="V6" s="27"/>
      <x:c r="W6" s="27"/>
      <x:c r="X6" s="27"/>
      <x:c r="Y6" s="27"/>
      <x:c r="Z6" s="27"/>
      <x:c r="AA6" s="27"/>
      <x:c r="AB6" s="27"/>
      <x:c r="AC6" s="27"/>
      <x:c r="AD6" s="27"/>
      <x:c r="AE6" s="27"/>
      <x:c r="AF6" s="27"/>
      <x:c r="AG6" s="27"/>
      <x:c r="AH6" s="27"/>
      <x:c r="AI6" s="27"/>
      <x:c r="AJ6" s="27"/>
      <x:c r="AK6" s="27"/>
      <x:c r="AL6" s="27"/>
      <x:c r="AM6" s="27"/>
      <x:c r="AN6" s="27"/>
      <x:c r="AO6" s="27"/>
      <x:c r="AP6" s="27"/>
      <x:c r="AQ6" s="27"/>
      <x:c r="AR6" s="27" t="str">
        <x:f>IF(C6="","",SUM(H6,N6,T6,Z6,AF6,AL6))</x:f>
      </x:c>
      <x:c r="AS6" s="27" t="str">
        <x:f>IF(C6="","",SUM(I6,O6,U6,AA6,AG6,AM6))</x:f>
      </x:c>
      <x:c r="AT6" s="27" t="str">
        <x:f>IF(C6="","",SUM(J6,P6,V6,AB6,AH6,AN6))</x:f>
      </x:c>
      <x:c r="AU6" s="27" t="str">
        <x:f>IF(C6="","",SUM(K6,Q6,W6,AC6,AI6,AO6))</x:f>
      </x:c>
      <x:c r="AV6" s="27" t="str">
        <x:f>IF(C6="","",SUM(L6,R6,X6,AD6,AJ6,AP6))</x:f>
      </x:c>
      <x:c r="AW6" s="27" t="str">
        <x:f>IF(C6="","",SUM(M6,S6,Y6,AE6,AK6,AQ6))</x:f>
      </x:c>
      <x:c r="AX6" s="27" t="str">
        <x:f>IF(C6="","",IF(IF(AS6*1000000+SUM(U6,AM6)*10000+SUM(O6,AG6)*100+SUM(I6,AA6)+0.005&gt;AR6*1000000+SUM(T6,AL6)*10000+SUM(N6,AF6)*100+SUM(H6,Z6)+0.006,1,0)+IF(AT6*1000000+SUM(V6,AN6)*10000+SUM(P6,AH6)*100+SUM(J6,AB6)+0.004&gt;AR6*1000000+SUM(T6,AL6)*10000+SUM(N6,AF6)*100+SUM(H6,Z6)+0.006,1,0)+IF(AU6*1000000+SUM(W6,AO6)*10000+SUM(Q6,AI6)*100+SUM(K6,AC6)+0.003&gt;AR6*1000000+SUM(T6,AL6)*10000+SUM(N6,AF6)*100+SUM(H6,Z6)+0.006,1,0)+IF(AV6*1000000+SUM(X6,AP6)*10000+SUM(R6,AJ6)*100+SUM(L6,AD6)+0.002&gt;AR6*1000000+SUM(T6,AL6)*10000+SUM(N6,AF6)*100+SUM(H6,Z6)+0.006,1,0)+IF(AW6*1000000+SUM(Y6,AQ6)*10000+SUM(S6,AK6)*100+SUM(M6,AE6)+0.001&gt;AR6*1000000+SUM(T6,AL6)*10000+SUM(N6,AF6)*100+SUM(H6,Z6)+0.006,1,0)=0,"R",IF(IF(AR6*1000000+SUM(T6,AL6)*10000+SUM(N6,AF6)*100+SUM(H6,Z6)+0.006&gt;AS6*1000000+SUM(U6,AM6)*10000+SUM(O6,AG6)*100+SUM(I6,AA6)+0.005,1,0)+IF(AT6*1000000+SUM(V6,AN6)*10000+SUM(P6,AH6)*100+SUM(J6,AB6)+0.004&gt;AS6*1000000+SUM(U6,AM6)*10000+SUM(O6,AG6)*100+SUM(I6,AA6)+0.005,1,0)+IF(AU6*1000000+SUM(W6,AO6)*10000+SUM(Q6,AI6)*100+SUM(K6,AC6)+0.003&gt;AS6*1000000+SUM(U6,AM6)*10000+SUM(O6,AG6)*100+SUM(I6,AA6)+0.005,1,0)+IF(AV6*1000000+SUM(X6,AP6)*10000+SUM(R6,AJ6)*100+SUM(L6,AD6)+0.002&gt;AS6*1000000+SUM(U6,AM6)*10000+SUM(O6,AG6)*100+SUM(I6,AA6)+0.005,1,0)+IF(AW6*1000000+SUM(Y6,AQ6)*10000+SUM(S6,AK6)*100+SUM(M6,AE6)+0.001&gt;AS6*1000000+SUM(U6,AM6)*10000+SUM(O6,AG6)*100+SUM(I6,AA6)+0.005,1,0)=0,"I",IF(IF(AR6*1000000+SUM(T6,AL6)*10000+SUM(N6,AF6)*100+SUM(H6,Z6)+0.006&gt;AT6*1000000+SUM(V6,AN6)*10000+SUM(P6,AH6)*100+SUM(J6,AB6)+0.004,1,0)+IF(AS6*1000000+SUM(U6,AM6)*10000+SUM(O6,AG6)*100+SUM(I6,AA6)+0.005&gt;AT6*1000000+SUM(V6,AN6)*10000+SUM(P6,AH6)*100+SUM(J6,AB6)+0.004,1,0)+IF(AU6*1000000+SUM(W6,AO6)*10000+SUM(Q6,AI6)*100+SUM(K6,AC6)+0.003&gt;AT6*1000000+SUM(V6,AN6)*10000+SUM(P6,AH6)*100+SUM(J6,AB6)+0.004,1,0)+IF(AV6*1000000+SUM(X6,AP6)*10000+SUM(R6,AJ6)*100+SUM(L6,AD6)+0.002&gt;AT6*1000000+SUM(V6,AN6)*10000+SUM(P6,AH6)*100+SUM(J6,AB6)+0.004,1,0)+IF(AW6*1000000+SUM(Y6,AQ6)*10000+SUM(S6,AK6)*100+SUM(M6,AE6)+0.001&gt;AT6*1000000+SUM(V6,AN6)*10000+SUM(P6,AH6)*100+SUM(J6,AB6)+0.004,1,0)=0,"A",IF(IF(AR6*1000000+SUM(T6,AL6)*10000+SUM(N6,AF6)*100+SUM(H6,Z6)+0.006&gt;AU6*1000000+SUM(W6,AO6)*10000+SUM(Q6,AI6)*100+SUM(K6,AC6)+0.003,1,0)+IF(AS6*1000000+SUM(U6,AM6)*10000+SUM(O6,AG6)*100+SUM(I6,AA6)+0.005&gt;AU6*1000000+SUM(W6,AO6)*10000+SUM(Q6,AI6)*100+SUM(K6,AC6)+0.003,1,0)+IF(AT6*1000000+SUM(V6,AN6)*10000+SUM(P6,AH6)*100+SUM(J6,AB6)+0.004&gt;AU6*1000000+SUM(W6,AO6)*10000+SUM(Q6,AI6)*100+SUM(K6,AC6)+0.003,1,0)+IF(AV6*1000000+SUM(X6,AP6)*10000+SUM(R6,AJ6)*100+SUM(L6,AD6)+0.002&gt;AU6*1000000+SUM(W6,AO6)*10000+SUM(Q6,AI6)*100+SUM(K6,AC6)+0.003,1,0)+IF(AW6*1000000+SUM(Y6,AQ6)*10000+SUM(S6,AK6)*100+SUM(M6,AE6)+0.001&gt;AU6*1000000+SUM(W6,AO6)*10000+SUM(Q6,AI6)*100+SUM(K6,AC6)+0.003,1,0)=0,"S",IF(IF(AR6*1000000+SUM(T6,AL6)*10000+SUM(N6,AF6)*100+SUM(H6,Z6)+0.006&gt;AV6*1000000+SUM(X6,AP6)*10000+SUM(R6,AJ6)*100+SUM(L6,AD6)+0.002,1,0)+IF(AS6*1000000+SUM(U6,AM6)*10000+SUM(O6,AG6)*100+SUM(I6,AA6)+0.005&gt;AV6*1000000+SUM(X6,AP6)*10000+SUM(R6,AJ6)*100+SUM(L6,AD6)+0.002,1,0)+IF(AT6*1000000+SUM(V6,AN6)*10000+SUM(P6,AH6)*100+SUM(J6,AB6)+0.004&gt;AV6*1000000+SUM(X6,AP6)*10000+SUM(R6,AJ6)*100+SUM(L6,AD6)+0.002,1,0)+IF(AU6*1000000+SUM(W6,AO6)*10000+SUM(Q6,AI6)*100+SUM(K6,AC6)+0.003&gt;AV6*1000000+SUM(X6,AP6)*10000+SUM(R6,AJ6)*100+SUM(L6,AD6)+0.002,1,0)+IF(AW6*1000000+SUM(Y6,AQ6)*10000+SUM(S6,AK6)*100+SUM(M6,AE6)+0.001&gt;AV6*1000000+SUM(X6,AP6)*10000+SUM(R6,AJ6)*100+SUM(L6,AD6)+0.002,1,0)=0,"E",IF(IF(AR6*1000000+SUM(T6,AL6)*10000+SUM(N6,AF6)*100+SUM(H6,Z6)+0.006&gt;AW6*1000000+SUM(Y6,AQ6)*10000+SUM(S6,AK6)*100+SUM(M6,AE6)+0.001,1,0)+IF(AS6*1000000+SUM(U6,AM6)*10000+SUM(O6,AG6)*100+SUM(I6,AA6)+0.005&gt;AW6*1000000+SUM(Y6,AQ6)*10000+SUM(S6,AK6)*100+SUM(M6,AE6)+0.001,1,0)+IF(AT6*1000000+SUM(V6,AN6)*10000+SUM(P6,AH6)*100+SUM(J6,AB6)+0.004&gt;AW6*1000000+SUM(Y6,AQ6)*10000+SUM(S6,AK6)*100+SUM(M6,AE6)+0.001,1,0)+IF(AU6*1000000+SUM(W6,AO6)*10000+SUM(Q6,AI6)*100+SUM(K6,AC6)+0.003&gt;AW6*1000000+SUM(Y6,AQ6)*10000+SUM(S6,AK6)*100+SUM(M6,AE6)+0.001,1,0)+IF(AV6*1000000+SUM(X6,AP6)*10000+SUM(R6,AJ6)*100+SUM(L6,AD6)+0.002&gt;AW6*1000000+SUM(Y6,AQ6)*10000+SUM(S6,AK6)*100+SUM(M6,AE6)+0.001,1,0)=0,"C",""))))))&amp;IF(IF(AS6*1000000+SUM(U6,AM6)*10000+SUM(O6,AG6)*100+SUM(I6,AA6)+0.005&gt;AR6*1000000+SUM(T6,AL6)*10000+SUM(N6,AF6)*100+SUM(H6,Z6)+0.006,1,0)+IF(AT6*1000000+SUM(V6,AN6)*10000+SUM(P6,AH6)*100+SUM(J6,AB6)+0.004&gt;AR6*1000000+SUM(T6,AL6)*10000+SUM(N6,AF6)*100+SUM(H6,Z6)+0.006,1,0)+IF(AU6*1000000+SUM(W6,AO6)*10000+SUM(Q6,AI6)*100+SUM(K6,AC6)+0.003&gt;AR6*1000000+SUM(T6,AL6)*10000+SUM(N6,AF6)*100+SUM(H6,Z6)+0.006,1,0)+IF(AV6*1000000+SUM(X6,AP6)*10000+SUM(R6,AJ6)*100+SUM(L6,AD6)+0.002&gt;AR6*1000000+SUM(T6,AL6)*10000+SUM(N6,AF6)*100+SUM(H6,Z6)+0.006,1,0)+IF(AW6*1000000+SUM(Y6,AQ6)*10000+SUM(S6,AK6)*100+SUM(M6,AE6)+0.001&gt;AR6*1000000+SUM(T6,AL6)*10000+SUM(N6,AF6)*100+SUM(H6,Z6)+0.006,1,0)=1,"R",IF(IF(AR6*1000000+SUM(T6,AL6)*10000+SUM(N6,AF6)*100+SUM(H6,Z6)+0.006&gt;AS6*1000000+SUM(U6,AM6)*10000+SUM(O6,AG6)*100+SUM(I6,AA6)+0.005,1,0)+IF(AT6*1000000+SUM(V6,AN6)*10000+SUM(P6,AH6)*100+SUM(J6,AB6)+0.004&gt;AS6*1000000+SUM(U6,AM6)*10000+SUM(O6,AG6)*100+SUM(I6,AA6)+0.005,1,0)+IF(AU6*1000000+SUM(W6,AO6)*10000+SUM(Q6,AI6)*100+SUM(K6,AC6)+0.003&gt;AS6*1000000+SUM(U6,AM6)*10000+SUM(O6,AG6)*100+SUM(I6,AA6)+0.005,1,0)+IF(AV6*1000000+SUM(X6,AP6)*10000+SUM(R6,AJ6)*100+SUM(L6,AD6)+0.002&gt;AS6*1000000+SUM(U6,AM6)*10000+SUM(O6,AG6)*100+SUM(I6,AA6)+0.005,1,0)+IF(AW6*1000000+SUM(Y6,AQ6)*10000+SUM(S6,AK6)*100+SUM(M6,AE6)+0.001&gt;AS6*1000000+SUM(U6,AM6)*10000+SUM(O6,AG6)*100+SUM(I6,AA6)+0.005,1,0)=1,"I",IF(IF(AR6*1000000+SUM(T6,AL6)*10000+SUM(N6,AF6)*100+SUM(H6,Z6)+0.006&gt;AT6*1000000+SUM(V6,AN6)*10000+SUM(P6,AH6)*100+SUM(J6,AB6)+0.004,1,0)+IF(AS6*1000000+SUM(U6,AM6)*10000+SUM(O6,AG6)*100+SUM(I6,AA6)+0.005&gt;AT6*1000000+SUM(V6,AN6)*10000+SUM(P6,AH6)*100+SUM(J6,AB6)+0.004,1,0)+IF(AU6*1000000+SUM(W6,AO6)*10000+SUM(Q6,AI6)*100+SUM(K6,AC6)+0.003&gt;AT6*1000000+SUM(V6,AN6)*10000+SUM(P6,AH6)*100+SUM(J6,AB6)+0.004,1,0)+IF(AV6*1000000+SUM(X6,AP6)*10000+SUM(R6,AJ6)*100+SUM(L6,AD6)+0.002&gt;AT6*1000000+SUM(V6,AN6)*10000+SUM(P6,AH6)*100+SUM(J6,AB6)+0.004,1,0)+IF(AW6*1000000+SUM(Y6,AQ6)*10000+SUM(S6,AK6)*100+SUM(M6,AE6)+0.001&gt;AT6*1000000+SUM(V6,AN6)*10000+SUM(P6,AH6)*100+SUM(J6,AB6)+0.004,1,0)=1,"A",IF(IF(AR6*1000000+SUM(T6,AL6)*10000+SUM(N6,AF6)*100+SUM(H6,Z6)+0.006&gt;AU6*1000000+SUM(W6,AO6)*10000+SUM(Q6,AI6)*100+SUM(K6,AC6)+0.003,1,0)+IF(AS6*1000000+SUM(U6,AM6)*10000+SUM(O6,AG6)*100+SUM(I6,AA6)+0.005&gt;AU6*1000000+SUM(W6,AO6)*10000+SUM(Q6,AI6)*100+SUM(K6,AC6)+0.003,1,0)+IF(AT6*1000000+SUM(V6,AN6)*10000+SUM(P6,AH6)*100+SUM(J6,AB6)+0.004&gt;AU6*1000000+SUM(W6,AO6)*10000+SUM(Q6,AI6)*100+SUM(K6,AC6)+0.003,1,0)+IF(AV6*1000000+SUM(X6,AP6)*10000+SUM(R6,AJ6)*100+SUM(L6,AD6)+0.002&gt;AU6*1000000+SUM(W6,AO6)*10000+SUM(Q6,AI6)*100+SUM(K6,AC6)+0.003,1,0)+IF(AW6*1000000+SUM(Y6,AQ6)*10000+SUM(S6,AK6)*100+SUM(M6,AE6)+0.001&gt;AU6*1000000+SUM(W6,AO6)*10000+SUM(Q6,AI6)*100+SUM(K6,AC6)+0.003,1,0)=1,"S",IF(IF(AR6*1000000+SUM(T6,AL6)*10000+SUM(N6,AF6)*100+SUM(H6,Z6)+0.006&gt;AV6*1000000+SUM(X6,AP6)*10000+SUM(R6,AJ6)*100+SUM(L6,AD6)+0.002,1,0)+IF(AS6*1000000+SUM(U6,AM6)*10000+SUM(O6,AG6)*100+SUM(I6,AA6)+0.005&gt;AV6*1000000+SUM(X6,AP6)*10000+SUM(R6,AJ6)*100+SUM(L6,AD6)+0.002,1,0)+IF(AT6*1000000+SUM(V6,AN6)*10000+SUM(P6,AH6)*100+SUM(J6,AB6)+0.004&gt;AV6*1000000+SUM(X6,AP6)*10000+SUM(R6,AJ6)*100+SUM(L6,AD6)+0.002,1,0)+IF(AU6*1000000+SUM(W6,AO6)*10000+SUM(Q6,AI6)*100+SUM(K6,AC6)+0.003&gt;AV6*1000000+SUM(X6,AP6)*10000+SUM(R6,AJ6)*100+SUM(L6,AD6)+0.002,1,0)+IF(AW6*1000000+SUM(Y6,AQ6)*10000+SUM(S6,AK6)*100+SUM(M6,AE6)+0.001&gt;AV6*1000000+SUM(X6,AP6)*10000+SUM(R6,AJ6)*100+SUM(L6,AD6)+0.002,1,0)=1,"E",IF(IF(AR6*1000000+SUM(T6,AL6)*10000+SUM(N6,AF6)*100+SUM(H6,Z6)+0.006&gt;AW6*1000000+SUM(Y6,AQ6)*10000+SUM(S6,AK6)*100+SUM(M6,AE6)+0.001,1,0)+IF(AS6*1000000+SUM(U6,AM6)*10000+SUM(O6,AG6)*100+SUM(I6,AA6)+0.005&gt;AW6*1000000+SUM(Y6,AQ6)*10000+SUM(S6,AK6)*100+SUM(M6,AE6)+0.001,1,0)+IF(AT6*1000000+SUM(V6,AN6)*10000+SUM(P6,AH6)*100+SUM(J6,AB6)+0.004&gt;AW6*1000000+SUM(Y6,AQ6)*10000+SUM(S6,AK6)*100+SUM(M6,AE6)+0.001,1,0)+IF(AU6*1000000+SUM(W6,AO6)*10000+SUM(Q6,AI6)*100+SUM(K6,AC6)+0.003&gt;AW6*1000000+SUM(Y6,AQ6)*10000+SUM(S6,AK6)*100+SUM(M6,AE6)+0.001,1,0)+IF(AV6*1000000+SUM(X6,AP6)*10000+SUM(R6,AJ6)*100+SUM(L6,AD6)+0.002&gt;AW6*1000000+SUM(Y6,AQ6)*10000+SUM(S6,AK6)*100+SUM(M6,AE6)+0.001,1,0)=1,"C",""))))))&amp;IF(IF(AS6*1000000+SUM(U6,AM6)*10000+SUM(O6,AG6)*100+SUM(I6,AA6)+0.005&gt;AR6*1000000+SUM(T6,AL6)*10000+SUM(N6,AF6)*100+SUM(H6,Z6)+0.006,1,0)+IF(AT6*1000000+SUM(V6,AN6)*10000+SUM(P6,AH6)*100+SUM(J6,AB6)+0.004&gt;AR6*1000000+SUM(T6,AL6)*10000+SUM(N6,AF6)*100+SUM(H6,Z6)+0.006,1,0)+IF(AU6*1000000+SUM(W6,AO6)*10000+SUM(Q6,AI6)*100+SUM(K6,AC6)+0.003&gt;AR6*1000000+SUM(T6,AL6)*10000+SUM(N6,AF6)*100+SUM(H6,Z6)+0.006,1,0)+IF(AV6*1000000+SUM(X6,AP6)*10000+SUM(R6,AJ6)*100+SUM(L6,AD6)+0.002&gt;AR6*1000000+SUM(T6,AL6)*10000+SUM(N6,AF6)*100+SUM(H6,Z6)+0.006,1,0)+IF(AW6*1000000+SUM(Y6,AQ6)*10000+SUM(S6,AK6)*100+SUM(M6,AE6)+0.001&gt;AR6*1000000+SUM(T6,AL6)*10000+SUM(N6,AF6)*100+SUM(H6,Z6)+0.006,1,0)=2,"R",IF(IF(AR6*1000000+SUM(T6,AL6)*10000+SUM(N6,AF6)*100+SUM(H6,Z6)+0.006&gt;AS6*1000000+SUM(U6,AM6)*10000+SUM(O6,AG6)*100+SUM(I6,AA6)+0.005,1,0)+IF(AT6*1000000+SUM(V6,AN6)*10000+SUM(P6,AH6)*100+SUM(J6,AB6)+0.004&gt;AS6*1000000+SUM(U6,AM6)*10000+SUM(O6,AG6)*100+SUM(I6,AA6)+0.005,1,0)+IF(AU6*1000000+SUM(W6,AO6)*10000+SUM(Q6,AI6)*100+SUM(K6,AC6)+0.003&gt;AS6*1000000+SUM(U6,AM6)*10000+SUM(O6,AG6)*100+SUM(I6,AA6)+0.005,1,0)+IF(AV6*1000000+SUM(X6,AP6)*10000+SUM(R6,AJ6)*100+SUM(L6,AD6)+0.002&gt;AS6*1000000+SUM(U6,AM6)*10000+SUM(O6,AG6)*100+SUM(I6,AA6)+0.005,1,0)+IF(AW6*1000000+SUM(Y6,AQ6)*10000+SUM(S6,AK6)*100+SUM(M6,AE6)+0.001&gt;AS6*1000000+SUM(U6,AM6)*10000+SUM(O6,AG6)*100+SUM(I6,AA6)+0.005,1,0)=2,"I",IF(IF(AR6*1000000+SUM(T6,AL6)*10000+SUM(N6,AF6)*100+SUM(H6,Z6)+0.006&gt;AT6*1000000+SUM(V6,AN6)*10000+SUM(P6,AH6)*100+SUM(J6,AB6)+0.004,1,0)+IF(AS6*1000000+SUM(U6,AM6)*10000+SUM(O6,AG6)*100+SUM(I6,AA6)+0.005&gt;AT6*1000000+SUM(V6,AN6)*10000+SUM(P6,AH6)*100+SUM(J6,AB6)+0.004,1,0)+IF(AU6*1000000+SUM(W6,AO6)*10000+SUM(Q6,AI6)*100+SUM(K6,AC6)+0.003&gt;AT6*1000000+SUM(V6,AN6)*10000+SUM(P6,AH6)*100+SUM(J6,AB6)+0.004,1,0)+IF(AV6*1000000+SUM(X6,AP6)*10000+SUM(R6,AJ6)*100+SUM(L6,AD6)+0.002&gt;AT6*1000000+SUM(V6,AN6)*10000+SUM(P6,AH6)*100+SUM(J6,AB6)+0.004,1,0)+IF(AW6*1000000+SUM(Y6,AQ6)*10000+SUM(S6,AK6)*100+SUM(M6,AE6)+0.001&gt;AT6*1000000+SUM(V6,AN6)*10000+SUM(P6,AH6)*100+SUM(J6,AB6)+0.004,1,0)=2,"A",IF(IF(AR6*1000000+SUM(T6,AL6)*10000+SUM(N6,AF6)*100+SUM(H6,Z6)+0.006&gt;AU6*1000000+SUM(W6,AO6)*10000+SUM(Q6,AI6)*100+SUM(K6,AC6)+0.003,1,0)+IF(AS6*1000000+SUM(U6,AM6)*10000+SUM(O6,AG6)*100+SUM(I6,AA6)+0.005&gt;AU6*1000000+SUM(W6,AO6)*10000+SUM(Q6,AI6)*100+SUM(K6,AC6)+0.003,1,0)+IF(AT6*1000000+SUM(V6,AN6)*10000+SUM(P6,AH6)*100+SUM(J6,AB6)+0.004&gt;AU6*1000000+SUM(W6,AO6)*10000+SUM(Q6,AI6)*100+SUM(K6,AC6)+0.003,1,0)+IF(AV6*1000000+SUM(X6,AP6)*10000+SUM(R6,AJ6)*100+SUM(L6,AD6)+0.002&gt;AU6*1000000+SUM(W6,AO6)*10000+SUM(Q6,AI6)*100+SUM(K6,AC6)+0.003,1,0)+IF(AW6*1000000+SUM(Y6,AQ6)*10000+SUM(S6,AK6)*100+SUM(M6,AE6)+0.001&gt;AU6*1000000+SUM(W6,AO6)*10000+SUM(Q6,AI6)*100+SUM(K6,AC6)+0.003,1,0)=2,"S",IF(IF(AR6*1000000+SUM(T6,AL6)*10000+SUM(N6,AF6)*100+SUM(H6,Z6)+0.006&gt;AV6*1000000+SUM(X6,AP6)*10000+SUM(R6,AJ6)*100+SUM(L6,AD6)+0.002,1,0)+IF(AS6*1000000+SUM(U6,AM6)*10000+SUM(O6,AG6)*100+SUM(I6,AA6)+0.005&gt;AV6*1000000+SUM(X6,AP6)*10000+SUM(R6,AJ6)*100+SUM(L6,AD6)+0.002,1,0)+IF(AT6*1000000+SUM(V6,AN6)*10000+SUM(P6,AH6)*100+SUM(J6,AB6)+0.004&gt;AV6*1000000+SUM(X6,AP6)*10000+SUM(R6,AJ6)*100+SUM(L6,AD6)+0.002,1,0)+IF(AU6*1000000+SUM(W6,AO6)*10000+SUM(Q6,AI6)*100+SUM(K6,AC6)+0.003&gt;AV6*1000000+SUM(X6,AP6)*10000+SUM(R6,AJ6)*100+SUM(L6,AD6)+0.002,1,0)+IF(AW6*1000000+SUM(Y6,AQ6)*10000+SUM(S6,AK6)*100+SUM(M6,AE6)+0.001&gt;AV6*1000000+SUM(X6,AP6)*10000+SUM(R6,AJ6)*100+SUM(L6,AD6)+0.002,1,0)=2,"E",IF(IF(AR6*1000000+SUM(T6,AL6)*10000+SUM(N6,AF6)*100+SUM(H6,Z6)+0.006&gt;AW6*1000000+SUM(Y6,AQ6)*10000+SUM(S6,AK6)*100+SUM(M6,AE6)+0.001,1,0)+IF(AS6*1000000+SUM(U6,AM6)*10000+SUM(O6,AG6)*100+SUM(I6,AA6)+0.005&gt;AW6*1000000+SUM(Y6,AQ6)*10000+SUM(S6,AK6)*100+SUM(M6,AE6)+0.001,1,0)+IF(AT6*1000000+SUM(V6,AN6)*10000+SUM(P6,AH6)*100+SUM(J6,AB6)+0.004&gt;AW6*1000000+SUM(Y6,AQ6)*10000+SUM(S6,AK6)*100+SUM(M6,AE6)+0.001,1,0)+IF(AU6*1000000+SUM(W6,AO6)*10000+SUM(Q6,AI6)*100+SUM(K6,AC6)+0.003&gt;AW6*1000000+SUM(Y6,AQ6)*10000+SUM(S6,AK6)*100+SUM(M6,AE6)+0.001,1,0)+IF(AV6*1000000+SUM(X6,AP6)*10000+SUM(R6,AJ6)*100+SUM(L6,AD6)+0.002&gt;AW6*1000000+SUM(Y6,AQ6)*10000+SUM(S6,AK6)*100+SUM(M6,AE6)+0.001,1,0)=2,"C","")))))))</x:f>
      </x:c>
      <x:c r="AY6" s="27" t="str">
        <x:f>IF(C6="","",IF(LEFT(AX6,1)="R","นักปฏิบัติ",IF(LEFT(AX6,1)="I","นักคิดวิเคราะห์",IF(LEFT(AX6,1)="A","นักสร้างสรรค์",IF(LEFT(AX6,1)="S","ผู้เข้าใจผู้คน",IF(LEFT(AX6,1)="E","ผู้นำการเปลี่ยนแปลง","ผู้จัดระบบ"))))))</x:f>
      </x:c>
    </x:row>
    <x:row r="7">
      <x:c r="A7" s="27"/>
      <x:c r="B7" s="28"/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  <x:c r="N7" s="27"/>
      <x:c r="O7" s="27"/>
      <x:c r="P7" s="27"/>
      <x:c r="Q7" s="27"/>
      <x:c r="R7" s="27"/>
      <x:c r="S7" s="27"/>
      <x:c r="T7" s="27"/>
      <x:c r="U7" s="27"/>
      <x:c r="V7" s="27"/>
      <x:c r="W7" s="27"/>
      <x:c r="X7" s="27"/>
      <x:c r="Y7" s="27"/>
      <x:c r="Z7" s="27"/>
      <x:c r="AA7" s="27"/>
      <x:c r="AB7" s="27"/>
      <x:c r="AC7" s="27"/>
      <x:c r="AD7" s="27"/>
      <x:c r="AE7" s="27"/>
      <x:c r="AF7" s="27"/>
      <x:c r="AG7" s="27"/>
      <x:c r="AH7" s="27"/>
      <x:c r="AI7" s="27"/>
      <x:c r="AJ7" s="27"/>
      <x:c r="AK7" s="27"/>
      <x:c r="AL7" s="27"/>
      <x:c r="AM7" s="27"/>
      <x:c r="AN7" s="27"/>
      <x:c r="AO7" s="27"/>
      <x:c r="AP7" s="27"/>
      <x:c r="AQ7" s="27"/>
      <x:c r="AR7" s="27" t="str">
        <x:f>IF(C7="","",SUM(H7,N7,T7,Z7,AF7,AL7))</x:f>
      </x:c>
      <x:c r="AS7" s="27" t="str">
        <x:f>IF(C7="","",SUM(I7,O7,U7,AA7,AG7,AM7))</x:f>
      </x:c>
      <x:c r="AT7" s="27" t="str">
        <x:f>IF(C7="","",SUM(J7,P7,V7,AB7,AH7,AN7))</x:f>
      </x:c>
      <x:c r="AU7" s="27" t="str">
        <x:f>IF(C7="","",SUM(K7,Q7,W7,AC7,AI7,AO7))</x:f>
      </x:c>
      <x:c r="AV7" s="27" t="str">
        <x:f>IF(C7="","",SUM(L7,R7,X7,AD7,AJ7,AP7))</x:f>
      </x:c>
      <x:c r="AW7" s="27" t="str">
        <x:f>IF(C7="","",SUM(M7,S7,Y7,AE7,AK7,AQ7))</x:f>
      </x:c>
      <x:c r="AX7" s="27" t="str">
        <x:f>IF(C7="","",IF(IF(AS7*1000000+SUM(U7,AM7)*10000+SUM(O7,AG7)*100+SUM(I7,AA7)+0.005&gt;AR7*1000000+SUM(T7,AL7)*10000+SUM(N7,AF7)*100+SUM(H7,Z7)+0.006,1,0)+IF(AT7*1000000+SUM(V7,AN7)*10000+SUM(P7,AH7)*100+SUM(J7,AB7)+0.004&gt;AR7*1000000+SUM(T7,AL7)*10000+SUM(N7,AF7)*100+SUM(H7,Z7)+0.006,1,0)+IF(AU7*1000000+SUM(W7,AO7)*10000+SUM(Q7,AI7)*100+SUM(K7,AC7)+0.003&gt;AR7*1000000+SUM(T7,AL7)*10000+SUM(N7,AF7)*100+SUM(H7,Z7)+0.006,1,0)+IF(AV7*1000000+SUM(X7,AP7)*10000+SUM(R7,AJ7)*100+SUM(L7,AD7)+0.002&gt;AR7*1000000+SUM(T7,AL7)*10000+SUM(N7,AF7)*100+SUM(H7,Z7)+0.006,1,0)+IF(AW7*1000000+SUM(Y7,AQ7)*10000+SUM(S7,AK7)*100+SUM(M7,AE7)+0.001&gt;AR7*1000000+SUM(T7,AL7)*10000+SUM(N7,AF7)*100+SUM(H7,Z7)+0.006,1,0)=0,"R",IF(IF(AR7*1000000+SUM(T7,AL7)*10000+SUM(N7,AF7)*100+SUM(H7,Z7)+0.006&gt;AS7*1000000+SUM(U7,AM7)*10000+SUM(O7,AG7)*100+SUM(I7,AA7)+0.005,1,0)+IF(AT7*1000000+SUM(V7,AN7)*10000+SUM(P7,AH7)*100+SUM(J7,AB7)+0.004&gt;AS7*1000000+SUM(U7,AM7)*10000+SUM(O7,AG7)*100+SUM(I7,AA7)+0.005,1,0)+IF(AU7*1000000+SUM(W7,AO7)*10000+SUM(Q7,AI7)*100+SUM(K7,AC7)+0.003&gt;AS7*1000000+SUM(U7,AM7)*10000+SUM(O7,AG7)*100+SUM(I7,AA7)+0.005,1,0)+IF(AV7*1000000+SUM(X7,AP7)*10000+SUM(R7,AJ7)*100+SUM(L7,AD7)+0.002&gt;AS7*1000000+SUM(U7,AM7)*10000+SUM(O7,AG7)*100+SUM(I7,AA7)+0.005,1,0)+IF(AW7*1000000+SUM(Y7,AQ7)*10000+SUM(S7,AK7)*100+SUM(M7,AE7)+0.001&gt;AS7*1000000+SUM(U7,AM7)*10000+SUM(O7,AG7)*100+SUM(I7,AA7)+0.005,1,0)=0,"I",IF(IF(AR7*1000000+SUM(T7,AL7)*10000+SUM(N7,AF7)*100+SUM(H7,Z7)+0.006&gt;AT7*1000000+SUM(V7,AN7)*10000+SUM(P7,AH7)*100+SUM(J7,AB7)+0.004,1,0)+IF(AS7*1000000+SUM(U7,AM7)*10000+SUM(O7,AG7)*100+SUM(I7,AA7)+0.005&gt;AT7*1000000+SUM(V7,AN7)*10000+SUM(P7,AH7)*100+SUM(J7,AB7)+0.004,1,0)+IF(AU7*1000000+SUM(W7,AO7)*10000+SUM(Q7,AI7)*100+SUM(K7,AC7)+0.003&gt;AT7*1000000+SUM(V7,AN7)*10000+SUM(P7,AH7)*100+SUM(J7,AB7)+0.004,1,0)+IF(AV7*1000000+SUM(X7,AP7)*10000+SUM(R7,AJ7)*100+SUM(L7,AD7)+0.002&gt;AT7*1000000+SUM(V7,AN7)*10000+SUM(P7,AH7)*100+SUM(J7,AB7)+0.004,1,0)+IF(AW7*1000000+SUM(Y7,AQ7)*10000+SUM(S7,AK7)*100+SUM(M7,AE7)+0.001&gt;AT7*1000000+SUM(V7,AN7)*10000+SUM(P7,AH7)*100+SUM(J7,AB7)+0.004,1,0)=0,"A",IF(IF(AR7*1000000+SUM(T7,AL7)*10000+SUM(N7,AF7)*100+SUM(H7,Z7)+0.006&gt;AU7*1000000+SUM(W7,AO7)*10000+SUM(Q7,AI7)*100+SUM(K7,AC7)+0.003,1,0)+IF(AS7*1000000+SUM(U7,AM7)*10000+SUM(O7,AG7)*100+SUM(I7,AA7)+0.005&gt;AU7*1000000+SUM(W7,AO7)*10000+SUM(Q7,AI7)*100+SUM(K7,AC7)+0.003,1,0)+IF(AT7*1000000+SUM(V7,AN7)*10000+SUM(P7,AH7)*100+SUM(J7,AB7)+0.004&gt;AU7*1000000+SUM(W7,AO7)*10000+SUM(Q7,AI7)*100+SUM(K7,AC7)+0.003,1,0)+IF(AV7*1000000+SUM(X7,AP7)*10000+SUM(R7,AJ7)*100+SUM(L7,AD7)+0.002&gt;AU7*1000000+SUM(W7,AO7)*10000+SUM(Q7,AI7)*100+SUM(K7,AC7)+0.003,1,0)+IF(AW7*1000000+SUM(Y7,AQ7)*10000+SUM(S7,AK7)*100+SUM(M7,AE7)+0.001&gt;AU7*1000000+SUM(W7,AO7)*10000+SUM(Q7,AI7)*100+SUM(K7,AC7)+0.003,1,0)=0,"S",IF(IF(AR7*1000000+SUM(T7,AL7)*10000+SUM(N7,AF7)*100+SUM(H7,Z7)+0.006&gt;AV7*1000000+SUM(X7,AP7)*10000+SUM(R7,AJ7)*100+SUM(L7,AD7)+0.002,1,0)+IF(AS7*1000000+SUM(U7,AM7)*10000+SUM(O7,AG7)*100+SUM(I7,AA7)+0.005&gt;AV7*1000000+SUM(X7,AP7)*10000+SUM(R7,AJ7)*100+SUM(L7,AD7)+0.002,1,0)+IF(AT7*1000000+SUM(V7,AN7)*10000+SUM(P7,AH7)*100+SUM(J7,AB7)+0.004&gt;AV7*1000000+SUM(X7,AP7)*10000+SUM(R7,AJ7)*100+SUM(L7,AD7)+0.002,1,0)+IF(AU7*1000000+SUM(W7,AO7)*10000+SUM(Q7,AI7)*100+SUM(K7,AC7)+0.003&gt;AV7*1000000+SUM(X7,AP7)*10000+SUM(R7,AJ7)*100+SUM(L7,AD7)+0.002,1,0)+IF(AW7*1000000+SUM(Y7,AQ7)*10000+SUM(S7,AK7)*100+SUM(M7,AE7)+0.001&gt;AV7*1000000+SUM(X7,AP7)*10000+SUM(R7,AJ7)*100+SUM(L7,AD7)+0.002,1,0)=0,"E",IF(IF(AR7*1000000+SUM(T7,AL7)*10000+SUM(N7,AF7)*100+SUM(H7,Z7)+0.006&gt;AW7*1000000+SUM(Y7,AQ7)*10000+SUM(S7,AK7)*100+SUM(M7,AE7)+0.001,1,0)+IF(AS7*1000000+SUM(U7,AM7)*10000+SUM(O7,AG7)*100+SUM(I7,AA7)+0.005&gt;AW7*1000000+SUM(Y7,AQ7)*10000+SUM(S7,AK7)*100+SUM(M7,AE7)+0.001,1,0)+IF(AT7*1000000+SUM(V7,AN7)*10000+SUM(P7,AH7)*100+SUM(J7,AB7)+0.004&gt;AW7*1000000+SUM(Y7,AQ7)*10000+SUM(S7,AK7)*100+SUM(M7,AE7)+0.001,1,0)+IF(AU7*1000000+SUM(W7,AO7)*10000+SUM(Q7,AI7)*100+SUM(K7,AC7)+0.003&gt;AW7*1000000+SUM(Y7,AQ7)*10000+SUM(S7,AK7)*100+SUM(M7,AE7)+0.001,1,0)+IF(AV7*1000000+SUM(X7,AP7)*10000+SUM(R7,AJ7)*100+SUM(L7,AD7)+0.002&gt;AW7*1000000+SUM(Y7,AQ7)*10000+SUM(S7,AK7)*100+SUM(M7,AE7)+0.001,1,0)=0,"C",""))))))&amp;IF(IF(AS7*1000000+SUM(U7,AM7)*10000+SUM(O7,AG7)*100+SUM(I7,AA7)+0.005&gt;AR7*1000000+SUM(T7,AL7)*10000+SUM(N7,AF7)*100+SUM(H7,Z7)+0.006,1,0)+IF(AT7*1000000+SUM(V7,AN7)*10000+SUM(P7,AH7)*100+SUM(J7,AB7)+0.004&gt;AR7*1000000+SUM(T7,AL7)*10000+SUM(N7,AF7)*100+SUM(H7,Z7)+0.006,1,0)+IF(AU7*1000000+SUM(W7,AO7)*10000+SUM(Q7,AI7)*100+SUM(K7,AC7)+0.003&gt;AR7*1000000+SUM(T7,AL7)*10000+SUM(N7,AF7)*100+SUM(H7,Z7)+0.006,1,0)+IF(AV7*1000000+SUM(X7,AP7)*10000+SUM(R7,AJ7)*100+SUM(L7,AD7)+0.002&gt;AR7*1000000+SUM(T7,AL7)*10000+SUM(N7,AF7)*100+SUM(H7,Z7)+0.006,1,0)+IF(AW7*1000000+SUM(Y7,AQ7)*10000+SUM(S7,AK7)*100+SUM(M7,AE7)+0.001&gt;AR7*1000000+SUM(T7,AL7)*10000+SUM(N7,AF7)*100+SUM(H7,Z7)+0.006,1,0)=1,"R",IF(IF(AR7*1000000+SUM(T7,AL7)*10000+SUM(N7,AF7)*100+SUM(H7,Z7)+0.006&gt;AS7*1000000+SUM(U7,AM7)*10000+SUM(O7,AG7)*100+SUM(I7,AA7)+0.005,1,0)+IF(AT7*1000000+SUM(V7,AN7)*10000+SUM(P7,AH7)*100+SUM(J7,AB7)+0.004&gt;AS7*1000000+SUM(U7,AM7)*10000+SUM(O7,AG7)*100+SUM(I7,AA7)+0.005,1,0)+IF(AU7*1000000+SUM(W7,AO7)*10000+SUM(Q7,AI7)*100+SUM(K7,AC7)+0.003&gt;AS7*1000000+SUM(U7,AM7)*10000+SUM(O7,AG7)*100+SUM(I7,AA7)+0.005,1,0)+IF(AV7*1000000+SUM(X7,AP7)*10000+SUM(R7,AJ7)*100+SUM(L7,AD7)+0.002&gt;AS7*1000000+SUM(U7,AM7)*10000+SUM(O7,AG7)*100+SUM(I7,AA7)+0.005,1,0)+IF(AW7*1000000+SUM(Y7,AQ7)*10000+SUM(S7,AK7)*100+SUM(M7,AE7)+0.001&gt;AS7*1000000+SUM(U7,AM7)*10000+SUM(O7,AG7)*100+SUM(I7,AA7)+0.005,1,0)=1,"I",IF(IF(AR7*1000000+SUM(T7,AL7)*10000+SUM(N7,AF7)*100+SUM(H7,Z7)+0.006&gt;AT7*1000000+SUM(V7,AN7)*10000+SUM(P7,AH7)*100+SUM(J7,AB7)+0.004,1,0)+IF(AS7*1000000+SUM(U7,AM7)*10000+SUM(O7,AG7)*100+SUM(I7,AA7)+0.005&gt;AT7*1000000+SUM(V7,AN7)*10000+SUM(P7,AH7)*100+SUM(J7,AB7)+0.004,1,0)+IF(AU7*1000000+SUM(W7,AO7)*10000+SUM(Q7,AI7)*100+SUM(K7,AC7)+0.003&gt;AT7*1000000+SUM(V7,AN7)*10000+SUM(P7,AH7)*100+SUM(J7,AB7)+0.004,1,0)+IF(AV7*1000000+SUM(X7,AP7)*10000+SUM(R7,AJ7)*100+SUM(L7,AD7)+0.002&gt;AT7*1000000+SUM(V7,AN7)*10000+SUM(P7,AH7)*100+SUM(J7,AB7)+0.004,1,0)+IF(AW7*1000000+SUM(Y7,AQ7)*10000+SUM(S7,AK7)*100+SUM(M7,AE7)+0.001&gt;AT7*1000000+SUM(V7,AN7)*10000+SUM(P7,AH7)*100+SUM(J7,AB7)+0.004,1,0)=1,"A",IF(IF(AR7*1000000+SUM(T7,AL7)*10000+SUM(N7,AF7)*100+SUM(H7,Z7)+0.006&gt;AU7*1000000+SUM(W7,AO7)*10000+SUM(Q7,AI7)*100+SUM(K7,AC7)+0.003,1,0)+IF(AS7*1000000+SUM(U7,AM7)*10000+SUM(O7,AG7)*100+SUM(I7,AA7)+0.005&gt;AU7*1000000+SUM(W7,AO7)*10000+SUM(Q7,AI7)*100+SUM(K7,AC7)+0.003,1,0)+IF(AT7*1000000+SUM(V7,AN7)*10000+SUM(P7,AH7)*100+SUM(J7,AB7)+0.004&gt;AU7*1000000+SUM(W7,AO7)*10000+SUM(Q7,AI7)*100+SUM(K7,AC7)+0.003,1,0)+IF(AV7*1000000+SUM(X7,AP7)*10000+SUM(R7,AJ7)*100+SUM(L7,AD7)+0.002&gt;AU7*1000000+SUM(W7,AO7)*10000+SUM(Q7,AI7)*100+SUM(K7,AC7)+0.003,1,0)+IF(AW7*1000000+SUM(Y7,AQ7)*10000+SUM(S7,AK7)*100+SUM(M7,AE7)+0.001&gt;AU7*1000000+SUM(W7,AO7)*10000+SUM(Q7,AI7)*100+SUM(K7,AC7)+0.003,1,0)=1,"S",IF(IF(AR7*1000000+SUM(T7,AL7)*10000+SUM(N7,AF7)*100+SUM(H7,Z7)+0.006&gt;AV7*1000000+SUM(X7,AP7)*10000+SUM(R7,AJ7)*100+SUM(L7,AD7)+0.002,1,0)+IF(AS7*1000000+SUM(U7,AM7)*10000+SUM(O7,AG7)*100+SUM(I7,AA7)+0.005&gt;AV7*1000000+SUM(X7,AP7)*10000+SUM(R7,AJ7)*100+SUM(L7,AD7)+0.002,1,0)+IF(AT7*1000000+SUM(V7,AN7)*10000+SUM(P7,AH7)*100+SUM(J7,AB7)+0.004&gt;AV7*1000000+SUM(X7,AP7)*10000+SUM(R7,AJ7)*100+SUM(L7,AD7)+0.002,1,0)+IF(AU7*1000000+SUM(W7,AO7)*10000+SUM(Q7,AI7)*100+SUM(K7,AC7)+0.003&gt;AV7*1000000+SUM(X7,AP7)*10000+SUM(R7,AJ7)*100+SUM(L7,AD7)+0.002,1,0)+IF(AW7*1000000+SUM(Y7,AQ7)*10000+SUM(S7,AK7)*100+SUM(M7,AE7)+0.001&gt;AV7*1000000+SUM(X7,AP7)*10000+SUM(R7,AJ7)*100+SUM(L7,AD7)+0.002,1,0)=1,"E",IF(IF(AR7*1000000+SUM(T7,AL7)*10000+SUM(N7,AF7)*100+SUM(H7,Z7)+0.006&gt;AW7*1000000+SUM(Y7,AQ7)*10000+SUM(S7,AK7)*100+SUM(M7,AE7)+0.001,1,0)+IF(AS7*1000000+SUM(U7,AM7)*10000+SUM(O7,AG7)*100+SUM(I7,AA7)+0.005&gt;AW7*1000000+SUM(Y7,AQ7)*10000+SUM(S7,AK7)*100+SUM(M7,AE7)+0.001,1,0)+IF(AT7*1000000+SUM(V7,AN7)*10000+SUM(P7,AH7)*100+SUM(J7,AB7)+0.004&gt;AW7*1000000+SUM(Y7,AQ7)*10000+SUM(S7,AK7)*100+SUM(M7,AE7)+0.001,1,0)+IF(AU7*1000000+SUM(W7,AO7)*10000+SUM(Q7,AI7)*100+SUM(K7,AC7)+0.003&gt;AW7*1000000+SUM(Y7,AQ7)*10000+SUM(S7,AK7)*100+SUM(M7,AE7)+0.001,1,0)+IF(AV7*1000000+SUM(X7,AP7)*10000+SUM(R7,AJ7)*100+SUM(L7,AD7)+0.002&gt;AW7*1000000+SUM(Y7,AQ7)*10000+SUM(S7,AK7)*100+SUM(M7,AE7)+0.001,1,0)=1,"C",""))))))&amp;IF(IF(AS7*1000000+SUM(U7,AM7)*10000+SUM(O7,AG7)*100+SUM(I7,AA7)+0.005&gt;AR7*1000000+SUM(T7,AL7)*10000+SUM(N7,AF7)*100+SUM(H7,Z7)+0.006,1,0)+IF(AT7*1000000+SUM(V7,AN7)*10000+SUM(P7,AH7)*100+SUM(J7,AB7)+0.004&gt;AR7*1000000+SUM(T7,AL7)*10000+SUM(N7,AF7)*100+SUM(H7,Z7)+0.006,1,0)+IF(AU7*1000000+SUM(W7,AO7)*10000+SUM(Q7,AI7)*100+SUM(K7,AC7)+0.003&gt;AR7*1000000+SUM(T7,AL7)*10000+SUM(N7,AF7)*100+SUM(H7,Z7)+0.006,1,0)+IF(AV7*1000000+SUM(X7,AP7)*10000+SUM(R7,AJ7)*100+SUM(L7,AD7)+0.002&gt;AR7*1000000+SUM(T7,AL7)*10000+SUM(N7,AF7)*100+SUM(H7,Z7)+0.006,1,0)+IF(AW7*1000000+SUM(Y7,AQ7)*10000+SUM(S7,AK7)*100+SUM(M7,AE7)+0.001&gt;AR7*1000000+SUM(T7,AL7)*10000+SUM(N7,AF7)*100+SUM(H7,Z7)+0.006,1,0)=2,"R",IF(IF(AR7*1000000+SUM(T7,AL7)*10000+SUM(N7,AF7)*100+SUM(H7,Z7)+0.006&gt;AS7*1000000+SUM(U7,AM7)*10000+SUM(O7,AG7)*100+SUM(I7,AA7)+0.005,1,0)+IF(AT7*1000000+SUM(V7,AN7)*10000+SUM(P7,AH7)*100+SUM(J7,AB7)+0.004&gt;AS7*1000000+SUM(U7,AM7)*10000+SUM(O7,AG7)*100+SUM(I7,AA7)+0.005,1,0)+IF(AU7*1000000+SUM(W7,AO7)*10000+SUM(Q7,AI7)*100+SUM(K7,AC7)+0.003&gt;AS7*1000000+SUM(U7,AM7)*10000+SUM(O7,AG7)*100+SUM(I7,AA7)+0.005,1,0)+IF(AV7*1000000+SUM(X7,AP7)*10000+SUM(R7,AJ7)*100+SUM(L7,AD7)+0.002&gt;AS7*1000000+SUM(U7,AM7)*10000+SUM(O7,AG7)*100+SUM(I7,AA7)+0.005,1,0)+IF(AW7*1000000+SUM(Y7,AQ7)*10000+SUM(S7,AK7)*100+SUM(M7,AE7)+0.001&gt;AS7*1000000+SUM(U7,AM7)*10000+SUM(O7,AG7)*100+SUM(I7,AA7)+0.005,1,0)=2,"I",IF(IF(AR7*1000000+SUM(T7,AL7)*10000+SUM(N7,AF7)*100+SUM(H7,Z7)+0.006&gt;AT7*1000000+SUM(V7,AN7)*10000+SUM(P7,AH7)*100+SUM(J7,AB7)+0.004,1,0)+IF(AS7*1000000+SUM(U7,AM7)*10000+SUM(O7,AG7)*100+SUM(I7,AA7)+0.005&gt;AT7*1000000+SUM(V7,AN7)*10000+SUM(P7,AH7)*100+SUM(J7,AB7)+0.004,1,0)+IF(AU7*1000000+SUM(W7,AO7)*10000+SUM(Q7,AI7)*100+SUM(K7,AC7)+0.003&gt;AT7*1000000+SUM(V7,AN7)*10000+SUM(P7,AH7)*100+SUM(J7,AB7)+0.004,1,0)+IF(AV7*1000000+SUM(X7,AP7)*10000+SUM(R7,AJ7)*100+SUM(L7,AD7)+0.002&gt;AT7*1000000+SUM(V7,AN7)*10000+SUM(P7,AH7)*100+SUM(J7,AB7)+0.004,1,0)+IF(AW7*1000000+SUM(Y7,AQ7)*10000+SUM(S7,AK7)*100+SUM(M7,AE7)+0.001&gt;AT7*1000000+SUM(V7,AN7)*10000+SUM(P7,AH7)*100+SUM(J7,AB7)+0.004,1,0)=2,"A",IF(IF(AR7*1000000+SUM(T7,AL7)*10000+SUM(N7,AF7)*100+SUM(H7,Z7)+0.006&gt;AU7*1000000+SUM(W7,AO7)*10000+SUM(Q7,AI7)*100+SUM(K7,AC7)+0.003,1,0)+IF(AS7*1000000+SUM(U7,AM7)*10000+SUM(O7,AG7)*100+SUM(I7,AA7)+0.005&gt;AU7*1000000+SUM(W7,AO7)*10000+SUM(Q7,AI7)*100+SUM(K7,AC7)+0.003,1,0)+IF(AT7*1000000+SUM(V7,AN7)*10000+SUM(P7,AH7)*100+SUM(J7,AB7)+0.004&gt;AU7*1000000+SUM(W7,AO7)*10000+SUM(Q7,AI7)*100+SUM(K7,AC7)+0.003,1,0)+IF(AV7*1000000+SUM(X7,AP7)*10000+SUM(R7,AJ7)*100+SUM(L7,AD7)+0.002&gt;AU7*1000000+SUM(W7,AO7)*10000+SUM(Q7,AI7)*100+SUM(K7,AC7)+0.003,1,0)+IF(AW7*1000000+SUM(Y7,AQ7)*10000+SUM(S7,AK7)*100+SUM(M7,AE7)+0.001&gt;AU7*1000000+SUM(W7,AO7)*10000+SUM(Q7,AI7)*100+SUM(K7,AC7)+0.003,1,0)=2,"S",IF(IF(AR7*1000000+SUM(T7,AL7)*10000+SUM(N7,AF7)*100+SUM(H7,Z7)+0.006&gt;AV7*1000000+SUM(X7,AP7)*10000+SUM(R7,AJ7)*100+SUM(L7,AD7)+0.002,1,0)+IF(AS7*1000000+SUM(U7,AM7)*10000+SUM(O7,AG7)*100+SUM(I7,AA7)+0.005&gt;AV7*1000000+SUM(X7,AP7)*10000+SUM(R7,AJ7)*100+SUM(L7,AD7)+0.002,1,0)+IF(AT7*1000000+SUM(V7,AN7)*10000+SUM(P7,AH7)*100+SUM(J7,AB7)+0.004&gt;AV7*1000000+SUM(X7,AP7)*10000+SUM(R7,AJ7)*100+SUM(L7,AD7)+0.002,1,0)+IF(AU7*1000000+SUM(W7,AO7)*10000+SUM(Q7,AI7)*100+SUM(K7,AC7)+0.003&gt;AV7*1000000+SUM(X7,AP7)*10000+SUM(R7,AJ7)*100+SUM(L7,AD7)+0.002,1,0)+IF(AW7*1000000+SUM(Y7,AQ7)*10000+SUM(S7,AK7)*100+SUM(M7,AE7)+0.001&gt;AV7*1000000+SUM(X7,AP7)*10000+SUM(R7,AJ7)*100+SUM(L7,AD7)+0.002,1,0)=2,"E",IF(IF(AR7*1000000+SUM(T7,AL7)*10000+SUM(N7,AF7)*100+SUM(H7,Z7)+0.006&gt;AW7*1000000+SUM(Y7,AQ7)*10000+SUM(S7,AK7)*100+SUM(M7,AE7)+0.001,1,0)+IF(AS7*1000000+SUM(U7,AM7)*10000+SUM(O7,AG7)*100+SUM(I7,AA7)+0.005&gt;AW7*1000000+SUM(Y7,AQ7)*10000+SUM(S7,AK7)*100+SUM(M7,AE7)+0.001,1,0)+IF(AT7*1000000+SUM(V7,AN7)*10000+SUM(P7,AH7)*100+SUM(J7,AB7)+0.004&gt;AW7*1000000+SUM(Y7,AQ7)*10000+SUM(S7,AK7)*100+SUM(M7,AE7)+0.001,1,0)+IF(AU7*1000000+SUM(W7,AO7)*10000+SUM(Q7,AI7)*100+SUM(K7,AC7)+0.003&gt;AW7*1000000+SUM(Y7,AQ7)*10000+SUM(S7,AK7)*100+SUM(M7,AE7)+0.001,1,0)+IF(AV7*1000000+SUM(X7,AP7)*10000+SUM(R7,AJ7)*100+SUM(L7,AD7)+0.002&gt;AW7*1000000+SUM(Y7,AQ7)*10000+SUM(S7,AK7)*100+SUM(M7,AE7)+0.001,1,0)=2,"C","")))))))</x:f>
      </x:c>
      <x:c r="AY7" s="27" t="str">
        <x:f>IF(C7="","",IF(LEFT(AX7,1)="R","นักปฏิบัติ",IF(LEFT(AX7,1)="I","นักคิดวิเคราะห์",IF(LEFT(AX7,1)="A","นักสร้างสรรค์",IF(LEFT(AX7,1)="S","ผู้เข้าใจผู้คน",IF(LEFT(AX7,1)="E","ผู้นำการเปลี่ยนแปลง","ผู้จัดระบบ"))))))</x:f>
      </x:c>
    </x:row>
    <x:row r="8">
      <x:c r="A8" s="27"/>
      <x:c r="B8" s="28"/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  <x:c r="N8" s="27"/>
      <x:c r="O8" s="27"/>
      <x:c r="P8" s="27"/>
      <x:c r="Q8" s="27"/>
      <x:c r="R8" s="27"/>
      <x:c r="S8" s="27"/>
      <x:c r="T8" s="27"/>
      <x:c r="U8" s="27"/>
      <x:c r="V8" s="27"/>
      <x:c r="W8" s="27"/>
      <x:c r="X8" s="27"/>
      <x:c r="Y8" s="27"/>
      <x:c r="Z8" s="27"/>
      <x:c r="AA8" s="27"/>
      <x:c r="AB8" s="27"/>
      <x:c r="AC8" s="27"/>
      <x:c r="AD8" s="27"/>
      <x:c r="AE8" s="27"/>
      <x:c r="AF8" s="27"/>
      <x:c r="AG8" s="27"/>
      <x:c r="AH8" s="27"/>
      <x:c r="AI8" s="27"/>
      <x:c r="AJ8" s="27"/>
      <x:c r="AK8" s="27"/>
      <x:c r="AL8" s="27"/>
      <x:c r="AM8" s="27"/>
      <x:c r="AN8" s="27"/>
      <x:c r="AO8" s="27"/>
      <x:c r="AP8" s="27"/>
      <x:c r="AQ8" s="27"/>
      <x:c r="AR8" s="27" t="str">
        <x:f>IF(C8="","",SUM(H8,N8,T8,Z8,AF8,AL8))</x:f>
      </x:c>
      <x:c r="AS8" s="27" t="str">
        <x:f>IF(C8="","",SUM(I8,O8,U8,AA8,AG8,AM8))</x:f>
      </x:c>
      <x:c r="AT8" s="27" t="str">
        <x:f>IF(C8="","",SUM(J8,P8,V8,AB8,AH8,AN8))</x:f>
      </x:c>
      <x:c r="AU8" s="27" t="str">
        <x:f>IF(C8="","",SUM(K8,Q8,W8,AC8,AI8,AO8))</x:f>
      </x:c>
      <x:c r="AV8" s="27" t="str">
        <x:f>IF(C8="","",SUM(L8,R8,X8,AD8,AJ8,AP8))</x:f>
      </x:c>
      <x:c r="AW8" s="27" t="str">
        <x:f>IF(C8="","",SUM(M8,S8,Y8,AE8,AK8,AQ8))</x:f>
      </x:c>
      <x:c r="AX8" s="27" t="str">
        <x:f>IF(C8="","",IF(IF(AS8*1000000+SUM(U8,AM8)*10000+SUM(O8,AG8)*100+SUM(I8,AA8)+0.005&gt;AR8*1000000+SUM(T8,AL8)*10000+SUM(N8,AF8)*100+SUM(H8,Z8)+0.006,1,0)+IF(AT8*1000000+SUM(V8,AN8)*10000+SUM(P8,AH8)*100+SUM(J8,AB8)+0.004&gt;AR8*1000000+SUM(T8,AL8)*10000+SUM(N8,AF8)*100+SUM(H8,Z8)+0.006,1,0)+IF(AU8*1000000+SUM(W8,AO8)*10000+SUM(Q8,AI8)*100+SUM(K8,AC8)+0.003&gt;AR8*1000000+SUM(T8,AL8)*10000+SUM(N8,AF8)*100+SUM(H8,Z8)+0.006,1,0)+IF(AV8*1000000+SUM(X8,AP8)*10000+SUM(R8,AJ8)*100+SUM(L8,AD8)+0.002&gt;AR8*1000000+SUM(T8,AL8)*10000+SUM(N8,AF8)*100+SUM(H8,Z8)+0.006,1,0)+IF(AW8*1000000+SUM(Y8,AQ8)*10000+SUM(S8,AK8)*100+SUM(M8,AE8)+0.001&gt;AR8*1000000+SUM(T8,AL8)*10000+SUM(N8,AF8)*100+SUM(H8,Z8)+0.006,1,0)=0,"R",IF(IF(AR8*1000000+SUM(T8,AL8)*10000+SUM(N8,AF8)*100+SUM(H8,Z8)+0.006&gt;AS8*1000000+SUM(U8,AM8)*10000+SUM(O8,AG8)*100+SUM(I8,AA8)+0.005,1,0)+IF(AT8*1000000+SUM(V8,AN8)*10000+SUM(P8,AH8)*100+SUM(J8,AB8)+0.004&gt;AS8*1000000+SUM(U8,AM8)*10000+SUM(O8,AG8)*100+SUM(I8,AA8)+0.005,1,0)+IF(AU8*1000000+SUM(W8,AO8)*10000+SUM(Q8,AI8)*100+SUM(K8,AC8)+0.003&gt;AS8*1000000+SUM(U8,AM8)*10000+SUM(O8,AG8)*100+SUM(I8,AA8)+0.005,1,0)+IF(AV8*1000000+SUM(X8,AP8)*10000+SUM(R8,AJ8)*100+SUM(L8,AD8)+0.002&gt;AS8*1000000+SUM(U8,AM8)*10000+SUM(O8,AG8)*100+SUM(I8,AA8)+0.005,1,0)+IF(AW8*1000000+SUM(Y8,AQ8)*10000+SUM(S8,AK8)*100+SUM(M8,AE8)+0.001&gt;AS8*1000000+SUM(U8,AM8)*10000+SUM(O8,AG8)*100+SUM(I8,AA8)+0.005,1,0)=0,"I",IF(IF(AR8*1000000+SUM(T8,AL8)*10000+SUM(N8,AF8)*100+SUM(H8,Z8)+0.006&gt;AT8*1000000+SUM(V8,AN8)*10000+SUM(P8,AH8)*100+SUM(J8,AB8)+0.004,1,0)+IF(AS8*1000000+SUM(U8,AM8)*10000+SUM(O8,AG8)*100+SUM(I8,AA8)+0.005&gt;AT8*1000000+SUM(V8,AN8)*10000+SUM(P8,AH8)*100+SUM(J8,AB8)+0.004,1,0)+IF(AU8*1000000+SUM(W8,AO8)*10000+SUM(Q8,AI8)*100+SUM(K8,AC8)+0.003&gt;AT8*1000000+SUM(V8,AN8)*10000+SUM(P8,AH8)*100+SUM(J8,AB8)+0.004,1,0)+IF(AV8*1000000+SUM(X8,AP8)*10000+SUM(R8,AJ8)*100+SUM(L8,AD8)+0.002&gt;AT8*1000000+SUM(V8,AN8)*10000+SUM(P8,AH8)*100+SUM(J8,AB8)+0.004,1,0)+IF(AW8*1000000+SUM(Y8,AQ8)*10000+SUM(S8,AK8)*100+SUM(M8,AE8)+0.001&gt;AT8*1000000+SUM(V8,AN8)*10000+SUM(P8,AH8)*100+SUM(J8,AB8)+0.004,1,0)=0,"A",IF(IF(AR8*1000000+SUM(T8,AL8)*10000+SUM(N8,AF8)*100+SUM(H8,Z8)+0.006&gt;AU8*1000000+SUM(W8,AO8)*10000+SUM(Q8,AI8)*100+SUM(K8,AC8)+0.003,1,0)+IF(AS8*1000000+SUM(U8,AM8)*10000+SUM(O8,AG8)*100+SUM(I8,AA8)+0.005&gt;AU8*1000000+SUM(W8,AO8)*10000+SUM(Q8,AI8)*100+SUM(K8,AC8)+0.003,1,0)+IF(AT8*1000000+SUM(V8,AN8)*10000+SUM(P8,AH8)*100+SUM(J8,AB8)+0.004&gt;AU8*1000000+SUM(W8,AO8)*10000+SUM(Q8,AI8)*100+SUM(K8,AC8)+0.003,1,0)+IF(AV8*1000000+SUM(X8,AP8)*10000+SUM(R8,AJ8)*100+SUM(L8,AD8)+0.002&gt;AU8*1000000+SUM(W8,AO8)*10000+SUM(Q8,AI8)*100+SUM(K8,AC8)+0.003,1,0)+IF(AW8*1000000+SUM(Y8,AQ8)*10000+SUM(S8,AK8)*100+SUM(M8,AE8)+0.001&gt;AU8*1000000+SUM(W8,AO8)*10000+SUM(Q8,AI8)*100+SUM(K8,AC8)+0.003,1,0)=0,"S",IF(IF(AR8*1000000+SUM(T8,AL8)*10000+SUM(N8,AF8)*100+SUM(H8,Z8)+0.006&gt;AV8*1000000+SUM(X8,AP8)*10000+SUM(R8,AJ8)*100+SUM(L8,AD8)+0.002,1,0)+IF(AS8*1000000+SUM(U8,AM8)*10000+SUM(O8,AG8)*100+SUM(I8,AA8)+0.005&gt;AV8*1000000+SUM(X8,AP8)*10000+SUM(R8,AJ8)*100+SUM(L8,AD8)+0.002,1,0)+IF(AT8*1000000+SUM(V8,AN8)*10000+SUM(P8,AH8)*100+SUM(J8,AB8)+0.004&gt;AV8*1000000+SUM(X8,AP8)*10000+SUM(R8,AJ8)*100+SUM(L8,AD8)+0.002,1,0)+IF(AU8*1000000+SUM(W8,AO8)*10000+SUM(Q8,AI8)*100+SUM(K8,AC8)+0.003&gt;AV8*1000000+SUM(X8,AP8)*10000+SUM(R8,AJ8)*100+SUM(L8,AD8)+0.002,1,0)+IF(AW8*1000000+SUM(Y8,AQ8)*10000+SUM(S8,AK8)*100+SUM(M8,AE8)+0.001&gt;AV8*1000000+SUM(X8,AP8)*10000+SUM(R8,AJ8)*100+SUM(L8,AD8)+0.002,1,0)=0,"E",IF(IF(AR8*1000000+SUM(T8,AL8)*10000+SUM(N8,AF8)*100+SUM(H8,Z8)+0.006&gt;AW8*1000000+SUM(Y8,AQ8)*10000+SUM(S8,AK8)*100+SUM(M8,AE8)+0.001,1,0)+IF(AS8*1000000+SUM(U8,AM8)*10000+SUM(O8,AG8)*100+SUM(I8,AA8)+0.005&gt;AW8*1000000+SUM(Y8,AQ8)*10000+SUM(S8,AK8)*100+SUM(M8,AE8)+0.001,1,0)+IF(AT8*1000000+SUM(V8,AN8)*10000+SUM(P8,AH8)*100+SUM(J8,AB8)+0.004&gt;AW8*1000000+SUM(Y8,AQ8)*10000+SUM(S8,AK8)*100+SUM(M8,AE8)+0.001,1,0)+IF(AU8*1000000+SUM(W8,AO8)*10000+SUM(Q8,AI8)*100+SUM(K8,AC8)+0.003&gt;AW8*1000000+SUM(Y8,AQ8)*10000+SUM(S8,AK8)*100+SUM(M8,AE8)+0.001,1,0)+IF(AV8*1000000+SUM(X8,AP8)*10000+SUM(R8,AJ8)*100+SUM(L8,AD8)+0.002&gt;AW8*1000000+SUM(Y8,AQ8)*10000+SUM(S8,AK8)*100+SUM(M8,AE8)+0.001,1,0)=0,"C",""))))))&amp;IF(IF(AS8*1000000+SUM(U8,AM8)*10000+SUM(O8,AG8)*100+SUM(I8,AA8)+0.005&gt;AR8*1000000+SUM(T8,AL8)*10000+SUM(N8,AF8)*100+SUM(H8,Z8)+0.006,1,0)+IF(AT8*1000000+SUM(V8,AN8)*10000+SUM(P8,AH8)*100+SUM(J8,AB8)+0.004&gt;AR8*1000000+SUM(T8,AL8)*10000+SUM(N8,AF8)*100+SUM(H8,Z8)+0.006,1,0)+IF(AU8*1000000+SUM(W8,AO8)*10000+SUM(Q8,AI8)*100+SUM(K8,AC8)+0.003&gt;AR8*1000000+SUM(T8,AL8)*10000+SUM(N8,AF8)*100+SUM(H8,Z8)+0.006,1,0)+IF(AV8*1000000+SUM(X8,AP8)*10000+SUM(R8,AJ8)*100+SUM(L8,AD8)+0.002&gt;AR8*1000000+SUM(T8,AL8)*10000+SUM(N8,AF8)*100+SUM(H8,Z8)+0.006,1,0)+IF(AW8*1000000+SUM(Y8,AQ8)*10000+SUM(S8,AK8)*100+SUM(M8,AE8)+0.001&gt;AR8*1000000+SUM(T8,AL8)*10000+SUM(N8,AF8)*100+SUM(H8,Z8)+0.006,1,0)=1,"R",IF(IF(AR8*1000000+SUM(T8,AL8)*10000+SUM(N8,AF8)*100+SUM(H8,Z8)+0.006&gt;AS8*1000000+SUM(U8,AM8)*10000+SUM(O8,AG8)*100+SUM(I8,AA8)+0.005,1,0)+IF(AT8*1000000+SUM(V8,AN8)*10000+SUM(P8,AH8)*100+SUM(J8,AB8)+0.004&gt;AS8*1000000+SUM(U8,AM8)*10000+SUM(O8,AG8)*100+SUM(I8,AA8)+0.005,1,0)+IF(AU8*1000000+SUM(W8,AO8)*10000+SUM(Q8,AI8)*100+SUM(K8,AC8)+0.003&gt;AS8*1000000+SUM(U8,AM8)*10000+SUM(O8,AG8)*100+SUM(I8,AA8)+0.005,1,0)+IF(AV8*1000000+SUM(X8,AP8)*10000+SUM(R8,AJ8)*100+SUM(L8,AD8)+0.002&gt;AS8*1000000+SUM(U8,AM8)*10000+SUM(O8,AG8)*100+SUM(I8,AA8)+0.005,1,0)+IF(AW8*1000000+SUM(Y8,AQ8)*10000+SUM(S8,AK8)*100+SUM(M8,AE8)+0.001&gt;AS8*1000000+SUM(U8,AM8)*10000+SUM(O8,AG8)*100+SUM(I8,AA8)+0.005,1,0)=1,"I",IF(IF(AR8*1000000+SUM(T8,AL8)*10000+SUM(N8,AF8)*100+SUM(H8,Z8)+0.006&gt;AT8*1000000+SUM(V8,AN8)*10000+SUM(P8,AH8)*100+SUM(J8,AB8)+0.004,1,0)+IF(AS8*1000000+SUM(U8,AM8)*10000+SUM(O8,AG8)*100+SUM(I8,AA8)+0.005&gt;AT8*1000000+SUM(V8,AN8)*10000+SUM(P8,AH8)*100+SUM(J8,AB8)+0.004,1,0)+IF(AU8*1000000+SUM(W8,AO8)*10000+SUM(Q8,AI8)*100+SUM(K8,AC8)+0.003&gt;AT8*1000000+SUM(V8,AN8)*10000+SUM(P8,AH8)*100+SUM(J8,AB8)+0.004,1,0)+IF(AV8*1000000+SUM(X8,AP8)*10000+SUM(R8,AJ8)*100+SUM(L8,AD8)+0.002&gt;AT8*1000000+SUM(V8,AN8)*10000+SUM(P8,AH8)*100+SUM(J8,AB8)+0.004,1,0)+IF(AW8*1000000+SUM(Y8,AQ8)*10000+SUM(S8,AK8)*100+SUM(M8,AE8)+0.001&gt;AT8*1000000+SUM(V8,AN8)*10000+SUM(P8,AH8)*100+SUM(J8,AB8)+0.004,1,0)=1,"A",IF(IF(AR8*1000000+SUM(T8,AL8)*10000+SUM(N8,AF8)*100+SUM(H8,Z8)+0.006&gt;AU8*1000000+SUM(W8,AO8)*10000+SUM(Q8,AI8)*100+SUM(K8,AC8)+0.003,1,0)+IF(AS8*1000000+SUM(U8,AM8)*10000+SUM(O8,AG8)*100+SUM(I8,AA8)+0.005&gt;AU8*1000000+SUM(W8,AO8)*10000+SUM(Q8,AI8)*100+SUM(K8,AC8)+0.003,1,0)+IF(AT8*1000000+SUM(V8,AN8)*10000+SUM(P8,AH8)*100+SUM(J8,AB8)+0.004&gt;AU8*1000000+SUM(W8,AO8)*10000+SUM(Q8,AI8)*100+SUM(K8,AC8)+0.003,1,0)+IF(AV8*1000000+SUM(X8,AP8)*10000+SUM(R8,AJ8)*100+SUM(L8,AD8)+0.002&gt;AU8*1000000+SUM(W8,AO8)*10000+SUM(Q8,AI8)*100+SUM(K8,AC8)+0.003,1,0)+IF(AW8*1000000+SUM(Y8,AQ8)*10000+SUM(S8,AK8)*100+SUM(M8,AE8)+0.001&gt;AU8*1000000+SUM(W8,AO8)*10000+SUM(Q8,AI8)*100+SUM(K8,AC8)+0.003,1,0)=1,"S",IF(IF(AR8*1000000+SUM(T8,AL8)*10000+SUM(N8,AF8)*100+SUM(H8,Z8)+0.006&gt;AV8*1000000+SUM(X8,AP8)*10000+SUM(R8,AJ8)*100+SUM(L8,AD8)+0.002,1,0)+IF(AS8*1000000+SUM(U8,AM8)*10000+SUM(O8,AG8)*100+SUM(I8,AA8)+0.005&gt;AV8*1000000+SUM(X8,AP8)*10000+SUM(R8,AJ8)*100+SUM(L8,AD8)+0.002,1,0)+IF(AT8*1000000+SUM(V8,AN8)*10000+SUM(P8,AH8)*100+SUM(J8,AB8)+0.004&gt;AV8*1000000+SUM(X8,AP8)*10000+SUM(R8,AJ8)*100+SUM(L8,AD8)+0.002,1,0)+IF(AU8*1000000+SUM(W8,AO8)*10000+SUM(Q8,AI8)*100+SUM(K8,AC8)+0.003&gt;AV8*1000000+SUM(X8,AP8)*10000+SUM(R8,AJ8)*100+SUM(L8,AD8)+0.002,1,0)+IF(AW8*1000000+SUM(Y8,AQ8)*10000+SUM(S8,AK8)*100+SUM(M8,AE8)+0.001&gt;AV8*1000000+SUM(X8,AP8)*10000+SUM(R8,AJ8)*100+SUM(L8,AD8)+0.002,1,0)=1,"E",IF(IF(AR8*1000000+SUM(T8,AL8)*10000+SUM(N8,AF8)*100+SUM(H8,Z8)+0.006&gt;AW8*1000000+SUM(Y8,AQ8)*10000+SUM(S8,AK8)*100+SUM(M8,AE8)+0.001,1,0)+IF(AS8*1000000+SUM(U8,AM8)*10000+SUM(O8,AG8)*100+SUM(I8,AA8)+0.005&gt;AW8*1000000+SUM(Y8,AQ8)*10000+SUM(S8,AK8)*100+SUM(M8,AE8)+0.001,1,0)+IF(AT8*1000000+SUM(V8,AN8)*10000+SUM(P8,AH8)*100+SUM(J8,AB8)+0.004&gt;AW8*1000000+SUM(Y8,AQ8)*10000+SUM(S8,AK8)*100+SUM(M8,AE8)+0.001,1,0)+IF(AU8*1000000+SUM(W8,AO8)*10000+SUM(Q8,AI8)*100+SUM(K8,AC8)+0.003&gt;AW8*1000000+SUM(Y8,AQ8)*10000+SUM(S8,AK8)*100+SUM(M8,AE8)+0.001,1,0)+IF(AV8*1000000+SUM(X8,AP8)*10000+SUM(R8,AJ8)*100+SUM(L8,AD8)+0.002&gt;AW8*1000000+SUM(Y8,AQ8)*10000+SUM(S8,AK8)*100+SUM(M8,AE8)+0.001,1,0)=1,"C",""))))))&amp;IF(IF(AS8*1000000+SUM(U8,AM8)*10000+SUM(O8,AG8)*100+SUM(I8,AA8)+0.005&gt;AR8*1000000+SUM(T8,AL8)*10000+SUM(N8,AF8)*100+SUM(H8,Z8)+0.006,1,0)+IF(AT8*1000000+SUM(V8,AN8)*10000+SUM(P8,AH8)*100+SUM(J8,AB8)+0.004&gt;AR8*1000000+SUM(T8,AL8)*10000+SUM(N8,AF8)*100+SUM(H8,Z8)+0.006,1,0)+IF(AU8*1000000+SUM(W8,AO8)*10000+SUM(Q8,AI8)*100+SUM(K8,AC8)+0.003&gt;AR8*1000000+SUM(T8,AL8)*10000+SUM(N8,AF8)*100+SUM(H8,Z8)+0.006,1,0)+IF(AV8*1000000+SUM(X8,AP8)*10000+SUM(R8,AJ8)*100+SUM(L8,AD8)+0.002&gt;AR8*1000000+SUM(T8,AL8)*10000+SUM(N8,AF8)*100+SUM(H8,Z8)+0.006,1,0)+IF(AW8*1000000+SUM(Y8,AQ8)*10000+SUM(S8,AK8)*100+SUM(M8,AE8)+0.001&gt;AR8*1000000+SUM(T8,AL8)*10000+SUM(N8,AF8)*100+SUM(H8,Z8)+0.006,1,0)=2,"R",IF(IF(AR8*1000000+SUM(T8,AL8)*10000+SUM(N8,AF8)*100+SUM(H8,Z8)+0.006&gt;AS8*1000000+SUM(U8,AM8)*10000+SUM(O8,AG8)*100+SUM(I8,AA8)+0.005,1,0)+IF(AT8*1000000+SUM(V8,AN8)*10000+SUM(P8,AH8)*100+SUM(J8,AB8)+0.004&gt;AS8*1000000+SUM(U8,AM8)*10000+SUM(O8,AG8)*100+SUM(I8,AA8)+0.005,1,0)+IF(AU8*1000000+SUM(W8,AO8)*10000+SUM(Q8,AI8)*100+SUM(K8,AC8)+0.003&gt;AS8*1000000+SUM(U8,AM8)*10000+SUM(O8,AG8)*100+SUM(I8,AA8)+0.005,1,0)+IF(AV8*1000000+SUM(X8,AP8)*10000+SUM(R8,AJ8)*100+SUM(L8,AD8)+0.002&gt;AS8*1000000+SUM(U8,AM8)*10000+SUM(O8,AG8)*100+SUM(I8,AA8)+0.005,1,0)+IF(AW8*1000000+SUM(Y8,AQ8)*10000+SUM(S8,AK8)*100+SUM(M8,AE8)+0.001&gt;AS8*1000000+SUM(U8,AM8)*10000+SUM(O8,AG8)*100+SUM(I8,AA8)+0.005,1,0)=2,"I",IF(IF(AR8*1000000+SUM(T8,AL8)*10000+SUM(N8,AF8)*100+SUM(H8,Z8)+0.006&gt;AT8*1000000+SUM(V8,AN8)*10000+SUM(P8,AH8)*100+SUM(J8,AB8)+0.004,1,0)+IF(AS8*1000000+SUM(U8,AM8)*10000+SUM(O8,AG8)*100+SUM(I8,AA8)+0.005&gt;AT8*1000000+SUM(V8,AN8)*10000+SUM(P8,AH8)*100+SUM(J8,AB8)+0.004,1,0)+IF(AU8*1000000+SUM(W8,AO8)*10000+SUM(Q8,AI8)*100+SUM(K8,AC8)+0.003&gt;AT8*1000000+SUM(V8,AN8)*10000+SUM(P8,AH8)*100+SUM(J8,AB8)+0.004,1,0)+IF(AV8*1000000+SUM(X8,AP8)*10000+SUM(R8,AJ8)*100+SUM(L8,AD8)+0.002&gt;AT8*1000000+SUM(V8,AN8)*10000+SUM(P8,AH8)*100+SUM(J8,AB8)+0.004,1,0)+IF(AW8*1000000+SUM(Y8,AQ8)*10000+SUM(S8,AK8)*100+SUM(M8,AE8)+0.001&gt;AT8*1000000+SUM(V8,AN8)*10000+SUM(P8,AH8)*100+SUM(J8,AB8)+0.004,1,0)=2,"A",IF(IF(AR8*1000000+SUM(T8,AL8)*10000+SUM(N8,AF8)*100+SUM(H8,Z8)+0.006&gt;AU8*1000000+SUM(W8,AO8)*10000+SUM(Q8,AI8)*100+SUM(K8,AC8)+0.003,1,0)+IF(AS8*1000000+SUM(U8,AM8)*10000+SUM(O8,AG8)*100+SUM(I8,AA8)+0.005&gt;AU8*1000000+SUM(W8,AO8)*10000+SUM(Q8,AI8)*100+SUM(K8,AC8)+0.003,1,0)+IF(AT8*1000000+SUM(V8,AN8)*10000+SUM(P8,AH8)*100+SUM(J8,AB8)+0.004&gt;AU8*1000000+SUM(W8,AO8)*10000+SUM(Q8,AI8)*100+SUM(K8,AC8)+0.003,1,0)+IF(AV8*1000000+SUM(X8,AP8)*10000+SUM(R8,AJ8)*100+SUM(L8,AD8)+0.002&gt;AU8*1000000+SUM(W8,AO8)*10000+SUM(Q8,AI8)*100+SUM(K8,AC8)+0.003,1,0)+IF(AW8*1000000+SUM(Y8,AQ8)*10000+SUM(S8,AK8)*100+SUM(M8,AE8)+0.001&gt;AU8*1000000+SUM(W8,AO8)*10000+SUM(Q8,AI8)*100+SUM(K8,AC8)+0.003,1,0)=2,"S",IF(IF(AR8*1000000+SUM(T8,AL8)*10000+SUM(N8,AF8)*100+SUM(H8,Z8)+0.006&gt;AV8*1000000+SUM(X8,AP8)*10000+SUM(R8,AJ8)*100+SUM(L8,AD8)+0.002,1,0)+IF(AS8*1000000+SUM(U8,AM8)*10000+SUM(O8,AG8)*100+SUM(I8,AA8)+0.005&gt;AV8*1000000+SUM(X8,AP8)*10000+SUM(R8,AJ8)*100+SUM(L8,AD8)+0.002,1,0)+IF(AT8*1000000+SUM(V8,AN8)*10000+SUM(P8,AH8)*100+SUM(J8,AB8)+0.004&gt;AV8*1000000+SUM(X8,AP8)*10000+SUM(R8,AJ8)*100+SUM(L8,AD8)+0.002,1,0)+IF(AU8*1000000+SUM(W8,AO8)*10000+SUM(Q8,AI8)*100+SUM(K8,AC8)+0.003&gt;AV8*1000000+SUM(X8,AP8)*10000+SUM(R8,AJ8)*100+SUM(L8,AD8)+0.002,1,0)+IF(AW8*1000000+SUM(Y8,AQ8)*10000+SUM(S8,AK8)*100+SUM(M8,AE8)+0.001&gt;AV8*1000000+SUM(X8,AP8)*10000+SUM(R8,AJ8)*100+SUM(L8,AD8)+0.002,1,0)=2,"E",IF(IF(AR8*1000000+SUM(T8,AL8)*10000+SUM(N8,AF8)*100+SUM(H8,Z8)+0.006&gt;AW8*1000000+SUM(Y8,AQ8)*10000+SUM(S8,AK8)*100+SUM(M8,AE8)+0.001,1,0)+IF(AS8*1000000+SUM(U8,AM8)*10000+SUM(O8,AG8)*100+SUM(I8,AA8)+0.005&gt;AW8*1000000+SUM(Y8,AQ8)*10000+SUM(S8,AK8)*100+SUM(M8,AE8)+0.001,1,0)+IF(AT8*1000000+SUM(V8,AN8)*10000+SUM(P8,AH8)*100+SUM(J8,AB8)+0.004&gt;AW8*1000000+SUM(Y8,AQ8)*10000+SUM(S8,AK8)*100+SUM(M8,AE8)+0.001,1,0)+IF(AU8*1000000+SUM(W8,AO8)*10000+SUM(Q8,AI8)*100+SUM(K8,AC8)+0.003&gt;AW8*1000000+SUM(Y8,AQ8)*10000+SUM(S8,AK8)*100+SUM(M8,AE8)+0.001,1,0)+IF(AV8*1000000+SUM(X8,AP8)*10000+SUM(R8,AJ8)*100+SUM(L8,AD8)+0.002&gt;AW8*1000000+SUM(Y8,AQ8)*10000+SUM(S8,AK8)*100+SUM(M8,AE8)+0.001,1,0)=2,"C","")))))))</x:f>
      </x:c>
      <x:c r="AY8" s="27" t="str">
        <x:f>IF(C8="","",IF(LEFT(AX8,1)="R","นักปฏิบัติ",IF(LEFT(AX8,1)="I","นักคิดวิเคราะห์",IF(LEFT(AX8,1)="A","นักสร้างสรรค์",IF(LEFT(AX8,1)="S","ผู้เข้าใจผู้คน",IF(LEFT(AX8,1)="E","ผู้นำการเปลี่ยนแปลง","ผู้จัดระบบ"))))))</x:f>
      </x:c>
    </x:row>
    <x:row r="9">
      <x:c r="A9" s="27"/>
      <x:c r="B9" s="28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  <x:c r="N9" s="27"/>
      <x:c r="O9" s="27"/>
      <x:c r="P9" s="27"/>
      <x:c r="Q9" s="27"/>
      <x:c r="R9" s="27"/>
      <x:c r="S9" s="27"/>
      <x:c r="T9" s="27"/>
      <x:c r="U9" s="27"/>
      <x:c r="V9" s="27"/>
      <x:c r="W9" s="27"/>
      <x:c r="X9" s="27"/>
      <x:c r="Y9" s="27"/>
      <x:c r="Z9" s="27"/>
      <x:c r="AA9" s="27"/>
      <x:c r="AB9" s="27"/>
      <x:c r="AC9" s="27"/>
      <x:c r="AD9" s="27"/>
      <x:c r="AE9" s="27"/>
      <x:c r="AF9" s="27"/>
      <x:c r="AG9" s="27"/>
      <x:c r="AH9" s="27"/>
      <x:c r="AI9" s="27"/>
      <x:c r="AJ9" s="27"/>
      <x:c r="AK9" s="27"/>
      <x:c r="AL9" s="27"/>
      <x:c r="AM9" s="27"/>
      <x:c r="AN9" s="27"/>
      <x:c r="AO9" s="27"/>
      <x:c r="AP9" s="27"/>
      <x:c r="AQ9" s="27"/>
      <x:c r="AR9" s="27" t="str">
        <x:f>IF(C9="","",SUM(H9,N9,T9,Z9,AF9,AL9))</x:f>
      </x:c>
      <x:c r="AS9" s="27" t="str">
        <x:f>IF(C9="","",SUM(I9,O9,U9,AA9,AG9,AM9))</x:f>
      </x:c>
      <x:c r="AT9" s="27" t="str">
        <x:f>IF(C9="","",SUM(J9,P9,V9,AB9,AH9,AN9))</x:f>
      </x:c>
      <x:c r="AU9" s="27" t="str">
        <x:f>IF(C9="","",SUM(K9,Q9,W9,AC9,AI9,AO9))</x:f>
      </x:c>
      <x:c r="AV9" s="27" t="str">
        <x:f>IF(C9="","",SUM(L9,R9,X9,AD9,AJ9,AP9))</x:f>
      </x:c>
      <x:c r="AW9" s="27" t="str">
        <x:f>IF(C9="","",SUM(M9,S9,Y9,AE9,AK9,AQ9))</x:f>
      </x:c>
      <x:c r="AX9" s="27" t="str">
        <x:f>IF(C9="","",IF(IF(AS9*1000000+SUM(U9,AM9)*10000+SUM(O9,AG9)*100+SUM(I9,AA9)+0.005&gt;AR9*1000000+SUM(T9,AL9)*10000+SUM(N9,AF9)*100+SUM(H9,Z9)+0.006,1,0)+IF(AT9*1000000+SUM(V9,AN9)*10000+SUM(P9,AH9)*100+SUM(J9,AB9)+0.004&gt;AR9*1000000+SUM(T9,AL9)*10000+SUM(N9,AF9)*100+SUM(H9,Z9)+0.006,1,0)+IF(AU9*1000000+SUM(W9,AO9)*10000+SUM(Q9,AI9)*100+SUM(K9,AC9)+0.003&gt;AR9*1000000+SUM(T9,AL9)*10000+SUM(N9,AF9)*100+SUM(H9,Z9)+0.006,1,0)+IF(AV9*1000000+SUM(X9,AP9)*10000+SUM(R9,AJ9)*100+SUM(L9,AD9)+0.002&gt;AR9*1000000+SUM(T9,AL9)*10000+SUM(N9,AF9)*100+SUM(H9,Z9)+0.006,1,0)+IF(AW9*1000000+SUM(Y9,AQ9)*10000+SUM(S9,AK9)*100+SUM(M9,AE9)+0.001&gt;AR9*1000000+SUM(T9,AL9)*10000+SUM(N9,AF9)*100+SUM(H9,Z9)+0.006,1,0)=0,"R",IF(IF(AR9*1000000+SUM(T9,AL9)*10000+SUM(N9,AF9)*100+SUM(H9,Z9)+0.006&gt;AS9*1000000+SUM(U9,AM9)*10000+SUM(O9,AG9)*100+SUM(I9,AA9)+0.005,1,0)+IF(AT9*1000000+SUM(V9,AN9)*10000+SUM(P9,AH9)*100+SUM(J9,AB9)+0.004&gt;AS9*1000000+SUM(U9,AM9)*10000+SUM(O9,AG9)*100+SUM(I9,AA9)+0.005,1,0)+IF(AU9*1000000+SUM(W9,AO9)*10000+SUM(Q9,AI9)*100+SUM(K9,AC9)+0.003&gt;AS9*1000000+SUM(U9,AM9)*10000+SUM(O9,AG9)*100+SUM(I9,AA9)+0.005,1,0)+IF(AV9*1000000+SUM(X9,AP9)*10000+SUM(R9,AJ9)*100+SUM(L9,AD9)+0.002&gt;AS9*1000000+SUM(U9,AM9)*10000+SUM(O9,AG9)*100+SUM(I9,AA9)+0.005,1,0)+IF(AW9*1000000+SUM(Y9,AQ9)*10000+SUM(S9,AK9)*100+SUM(M9,AE9)+0.001&gt;AS9*1000000+SUM(U9,AM9)*10000+SUM(O9,AG9)*100+SUM(I9,AA9)+0.005,1,0)=0,"I",IF(IF(AR9*1000000+SUM(T9,AL9)*10000+SUM(N9,AF9)*100+SUM(H9,Z9)+0.006&gt;AT9*1000000+SUM(V9,AN9)*10000+SUM(P9,AH9)*100+SUM(J9,AB9)+0.004,1,0)+IF(AS9*1000000+SUM(U9,AM9)*10000+SUM(O9,AG9)*100+SUM(I9,AA9)+0.005&gt;AT9*1000000+SUM(V9,AN9)*10000+SUM(P9,AH9)*100+SUM(J9,AB9)+0.004,1,0)+IF(AU9*1000000+SUM(W9,AO9)*10000+SUM(Q9,AI9)*100+SUM(K9,AC9)+0.003&gt;AT9*1000000+SUM(V9,AN9)*10000+SUM(P9,AH9)*100+SUM(J9,AB9)+0.004,1,0)+IF(AV9*1000000+SUM(X9,AP9)*10000+SUM(R9,AJ9)*100+SUM(L9,AD9)+0.002&gt;AT9*1000000+SUM(V9,AN9)*10000+SUM(P9,AH9)*100+SUM(J9,AB9)+0.004,1,0)+IF(AW9*1000000+SUM(Y9,AQ9)*10000+SUM(S9,AK9)*100+SUM(M9,AE9)+0.001&gt;AT9*1000000+SUM(V9,AN9)*10000+SUM(P9,AH9)*100+SUM(J9,AB9)+0.004,1,0)=0,"A",IF(IF(AR9*1000000+SUM(T9,AL9)*10000+SUM(N9,AF9)*100+SUM(H9,Z9)+0.006&gt;AU9*1000000+SUM(W9,AO9)*10000+SUM(Q9,AI9)*100+SUM(K9,AC9)+0.003,1,0)+IF(AS9*1000000+SUM(U9,AM9)*10000+SUM(O9,AG9)*100+SUM(I9,AA9)+0.005&gt;AU9*1000000+SUM(W9,AO9)*10000+SUM(Q9,AI9)*100+SUM(K9,AC9)+0.003,1,0)+IF(AT9*1000000+SUM(V9,AN9)*10000+SUM(P9,AH9)*100+SUM(J9,AB9)+0.004&gt;AU9*1000000+SUM(W9,AO9)*10000+SUM(Q9,AI9)*100+SUM(K9,AC9)+0.003,1,0)+IF(AV9*1000000+SUM(X9,AP9)*10000+SUM(R9,AJ9)*100+SUM(L9,AD9)+0.002&gt;AU9*1000000+SUM(W9,AO9)*10000+SUM(Q9,AI9)*100+SUM(K9,AC9)+0.003,1,0)+IF(AW9*1000000+SUM(Y9,AQ9)*10000+SUM(S9,AK9)*100+SUM(M9,AE9)+0.001&gt;AU9*1000000+SUM(W9,AO9)*10000+SUM(Q9,AI9)*100+SUM(K9,AC9)+0.003,1,0)=0,"S",IF(IF(AR9*1000000+SUM(T9,AL9)*10000+SUM(N9,AF9)*100+SUM(H9,Z9)+0.006&gt;AV9*1000000+SUM(X9,AP9)*10000+SUM(R9,AJ9)*100+SUM(L9,AD9)+0.002,1,0)+IF(AS9*1000000+SUM(U9,AM9)*10000+SUM(O9,AG9)*100+SUM(I9,AA9)+0.005&gt;AV9*1000000+SUM(X9,AP9)*10000+SUM(R9,AJ9)*100+SUM(L9,AD9)+0.002,1,0)+IF(AT9*1000000+SUM(V9,AN9)*10000+SUM(P9,AH9)*100+SUM(J9,AB9)+0.004&gt;AV9*1000000+SUM(X9,AP9)*10000+SUM(R9,AJ9)*100+SUM(L9,AD9)+0.002,1,0)+IF(AU9*1000000+SUM(W9,AO9)*10000+SUM(Q9,AI9)*100+SUM(K9,AC9)+0.003&gt;AV9*1000000+SUM(X9,AP9)*10000+SUM(R9,AJ9)*100+SUM(L9,AD9)+0.002,1,0)+IF(AW9*1000000+SUM(Y9,AQ9)*10000+SUM(S9,AK9)*100+SUM(M9,AE9)+0.001&gt;AV9*1000000+SUM(X9,AP9)*10000+SUM(R9,AJ9)*100+SUM(L9,AD9)+0.002,1,0)=0,"E",IF(IF(AR9*1000000+SUM(T9,AL9)*10000+SUM(N9,AF9)*100+SUM(H9,Z9)+0.006&gt;AW9*1000000+SUM(Y9,AQ9)*10000+SUM(S9,AK9)*100+SUM(M9,AE9)+0.001,1,0)+IF(AS9*1000000+SUM(U9,AM9)*10000+SUM(O9,AG9)*100+SUM(I9,AA9)+0.005&gt;AW9*1000000+SUM(Y9,AQ9)*10000+SUM(S9,AK9)*100+SUM(M9,AE9)+0.001,1,0)+IF(AT9*1000000+SUM(V9,AN9)*10000+SUM(P9,AH9)*100+SUM(J9,AB9)+0.004&gt;AW9*1000000+SUM(Y9,AQ9)*10000+SUM(S9,AK9)*100+SUM(M9,AE9)+0.001,1,0)+IF(AU9*1000000+SUM(W9,AO9)*10000+SUM(Q9,AI9)*100+SUM(K9,AC9)+0.003&gt;AW9*1000000+SUM(Y9,AQ9)*10000+SUM(S9,AK9)*100+SUM(M9,AE9)+0.001,1,0)+IF(AV9*1000000+SUM(X9,AP9)*10000+SUM(R9,AJ9)*100+SUM(L9,AD9)+0.002&gt;AW9*1000000+SUM(Y9,AQ9)*10000+SUM(S9,AK9)*100+SUM(M9,AE9)+0.001,1,0)=0,"C",""))))))&amp;IF(IF(AS9*1000000+SUM(U9,AM9)*10000+SUM(O9,AG9)*100+SUM(I9,AA9)+0.005&gt;AR9*1000000+SUM(T9,AL9)*10000+SUM(N9,AF9)*100+SUM(H9,Z9)+0.006,1,0)+IF(AT9*1000000+SUM(V9,AN9)*10000+SUM(P9,AH9)*100+SUM(J9,AB9)+0.004&gt;AR9*1000000+SUM(T9,AL9)*10000+SUM(N9,AF9)*100+SUM(H9,Z9)+0.006,1,0)+IF(AU9*1000000+SUM(W9,AO9)*10000+SUM(Q9,AI9)*100+SUM(K9,AC9)+0.003&gt;AR9*1000000+SUM(T9,AL9)*10000+SUM(N9,AF9)*100+SUM(H9,Z9)+0.006,1,0)+IF(AV9*1000000+SUM(X9,AP9)*10000+SUM(R9,AJ9)*100+SUM(L9,AD9)+0.002&gt;AR9*1000000+SUM(T9,AL9)*10000+SUM(N9,AF9)*100+SUM(H9,Z9)+0.006,1,0)+IF(AW9*1000000+SUM(Y9,AQ9)*10000+SUM(S9,AK9)*100+SUM(M9,AE9)+0.001&gt;AR9*1000000+SUM(T9,AL9)*10000+SUM(N9,AF9)*100+SUM(H9,Z9)+0.006,1,0)=1,"R",IF(IF(AR9*1000000+SUM(T9,AL9)*10000+SUM(N9,AF9)*100+SUM(H9,Z9)+0.006&gt;AS9*1000000+SUM(U9,AM9)*10000+SUM(O9,AG9)*100+SUM(I9,AA9)+0.005,1,0)+IF(AT9*1000000+SUM(V9,AN9)*10000+SUM(P9,AH9)*100+SUM(J9,AB9)+0.004&gt;AS9*1000000+SUM(U9,AM9)*10000+SUM(O9,AG9)*100+SUM(I9,AA9)+0.005,1,0)+IF(AU9*1000000+SUM(W9,AO9)*10000+SUM(Q9,AI9)*100+SUM(K9,AC9)+0.003&gt;AS9*1000000+SUM(U9,AM9)*10000+SUM(O9,AG9)*100+SUM(I9,AA9)+0.005,1,0)+IF(AV9*1000000+SUM(X9,AP9)*10000+SUM(R9,AJ9)*100+SUM(L9,AD9)+0.002&gt;AS9*1000000+SUM(U9,AM9)*10000+SUM(O9,AG9)*100+SUM(I9,AA9)+0.005,1,0)+IF(AW9*1000000+SUM(Y9,AQ9)*10000+SUM(S9,AK9)*100+SUM(M9,AE9)+0.001&gt;AS9*1000000+SUM(U9,AM9)*10000+SUM(O9,AG9)*100+SUM(I9,AA9)+0.005,1,0)=1,"I",IF(IF(AR9*1000000+SUM(T9,AL9)*10000+SUM(N9,AF9)*100+SUM(H9,Z9)+0.006&gt;AT9*1000000+SUM(V9,AN9)*10000+SUM(P9,AH9)*100+SUM(J9,AB9)+0.004,1,0)+IF(AS9*1000000+SUM(U9,AM9)*10000+SUM(O9,AG9)*100+SUM(I9,AA9)+0.005&gt;AT9*1000000+SUM(V9,AN9)*10000+SUM(P9,AH9)*100+SUM(J9,AB9)+0.004,1,0)+IF(AU9*1000000+SUM(W9,AO9)*10000+SUM(Q9,AI9)*100+SUM(K9,AC9)+0.003&gt;AT9*1000000+SUM(V9,AN9)*10000+SUM(P9,AH9)*100+SUM(J9,AB9)+0.004,1,0)+IF(AV9*1000000+SUM(X9,AP9)*10000+SUM(R9,AJ9)*100+SUM(L9,AD9)+0.002&gt;AT9*1000000+SUM(V9,AN9)*10000+SUM(P9,AH9)*100+SUM(J9,AB9)+0.004,1,0)+IF(AW9*1000000+SUM(Y9,AQ9)*10000+SUM(S9,AK9)*100+SUM(M9,AE9)+0.001&gt;AT9*1000000+SUM(V9,AN9)*10000+SUM(P9,AH9)*100+SUM(J9,AB9)+0.004,1,0)=1,"A",IF(IF(AR9*1000000+SUM(T9,AL9)*10000+SUM(N9,AF9)*100+SUM(H9,Z9)+0.006&gt;AU9*1000000+SUM(W9,AO9)*10000+SUM(Q9,AI9)*100+SUM(K9,AC9)+0.003,1,0)+IF(AS9*1000000+SUM(U9,AM9)*10000+SUM(O9,AG9)*100+SUM(I9,AA9)+0.005&gt;AU9*1000000+SUM(W9,AO9)*10000+SUM(Q9,AI9)*100+SUM(K9,AC9)+0.003,1,0)+IF(AT9*1000000+SUM(V9,AN9)*10000+SUM(P9,AH9)*100+SUM(J9,AB9)+0.004&gt;AU9*1000000+SUM(W9,AO9)*10000+SUM(Q9,AI9)*100+SUM(K9,AC9)+0.003,1,0)+IF(AV9*1000000+SUM(X9,AP9)*10000+SUM(R9,AJ9)*100+SUM(L9,AD9)+0.002&gt;AU9*1000000+SUM(W9,AO9)*10000+SUM(Q9,AI9)*100+SUM(K9,AC9)+0.003,1,0)+IF(AW9*1000000+SUM(Y9,AQ9)*10000+SUM(S9,AK9)*100+SUM(M9,AE9)+0.001&gt;AU9*1000000+SUM(W9,AO9)*10000+SUM(Q9,AI9)*100+SUM(K9,AC9)+0.003,1,0)=1,"S",IF(IF(AR9*1000000+SUM(T9,AL9)*10000+SUM(N9,AF9)*100+SUM(H9,Z9)+0.006&gt;AV9*1000000+SUM(X9,AP9)*10000+SUM(R9,AJ9)*100+SUM(L9,AD9)+0.002,1,0)+IF(AS9*1000000+SUM(U9,AM9)*10000+SUM(O9,AG9)*100+SUM(I9,AA9)+0.005&gt;AV9*1000000+SUM(X9,AP9)*10000+SUM(R9,AJ9)*100+SUM(L9,AD9)+0.002,1,0)+IF(AT9*1000000+SUM(V9,AN9)*10000+SUM(P9,AH9)*100+SUM(J9,AB9)+0.004&gt;AV9*1000000+SUM(X9,AP9)*10000+SUM(R9,AJ9)*100+SUM(L9,AD9)+0.002,1,0)+IF(AU9*1000000+SUM(W9,AO9)*10000+SUM(Q9,AI9)*100+SUM(K9,AC9)+0.003&gt;AV9*1000000+SUM(X9,AP9)*10000+SUM(R9,AJ9)*100+SUM(L9,AD9)+0.002,1,0)+IF(AW9*1000000+SUM(Y9,AQ9)*10000+SUM(S9,AK9)*100+SUM(M9,AE9)+0.001&gt;AV9*1000000+SUM(X9,AP9)*10000+SUM(R9,AJ9)*100+SUM(L9,AD9)+0.002,1,0)=1,"E",IF(IF(AR9*1000000+SUM(T9,AL9)*10000+SUM(N9,AF9)*100+SUM(H9,Z9)+0.006&gt;AW9*1000000+SUM(Y9,AQ9)*10000+SUM(S9,AK9)*100+SUM(M9,AE9)+0.001,1,0)+IF(AS9*1000000+SUM(U9,AM9)*10000+SUM(O9,AG9)*100+SUM(I9,AA9)+0.005&gt;AW9*1000000+SUM(Y9,AQ9)*10000+SUM(S9,AK9)*100+SUM(M9,AE9)+0.001,1,0)+IF(AT9*1000000+SUM(V9,AN9)*10000+SUM(P9,AH9)*100+SUM(J9,AB9)+0.004&gt;AW9*1000000+SUM(Y9,AQ9)*10000+SUM(S9,AK9)*100+SUM(M9,AE9)+0.001,1,0)+IF(AU9*1000000+SUM(W9,AO9)*10000+SUM(Q9,AI9)*100+SUM(K9,AC9)+0.003&gt;AW9*1000000+SUM(Y9,AQ9)*10000+SUM(S9,AK9)*100+SUM(M9,AE9)+0.001,1,0)+IF(AV9*1000000+SUM(X9,AP9)*10000+SUM(R9,AJ9)*100+SUM(L9,AD9)+0.002&gt;AW9*1000000+SUM(Y9,AQ9)*10000+SUM(S9,AK9)*100+SUM(M9,AE9)+0.001,1,0)=1,"C",""))))))&amp;IF(IF(AS9*1000000+SUM(U9,AM9)*10000+SUM(O9,AG9)*100+SUM(I9,AA9)+0.005&gt;AR9*1000000+SUM(T9,AL9)*10000+SUM(N9,AF9)*100+SUM(H9,Z9)+0.006,1,0)+IF(AT9*1000000+SUM(V9,AN9)*10000+SUM(P9,AH9)*100+SUM(J9,AB9)+0.004&gt;AR9*1000000+SUM(T9,AL9)*10000+SUM(N9,AF9)*100+SUM(H9,Z9)+0.006,1,0)+IF(AU9*1000000+SUM(W9,AO9)*10000+SUM(Q9,AI9)*100+SUM(K9,AC9)+0.003&gt;AR9*1000000+SUM(T9,AL9)*10000+SUM(N9,AF9)*100+SUM(H9,Z9)+0.006,1,0)+IF(AV9*1000000+SUM(X9,AP9)*10000+SUM(R9,AJ9)*100+SUM(L9,AD9)+0.002&gt;AR9*1000000+SUM(T9,AL9)*10000+SUM(N9,AF9)*100+SUM(H9,Z9)+0.006,1,0)+IF(AW9*1000000+SUM(Y9,AQ9)*10000+SUM(S9,AK9)*100+SUM(M9,AE9)+0.001&gt;AR9*1000000+SUM(T9,AL9)*10000+SUM(N9,AF9)*100+SUM(H9,Z9)+0.006,1,0)=2,"R",IF(IF(AR9*1000000+SUM(T9,AL9)*10000+SUM(N9,AF9)*100+SUM(H9,Z9)+0.006&gt;AS9*1000000+SUM(U9,AM9)*10000+SUM(O9,AG9)*100+SUM(I9,AA9)+0.005,1,0)+IF(AT9*1000000+SUM(V9,AN9)*10000+SUM(P9,AH9)*100+SUM(J9,AB9)+0.004&gt;AS9*1000000+SUM(U9,AM9)*10000+SUM(O9,AG9)*100+SUM(I9,AA9)+0.005,1,0)+IF(AU9*1000000+SUM(W9,AO9)*10000+SUM(Q9,AI9)*100+SUM(K9,AC9)+0.003&gt;AS9*1000000+SUM(U9,AM9)*10000+SUM(O9,AG9)*100+SUM(I9,AA9)+0.005,1,0)+IF(AV9*1000000+SUM(X9,AP9)*10000+SUM(R9,AJ9)*100+SUM(L9,AD9)+0.002&gt;AS9*1000000+SUM(U9,AM9)*10000+SUM(O9,AG9)*100+SUM(I9,AA9)+0.005,1,0)+IF(AW9*1000000+SUM(Y9,AQ9)*10000+SUM(S9,AK9)*100+SUM(M9,AE9)+0.001&gt;AS9*1000000+SUM(U9,AM9)*10000+SUM(O9,AG9)*100+SUM(I9,AA9)+0.005,1,0)=2,"I",IF(IF(AR9*1000000+SUM(T9,AL9)*10000+SUM(N9,AF9)*100+SUM(H9,Z9)+0.006&gt;AT9*1000000+SUM(V9,AN9)*10000+SUM(P9,AH9)*100+SUM(J9,AB9)+0.004,1,0)+IF(AS9*1000000+SUM(U9,AM9)*10000+SUM(O9,AG9)*100+SUM(I9,AA9)+0.005&gt;AT9*1000000+SUM(V9,AN9)*10000+SUM(P9,AH9)*100+SUM(J9,AB9)+0.004,1,0)+IF(AU9*1000000+SUM(W9,AO9)*10000+SUM(Q9,AI9)*100+SUM(K9,AC9)+0.003&gt;AT9*1000000+SUM(V9,AN9)*10000+SUM(P9,AH9)*100+SUM(J9,AB9)+0.004,1,0)+IF(AV9*1000000+SUM(X9,AP9)*10000+SUM(R9,AJ9)*100+SUM(L9,AD9)+0.002&gt;AT9*1000000+SUM(V9,AN9)*10000+SUM(P9,AH9)*100+SUM(J9,AB9)+0.004,1,0)+IF(AW9*1000000+SUM(Y9,AQ9)*10000+SUM(S9,AK9)*100+SUM(M9,AE9)+0.001&gt;AT9*1000000+SUM(V9,AN9)*10000+SUM(P9,AH9)*100+SUM(J9,AB9)+0.004,1,0)=2,"A",IF(IF(AR9*1000000+SUM(T9,AL9)*10000+SUM(N9,AF9)*100+SUM(H9,Z9)+0.006&gt;AU9*1000000+SUM(W9,AO9)*10000+SUM(Q9,AI9)*100+SUM(K9,AC9)+0.003,1,0)+IF(AS9*1000000+SUM(U9,AM9)*10000+SUM(O9,AG9)*100+SUM(I9,AA9)+0.005&gt;AU9*1000000+SUM(W9,AO9)*10000+SUM(Q9,AI9)*100+SUM(K9,AC9)+0.003,1,0)+IF(AT9*1000000+SUM(V9,AN9)*10000+SUM(P9,AH9)*100+SUM(J9,AB9)+0.004&gt;AU9*1000000+SUM(W9,AO9)*10000+SUM(Q9,AI9)*100+SUM(K9,AC9)+0.003,1,0)+IF(AV9*1000000+SUM(X9,AP9)*10000+SUM(R9,AJ9)*100+SUM(L9,AD9)+0.002&gt;AU9*1000000+SUM(W9,AO9)*10000+SUM(Q9,AI9)*100+SUM(K9,AC9)+0.003,1,0)+IF(AW9*1000000+SUM(Y9,AQ9)*10000+SUM(S9,AK9)*100+SUM(M9,AE9)+0.001&gt;AU9*1000000+SUM(W9,AO9)*10000+SUM(Q9,AI9)*100+SUM(K9,AC9)+0.003,1,0)=2,"S",IF(IF(AR9*1000000+SUM(T9,AL9)*10000+SUM(N9,AF9)*100+SUM(H9,Z9)+0.006&gt;AV9*1000000+SUM(X9,AP9)*10000+SUM(R9,AJ9)*100+SUM(L9,AD9)+0.002,1,0)+IF(AS9*1000000+SUM(U9,AM9)*10000+SUM(O9,AG9)*100+SUM(I9,AA9)+0.005&gt;AV9*1000000+SUM(X9,AP9)*10000+SUM(R9,AJ9)*100+SUM(L9,AD9)+0.002,1,0)+IF(AT9*1000000+SUM(V9,AN9)*10000+SUM(P9,AH9)*100+SUM(J9,AB9)+0.004&gt;AV9*1000000+SUM(X9,AP9)*10000+SUM(R9,AJ9)*100+SUM(L9,AD9)+0.002,1,0)+IF(AU9*1000000+SUM(W9,AO9)*10000+SUM(Q9,AI9)*100+SUM(K9,AC9)+0.003&gt;AV9*1000000+SUM(X9,AP9)*10000+SUM(R9,AJ9)*100+SUM(L9,AD9)+0.002,1,0)+IF(AW9*1000000+SUM(Y9,AQ9)*10000+SUM(S9,AK9)*100+SUM(M9,AE9)+0.001&gt;AV9*1000000+SUM(X9,AP9)*10000+SUM(R9,AJ9)*100+SUM(L9,AD9)+0.002,1,0)=2,"E",IF(IF(AR9*1000000+SUM(T9,AL9)*10000+SUM(N9,AF9)*100+SUM(H9,Z9)+0.006&gt;AW9*1000000+SUM(Y9,AQ9)*10000+SUM(S9,AK9)*100+SUM(M9,AE9)+0.001,1,0)+IF(AS9*1000000+SUM(U9,AM9)*10000+SUM(O9,AG9)*100+SUM(I9,AA9)+0.005&gt;AW9*1000000+SUM(Y9,AQ9)*10000+SUM(S9,AK9)*100+SUM(M9,AE9)+0.001,1,0)+IF(AT9*1000000+SUM(V9,AN9)*10000+SUM(P9,AH9)*100+SUM(J9,AB9)+0.004&gt;AW9*1000000+SUM(Y9,AQ9)*10000+SUM(S9,AK9)*100+SUM(M9,AE9)+0.001,1,0)+IF(AU9*1000000+SUM(W9,AO9)*10000+SUM(Q9,AI9)*100+SUM(K9,AC9)+0.003&gt;AW9*1000000+SUM(Y9,AQ9)*10000+SUM(S9,AK9)*100+SUM(M9,AE9)+0.001,1,0)+IF(AV9*1000000+SUM(X9,AP9)*10000+SUM(R9,AJ9)*100+SUM(L9,AD9)+0.002&gt;AW9*1000000+SUM(Y9,AQ9)*10000+SUM(S9,AK9)*100+SUM(M9,AE9)+0.001,1,0)=2,"C","")))))))</x:f>
      </x:c>
      <x:c r="AY9" s="27" t="str">
        <x:f>IF(C9="","",IF(LEFT(AX9,1)="R","นักปฏิบัติ",IF(LEFT(AX9,1)="I","นักคิดวิเคราะห์",IF(LEFT(AX9,1)="A","นักสร้างสรรค์",IF(LEFT(AX9,1)="S","ผู้เข้าใจผู้คน",IF(LEFT(AX9,1)="E","ผู้นำการเปลี่ยนแปลง","ผู้จัดระบบ"))))))</x:f>
      </x:c>
    </x:row>
    <x:row r="10">
      <x:c r="A10" s="27"/>
      <x:c r="B10" s="28"/>
      <x:c r="C10" s="27"/>
      <x:c r="D10" s="27"/>
      <x:c r="E10" s="27"/>
      <x:c r="F10" s="27"/>
      <x:c r="G10" s="27"/>
      <x:c r="H10" s="27"/>
      <x:c r="I10" s="27"/>
      <x:c r="J10" s="27"/>
      <x:c r="K10" s="27"/>
      <x:c r="L10" s="27"/>
      <x:c r="M10" s="27"/>
      <x:c r="N10" s="27"/>
      <x:c r="O10" s="27"/>
      <x:c r="P10" s="27"/>
      <x:c r="Q10" s="27"/>
      <x:c r="R10" s="27"/>
      <x:c r="S10" s="27"/>
      <x:c r="T10" s="27"/>
      <x:c r="U10" s="27"/>
      <x:c r="V10" s="27"/>
      <x:c r="W10" s="27"/>
      <x:c r="X10" s="27"/>
      <x:c r="Y10" s="27"/>
      <x:c r="Z10" s="27"/>
      <x:c r="AA10" s="27"/>
      <x:c r="AB10" s="27"/>
      <x:c r="AC10" s="27"/>
      <x:c r="AD10" s="27"/>
      <x:c r="AE10" s="27"/>
      <x:c r="AF10" s="27"/>
      <x:c r="AG10" s="27"/>
      <x:c r="AH10" s="27"/>
      <x:c r="AI10" s="27"/>
      <x:c r="AJ10" s="27"/>
      <x:c r="AK10" s="27"/>
      <x:c r="AL10" s="27"/>
      <x:c r="AM10" s="27"/>
      <x:c r="AN10" s="27"/>
      <x:c r="AO10" s="27"/>
      <x:c r="AP10" s="27"/>
      <x:c r="AQ10" s="27"/>
      <x:c r="AR10" s="27" t="str">
        <x:f>IF(C10="","",SUM(H10,N10,T10,Z10,AF10,AL10))</x:f>
      </x:c>
      <x:c r="AS10" s="27" t="str">
        <x:f>IF(C10="","",SUM(I10,O10,U10,AA10,AG10,AM10))</x:f>
      </x:c>
      <x:c r="AT10" s="27" t="str">
        <x:f>IF(C10="","",SUM(J10,P10,V10,AB10,AH10,AN10))</x:f>
      </x:c>
      <x:c r="AU10" s="27" t="str">
        <x:f>IF(C10="","",SUM(K10,Q10,W10,AC10,AI10,AO10))</x:f>
      </x:c>
      <x:c r="AV10" s="27" t="str">
        <x:f>IF(C10="","",SUM(L10,R10,X10,AD10,AJ10,AP10))</x:f>
      </x:c>
      <x:c r="AW10" s="27" t="str">
        <x:f>IF(C10="","",SUM(M10,S10,Y10,AE10,AK10,AQ10))</x:f>
      </x:c>
      <x:c r="AX10" s="27" t="str">
        <x:f>IF(C10="","",IF(IF(AS10*1000000+SUM(U10,AM10)*10000+SUM(O10,AG10)*100+SUM(I10,AA10)+0.005&gt;AR10*1000000+SUM(T10,AL10)*10000+SUM(N10,AF10)*100+SUM(H10,Z10)+0.006,1,0)+IF(AT10*1000000+SUM(V10,AN10)*10000+SUM(P10,AH10)*100+SUM(J10,AB10)+0.004&gt;AR10*1000000+SUM(T10,AL10)*10000+SUM(N10,AF10)*100+SUM(H10,Z10)+0.006,1,0)+IF(AU10*1000000+SUM(W10,AO10)*10000+SUM(Q10,AI10)*100+SUM(K10,AC10)+0.003&gt;AR10*1000000+SUM(T10,AL10)*10000+SUM(N10,AF10)*100+SUM(H10,Z10)+0.006,1,0)+IF(AV10*1000000+SUM(X10,AP10)*10000+SUM(R10,AJ10)*100+SUM(L10,AD10)+0.002&gt;AR10*1000000+SUM(T10,AL10)*10000+SUM(N10,AF10)*100+SUM(H10,Z10)+0.006,1,0)+IF(AW10*1000000+SUM(Y10,AQ10)*10000+SUM(S10,AK10)*100+SUM(M10,AE10)+0.001&gt;AR10*1000000+SUM(T10,AL10)*10000+SUM(N10,AF10)*100+SUM(H10,Z10)+0.006,1,0)=0,"R",IF(IF(AR10*1000000+SUM(T10,AL10)*10000+SUM(N10,AF10)*100+SUM(H10,Z10)+0.006&gt;AS10*1000000+SUM(U10,AM10)*10000+SUM(O10,AG10)*100+SUM(I10,AA10)+0.005,1,0)+IF(AT10*1000000+SUM(V10,AN10)*10000+SUM(P10,AH10)*100+SUM(J10,AB10)+0.004&gt;AS10*1000000+SUM(U10,AM10)*10000+SUM(O10,AG10)*100+SUM(I10,AA10)+0.005,1,0)+IF(AU10*1000000+SUM(W10,AO10)*10000+SUM(Q10,AI10)*100+SUM(K10,AC10)+0.003&gt;AS10*1000000+SUM(U10,AM10)*10000+SUM(O10,AG10)*100+SUM(I10,AA10)+0.005,1,0)+IF(AV10*1000000+SUM(X10,AP10)*10000+SUM(R10,AJ10)*100+SUM(L10,AD10)+0.002&gt;AS10*1000000+SUM(U10,AM10)*10000+SUM(O10,AG10)*100+SUM(I10,AA10)+0.005,1,0)+IF(AW10*1000000+SUM(Y10,AQ10)*10000+SUM(S10,AK10)*100+SUM(M10,AE10)+0.001&gt;AS10*1000000+SUM(U10,AM10)*10000+SUM(O10,AG10)*100+SUM(I10,AA10)+0.005,1,0)=0,"I",IF(IF(AR10*1000000+SUM(T10,AL10)*10000+SUM(N10,AF10)*100+SUM(H10,Z10)+0.006&gt;AT10*1000000+SUM(V10,AN10)*10000+SUM(P10,AH10)*100+SUM(J10,AB10)+0.004,1,0)+IF(AS10*1000000+SUM(U10,AM10)*10000+SUM(O10,AG10)*100+SUM(I10,AA10)+0.005&gt;AT10*1000000+SUM(V10,AN10)*10000+SUM(P10,AH10)*100+SUM(J10,AB10)+0.004,1,0)+IF(AU10*1000000+SUM(W10,AO10)*10000+SUM(Q10,AI10)*100+SUM(K10,AC10)+0.003&gt;AT10*1000000+SUM(V10,AN10)*10000+SUM(P10,AH10)*100+SUM(J10,AB10)+0.004,1,0)+IF(AV10*1000000+SUM(X10,AP10)*10000+SUM(R10,AJ10)*100+SUM(L10,AD10)+0.002&gt;AT10*1000000+SUM(V10,AN10)*10000+SUM(P10,AH10)*100+SUM(J10,AB10)+0.004,1,0)+IF(AW10*1000000+SUM(Y10,AQ10)*10000+SUM(S10,AK10)*100+SUM(M10,AE10)+0.001&gt;AT10*1000000+SUM(V10,AN10)*10000+SUM(P10,AH10)*100+SUM(J10,AB10)+0.004,1,0)=0,"A",IF(IF(AR10*1000000+SUM(T10,AL10)*10000+SUM(N10,AF10)*100+SUM(H10,Z10)+0.006&gt;AU10*1000000+SUM(W10,AO10)*10000+SUM(Q10,AI10)*100+SUM(K10,AC10)+0.003,1,0)+IF(AS10*1000000+SUM(U10,AM10)*10000+SUM(O10,AG10)*100+SUM(I10,AA10)+0.005&gt;AU10*1000000+SUM(W10,AO10)*10000+SUM(Q10,AI10)*100+SUM(K10,AC10)+0.003,1,0)+IF(AT10*1000000+SUM(V10,AN10)*10000+SUM(P10,AH10)*100+SUM(J10,AB10)+0.004&gt;AU10*1000000+SUM(W10,AO10)*10000+SUM(Q10,AI10)*100+SUM(K10,AC10)+0.003,1,0)+IF(AV10*1000000+SUM(X10,AP10)*10000+SUM(R10,AJ10)*100+SUM(L10,AD10)+0.002&gt;AU10*1000000+SUM(W10,AO10)*10000+SUM(Q10,AI10)*100+SUM(K10,AC10)+0.003,1,0)+IF(AW10*1000000+SUM(Y10,AQ10)*10000+SUM(S10,AK10)*100+SUM(M10,AE10)+0.001&gt;AU10*1000000+SUM(W10,AO10)*10000+SUM(Q10,AI10)*100+SUM(K10,AC10)+0.003,1,0)=0,"S",IF(IF(AR10*1000000+SUM(T10,AL10)*10000+SUM(N10,AF10)*100+SUM(H10,Z10)+0.006&gt;AV10*1000000+SUM(X10,AP10)*10000+SUM(R10,AJ10)*100+SUM(L10,AD10)+0.002,1,0)+IF(AS10*1000000+SUM(U10,AM10)*10000+SUM(O10,AG10)*100+SUM(I10,AA10)+0.005&gt;AV10*1000000+SUM(X10,AP10)*10000+SUM(R10,AJ10)*100+SUM(L10,AD10)+0.002,1,0)+IF(AT10*1000000+SUM(V10,AN10)*10000+SUM(P10,AH10)*100+SUM(J10,AB10)+0.004&gt;AV10*1000000+SUM(X10,AP10)*10000+SUM(R10,AJ10)*100+SUM(L10,AD10)+0.002,1,0)+IF(AU10*1000000+SUM(W10,AO10)*10000+SUM(Q10,AI10)*100+SUM(K10,AC10)+0.003&gt;AV10*1000000+SUM(X10,AP10)*10000+SUM(R10,AJ10)*100+SUM(L10,AD10)+0.002,1,0)+IF(AW10*1000000+SUM(Y10,AQ10)*10000+SUM(S10,AK10)*100+SUM(M10,AE10)+0.001&gt;AV10*1000000+SUM(X10,AP10)*10000+SUM(R10,AJ10)*100+SUM(L10,AD10)+0.002,1,0)=0,"E",IF(IF(AR10*1000000+SUM(T10,AL10)*10000+SUM(N10,AF10)*100+SUM(H10,Z10)+0.006&gt;AW10*1000000+SUM(Y10,AQ10)*10000+SUM(S10,AK10)*100+SUM(M10,AE10)+0.001,1,0)+IF(AS10*1000000+SUM(U10,AM10)*10000+SUM(O10,AG10)*100+SUM(I10,AA10)+0.005&gt;AW10*1000000+SUM(Y10,AQ10)*10000+SUM(S10,AK10)*100+SUM(M10,AE10)+0.001,1,0)+IF(AT10*1000000+SUM(V10,AN10)*10000+SUM(P10,AH10)*100+SUM(J10,AB10)+0.004&gt;AW10*1000000+SUM(Y10,AQ10)*10000+SUM(S10,AK10)*100+SUM(M10,AE10)+0.001,1,0)+IF(AU10*1000000+SUM(W10,AO10)*10000+SUM(Q10,AI10)*100+SUM(K10,AC10)+0.003&gt;AW10*1000000+SUM(Y10,AQ10)*10000+SUM(S10,AK10)*100+SUM(M10,AE10)+0.001,1,0)+IF(AV10*1000000+SUM(X10,AP10)*10000+SUM(R10,AJ10)*100+SUM(L10,AD10)+0.002&gt;AW10*1000000+SUM(Y10,AQ10)*10000+SUM(S10,AK10)*100+SUM(M10,AE10)+0.001,1,0)=0,"C",""))))))&amp;IF(IF(AS10*1000000+SUM(U10,AM10)*10000+SUM(O10,AG10)*100+SUM(I10,AA10)+0.005&gt;AR10*1000000+SUM(T10,AL10)*10000+SUM(N10,AF10)*100+SUM(H10,Z10)+0.006,1,0)+IF(AT10*1000000+SUM(V10,AN10)*10000+SUM(P10,AH10)*100+SUM(J10,AB10)+0.004&gt;AR10*1000000+SUM(T10,AL10)*10000+SUM(N10,AF10)*100+SUM(H10,Z10)+0.006,1,0)+IF(AU10*1000000+SUM(W10,AO10)*10000+SUM(Q10,AI10)*100+SUM(K10,AC10)+0.003&gt;AR10*1000000+SUM(T10,AL10)*10000+SUM(N10,AF10)*100+SUM(H10,Z10)+0.006,1,0)+IF(AV10*1000000+SUM(X10,AP10)*10000+SUM(R10,AJ10)*100+SUM(L10,AD10)+0.002&gt;AR10*1000000+SUM(T10,AL10)*10000+SUM(N10,AF10)*100+SUM(H10,Z10)+0.006,1,0)+IF(AW10*1000000+SUM(Y10,AQ10)*10000+SUM(S10,AK10)*100+SUM(M10,AE10)+0.001&gt;AR10*1000000+SUM(T10,AL10)*10000+SUM(N10,AF10)*100+SUM(H10,Z10)+0.006,1,0)=1,"R",IF(IF(AR10*1000000+SUM(T10,AL10)*10000+SUM(N10,AF10)*100+SUM(H10,Z10)+0.006&gt;AS10*1000000+SUM(U10,AM10)*10000+SUM(O10,AG10)*100+SUM(I10,AA10)+0.005,1,0)+IF(AT10*1000000+SUM(V10,AN10)*10000+SUM(P10,AH10)*100+SUM(J10,AB10)+0.004&gt;AS10*1000000+SUM(U10,AM10)*10000+SUM(O10,AG10)*100+SUM(I10,AA10)+0.005,1,0)+IF(AU10*1000000+SUM(W10,AO10)*10000+SUM(Q10,AI10)*100+SUM(K10,AC10)+0.003&gt;AS10*1000000+SUM(U10,AM10)*10000+SUM(O10,AG10)*100+SUM(I10,AA10)+0.005,1,0)+IF(AV10*1000000+SUM(X10,AP10)*10000+SUM(R10,AJ10)*100+SUM(L10,AD10)+0.002&gt;AS10*1000000+SUM(U10,AM10)*10000+SUM(O10,AG10)*100+SUM(I10,AA10)+0.005,1,0)+IF(AW10*1000000+SUM(Y10,AQ10)*10000+SUM(S10,AK10)*100+SUM(M10,AE10)+0.001&gt;AS10*1000000+SUM(U10,AM10)*10000+SUM(O10,AG10)*100+SUM(I10,AA10)+0.005,1,0)=1,"I",IF(IF(AR10*1000000+SUM(T10,AL10)*10000+SUM(N10,AF10)*100+SUM(H10,Z10)+0.006&gt;AT10*1000000+SUM(V10,AN10)*10000+SUM(P10,AH10)*100+SUM(J10,AB10)+0.004,1,0)+IF(AS10*1000000+SUM(U10,AM10)*10000+SUM(O10,AG10)*100+SUM(I10,AA10)+0.005&gt;AT10*1000000+SUM(V10,AN10)*10000+SUM(P10,AH10)*100+SUM(J10,AB10)+0.004,1,0)+IF(AU10*1000000+SUM(W10,AO10)*10000+SUM(Q10,AI10)*100+SUM(K10,AC10)+0.003&gt;AT10*1000000+SUM(V10,AN10)*10000+SUM(P10,AH10)*100+SUM(J10,AB10)+0.004,1,0)+IF(AV10*1000000+SUM(X10,AP10)*10000+SUM(R10,AJ10)*100+SUM(L10,AD10)+0.002&gt;AT10*1000000+SUM(V10,AN10)*10000+SUM(P10,AH10)*100+SUM(J10,AB10)+0.004,1,0)+IF(AW10*1000000+SUM(Y10,AQ10)*10000+SUM(S10,AK10)*100+SUM(M10,AE10)+0.001&gt;AT10*1000000+SUM(V10,AN10)*10000+SUM(P10,AH10)*100+SUM(J10,AB10)+0.004,1,0)=1,"A",IF(IF(AR10*1000000+SUM(T10,AL10)*10000+SUM(N10,AF10)*100+SUM(H10,Z10)+0.006&gt;AU10*1000000+SUM(W10,AO10)*10000+SUM(Q10,AI10)*100+SUM(K10,AC10)+0.003,1,0)+IF(AS10*1000000+SUM(U10,AM10)*10000+SUM(O10,AG10)*100+SUM(I10,AA10)+0.005&gt;AU10*1000000+SUM(W10,AO10)*10000+SUM(Q10,AI10)*100+SUM(K10,AC10)+0.003,1,0)+IF(AT10*1000000+SUM(V10,AN10)*10000+SUM(P10,AH10)*100+SUM(J10,AB10)+0.004&gt;AU10*1000000+SUM(W10,AO10)*10000+SUM(Q10,AI10)*100+SUM(K10,AC10)+0.003,1,0)+IF(AV10*1000000+SUM(X10,AP10)*10000+SUM(R10,AJ10)*100+SUM(L10,AD10)+0.002&gt;AU10*1000000+SUM(W10,AO10)*10000+SUM(Q10,AI10)*100+SUM(K10,AC10)+0.003,1,0)+IF(AW10*1000000+SUM(Y10,AQ10)*10000+SUM(S10,AK10)*100+SUM(M10,AE10)+0.001&gt;AU10*1000000+SUM(W10,AO10)*10000+SUM(Q10,AI10)*100+SUM(K10,AC10)+0.003,1,0)=1,"S",IF(IF(AR10*1000000+SUM(T10,AL10)*10000+SUM(N10,AF10)*100+SUM(H10,Z10)+0.006&gt;AV10*1000000+SUM(X10,AP10)*10000+SUM(R10,AJ10)*100+SUM(L10,AD10)+0.002,1,0)+IF(AS10*1000000+SUM(U10,AM10)*10000+SUM(O10,AG10)*100+SUM(I10,AA10)+0.005&gt;AV10*1000000+SUM(X10,AP10)*10000+SUM(R10,AJ10)*100+SUM(L10,AD10)+0.002,1,0)+IF(AT10*1000000+SUM(V10,AN10)*10000+SUM(P10,AH10)*100+SUM(J10,AB10)+0.004&gt;AV10*1000000+SUM(X10,AP10)*10000+SUM(R10,AJ10)*100+SUM(L10,AD10)+0.002,1,0)+IF(AU10*1000000+SUM(W10,AO10)*10000+SUM(Q10,AI10)*100+SUM(K10,AC10)+0.003&gt;AV10*1000000+SUM(X10,AP10)*10000+SUM(R10,AJ10)*100+SUM(L10,AD10)+0.002,1,0)+IF(AW10*1000000+SUM(Y10,AQ10)*10000+SUM(S10,AK10)*100+SUM(M10,AE10)+0.001&gt;AV10*1000000+SUM(X10,AP10)*10000+SUM(R10,AJ10)*100+SUM(L10,AD10)+0.002,1,0)=1,"E",IF(IF(AR10*1000000+SUM(T10,AL10)*10000+SUM(N10,AF10)*100+SUM(H10,Z10)+0.006&gt;AW10*1000000+SUM(Y10,AQ10)*10000+SUM(S10,AK10)*100+SUM(M10,AE10)+0.001,1,0)+IF(AS10*1000000+SUM(U10,AM10)*10000+SUM(O10,AG10)*100+SUM(I10,AA10)+0.005&gt;AW10*1000000+SUM(Y10,AQ10)*10000+SUM(S10,AK10)*100+SUM(M10,AE10)+0.001,1,0)+IF(AT10*1000000+SUM(V10,AN10)*10000+SUM(P10,AH10)*100+SUM(J10,AB10)+0.004&gt;AW10*1000000+SUM(Y10,AQ10)*10000+SUM(S10,AK10)*100+SUM(M10,AE10)+0.001,1,0)+IF(AU10*1000000+SUM(W10,AO10)*10000+SUM(Q10,AI10)*100+SUM(K10,AC10)+0.003&gt;AW10*1000000+SUM(Y10,AQ10)*10000+SUM(S10,AK10)*100+SUM(M10,AE10)+0.001,1,0)+IF(AV10*1000000+SUM(X10,AP10)*10000+SUM(R10,AJ10)*100+SUM(L10,AD10)+0.002&gt;AW10*1000000+SUM(Y10,AQ10)*10000+SUM(S10,AK10)*100+SUM(M10,AE10)+0.001,1,0)=1,"C",""))))))&amp;IF(IF(AS10*1000000+SUM(U10,AM10)*10000+SUM(O10,AG10)*100+SUM(I10,AA10)+0.005&gt;AR10*1000000+SUM(T10,AL10)*10000+SUM(N10,AF10)*100+SUM(H10,Z10)+0.006,1,0)+IF(AT10*1000000+SUM(V10,AN10)*10000+SUM(P10,AH10)*100+SUM(J10,AB10)+0.004&gt;AR10*1000000+SUM(T10,AL10)*10000+SUM(N10,AF10)*100+SUM(H10,Z10)+0.006,1,0)+IF(AU10*1000000+SUM(W10,AO10)*10000+SUM(Q10,AI10)*100+SUM(K10,AC10)+0.003&gt;AR10*1000000+SUM(T10,AL10)*10000+SUM(N10,AF10)*100+SUM(H10,Z10)+0.006,1,0)+IF(AV10*1000000+SUM(X10,AP10)*10000+SUM(R10,AJ10)*100+SUM(L10,AD10)+0.002&gt;AR10*1000000+SUM(T10,AL10)*10000+SUM(N10,AF10)*100+SUM(H10,Z10)+0.006,1,0)+IF(AW10*1000000+SUM(Y10,AQ10)*10000+SUM(S10,AK10)*100+SUM(M10,AE10)+0.001&gt;AR10*1000000+SUM(T10,AL10)*10000+SUM(N10,AF10)*100+SUM(H10,Z10)+0.006,1,0)=2,"R",IF(IF(AR10*1000000+SUM(T10,AL10)*10000+SUM(N10,AF10)*100+SUM(H10,Z10)+0.006&gt;AS10*1000000+SUM(U10,AM10)*10000+SUM(O10,AG10)*100+SUM(I10,AA10)+0.005,1,0)+IF(AT10*1000000+SUM(V10,AN10)*10000+SUM(P10,AH10)*100+SUM(J10,AB10)+0.004&gt;AS10*1000000+SUM(U10,AM10)*10000+SUM(O10,AG10)*100+SUM(I10,AA10)+0.005,1,0)+IF(AU10*1000000+SUM(W10,AO10)*10000+SUM(Q10,AI10)*100+SUM(K10,AC10)+0.003&gt;AS10*1000000+SUM(U10,AM10)*10000+SUM(O10,AG10)*100+SUM(I10,AA10)+0.005,1,0)+IF(AV10*1000000+SUM(X10,AP10)*10000+SUM(R10,AJ10)*100+SUM(L10,AD10)+0.002&gt;AS10*1000000+SUM(U10,AM10)*10000+SUM(O10,AG10)*100+SUM(I10,AA10)+0.005,1,0)+IF(AW10*1000000+SUM(Y10,AQ10)*10000+SUM(S10,AK10)*100+SUM(M10,AE10)+0.001&gt;AS10*1000000+SUM(U10,AM10)*10000+SUM(O10,AG10)*100+SUM(I10,AA10)+0.005,1,0)=2,"I",IF(IF(AR10*1000000+SUM(T10,AL10)*10000+SUM(N10,AF10)*100+SUM(H10,Z10)+0.006&gt;AT10*1000000+SUM(V10,AN10)*10000+SUM(P10,AH10)*100+SUM(J10,AB10)+0.004,1,0)+IF(AS10*1000000+SUM(U10,AM10)*10000+SUM(O10,AG10)*100+SUM(I10,AA10)+0.005&gt;AT10*1000000+SUM(V10,AN10)*10000+SUM(P10,AH10)*100+SUM(J10,AB10)+0.004,1,0)+IF(AU10*1000000+SUM(W10,AO10)*10000+SUM(Q10,AI10)*100+SUM(K10,AC10)+0.003&gt;AT10*1000000+SUM(V10,AN10)*10000+SUM(P10,AH10)*100+SUM(J10,AB10)+0.004,1,0)+IF(AV10*1000000+SUM(X10,AP10)*10000+SUM(R10,AJ10)*100+SUM(L10,AD10)+0.002&gt;AT10*1000000+SUM(V10,AN10)*10000+SUM(P10,AH10)*100+SUM(J10,AB10)+0.004,1,0)+IF(AW10*1000000+SUM(Y10,AQ10)*10000+SUM(S10,AK10)*100+SUM(M10,AE10)+0.001&gt;AT10*1000000+SUM(V10,AN10)*10000+SUM(P10,AH10)*100+SUM(J10,AB10)+0.004,1,0)=2,"A",IF(IF(AR10*1000000+SUM(T10,AL10)*10000+SUM(N10,AF10)*100+SUM(H10,Z10)+0.006&gt;AU10*1000000+SUM(W10,AO10)*10000+SUM(Q10,AI10)*100+SUM(K10,AC10)+0.003,1,0)+IF(AS10*1000000+SUM(U10,AM10)*10000+SUM(O10,AG10)*100+SUM(I10,AA10)+0.005&gt;AU10*1000000+SUM(W10,AO10)*10000+SUM(Q10,AI10)*100+SUM(K10,AC10)+0.003,1,0)+IF(AT10*1000000+SUM(V10,AN10)*10000+SUM(P10,AH10)*100+SUM(J10,AB10)+0.004&gt;AU10*1000000+SUM(W10,AO10)*10000+SUM(Q10,AI10)*100+SUM(K10,AC10)+0.003,1,0)+IF(AV10*1000000+SUM(X10,AP10)*10000+SUM(R10,AJ10)*100+SUM(L10,AD10)+0.002&gt;AU10*1000000+SUM(W10,AO10)*10000+SUM(Q10,AI10)*100+SUM(K10,AC10)+0.003,1,0)+IF(AW10*1000000+SUM(Y10,AQ10)*10000+SUM(S10,AK10)*100+SUM(M10,AE10)+0.001&gt;AU10*1000000+SUM(W10,AO10)*10000+SUM(Q10,AI10)*100+SUM(K10,AC10)+0.003,1,0)=2,"S",IF(IF(AR10*1000000+SUM(T10,AL10)*10000+SUM(N10,AF10)*100+SUM(H10,Z10)+0.006&gt;AV10*1000000+SUM(X10,AP10)*10000+SUM(R10,AJ10)*100+SUM(L10,AD10)+0.002,1,0)+IF(AS10*1000000+SUM(U10,AM10)*10000+SUM(O10,AG10)*100+SUM(I10,AA10)+0.005&gt;AV10*1000000+SUM(X10,AP10)*10000+SUM(R10,AJ10)*100+SUM(L10,AD10)+0.002,1,0)+IF(AT10*1000000+SUM(V10,AN10)*10000+SUM(P10,AH10)*100+SUM(J10,AB10)+0.004&gt;AV10*1000000+SUM(X10,AP10)*10000+SUM(R10,AJ10)*100+SUM(L10,AD10)+0.002,1,0)+IF(AU10*1000000+SUM(W10,AO10)*10000+SUM(Q10,AI10)*100+SUM(K10,AC10)+0.003&gt;AV10*1000000+SUM(X10,AP10)*10000+SUM(R10,AJ10)*100+SUM(L10,AD10)+0.002,1,0)+IF(AW10*1000000+SUM(Y10,AQ10)*10000+SUM(S10,AK10)*100+SUM(M10,AE10)+0.001&gt;AV10*1000000+SUM(X10,AP10)*10000+SUM(R10,AJ10)*100+SUM(L10,AD10)+0.002,1,0)=2,"E",IF(IF(AR10*1000000+SUM(T10,AL10)*10000+SUM(N10,AF10)*100+SUM(H10,Z10)+0.006&gt;AW10*1000000+SUM(Y10,AQ10)*10000+SUM(S10,AK10)*100+SUM(M10,AE10)+0.001,1,0)+IF(AS10*1000000+SUM(U10,AM10)*10000+SUM(O10,AG10)*100+SUM(I10,AA10)+0.005&gt;AW10*1000000+SUM(Y10,AQ10)*10000+SUM(S10,AK10)*100+SUM(M10,AE10)+0.001,1,0)+IF(AT10*1000000+SUM(V10,AN10)*10000+SUM(P10,AH10)*100+SUM(J10,AB10)+0.004&gt;AW10*1000000+SUM(Y10,AQ10)*10000+SUM(S10,AK10)*100+SUM(M10,AE10)+0.001,1,0)+IF(AU10*1000000+SUM(W10,AO10)*10000+SUM(Q10,AI10)*100+SUM(K10,AC10)+0.003&gt;AW10*1000000+SUM(Y10,AQ10)*10000+SUM(S10,AK10)*100+SUM(M10,AE10)+0.001,1,0)+IF(AV10*1000000+SUM(X10,AP10)*10000+SUM(R10,AJ10)*100+SUM(L10,AD10)+0.002&gt;AW10*1000000+SUM(Y10,AQ10)*10000+SUM(S10,AK10)*100+SUM(M10,AE10)+0.001,1,0)=2,"C","")))))))</x:f>
      </x:c>
      <x:c r="AY10" s="27" t="str">
        <x:f>IF(C10="","",IF(LEFT(AX10,1)="R","นักปฏิบัติ",IF(LEFT(AX10,1)="I","นักคิดวิเคราะห์",IF(LEFT(AX10,1)="A","นักสร้างสรรค์",IF(LEFT(AX10,1)="S","ผู้เข้าใจผู้คน",IF(LEFT(AX10,1)="E","ผู้นำการเปลี่ยนแปลง","ผู้จัดระบบ"))))))</x:f>
      </x:c>
    </x:row>
    <x:row r="11">
      <x:c r="A11" s="27"/>
      <x:c r="B11" s="28"/>
      <x:c r="C11" s="27"/>
      <x:c r="D11" s="27"/>
      <x:c r="E11" s="27"/>
      <x:c r="F11" s="27"/>
      <x:c r="G11" s="27"/>
      <x:c r="H11" s="27"/>
      <x:c r="I11" s="27"/>
      <x:c r="J11" s="27"/>
      <x:c r="K11" s="27"/>
      <x:c r="L11" s="27"/>
      <x:c r="M11" s="27"/>
      <x:c r="N11" s="27"/>
      <x:c r="O11" s="27"/>
      <x:c r="P11" s="27"/>
      <x:c r="Q11" s="27"/>
      <x:c r="R11" s="27"/>
      <x:c r="S11" s="27"/>
      <x:c r="T11" s="27"/>
      <x:c r="U11" s="27"/>
      <x:c r="V11" s="27"/>
      <x:c r="W11" s="27"/>
      <x:c r="X11" s="27"/>
      <x:c r="Y11" s="27"/>
      <x:c r="Z11" s="27"/>
      <x:c r="AA11" s="27"/>
      <x:c r="AB11" s="27"/>
      <x:c r="AC11" s="27"/>
      <x:c r="AD11" s="27"/>
      <x:c r="AE11" s="27"/>
      <x:c r="AF11" s="27"/>
      <x:c r="AG11" s="27"/>
      <x:c r="AH11" s="27"/>
      <x:c r="AI11" s="27"/>
      <x:c r="AJ11" s="27"/>
      <x:c r="AK11" s="27"/>
      <x:c r="AL11" s="27"/>
      <x:c r="AM11" s="27"/>
      <x:c r="AN11" s="27"/>
      <x:c r="AO11" s="27"/>
      <x:c r="AP11" s="27"/>
      <x:c r="AQ11" s="27"/>
      <x:c r="AR11" s="27" t="str">
        <x:f>IF(C11="","",SUM(H11,N11,T11,Z11,AF11,AL11))</x:f>
      </x:c>
      <x:c r="AS11" s="27" t="str">
        <x:f>IF(C11="","",SUM(I11,O11,U11,AA11,AG11,AM11))</x:f>
      </x:c>
      <x:c r="AT11" s="27" t="str">
        <x:f>IF(C11="","",SUM(J11,P11,V11,AB11,AH11,AN11))</x:f>
      </x:c>
      <x:c r="AU11" s="27" t="str">
        <x:f>IF(C11="","",SUM(K11,Q11,W11,AC11,AI11,AO11))</x:f>
      </x:c>
      <x:c r="AV11" s="27" t="str">
        <x:f>IF(C11="","",SUM(L11,R11,X11,AD11,AJ11,AP11))</x:f>
      </x:c>
      <x:c r="AW11" s="27" t="str">
        <x:f>IF(C11="","",SUM(M11,S11,Y11,AE11,AK11,AQ11))</x:f>
      </x:c>
      <x:c r="AX11" s="27" t="str">
        <x:f>IF(C11="","",IF(IF(AS11*1000000+SUM(U11,AM11)*10000+SUM(O11,AG11)*100+SUM(I11,AA11)+0.005&gt;AR11*1000000+SUM(T11,AL11)*10000+SUM(N11,AF11)*100+SUM(H11,Z11)+0.006,1,0)+IF(AT11*1000000+SUM(V11,AN11)*10000+SUM(P11,AH11)*100+SUM(J11,AB11)+0.004&gt;AR11*1000000+SUM(T11,AL11)*10000+SUM(N11,AF11)*100+SUM(H11,Z11)+0.006,1,0)+IF(AU11*1000000+SUM(W11,AO11)*10000+SUM(Q11,AI11)*100+SUM(K11,AC11)+0.003&gt;AR11*1000000+SUM(T11,AL11)*10000+SUM(N11,AF11)*100+SUM(H11,Z11)+0.006,1,0)+IF(AV11*1000000+SUM(X11,AP11)*10000+SUM(R11,AJ11)*100+SUM(L11,AD11)+0.002&gt;AR11*1000000+SUM(T11,AL11)*10000+SUM(N11,AF11)*100+SUM(H11,Z11)+0.006,1,0)+IF(AW11*1000000+SUM(Y11,AQ11)*10000+SUM(S11,AK11)*100+SUM(M11,AE11)+0.001&gt;AR11*1000000+SUM(T11,AL11)*10000+SUM(N11,AF11)*100+SUM(H11,Z11)+0.006,1,0)=0,"R",IF(IF(AR11*1000000+SUM(T11,AL11)*10000+SUM(N11,AF11)*100+SUM(H11,Z11)+0.006&gt;AS11*1000000+SUM(U11,AM11)*10000+SUM(O11,AG11)*100+SUM(I11,AA11)+0.005,1,0)+IF(AT11*1000000+SUM(V11,AN11)*10000+SUM(P11,AH11)*100+SUM(J11,AB11)+0.004&gt;AS11*1000000+SUM(U11,AM11)*10000+SUM(O11,AG11)*100+SUM(I11,AA11)+0.005,1,0)+IF(AU11*1000000+SUM(W11,AO11)*10000+SUM(Q11,AI11)*100+SUM(K11,AC11)+0.003&gt;AS11*1000000+SUM(U11,AM11)*10000+SUM(O11,AG11)*100+SUM(I11,AA11)+0.005,1,0)+IF(AV11*1000000+SUM(X11,AP11)*10000+SUM(R11,AJ11)*100+SUM(L11,AD11)+0.002&gt;AS11*1000000+SUM(U11,AM11)*10000+SUM(O11,AG11)*100+SUM(I11,AA11)+0.005,1,0)+IF(AW11*1000000+SUM(Y11,AQ11)*10000+SUM(S11,AK11)*100+SUM(M11,AE11)+0.001&gt;AS11*1000000+SUM(U11,AM11)*10000+SUM(O11,AG11)*100+SUM(I11,AA11)+0.005,1,0)=0,"I",IF(IF(AR11*1000000+SUM(T11,AL11)*10000+SUM(N11,AF11)*100+SUM(H11,Z11)+0.006&gt;AT11*1000000+SUM(V11,AN11)*10000+SUM(P11,AH11)*100+SUM(J11,AB11)+0.004,1,0)+IF(AS11*1000000+SUM(U11,AM11)*10000+SUM(O11,AG11)*100+SUM(I11,AA11)+0.005&gt;AT11*1000000+SUM(V11,AN11)*10000+SUM(P11,AH11)*100+SUM(J11,AB11)+0.004,1,0)+IF(AU11*1000000+SUM(W11,AO11)*10000+SUM(Q11,AI11)*100+SUM(K11,AC11)+0.003&gt;AT11*1000000+SUM(V11,AN11)*10000+SUM(P11,AH11)*100+SUM(J11,AB11)+0.004,1,0)+IF(AV11*1000000+SUM(X11,AP11)*10000+SUM(R11,AJ11)*100+SUM(L11,AD11)+0.002&gt;AT11*1000000+SUM(V11,AN11)*10000+SUM(P11,AH11)*100+SUM(J11,AB11)+0.004,1,0)+IF(AW11*1000000+SUM(Y11,AQ11)*10000+SUM(S11,AK11)*100+SUM(M11,AE11)+0.001&gt;AT11*1000000+SUM(V11,AN11)*10000+SUM(P11,AH11)*100+SUM(J11,AB11)+0.004,1,0)=0,"A",IF(IF(AR11*1000000+SUM(T11,AL11)*10000+SUM(N11,AF11)*100+SUM(H11,Z11)+0.006&gt;AU11*1000000+SUM(W11,AO11)*10000+SUM(Q11,AI11)*100+SUM(K11,AC11)+0.003,1,0)+IF(AS11*1000000+SUM(U11,AM11)*10000+SUM(O11,AG11)*100+SUM(I11,AA11)+0.005&gt;AU11*1000000+SUM(W11,AO11)*10000+SUM(Q11,AI11)*100+SUM(K11,AC11)+0.003,1,0)+IF(AT11*1000000+SUM(V11,AN11)*10000+SUM(P11,AH11)*100+SUM(J11,AB11)+0.004&gt;AU11*1000000+SUM(W11,AO11)*10000+SUM(Q11,AI11)*100+SUM(K11,AC11)+0.003,1,0)+IF(AV11*1000000+SUM(X11,AP11)*10000+SUM(R11,AJ11)*100+SUM(L11,AD11)+0.002&gt;AU11*1000000+SUM(W11,AO11)*10000+SUM(Q11,AI11)*100+SUM(K11,AC11)+0.003,1,0)+IF(AW11*1000000+SUM(Y11,AQ11)*10000+SUM(S11,AK11)*100+SUM(M11,AE11)+0.001&gt;AU11*1000000+SUM(W11,AO11)*10000+SUM(Q11,AI11)*100+SUM(K11,AC11)+0.003,1,0)=0,"S",IF(IF(AR11*1000000+SUM(T11,AL11)*10000+SUM(N11,AF11)*100+SUM(H11,Z11)+0.006&gt;AV11*1000000+SUM(X11,AP11)*10000+SUM(R11,AJ11)*100+SUM(L11,AD11)+0.002,1,0)+IF(AS11*1000000+SUM(U11,AM11)*10000+SUM(O11,AG11)*100+SUM(I11,AA11)+0.005&gt;AV11*1000000+SUM(X11,AP11)*10000+SUM(R11,AJ11)*100+SUM(L11,AD11)+0.002,1,0)+IF(AT11*1000000+SUM(V11,AN11)*10000+SUM(P11,AH11)*100+SUM(J11,AB11)+0.004&gt;AV11*1000000+SUM(X11,AP11)*10000+SUM(R11,AJ11)*100+SUM(L11,AD11)+0.002,1,0)+IF(AU11*1000000+SUM(W11,AO11)*10000+SUM(Q11,AI11)*100+SUM(K11,AC11)+0.003&gt;AV11*1000000+SUM(X11,AP11)*10000+SUM(R11,AJ11)*100+SUM(L11,AD11)+0.002,1,0)+IF(AW11*1000000+SUM(Y11,AQ11)*10000+SUM(S11,AK11)*100+SUM(M11,AE11)+0.001&gt;AV11*1000000+SUM(X11,AP11)*10000+SUM(R11,AJ11)*100+SUM(L11,AD11)+0.002,1,0)=0,"E",IF(IF(AR11*1000000+SUM(T11,AL11)*10000+SUM(N11,AF11)*100+SUM(H11,Z11)+0.006&gt;AW11*1000000+SUM(Y11,AQ11)*10000+SUM(S11,AK11)*100+SUM(M11,AE11)+0.001,1,0)+IF(AS11*1000000+SUM(U11,AM11)*10000+SUM(O11,AG11)*100+SUM(I11,AA11)+0.005&gt;AW11*1000000+SUM(Y11,AQ11)*10000+SUM(S11,AK11)*100+SUM(M11,AE11)+0.001,1,0)+IF(AT11*1000000+SUM(V11,AN11)*10000+SUM(P11,AH11)*100+SUM(J11,AB11)+0.004&gt;AW11*1000000+SUM(Y11,AQ11)*10000+SUM(S11,AK11)*100+SUM(M11,AE11)+0.001,1,0)+IF(AU11*1000000+SUM(W11,AO11)*10000+SUM(Q11,AI11)*100+SUM(K11,AC11)+0.003&gt;AW11*1000000+SUM(Y11,AQ11)*10000+SUM(S11,AK11)*100+SUM(M11,AE11)+0.001,1,0)+IF(AV11*1000000+SUM(X11,AP11)*10000+SUM(R11,AJ11)*100+SUM(L11,AD11)+0.002&gt;AW11*1000000+SUM(Y11,AQ11)*10000+SUM(S11,AK11)*100+SUM(M11,AE11)+0.001,1,0)=0,"C",""))))))&amp;IF(IF(AS11*1000000+SUM(U11,AM11)*10000+SUM(O11,AG11)*100+SUM(I11,AA11)+0.005&gt;AR11*1000000+SUM(T11,AL11)*10000+SUM(N11,AF11)*100+SUM(H11,Z11)+0.006,1,0)+IF(AT11*1000000+SUM(V11,AN11)*10000+SUM(P11,AH11)*100+SUM(J11,AB11)+0.004&gt;AR11*1000000+SUM(T11,AL11)*10000+SUM(N11,AF11)*100+SUM(H11,Z11)+0.006,1,0)+IF(AU11*1000000+SUM(W11,AO11)*10000+SUM(Q11,AI11)*100+SUM(K11,AC11)+0.003&gt;AR11*1000000+SUM(T11,AL11)*10000+SUM(N11,AF11)*100+SUM(H11,Z11)+0.006,1,0)+IF(AV11*1000000+SUM(X11,AP11)*10000+SUM(R11,AJ11)*100+SUM(L11,AD11)+0.002&gt;AR11*1000000+SUM(T11,AL11)*10000+SUM(N11,AF11)*100+SUM(H11,Z11)+0.006,1,0)+IF(AW11*1000000+SUM(Y11,AQ11)*10000+SUM(S11,AK11)*100+SUM(M11,AE11)+0.001&gt;AR11*1000000+SUM(T11,AL11)*10000+SUM(N11,AF11)*100+SUM(H11,Z11)+0.006,1,0)=1,"R",IF(IF(AR11*1000000+SUM(T11,AL11)*10000+SUM(N11,AF11)*100+SUM(H11,Z11)+0.006&gt;AS11*1000000+SUM(U11,AM11)*10000+SUM(O11,AG11)*100+SUM(I11,AA11)+0.005,1,0)+IF(AT11*1000000+SUM(V11,AN11)*10000+SUM(P11,AH11)*100+SUM(J11,AB11)+0.004&gt;AS11*1000000+SUM(U11,AM11)*10000+SUM(O11,AG11)*100+SUM(I11,AA11)+0.005,1,0)+IF(AU11*1000000+SUM(W11,AO11)*10000+SUM(Q11,AI11)*100+SUM(K11,AC11)+0.003&gt;AS11*1000000+SUM(U11,AM11)*10000+SUM(O11,AG11)*100+SUM(I11,AA11)+0.005,1,0)+IF(AV11*1000000+SUM(X11,AP11)*10000+SUM(R11,AJ11)*100+SUM(L11,AD11)+0.002&gt;AS11*1000000+SUM(U11,AM11)*10000+SUM(O11,AG11)*100+SUM(I11,AA11)+0.005,1,0)+IF(AW11*1000000+SUM(Y11,AQ11)*10000+SUM(S11,AK11)*100+SUM(M11,AE11)+0.001&gt;AS11*1000000+SUM(U11,AM11)*10000+SUM(O11,AG11)*100+SUM(I11,AA11)+0.005,1,0)=1,"I",IF(IF(AR11*1000000+SUM(T11,AL11)*10000+SUM(N11,AF11)*100+SUM(H11,Z11)+0.006&gt;AT11*1000000+SUM(V11,AN11)*10000+SUM(P11,AH11)*100+SUM(J11,AB11)+0.004,1,0)+IF(AS11*1000000+SUM(U11,AM11)*10000+SUM(O11,AG11)*100+SUM(I11,AA11)+0.005&gt;AT11*1000000+SUM(V11,AN11)*10000+SUM(P11,AH11)*100+SUM(J11,AB11)+0.004,1,0)+IF(AU11*1000000+SUM(W11,AO11)*10000+SUM(Q11,AI11)*100+SUM(K11,AC11)+0.003&gt;AT11*1000000+SUM(V11,AN11)*10000+SUM(P11,AH11)*100+SUM(J11,AB11)+0.004,1,0)+IF(AV11*1000000+SUM(X11,AP11)*10000+SUM(R11,AJ11)*100+SUM(L11,AD11)+0.002&gt;AT11*1000000+SUM(V11,AN11)*10000+SUM(P11,AH11)*100+SUM(J11,AB11)+0.004,1,0)+IF(AW11*1000000+SUM(Y11,AQ11)*10000+SUM(S11,AK11)*100+SUM(M11,AE11)+0.001&gt;AT11*1000000+SUM(V11,AN11)*10000+SUM(P11,AH11)*100+SUM(J11,AB11)+0.004,1,0)=1,"A",IF(IF(AR11*1000000+SUM(T11,AL11)*10000+SUM(N11,AF11)*100+SUM(H11,Z11)+0.006&gt;AU11*1000000+SUM(W11,AO11)*10000+SUM(Q11,AI11)*100+SUM(K11,AC11)+0.003,1,0)+IF(AS11*1000000+SUM(U11,AM11)*10000+SUM(O11,AG11)*100+SUM(I11,AA11)+0.005&gt;AU11*1000000+SUM(W11,AO11)*10000+SUM(Q11,AI11)*100+SUM(K11,AC11)+0.003,1,0)+IF(AT11*1000000+SUM(V11,AN11)*10000+SUM(P11,AH11)*100+SUM(J11,AB11)+0.004&gt;AU11*1000000+SUM(W11,AO11)*10000+SUM(Q11,AI11)*100+SUM(K11,AC11)+0.003,1,0)+IF(AV11*1000000+SUM(X11,AP11)*10000+SUM(R11,AJ11)*100+SUM(L11,AD11)+0.002&gt;AU11*1000000+SUM(W11,AO11)*10000+SUM(Q11,AI11)*100+SUM(K11,AC11)+0.003,1,0)+IF(AW11*1000000+SUM(Y11,AQ11)*10000+SUM(S11,AK11)*100+SUM(M11,AE11)+0.001&gt;AU11*1000000+SUM(W11,AO11)*10000+SUM(Q11,AI11)*100+SUM(K11,AC11)+0.003,1,0)=1,"S",IF(IF(AR11*1000000+SUM(T11,AL11)*10000+SUM(N11,AF11)*100+SUM(H11,Z11)+0.006&gt;AV11*1000000+SUM(X11,AP11)*10000+SUM(R11,AJ11)*100+SUM(L11,AD11)+0.002,1,0)+IF(AS11*1000000+SUM(U11,AM11)*10000+SUM(O11,AG11)*100+SUM(I11,AA11)+0.005&gt;AV11*1000000+SUM(X11,AP11)*10000+SUM(R11,AJ11)*100+SUM(L11,AD11)+0.002,1,0)+IF(AT11*1000000+SUM(V11,AN11)*10000+SUM(P11,AH11)*100+SUM(J11,AB11)+0.004&gt;AV11*1000000+SUM(X11,AP11)*10000+SUM(R11,AJ11)*100+SUM(L11,AD11)+0.002,1,0)+IF(AU11*1000000+SUM(W11,AO11)*10000+SUM(Q11,AI11)*100+SUM(K11,AC11)+0.003&gt;AV11*1000000+SUM(X11,AP11)*10000+SUM(R11,AJ11)*100+SUM(L11,AD11)+0.002,1,0)+IF(AW11*1000000+SUM(Y11,AQ11)*10000+SUM(S11,AK11)*100+SUM(M11,AE11)+0.001&gt;AV11*1000000+SUM(X11,AP11)*10000+SUM(R11,AJ11)*100+SUM(L11,AD11)+0.002,1,0)=1,"E",IF(IF(AR11*1000000+SUM(T11,AL11)*10000+SUM(N11,AF11)*100+SUM(H11,Z11)+0.006&gt;AW11*1000000+SUM(Y11,AQ11)*10000+SUM(S11,AK11)*100+SUM(M11,AE11)+0.001,1,0)+IF(AS11*1000000+SUM(U11,AM11)*10000+SUM(O11,AG11)*100+SUM(I11,AA11)+0.005&gt;AW11*1000000+SUM(Y11,AQ11)*10000+SUM(S11,AK11)*100+SUM(M11,AE11)+0.001,1,0)+IF(AT11*1000000+SUM(V11,AN11)*10000+SUM(P11,AH11)*100+SUM(J11,AB11)+0.004&gt;AW11*1000000+SUM(Y11,AQ11)*10000+SUM(S11,AK11)*100+SUM(M11,AE11)+0.001,1,0)+IF(AU11*1000000+SUM(W11,AO11)*10000+SUM(Q11,AI11)*100+SUM(K11,AC11)+0.003&gt;AW11*1000000+SUM(Y11,AQ11)*10000+SUM(S11,AK11)*100+SUM(M11,AE11)+0.001,1,0)+IF(AV11*1000000+SUM(X11,AP11)*10000+SUM(R11,AJ11)*100+SUM(L11,AD11)+0.002&gt;AW11*1000000+SUM(Y11,AQ11)*10000+SUM(S11,AK11)*100+SUM(M11,AE11)+0.001,1,0)=1,"C",""))))))&amp;IF(IF(AS11*1000000+SUM(U11,AM11)*10000+SUM(O11,AG11)*100+SUM(I11,AA11)+0.005&gt;AR11*1000000+SUM(T11,AL11)*10000+SUM(N11,AF11)*100+SUM(H11,Z11)+0.006,1,0)+IF(AT11*1000000+SUM(V11,AN11)*10000+SUM(P11,AH11)*100+SUM(J11,AB11)+0.004&gt;AR11*1000000+SUM(T11,AL11)*10000+SUM(N11,AF11)*100+SUM(H11,Z11)+0.006,1,0)+IF(AU11*1000000+SUM(W11,AO11)*10000+SUM(Q11,AI11)*100+SUM(K11,AC11)+0.003&gt;AR11*1000000+SUM(T11,AL11)*10000+SUM(N11,AF11)*100+SUM(H11,Z11)+0.006,1,0)+IF(AV11*1000000+SUM(X11,AP11)*10000+SUM(R11,AJ11)*100+SUM(L11,AD11)+0.002&gt;AR11*1000000+SUM(T11,AL11)*10000+SUM(N11,AF11)*100+SUM(H11,Z11)+0.006,1,0)+IF(AW11*1000000+SUM(Y11,AQ11)*10000+SUM(S11,AK11)*100+SUM(M11,AE11)+0.001&gt;AR11*1000000+SUM(T11,AL11)*10000+SUM(N11,AF11)*100+SUM(H11,Z11)+0.006,1,0)=2,"R",IF(IF(AR11*1000000+SUM(T11,AL11)*10000+SUM(N11,AF11)*100+SUM(H11,Z11)+0.006&gt;AS11*1000000+SUM(U11,AM11)*10000+SUM(O11,AG11)*100+SUM(I11,AA11)+0.005,1,0)+IF(AT11*1000000+SUM(V11,AN11)*10000+SUM(P11,AH11)*100+SUM(J11,AB11)+0.004&gt;AS11*1000000+SUM(U11,AM11)*10000+SUM(O11,AG11)*100+SUM(I11,AA11)+0.005,1,0)+IF(AU11*1000000+SUM(W11,AO11)*10000+SUM(Q11,AI11)*100+SUM(K11,AC11)+0.003&gt;AS11*1000000+SUM(U11,AM11)*10000+SUM(O11,AG11)*100+SUM(I11,AA11)+0.005,1,0)+IF(AV11*1000000+SUM(X11,AP11)*10000+SUM(R11,AJ11)*100+SUM(L11,AD11)+0.002&gt;AS11*1000000+SUM(U11,AM11)*10000+SUM(O11,AG11)*100+SUM(I11,AA11)+0.005,1,0)+IF(AW11*1000000+SUM(Y11,AQ11)*10000+SUM(S11,AK11)*100+SUM(M11,AE11)+0.001&gt;AS11*1000000+SUM(U11,AM11)*10000+SUM(O11,AG11)*100+SUM(I11,AA11)+0.005,1,0)=2,"I",IF(IF(AR11*1000000+SUM(T11,AL11)*10000+SUM(N11,AF11)*100+SUM(H11,Z11)+0.006&gt;AT11*1000000+SUM(V11,AN11)*10000+SUM(P11,AH11)*100+SUM(J11,AB11)+0.004,1,0)+IF(AS11*1000000+SUM(U11,AM11)*10000+SUM(O11,AG11)*100+SUM(I11,AA11)+0.005&gt;AT11*1000000+SUM(V11,AN11)*10000+SUM(P11,AH11)*100+SUM(J11,AB11)+0.004,1,0)+IF(AU11*1000000+SUM(W11,AO11)*10000+SUM(Q11,AI11)*100+SUM(K11,AC11)+0.003&gt;AT11*1000000+SUM(V11,AN11)*10000+SUM(P11,AH11)*100+SUM(J11,AB11)+0.004,1,0)+IF(AV11*1000000+SUM(X11,AP11)*10000+SUM(R11,AJ11)*100+SUM(L11,AD11)+0.002&gt;AT11*1000000+SUM(V11,AN11)*10000+SUM(P11,AH11)*100+SUM(J11,AB11)+0.004,1,0)+IF(AW11*1000000+SUM(Y11,AQ11)*10000+SUM(S11,AK11)*100+SUM(M11,AE11)+0.001&gt;AT11*1000000+SUM(V11,AN11)*10000+SUM(P11,AH11)*100+SUM(J11,AB11)+0.004,1,0)=2,"A",IF(IF(AR11*1000000+SUM(T11,AL11)*10000+SUM(N11,AF11)*100+SUM(H11,Z11)+0.006&gt;AU11*1000000+SUM(W11,AO11)*10000+SUM(Q11,AI11)*100+SUM(K11,AC11)+0.003,1,0)+IF(AS11*1000000+SUM(U11,AM11)*10000+SUM(O11,AG11)*100+SUM(I11,AA11)+0.005&gt;AU11*1000000+SUM(W11,AO11)*10000+SUM(Q11,AI11)*100+SUM(K11,AC11)+0.003,1,0)+IF(AT11*1000000+SUM(V11,AN11)*10000+SUM(P11,AH11)*100+SUM(J11,AB11)+0.004&gt;AU11*1000000+SUM(W11,AO11)*10000+SUM(Q11,AI11)*100+SUM(K11,AC11)+0.003,1,0)+IF(AV11*1000000+SUM(X11,AP11)*10000+SUM(R11,AJ11)*100+SUM(L11,AD11)+0.002&gt;AU11*1000000+SUM(W11,AO11)*10000+SUM(Q11,AI11)*100+SUM(K11,AC11)+0.003,1,0)+IF(AW11*1000000+SUM(Y11,AQ11)*10000+SUM(S11,AK11)*100+SUM(M11,AE11)+0.001&gt;AU11*1000000+SUM(W11,AO11)*10000+SUM(Q11,AI11)*100+SUM(K11,AC11)+0.003,1,0)=2,"S",IF(IF(AR11*1000000+SUM(T11,AL11)*10000+SUM(N11,AF11)*100+SUM(H11,Z11)+0.006&gt;AV11*1000000+SUM(X11,AP11)*10000+SUM(R11,AJ11)*100+SUM(L11,AD11)+0.002,1,0)+IF(AS11*1000000+SUM(U11,AM11)*10000+SUM(O11,AG11)*100+SUM(I11,AA11)+0.005&gt;AV11*1000000+SUM(X11,AP11)*10000+SUM(R11,AJ11)*100+SUM(L11,AD11)+0.002,1,0)+IF(AT11*1000000+SUM(V11,AN11)*10000+SUM(P11,AH11)*100+SUM(J11,AB11)+0.004&gt;AV11*1000000+SUM(X11,AP11)*10000+SUM(R11,AJ11)*100+SUM(L11,AD11)+0.002,1,0)+IF(AU11*1000000+SUM(W11,AO11)*10000+SUM(Q11,AI11)*100+SUM(K11,AC11)+0.003&gt;AV11*1000000+SUM(X11,AP11)*10000+SUM(R11,AJ11)*100+SUM(L11,AD11)+0.002,1,0)+IF(AW11*1000000+SUM(Y11,AQ11)*10000+SUM(S11,AK11)*100+SUM(M11,AE11)+0.001&gt;AV11*1000000+SUM(X11,AP11)*10000+SUM(R11,AJ11)*100+SUM(L11,AD11)+0.002,1,0)=2,"E",IF(IF(AR11*1000000+SUM(T11,AL11)*10000+SUM(N11,AF11)*100+SUM(H11,Z11)+0.006&gt;AW11*1000000+SUM(Y11,AQ11)*10000+SUM(S11,AK11)*100+SUM(M11,AE11)+0.001,1,0)+IF(AS11*1000000+SUM(U11,AM11)*10000+SUM(O11,AG11)*100+SUM(I11,AA11)+0.005&gt;AW11*1000000+SUM(Y11,AQ11)*10000+SUM(S11,AK11)*100+SUM(M11,AE11)+0.001,1,0)+IF(AT11*1000000+SUM(V11,AN11)*10000+SUM(P11,AH11)*100+SUM(J11,AB11)+0.004&gt;AW11*1000000+SUM(Y11,AQ11)*10000+SUM(S11,AK11)*100+SUM(M11,AE11)+0.001,1,0)+IF(AU11*1000000+SUM(W11,AO11)*10000+SUM(Q11,AI11)*100+SUM(K11,AC11)+0.003&gt;AW11*1000000+SUM(Y11,AQ11)*10000+SUM(S11,AK11)*100+SUM(M11,AE11)+0.001,1,0)+IF(AV11*1000000+SUM(X11,AP11)*10000+SUM(R11,AJ11)*100+SUM(L11,AD11)+0.002&gt;AW11*1000000+SUM(Y11,AQ11)*10000+SUM(S11,AK11)*100+SUM(M11,AE11)+0.001,1,0)=2,"C","")))))))</x:f>
      </x:c>
      <x:c r="AY11" s="27" t="str">
        <x:f>IF(C11="","",IF(LEFT(AX11,1)="R","นักปฏิบัติ",IF(LEFT(AX11,1)="I","นักคิดวิเคราะห์",IF(LEFT(AX11,1)="A","นักสร้างสรรค์",IF(LEFT(AX11,1)="S","ผู้เข้าใจผู้คน",IF(LEFT(AX11,1)="E","ผู้นำการเปลี่ยนแปลง","ผู้จัดระบบ"))))))</x:f>
      </x:c>
    </x:row>
    <x:row r="12">
      <x:c r="A12" s="27"/>
      <x:c r="B12" s="28"/>
      <x:c r="C12" s="27"/>
      <x:c r="D12" s="27"/>
      <x:c r="E12" s="27"/>
      <x:c r="F12" s="27"/>
      <x:c r="G12" s="27"/>
      <x:c r="H12" s="27"/>
      <x:c r="I12" s="27"/>
      <x:c r="J12" s="27"/>
      <x:c r="K12" s="27"/>
      <x:c r="L12" s="27"/>
      <x:c r="M12" s="27"/>
      <x:c r="N12" s="27"/>
      <x:c r="O12" s="27"/>
      <x:c r="P12" s="27"/>
      <x:c r="Q12" s="27"/>
      <x:c r="R12" s="27"/>
      <x:c r="S12" s="27"/>
      <x:c r="T12" s="27"/>
      <x:c r="U12" s="27"/>
      <x:c r="V12" s="27"/>
      <x:c r="W12" s="27"/>
      <x:c r="X12" s="27"/>
      <x:c r="Y12" s="27"/>
      <x:c r="Z12" s="27"/>
      <x:c r="AA12" s="27"/>
      <x:c r="AB12" s="27"/>
      <x:c r="AC12" s="27"/>
      <x:c r="AD12" s="27"/>
      <x:c r="AE12" s="27"/>
      <x:c r="AF12" s="27"/>
      <x:c r="AG12" s="27"/>
      <x:c r="AH12" s="27"/>
      <x:c r="AI12" s="27"/>
      <x:c r="AJ12" s="27"/>
      <x:c r="AK12" s="27"/>
      <x:c r="AL12" s="27"/>
      <x:c r="AM12" s="27"/>
      <x:c r="AN12" s="27"/>
      <x:c r="AO12" s="27"/>
      <x:c r="AP12" s="27"/>
      <x:c r="AQ12" s="27"/>
      <x:c r="AR12" s="27" t="str">
        <x:f>IF(C12="","",SUM(H12,N12,T12,Z12,AF12,AL12))</x:f>
      </x:c>
      <x:c r="AS12" s="27" t="str">
        <x:f>IF(C12="","",SUM(I12,O12,U12,AA12,AG12,AM12))</x:f>
      </x:c>
      <x:c r="AT12" s="27" t="str">
        <x:f>IF(C12="","",SUM(J12,P12,V12,AB12,AH12,AN12))</x:f>
      </x:c>
      <x:c r="AU12" s="27" t="str">
        <x:f>IF(C12="","",SUM(K12,Q12,W12,AC12,AI12,AO12))</x:f>
      </x:c>
      <x:c r="AV12" s="27" t="str">
        <x:f>IF(C12="","",SUM(L12,R12,X12,AD12,AJ12,AP12))</x:f>
      </x:c>
      <x:c r="AW12" s="27" t="str">
        <x:f>IF(C12="","",SUM(M12,S12,Y12,AE12,AK12,AQ12))</x:f>
      </x:c>
      <x:c r="AX12" s="27" t="str">
        <x:f>IF(C12="","",IF(IF(AS12*1000000+SUM(U12,AM12)*10000+SUM(O12,AG12)*100+SUM(I12,AA12)+0.005&gt;AR12*1000000+SUM(T12,AL12)*10000+SUM(N12,AF12)*100+SUM(H12,Z12)+0.006,1,0)+IF(AT12*1000000+SUM(V12,AN12)*10000+SUM(P12,AH12)*100+SUM(J12,AB12)+0.004&gt;AR12*1000000+SUM(T12,AL12)*10000+SUM(N12,AF12)*100+SUM(H12,Z12)+0.006,1,0)+IF(AU12*1000000+SUM(W12,AO12)*10000+SUM(Q12,AI12)*100+SUM(K12,AC12)+0.003&gt;AR12*1000000+SUM(T12,AL12)*10000+SUM(N12,AF12)*100+SUM(H12,Z12)+0.006,1,0)+IF(AV12*1000000+SUM(X12,AP12)*10000+SUM(R12,AJ12)*100+SUM(L12,AD12)+0.002&gt;AR12*1000000+SUM(T12,AL12)*10000+SUM(N12,AF12)*100+SUM(H12,Z12)+0.006,1,0)+IF(AW12*1000000+SUM(Y12,AQ12)*10000+SUM(S12,AK12)*100+SUM(M12,AE12)+0.001&gt;AR12*1000000+SUM(T12,AL12)*10000+SUM(N12,AF12)*100+SUM(H12,Z12)+0.006,1,0)=0,"R",IF(IF(AR12*1000000+SUM(T12,AL12)*10000+SUM(N12,AF12)*100+SUM(H12,Z12)+0.006&gt;AS12*1000000+SUM(U12,AM12)*10000+SUM(O12,AG12)*100+SUM(I12,AA12)+0.005,1,0)+IF(AT12*1000000+SUM(V12,AN12)*10000+SUM(P12,AH12)*100+SUM(J12,AB12)+0.004&gt;AS12*1000000+SUM(U12,AM12)*10000+SUM(O12,AG12)*100+SUM(I12,AA12)+0.005,1,0)+IF(AU12*1000000+SUM(W12,AO12)*10000+SUM(Q12,AI12)*100+SUM(K12,AC12)+0.003&gt;AS12*1000000+SUM(U12,AM12)*10000+SUM(O12,AG12)*100+SUM(I12,AA12)+0.005,1,0)+IF(AV12*1000000+SUM(X12,AP12)*10000+SUM(R12,AJ12)*100+SUM(L12,AD12)+0.002&gt;AS12*1000000+SUM(U12,AM12)*10000+SUM(O12,AG12)*100+SUM(I12,AA12)+0.005,1,0)+IF(AW12*1000000+SUM(Y12,AQ12)*10000+SUM(S12,AK12)*100+SUM(M12,AE12)+0.001&gt;AS12*1000000+SUM(U12,AM12)*10000+SUM(O12,AG12)*100+SUM(I12,AA12)+0.005,1,0)=0,"I",IF(IF(AR12*1000000+SUM(T12,AL12)*10000+SUM(N12,AF12)*100+SUM(H12,Z12)+0.006&gt;AT12*1000000+SUM(V12,AN12)*10000+SUM(P12,AH12)*100+SUM(J12,AB12)+0.004,1,0)+IF(AS12*1000000+SUM(U12,AM12)*10000+SUM(O12,AG12)*100+SUM(I12,AA12)+0.005&gt;AT12*1000000+SUM(V12,AN12)*10000+SUM(P12,AH12)*100+SUM(J12,AB12)+0.004,1,0)+IF(AU12*1000000+SUM(W12,AO12)*10000+SUM(Q12,AI12)*100+SUM(K12,AC12)+0.003&gt;AT12*1000000+SUM(V12,AN12)*10000+SUM(P12,AH12)*100+SUM(J12,AB12)+0.004,1,0)+IF(AV12*1000000+SUM(X12,AP12)*10000+SUM(R12,AJ12)*100+SUM(L12,AD12)+0.002&gt;AT12*1000000+SUM(V12,AN12)*10000+SUM(P12,AH12)*100+SUM(J12,AB12)+0.004,1,0)+IF(AW12*1000000+SUM(Y12,AQ12)*10000+SUM(S12,AK12)*100+SUM(M12,AE12)+0.001&gt;AT12*1000000+SUM(V12,AN12)*10000+SUM(P12,AH12)*100+SUM(J12,AB12)+0.004,1,0)=0,"A",IF(IF(AR12*1000000+SUM(T12,AL12)*10000+SUM(N12,AF12)*100+SUM(H12,Z12)+0.006&gt;AU12*1000000+SUM(W12,AO12)*10000+SUM(Q12,AI12)*100+SUM(K12,AC12)+0.003,1,0)+IF(AS12*1000000+SUM(U12,AM12)*10000+SUM(O12,AG12)*100+SUM(I12,AA12)+0.005&gt;AU12*1000000+SUM(W12,AO12)*10000+SUM(Q12,AI12)*100+SUM(K12,AC12)+0.003,1,0)+IF(AT12*1000000+SUM(V12,AN12)*10000+SUM(P12,AH12)*100+SUM(J12,AB12)+0.004&gt;AU12*1000000+SUM(W12,AO12)*10000+SUM(Q12,AI12)*100+SUM(K12,AC12)+0.003,1,0)+IF(AV12*1000000+SUM(X12,AP12)*10000+SUM(R12,AJ12)*100+SUM(L12,AD12)+0.002&gt;AU12*1000000+SUM(W12,AO12)*10000+SUM(Q12,AI12)*100+SUM(K12,AC12)+0.003,1,0)+IF(AW12*1000000+SUM(Y12,AQ12)*10000+SUM(S12,AK12)*100+SUM(M12,AE12)+0.001&gt;AU12*1000000+SUM(W12,AO12)*10000+SUM(Q12,AI12)*100+SUM(K12,AC12)+0.003,1,0)=0,"S",IF(IF(AR12*1000000+SUM(T12,AL12)*10000+SUM(N12,AF12)*100+SUM(H12,Z12)+0.006&gt;AV12*1000000+SUM(X12,AP12)*10000+SUM(R12,AJ12)*100+SUM(L12,AD12)+0.002,1,0)+IF(AS12*1000000+SUM(U12,AM12)*10000+SUM(O12,AG12)*100+SUM(I12,AA12)+0.005&gt;AV12*1000000+SUM(X12,AP12)*10000+SUM(R12,AJ12)*100+SUM(L12,AD12)+0.002,1,0)+IF(AT12*1000000+SUM(V12,AN12)*10000+SUM(P12,AH12)*100+SUM(J12,AB12)+0.004&gt;AV12*1000000+SUM(X12,AP12)*10000+SUM(R12,AJ12)*100+SUM(L12,AD12)+0.002,1,0)+IF(AU12*1000000+SUM(W12,AO12)*10000+SUM(Q12,AI12)*100+SUM(K12,AC12)+0.003&gt;AV12*1000000+SUM(X12,AP12)*10000+SUM(R12,AJ12)*100+SUM(L12,AD12)+0.002,1,0)+IF(AW12*1000000+SUM(Y12,AQ12)*10000+SUM(S12,AK12)*100+SUM(M12,AE12)+0.001&gt;AV12*1000000+SUM(X12,AP12)*10000+SUM(R12,AJ12)*100+SUM(L12,AD12)+0.002,1,0)=0,"E",IF(IF(AR12*1000000+SUM(T12,AL12)*10000+SUM(N12,AF12)*100+SUM(H12,Z12)+0.006&gt;AW12*1000000+SUM(Y12,AQ12)*10000+SUM(S12,AK12)*100+SUM(M12,AE12)+0.001,1,0)+IF(AS12*1000000+SUM(U12,AM12)*10000+SUM(O12,AG12)*100+SUM(I12,AA12)+0.005&gt;AW12*1000000+SUM(Y12,AQ12)*10000+SUM(S12,AK12)*100+SUM(M12,AE12)+0.001,1,0)+IF(AT12*1000000+SUM(V12,AN12)*10000+SUM(P12,AH12)*100+SUM(J12,AB12)+0.004&gt;AW12*1000000+SUM(Y12,AQ12)*10000+SUM(S12,AK12)*100+SUM(M12,AE12)+0.001,1,0)+IF(AU12*1000000+SUM(W12,AO12)*10000+SUM(Q12,AI12)*100+SUM(K12,AC12)+0.003&gt;AW12*1000000+SUM(Y12,AQ12)*10000+SUM(S12,AK12)*100+SUM(M12,AE12)+0.001,1,0)+IF(AV12*1000000+SUM(X12,AP12)*10000+SUM(R12,AJ12)*100+SUM(L12,AD12)+0.002&gt;AW12*1000000+SUM(Y12,AQ12)*10000+SUM(S12,AK12)*100+SUM(M12,AE12)+0.001,1,0)=0,"C",""))))))&amp;IF(IF(AS12*1000000+SUM(U12,AM12)*10000+SUM(O12,AG12)*100+SUM(I12,AA12)+0.005&gt;AR12*1000000+SUM(T12,AL12)*10000+SUM(N12,AF12)*100+SUM(H12,Z12)+0.006,1,0)+IF(AT12*1000000+SUM(V12,AN12)*10000+SUM(P12,AH12)*100+SUM(J12,AB12)+0.004&gt;AR12*1000000+SUM(T12,AL12)*10000+SUM(N12,AF12)*100+SUM(H12,Z12)+0.006,1,0)+IF(AU12*1000000+SUM(W12,AO12)*10000+SUM(Q12,AI12)*100+SUM(K12,AC12)+0.003&gt;AR12*1000000+SUM(T12,AL12)*10000+SUM(N12,AF12)*100+SUM(H12,Z12)+0.006,1,0)+IF(AV12*1000000+SUM(X12,AP12)*10000+SUM(R12,AJ12)*100+SUM(L12,AD12)+0.002&gt;AR12*1000000+SUM(T12,AL12)*10000+SUM(N12,AF12)*100+SUM(H12,Z12)+0.006,1,0)+IF(AW12*1000000+SUM(Y12,AQ12)*10000+SUM(S12,AK12)*100+SUM(M12,AE12)+0.001&gt;AR12*1000000+SUM(T12,AL12)*10000+SUM(N12,AF12)*100+SUM(H12,Z12)+0.006,1,0)=1,"R",IF(IF(AR12*1000000+SUM(T12,AL12)*10000+SUM(N12,AF12)*100+SUM(H12,Z12)+0.006&gt;AS12*1000000+SUM(U12,AM12)*10000+SUM(O12,AG12)*100+SUM(I12,AA12)+0.005,1,0)+IF(AT12*1000000+SUM(V12,AN12)*10000+SUM(P12,AH12)*100+SUM(J12,AB12)+0.004&gt;AS12*1000000+SUM(U12,AM12)*10000+SUM(O12,AG12)*100+SUM(I12,AA12)+0.005,1,0)+IF(AU12*1000000+SUM(W12,AO12)*10000+SUM(Q12,AI12)*100+SUM(K12,AC12)+0.003&gt;AS12*1000000+SUM(U12,AM12)*10000+SUM(O12,AG12)*100+SUM(I12,AA12)+0.005,1,0)+IF(AV12*1000000+SUM(X12,AP12)*10000+SUM(R12,AJ12)*100+SUM(L12,AD12)+0.002&gt;AS12*1000000+SUM(U12,AM12)*10000+SUM(O12,AG12)*100+SUM(I12,AA12)+0.005,1,0)+IF(AW12*1000000+SUM(Y12,AQ12)*10000+SUM(S12,AK12)*100+SUM(M12,AE12)+0.001&gt;AS12*1000000+SUM(U12,AM12)*10000+SUM(O12,AG12)*100+SUM(I12,AA12)+0.005,1,0)=1,"I",IF(IF(AR12*1000000+SUM(T12,AL12)*10000+SUM(N12,AF12)*100+SUM(H12,Z12)+0.006&gt;AT12*1000000+SUM(V12,AN12)*10000+SUM(P12,AH12)*100+SUM(J12,AB12)+0.004,1,0)+IF(AS12*1000000+SUM(U12,AM12)*10000+SUM(O12,AG12)*100+SUM(I12,AA12)+0.005&gt;AT12*1000000+SUM(V12,AN12)*10000+SUM(P12,AH12)*100+SUM(J12,AB12)+0.004,1,0)+IF(AU12*1000000+SUM(W12,AO12)*10000+SUM(Q12,AI12)*100+SUM(K12,AC12)+0.003&gt;AT12*1000000+SUM(V12,AN12)*10000+SUM(P12,AH12)*100+SUM(J12,AB12)+0.004,1,0)+IF(AV12*1000000+SUM(X12,AP12)*10000+SUM(R12,AJ12)*100+SUM(L12,AD12)+0.002&gt;AT12*1000000+SUM(V12,AN12)*10000+SUM(P12,AH12)*100+SUM(J12,AB12)+0.004,1,0)+IF(AW12*1000000+SUM(Y12,AQ12)*10000+SUM(S12,AK12)*100+SUM(M12,AE12)+0.001&gt;AT12*1000000+SUM(V12,AN12)*10000+SUM(P12,AH12)*100+SUM(J12,AB12)+0.004,1,0)=1,"A",IF(IF(AR12*1000000+SUM(T12,AL12)*10000+SUM(N12,AF12)*100+SUM(H12,Z12)+0.006&gt;AU12*1000000+SUM(W12,AO12)*10000+SUM(Q12,AI12)*100+SUM(K12,AC12)+0.003,1,0)+IF(AS12*1000000+SUM(U12,AM12)*10000+SUM(O12,AG12)*100+SUM(I12,AA12)+0.005&gt;AU12*1000000+SUM(W12,AO12)*10000+SUM(Q12,AI12)*100+SUM(K12,AC12)+0.003,1,0)+IF(AT12*1000000+SUM(V12,AN12)*10000+SUM(P12,AH12)*100+SUM(J12,AB12)+0.004&gt;AU12*1000000+SUM(W12,AO12)*10000+SUM(Q12,AI12)*100+SUM(K12,AC12)+0.003,1,0)+IF(AV12*1000000+SUM(X12,AP12)*10000+SUM(R12,AJ12)*100+SUM(L12,AD12)+0.002&gt;AU12*1000000+SUM(W12,AO12)*10000+SUM(Q12,AI12)*100+SUM(K12,AC12)+0.003,1,0)+IF(AW12*1000000+SUM(Y12,AQ12)*10000+SUM(S12,AK12)*100+SUM(M12,AE12)+0.001&gt;AU12*1000000+SUM(W12,AO12)*10000+SUM(Q12,AI12)*100+SUM(K12,AC12)+0.003,1,0)=1,"S",IF(IF(AR12*1000000+SUM(T12,AL12)*10000+SUM(N12,AF12)*100+SUM(H12,Z12)+0.006&gt;AV12*1000000+SUM(X12,AP12)*10000+SUM(R12,AJ12)*100+SUM(L12,AD12)+0.002,1,0)+IF(AS12*1000000+SUM(U12,AM12)*10000+SUM(O12,AG12)*100+SUM(I12,AA12)+0.005&gt;AV12*1000000+SUM(X12,AP12)*10000+SUM(R12,AJ12)*100+SUM(L12,AD12)+0.002,1,0)+IF(AT12*1000000+SUM(V12,AN12)*10000+SUM(P12,AH12)*100+SUM(J12,AB12)+0.004&gt;AV12*1000000+SUM(X12,AP12)*10000+SUM(R12,AJ12)*100+SUM(L12,AD12)+0.002,1,0)+IF(AU12*1000000+SUM(W12,AO12)*10000+SUM(Q12,AI12)*100+SUM(K12,AC12)+0.003&gt;AV12*1000000+SUM(X12,AP12)*10000+SUM(R12,AJ12)*100+SUM(L12,AD12)+0.002,1,0)+IF(AW12*1000000+SUM(Y12,AQ12)*10000+SUM(S12,AK12)*100+SUM(M12,AE12)+0.001&gt;AV12*1000000+SUM(X12,AP12)*10000+SUM(R12,AJ12)*100+SUM(L12,AD12)+0.002,1,0)=1,"E",IF(IF(AR12*1000000+SUM(T12,AL12)*10000+SUM(N12,AF12)*100+SUM(H12,Z12)+0.006&gt;AW12*1000000+SUM(Y12,AQ12)*10000+SUM(S12,AK12)*100+SUM(M12,AE12)+0.001,1,0)+IF(AS12*1000000+SUM(U12,AM12)*10000+SUM(O12,AG12)*100+SUM(I12,AA12)+0.005&gt;AW12*1000000+SUM(Y12,AQ12)*10000+SUM(S12,AK12)*100+SUM(M12,AE12)+0.001,1,0)+IF(AT12*1000000+SUM(V12,AN12)*10000+SUM(P12,AH12)*100+SUM(J12,AB12)+0.004&gt;AW12*1000000+SUM(Y12,AQ12)*10000+SUM(S12,AK12)*100+SUM(M12,AE12)+0.001,1,0)+IF(AU12*1000000+SUM(W12,AO12)*10000+SUM(Q12,AI12)*100+SUM(K12,AC12)+0.003&gt;AW12*1000000+SUM(Y12,AQ12)*10000+SUM(S12,AK12)*100+SUM(M12,AE12)+0.001,1,0)+IF(AV12*1000000+SUM(X12,AP12)*10000+SUM(R12,AJ12)*100+SUM(L12,AD12)+0.002&gt;AW12*1000000+SUM(Y12,AQ12)*10000+SUM(S12,AK12)*100+SUM(M12,AE12)+0.001,1,0)=1,"C",""))))))&amp;IF(IF(AS12*1000000+SUM(U12,AM12)*10000+SUM(O12,AG12)*100+SUM(I12,AA12)+0.005&gt;AR12*1000000+SUM(T12,AL12)*10000+SUM(N12,AF12)*100+SUM(H12,Z12)+0.006,1,0)+IF(AT12*1000000+SUM(V12,AN12)*10000+SUM(P12,AH12)*100+SUM(J12,AB12)+0.004&gt;AR12*1000000+SUM(T12,AL12)*10000+SUM(N12,AF12)*100+SUM(H12,Z12)+0.006,1,0)+IF(AU12*1000000+SUM(W12,AO12)*10000+SUM(Q12,AI12)*100+SUM(K12,AC12)+0.003&gt;AR12*1000000+SUM(T12,AL12)*10000+SUM(N12,AF12)*100+SUM(H12,Z12)+0.006,1,0)+IF(AV12*1000000+SUM(X12,AP12)*10000+SUM(R12,AJ12)*100+SUM(L12,AD12)+0.002&gt;AR12*1000000+SUM(T12,AL12)*10000+SUM(N12,AF12)*100+SUM(H12,Z12)+0.006,1,0)+IF(AW12*1000000+SUM(Y12,AQ12)*10000+SUM(S12,AK12)*100+SUM(M12,AE12)+0.001&gt;AR12*1000000+SUM(T12,AL12)*10000+SUM(N12,AF12)*100+SUM(H12,Z12)+0.006,1,0)=2,"R",IF(IF(AR12*1000000+SUM(T12,AL12)*10000+SUM(N12,AF12)*100+SUM(H12,Z12)+0.006&gt;AS12*1000000+SUM(U12,AM12)*10000+SUM(O12,AG12)*100+SUM(I12,AA12)+0.005,1,0)+IF(AT12*1000000+SUM(V12,AN12)*10000+SUM(P12,AH12)*100+SUM(J12,AB12)+0.004&gt;AS12*1000000+SUM(U12,AM12)*10000+SUM(O12,AG12)*100+SUM(I12,AA12)+0.005,1,0)+IF(AU12*1000000+SUM(W12,AO12)*10000+SUM(Q12,AI12)*100+SUM(K12,AC12)+0.003&gt;AS12*1000000+SUM(U12,AM12)*10000+SUM(O12,AG12)*100+SUM(I12,AA12)+0.005,1,0)+IF(AV12*1000000+SUM(X12,AP12)*10000+SUM(R12,AJ12)*100+SUM(L12,AD12)+0.002&gt;AS12*1000000+SUM(U12,AM12)*10000+SUM(O12,AG12)*100+SUM(I12,AA12)+0.005,1,0)+IF(AW12*1000000+SUM(Y12,AQ12)*10000+SUM(S12,AK12)*100+SUM(M12,AE12)+0.001&gt;AS12*1000000+SUM(U12,AM12)*10000+SUM(O12,AG12)*100+SUM(I12,AA12)+0.005,1,0)=2,"I",IF(IF(AR12*1000000+SUM(T12,AL12)*10000+SUM(N12,AF12)*100+SUM(H12,Z12)+0.006&gt;AT12*1000000+SUM(V12,AN12)*10000+SUM(P12,AH12)*100+SUM(J12,AB12)+0.004,1,0)+IF(AS12*1000000+SUM(U12,AM12)*10000+SUM(O12,AG12)*100+SUM(I12,AA12)+0.005&gt;AT12*1000000+SUM(V12,AN12)*10000+SUM(P12,AH12)*100+SUM(J12,AB12)+0.004,1,0)+IF(AU12*1000000+SUM(W12,AO12)*10000+SUM(Q12,AI12)*100+SUM(K12,AC12)+0.003&gt;AT12*1000000+SUM(V12,AN12)*10000+SUM(P12,AH12)*100+SUM(J12,AB12)+0.004,1,0)+IF(AV12*1000000+SUM(X12,AP12)*10000+SUM(R12,AJ12)*100+SUM(L12,AD12)+0.002&gt;AT12*1000000+SUM(V12,AN12)*10000+SUM(P12,AH12)*100+SUM(J12,AB12)+0.004,1,0)+IF(AW12*1000000+SUM(Y12,AQ12)*10000+SUM(S12,AK12)*100+SUM(M12,AE12)+0.001&gt;AT12*1000000+SUM(V12,AN12)*10000+SUM(P12,AH12)*100+SUM(J12,AB12)+0.004,1,0)=2,"A",IF(IF(AR12*1000000+SUM(T12,AL12)*10000+SUM(N12,AF12)*100+SUM(H12,Z12)+0.006&gt;AU12*1000000+SUM(W12,AO12)*10000+SUM(Q12,AI12)*100+SUM(K12,AC12)+0.003,1,0)+IF(AS12*1000000+SUM(U12,AM12)*10000+SUM(O12,AG12)*100+SUM(I12,AA12)+0.005&gt;AU12*1000000+SUM(W12,AO12)*10000+SUM(Q12,AI12)*100+SUM(K12,AC12)+0.003,1,0)+IF(AT12*1000000+SUM(V12,AN12)*10000+SUM(P12,AH12)*100+SUM(J12,AB12)+0.004&gt;AU12*1000000+SUM(W12,AO12)*10000+SUM(Q12,AI12)*100+SUM(K12,AC12)+0.003,1,0)+IF(AV12*1000000+SUM(X12,AP12)*10000+SUM(R12,AJ12)*100+SUM(L12,AD12)+0.002&gt;AU12*1000000+SUM(W12,AO12)*10000+SUM(Q12,AI12)*100+SUM(K12,AC12)+0.003,1,0)+IF(AW12*1000000+SUM(Y12,AQ12)*10000+SUM(S12,AK12)*100+SUM(M12,AE12)+0.001&gt;AU12*1000000+SUM(W12,AO12)*10000+SUM(Q12,AI12)*100+SUM(K12,AC12)+0.003,1,0)=2,"S",IF(IF(AR12*1000000+SUM(T12,AL12)*10000+SUM(N12,AF12)*100+SUM(H12,Z12)+0.006&gt;AV12*1000000+SUM(X12,AP12)*10000+SUM(R12,AJ12)*100+SUM(L12,AD12)+0.002,1,0)+IF(AS12*1000000+SUM(U12,AM12)*10000+SUM(O12,AG12)*100+SUM(I12,AA12)+0.005&gt;AV12*1000000+SUM(X12,AP12)*10000+SUM(R12,AJ12)*100+SUM(L12,AD12)+0.002,1,0)+IF(AT12*1000000+SUM(V12,AN12)*10000+SUM(P12,AH12)*100+SUM(J12,AB12)+0.004&gt;AV12*1000000+SUM(X12,AP12)*10000+SUM(R12,AJ12)*100+SUM(L12,AD12)+0.002,1,0)+IF(AU12*1000000+SUM(W12,AO12)*10000+SUM(Q12,AI12)*100+SUM(K12,AC12)+0.003&gt;AV12*1000000+SUM(X12,AP12)*10000+SUM(R12,AJ12)*100+SUM(L12,AD12)+0.002,1,0)+IF(AW12*1000000+SUM(Y12,AQ12)*10000+SUM(S12,AK12)*100+SUM(M12,AE12)+0.001&gt;AV12*1000000+SUM(X12,AP12)*10000+SUM(R12,AJ12)*100+SUM(L12,AD12)+0.002,1,0)=2,"E",IF(IF(AR12*1000000+SUM(T12,AL12)*10000+SUM(N12,AF12)*100+SUM(H12,Z12)+0.006&gt;AW12*1000000+SUM(Y12,AQ12)*10000+SUM(S12,AK12)*100+SUM(M12,AE12)+0.001,1,0)+IF(AS12*1000000+SUM(U12,AM12)*10000+SUM(O12,AG12)*100+SUM(I12,AA12)+0.005&gt;AW12*1000000+SUM(Y12,AQ12)*10000+SUM(S12,AK12)*100+SUM(M12,AE12)+0.001,1,0)+IF(AT12*1000000+SUM(V12,AN12)*10000+SUM(P12,AH12)*100+SUM(J12,AB12)+0.004&gt;AW12*1000000+SUM(Y12,AQ12)*10000+SUM(S12,AK12)*100+SUM(M12,AE12)+0.001,1,0)+IF(AU12*1000000+SUM(W12,AO12)*10000+SUM(Q12,AI12)*100+SUM(K12,AC12)+0.003&gt;AW12*1000000+SUM(Y12,AQ12)*10000+SUM(S12,AK12)*100+SUM(M12,AE12)+0.001,1,0)+IF(AV12*1000000+SUM(X12,AP12)*10000+SUM(R12,AJ12)*100+SUM(L12,AD12)+0.002&gt;AW12*1000000+SUM(Y12,AQ12)*10000+SUM(S12,AK12)*100+SUM(M12,AE12)+0.001,1,0)=2,"C","")))))))</x:f>
      </x:c>
      <x:c r="AY12" s="27" t="str">
        <x:f>IF(C12="","",IF(LEFT(AX12,1)="R","นักปฏิบัติ",IF(LEFT(AX12,1)="I","นักคิดวิเคราะห์",IF(LEFT(AX12,1)="A","นักสร้างสรรค์",IF(LEFT(AX12,1)="S","ผู้เข้าใจผู้คน",IF(LEFT(AX12,1)="E","ผู้นำการเปลี่ยนแปลง","ผู้จัดระบบ"))))))</x:f>
      </x:c>
    </x:row>
    <x:row r="13">
      <x:c r="A13" s="27"/>
      <x:c r="B13" s="28"/>
      <x:c r="C13" s="27"/>
      <x:c r="D13" s="27"/>
      <x:c r="E13" s="27"/>
      <x:c r="F13" s="27"/>
      <x:c r="G13" s="27"/>
      <x:c r="H13" s="27"/>
      <x:c r="I13" s="27"/>
      <x:c r="J13" s="27"/>
      <x:c r="K13" s="27"/>
      <x:c r="L13" s="27"/>
      <x:c r="M13" s="27"/>
      <x:c r="N13" s="27"/>
      <x:c r="O13" s="27"/>
      <x:c r="P13" s="27"/>
      <x:c r="Q13" s="27"/>
      <x:c r="R13" s="27"/>
      <x:c r="S13" s="27"/>
      <x:c r="T13" s="27"/>
      <x:c r="U13" s="27"/>
      <x:c r="V13" s="27"/>
      <x:c r="W13" s="27"/>
      <x:c r="X13" s="27"/>
      <x:c r="Y13" s="27"/>
      <x:c r="Z13" s="27"/>
      <x:c r="AA13" s="27"/>
      <x:c r="AB13" s="27"/>
      <x:c r="AC13" s="27"/>
      <x:c r="AD13" s="27"/>
      <x:c r="AE13" s="27"/>
      <x:c r="AF13" s="27"/>
      <x:c r="AG13" s="27"/>
      <x:c r="AH13" s="27"/>
      <x:c r="AI13" s="27"/>
      <x:c r="AJ13" s="27"/>
      <x:c r="AK13" s="27"/>
      <x:c r="AL13" s="27"/>
      <x:c r="AM13" s="27"/>
      <x:c r="AN13" s="27"/>
      <x:c r="AO13" s="27"/>
      <x:c r="AP13" s="27"/>
      <x:c r="AQ13" s="27"/>
      <x:c r="AR13" s="27" t="str">
        <x:f>IF(C13="","",SUM(H13,N13,T13,Z13,AF13,AL13))</x:f>
      </x:c>
      <x:c r="AS13" s="27" t="str">
        <x:f>IF(C13="","",SUM(I13,O13,U13,AA13,AG13,AM13))</x:f>
      </x:c>
      <x:c r="AT13" s="27" t="str">
        <x:f>IF(C13="","",SUM(J13,P13,V13,AB13,AH13,AN13))</x:f>
      </x:c>
      <x:c r="AU13" s="27" t="str">
        <x:f>IF(C13="","",SUM(K13,Q13,W13,AC13,AI13,AO13))</x:f>
      </x:c>
      <x:c r="AV13" s="27" t="str">
        <x:f>IF(C13="","",SUM(L13,R13,X13,AD13,AJ13,AP13))</x:f>
      </x:c>
      <x:c r="AW13" s="27" t="str">
        <x:f>IF(C13="","",SUM(M13,S13,Y13,AE13,AK13,AQ13))</x:f>
      </x:c>
      <x:c r="AX13" s="27" t="str">
        <x:f>IF(C13="","",IF(IF(AS13*1000000+SUM(U13,AM13)*10000+SUM(O13,AG13)*100+SUM(I13,AA13)+0.005&gt;AR13*1000000+SUM(T13,AL13)*10000+SUM(N13,AF13)*100+SUM(H13,Z13)+0.006,1,0)+IF(AT13*1000000+SUM(V13,AN13)*10000+SUM(P13,AH13)*100+SUM(J13,AB13)+0.004&gt;AR13*1000000+SUM(T13,AL13)*10000+SUM(N13,AF13)*100+SUM(H13,Z13)+0.006,1,0)+IF(AU13*1000000+SUM(W13,AO13)*10000+SUM(Q13,AI13)*100+SUM(K13,AC13)+0.003&gt;AR13*1000000+SUM(T13,AL13)*10000+SUM(N13,AF13)*100+SUM(H13,Z13)+0.006,1,0)+IF(AV13*1000000+SUM(X13,AP13)*10000+SUM(R13,AJ13)*100+SUM(L13,AD13)+0.002&gt;AR13*1000000+SUM(T13,AL13)*10000+SUM(N13,AF13)*100+SUM(H13,Z13)+0.006,1,0)+IF(AW13*1000000+SUM(Y13,AQ13)*10000+SUM(S13,AK13)*100+SUM(M13,AE13)+0.001&gt;AR13*1000000+SUM(T13,AL13)*10000+SUM(N13,AF13)*100+SUM(H13,Z13)+0.006,1,0)=0,"R",IF(IF(AR13*1000000+SUM(T13,AL13)*10000+SUM(N13,AF13)*100+SUM(H13,Z13)+0.006&gt;AS13*1000000+SUM(U13,AM13)*10000+SUM(O13,AG13)*100+SUM(I13,AA13)+0.005,1,0)+IF(AT13*1000000+SUM(V13,AN13)*10000+SUM(P13,AH13)*100+SUM(J13,AB13)+0.004&gt;AS13*1000000+SUM(U13,AM13)*10000+SUM(O13,AG13)*100+SUM(I13,AA13)+0.005,1,0)+IF(AU13*1000000+SUM(W13,AO13)*10000+SUM(Q13,AI13)*100+SUM(K13,AC13)+0.003&gt;AS13*1000000+SUM(U13,AM13)*10000+SUM(O13,AG13)*100+SUM(I13,AA13)+0.005,1,0)+IF(AV13*1000000+SUM(X13,AP13)*10000+SUM(R13,AJ13)*100+SUM(L13,AD13)+0.002&gt;AS13*1000000+SUM(U13,AM13)*10000+SUM(O13,AG13)*100+SUM(I13,AA13)+0.005,1,0)+IF(AW13*1000000+SUM(Y13,AQ13)*10000+SUM(S13,AK13)*100+SUM(M13,AE13)+0.001&gt;AS13*1000000+SUM(U13,AM13)*10000+SUM(O13,AG13)*100+SUM(I13,AA13)+0.005,1,0)=0,"I",IF(IF(AR13*1000000+SUM(T13,AL13)*10000+SUM(N13,AF13)*100+SUM(H13,Z13)+0.006&gt;AT13*1000000+SUM(V13,AN13)*10000+SUM(P13,AH13)*100+SUM(J13,AB13)+0.004,1,0)+IF(AS13*1000000+SUM(U13,AM13)*10000+SUM(O13,AG13)*100+SUM(I13,AA13)+0.005&gt;AT13*1000000+SUM(V13,AN13)*10000+SUM(P13,AH13)*100+SUM(J13,AB13)+0.004,1,0)+IF(AU13*1000000+SUM(W13,AO13)*10000+SUM(Q13,AI13)*100+SUM(K13,AC13)+0.003&gt;AT13*1000000+SUM(V13,AN13)*10000+SUM(P13,AH13)*100+SUM(J13,AB13)+0.004,1,0)+IF(AV13*1000000+SUM(X13,AP13)*10000+SUM(R13,AJ13)*100+SUM(L13,AD13)+0.002&gt;AT13*1000000+SUM(V13,AN13)*10000+SUM(P13,AH13)*100+SUM(J13,AB13)+0.004,1,0)+IF(AW13*1000000+SUM(Y13,AQ13)*10000+SUM(S13,AK13)*100+SUM(M13,AE13)+0.001&gt;AT13*1000000+SUM(V13,AN13)*10000+SUM(P13,AH13)*100+SUM(J13,AB13)+0.004,1,0)=0,"A",IF(IF(AR13*1000000+SUM(T13,AL13)*10000+SUM(N13,AF13)*100+SUM(H13,Z13)+0.006&gt;AU13*1000000+SUM(W13,AO13)*10000+SUM(Q13,AI13)*100+SUM(K13,AC13)+0.003,1,0)+IF(AS13*1000000+SUM(U13,AM13)*10000+SUM(O13,AG13)*100+SUM(I13,AA13)+0.005&gt;AU13*1000000+SUM(W13,AO13)*10000+SUM(Q13,AI13)*100+SUM(K13,AC13)+0.003,1,0)+IF(AT13*1000000+SUM(V13,AN13)*10000+SUM(P13,AH13)*100+SUM(J13,AB13)+0.004&gt;AU13*1000000+SUM(W13,AO13)*10000+SUM(Q13,AI13)*100+SUM(K13,AC13)+0.003,1,0)+IF(AV13*1000000+SUM(X13,AP13)*10000+SUM(R13,AJ13)*100+SUM(L13,AD13)+0.002&gt;AU13*1000000+SUM(W13,AO13)*10000+SUM(Q13,AI13)*100+SUM(K13,AC13)+0.003,1,0)+IF(AW13*1000000+SUM(Y13,AQ13)*10000+SUM(S13,AK13)*100+SUM(M13,AE13)+0.001&gt;AU13*1000000+SUM(W13,AO13)*10000+SUM(Q13,AI13)*100+SUM(K13,AC13)+0.003,1,0)=0,"S",IF(IF(AR13*1000000+SUM(T13,AL13)*10000+SUM(N13,AF13)*100+SUM(H13,Z13)+0.006&gt;AV13*1000000+SUM(X13,AP13)*10000+SUM(R13,AJ13)*100+SUM(L13,AD13)+0.002,1,0)+IF(AS13*1000000+SUM(U13,AM13)*10000+SUM(O13,AG13)*100+SUM(I13,AA13)+0.005&gt;AV13*1000000+SUM(X13,AP13)*10000+SUM(R13,AJ13)*100+SUM(L13,AD13)+0.002,1,0)+IF(AT13*1000000+SUM(V13,AN13)*10000+SUM(P13,AH13)*100+SUM(J13,AB13)+0.004&gt;AV13*1000000+SUM(X13,AP13)*10000+SUM(R13,AJ13)*100+SUM(L13,AD13)+0.002,1,0)+IF(AU13*1000000+SUM(W13,AO13)*10000+SUM(Q13,AI13)*100+SUM(K13,AC13)+0.003&gt;AV13*1000000+SUM(X13,AP13)*10000+SUM(R13,AJ13)*100+SUM(L13,AD13)+0.002,1,0)+IF(AW13*1000000+SUM(Y13,AQ13)*10000+SUM(S13,AK13)*100+SUM(M13,AE13)+0.001&gt;AV13*1000000+SUM(X13,AP13)*10000+SUM(R13,AJ13)*100+SUM(L13,AD13)+0.002,1,0)=0,"E",IF(IF(AR13*1000000+SUM(T13,AL13)*10000+SUM(N13,AF13)*100+SUM(H13,Z13)+0.006&gt;AW13*1000000+SUM(Y13,AQ13)*10000+SUM(S13,AK13)*100+SUM(M13,AE13)+0.001,1,0)+IF(AS13*1000000+SUM(U13,AM13)*10000+SUM(O13,AG13)*100+SUM(I13,AA13)+0.005&gt;AW13*1000000+SUM(Y13,AQ13)*10000+SUM(S13,AK13)*100+SUM(M13,AE13)+0.001,1,0)+IF(AT13*1000000+SUM(V13,AN13)*10000+SUM(P13,AH13)*100+SUM(J13,AB13)+0.004&gt;AW13*1000000+SUM(Y13,AQ13)*10000+SUM(S13,AK13)*100+SUM(M13,AE13)+0.001,1,0)+IF(AU13*1000000+SUM(W13,AO13)*10000+SUM(Q13,AI13)*100+SUM(K13,AC13)+0.003&gt;AW13*1000000+SUM(Y13,AQ13)*10000+SUM(S13,AK13)*100+SUM(M13,AE13)+0.001,1,0)+IF(AV13*1000000+SUM(X13,AP13)*10000+SUM(R13,AJ13)*100+SUM(L13,AD13)+0.002&gt;AW13*1000000+SUM(Y13,AQ13)*10000+SUM(S13,AK13)*100+SUM(M13,AE13)+0.001,1,0)=0,"C",""))))))&amp;IF(IF(AS13*1000000+SUM(U13,AM13)*10000+SUM(O13,AG13)*100+SUM(I13,AA13)+0.005&gt;AR13*1000000+SUM(T13,AL13)*10000+SUM(N13,AF13)*100+SUM(H13,Z13)+0.006,1,0)+IF(AT13*1000000+SUM(V13,AN13)*10000+SUM(P13,AH13)*100+SUM(J13,AB13)+0.004&gt;AR13*1000000+SUM(T13,AL13)*10000+SUM(N13,AF13)*100+SUM(H13,Z13)+0.006,1,0)+IF(AU13*1000000+SUM(W13,AO13)*10000+SUM(Q13,AI13)*100+SUM(K13,AC13)+0.003&gt;AR13*1000000+SUM(T13,AL13)*10000+SUM(N13,AF13)*100+SUM(H13,Z13)+0.006,1,0)+IF(AV13*1000000+SUM(X13,AP13)*10000+SUM(R13,AJ13)*100+SUM(L13,AD13)+0.002&gt;AR13*1000000+SUM(T13,AL13)*10000+SUM(N13,AF13)*100+SUM(H13,Z13)+0.006,1,0)+IF(AW13*1000000+SUM(Y13,AQ13)*10000+SUM(S13,AK13)*100+SUM(M13,AE13)+0.001&gt;AR13*1000000+SUM(T13,AL13)*10000+SUM(N13,AF13)*100+SUM(H13,Z13)+0.006,1,0)=1,"R",IF(IF(AR13*1000000+SUM(T13,AL13)*10000+SUM(N13,AF13)*100+SUM(H13,Z13)+0.006&gt;AS13*1000000+SUM(U13,AM13)*10000+SUM(O13,AG13)*100+SUM(I13,AA13)+0.005,1,0)+IF(AT13*1000000+SUM(V13,AN13)*10000+SUM(P13,AH13)*100+SUM(J13,AB13)+0.004&gt;AS13*1000000+SUM(U13,AM13)*10000+SUM(O13,AG13)*100+SUM(I13,AA13)+0.005,1,0)+IF(AU13*1000000+SUM(W13,AO13)*10000+SUM(Q13,AI13)*100+SUM(K13,AC13)+0.003&gt;AS13*1000000+SUM(U13,AM13)*10000+SUM(O13,AG13)*100+SUM(I13,AA13)+0.005,1,0)+IF(AV13*1000000+SUM(X13,AP13)*10000+SUM(R13,AJ13)*100+SUM(L13,AD13)+0.002&gt;AS13*1000000+SUM(U13,AM13)*10000+SUM(O13,AG13)*100+SUM(I13,AA13)+0.005,1,0)+IF(AW13*1000000+SUM(Y13,AQ13)*10000+SUM(S13,AK13)*100+SUM(M13,AE13)+0.001&gt;AS13*1000000+SUM(U13,AM13)*10000+SUM(O13,AG13)*100+SUM(I13,AA13)+0.005,1,0)=1,"I",IF(IF(AR13*1000000+SUM(T13,AL13)*10000+SUM(N13,AF13)*100+SUM(H13,Z13)+0.006&gt;AT13*1000000+SUM(V13,AN13)*10000+SUM(P13,AH13)*100+SUM(J13,AB13)+0.004,1,0)+IF(AS13*1000000+SUM(U13,AM13)*10000+SUM(O13,AG13)*100+SUM(I13,AA13)+0.005&gt;AT13*1000000+SUM(V13,AN13)*10000+SUM(P13,AH13)*100+SUM(J13,AB13)+0.004,1,0)+IF(AU13*1000000+SUM(W13,AO13)*10000+SUM(Q13,AI13)*100+SUM(K13,AC13)+0.003&gt;AT13*1000000+SUM(V13,AN13)*10000+SUM(P13,AH13)*100+SUM(J13,AB13)+0.004,1,0)+IF(AV13*1000000+SUM(X13,AP13)*10000+SUM(R13,AJ13)*100+SUM(L13,AD13)+0.002&gt;AT13*1000000+SUM(V13,AN13)*10000+SUM(P13,AH13)*100+SUM(J13,AB13)+0.004,1,0)+IF(AW13*1000000+SUM(Y13,AQ13)*10000+SUM(S13,AK13)*100+SUM(M13,AE13)+0.001&gt;AT13*1000000+SUM(V13,AN13)*10000+SUM(P13,AH13)*100+SUM(J13,AB13)+0.004,1,0)=1,"A",IF(IF(AR13*1000000+SUM(T13,AL13)*10000+SUM(N13,AF13)*100+SUM(H13,Z13)+0.006&gt;AU13*1000000+SUM(W13,AO13)*10000+SUM(Q13,AI13)*100+SUM(K13,AC13)+0.003,1,0)+IF(AS13*1000000+SUM(U13,AM13)*10000+SUM(O13,AG13)*100+SUM(I13,AA13)+0.005&gt;AU13*1000000+SUM(W13,AO13)*10000+SUM(Q13,AI13)*100+SUM(K13,AC13)+0.003,1,0)+IF(AT13*1000000+SUM(V13,AN13)*10000+SUM(P13,AH13)*100+SUM(J13,AB13)+0.004&gt;AU13*1000000+SUM(W13,AO13)*10000+SUM(Q13,AI13)*100+SUM(K13,AC13)+0.003,1,0)+IF(AV13*1000000+SUM(X13,AP13)*10000+SUM(R13,AJ13)*100+SUM(L13,AD13)+0.002&gt;AU13*1000000+SUM(W13,AO13)*10000+SUM(Q13,AI13)*100+SUM(K13,AC13)+0.003,1,0)+IF(AW13*1000000+SUM(Y13,AQ13)*10000+SUM(S13,AK13)*100+SUM(M13,AE13)+0.001&gt;AU13*1000000+SUM(W13,AO13)*10000+SUM(Q13,AI13)*100+SUM(K13,AC13)+0.003,1,0)=1,"S",IF(IF(AR13*1000000+SUM(T13,AL13)*10000+SUM(N13,AF13)*100+SUM(H13,Z13)+0.006&gt;AV13*1000000+SUM(X13,AP13)*10000+SUM(R13,AJ13)*100+SUM(L13,AD13)+0.002,1,0)+IF(AS13*1000000+SUM(U13,AM13)*10000+SUM(O13,AG13)*100+SUM(I13,AA13)+0.005&gt;AV13*1000000+SUM(X13,AP13)*10000+SUM(R13,AJ13)*100+SUM(L13,AD13)+0.002,1,0)+IF(AT13*1000000+SUM(V13,AN13)*10000+SUM(P13,AH13)*100+SUM(J13,AB13)+0.004&gt;AV13*1000000+SUM(X13,AP13)*10000+SUM(R13,AJ13)*100+SUM(L13,AD13)+0.002,1,0)+IF(AU13*1000000+SUM(W13,AO13)*10000+SUM(Q13,AI13)*100+SUM(K13,AC13)+0.003&gt;AV13*1000000+SUM(X13,AP13)*10000+SUM(R13,AJ13)*100+SUM(L13,AD13)+0.002,1,0)+IF(AW13*1000000+SUM(Y13,AQ13)*10000+SUM(S13,AK13)*100+SUM(M13,AE13)+0.001&gt;AV13*1000000+SUM(X13,AP13)*10000+SUM(R13,AJ13)*100+SUM(L13,AD13)+0.002,1,0)=1,"E",IF(IF(AR13*1000000+SUM(T13,AL13)*10000+SUM(N13,AF13)*100+SUM(H13,Z13)+0.006&gt;AW13*1000000+SUM(Y13,AQ13)*10000+SUM(S13,AK13)*100+SUM(M13,AE13)+0.001,1,0)+IF(AS13*1000000+SUM(U13,AM13)*10000+SUM(O13,AG13)*100+SUM(I13,AA13)+0.005&gt;AW13*1000000+SUM(Y13,AQ13)*10000+SUM(S13,AK13)*100+SUM(M13,AE13)+0.001,1,0)+IF(AT13*1000000+SUM(V13,AN13)*10000+SUM(P13,AH13)*100+SUM(J13,AB13)+0.004&gt;AW13*1000000+SUM(Y13,AQ13)*10000+SUM(S13,AK13)*100+SUM(M13,AE13)+0.001,1,0)+IF(AU13*1000000+SUM(W13,AO13)*10000+SUM(Q13,AI13)*100+SUM(K13,AC13)+0.003&gt;AW13*1000000+SUM(Y13,AQ13)*10000+SUM(S13,AK13)*100+SUM(M13,AE13)+0.001,1,0)+IF(AV13*1000000+SUM(X13,AP13)*10000+SUM(R13,AJ13)*100+SUM(L13,AD13)+0.002&gt;AW13*1000000+SUM(Y13,AQ13)*10000+SUM(S13,AK13)*100+SUM(M13,AE13)+0.001,1,0)=1,"C",""))))))&amp;IF(IF(AS13*1000000+SUM(U13,AM13)*10000+SUM(O13,AG13)*100+SUM(I13,AA13)+0.005&gt;AR13*1000000+SUM(T13,AL13)*10000+SUM(N13,AF13)*100+SUM(H13,Z13)+0.006,1,0)+IF(AT13*1000000+SUM(V13,AN13)*10000+SUM(P13,AH13)*100+SUM(J13,AB13)+0.004&gt;AR13*1000000+SUM(T13,AL13)*10000+SUM(N13,AF13)*100+SUM(H13,Z13)+0.006,1,0)+IF(AU13*1000000+SUM(W13,AO13)*10000+SUM(Q13,AI13)*100+SUM(K13,AC13)+0.003&gt;AR13*1000000+SUM(T13,AL13)*10000+SUM(N13,AF13)*100+SUM(H13,Z13)+0.006,1,0)+IF(AV13*1000000+SUM(X13,AP13)*10000+SUM(R13,AJ13)*100+SUM(L13,AD13)+0.002&gt;AR13*1000000+SUM(T13,AL13)*10000+SUM(N13,AF13)*100+SUM(H13,Z13)+0.006,1,0)+IF(AW13*1000000+SUM(Y13,AQ13)*10000+SUM(S13,AK13)*100+SUM(M13,AE13)+0.001&gt;AR13*1000000+SUM(T13,AL13)*10000+SUM(N13,AF13)*100+SUM(H13,Z13)+0.006,1,0)=2,"R",IF(IF(AR13*1000000+SUM(T13,AL13)*10000+SUM(N13,AF13)*100+SUM(H13,Z13)+0.006&gt;AS13*1000000+SUM(U13,AM13)*10000+SUM(O13,AG13)*100+SUM(I13,AA13)+0.005,1,0)+IF(AT13*1000000+SUM(V13,AN13)*10000+SUM(P13,AH13)*100+SUM(J13,AB13)+0.004&gt;AS13*1000000+SUM(U13,AM13)*10000+SUM(O13,AG13)*100+SUM(I13,AA13)+0.005,1,0)+IF(AU13*1000000+SUM(W13,AO13)*10000+SUM(Q13,AI13)*100+SUM(K13,AC13)+0.003&gt;AS13*1000000+SUM(U13,AM13)*10000+SUM(O13,AG13)*100+SUM(I13,AA13)+0.005,1,0)+IF(AV13*1000000+SUM(X13,AP13)*10000+SUM(R13,AJ13)*100+SUM(L13,AD13)+0.002&gt;AS13*1000000+SUM(U13,AM13)*10000+SUM(O13,AG13)*100+SUM(I13,AA13)+0.005,1,0)+IF(AW13*1000000+SUM(Y13,AQ13)*10000+SUM(S13,AK13)*100+SUM(M13,AE13)+0.001&gt;AS13*1000000+SUM(U13,AM13)*10000+SUM(O13,AG13)*100+SUM(I13,AA13)+0.005,1,0)=2,"I",IF(IF(AR13*1000000+SUM(T13,AL13)*10000+SUM(N13,AF13)*100+SUM(H13,Z13)+0.006&gt;AT13*1000000+SUM(V13,AN13)*10000+SUM(P13,AH13)*100+SUM(J13,AB13)+0.004,1,0)+IF(AS13*1000000+SUM(U13,AM13)*10000+SUM(O13,AG13)*100+SUM(I13,AA13)+0.005&gt;AT13*1000000+SUM(V13,AN13)*10000+SUM(P13,AH13)*100+SUM(J13,AB13)+0.004,1,0)+IF(AU13*1000000+SUM(W13,AO13)*10000+SUM(Q13,AI13)*100+SUM(K13,AC13)+0.003&gt;AT13*1000000+SUM(V13,AN13)*10000+SUM(P13,AH13)*100+SUM(J13,AB13)+0.004,1,0)+IF(AV13*1000000+SUM(X13,AP13)*10000+SUM(R13,AJ13)*100+SUM(L13,AD13)+0.002&gt;AT13*1000000+SUM(V13,AN13)*10000+SUM(P13,AH13)*100+SUM(J13,AB13)+0.004,1,0)+IF(AW13*1000000+SUM(Y13,AQ13)*10000+SUM(S13,AK13)*100+SUM(M13,AE13)+0.001&gt;AT13*1000000+SUM(V13,AN13)*10000+SUM(P13,AH13)*100+SUM(J13,AB13)+0.004,1,0)=2,"A",IF(IF(AR13*1000000+SUM(T13,AL13)*10000+SUM(N13,AF13)*100+SUM(H13,Z13)+0.006&gt;AU13*1000000+SUM(W13,AO13)*10000+SUM(Q13,AI13)*100+SUM(K13,AC13)+0.003,1,0)+IF(AS13*1000000+SUM(U13,AM13)*10000+SUM(O13,AG13)*100+SUM(I13,AA13)+0.005&gt;AU13*1000000+SUM(W13,AO13)*10000+SUM(Q13,AI13)*100+SUM(K13,AC13)+0.003,1,0)+IF(AT13*1000000+SUM(V13,AN13)*10000+SUM(P13,AH13)*100+SUM(J13,AB13)+0.004&gt;AU13*1000000+SUM(W13,AO13)*10000+SUM(Q13,AI13)*100+SUM(K13,AC13)+0.003,1,0)+IF(AV13*1000000+SUM(X13,AP13)*10000+SUM(R13,AJ13)*100+SUM(L13,AD13)+0.002&gt;AU13*1000000+SUM(W13,AO13)*10000+SUM(Q13,AI13)*100+SUM(K13,AC13)+0.003,1,0)+IF(AW13*1000000+SUM(Y13,AQ13)*10000+SUM(S13,AK13)*100+SUM(M13,AE13)+0.001&gt;AU13*1000000+SUM(W13,AO13)*10000+SUM(Q13,AI13)*100+SUM(K13,AC13)+0.003,1,0)=2,"S",IF(IF(AR13*1000000+SUM(T13,AL13)*10000+SUM(N13,AF13)*100+SUM(H13,Z13)+0.006&gt;AV13*1000000+SUM(X13,AP13)*10000+SUM(R13,AJ13)*100+SUM(L13,AD13)+0.002,1,0)+IF(AS13*1000000+SUM(U13,AM13)*10000+SUM(O13,AG13)*100+SUM(I13,AA13)+0.005&gt;AV13*1000000+SUM(X13,AP13)*10000+SUM(R13,AJ13)*100+SUM(L13,AD13)+0.002,1,0)+IF(AT13*1000000+SUM(V13,AN13)*10000+SUM(P13,AH13)*100+SUM(J13,AB13)+0.004&gt;AV13*1000000+SUM(X13,AP13)*10000+SUM(R13,AJ13)*100+SUM(L13,AD13)+0.002,1,0)+IF(AU13*1000000+SUM(W13,AO13)*10000+SUM(Q13,AI13)*100+SUM(K13,AC13)+0.003&gt;AV13*1000000+SUM(X13,AP13)*10000+SUM(R13,AJ13)*100+SUM(L13,AD13)+0.002,1,0)+IF(AW13*1000000+SUM(Y13,AQ13)*10000+SUM(S13,AK13)*100+SUM(M13,AE13)+0.001&gt;AV13*1000000+SUM(X13,AP13)*10000+SUM(R13,AJ13)*100+SUM(L13,AD13)+0.002,1,0)=2,"E",IF(IF(AR13*1000000+SUM(T13,AL13)*10000+SUM(N13,AF13)*100+SUM(H13,Z13)+0.006&gt;AW13*1000000+SUM(Y13,AQ13)*10000+SUM(S13,AK13)*100+SUM(M13,AE13)+0.001,1,0)+IF(AS13*1000000+SUM(U13,AM13)*10000+SUM(O13,AG13)*100+SUM(I13,AA13)+0.005&gt;AW13*1000000+SUM(Y13,AQ13)*10000+SUM(S13,AK13)*100+SUM(M13,AE13)+0.001,1,0)+IF(AT13*1000000+SUM(V13,AN13)*10000+SUM(P13,AH13)*100+SUM(J13,AB13)+0.004&gt;AW13*1000000+SUM(Y13,AQ13)*10000+SUM(S13,AK13)*100+SUM(M13,AE13)+0.001,1,0)+IF(AU13*1000000+SUM(W13,AO13)*10000+SUM(Q13,AI13)*100+SUM(K13,AC13)+0.003&gt;AW13*1000000+SUM(Y13,AQ13)*10000+SUM(S13,AK13)*100+SUM(M13,AE13)+0.001,1,0)+IF(AV13*1000000+SUM(X13,AP13)*10000+SUM(R13,AJ13)*100+SUM(L13,AD13)+0.002&gt;AW13*1000000+SUM(Y13,AQ13)*10000+SUM(S13,AK13)*100+SUM(M13,AE13)+0.001,1,0)=2,"C","")))))))</x:f>
      </x:c>
      <x:c r="AY13" s="27" t="str">
        <x:f>IF(C13="","",IF(LEFT(AX13,1)="R","นักปฏิบัติ",IF(LEFT(AX13,1)="I","นักคิดวิเคราะห์",IF(LEFT(AX13,1)="A","นักสร้างสรรค์",IF(LEFT(AX13,1)="S","ผู้เข้าใจผู้คน",IF(LEFT(AX13,1)="E","ผู้นำการเปลี่ยนแปลง","ผู้จัดระบบ"))))))</x:f>
      </x:c>
    </x:row>
    <x:row r="14">
      <x:c r="A14" s="27"/>
      <x:c r="B14" s="28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  <x:c r="N14" s="27"/>
      <x:c r="O14" s="27"/>
      <x:c r="P14" s="27"/>
      <x:c r="Q14" s="27"/>
      <x:c r="R14" s="27"/>
      <x:c r="S14" s="27"/>
      <x:c r="T14" s="27"/>
      <x:c r="U14" s="27"/>
      <x:c r="V14" s="27"/>
      <x:c r="W14" s="27"/>
      <x:c r="X14" s="27"/>
      <x:c r="Y14" s="27"/>
      <x:c r="Z14" s="27"/>
      <x:c r="AA14" s="27"/>
      <x:c r="AB14" s="27"/>
      <x:c r="AC14" s="27"/>
      <x:c r="AD14" s="27"/>
      <x:c r="AE14" s="27"/>
      <x:c r="AF14" s="27"/>
      <x:c r="AG14" s="27"/>
      <x:c r="AH14" s="27"/>
      <x:c r="AI14" s="27"/>
      <x:c r="AJ14" s="27"/>
      <x:c r="AK14" s="27"/>
      <x:c r="AL14" s="27"/>
      <x:c r="AM14" s="27"/>
      <x:c r="AN14" s="27"/>
      <x:c r="AO14" s="27"/>
      <x:c r="AP14" s="27"/>
      <x:c r="AQ14" s="27"/>
      <x:c r="AR14" s="27" t="str">
        <x:f>IF(C14="","",SUM(H14,N14,T14,Z14,AF14,AL14))</x:f>
      </x:c>
      <x:c r="AS14" s="27" t="str">
        <x:f>IF(C14="","",SUM(I14,O14,U14,AA14,AG14,AM14))</x:f>
      </x:c>
      <x:c r="AT14" s="27" t="str">
        <x:f>IF(C14="","",SUM(J14,P14,V14,AB14,AH14,AN14))</x:f>
      </x:c>
      <x:c r="AU14" s="27" t="str">
        <x:f>IF(C14="","",SUM(K14,Q14,W14,AC14,AI14,AO14))</x:f>
      </x:c>
      <x:c r="AV14" s="27" t="str">
        <x:f>IF(C14="","",SUM(L14,R14,X14,AD14,AJ14,AP14))</x:f>
      </x:c>
      <x:c r="AW14" s="27" t="str">
        <x:f>IF(C14="","",SUM(M14,S14,Y14,AE14,AK14,AQ14))</x:f>
      </x:c>
      <x:c r="AX14" s="27" t="str">
        <x:f>IF(C14="","",IF(IF(AS14*1000000+SUM(U14,AM14)*10000+SUM(O14,AG14)*100+SUM(I14,AA14)+0.005&gt;AR14*1000000+SUM(T14,AL14)*10000+SUM(N14,AF14)*100+SUM(H14,Z14)+0.006,1,0)+IF(AT14*1000000+SUM(V14,AN14)*10000+SUM(P14,AH14)*100+SUM(J14,AB14)+0.004&gt;AR14*1000000+SUM(T14,AL14)*10000+SUM(N14,AF14)*100+SUM(H14,Z14)+0.006,1,0)+IF(AU14*1000000+SUM(W14,AO14)*10000+SUM(Q14,AI14)*100+SUM(K14,AC14)+0.003&gt;AR14*1000000+SUM(T14,AL14)*10000+SUM(N14,AF14)*100+SUM(H14,Z14)+0.006,1,0)+IF(AV14*1000000+SUM(X14,AP14)*10000+SUM(R14,AJ14)*100+SUM(L14,AD14)+0.002&gt;AR14*1000000+SUM(T14,AL14)*10000+SUM(N14,AF14)*100+SUM(H14,Z14)+0.006,1,0)+IF(AW14*1000000+SUM(Y14,AQ14)*10000+SUM(S14,AK14)*100+SUM(M14,AE14)+0.001&gt;AR14*1000000+SUM(T14,AL14)*10000+SUM(N14,AF14)*100+SUM(H14,Z14)+0.006,1,0)=0,"R",IF(IF(AR14*1000000+SUM(T14,AL14)*10000+SUM(N14,AF14)*100+SUM(H14,Z14)+0.006&gt;AS14*1000000+SUM(U14,AM14)*10000+SUM(O14,AG14)*100+SUM(I14,AA14)+0.005,1,0)+IF(AT14*1000000+SUM(V14,AN14)*10000+SUM(P14,AH14)*100+SUM(J14,AB14)+0.004&gt;AS14*1000000+SUM(U14,AM14)*10000+SUM(O14,AG14)*100+SUM(I14,AA14)+0.005,1,0)+IF(AU14*1000000+SUM(W14,AO14)*10000+SUM(Q14,AI14)*100+SUM(K14,AC14)+0.003&gt;AS14*1000000+SUM(U14,AM14)*10000+SUM(O14,AG14)*100+SUM(I14,AA14)+0.005,1,0)+IF(AV14*1000000+SUM(X14,AP14)*10000+SUM(R14,AJ14)*100+SUM(L14,AD14)+0.002&gt;AS14*1000000+SUM(U14,AM14)*10000+SUM(O14,AG14)*100+SUM(I14,AA14)+0.005,1,0)+IF(AW14*1000000+SUM(Y14,AQ14)*10000+SUM(S14,AK14)*100+SUM(M14,AE14)+0.001&gt;AS14*1000000+SUM(U14,AM14)*10000+SUM(O14,AG14)*100+SUM(I14,AA14)+0.005,1,0)=0,"I",IF(IF(AR14*1000000+SUM(T14,AL14)*10000+SUM(N14,AF14)*100+SUM(H14,Z14)+0.006&gt;AT14*1000000+SUM(V14,AN14)*10000+SUM(P14,AH14)*100+SUM(J14,AB14)+0.004,1,0)+IF(AS14*1000000+SUM(U14,AM14)*10000+SUM(O14,AG14)*100+SUM(I14,AA14)+0.005&gt;AT14*1000000+SUM(V14,AN14)*10000+SUM(P14,AH14)*100+SUM(J14,AB14)+0.004,1,0)+IF(AU14*1000000+SUM(W14,AO14)*10000+SUM(Q14,AI14)*100+SUM(K14,AC14)+0.003&gt;AT14*1000000+SUM(V14,AN14)*10000+SUM(P14,AH14)*100+SUM(J14,AB14)+0.004,1,0)+IF(AV14*1000000+SUM(X14,AP14)*10000+SUM(R14,AJ14)*100+SUM(L14,AD14)+0.002&gt;AT14*1000000+SUM(V14,AN14)*10000+SUM(P14,AH14)*100+SUM(J14,AB14)+0.004,1,0)+IF(AW14*1000000+SUM(Y14,AQ14)*10000+SUM(S14,AK14)*100+SUM(M14,AE14)+0.001&gt;AT14*1000000+SUM(V14,AN14)*10000+SUM(P14,AH14)*100+SUM(J14,AB14)+0.004,1,0)=0,"A",IF(IF(AR14*1000000+SUM(T14,AL14)*10000+SUM(N14,AF14)*100+SUM(H14,Z14)+0.006&gt;AU14*1000000+SUM(W14,AO14)*10000+SUM(Q14,AI14)*100+SUM(K14,AC14)+0.003,1,0)+IF(AS14*1000000+SUM(U14,AM14)*10000+SUM(O14,AG14)*100+SUM(I14,AA14)+0.005&gt;AU14*1000000+SUM(W14,AO14)*10000+SUM(Q14,AI14)*100+SUM(K14,AC14)+0.003,1,0)+IF(AT14*1000000+SUM(V14,AN14)*10000+SUM(P14,AH14)*100+SUM(J14,AB14)+0.004&gt;AU14*1000000+SUM(W14,AO14)*10000+SUM(Q14,AI14)*100+SUM(K14,AC14)+0.003,1,0)+IF(AV14*1000000+SUM(X14,AP14)*10000+SUM(R14,AJ14)*100+SUM(L14,AD14)+0.002&gt;AU14*1000000+SUM(W14,AO14)*10000+SUM(Q14,AI14)*100+SUM(K14,AC14)+0.003,1,0)+IF(AW14*1000000+SUM(Y14,AQ14)*10000+SUM(S14,AK14)*100+SUM(M14,AE14)+0.001&gt;AU14*1000000+SUM(W14,AO14)*10000+SUM(Q14,AI14)*100+SUM(K14,AC14)+0.003,1,0)=0,"S",IF(IF(AR14*1000000+SUM(T14,AL14)*10000+SUM(N14,AF14)*100+SUM(H14,Z14)+0.006&gt;AV14*1000000+SUM(X14,AP14)*10000+SUM(R14,AJ14)*100+SUM(L14,AD14)+0.002,1,0)+IF(AS14*1000000+SUM(U14,AM14)*10000+SUM(O14,AG14)*100+SUM(I14,AA14)+0.005&gt;AV14*1000000+SUM(X14,AP14)*10000+SUM(R14,AJ14)*100+SUM(L14,AD14)+0.002,1,0)+IF(AT14*1000000+SUM(V14,AN14)*10000+SUM(P14,AH14)*100+SUM(J14,AB14)+0.004&gt;AV14*1000000+SUM(X14,AP14)*10000+SUM(R14,AJ14)*100+SUM(L14,AD14)+0.002,1,0)+IF(AU14*1000000+SUM(W14,AO14)*10000+SUM(Q14,AI14)*100+SUM(K14,AC14)+0.003&gt;AV14*1000000+SUM(X14,AP14)*10000+SUM(R14,AJ14)*100+SUM(L14,AD14)+0.002,1,0)+IF(AW14*1000000+SUM(Y14,AQ14)*10000+SUM(S14,AK14)*100+SUM(M14,AE14)+0.001&gt;AV14*1000000+SUM(X14,AP14)*10000+SUM(R14,AJ14)*100+SUM(L14,AD14)+0.002,1,0)=0,"E",IF(IF(AR14*1000000+SUM(T14,AL14)*10000+SUM(N14,AF14)*100+SUM(H14,Z14)+0.006&gt;AW14*1000000+SUM(Y14,AQ14)*10000+SUM(S14,AK14)*100+SUM(M14,AE14)+0.001,1,0)+IF(AS14*1000000+SUM(U14,AM14)*10000+SUM(O14,AG14)*100+SUM(I14,AA14)+0.005&gt;AW14*1000000+SUM(Y14,AQ14)*10000+SUM(S14,AK14)*100+SUM(M14,AE14)+0.001,1,0)+IF(AT14*1000000+SUM(V14,AN14)*10000+SUM(P14,AH14)*100+SUM(J14,AB14)+0.004&gt;AW14*1000000+SUM(Y14,AQ14)*10000+SUM(S14,AK14)*100+SUM(M14,AE14)+0.001,1,0)+IF(AU14*1000000+SUM(W14,AO14)*10000+SUM(Q14,AI14)*100+SUM(K14,AC14)+0.003&gt;AW14*1000000+SUM(Y14,AQ14)*10000+SUM(S14,AK14)*100+SUM(M14,AE14)+0.001,1,0)+IF(AV14*1000000+SUM(X14,AP14)*10000+SUM(R14,AJ14)*100+SUM(L14,AD14)+0.002&gt;AW14*1000000+SUM(Y14,AQ14)*10000+SUM(S14,AK14)*100+SUM(M14,AE14)+0.001,1,0)=0,"C",""))))))&amp;IF(IF(AS14*1000000+SUM(U14,AM14)*10000+SUM(O14,AG14)*100+SUM(I14,AA14)+0.005&gt;AR14*1000000+SUM(T14,AL14)*10000+SUM(N14,AF14)*100+SUM(H14,Z14)+0.006,1,0)+IF(AT14*1000000+SUM(V14,AN14)*10000+SUM(P14,AH14)*100+SUM(J14,AB14)+0.004&gt;AR14*1000000+SUM(T14,AL14)*10000+SUM(N14,AF14)*100+SUM(H14,Z14)+0.006,1,0)+IF(AU14*1000000+SUM(W14,AO14)*10000+SUM(Q14,AI14)*100+SUM(K14,AC14)+0.003&gt;AR14*1000000+SUM(T14,AL14)*10000+SUM(N14,AF14)*100+SUM(H14,Z14)+0.006,1,0)+IF(AV14*1000000+SUM(X14,AP14)*10000+SUM(R14,AJ14)*100+SUM(L14,AD14)+0.002&gt;AR14*1000000+SUM(T14,AL14)*10000+SUM(N14,AF14)*100+SUM(H14,Z14)+0.006,1,0)+IF(AW14*1000000+SUM(Y14,AQ14)*10000+SUM(S14,AK14)*100+SUM(M14,AE14)+0.001&gt;AR14*1000000+SUM(T14,AL14)*10000+SUM(N14,AF14)*100+SUM(H14,Z14)+0.006,1,0)=1,"R",IF(IF(AR14*1000000+SUM(T14,AL14)*10000+SUM(N14,AF14)*100+SUM(H14,Z14)+0.006&gt;AS14*1000000+SUM(U14,AM14)*10000+SUM(O14,AG14)*100+SUM(I14,AA14)+0.005,1,0)+IF(AT14*1000000+SUM(V14,AN14)*10000+SUM(P14,AH14)*100+SUM(J14,AB14)+0.004&gt;AS14*1000000+SUM(U14,AM14)*10000+SUM(O14,AG14)*100+SUM(I14,AA14)+0.005,1,0)+IF(AU14*1000000+SUM(W14,AO14)*10000+SUM(Q14,AI14)*100+SUM(K14,AC14)+0.003&gt;AS14*1000000+SUM(U14,AM14)*10000+SUM(O14,AG14)*100+SUM(I14,AA14)+0.005,1,0)+IF(AV14*1000000+SUM(X14,AP14)*10000+SUM(R14,AJ14)*100+SUM(L14,AD14)+0.002&gt;AS14*1000000+SUM(U14,AM14)*10000+SUM(O14,AG14)*100+SUM(I14,AA14)+0.005,1,0)+IF(AW14*1000000+SUM(Y14,AQ14)*10000+SUM(S14,AK14)*100+SUM(M14,AE14)+0.001&gt;AS14*1000000+SUM(U14,AM14)*10000+SUM(O14,AG14)*100+SUM(I14,AA14)+0.005,1,0)=1,"I",IF(IF(AR14*1000000+SUM(T14,AL14)*10000+SUM(N14,AF14)*100+SUM(H14,Z14)+0.006&gt;AT14*1000000+SUM(V14,AN14)*10000+SUM(P14,AH14)*100+SUM(J14,AB14)+0.004,1,0)+IF(AS14*1000000+SUM(U14,AM14)*10000+SUM(O14,AG14)*100+SUM(I14,AA14)+0.005&gt;AT14*1000000+SUM(V14,AN14)*10000+SUM(P14,AH14)*100+SUM(J14,AB14)+0.004,1,0)+IF(AU14*1000000+SUM(W14,AO14)*10000+SUM(Q14,AI14)*100+SUM(K14,AC14)+0.003&gt;AT14*1000000+SUM(V14,AN14)*10000+SUM(P14,AH14)*100+SUM(J14,AB14)+0.004,1,0)+IF(AV14*1000000+SUM(X14,AP14)*10000+SUM(R14,AJ14)*100+SUM(L14,AD14)+0.002&gt;AT14*1000000+SUM(V14,AN14)*10000+SUM(P14,AH14)*100+SUM(J14,AB14)+0.004,1,0)+IF(AW14*1000000+SUM(Y14,AQ14)*10000+SUM(S14,AK14)*100+SUM(M14,AE14)+0.001&gt;AT14*1000000+SUM(V14,AN14)*10000+SUM(P14,AH14)*100+SUM(J14,AB14)+0.004,1,0)=1,"A",IF(IF(AR14*1000000+SUM(T14,AL14)*10000+SUM(N14,AF14)*100+SUM(H14,Z14)+0.006&gt;AU14*1000000+SUM(W14,AO14)*10000+SUM(Q14,AI14)*100+SUM(K14,AC14)+0.003,1,0)+IF(AS14*1000000+SUM(U14,AM14)*10000+SUM(O14,AG14)*100+SUM(I14,AA14)+0.005&gt;AU14*1000000+SUM(W14,AO14)*10000+SUM(Q14,AI14)*100+SUM(K14,AC14)+0.003,1,0)+IF(AT14*1000000+SUM(V14,AN14)*10000+SUM(P14,AH14)*100+SUM(J14,AB14)+0.004&gt;AU14*1000000+SUM(W14,AO14)*10000+SUM(Q14,AI14)*100+SUM(K14,AC14)+0.003,1,0)+IF(AV14*1000000+SUM(X14,AP14)*10000+SUM(R14,AJ14)*100+SUM(L14,AD14)+0.002&gt;AU14*1000000+SUM(W14,AO14)*10000+SUM(Q14,AI14)*100+SUM(K14,AC14)+0.003,1,0)+IF(AW14*1000000+SUM(Y14,AQ14)*10000+SUM(S14,AK14)*100+SUM(M14,AE14)+0.001&gt;AU14*1000000+SUM(W14,AO14)*10000+SUM(Q14,AI14)*100+SUM(K14,AC14)+0.003,1,0)=1,"S",IF(IF(AR14*1000000+SUM(T14,AL14)*10000+SUM(N14,AF14)*100+SUM(H14,Z14)+0.006&gt;AV14*1000000+SUM(X14,AP14)*10000+SUM(R14,AJ14)*100+SUM(L14,AD14)+0.002,1,0)+IF(AS14*1000000+SUM(U14,AM14)*10000+SUM(O14,AG14)*100+SUM(I14,AA14)+0.005&gt;AV14*1000000+SUM(X14,AP14)*10000+SUM(R14,AJ14)*100+SUM(L14,AD14)+0.002,1,0)+IF(AT14*1000000+SUM(V14,AN14)*10000+SUM(P14,AH14)*100+SUM(J14,AB14)+0.004&gt;AV14*1000000+SUM(X14,AP14)*10000+SUM(R14,AJ14)*100+SUM(L14,AD14)+0.002,1,0)+IF(AU14*1000000+SUM(W14,AO14)*10000+SUM(Q14,AI14)*100+SUM(K14,AC14)+0.003&gt;AV14*1000000+SUM(X14,AP14)*10000+SUM(R14,AJ14)*100+SUM(L14,AD14)+0.002,1,0)+IF(AW14*1000000+SUM(Y14,AQ14)*10000+SUM(S14,AK14)*100+SUM(M14,AE14)+0.001&gt;AV14*1000000+SUM(X14,AP14)*10000+SUM(R14,AJ14)*100+SUM(L14,AD14)+0.002,1,0)=1,"E",IF(IF(AR14*1000000+SUM(T14,AL14)*10000+SUM(N14,AF14)*100+SUM(H14,Z14)+0.006&gt;AW14*1000000+SUM(Y14,AQ14)*10000+SUM(S14,AK14)*100+SUM(M14,AE14)+0.001,1,0)+IF(AS14*1000000+SUM(U14,AM14)*10000+SUM(O14,AG14)*100+SUM(I14,AA14)+0.005&gt;AW14*1000000+SUM(Y14,AQ14)*10000+SUM(S14,AK14)*100+SUM(M14,AE14)+0.001,1,0)+IF(AT14*1000000+SUM(V14,AN14)*10000+SUM(P14,AH14)*100+SUM(J14,AB14)+0.004&gt;AW14*1000000+SUM(Y14,AQ14)*10000+SUM(S14,AK14)*100+SUM(M14,AE14)+0.001,1,0)+IF(AU14*1000000+SUM(W14,AO14)*10000+SUM(Q14,AI14)*100+SUM(K14,AC14)+0.003&gt;AW14*1000000+SUM(Y14,AQ14)*10000+SUM(S14,AK14)*100+SUM(M14,AE14)+0.001,1,0)+IF(AV14*1000000+SUM(X14,AP14)*10000+SUM(R14,AJ14)*100+SUM(L14,AD14)+0.002&gt;AW14*1000000+SUM(Y14,AQ14)*10000+SUM(S14,AK14)*100+SUM(M14,AE14)+0.001,1,0)=1,"C",""))))))&amp;IF(IF(AS14*1000000+SUM(U14,AM14)*10000+SUM(O14,AG14)*100+SUM(I14,AA14)+0.005&gt;AR14*1000000+SUM(T14,AL14)*10000+SUM(N14,AF14)*100+SUM(H14,Z14)+0.006,1,0)+IF(AT14*1000000+SUM(V14,AN14)*10000+SUM(P14,AH14)*100+SUM(J14,AB14)+0.004&gt;AR14*1000000+SUM(T14,AL14)*10000+SUM(N14,AF14)*100+SUM(H14,Z14)+0.006,1,0)+IF(AU14*1000000+SUM(W14,AO14)*10000+SUM(Q14,AI14)*100+SUM(K14,AC14)+0.003&gt;AR14*1000000+SUM(T14,AL14)*10000+SUM(N14,AF14)*100+SUM(H14,Z14)+0.006,1,0)+IF(AV14*1000000+SUM(X14,AP14)*10000+SUM(R14,AJ14)*100+SUM(L14,AD14)+0.002&gt;AR14*1000000+SUM(T14,AL14)*10000+SUM(N14,AF14)*100+SUM(H14,Z14)+0.006,1,0)+IF(AW14*1000000+SUM(Y14,AQ14)*10000+SUM(S14,AK14)*100+SUM(M14,AE14)+0.001&gt;AR14*1000000+SUM(T14,AL14)*10000+SUM(N14,AF14)*100+SUM(H14,Z14)+0.006,1,0)=2,"R",IF(IF(AR14*1000000+SUM(T14,AL14)*10000+SUM(N14,AF14)*100+SUM(H14,Z14)+0.006&gt;AS14*1000000+SUM(U14,AM14)*10000+SUM(O14,AG14)*100+SUM(I14,AA14)+0.005,1,0)+IF(AT14*1000000+SUM(V14,AN14)*10000+SUM(P14,AH14)*100+SUM(J14,AB14)+0.004&gt;AS14*1000000+SUM(U14,AM14)*10000+SUM(O14,AG14)*100+SUM(I14,AA14)+0.005,1,0)+IF(AU14*1000000+SUM(W14,AO14)*10000+SUM(Q14,AI14)*100+SUM(K14,AC14)+0.003&gt;AS14*1000000+SUM(U14,AM14)*10000+SUM(O14,AG14)*100+SUM(I14,AA14)+0.005,1,0)+IF(AV14*1000000+SUM(X14,AP14)*10000+SUM(R14,AJ14)*100+SUM(L14,AD14)+0.002&gt;AS14*1000000+SUM(U14,AM14)*10000+SUM(O14,AG14)*100+SUM(I14,AA14)+0.005,1,0)+IF(AW14*1000000+SUM(Y14,AQ14)*10000+SUM(S14,AK14)*100+SUM(M14,AE14)+0.001&gt;AS14*1000000+SUM(U14,AM14)*10000+SUM(O14,AG14)*100+SUM(I14,AA14)+0.005,1,0)=2,"I",IF(IF(AR14*1000000+SUM(T14,AL14)*10000+SUM(N14,AF14)*100+SUM(H14,Z14)+0.006&gt;AT14*1000000+SUM(V14,AN14)*10000+SUM(P14,AH14)*100+SUM(J14,AB14)+0.004,1,0)+IF(AS14*1000000+SUM(U14,AM14)*10000+SUM(O14,AG14)*100+SUM(I14,AA14)+0.005&gt;AT14*1000000+SUM(V14,AN14)*10000+SUM(P14,AH14)*100+SUM(J14,AB14)+0.004,1,0)+IF(AU14*1000000+SUM(W14,AO14)*10000+SUM(Q14,AI14)*100+SUM(K14,AC14)+0.003&gt;AT14*1000000+SUM(V14,AN14)*10000+SUM(P14,AH14)*100+SUM(J14,AB14)+0.004,1,0)+IF(AV14*1000000+SUM(X14,AP14)*10000+SUM(R14,AJ14)*100+SUM(L14,AD14)+0.002&gt;AT14*1000000+SUM(V14,AN14)*10000+SUM(P14,AH14)*100+SUM(J14,AB14)+0.004,1,0)+IF(AW14*1000000+SUM(Y14,AQ14)*10000+SUM(S14,AK14)*100+SUM(M14,AE14)+0.001&gt;AT14*1000000+SUM(V14,AN14)*10000+SUM(P14,AH14)*100+SUM(J14,AB14)+0.004,1,0)=2,"A",IF(IF(AR14*1000000+SUM(T14,AL14)*10000+SUM(N14,AF14)*100+SUM(H14,Z14)+0.006&gt;AU14*1000000+SUM(W14,AO14)*10000+SUM(Q14,AI14)*100+SUM(K14,AC14)+0.003,1,0)+IF(AS14*1000000+SUM(U14,AM14)*10000+SUM(O14,AG14)*100+SUM(I14,AA14)+0.005&gt;AU14*1000000+SUM(W14,AO14)*10000+SUM(Q14,AI14)*100+SUM(K14,AC14)+0.003,1,0)+IF(AT14*1000000+SUM(V14,AN14)*10000+SUM(P14,AH14)*100+SUM(J14,AB14)+0.004&gt;AU14*1000000+SUM(W14,AO14)*10000+SUM(Q14,AI14)*100+SUM(K14,AC14)+0.003,1,0)+IF(AV14*1000000+SUM(X14,AP14)*10000+SUM(R14,AJ14)*100+SUM(L14,AD14)+0.002&gt;AU14*1000000+SUM(W14,AO14)*10000+SUM(Q14,AI14)*100+SUM(K14,AC14)+0.003,1,0)+IF(AW14*1000000+SUM(Y14,AQ14)*10000+SUM(S14,AK14)*100+SUM(M14,AE14)+0.001&gt;AU14*1000000+SUM(W14,AO14)*10000+SUM(Q14,AI14)*100+SUM(K14,AC14)+0.003,1,0)=2,"S",IF(IF(AR14*1000000+SUM(T14,AL14)*10000+SUM(N14,AF14)*100+SUM(H14,Z14)+0.006&gt;AV14*1000000+SUM(X14,AP14)*10000+SUM(R14,AJ14)*100+SUM(L14,AD14)+0.002,1,0)+IF(AS14*1000000+SUM(U14,AM14)*10000+SUM(O14,AG14)*100+SUM(I14,AA14)+0.005&gt;AV14*1000000+SUM(X14,AP14)*10000+SUM(R14,AJ14)*100+SUM(L14,AD14)+0.002,1,0)+IF(AT14*1000000+SUM(V14,AN14)*10000+SUM(P14,AH14)*100+SUM(J14,AB14)+0.004&gt;AV14*1000000+SUM(X14,AP14)*10000+SUM(R14,AJ14)*100+SUM(L14,AD14)+0.002,1,0)+IF(AU14*1000000+SUM(W14,AO14)*10000+SUM(Q14,AI14)*100+SUM(K14,AC14)+0.003&gt;AV14*1000000+SUM(X14,AP14)*10000+SUM(R14,AJ14)*100+SUM(L14,AD14)+0.002,1,0)+IF(AW14*1000000+SUM(Y14,AQ14)*10000+SUM(S14,AK14)*100+SUM(M14,AE14)+0.001&gt;AV14*1000000+SUM(X14,AP14)*10000+SUM(R14,AJ14)*100+SUM(L14,AD14)+0.002,1,0)=2,"E",IF(IF(AR14*1000000+SUM(T14,AL14)*10000+SUM(N14,AF14)*100+SUM(H14,Z14)+0.006&gt;AW14*1000000+SUM(Y14,AQ14)*10000+SUM(S14,AK14)*100+SUM(M14,AE14)+0.001,1,0)+IF(AS14*1000000+SUM(U14,AM14)*10000+SUM(O14,AG14)*100+SUM(I14,AA14)+0.005&gt;AW14*1000000+SUM(Y14,AQ14)*10000+SUM(S14,AK14)*100+SUM(M14,AE14)+0.001,1,0)+IF(AT14*1000000+SUM(V14,AN14)*10000+SUM(P14,AH14)*100+SUM(J14,AB14)+0.004&gt;AW14*1000000+SUM(Y14,AQ14)*10000+SUM(S14,AK14)*100+SUM(M14,AE14)+0.001,1,0)+IF(AU14*1000000+SUM(W14,AO14)*10000+SUM(Q14,AI14)*100+SUM(K14,AC14)+0.003&gt;AW14*1000000+SUM(Y14,AQ14)*10000+SUM(S14,AK14)*100+SUM(M14,AE14)+0.001,1,0)+IF(AV14*1000000+SUM(X14,AP14)*10000+SUM(R14,AJ14)*100+SUM(L14,AD14)+0.002&gt;AW14*1000000+SUM(Y14,AQ14)*10000+SUM(S14,AK14)*100+SUM(M14,AE14)+0.001,1,0)=2,"C","")))))))</x:f>
      </x:c>
      <x:c r="AY14" s="27" t="str">
        <x:f>IF(C14="","",IF(LEFT(AX14,1)="R","นักปฏิบัติ",IF(LEFT(AX14,1)="I","นักคิดวิเคราะห์",IF(LEFT(AX14,1)="A","นักสร้างสรรค์",IF(LEFT(AX14,1)="S","ผู้เข้าใจผู้คน",IF(LEFT(AX14,1)="E","ผู้นำการเปลี่ยนแปลง","ผู้จัดระบบ"))))))</x:f>
      </x:c>
    </x:row>
    <x:row r="15">
      <x:c r="A15" s="27"/>
      <x:c r="B15" s="28"/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  <x:c r="N15" s="27"/>
      <x:c r="O15" s="27"/>
      <x:c r="P15" s="27"/>
      <x:c r="Q15" s="27"/>
      <x:c r="R15" s="27"/>
      <x:c r="S15" s="27"/>
      <x:c r="T15" s="27"/>
      <x:c r="U15" s="27"/>
      <x:c r="V15" s="27"/>
      <x:c r="W15" s="27"/>
      <x:c r="X15" s="27"/>
      <x:c r="Y15" s="27"/>
      <x:c r="Z15" s="27"/>
      <x:c r="AA15" s="27"/>
      <x:c r="AB15" s="27"/>
      <x:c r="AC15" s="27"/>
      <x:c r="AD15" s="27"/>
      <x:c r="AE15" s="27"/>
      <x:c r="AF15" s="27"/>
      <x:c r="AG15" s="27"/>
      <x:c r="AH15" s="27"/>
      <x:c r="AI15" s="27"/>
      <x:c r="AJ15" s="27"/>
      <x:c r="AK15" s="27"/>
      <x:c r="AL15" s="27"/>
      <x:c r="AM15" s="27"/>
      <x:c r="AN15" s="27"/>
      <x:c r="AO15" s="27"/>
      <x:c r="AP15" s="27"/>
      <x:c r="AQ15" s="27"/>
      <x:c r="AR15" s="27" t="str">
        <x:f>IF(C15="","",SUM(H15,N15,T15,Z15,AF15,AL15))</x:f>
      </x:c>
      <x:c r="AS15" s="27" t="str">
        <x:f>IF(C15="","",SUM(I15,O15,U15,AA15,AG15,AM15))</x:f>
      </x:c>
      <x:c r="AT15" s="27" t="str">
        <x:f>IF(C15="","",SUM(J15,P15,V15,AB15,AH15,AN15))</x:f>
      </x:c>
      <x:c r="AU15" s="27" t="str">
        <x:f>IF(C15="","",SUM(K15,Q15,W15,AC15,AI15,AO15))</x:f>
      </x:c>
      <x:c r="AV15" s="27" t="str">
        <x:f>IF(C15="","",SUM(L15,R15,X15,AD15,AJ15,AP15))</x:f>
      </x:c>
      <x:c r="AW15" s="27" t="str">
        <x:f>IF(C15="","",SUM(M15,S15,Y15,AE15,AK15,AQ15))</x:f>
      </x:c>
      <x:c r="AX15" s="27" t="str">
        <x:f>IF(C15="","",IF(IF(AS15*1000000+SUM(U15,AM15)*10000+SUM(O15,AG15)*100+SUM(I15,AA15)+0.005&gt;AR15*1000000+SUM(T15,AL15)*10000+SUM(N15,AF15)*100+SUM(H15,Z15)+0.006,1,0)+IF(AT15*1000000+SUM(V15,AN15)*10000+SUM(P15,AH15)*100+SUM(J15,AB15)+0.004&gt;AR15*1000000+SUM(T15,AL15)*10000+SUM(N15,AF15)*100+SUM(H15,Z15)+0.006,1,0)+IF(AU15*1000000+SUM(W15,AO15)*10000+SUM(Q15,AI15)*100+SUM(K15,AC15)+0.003&gt;AR15*1000000+SUM(T15,AL15)*10000+SUM(N15,AF15)*100+SUM(H15,Z15)+0.006,1,0)+IF(AV15*1000000+SUM(X15,AP15)*10000+SUM(R15,AJ15)*100+SUM(L15,AD15)+0.002&gt;AR15*1000000+SUM(T15,AL15)*10000+SUM(N15,AF15)*100+SUM(H15,Z15)+0.006,1,0)+IF(AW15*1000000+SUM(Y15,AQ15)*10000+SUM(S15,AK15)*100+SUM(M15,AE15)+0.001&gt;AR15*1000000+SUM(T15,AL15)*10000+SUM(N15,AF15)*100+SUM(H15,Z15)+0.006,1,0)=0,"R",IF(IF(AR15*1000000+SUM(T15,AL15)*10000+SUM(N15,AF15)*100+SUM(H15,Z15)+0.006&gt;AS15*1000000+SUM(U15,AM15)*10000+SUM(O15,AG15)*100+SUM(I15,AA15)+0.005,1,0)+IF(AT15*1000000+SUM(V15,AN15)*10000+SUM(P15,AH15)*100+SUM(J15,AB15)+0.004&gt;AS15*1000000+SUM(U15,AM15)*10000+SUM(O15,AG15)*100+SUM(I15,AA15)+0.005,1,0)+IF(AU15*1000000+SUM(W15,AO15)*10000+SUM(Q15,AI15)*100+SUM(K15,AC15)+0.003&gt;AS15*1000000+SUM(U15,AM15)*10000+SUM(O15,AG15)*100+SUM(I15,AA15)+0.005,1,0)+IF(AV15*1000000+SUM(X15,AP15)*10000+SUM(R15,AJ15)*100+SUM(L15,AD15)+0.002&gt;AS15*1000000+SUM(U15,AM15)*10000+SUM(O15,AG15)*100+SUM(I15,AA15)+0.005,1,0)+IF(AW15*1000000+SUM(Y15,AQ15)*10000+SUM(S15,AK15)*100+SUM(M15,AE15)+0.001&gt;AS15*1000000+SUM(U15,AM15)*10000+SUM(O15,AG15)*100+SUM(I15,AA15)+0.005,1,0)=0,"I",IF(IF(AR15*1000000+SUM(T15,AL15)*10000+SUM(N15,AF15)*100+SUM(H15,Z15)+0.006&gt;AT15*1000000+SUM(V15,AN15)*10000+SUM(P15,AH15)*100+SUM(J15,AB15)+0.004,1,0)+IF(AS15*1000000+SUM(U15,AM15)*10000+SUM(O15,AG15)*100+SUM(I15,AA15)+0.005&gt;AT15*1000000+SUM(V15,AN15)*10000+SUM(P15,AH15)*100+SUM(J15,AB15)+0.004,1,0)+IF(AU15*1000000+SUM(W15,AO15)*10000+SUM(Q15,AI15)*100+SUM(K15,AC15)+0.003&gt;AT15*1000000+SUM(V15,AN15)*10000+SUM(P15,AH15)*100+SUM(J15,AB15)+0.004,1,0)+IF(AV15*1000000+SUM(X15,AP15)*10000+SUM(R15,AJ15)*100+SUM(L15,AD15)+0.002&gt;AT15*1000000+SUM(V15,AN15)*10000+SUM(P15,AH15)*100+SUM(J15,AB15)+0.004,1,0)+IF(AW15*1000000+SUM(Y15,AQ15)*10000+SUM(S15,AK15)*100+SUM(M15,AE15)+0.001&gt;AT15*1000000+SUM(V15,AN15)*10000+SUM(P15,AH15)*100+SUM(J15,AB15)+0.004,1,0)=0,"A",IF(IF(AR15*1000000+SUM(T15,AL15)*10000+SUM(N15,AF15)*100+SUM(H15,Z15)+0.006&gt;AU15*1000000+SUM(W15,AO15)*10000+SUM(Q15,AI15)*100+SUM(K15,AC15)+0.003,1,0)+IF(AS15*1000000+SUM(U15,AM15)*10000+SUM(O15,AG15)*100+SUM(I15,AA15)+0.005&gt;AU15*1000000+SUM(W15,AO15)*10000+SUM(Q15,AI15)*100+SUM(K15,AC15)+0.003,1,0)+IF(AT15*1000000+SUM(V15,AN15)*10000+SUM(P15,AH15)*100+SUM(J15,AB15)+0.004&gt;AU15*1000000+SUM(W15,AO15)*10000+SUM(Q15,AI15)*100+SUM(K15,AC15)+0.003,1,0)+IF(AV15*1000000+SUM(X15,AP15)*10000+SUM(R15,AJ15)*100+SUM(L15,AD15)+0.002&gt;AU15*1000000+SUM(W15,AO15)*10000+SUM(Q15,AI15)*100+SUM(K15,AC15)+0.003,1,0)+IF(AW15*1000000+SUM(Y15,AQ15)*10000+SUM(S15,AK15)*100+SUM(M15,AE15)+0.001&gt;AU15*1000000+SUM(W15,AO15)*10000+SUM(Q15,AI15)*100+SUM(K15,AC15)+0.003,1,0)=0,"S",IF(IF(AR15*1000000+SUM(T15,AL15)*10000+SUM(N15,AF15)*100+SUM(H15,Z15)+0.006&gt;AV15*1000000+SUM(X15,AP15)*10000+SUM(R15,AJ15)*100+SUM(L15,AD15)+0.002,1,0)+IF(AS15*1000000+SUM(U15,AM15)*10000+SUM(O15,AG15)*100+SUM(I15,AA15)+0.005&gt;AV15*1000000+SUM(X15,AP15)*10000+SUM(R15,AJ15)*100+SUM(L15,AD15)+0.002,1,0)+IF(AT15*1000000+SUM(V15,AN15)*10000+SUM(P15,AH15)*100+SUM(J15,AB15)+0.004&gt;AV15*1000000+SUM(X15,AP15)*10000+SUM(R15,AJ15)*100+SUM(L15,AD15)+0.002,1,0)+IF(AU15*1000000+SUM(W15,AO15)*10000+SUM(Q15,AI15)*100+SUM(K15,AC15)+0.003&gt;AV15*1000000+SUM(X15,AP15)*10000+SUM(R15,AJ15)*100+SUM(L15,AD15)+0.002,1,0)+IF(AW15*1000000+SUM(Y15,AQ15)*10000+SUM(S15,AK15)*100+SUM(M15,AE15)+0.001&gt;AV15*1000000+SUM(X15,AP15)*10000+SUM(R15,AJ15)*100+SUM(L15,AD15)+0.002,1,0)=0,"E",IF(IF(AR15*1000000+SUM(T15,AL15)*10000+SUM(N15,AF15)*100+SUM(H15,Z15)+0.006&gt;AW15*1000000+SUM(Y15,AQ15)*10000+SUM(S15,AK15)*100+SUM(M15,AE15)+0.001,1,0)+IF(AS15*1000000+SUM(U15,AM15)*10000+SUM(O15,AG15)*100+SUM(I15,AA15)+0.005&gt;AW15*1000000+SUM(Y15,AQ15)*10000+SUM(S15,AK15)*100+SUM(M15,AE15)+0.001,1,0)+IF(AT15*1000000+SUM(V15,AN15)*10000+SUM(P15,AH15)*100+SUM(J15,AB15)+0.004&gt;AW15*1000000+SUM(Y15,AQ15)*10000+SUM(S15,AK15)*100+SUM(M15,AE15)+0.001,1,0)+IF(AU15*1000000+SUM(W15,AO15)*10000+SUM(Q15,AI15)*100+SUM(K15,AC15)+0.003&gt;AW15*1000000+SUM(Y15,AQ15)*10000+SUM(S15,AK15)*100+SUM(M15,AE15)+0.001,1,0)+IF(AV15*1000000+SUM(X15,AP15)*10000+SUM(R15,AJ15)*100+SUM(L15,AD15)+0.002&gt;AW15*1000000+SUM(Y15,AQ15)*10000+SUM(S15,AK15)*100+SUM(M15,AE15)+0.001,1,0)=0,"C",""))))))&amp;IF(IF(AS15*1000000+SUM(U15,AM15)*10000+SUM(O15,AG15)*100+SUM(I15,AA15)+0.005&gt;AR15*1000000+SUM(T15,AL15)*10000+SUM(N15,AF15)*100+SUM(H15,Z15)+0.006,1,0)+IF(AT15*1000000+SUM(V15,AN15)*10000+SUM(P15,AH15)*100+SUM(J15,AB15)+0.004&gt;AR15*1000000+SUM(T15,AL15)*10000+SUM(N15,AF15)*100+SUM(H15,Z15)+0.006,1,0)+IF(AU15*1000000+SUM(W15,AO15)*10000+SUM(Q15,AI15)*100+SUM(K15,AC15)+0.003&gt;AR15*1000000+SUM(T15,AL15)*10000+SUM(N15,AF15)*100+SUM(H15,Z15)+0.006,1,0)+IF(AV15*1000000+SUM(X15,AP15)*10000+SUM(R15,AJ15)*100+SUM(L15,AD15)+0.002&gt;AR15*1000000+SUM(T15,AL15)*10000+SUM(N15,AF15)*100+SUM(H15,Z15)+0.006,1,0)+IF(AW15*1000000+SUM(Y15,AQ15)*10000+SUM(S15,AK15)*100+SUM(M15,AE15)+0.001&gt;AR15*1000000+SUM(T15,AL15)*10000+SUM(N15,AF15)*100+SUM(H15,Z15)+0.006,1,0)=1,"R",IF(IF(AR15*1000000+SUM(T15,AL15)*10000+SUM(N15,AF15)*100+SUM(H15,Z15)+0.006&gt;AS15*1000000+SUM(U15,AM15)*10000+SUM(O15,AG15)*100+SUM(I15,AA15)+0.005,1,0)+IF(AT15*1000000+SUM(V15,AN15)*10000+SUM(P15,AH15)*100+SUM(J15,AB15)+0.004&gt;AS15*1000000+SUM(U15,AM15)*10000+SUM(O15,AG15)*100+SUM(I15,AA15)+0.005,1,0)+IF(AU15*1000000+SUM(W15,AO15)*10000+SUM(Q15,AI15)*100+SUM(K15,AC15)+0.003&gt;AS15*1000000+SUM(U15,AM15)*10000+SUM(O15,AG15)*100+SUM(I15,AA15)+0.005,1,0)+IF(AV15*1000000+SUM(X15,AP15)*10000+SUM(R15,AJ15)*100+SUM(L15,AD15)+0.002&gt;AS15*1000000+SUM(U15,AM15)*10000+SUM(O15,AG15)*100+SUM(I15,AA15)+0.005,1,0)+IF(AW15*1000000+SUM(Y15,AQ15)*10000+SUM(S15,AK15)*100+SUM(M15,AE15)+0.001&gt;AS15*1000000+SUM(U15,AM15)*10000+SUM(O15,AG15)*100+SUM(I15,AA15)+0.005,1,0)=1,"I",IF(IF(AR15*1000000+SUM(T15,AL15)*10000+SUM(N15,AF15)*100+SUM(H15,Z15)+0.006&gt;AT15*1000000+SUM(V15,AN15)*10000+SUM(P15,AH15)*100+SUM(J15,AB15)+0.004,1,0)+IF(AS15*1000000+SUM(U15,AM15)*10000+SUM(O15,AG15)*100+SUM(I15,AA15)+0.005&gt;AT15*1000000+SUM(V15,AN15)*10000+SUM(P15,AH15)*100+SUM(J15,AB15)+0.004,1,0)+IF(AU15*1000000+SUM(W15,AO15)*10000+SUM(Q15,AI15)*100+SUM(K15,AC15)+0.003&gt;AT15*1000000+SUM(V15,AN15)*10000+SUM(P15,AH15)*100+SUM(J15,AB15)+0.004,1,0)+IF(AV15*1000000+SUM(X15,AP15)*10000+SUM(R15,AJ15)*100+SUM(L15,AD15)+0.002&gt;AT15*1000000+SUM(V15,AN15)*10000+SUM(P15,AH15)*100+SUM(J15,AB15)+0.004,1,0)+IF(AW15*1000000+SUM(Y15,AQ15)*10000+SUM(S15,AK15)*100+SUM(M15,AE15)+0.001&gt;AT15*1000000+SUM(V15,AN15)*10000+SUM(P15,AH15)*100+SUM(J15,AB15)+0.004,1,0)=1,"A",IF(IF(AR15*1000000+SUM(T15,AL15)*10000+SUM(N15,AF15)*100+SUM(H15,Z15)+0.006&gt;AU15*1000000+SUM(W15,AO15)*10000+SUM(Q15,AI15)*100+SUM(K15,AC15)+0.003,1,0)+IF(AS15*1000000+SUM(U15,AM15)*10000+SUM(O15,AG15)*100+SUM(I15,AA15)+0.005&gt;AU15*1000000+SUM(W15,AO15)*10000+SUM(Q15,AI15)*100+SUM(K15,AC15)+0.003,1,0)+IF(AT15*1000000+SUM(V15,AN15)*10000+SUM(P15,AH15)*100+SUM(J15,AB15)+0.004&gt;AU15*1000000+SUM(W15,AO15)*10000+SUM(Q15,AI15)*100+SUM(K15,AC15)+0.003,1,0)+IF(AV15*1000000+SUM(X15,AP15)*10000+SUM(R15,AJ15)*100+SUM(L15,AD15)+0.002&gt;AU15*1000000+SUM(W15,AO15)*10000+SUM(Q15,AI15)*100+SUM(K15,AC15)+0.003,1,0)+IF(AW15*1000000+SUM(Y15,AQ15)*10000+SUM(S15,AK15)*100+SUM(M15,AE15)+0.001&gt;AU15*1000000+SUM(W15,AO15)*10000+SUM(Q15,AI15)*100+SUM(K15,AC15)+0.003,1,0)=1,"S",IF(IF(AR15*1000000+SUM(T15,AL15)*10000+SUM(N15,AF15)*100+SUM(H15,Z15)+0.006&gt;AV15*1000000+SUM(X15,AP15)*10000+SUM(R15,AJ15)*100+SUM(L15,AD15)+0.002,1,0)+IF(AS15*1000000+SUM(U15,AM15)*10000+SUM(O15,AG15)*100+SUM(I15,AA15)+0.005&gt;AV15*1000000+SUM(X15,AP15)*10000+SUM(R15,AJ15)*100+SUM(L15,AD15)+0.002,1,0)+IF(AT15*1000000+SUM(V15,AN15)*10000+SUM(P15,AH15)*100+SUM(J15,AB15)+0.004&gt;AV15*1000000+SUM(X15,AP15)*10000+SUM(R15,AJ15)*100+SUM(L15,AD15)+0.002,1,0)+IF(AU15*1000000+SUM(W15,AO15)*10000+SUM(Q15,AI15)*100+SUM(K15,AC15)+0.003&gt;AV15*1000000+SUM(X15,AP15)*10000+SUM(R15,AJ15)*100+SUM(L15,AD15)+0.002,1,0)+IF(AW15*1000000+SUM(Y15,AQ15)*10000+SUM(S15,AK15)*100+SUM(M15,AE15)+0.001&gt;AV15*1000000+SUM(X15,AP15)*10000+SUM(R15,AJ15)*100+SUM(L15,AD15)+0.002,1,0)=1,"E",IF(IF(AR15*1000000+SUM(T15,AL15)*10000+SUM(N15,AF15)*100+SUM(H15,Z15)+0.006&gt;AW15*1000000+SUM(Y15,AQ15)*10000+SUM(S15,AK15)*100+SUM(M15,AE15)+0.001,1,0)+IF(AS15*1000000+SUM(U15,AM15)*10000+SUM(O15,AG15)*100+SUM(I15,AA15)+0.005&gt;AW15*1000000+SUM(Y15,AQ15)*10000+SUM(S15,AK15)*100+SUM(M15,AE15)+0.001,1,0)+IF(AT15*1000000+SUM(V15,AN15)*10000+SUM(P15,AH15)*100+SUM(J15,AB15)+0.004&gt;AW15*1000000+SUM(Y15,AQ15)*10000+SUM(S15,AK15)*100+SUM(M15,AE15)+0.001,1,0)+IF(AU15*1000000+SUM(W15,AO15)*10000+SUM(Q15,AI15)*100+SUM(K15,AC15)+0.003&gt;AW15*1000000+SUM(Y15,AQ15)*10000+SUM(S15,AK15)*100+SUM(M15,AE15)+0.001,1,0)+IF(AV15*1000000+SUM(X15,AP15)*10000+SUM(R15,AJ15)*100+SUM(L15,AD15)+0.002&gt;AW15*1000000+SUM(Y15,AQ15)*10000+SUM(S15,AK15)*100+SUM(M15,AE15)+0.001,1,0)=1,"C",""))))))&amp;IF(IF(AS15*1000000+SUM(U15,AM15)*10000+SUM(O15,AG15)*100+SUM(I15,AA15)+0.005&gt;AR15*1000000+SUM(T15,AL15)*10000+SUM(N15,AF15)*100+SUM(H15,Z15)+0.006,1,0)+IF(AT15*1000000+SUM(V15,AN15)*10000+SUM(P15,AH15)*100+SUM(J15,AB15)+0.004&gt;AR15*1000000+SUM(T15,AL15)*10000+SUM(N15,AF15)*100+SUM(H15,Z15)+0.006,1,0)+IF(AU15*1000000+SUM(W15,AO15)*10000+SUM(Q15,AI15)*100+SUM(K15,AC15)+0.003&gt;AR15*1000000+SUM(T15,AL15)*10000+SUM(N15,AF15)*100+SUM(H15,Z15)+0.006,1,0)+IF(AV15*1000000+SUM(X15,AP15)*10000+SUM(R15,AJ15)*100+SUM(L15,AD15)+0.002&gt;AR15*1000000+SUM(T15,AL15)*10000+SUM(N15,AF15)*100+SUM(H15,Z15)+0.006,1,0)+IF(AW15*1000000+SUM(Y15,AQ15)*10000+SUM(S15,AK15)*100+SUM(M15,AE15)+0.001&gt;AR15*1000000+SUM(T15,AL15)*10000+SUM(N15,AF15)*100+SUM(H15,Z15)+0.006,1,0)=2,"R",IF(IF(AR15*1000000+SUM(T15,AL15)*10000+SUM(N15,AF15)*100+SUM(H15,Z15)+0.006&gt;AS15*1000000+SUM(U15,AM15)*10000+SUM(O15,AG15)*100+SUM(I15,AA15)+0.005,1,0)+IF(AT15*1000000+SUM(V15,AN15)*10000+SUM(P15,AH15)*100+SUM(J15,AB15)+0.004&gt;AS15*1000000+SUM(U15,AM15)*10000+SUM(O15,AG15)*100+SUM(I15,AA15)+0.005,1,0)+IF(AU15*1000000+SUM(W15,AO15)*10000+SUM(Q15,AI15)*100+SUM(K15,AC15)+0.003&gt;AS15*1000000+SUM(U15,AM15)*10000+SUM(O15,AG15)*100+SUM(I15,AA15)+0.005,1,0)+IF(AV15*1000000+SUM(X15,AP15)*10000+SUM(R15,AJ15)*100+SUM(L15,AD15)+0.002&gt;AS15*1000000+SUM(U15,AM15)*10000+SUM(O15,AG15)*100+SUM(I15,AA15)+0.005,1,0)+IF(AW15*1000000+SUM(Y15,AQ15)*10000+SUM(S15,AK15)*100+SUM(M15,AE15)+0.001&gt;AS15*1000000+SUM(U15,AM15)*10000+SUM(O15,AG15)*100+SUM(I15,AA15)+0.005,1,0)=2,"I",IF(IF(AR15*1000000+SUM(T15,AL15)*10000+SUM(N15,AF15)*100+SUM(H15,Z15)+0.006&gt;AT15*1000000+SUM(V15,AN15)*10000+SUM(P15,AH15)*100+SUM(J15,AB15)+0.004,1,0)+IF(AS15*1000000+SUM(U15,AM15)*10000+SUM(O15,AG15)*100+SUM(I15,AA15)+0.005&gt;AT15*1000000+SUM(V15,AN15)*10000+SUM(P15,AH15)*100+SUM(J15,AB15)+0.004,1,0)+IF(AU15*1000000+SUM(W15,AO15)*10000+SUM(Q15,AI15)*100+SUM(K15,AC15)+0.003&gt;AT15*1000000+SUM(V15,AN15)*10000+SUM(P15,AH15)*100+SUM(J15,AB15)+0.004,1,0)+IF(AV15*1000000+SUM(X15,AP15)*10000+SUM(R15,AJ15)*100+SUM(L15,AD15)+0.002&gt;AT15*1000000+SUM(V15,AN15)*10000+SUM(P15,AH15)*100+SUM(J15,AB15)+0.004,1,0)+IF(AW15*1000000+SUM(Y15,AQ15)*10000+SUM(S15,AK15)*100+SUM(M15,AE15)+0.001&gt;AT15*1000000+SUM(V15,AN15)*10000+SUM(P15,AH15)*100+SUM(J15,AB15)+0.004,1,0)=2,"A",IF(IF(AR15*1000000+SUM(T15,AL15)*10000+SUM(N15,AF15)*100+SUM(H15,Z15)+0.006&gt;AU15*1000000+SUM(W15,AO15)*10000+SUM(Q15,AI15)*100+SUM(K15,AC15)+0.003,1,0)+IF(AS15*1000000+SUM(U15,AM15)*10000+SUM(O15,AG15)*100+SUM(I15,AA15)+0.005&gt;AU15*1000000+SUM(W15,AO15)*10000+SUM(Q15,AI15)*100+SUM(K15,AC15)+0.003,1,0)+IF(AT15*1000000+SUM(V15,AN15)*10000+SUM(P15,AH15)*100+SUM(J15,AB15)+0.004&gt;AU15*1000000+SUM(W15,AO15)*10000+SUM(Q15,AI15)*100+SUM(K15,AC15)+0.003,1,0)+IF(AV15*1000000+SUM(X15,AP15)*10000+SUM(R15,AJ15)*100+SUM(L15,AD15)+0.002&gt;AU15*1000000+SUM(W15,AO15)*10000+SUM(Q15,AI15)*100+SUM(K15,AC15)+0.003,1,0)+IF(AW15*1000000+SUM(Y15,AQ15)*10000+SUM(S15,AK15)*100+SUM(M15,AE15)+0.001&gt;AU15*1000000+SUM(W15,AO15)*10000+SUM(Q15,AI15)*100+SUM(K15,AC15)+0.003,1,0)=2,"S",IF(IF(AR15*1000000+SUM(T15,AL15)*10000+SUM(N15,AF15)*100+SUM(H15,Z15)+0.006&gt;AV15*1000000+SUM(X15,AP15)*10000+SUM(R15,AJ15)*100+SUM(L15,AD15)+0.002,1,0)+IF(AS15*1000000+SUM(U15,AM15)*10000+SUM(O15,AG15)*100+SUM(I15,AA15)+0.005&gt;AV15*1000000+SUM(X15,AP15)*10000+SUM(R15,AJ15)*100+SUM(L15,AD15)+0.002,1,0)+IF(AT15*1000000+SUM(V15,AN15)*10000+SUM(P15,AH15)*100+SUM(J15,AB15)+0.004&gt;AV15*1000000+SUM(X15,AP15)*10000+SUM(R15,AJ15)*100+SUM(L15,AD15)+0.002,1,0)+IF(AU15*1000000+SUM(W15,AO15)*10000+SUM(Q15,AI15)*100+SUM(K15,AC15)+0.003&gt;AV15*1000000+SUM(X15,AP15)*10000+SUM(R15,AJ15)*100+SUM(L15,AD15)+0.002,1,0)+IF(AW15*1000000+SUM(Y15,AQ15)*10000+SUM(S15,AK15)*100+SUM(M15,AE15)+0.001&gt;AV15*1000000+SUM(X15,AP15)*10000+SUM(R15,AJ15)*100+SUM(L15,AD15)+0.002,1,0)=2,"E",IF(IF(AR15*1000000+SUM(T15,AL15)*10000+SUM(N15,AF15)*100+SUM(H15,Z15)+0.006&gt;AW15*1000000+SUM(Y15,AQ15)*10000+SUM(S15,AK15)*100+SUM(M15,AE15)+0.001,1,0)+IF(AS15*1000000+SUM(U15,AM15)*10000+SUM(O15,AG15)*100+SUM(I15,AA15)+0.005&gt;AW15*1000000+SUM(Y15,AQ15)*10000+SUM(S15,AK15)*100+SUM(M15,AE15)+0.001,1,0)+IF(AT15*1000000+SUM(V15,AN15)*10000+SUM(P15,AH15)*100+SUM(J15,AB15)+0.004&gt;AW15*1000000+SUM(Y15,AQ15)*10000+SUM(S15,AK15)*100+SUM(M15,AE15)+0.001,1,0)+IF(AU15*1000000+SUM(W15,AO15)*10000+SUM(Q15,AI15)*100+SUM(K15,AC15)+0.003&gt;AW15*1000000+SUM(Y15,AQ15)*10000+SUM(S15,AK15)*100+SUM(M15,AE15)+0.001,1,0)+IF(AV15*1000000+SUM(X15,AP15)*10000+SUM(R15,AJ15)*100+SUM(L15,AD15)+0.002&gt;AW15*1000000+SUM(Y15,AQ15)*10000+SUM(S15,AK15)*100+SUM(M15,AE15)+0.001,1,0)=2,"C","")))))))</x:f>
      </x:c>
      <x:c r="AY15" s="27" t="str">
        <x:f>IF(C15="","",IF(LEFT(AX15,1)="R","นักปฏิบัติ",IF(LEFT(AX15,1)="I","นักคิดวิเคราะห์",IF(LEFT(AX15,1)="A","นักสร้างสรรค์",IF(LEFT(AX15,1)="S","ผู้เข้าใจผู้คน",IF(LEFT(AX15,1)="E","ผู้นำการเปลี่ยนแปลง","ผู้จัดระบบ"))))))</x:f>
      </x:c>
    </x:row>
    <x:row r="16">
      <x:c r="A16" s="27"/>
      <x:c r="B16" s="28"/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  <x:c r="N16" s="27"/>
      <x:c r="O16" s="27"/>
      <x:c r="P16" s="27"/>
      <x:c r="Q16" s="27"/>
      <x:c r="R16" s="27"/>
      <x:c r="S16" s="27"/>
      <x:c r="T16" s="27"/>
      <x:c r="U16" s="27"/>
      <x:c r="V16" s="27"/>
      <x:c r="W16" s="27"/>
      <x:c r="X16" s="27"/>
      <x:c r="Y16" s="27"/>
      <x:c r="Z16" s="27"/>
      <x:c r="AA16" s="27"/>
      <x:c r="AB16" s="27"/>
      <x:c r="AC16" s="27"/>
      <x:c r="AD16" s="27"/>
      <x:c r="AE16" s="27"/>
      <x:c r="AF16" s="27"/>
      <x:c r="AG16" s="27"/>
      <x:c r="AH16" s="27"/>
      <x:c r="AI16" s="27"/>
      <x:c r="AJ16" s="27"/>
      <x:c r="AK16" s="27"/>
      <x:c r="AL16" s="27"/>
      <x:c r="AM16" s="27"/>
      <x:c r="AN16" s="27"/>
      <x:c r="AO16" s="27"/>
      <x:c r="AP16" s="27"/>
      <x:c r="AQ16" s="27"/>
      <x:c r="AR16" s="27" t="str">
        <x:f>IF(C16="","",SUM(H16,N16,T16,Z16,AF16,AL16))</x:f>
      </x:c>
      <x:c r="AS16" s="27" t="str">
        <x:f>IF(C16="","",SUM(I16,O16,U16,AA16,AG16,AM16))</x:f>
      </x:c>
      <x:c r="AT16" s="27" t="str">
        <x:f>IF(C16="","",SUM(J16,P16,V16,AB16,AH16,AN16))</x:f>
      </x:c>
      <x:c r="AU16" s="27" t="str">
        <x:f>IF(C16="","",SUM(K16,Q16,W16,AC16,AI16,AO16))</x:f>
      </x:c>
      <x:c r="AV16" s="27" t="str">
        <x:f>IF(C16="","",SUM(L16,R16,X16,AD16,AJ16,AP16))</x:f>
      </x:c>
      <x:c r="AW16" s="27" t="str">
        <x:f>IF(C16="","",SUM(M16,S16,Y16,AE16,AK16,AQ16))</x:f>
      </x:c>
      <x:c r="AX16" s="27" t="str">
        <x:f>IF(C16="","",IF(IF(AS16*1000000+SUM(U16,AM16)*10000+SUM(O16,AG16)*100+SUM(I16,AA16)+0.005&gt;AR16*1000000+SUM(T16,AL16)*10000+SUM(N16,AF16)*100+SUM(H16,Z16)+0.006,1,0)+IF(AT16*1000000+SUM(V16,AN16)*10000+SUM(P16,AH16)*100+SUM(J16,AB16)+0.004&gt;AR16*1000000+SUM(T16,AL16)*10000+SUM(N16,AF16)*100+SUM(H16,Z16)+0.006,1,0)+IF(AU16*1000000+SUM(W16,AO16)*10000+SUM(Q16,AI16)*100+SUM(K16,AC16)+0.003&gt;AR16*1000000+SUM(T16,AL16)*10000+SUM(N16,AF16)*100+SUM(H16,Z16)+0.006,1,0)+IF(AV16*1000000+SUM(X16,AP16)*10000+SUM(R16,AJ16)*100+SUM(L16,AD16)+0.002&gt;AR16*1000000+SUM(T16,AL16)*10000+SUM(N16,AF16)*100+SUM(H16,Z16)+0.006,1,0)+IF(AW16*1000000+SUM(Y16,AQ16)*10000+SUM(S16,AK16)*100+SUM(M16,AE16)+0.001&gt;AR16*1000000+SUM(T16,AL16)*10000+SUM(N16,AF16)*100+SUM(H16,Z16)+0.006,1,0)=0,"R",IF(IF(AR16*1000000+SUM(T16,AL16)*10000+SUM(N16,AF16)*100+SUM(H16,Z16)+0.006&gt;AS16*1000000+SUM(U16,AM16)*10000+SUM(O16,AG16)*100+SUM(I16,AA16)+0.005,1,0)+IF(AT16*1000000+SUM(V16,AN16)*10000+SUM(P16,AH16)*100+SUM(J16,AB16)+0.004&gt;AS16*1000000+SUM(U16,AM16)*10000+SUM(O16,AG16)*100+SUM(I16,AA16)+0.005,1,0)+IF(AU16*1000000+SUM(W16,AO16)*10000+SUM(Q16,AI16)*100+SUM(K16,AC16)+0.003&gt;AS16*1000000+SUM(U16,AM16)*10000+SUM(O16,AG16)*100+SUM(I16,AA16)+0.005,1,0)+IF(AV16*1000000+SUM(X16,AP16)*10000+SUM(R16,AJ16)*100+SUM(L16,AD16)+0.002&gt;AS16*1000000+SUM(U16,AM16)*10000+SUM(O16,AG16)*100+SUM(I16,AA16)+0.005,1,0)+IF(AW16*1000000+SUM(Y16,AQ16)*10000+SUM(S16,AK16)*100+SUM(M16,AE16)+0.001&gt;AS16*1000000+SUM(U16,AM16)*10000+SUM(O16,AG16)*100+SUM(I16,AA16)+0.005,1,0)=0,"I",IF(IF(AR16*1000000+SUM(T16,AL16)*10000+SUM(N16,AF16)*100+SUM(H16,Z16)+0.006&gt;AT16*1000000+SUM(V16,AN16)*10000+SUM(P16,AH16)*100+SUM(J16,AB16)+0.004,1,0)+IF(AS16*1000000+SUM(U16,AM16)*10000+SUM(O16,AG16)*100+SUM(I16,AA16)+0.005&gt;AT16*1000000+SUM(V16,AN16)*10000+SUM(P16,AH16)*100+SUM(J16,AB16)+0.004,1,0)+IF(AU16*1000000+SUM(W16,AO16)*10000+SUM(Q16,AI16)*100+SUM(K16,AC16)+0.003&gt;AT16*1000000+SUM(V16,AN16)*10000+SUM(P16,AH16)*100+SUM(J16,AB16)+0.004,1,0)+IF(AV16*1000000+SUM(X16,AP16)*10000+SUM(R16,AJ16)*100+SUM(L16,AD16)+0.002&gt;AT16*1000000+SUM(V16,AN16)*10000+SUM(P16,AH16)*100+SUM(J16,AB16)+0.004,1,0)+IF(AW16*1000000+SUM(Y16,AQ16)*10000+SUM(S16,AK16)*100+SUM(M16,AE16)+0.001&gt;AT16*1000000+SUM(V16,AN16)*10000+SUM(P16,AH16)*100+SUM(J16,AB16)+0.004,1,0)=0,"A",IF(IF(AR16*1000000+SUM(T16,AL16)*10000+SUM(N16,AF16)*100+SUM(H16,Z16)+0.006&gt;AU16*1000000+SUM(W16,AO16)*10000+SUM(Q16,AI16)*100+SUM(K16,AC16)+0.003,1,0)+IF(AS16*1000000+SUM(U16,AM16)*10000+SUM(O16,AG16)*100+SUM(I16,AA16)+0.005&gt;AU16*1000000+SUM(W16,AO16)*10000+SUM(Q16,AI16)*100+SUM(K16,AC16)+0.003,1,0)+IF(AT16*1000000+SUM(V16,AN16)*10000+SUM(P16,AH16)*100+SUM(J16,AB16)+0.004&gt;AU16*1000000+SUM(W16,AO16)*10000+SUM(Q16,AI16)*100+SUM(K16,AC16)+0.003,1,0)+IF(AV16*1000000+SUM(X16,AP16)*10000+SUM(R16,AJ16)*100+SUM(L16,AD16)+0.002&gt;AU16*1000000+SUM(W16,AO16)*10000+SUM(Q16,AI16)*100+SUM(K16,AC16)+0.003,1,0)+IF(AW16*1000000+SUM(Y16,AQ16)*10000+SUM(S16,AK16)*100+SUM(M16,AE16)+0.001&gt;AU16*1000000+SUM(W16,AO16)*10000+SUM(Q16,AI16)*100+SUM(K16,AC16)+0.003,1,0)=0,"S",IF(IF(AR16*1000000+SUM(T16,AL16)*10000+SUM(N16,AF16)*100+SUM(H16,Z16)+0.006&gt;AV16*1000000+SUM(X16,AP16)*10000+SUM(R16,AJ16)*100+SUM(L16,AD16)+0.002,1,0)+IF(AS16*1000000+SUM(U16,AM16)*10000+SUM(O16,AG16)*100+SUM(I16,AA16)+0.005&gt;AV16*1000000+SUM(X16,AP16)*10000+SUM(R16,AJ16)*100+SUM(L16,AD16)+0.002,1,0)+IF(AT16*1000000+SUM(V16,AN16)*10000+SUM(P16,AH16)*100+SUM(J16,AB16)+0.004&gt;AV16*1000000+SUM(X16,AP16)*10000+SUM(R16,AJ16)*100+SUM(L16,AD16)+0.002,1,0)+IF(AU16*1000000+SUM(W16,AO16)*10000+SUM(Q16,AI16)*100+SUM(K16,AC16)+0.003&gt;AV16*1000000+SUM(X16,AP16)*10000+SUM(R16,AJ16)*100+SUM(L16,AD16)+0.002,1,0)+IF(AW16*1000000+SUM(Y16,AQ16)*10000+SUM(S16,AK16)*100+SUM(M16,AE16)+0.001&gt;AV16*1000000+SUM(X16,AP16)*10000+SUM(R16,AJ16)*100+SUM(L16,AD16)+0.002,1,0)=0,"E",IF(IF(AR16*1000000+SUM(T16,AL16)*10000+SUM(N16,AF16)*100+SUM(H16,Z16)+0.006&gt;AW16*1000000+SUM(Y16,AQ16)*10000+SUM(S16,AK16)*100+SUM(M16,AE16)+0.001,1,0)+IF(AS16*1000000+SUM(U16,AM16)*10000+SUM(O16,AG16)*100+SUM(I16,AA16)+0.005&gt;AW16*1000000+SUM(Y16,AQ16)*10000+SUM(S16,AK16)*100+SUM(M16,AE16)+0.001,1,0)+IF(AT16*1000000+SUM(V16,AN16)*10000+SUM(P16,AH16)*100+SUM(J16,AB16)+0.004&gt;AW16*1000000+SUM(Y16,AQ16)*10000+SUM(S16,AK16)*100+SUM(M16,AE16)+0.001,1,0)+IF(AU16*1000000+SUM(W16,AO16)*10000+SUM(Q16,AI16)*100+SUM(K16,AC16)+0.003&gt;AW16*1000000+SUM(Y16,AQ16)*10000+SUM(S16,AK16)*100+SUM(M16,AE16)+0.001,1,0)+IF(AV16*1000000+SUM(X16,AP16)*10000+SUM(R16,AJ16)*100+SUM(L16,AD16)+0.002&gt;AW16*1000000+SUM(Y16,AQ16)*10000+SUM(S16,AK16)*100+SUM(M16,AE16)+0.001,1,0)=0,"C",""))))))&amp;IF(IF(AS16*1000000+SUM(U16,AM16)*10000+SUM(O16,AG16)*100+SUM(I16,AA16)+0.005&gt;AR16*1000000+SUM(T16,AL16)*10000+SUM(N16,AF16)*100+SUM(H16,Z16)+0.006,1,0)+IF(AT16*1000000+SUM(V16,AN16)*10000+SUM(P16,AH16)*100+SUM(J16,AB16)+0.004&gt;AR16*1000000+SUM(T16,AL16)*10000+SUM(N16,AF16)*100+SUM(H16,Z16)+0.006,1,0)+IF(AU16*1000000+SUM(W16,AO16)*10000+SUM(Q16,AI16)*100+SUM(K16,AC16)+0.003&gt;AR16*1000000+SUM(T16,AL16)*10000+SUM(N16,AF16)*100+SUM(H16,Z16)+0.006,1,0)+IF(AV16*1000000+SUM(X16,AP16)*10000+SUM(R16,AJ16)*100+SUM(L16,AD16)+0.002&gt;AR16*1000000+SUM(T16,AL16)*10000+SUM(N16,AF16)*100+SUM(H16,Z16)+0.006,1,0)+IF(AW16*1000000+SUM(Y16,AQ16)*10000+SUM(S16,AK16)*100+SUM(M16,AE16)+0.001&gt;AR16*1000000+SUM(T16,AL16)*10000+SUM(N16,AF16)*100+SUM(H16,Z16)+0.006,1,0)=1,"R",IF(IF(AR16*1000000+SUM(T16,AL16)*10000+SUM(N16,AF16)*100+SUM(H16,Z16)+0.006&gt;AS16*1000000+SUM(U16,AM16)*10000+SUM(O16,AG16)*100+SUM(I16,AA16)+0.005,1,0)+IF(AT16*1000000+SUM(V16,AN16)*10000+SUM(P16,AH16)*100+SUM(J16,AB16)+0.004&gt;AS16*1000000+SUM(U16,AM16)*10000+SUM(O16,AG16)*100+SUM(I16,AA16)+0.005,1,0)+IF(AU16*1000000+SUM(W16,AO16)*10000+SUM(Q16,AI16)*100+SUM(K16,AC16)+0.003&gt;AS16*1000000+SUM(U16,AM16)*10000+SUM(O16,AG16)*100+SUM(I16,AA16)+0.005,1,0)+IF(AV16*1000000+SUM(X16,AP16)*10000+SUM(R16,AJ16)*100+SUM(L16,AD16)+0.002&gt;AS16*1000000+SUM(U16,AM16)*10000+SUM(O16,AG16)*100+SUM(I16,AA16)+0.005,1,0)+IF(AW16*1000000+SUM(Y16,AQ16)*10000+SUM(S16,AK16)*100+SUM(M16,AE16)+0.001&gt;AS16*1000000+SUM(U16,AM16)*10000+SUM(O16,AG16)*100+SUM(I16,AA16)+0.005,1,0)=1,"I",IF(IF(AR16*1000000+SUM(T16,AL16)*10000+SUM(N16,AF16)*100+SUM(H16,Z16)+0.006&gt;AT16*1000000+SUM(V16,AN16)*10000+SUM(P16,AH16)*100+SUM(J16,AB16)+0.004,1,0)+IF(AS16*1000000+SUM(U16,AM16)*10000+SUM(O16,AG16)*100+SUM(I16,AA16)+0.005&gt;AT16*1000000+SUM(V16,AN16)*10000+SUM(P16,AH16)*100+SUM(J16,AB16)+0.004,1,0)+IF(AU16*1000000+SUM(W16,AO16)*10000+SUM(Q16,AI16)*100+SUM(K16,AC16)+0.003&gt;AT16*1000000+SUM(V16,AN16)*10000+SUM(P16,AH16)*100+SUM(J16,AB16)+0.004,1,0)+IF(AV16*1000000+SUM(X16,AP16)*10000+SUM(R16,AJ16)*100+SUM(L16,AD16)+0.002&gt;AT16*1000000+SUM(V16,AN16)*10000+SUM(P16,AH16)*100+SUM(J16,AB16)+0.004,1,0)+IF(AW16*1000000+SUM(Y16,AQ16)*10000+SUM(S16,AK16)*100+SUM(M16,AE16)+0.001&gt;AT16*1000000+SUM(V16,AN16)*10000+SUM(P16,AH16)*100+SUM(J16,AB16)+0.004,1,0)=1,"A",IF(IF(AR16*1000000+SUM(T16,AL16)*10000+SUM(N16,AF16)*100+SUM(H16,Z16)+0.006&gt;AU16*1000000+SUM(W16,AO16)*10000+SUM(Q16,AI16)*100+SUM(K16,AC16)+0.003,1,0)+IF(AS16*1000000+SUM(U16,AM16)*10000+SUM(O16,AG16)*100+SUM(I16,AA16)+0.005&gt;AU16*1000000+SUM(W16,AO16)*10000+SUM(Q16,AI16)*100+SUM(K16,AC16)+0.003,1,0)+IF(AT16*1000000+SUM(V16,AN16)*10000+SUM(P16,AH16)*100+SUM(J16,AB16)+0.004&gt;AU16*1000000+SUM(W16,AO16)*10000+SUM(Q16,AI16)*100+SUM(K16,AC16)+0.003,1,0)+IF(AV16*1000000+SUM(X16,AP16)*10000+SUM(R16,AJ16)*100+SUM(L16,AD16)+0.002&gt;AU16*1000000+SUM(W16,AO16)*10000+SUM(Q16,AI16)*100+SUM(K16,AC16)+0.003,1,0)+IF(AW16*1000000+SUM(Y16,AQ16)*10000+SUM(S16,AK16)*100+SUM(M16,AE16)+0.001&gt;AU16*1000000+SUM(W16,AO16)*10000+SUM(Q16,AI16)*100+SUM(K16,AC16)+0.003,1,0)=1,"S",IF(IF(AR16*1000000+SUM(T16,AL16)*10000+SUM(N16,AF16)*100+SUM(H16,Z16)+0.006&gt;AV16*1000000+SUM(X16,AP16)*10000+SUM(R16,AJ16)*100+SUM(L16,AD16)+0.002,1,0)+IF(AS16*1000000+SUM(U16,AM16)*10000+SUM(O16,AG16)*100+SUM(I16,AA16)+0.005&gt;AV16*1000000+SUM(X16,AP16)*10000+SUM(R16,AJ16)*100+SUM(L16,AD16)+0.002,1,0)+IF(AT16*1000000+SUM(V16,AN16)*10000+SUM(P16,AH16)*100+SUM(J16,AB16)+0.004&gt;AV16*1000000+SUM(X16,AP16)*10000+SUM(R16,AJ16)*100+SUM(L16,AD16)+0.002,1,0)+IF(AU16*1000000+SUM(W16,AO16)*10000+SUM(Q16,AI16)*100+SUM(K16,AC16)+0.003&gt;AV16*1000000+SUM(X16,AP16)*10000+SUM(R16,AJ16)*100+SUM(L16,AD16)+0.002,1,0)+IF(AW16*1000000+SUM(Y16,AQ16)*10000+SUM(S16,AK16)*100+SUM(M16,AE16)+0.001&gt;AV16*1000000+SUM(X16,AP16)*10000+SUM(R16,AJ16)*100+SUM(L16,AD16)+0.002,1,0)=1,"E",IF(IF(AR16*1000000+SUM(T16,AL16)*10000+SUM(N16,AF16)*100+SUM(H16,Z16)+0.006&gt;AW16*1000000+SUM(Y16,AQ16)*10000+SUM(S16,AK16)*100+SUM(M16,AE16)+0.001,1,0)+IF(AS16*1000000+SUM(U16,AM16)*10000+SUM(O16,AG16)*100+SUM(I16,AA16)+0.005&gt;AW16*1000000+SUM(Y16,AQ16)*10000+SUM(S16,AK16)*100+SUM(M16,AE16)+0.001,1,0)+IF(AT16*1000000+SUM(V16,AN16)*10000+SUM(P16,AH16)*100+SUM(J16,AB16)+0.004&gt;AW16*1000000+SUM(Y16,AQ16)*10000+SUM(S16,AK16)*100+SUM(M16,AE16)+0.001,1,0)+IF(AU16*1000000+SUM(W16,AO16)*10000+SUM(Q16,AI16)*100+SUM(K16,AC16)+0.003&gt;AW16*1000000+SUM(Y16,AQ16)*10000+SUM(S16,AK16)*100+SUM(M16,AE16)+0.001,1,0)+IF(AV16*1000000+SUM(X16,AP16)*10000+SUM(R16,AJ16)*100+SUM(L16,AD16)+0.002&gt;AW16*1000000+SUM(Y16,AQ16)*10000+SUM(S16,AK16)*100+SUM(M16,AE16)+0.001,1,0)=1,"C",""))))))&amp;IF(IF(AS16*1000000+SUM(U16,AM16)*10000+SUM(O16,AG16)*100+SUM(I16,AA16)+0.005&gt;AR16*1000000+SUM(T16,AL16)*10000+SUM(N16,AF16)*100+SUM(H16,Z16)+0.006,1,0)+IF(AT16*1000000+SUM(V16,AN16)*10000+SUM(P16,AH16)*100+SUM(J16,AB16)+0.004&gt;AR16*1000000+SUM(T16,AL16)*10000+SUM(N16,AF16)*100+SUM(H16,Z16)+0.006,1,0)+IF(AU16*1000000+SUM(W16,AO16)*10000+SUM(Q16,AI16)*100+SUM(K16,AC16)+0.003&gt;AR16*1000000+SUM(T16,AL16)*10000+SUM(N16,AF16)*100+SUM(H16,Z16)+0.006,1,0)+IF(AV16*1000000+SUM(X16,AP16)*10000+SUM(R16,AJ16)*100+SUM(L16,AD16)+0.002&gt;AR16*1000000+SUM(T16,AL16)*10000+SUM(N16,AF16)*100+SUM(H16,Z16)+0.006,1,0)+IF(AW16*1000000+SUM(Y16,AQ16)*10000+SUM(S16,AK16)*100+SUM(M16,AE16)+0.001&gt;AR16*1000000+SUM(T16,AL16)*10000+SUM(N16,AF16)*100+SUM(H16,Z16)+0.006,1,0)=2,"R",IF(IF(AR16*1000000+SUM(T16,AL16)*10000+SUM(N16,AF16)*100+SUM(H16,Z16)+0.006&gt;AS16*1000000+SUM(U16,AM16)*10000+SUM(O16,AG16)*100+SUM(I16,AA16)+0.005,1,0)+IF(AT16*1000000+SUM(V16,AN16)*10000+SUM(P16,AH16)*100+SUM(J16,AB16)+0.004&gt;AS16*1000000+SUM(U16,AM16)*10000+SUM(O16,AG16)*100+SUM(I16,AA16)+0.005,1,0)+IF(AU16*1000000+SUM(W16,AO16)*10000+SUM(Q16,AI16)*100+SUM(K16,AC16)+0.003&gt;AS16*1000000+SUM(U16,AM16)*10000+SUM(O16,AG16)*100+SUM(I16,AA16)+0.005,1,0)+IF(AV16*1000000+SUM(X16,AP16)*10000+SUM(R16,AJ16)*100+SUM(L16,AD16)+0.002&gt;AS16*1000000+SUM(U16,AM16)*10000+SUM(O16,AG16)*100+SUM(I16,AA16)+0.005,1,0)+IF(AW16*1000000+SUM(Y16,AQ16)*10000+SUM(S16,AK16)*100+SUM(M16,AE16)+0.001&gt;AS16*1000000+SUM(U16,AM16)*10000+SUM(O16,AG16)*100+SUM(I16,AA16)+0.005,1,0)=2,"I",IF(IF(AR16*1000000+SUM(T16,AL16)*10000+SUM(N16,AF16)*100+SUM(H16,Z16)+0.006&gt;AT16*1000000+SUM(V16,AN16)*10000+SUM(P16,AH16)*100+SUM(J16,AB16)+0.004,1,0)+IF(AS16*1000000+SUM(U16,AM16)*10000+SUM(O16,AG16)*100+SUM(I16,AA16)+0.005&gt;AT16*1000000+SUM(V16,AN16)*10000+SUM(P16,AH16)*100+SUM(J16,AB16)+0.004,1,0)+IF(AU16*1000000+SUM(W16,AO16)*10000+SUM(Q16,AI16)*100+SUM(K16,AC16)+0.003&gt;AT16*1000000+SUM(V16,AN16)*10000+SUM(P16,AH16)*100+SUM(J16,AB16)+0.004,1,0)+IF(AV16*1000000+SUM(X16,AP16)*10000+SUM(R16,AJ16)*100+SUM(L16,AD16)+0.002&gt;AT16*1000000+SUM(V16,AN16)*10000+SUM(P16,AH16)*100+SUM(J16,AB16)+0.004,1,0)+IF(AW16*1000000+SUM(Y16,AQ16)*10000+SUM(S16,AK16)*100+SUM(M16,AE16)+0.001&gt;AT16*1000000+SUM(V16,AN16)*10000+SUM(P16,AH16)*100+SUM(J16,AB16)+0.004,1,0)=2,"A",IF(IF(AR16*1000000+SUM(T16,AL16)*10000+SUM(N16,AF16)*100+SUM(H16,Z16)+0.006&gt;AU16*1000000+SUM(W16,AO16)*10000+SUM(Q16,AI16)*100+SUM(K16,AC16)+0.003,1,0)+IF(AS16*1000000+SUM(U16,AM16)*10000+SUM(O16,AG16)*100+SUM(I16,AA16)+0.005&gt;AU16*1000000+SUM(W16,AO16)*10000+SUM(Q16,AI16)*100+SUM(K16,AC16)+0.003,1,0)+IF(AT16*1000000+SUM(V16,AN16)*10000+SUM(P16,AH16)*100+SUM(J16,AB16)+0.004&gt;AU16*1000000+SUM(W16,AO16)*10000+SUM(Q16,AI16)*100+SUM(K16,AC16)+0.003,1,0)+IF(AV16*1000000+SUM(X16,AP16)*10000+SUM(R16,AJ16)*100+SUM(L16,AD16)+0.002&gt;AU16*1000000+SUM(W16,AO16)*10000+SUM(Q16,AI16)*100+SUM(K16,AC16)+0.003,1,0)+IF(AW16*1000000+SUM(Y16,AQ16)*10000+SUM(S16,AK16)*100+SUM(M16,AE16)+0.001&gt;AU16*1000000+SUM(W16,AO16)*10000+SUM(Q16,AI16)*100+SUM(K16,AC16)+0.003,1,0)=2,"S",IF(IF(AR16*1000000+SUM(T16,AL16)*10000+SUM(N16,AF16)*100+SUM(H16,Z16)+0.006&gt;AV16*1000000+SUM(X16,AP16)*10000+SUM(R16,AJ16)*100+SUM(L16,AD16)+0.002,1,0)+IF(AS16*1000000+SUM(U16,AM16)*10000+SUM(O16,AG16)*100+SUM(I16,AA16)+0.005&gt;AV16*1000000+SUM(X16,AP16)*10000+SUM(R16,AJ16)*100+SUM(L16,AD16)+0.002,1,0)+IF(AT16*1000000+SUM(V16,AN16)*10000+SUM(P16,AH16)*100+SUM(J16,AB16)+0.004&gt;AV16*1000000+SUM(X16,AP16)*10000+SUM(R16,AJ16)*100+SUM(L16,AD16)+0.002,1,0)+IF(AU16*1000000+SUM(W16,AO16)*10000+SUM(Q16,AI16)*100+SUM(K16,AC16)+0.003&gt;AV16*1000000+SUM(X16,AP16)*10000+SUM(R16,AJ16)*100+SUM(L16,AD16)+0.002,1,0)+IF(AW16*1000000+SUM(Y16,AQ16)*10000+SUM(S16,AK16)*100+SUM(M16,AE16)+0.001&gt;AV16*1000000+SUM(X16,AP16)*10000+SUM(R16,AJ16)*100+SUM(L16,AD16)+0.002,1,0)=2,"E",IF(IF(AR16*1000000+SUM(T16,AL16)*10000+SUM(N16,AF16)*100+SUM(H16,Z16)+0.006&gt;AW16*1000000+SUM(Y16,AQ16)*10000+SUM(S16,AK16)*100+SUM(M16,AE16)+0.001,1,0)+IF(AS16*1000000+SUM(U16,AM16)*10000+SUM(O16,AG16)*100+SUM(I16,AA16)+0.005&gt;AW16*1000000+SUM(Y16,AQ16)*10000+SUM(S16,AK16)*100+SUM(M16,AE16)+0.001,1,0)+IF(AT16*1000000+SUM(V16,AN16)*10000+SUM(P16,AH16)*100+SUM(J16,AB16)+0.004&gt;AW16*1000000+SUM(Y16,AQ16)*10000+SUM(S16,AK16)*100+SUM(M16,AE16)+0.001,1,0)+IF(AU16*1000000+SUM(W16,AO16)*10000+SUM(Q16,AI16)*100+SUM(K16,AC16)+0.003&gt;AW16*1000000+SUM(Y16,AQ16)*10000+SUM(S16,AK16)*100+SUM(M16,AE16)+0.001,1,0)+IF(AV16*1000000+SUM(X16,AP16)*10000+SUM(R16,AJ16)*100+SUM(L16,AD16)+0.002&gt;AW16*1000000+SUM(Y16,AQ16)*10000+SUM(S16,AK16)*100+SUM(M16,AE16)+0.001,1,0)=2,"C","")))))))</x:f>
      </x:c>
      <x:c r="AY16" s="27" t="str">
        <x:f>IF(C16="","",IF(LEFT(AX16,1)="R","นักปฏิบัติ",IF(LEFT(AX16,1)="I","นักคิดวิเคราะห์",IF(LEFT(AX16,1)="A","นักสร้างสรรค์",IF(LEFT(AX16,1)="S","ผู้เข้าใจผู้คน",IF(LEFT(AX16,1)="E","ผู้นำการเปลี่ยนแปลง","ผู้จัดระบบ"))))))</x:f>
      </x:c>
    </x:row>
    <x:row r="17">
      <x:c r="A17" s="27"/>
      <x:c r="B17" s="28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7"/>
      <x:c r="O17" s="27"/>
      <x:c r="P17" s="27"/>
      <x:c r="Q17" s="27"/>
      <x:c r="R17" s="27"/>
      <x:c r="S17" s="27"/>
      <x:c r="T17" s="27"/>
      <x:c r="U17" s="27"/>
      <x:c r="V17" s="27"/>
      <x:c r="W17" s="27"/>
      <x:c r="X17" s="27"/>
      <x:c r="Y17" s="27"/>
      <x:c r="Z17" s="27"/>
      <x:c r="AA17" s="27"/>
      <x:c r="AB17" s="27"/>
      <x:c r="AC17" s="27"/>
      <x:c r="AD17" s="27"/>
      <x:c r="AE17" s="27"/>
      <x:c r="AF17" s="27"/>
      <x:c r="AG17" s="27"/>
      <x:c r="AH17" s="27"/>
      <x:c r="AI17" s="27"/>
      <x:c r="AJ17" s="27"/>
      <x:c r="AK17" s="27"/>
      <x:c r="AL17" s="27"/>
      <x:c r="AM17" s="27"/>
      <x:c r="AN17" s="27"/>
      <x:c r="AO17" s="27"/>
      <x:c r="AP17" s="27"/>
      <x:c r="AQ17" s="27"/>
      <x:c r="AR17" s="27" t="str">
        <x:f>IF(C17="","",SUM(H17,N17,T17,Z17,AF17,AL17))</x:f>
      </x:c>
      <x:c r="AS17" s="27" t="str">
        <x:f>IF(C17="","",SUM(I17,O17,U17,AA17,AG17,AM17))</x:f>
      </x:c>
      <x:c r="AT17" s="27" t="str">
        <x:f>IF(C17="","",SUM(J17,P17,V17,AB17,AH17,AN17))</x:f>
      </x:c>
      <x:c r="AU17" s="27" t="str">
        <x:f>IF(C17="","",SUM(K17,Q17,W17,AC17,AI17,AO17))</x:f>
      </x:c>
      <x:c r="AV17" s="27" t="str">
        <x:f>IF(C17="","",SUM(L17,R17,X17,AD17,AJ17,AP17))</x:f>
      </x:c>
      <x:c r="AW17" s="27" t="str">
        <x:f>IF(C17="","",SUM(M17,S17,Y17,AE17,AK17,AQ17))</x:f>
      </x:c>
      <x:c r="AX17" s="27" t="str">
        <x:f>IF(C17="","",IF(IF(AS17*1000000+SUM(U17,AM17)*10000+SUM(O17,AG17)*100+SUM(I17,AA17)+0.005&gt;AR17*1000000+SUM(T17,AL17)*10000+SUM(N17,AF17)*100+SUM(H17,Z17)+0.006,1,0)+IF(AT17*1000000+SUM(V17,AN17)*10000+SUM(P17,AH17)*100+SUM(J17,AB17)+0.004&gt;AR17*1000000+SUM(T17,AL17)*10000+SUM(N17,AF17)*100+SUM(H17,Z17)+0.006,1,0)+IF(AU17*1000000+SUM(W17,AO17)*10000+SUM(Q17,AI17)*100+SUM(K17,AC17)+0.003&gt;AR17*1000000+SUM(T17,AL17)*10000+SUM(N17,AF17)*100+SUM(H17,Z17)+0.006,1,0)+IF(AV17*1000000+SUM(X17,AP17)*10000+SUM(R17,AJ17)*100+SUM(L17,AD17)+0.002&gt;AR17*1000000+SUM(T17,AL17)*10000+SUM(N17,AF17)*100+SUM(H17,Z17)+0.006,1,0)+IF(AW17*1000000+SUM(Y17,AQ17)*10000+SUM(S17,AK17)*100+SUM(M17,AE17)+0.001&gt;AR17*1000000+SUM(T17,AL17)*10000+SUM(N17,AF17)*100+SUM(H17,Z17)+0.006,1,0)=0,"R",IF(IF(AR17*1000000+SUM(T17,AL17)*10000+SUM(N17,AF17)*100+SUM(H17,Z17)+0.006&gt;AS17*1000000+SUM(U17,AM17)*10000+SUM(O17,AG17)*100+SUM(I17,AA17)+0.005,1,0)+IF(AT17*1000000+SUM(V17,AN17)*10000+SUM(P17,AH17)*100+SUM(J17,AB17)+0.004&gt;AS17*1000000+SUM(U17,AM17)*10000+SUM(O17,AG17)*100+SUM(I17,AA17)+0.005,1,0)+IF(AU17*1000000+SUM(W17,AO17)*10000+SUM(Q17,AI17)*100+SUM(K17,AC17)+0.003&gt;AS17*1000000+SUM(U17,AM17)*10000+SUM(O17,AG17)*100+SUM(I17,AA17)+0.005,1,0)+IF(AV17*1000000+SUM(X17,AP17)*10000+SUM(R17,AJ17)*100+SUM(L17,AD17)+0.002&gt;AS17*1000000+SUM(U17,AM17)*10000+SUM(O17,AG17)*100+SUM(I17,AA17)+0.005,1,0)+IF(AW17*1000000+SUM(Y17,AQ17)*10000+SUM(S17,AK17)*100+SUM(M17,AE17)+0.001&gt;AS17*1000000+SUM(U17,AM17)*10000+SUM(O17,AG17)*100+SUM(I17,AA17)+0.005,1,0)=0,"I",IF(IF(AR17*1000000+SUM(T17,AL17)*10000+SUM(N17,AF17)*100+SUM(H17,Z17)+0.006&gt;AT17*1000000+SUM(V17,AN17)*10000+SUM(P17,AH17)*100+SUM(J17,AB17)+0.004,1,0)+IF(AS17*1000000+SUM(U17,AM17)*10000+SUM(O17,AG17)*100+SUM(I17,AA17)+0.005&gt;AT17*1000000+SUM(V17,AN17)*10000+SUM(P17,AH17)*100+SUM(J17,AB17)+0.004,1,0)+IF(AU17*1000000+SUM(W17,AO17)*10000+SUM(Q17,AI17)*100+SUM(K17,AC17)+0.003&gt;AT17*1000000+SUM(V17,AN17)*10000+SUM(P17,AH17)*100+SUM(J17,AB17)+0.004,1,0)+IF(AV17*1000000+SUM(X17,AP17)*10000+SUM(R17,AJ17)*100+SUM(L17,AD17)+0.002&gt;AT17*1000000+SUM(V17,AN17)*10000+SUM(P17,AH17)*100+SUM(J17,AB17)+0.004,1,0)+IF(AW17*1000000+SUM(Y17,AQ17)*10000+SUM(S17,AK17)*100+SUM(M17,AE17)+0.001&gt;AT17*1000000+SUM(V17,AN17)*10000+SUM(P17,AH17)*100+SUM(J17,AB17)+0.004,1,0)=0,"A",IF(IF(AR17*1000000+SUM(T17,AL17)*10000+SUM(N17,AF17)*100+SUM(H17,Z17)+0.006&gt;AU17*1000000+SUM(W17,AO17)*10000+SUM(Q17,AI17)*100+SUM(K17,AC17)+0.003,1,0)+IF(AS17*1000000+SUM(U17,AM17)*10000+SUM(O17,AG17)*100+SUM(I17,AA17)+0.005&gt;AU17*1000000+SUM(W17,AO17)*10000+SUM(Q17,AI17)*100+SUM(K17,AC17)+0.003,1,0)+IF(AT17*1000000+SUM(V17,AN17)*10000+SUM(P17,AH17)*100+SUM(J17,AB17)+0.004&gt;AU17*1000000+SUM(W17,AO17)*10000+SUM(Q17,AI17)*100+SUM(K17,AC17)+0.003,1,0)+IF(AV17*1000000+SUM(X17,AP17)*10000+SUM(R17,AJ17)*100+SUM(L17,AD17)+0.002&gt;AU17*1000000+SUM(W17,AO17)*10000+SUM(Q17,AI17)*100+SUM(K17,AC17)+0.003,1,0)+IF(AW17*1000000+SUM(Y17,AQ17)*10000+SUM(S17,AK17)*100+SUM(M17,AE17)+0.001&gt;AU17*1000000+SUM(W17,AO17)*10000+SUM(Q17,AI17)*100+SUM(K17,AC17)+0.003,1,0)=0,"S",IF(IF(AR17*1000000+SUM(T17,AL17)*10000+SUM(N17,AF17)*100+SUM(H17,Z17)+0.006&gt;AV17*1000000+SUM(X17,AP17)*10000+SUM(R17,AJ17)*100+SUM(L17,AD17)+0.002,1,0)+IF(AS17*1000000+SUM(U17,AM17)*10000+SUM(O17,AG17)*100+SUM(I17,AA17)+0.005&gt;AV17*1000000+SUM(X17,AP17)*10000+SUM(R17,AJ17)*100+SUM(L17,AD17)+0.002,1,0)+IF(AT17*1000000+SUM(V17,AN17)*10000+SUM(P17,AH17)*100+SUM(J17,AB17)+0.004&gt;AV17*1000000+SUM(X17,AP17)*10000+SUM(R17,AJ17)*100+SUM(L17,AD17)+0.002,1,0)+IF(AU17*1000000+SUM(W17,AO17)*10000+SUM(Q17,AI17)*100+SUM(K17,AC17)+0.003&gt;AV17*1000000+SUM(X17,AP17)*10000+SUM(R17,AJ17)*100+SUM(L17,AD17)+0.002,1,0)+IF(AW17*1000000+SUM(Y17,AQ17)*10000+SUM(S17,AK17)*100+SUM(M17,AE17)+0.001&gt;AV17*1000000+SUM(X17,AP17)*10000+SUM(R17,AJ17)*100+SUM(L17,AD17)+0.002,1,0)=0,"E",IF(IF(AR17*1000000+SUM(T17,AL17)*10000+SUM(N17,AF17)*100+SUM(H17,Z17)+0.006&gt;AW17*1000000+SUM(Y17,AQ17)*10000+SUM(S17,AK17)*100+SUM(M17,AE17)+0.001,1,0)+IF(AS17*1000000+SUM(U17,AM17)*10000+SUM(O17,AG17)*100+SUM(I17,AA17)+0.005&gt;AW17*1000000+SUM(Y17,AQ17)*10000+SUM(S17,AK17)*100+SUM(M17,AE17)+0.001,1,0)+IF(AT17*1000000+SUM(V17,AN17)*10000+SUM(P17,AH17)*100+SUM(J17,AB17)+0.004&gt;AW17*1000000+SUM(Y17,AQ17)*10000+SUM(S17,AK17)*100+SUM(M17,AE17)+0.001,1,0)+IF(AU17*1000000+SUM(W17,AO17)*10000+SUM(Q17,AI17)*100+SUM(K17,AC17)+0.003&gt;AW17*1000000+SUM(Y17,AQ17)*10000+SUM(S17,AK17)*100+SUM(M17,AE17)+0.001,1,0)+IF(AV17*1000000+SUM(X17,AP17)*10000+SUM(R17,AJ17)*100+SUM(L17,AD17)+0.002&gt;AW17*1000000+SUM(Y17,AQ17)*10000+SUM(S17,AK17)*100+SUM(M17,AE17)+0.001,1,0)=0,"C",""))))))&amp;IF(IF(AS17*1000000+SUM(U17,AM17)*10000+SUM(O17,AG17)*100+SUM(I17,AA17)+0.005&gt;AR17*1000000+SUM(T17,AL17)*10000+SUM(N17,AF17)*100+SUM(H17,Z17)+0.006,1,0)+IF(AT17*1000000+SUM(V17,AN17)*10000+SUM(P17,AH17)*100+SUM(J17,AB17)+0.004&gt;AR17*1000000+SUM(T17,AL17)*10000+SUM(N17,AF17)*100+SUM(H17,Z17)+0.006,1,0)+IF(AU17*1000000+SUM(W17,AO17)*10000+SUM(Q17,AI17)*100+SUM(K17,AC17)+0.003&gt;AR17*1000000+SUM(T17,AL17)*10000+SUM(N17,AF17)*100+SUM(H17,Z17)+0.006,1,0)+IF(AV17*1000000+SUM(X17,AP17)*10000+SUM(R17,AJ17)*100+SUM(L17,AD17)+0.002&gt;AR17*1000000+SUM(T17,AL17)*10000+SUM(N17,AF17)*100+SUM(H17,Z17)+0.006,1,0)+IF(AW17*1000000+SUM(Y17,AQ17)*10000+SUM(S17,AK17)*100+SUM(M17,AE17)+0.001&gt;AR17*1000000+SUM(T17,AL17)*10000+SUM(N17,AF17)*100+SUM(H17,Z17)+0.006,1,0)=1,"R",IF(IF(AR17*1000000+SUM(T17,AL17)*10000+SUM(N17,AF17)*100+SUM(H17,Z17)+0.006&gt;AS17*1000000+SUM(U17,AM17)*10000+SUM(O17,AG17)*100+SUM(I17,AA17)+0.005,1,0)+IF(AT17*1000000+SUM(V17,AN17)*10000+SUM(P17,AH17)*100+SUM(J17,AB17)+0.004&gt;AS17*1000000+SUM(U17,AM17)*10000+SUM(O17,AG17)*100+SUM(I17,AA17)+0.005,1,0)+IF(AU17*1000000+SUM(W17,AO17)*10000+SUM(Q17,AI17)*100+SUM(K17,AC17)+0.003&gt;AS17*1000000+SUM(U17,AM17)*10000+SUM(O17,AG17)*100+SUM(I17,AA17)+0.005,1,0)+IF(AV17*1000000+SUM(X17,AP17)*10000+SUM(R17,AJ17)*100+SUM(L17,AD17)+0.002&gt;AS17*1000000+SUM(U17,AM17)*10000+SUM(O17,AG17)*100+SUM(I17,AA17)+0.005,1,0)+IF(AW17*1000000+SUM(Y17,AQ17)*10000+SUM(S17,AK17)*100+SUM(M17,AE17)+0.001&gt;AS17*1000000+SUM(U17,AM17)*10000+SUM(O17,AG17)*100+SUM(I17,AA17)+0.005,1,0)=1,"I",IF(IF(AR17*1000000+SUM(T17,AL17)*10000+SUM(N17,AF17)*100+SUM(H17,Z17)+0.006&gt;AT17*1000000+SUM(V17,AN17)*10000+SUM(P17,AH17)*100+SUM(J17,AB17)+0.004,1,0)+IF(AS17*1000000+SUM(U17,AM17)*10000+SUM(O17,AG17)*100+SUM(I17,AA17)+0.005&gt;AT17*1000000+SUM(V17,AN17)*10000+SUM(P17,AH17)*100+SUM(J17,AB17)+0.004,1,0)+IF(AU17*1000000+SUM(W17,AO17)*10000+SUM(Q17,AI17)*100+SUM(K17,AC17)+0.003&gt;AT17*1000000+SUM(V17,AN17)*10000+SUM(P17,AH17)*100+SUM(J17,AB17)+0.004,1,0)+IF(AV17*1000000+SUM(X17,AP17)*10000+SUM(R17,AJ17)*100+SUM(L17,AD17)+0.002&gt;AT17*1000000+SUM(V17,AN17)*10000+SUM(P17,AH17)*100+SUM(J17,AB17)+0.004,1,0)+IF(AW17*1000000+SUM(Y17,AQ17)*10000+SUM(S17,AK17)*100+SUM(M17,AE17)+0.001&gt;AT17*1000000+SUM(V17,AN17)*10000+SUM(P17,AH17)*100+SUM(J17,AB17)+0.004,1,0)=1,"A",IF(IF(AR17*1000000+SUM(T17,AL17)*10000+SUM(N17,AF17)*100+SUM(H17,Z17)+0.006&gt;AU17*1000000+SUM(W17,AO17)*10000+SUM(Q17,AI17)*100+SUM(K17,AC17)+0.003,1,0)+IF(AS17*1000000+SUM(U17,AM17)*10000+SUM(O17,AG17)*100+SUM(I17,AA17)+0.005&gt;AU17*1000000+SUM(W17,AO17)*10000+SUM(Q17,AI17)*100+SUM(K17,AC17)+0.003,1,0)+IF(AT17*1000000+SUM(V17,AN17)*10000+SUM(P17,AH17)*100+SUM(J17,AB17)+0.004&gt;AU17*1000000+SUM(W17,AO17)*10000+SUM(Q17,AI17)*100+SUM(K17,AC17)+0.003,1,0)+IF(AV17*1000000+SUM(X17,AP17)*10000+SUM(R17,AJ17)*100+SUM(L17,AD17)+0.002&gt;AU17*1000000+SUM(W17,AO17)*10000+SUM(Q17,AI17)*100+SUM(K17,AC17)+0.003,1,0)+IF(AW17*1000000+SUM(Y17,AQ17)*10000+SUM(S17,AK17)*100+SUM(M17,AE17)+0.001&gt;AU17*1000000+SUM(W17,AO17)*10000+SUM(Q17,AI17)*100+SUM(K17,AC17)+0.003,1,0)=1,"S",IF(IF(AR17*1000000+SUM(T17,AL17)*10000+SUM(N17,AF17)*100+SUM(H17,Z17)+0.006&gt;AV17*1000000+SUM(X17,AP17)*10000+SUM(R17,AJ17)*100+SUM(L17,AD17)+0.002,1,0)+IF(AS17*1000000+SUM(U17,AM17)*10000+SUM(O17,AG17)*100+SUM(I17,AA17)+0.005&gt;AV17*1000000+SUM(X17,AP17)*10000+SUM(R17,AJ17)*100+SUM(L17,AD17)+0.002,1,0)+IF(AT17*1000000+SUM(V17,AN17)*10000+SUM(P17,AH17)*100+SUM(J17,AB17)+0.004&gt;AV17*1000000+SUM(X17,AP17)*10000+SUM(R17,AJ17)*100+SUM(L17,AD17)+0.002,1,0)+IF(AU17*1000000+SUM(W17,AO17)*10000+SUM(Q17,AI17)*100+SUM(K17,AC17)+0.003&gt;AV17*1000000+SUM(X17,AP17)*10000+SUM(R17,AJ17)*100+SUM(L17,AD17)+0.002,1,0)+IF(AW17*1000000+SUM(Y17,AQ17)*10000+SUM(S17,AK17)*100+SUM(M17,AE17)+0.001&gt;AV17*1000000+SUM(X17,AP17)*10000+SUM(R17,AJ17)*100+SUM(L17,AD17)+0.002,1,0)=1,"E",IF(IF(AR17*1000000+SUM(T17,AL17)*10000+SUM(N17,AF17)*100+SUM(H17,Z17)+0.006&gt;AW17*1000000+SUM(Y17,AQ17)*10000+SUM(S17,AK17)*100+SUM(M17,AE17)+0.001,1,0)+IF(AS17*1000000+SUM(U17,AM17)*10000+SUM(O17,AG17)*100+SUM(I17,AA17)+0.005&gt;AW17*1000000+SUM(Y17,AQ17)*10000+SUM(S17,AK17)*100+SUM(M17,AE17)+0.001,1,0)+IF(AT17*1000000+SUM(V17,AN17)*10000+SUM(P17,AH17)*100+SUM(J17,AB17)+0.004&gt;AW17*1000000+SUM(Y17,AQ17)*10000+SUM(S17,AK17)*100+SUM(M17,AE17)+0.001,1,0)+IF(AU17*1000000+SUM(W17,AO17)*10000+SUM(Q17,AI17)*100+SUM(K17,AC17)+0.003&gt;AW17*1000000+SUM(Y17,AQ17)*10000+SUM(S17,AK17)*100+SUM(M17,AE17)+0.001,1,0)+IF(AV17*1000000+SUM(X17,AP17)*10000+SUM(R17,AJ17)*100+SUM(L17,AD17)+0.002&gt;AW17*1000000+SUM(Y17,AQ17)*10000+SUM(S17,AK17)*100+SUM(M17,AE17)+0.001,1,0)=1,"C",""))))))&amp;IF(IF(AS17*1000000+SUM(U17,AM17)*10000+SUM(O17,AG17)*100+SUM(I17,AA17)+0.005&gt;AR17*1000000+SUM(T17,AL17)*10000+SUM(N17,AF17)*100+SUM(H17,Z17)+0.006,1,0)+IF(AT17*1000000+SUM(V17,AN17)*10000+SUM(P17,AH17)*100+SUM(J17,AB17)+0.004&gt;AR17*1000000+SUM(T17,AL17)*10000+SUM(N17,AF17)*100+SUM(H17,Z17)+0.006,1,0)+IF(AU17*1000000+SUM(W17,AO17)*10000+SUM(Q17,AI17)*100+SUM(K17,AC17)+0.003&gt;AR17*1000000+SUM(T17,AL17)*10000+SUM(N17,AF17)*100+SUM(H17,Z17)+0.006,1,0)+IF(AV17*1000000+SUM(X17,AP17)*10000+SUM(R17,AJ17)*100+SUM(L17,AD17)+0.002&gt;AR17*1000000+SUM(T17,AL17)*10000+SUM(N17,AF17)*100+SUM(H17,Z17)+0.006,1,0)+IF(AW17*1000000+SUM(Y17,AQ17)*10000+SUM(S17,AK17)*100+SUM(M17,AE17)+0.001&gt;AR17*1000000+SUM(T17,AL17)*10000+SUM(N17,AF17)*100+SUM(H17,Z17)+0.006,1,0)=2,"R",IF(IF(AR17*1000000+SUM(T17,AL17)*10000+SUM(N17,AF17)*100+SUM(H17,Z17)+0.006&gt;AS17*1000000+SUM(U17,AM17)*10000+SUM(O17,AG17)*100+SUM(I17,AA17)+0.005,1,0)+IF(AT17*1000000+SUM(V17,AN17)*10000+SUM(P17,AH17)*100+SUM(J17,AB17)+0.004&gt;AS17*1000000+SUM(U17,AM17)*10000+SUM(O17,AG17)*100+SUM(I17,AA17)+0.005,1,0)+IF(AU17*1000000+SUM(W17,AO17)*10000+SUM(Q17,AI17)*100+SUM(K17,AC17)+0.003&gt;AS17*1000000+SUM(U17,AM17)*10000+SUM(O17,AG17)*100+SUM(I17,AA17)+0.005,1,0)+IF(AV17*1000000+SUM(X17,AP17)*10000+SUM(R17,AJ17)*100+SUM(L17,AD17)+0.002&gt;AS17*1000000+SUM(U17,AM17)*10000+SUM(O17,AG17)*100+SUM(I17,AA17)+0.005,1,0)+IF(AW17*1000000+SUM(Y17,AQ17)*10000+SUM(S17,AK17)*100+SUM(M17,AE17)+0.001&gt;AS17*1000000+SUM(U17,AM17)*10000+SUM(O17,AG17)*100+SUM(I17,AA17)+0.005,1,0)=2,"I",IF(IF(AR17*1000000+SUM(T17,AL17)*10000+SUM(N17,AF17)*100+SUM(H17,Z17)+0.006&gt;AT17*1000000+SUM(V17,AN17)*10000+SUM(P17,AH17)*100+SUM(J17,AB17)+0.004,1,0)+IF(AS17*1000000+SUM(U17,AM17)*10000+SUM(O17,AG17)*100+SUM(I17,AA17)+0.005&gt;AT17*1000000+SUM(V17,AN17)*10000+SUM(P17,AH17)*100+SUM(J17,AB17)+0.004,1,0)+IF(AU17*1000000+SUM(W17,AO17)*10000+SUM(Q17,AI17)*100+SUM(K17,AC17)+0.003&gt;AT17*1000000+SUM(V17,AN17)*10000+SUM(P17,AH17)*100+SUM(J17,AB17)+0.004,1,0)+IF(AV17*1000000+SUM(X17,AP17)*10000+SUM(R17,AJ17)*100+SUM(L17,AD17)+0.002&gt;AT17*1000000+SUM(V17,AN17)*10000+SUM(P17,AH17)*100+SUM(J17,AB17)+0.004,1,0)+IF(AW17*1000000+SUM(Y17,AQ17)*10000+SUM(S17,AK17)*100+SUM(M17,AE17)+0.001&gt;AT17*1000000+SUM(V17,AN17)*10000+SUM(P17,AH17)*100+SUM(J17,AB17)+0.004,1,0)=2,"A",IF(IF(AR17*1000000+SUM(T17,AL17)*10000+SUM(N17,AF17)*100+SUM(H17,Z17)+0.006&gt;AU17*1000000+SUM(W17,AO17)*10000+SUM(Q17,AI17)*100+SUM(K17,AC17)+0.003,1,0)+IF(AS17*1000000+SUM(U17,AM17)*10000+SUM(O17,AG17)*100+SUM(I17,AA17)+0.005&gt;AU17*1000000+SUM(W17,AO17)*10000+SUM(Q17,AI17)*100+SUM(K17,AC17)+0.003,1,0)+IF(AT17*1000000+SUM(V17,AN17)*10000+SUM(P17,AH17)*100+SUM(J17,AB17)+0.004&gt;AU17*1000000+SUM(W17,AO17)*10000+SUM(Q17,AI17)*100+SUM(K17,AC17)+0.003,1,0)+IF(AV17*1000000+SUM(X17,AP17)*10000+SUM(R17,AJ17)*100+SUM(L17,AD17)+0.002&gt;AU17*1000000+SUM(W17,AO17)*10000+SUM(Q17,AI17)*100+SUM(K17,AC17)+0.003,1,0)+IF(AW17*1000000+SUM(Y17,AQ17)*10000+SUM(S17,AK17)*100+SUM(M17,AE17)+0.001&gt;AU17*1000000+SUM(W17,AO17)*10000+SUM(Q17,AI17)*100+SUM(K17,AC17)+0.003,1,0)=2,"S",IF(IF(AR17*1000000+SUM(T17,AL17)*10000+SUM(N17,AF17)*100+SUM(H17,Z17)+0.006&gt;AV17*1000000+SUM(X17,AP17)*10000+SUM(R17,AJ17)*100+SUM(L17,AD17)+0.002,1,0)+IF(AS17*1000000+SUM(U17,AM17)*10000+SUM(O17,AG17)*100+SUM(I17,AA17)+0.005&gt;AV17*1000000+SUM(X17,AP17)*10000+SUM(R17,AJ17)*100+SUM(L17,AD17)+0.002,1,0)+IF(AT17*1000000+SUM(V17,AN17)*10000+SUM(P17,AH17)*100+SUM(J17,AB17)+0.004&gt;AV17*1000000+SUM(X17,AP17)*10000+SUM(R17,AJ17)*100+SUM(L17,AD17)+0.002,1,0)+IF(AU17*1000000+SUM(W17,AO17)*10000+SUM(Q17,AI17)*100+SUM(K17,AC17)+0.003&gt;AV17*1000000+SUM(X17,AP17)*10000+SUM(R17,AJ17)*100+SUM(L17,AD17)+0.002,1,0)+IF(AW17*1000000+SUM(Y17,AQ17)*10000+SUM(S17,AK17)*100+SUM(M17,AE17)+0.001&gt;AV17*1000000+SUM(X17,AP17)*10000+SUM(R17,AJ17)*100+SUM(L17,AD17)+0.002,1,0)=2,"E",IF(IF(AR17*1000000+SUM(T17,AL17)*10000+SUM(N17,AF17)*100+SUM(H17,Z17)+0.006&gt;AW17*1000000+SUM(Y17,AQ17)*10000+SUM(S17,AK17)*100+SUM(M17,AE17)+0.001,1,0)+IF(AS17*1000000+SUM(U17,AM17)*10000+SUM(O17,AG17)*100+SUM(I17,AA17)+0.005&gt;AW17*1000000+SUM(Y17,AQ17)*10000+SUM(S17,AK17)*100+SUM(M17,AE17)+0.001,1,0)+IF(AT17*1000000+SUM(V17,AN17)*10000+SUM(P17,AH17)*100+SUM(J17,AB17)+0.004&gt;AW17*1000000+SUM(Y17,AQ17)*10000+SUM(S17,AK17)*100+SUM(M17,AE17)+0.001,1,0)+IF(AU17*1000000+SUM(W17,AO17)*10000+SUM(Q17,AI17)*100+SUM(K17,AC17)+0.003&gt;AW17*1000000+SUM(Y17,AQ17)*10000+SUM(S17,AK17)*100+SUM(M17,AE17)+0.001,1,0)+IF(AV17*1000000+SUM(X17,AP17)*10000+SUM(R17,AJ17)*100+SUM(L17,AD17)+0.002&gt;AW17*1000000+SUM(Y17,AQ17)*10000+SUM(S17,AK17)*100+SUM(M17,AE17)+0.001,1,0)=2,"C","")))))))</x:f>
      </x:c>
      <x:c r="AY17" s="27" t="str">
        <x:f>IF(C17="","",IF(LEFT(AX17,1)="R","นักปฏิบัติ",IF(LEFT(AX17,1)="I","นักคิดวิเคราะห์",IF(LEFT(AX17,1)="A","นักสร้างสรรค์",IF(LEFT(AX17,1)="S","ผู้เข้าใจผู้คน",IF(LEFT(AX17,1)="E","ผู้นำการเปลี่ยนแปลง","ผู้จัดระบบ"))))))</x:f>
      </x:c>
    </x:row>
    <x:row r="18">
      <x:c r="A18" s="27"/>
      <x:c r="B18" s="28"/>
      <x:c r="C18" s="27"/>
      <x:c r="D18" s="27"/>
      <x:c r="E18" s="27"/>
      <x:c r="F18" s="27"/>
      <x:c r="G18" s="27"/>
      <x:c r="H18" s="27"/>
      <x:c r="I18" s="27"/>
      <x:c r="J18" s="27"/>
      <x:c r="K18" s="27"/>
      <x:c r="L18" s="27"/>
      <x:c r="M18" s="27"/>
      <x:c r="N18" s="27"/>
      <x:c r="O18" s="27"/>
      <x:c r="P18" s="27"/>
      <x:c r="Q18" s="27"/>
      <x:c r="R18" s="27"/>
      <x:c r="S18" s="27"/>
      <x:c r="T18" s="27"/>
      <x:c r="U18" s="27"/>
      <x:c r="V18" s="27"/>
      <x:c r="W18" s="27"/>
      <x:c r="X18" s="27"/>
      <x:c r="Y18" s="27"/>
      <x:c r="Z18" s="27"/>
      <x:c r="AA18" s="27"/>
      <x:c r="AB18" s="27"/>
      <x:c r="AC18" s="27"/>
      <x:c r="AD18" s="27"/>
      <x:c r="AE18" s="27"/>
      <x:c r="AF18" s="27"/>
      <x:c r="AG18" s="27"/>
      <x:c r="AH18" s="27"/>
      <x:c r="AI18" s="27"/>
      <x:c r="AJ18" s="27"/>
      <x:c r="AK18" s="27"/>
      <x:c r="AL18" s="27"/>
      <x:c r="AM18" s="27"/>
      <x:c r="AN18" s="27"/>
      <x:c r="AO18" s="27"/>
      <x:c r="AP18" s="27"/>
      <x:c r="AQ18" s="27"/>
      <x:c r="AR18" s="27" t="str">
        <x:f>IF(C18="","",SUM(H18,N18,T18,Z18,AF18,AL18))</x:f>
      </x:c>
      <x:c r="AS18" s="27" t="str">
        <x:f>IF(C18="","",SUM(I18,O18,U18,AA18,AG18,AM18))</x:f>
      </x:c>
      <x:c r="AT18" s="27" t="str">
        <x:f>IF(C18="","",SUM(J18,P18,V18,AB18,AH18,AN18))</x:f>
      </x:c>
      <x:c r="AU18" s="27" t="str">
        <x:f>IF(C18="","",SUM(K18,Q18,W18,AC18,AI18,AO18))</x:f>
      </x:c>
      <x:c r="AV18" s="27" t="str">
        <x:f>IF(C18="","",SUM(L18,R18,X18,AD18,AJ18,AP18))</x:f>
      </x:c>
      <x:c r="AW18" s="27" t="str">
        <x:f>IF(C18="","",SUM(M18,S18,Y18,AE18,AK18,AQ18))</x:f>
      </x:c>
      <x:c r="AX18" s="27" t="str">
        <x:f>IF(C18="","",IF(IF(AS18*1000000+SUM(U18,AM18)*10000+SUM(O18,AG18)*100+SUM(I18,AA18)+0.005&gt;AR18*1000000+SUM(T18,AL18)*10000+SUM(N18,AF18)*100+SUM(H18,Z18)+0.006,1,0)+IF(AT18*1000000+SUM(V18,AN18)*10000+SUM(P18,AH18)*100+SUM(J18,AB18)+0.004&gt;AR18*1000000+SUM(T18,AL18)*10000+SUM(N18,AF18)*100+SUM(H18,Z18)+0.006,1,0)+IF(AU18*1000000+SUM(W18,AO18)*10000+SUM(Q18,AI18)*100+SUM(K18,AC18)+0.003&gt;AR18*1000000+SUM(T18,AL18)*10000+SUM(N18,AF18)*100+SUM(H18,Z18)+0.006,1,0)+IF(AV18*1000000+SUM(X18,AP18)*10000+SUM(R18,AJ18)*100+SUM(L18,AD18)+0.002&gt;AR18*1000000+SUM(T18,AL18)*10000+SUM(N18,AF18)*100+SUM(H18,Z18)+0.006,1,0)+IF(AW18*1000000+SUM(Y18,AQ18)*10000+SUM(S18,AK18)*100+SUM(M18,AE18)+0.001&gt;AR18*1000000+SUM(T18,AL18)*10000+SUM(N18,AF18)*100+SUM(H18,Z18)+0.006,1,0)=0,"R",IF(IF(AR18*1000000+SUM(T18,AL18)*10000+SUM(N18,AF18)*100+SUM(H18,Z18)+0.006&gt;AS18*1000000+SUM(U18,AM18)*10000+SUM(O18,AG18)*100+SUM(I18,AA18)+0.005,1,0)+IF(AT18*1000000+SUM(V18,AN18)*10000+SUM(P18,AH18)*100+SUM(J18,AB18)+0.004&gt;AS18*1000000+SUM(U18,AM18)*10000+SUM(O18,AG18)*100+SUM(I18,AA18)+0.005,1,0)+IF(AU18*1000000+SUM(W18,AO18)*10000+SUM(Q18,AI18)*100+SUM(K18,AC18)+0.003&gt;AS18*1000000+SUM(U18,AM18)*10000+SUM(O18,AG18)*100+SUM(I18,AA18)+0.005,1,0)+IF(AV18*1000000+SUM(X18,AP18)*10000+SUM(R18,AJ18)*100+SUM(L18,AD18)+0.002&gt;AS18*1000000+SUM(U18,AM18)*10000+SUM(O18,AG18)*100+SUM(I18,AA18)+0.005,1,0)+IF(AW18*1000000+SUM(Y18,AQ18)*10000+SUM(S18,AK18)*100+SUM(M18,AE18)+0.001&gt;AS18*1000000+SUM(U18,AM18)*10000+SUM(O18,AG18)*100+SUM(I18,AA18)+0.005,1,0)=0,"I",IF(IF(AR18*1000000+SUM(T18,AL18)*10000+SUM(N18,AF18)*100+SUM(H18,Z18)+0.006&gt;AT18*1000000+SUM(V18,AN18)*10000+SUM(P18,AH18)*100+SUM(J18,AB18)+0.004,1,0)+IF(AS18*1000000+SUM(U18,AM18)*10000+SUM(O18,AG18)*100+SUM(I18,AA18)+0.005&gt;AT18*1000000+SUM(V18,AN18)*10000+SUM(P18,AH18)*100+SUM(J18,AB18)+0.004,1,0)+IF(AU18*1000000+SUM(W18,AO18)*10000+SUM(Q18,AI18)*100+SUM(K18,AC18)+0.003&gt;AT18*1000000+SUM(V18,AN18)*10000+SUM(P18,AH18)*100+SUM(J18,AB18)+0.004,1,0)+IF(AV18*1000000+SUM(X18,AP18)*10000+SUM(R18,AJ18)*100+SUM(L18,AD18)+0.002&gt;AT18*1000000+SUM(V18,AN18)*10000+SUM(P18,AH18)*100+SUM(J18,AB18)+0.004,1,0)+IF(AW18*1000000+SUM(Y18,AQ18)*10000+SUM(S18,AK18)*100+SUM(M18,AE18)+0.001&gt;AT18*1000000+SUM(V18,AN18)*10000+SUM(P18,AH18)*100+SUM(J18,AB18)+0.004,1,0)=0,"A",IF(IF(AR18*1000000+SUM(T18,AL18)*10000+SUM(N18,AF18)*100+SUM(H18,Z18)+0.006&gt;AU18*1000000+SUM(W18,AO18)*10000+SUM(Q18,AI18)*100+SUM(K18,AC18)+0.003,1,0)+IF(AS18*1000000+SUM(U18,AM18)*10000+SUM(O18,AG18)*100+SUM(I18,AA18)+0.005&gt;AU18*1000000+SUM(W18,AO18)*10000+SUM(Q18,AI18)*100+SUM(K18,AC18)+0.003,1,0)+IF(AT18*1000000+SUM(V18,AN18)*10000+SUM(P18,AH18)*100+SUM(J18,AB18)+0.004&gt;AU18*1000000+SUM(W18,AO18)*10000+SUM(Q18,AI18)*100+SUM(K18,AC18)+0.003,1,0)+IF(AV18*1000000+SUM(X18,AP18)*10000+SUM(R18,AJ18)*100+SUM(L18,AD18)+0.002&gt;AU18*1000000+SUM(W18,AO18)*10000+SUM(Q18,AI18)*100+SUM(K18,AC18)+0.003,1,0)+IF(AW18*1000000+SUM(Y18,AQ18)*10000+SUM(S18,AK18)*100+SUM(M18,AE18)+0.001&gt;AU18*1000000+SUM(W18,AO18)*10000+SUM(Q18,AI18)*100+SUM(K18,AC18)+0.003,1,0)=0,"S",IF(IF(AR18*1000000+SUM(T18,AL18)*10000+SUM(N18,AF18)*100+SUM(H18,Z18)+0.006&gt;AV18*1000000+SUM(X18,AP18)*10000+SUM(R18,AJ18)*100+SUM(L18,AD18)+0.002,1,0)+IF(AS18*1000000+SUM(U18,AM18)*10000+SUM(O18,AG18)*100+SUM(I18,AA18)+0.005&gt;AV18*1000000+SUM(X18,AP18)*10000+SUM(R18,AJ18)*100+SUM(L18,AD18)+0.002,1,0)+IF(AT18*1000000+SUM(V18,AN18)*10000+SUM(P18,AH18)*100+SUM(J18,AB18)+0.004&gt;AV18*1000000+SUM(X18,AP18)*10000+SUM(R18,AJ18)*100+SUM(L18,AD18)+0.002,1,0)+IF(AU18*1000000+SUM(W18,AO18)*10000+SUM(Q18,AI18)*100+SUM(K18,AC18)+0.003&gt;AV18*1000000+SUM(X18,AP18)*10000+SUM(R18,AJ18)*100+SUM(L18,AD18)+0.002,1,0)+IF(AW18*1000000+SUM(Y18,AQ18)*10000+SUM(S18,AK18)*100+SUM(M18,AE18)+0.001&gt;AV18*1000000+SUM(X18,AP18)*10000+SUM(R18,AJ18)*100+SUM(L18,AD18)+0.002,1,0)=0,"E",IF(IF(AR18*1000000+SUM(T18,AL18)*10000+SUM(N18,AF18)*100+SUM(H18,Z18)+0.006&gt;AW18*1000000+SUM(Y18,AQ18)*10000+SUM(S18,AK18)*100+SUM(M18,AE18)+0.001,1,0)+IF(AS18*1000000+SUM(U18,AM18)*10000+SUM(O18,AG18)*100+SUM(I18,AA18)+0.005&gt;AW18*1000000+SUM(Y18,AQ18)*10000+SUM(S18,AK18)*100+SUM(M18,AE18)+0.001,1,0)+IF(AT18*1000000+SUM(V18,AN18)*10000+SUM(P18,AH18)*100+SUM(J18,AB18)+0.004&gt;AW18*1000000+SUM(Y18,AQ18)*10000+SUM(S18,AK18)*100+SUM(M18,AE18)+0.001,1,0)+IF(AU18*1000000+SUM(W18,AO18)*10000+SUM(Q18,AI18)*100+SUM(K18,AC18)+0.003&gt;AW18*1000000+SUM(Y18,AQ18)*10000+SUM(S18,AK18)*100+SUM(M18,AE18)+0.001,1,0)+IF(AV18*1000000+SUM(X18,AP18)*10000+SUM(R18,AJ18)*100+SUM(L18,AD18)+0.002&gt;AW18*1000000+SUM(Y18,AQ18)*10000+SUM(S18,AK18)*100+SUM(M18,AE18)+0.001,1,0)=0,"C",""))))))&amp;IF(IF(AS18*1000000+SUM(U18,AM18)*10000+SUM(O18,AG18)*100+SUM(I18,AA18)+0.005&gt;AR18*1000000+SUM(T18,AL18)*10000+SUM(N18,AF18)*100+SUM(H18,Z18)+0.006,1,0)+IF(AT18*1000000+SUM(V18,AN18)*10000+SUM(P18,AH18)*100+SUM(J18,AB18)+0.004&gt;AR18*1000000+SUM(T18,AL18)*10000+SUM(N18,AF18)*100+SUM(H18,Z18)+0.006,1,0)+IF(AU18*1000000+SUM(W18,AO18)*10000+SUM(Q18,AI18)*100+SUM(K18,AC18)+0.003&gt;AR18*1000000+SUM(T18,AL18)*10000+SUM(N18,AF18)*100+SUM(H18,Z18)+0.006,1,0)+IF(AV18*1000000+SUM(X18,AP18)*10000+SUM(R18,AJ18)*100+SUM(L18,AD18)+0.002&gt;AR18*1000000+SUM(T18,AL18)*10000+SUM(N18,AF18)*100+SUM(H18,Z18)+0.006,1,0)+IF(AW18*1000000+SUM(Y18,AQ18)*10000+SUM(S18,AK18)*100+SUM(M18,AE18)+0.001&gt;AR18*1000000+SUM(T18,AL18)*10000+SUM(N18,AF18)*100+SUM(H18,Z18)+0.006,1,0)=1,"R",IF(IF(AR18*1000000+SUM(T18,AL18)*10000+SUM(N18,AF18)*100+SUM(H18,Z18)+0.006&gt;AS18*1000000+SUM(U18,AM18)*10000+SUM(O18,AG18)*100+SUM(I18,AA18)+0.005,1,0)+IF(AT18*1000000+SUM(V18,AN18)*10000+SUM(P18,AH18)*100+SUM(J18,AB18)+0.004&gt;AS18*1000000+SUM(U18,AM18)*10000+SUM(O18,AG18)*100+SUM(I18,AA18)+0.005,1,0)+IF(AU18*1000000+SUM(W18,AO18)*10000+SUM(Q18,AI18)*100+SUM(K18,AC18)+0.003&gt;AS18*1000000+SUM(U18,AM18)*10000+SUM(O18,AG18)*100+SUM(I18,AA18)+0.005,1,0)+IF(AV18*1000000+SUM(X18,AP18)*10000+SUM(R18,AJ18)*100+SUM(L18,AD18)+0.002&gt;AS18*1000000+SUM(U18,AM18)*10000+SUM(O18,AG18)*100+SUM(I18,AA18)+0.005,1,0)+IF(AW18*1000000+SUM(Y18,AQ18)*10000+SUM(S18,AK18)*100+SUM(M18,AE18)+0.001&gt;AS18*1000000+SUM(U18,AM18)*10000+SUM(O18,AG18)*100+SUM(I18,AA18)+0.005,1,0)=1,"I",IF(IF(AR18*1000000+SUM(T18,AL18)*10000+SUM(N18,AF18)*100+SUM(H18,Z18)+0.006&gt;AT18*1000000+SUM(V18,AN18)*10000+SUM(P18,AH18)*100+SUM(J18,AB18)+0.004,1,0)+IF(AS18*1000000+SUM(U18,AM18)*10000+SUM(O18,AG18)*100+SUM(I18,AA18)+0.005&gt;AT18*1000000+SUM(V18,AN18)*10000+SUM(P18,AH18)*100+SUM(J18,AB18)+0.004,1,0)+IF(AU18*1000000+SUM(W18,AO18)*10000+SUM(Q18,AI18)*100+SUM(K18,AC18)+0.003&gt;AT18*1000000+SUM(V18,AN18)*10000+SUM(P18,AH18)*100+SUM(J18,AB18)+0.004,1,0)+IF(AV18*1000000+SUM(X18,AP18)*10000+SUM(R18,AJ18)*100+SUM(L18,AD18)+0.002&gt;AT18*1000000+SUM(V18,AN18)*10000+SUM(P18,AH18)*100+SUM(J18,AB18)+0.004,1,0)+IF(AW18*1000000+SUM(Y18,AQ18)*10000+SUM(S18,AK18)*100+SUM(M18,AE18)+0.001&gt;AT18*1000000+SUM(V18,AN18)*10000+SUM(P18,AH18)*100+SUM(J18,AB18)+0.004,1,0)=1,"A",IF(IF(AR18*1000000+SUM(T18,AL18)*10000+SUM(N18,AF18)*100+SUM(H18,Z18)+0.006&gt;AU18*1000000+SUM(W18,AO18)*10000+SUM(Q18,AI18)*100+SUM(K18,AC18)+0.003,1,0)+IF(AS18*1000000+SUM(U18,AM18)*10000+SUM(O18,AG18)*100+SUM(I18,AA18)+0.005&gt;AU18*1000000+SUM(W18,AO18)*10000+SUM(Q18,AI18)*100+SUM(K18,AC18)+0.003,1,0)+IF(AT18*1000000+SUM(V18,AN18)*10000+SUM(P18,AH18)*100+SUM(J18,AB18)+0.004&gt;AU18*1000000+SUM(W18,AO18)*10000+SUM(Q18,AI18)*100+SUM(K18,AC18)+0.003,1,0)+IF(AV18*1000000+SUM(X18,AP18)*10000+SUM(R18,AJ18)*100+SUM(L18,AD18)+0.002&gt;AU18*1000000+SUM(W18,AO18)*10000+SUM(Q18,AI18)*100+SUM(K18,AC18)+0.003,1,0)+IF(AW18*1000000+SUM(Y18,AQ18)*10000+SUM(S18,AK18)*100+SUM(M18,AE18)+0.001&gt;AU18*1000000+SUM(W18,AO18)*10000+SUM(Q18,AI18)*100+SUM(K18,AC18)+0.003,1,0)=1,"S",IF(IF(AR18*1000000+SUM(T18,AL18)*10000+SUM(N18,AF18)*100+SUM(H18,Z18)+0.006&gt;AV18*1000000+SUM(X18,AP18)*10000+SUM(R18,AJ18)*100+SUM(L18,AD18)+0.002,1,0)+IF(AS18*1000000+SUM(U18,AM18)*10000+SUM(O18,AG18)*100+SUM(I18,AA18)+0.005&gt;AV18*1000000+SUM(X18,AP18)*10000+SUM(R18,AJ18)*100+SUM(L18,AD18)+0.002,1,0)+IF(AT18*1000000+SUM(V18,AN18)*10000+SUM(P18,AH18)*100+SUM(J18,AB18)+0.004&gt;AV18*1000000+SUM(X18,AP18)*10000+SUM(R18,AJ18)*100+SUM(L18,AD18)+0.002,1,0)+IF(AU18*1000000+SUM(W18,AO18)*10000+SUM(Q18,AI18)*100+SUM(K18,AC18)+0.003&gt;AV18*1000000+SUM(X18,AP18)*10000+SUM(R18,AJ18)*100+SUM(L18,AD18)+0.002,1,0)+IF(AW18*1000000+SUM(Y18,AQ18)*10000+SUM(S18,AK18)*100+SUM(M18,AE18)+0.001&gt;AV18*1000000+SUM(X18,AP18)*10000+SUM(R18,AJ18)*100+SUM(L18,AD18)+0.002,1,0)=1,"E",IF(IF(AR18*1000000+SUM(T18,AL18)*10000+SUM(N18,AF18)*100+SUM(H18,Z18)+0.006&gt;AW18*1000000+SUM(Y18,AQ18)*10000+SUM(S18,AK18)*100+SUM(M18,AE18)+0.001,1,0)+IF(AS18*1000000+SUM(U18,AM18)*10000+SUM(O18,AG18)*100+SUM(I18,AA18)+0.005&gt;AW18*1000000+SUM(Y18,AQ18)*10000+SUM(S18,AK18)*100+SUM(M18,AE18)+0.001,1,0)+IF(AT18*1000000+SUM(V18,AN18)*10000+SUM(P18,AH18)*100+SUM(J18,AB18)+0.004&gt;AW18*1000000+SUM(Y18,AQ18)*10000+SUM(S18,AK18)*100+SUM(M18,AE18)+0.001,1,0)+IF(AU18*1000000+SUM(W18,AO18)*10000+SUM(Q18,AI18)*100+SUM(K18,AC18)+0.003&gt;AW18*1000000+SUM(Y18,AQ18)*10000+SUM(S18,AK18)*100+SUM(M18,AE18)+0.001,1,0)+IF(AV18*1000000+SUM(X18,AP18)*10000+SUM(R18,AJ18)*100+SUM(L18,AD18)+0.002&gt;AW18*1000000+SUM(Y18,AQ18)*10000+SUM(S18,AK18)*100+SUM(M18,AE18)+0.001,1,0)=1,"C",""))))))&amp;IF(IF(AS18*1000000+SUM(U18,AM18)*10000+SUM(O18,AG18)*100+SUM(I18,AA18)+0.005&gt;AR18*1000000+SUM(T18,AL18)*10000+SUM(N18,AF18)*100+SUM(H18,Z18)+0.006,1,0)+IF(AT18*1000000+SUM(V18,AN18)*10000+SUM(P18,AH18)*100+SUM(J18,AB18)+0.004&gt;AR18*1000000+SUM(T18,AL18)*10000+SUM(N18,AF18)*100+SUM(H18,Z18)+0.006,1,0)+IF(AU18*1000000+SUM(W18,AO18)*10000+SUM(Q18,AI18)*100+SUM(K18,AC18)+0.003&gt;AR18*1000000+SUM(T18,AL18)*10000+SUM(N18,AF18)*100+SUM(H18,Z18)+0.006,1,0)+IF(AV18*1000000+SUM(X18,AP18)*10000+SUM(R18,AJ18)*100+SUM(L18,AD18)+0.002&gt;AR18*1000000+SUM(T18,AL18)*10000+SUM(N18,AF18)*100+SUM(H18,Z18)+0.006,1,0)+IF(AW18*1000000+SUM(Y18,AQ18)*10000+SUM(S18,AK18)*100+SUM(M18,AE18)+0.001&gt;AR18*1000000+SUM(T18,AL18)*10000+SUM(N18,AF18)*100+SUM(H18,Z18)+0.006,1,0)=2,"R",IF(IF(AR18*1000000+SUM(T18,AL18)*10000+SUM(N18,AF18)*100+SUM(H18,Z18)+0.006&gt;AS18*1000000+SUM(U18,AM18)*10000+SUM(O18,AG18)*100+SUM(I18,AA18)+0.005,1,0)+IF(AT18*1000000+SUM(V18,AN18)*10000+SUM(P18,AH18)*100+SUM(J18,AB18)+0.004&gt;AS18*1000000+SUM(U18,AM18)*10000+SUM(O18,AG18)*100+SUM(I18,AA18)+0.005,1,0)+IF(AU18*1000000+SUM(W18,AO18)*10000+SUM(Q18,AI18)*100+SUM(K18,AC18)+0.003&gt;AS18*1000000+SUM(U18,AM18)*10000+SUM(O18,AG18)*100+SUM(I18,AA18)+0.005,1,0)+IF(AV18*1000000+SUM(X18,AP18)*10000+SUM(R18,AJ18)*100+SUM(L18,AD18)+0.002&gt;AS18*1000000+SUM(U18,AM18)*10000+SUM(O18,AG18)*100+SUM(I18,AA18)+0.005,1,0)+IF(AW18*1000000+SUM(Y18,AQ18)*10000+SUM(S18,AK18)*100+SUM(M18,AE18)+0.001&gt;AS18*1000000+SUM(U18,AM18)*10000+SUM(O18,AG18)*100+SUM(I18,AA18)+0.005,1,0)=2,"I",IF(IF(AR18*1000000+SUM(T18,AL18)*10000+SUM(N18,AF18)*100+SUM(H18,Z18)+0.006&gt;AT18*1000000+SUM(V18,AN18)*10000+SUM(P18,AH18)*100+SUM(J18,AB18)+0.004,1,0)+IF(AS18*1000000+SUM(U18,AM18)*10000+SUM(O18,AG18)*100+SUM(I18,AA18)+0.005&gt;AT18*1000000+SUM(V18,AN18)*10000+SUM(P18,AH18)*100+SUM(J18,AB18)+0.004,1,0)+IF(AU18*1000000+SUM(W18,AO18)*10000+SUM(Q18,AI18)*100+SUM(K18,AC18)+0.003&gt;AT18*1000000+SUM(V18,AN18)*10000+SUM(P18,AH18)*100+SUM(J18,AB18)+0.004,1,0)+IF(AV18*1000000+SUM(X18,AP18)*10000+SUM(R18,AJ18)*100+SUM(L18,AD18)+0.002&gt;AT18*1000000+SUM(V18,AN18)*10000+SUM(P18,AH18)*100+SUM(J18,AB18)+0.004,1,0)+IF(AW18*1000000+SUM(Y18,AQ18)*10000+SUM(S18,AK18)*100+SUM(M18,AE18)+0.001&gt;AT18*1000000+SUM(V18,AN18)*10000+SUM(P18,AH18)*100+SUM(J18,AB18)+0.004,1,0)=2,"A",IF(IF(AR18*1000000+SUM(T18,AL18)*10000+SUM(N18,AF18)*100+SUM(H18,Z18)+0.006&gt;AU18*1000000+SUM(W18,AO18)*10000+SUM(Q18,AI18)*100+SUM(K18,AC18)+0.003,1,0)+IF(AS18*1000000+SUM(U18,AM18)*10000+SUM(O18,AG18)*100+SUM(I18,AA18)+0.005&gt;AU18*1000000+SUM(W18,AO18)*10000+SUM(Q18,AI18)*100+SUM(K18,AC18)+0.003,1,0)+IF(AT18*1000000+SUM(V18,AN18)*10000+SUM(P18,AH18)*100+SUM(J18,AB18)+0.004&gt;AU18*1000000+SUM(W18,AO18)*10000+SUM(Q18,AI18)*100+SUM(K18,AC18)+0.003,1,0)+IF(AV18*1000000+SUM(X18,AP18)*10000+SUM(R18,AJ18)*100+SUM(L18,AD18)+0.002&gt;AU18*1000000+SUM(W18,AO18)*10000+SUM(Q18,AI18)*100+SUM(K18,AC18)+0.003,1,0)+IF(AW18*1000000+SUM(Y18,AQ18)*10000+SUM(S18,AK18)*100+SUM(M18,AE18)+0.001&gt;AU18*1000000+SUM(W18,AO18)*10000+SUM(Q18,AI18)*100+SUM(K18,AC18)+0.003,1,0)=2,"S",IF(IF(AR18*1000000+SUM(T18,AL18)*10000+SUM(N18,AF18)*100+SUM(H18,Z18)+0.006&gt;AV18*1000000+SUM(X18,AP18)*10000+SUM(R18,AJ18)*100+SUM(L18,AD18)+0.002,1,0)+IF(AS18*1000000+SUM(U18,AM18)*10000+SUM(O18,AG18)*100+SUM(I18,AA18)+0.005&gt;AV18*1000000+SUM(X18,AP18)*10000+SUM(R18,AJ18)*100+SUM(L18,AD18)+0.002,1,0)+IF(AT18*1000000+SUM(V18,AN18)*10000+SUM(P18,AH18)*100+SUM(J18,AB18)+0.004&gt;AV18*1000000+SUM(X18,AP18)*10000+SUM(R18,AJ18)*100+SUM(L18,AD18)+0.002,1,0)+IF(AU18*1000000+SUM(W18,AO18)*10000+SUM(Q18,AI18)*100+SUM(K18,AC18)+0.003&gt;AV18*1000000+SUM(X18,AP18)*10000+SUM(R18,AJ18)*100+SUM(L18,AD18)+0.002,1,0)+IF(AW18*1000000+SUM(Y18,AQ18)*10000+SUM(S18,AK18)*100+SUM(M18,AE18)+0.001&gt;AV18*1000000+SUM(X18,AP18)*10000+SUM(R18,AJ18)*100+SUM(L18,AD18)+0.002,1,0)=2,"E",IF(IF(AR18*1000000+SUM(T18,AL18)*10000+SUM(N18,AF18)*100+SUM(H18,Z18)+0.006&gt;AW18*1000000+SUM(Y18,AQ18)*10000+SUM(S18,AK18)*100+SUM(M18,AE18)+0.001,1,0)+IF(AS18*1000000+SUM(U18,AM18)*10000+SUM(O18,AG18)*100+SUM(I18,AA18)+0.005&gt;AW18*1000000+SUM(Y18,AQ18)*10000+SUM(S18,AK18)*100+SUM(M18,AE18)+0.001,1,0)+IF(AT18*1000000+SUM(V18,AN18)*10000+SUM(P18,AH18)*100+SUM(J18,AB18)+0.004&gt;AW18*1000000+SUM(Y18,AQ18)*10000+SUM(S18,AK18)*100+SUM(M18,AE18)+0.001,1,0)+IF(AU18*1000000+SUM(W18,AO18)*10000+SUM(Q18,AI18)*100+SUM(K18,AC18)+0.003&gt;AW18*1000000+SUM(Y18,AQ18)*10000+SUM(S18,AK18)*100+SUM(M18,AE18)+0.001,1,0)+IF(AV18*1000000+SUM(X18,AP18)*10000+SUM(R18,AJ18)*100+SUM(L18,AD18)+0.002&gt;AW18*1000000+SUM(Y18,AQ18)*10000+SUM(S18,AK18)*100+SUM(M18,AE18)+0.001,1,0)=2,"C","")))))))</x:f>
      </x:c>
      <x:c r="AY18" s="27" t="str">
        <x:f>IF(C18="","",IF(LEFT(AX18,1)="R","นักปฏิบัติ",IF(LEFT(AX18,1)="I","นักคิดวิเคราะห์",IF(LEFT(AX18,1)="A","นักสร้างสรรค์",IF(LEFT(AX18,1)="S","ผู้เข้าใจผู้คน",IF(LEFT(AX18,1)="E","ผู้นำการเปลี่ยนแปลง","ผู้จัดระบบ"))))))</x:f>
      </x:c>
    </x:row>
    <x:row r="19">
      <x:c r="A19" s="27"/>
      <x:c r="B19" s="28"/>
      <x:c r="C19" s="27"/>
      <x:c r="D19" s="27"/>
      <x:c r="E19" s="27"/>
      <x:c r="F19" s="27"/>
      <x:c r="G19" s="27"/>
      <x:c r="H19" s="27"/>
      <x:c r="I19" s="27"/>
      <x:c r="J19" s="27"/>
      <x:c r="K19" s="27"/>
      <x:c r="L19" s="27"/>
      <x:c r="M19" s="27"/>
      <x:c r="N19" s="27"/>
      <x:c r="O19" s="27"/>
      <x:c r="P19" s="27"/>
      <x:c r="Q19" s="27"/>
      <x:c r="R19" s="27"/>
      <x:c r="S19" s="27"/>
      <x:c r="T19" s="27"/>
      <x:c r="U19" s="27"/>
      <x:c r="V19" s="27"/>
      <x:c r="W19" s="27"/>
      <x:c r="X19" s="27"/>
      <x:c r="Y19" s="27"/>
      <x:c r="Z19" s="27"/>
      <x:c r="AA19" s="27"/>
      <x:c r="AB19" s="27"/>
      <x:c r="AC19" s="27"/>
      <x:c r="AD19" s="27"/>
      <x:c r="AE19" s="27"/>
      <x:c r="AF19" s="27"/>
      <x:c r="AG19" s="27"/>
      <x:c r="AH19" s="27"/>
      <x:c r="AI19" s="27"/>
      <x:c r="AJ19" s="27"/>
      <x:c r="AK19" s="27"/>
      <x:c r="AL19" s="27"/>
      <x:c r="AM19" s="27"/>
      <x:c r="AN19" s="27"/>
      <x:c r="AO19" s="27"/>
      <x:c r="AP19" s="27"/>
      <x:c r="AQ19" s="27"/>
      <x:c r="AR19" s="27" t="str">
        <x:f>IF(C19="","",SUM(H19,N19,T19,Z19,AF19,AL19))</x:f>
      </x:c>
      <x:c r="AS19" s="27" t="str">
        <x:f>IF(C19="","",SUM(I19,O19,U19,AA19,AG19,AM19))</x:f>
      </x:c>
      <x:c r="AT19" s="27" t="str">
        <x:f>IF(C19="","",SUM(J19,P19,V19,AB19,AH19,AN19))</x:f>
      </x:c>
      <x:c r="AU19" s="27" t="str">
        <x:f>IF(C19="","",SUM(K19,Q19,W19,AC19,AI19,AO19))</x:f>
      </x:c>
      <x:c r="AV19" s="27" t="str">
        <x:f>IF(C19="","",SUM(L19,R19,X19,AD19,AJ19,AP19))</x:f>
      </x:c>
      <x:c r="AW19" s="27" t="str">
        <x:f>IF(C19="","",SUM(M19,S19,Y19,AE19,AK19,AQ19))</x:f>
      </x:c>
      <x:c r="AX19" s="27" t="str">
        <x:f>IF(C19="","",IF(IF(AS19*1000000+SUM(U19,AM19)*10000+SUM(O19,AG19)*100+SUM(I19,AA19)+0.005&gt;AR19*1000000+SUM(T19,AL19)*10000+SUM(N19,AF19)*100+SUM(H19,Z19)+0.006,1,0)+IF(AT19*1000000+SUM(V19,AN19)*10000+SUM(P19,AH19)*100+SUM(J19,AB19)+0.004&gt;AR19*1000000+SUM(T19,AL19)*10000+SUM(N19,AF19)*100+SUM(H19,Z19)+0.006,1,0)+IF(AU19*1000000+SUM(W19,AO19)*10000+SUM(Q19,AI19)*100+SUM(K19,AC19)+0.003&gt;AR19*1000000+SUM(T19,AL19)*10000+SUM(N19,AF19)*100+SUM(H19,Z19)+0.006,1,0)+IF(AV19*1000000+SUM(X19,AP19)*10000+SUM(R19,AJ19)*100+SUM(L19,AD19)+0.002&gt;AR19*1000000+SUM(T19,AL19)*10000+SUM(N19,AF19)*100+SUM(H19,Z19)+0.006,1,0)+IF(AW19*1000000+SUM(Y19,AQ19)*10000+SUM(S19,AK19)*100+SUM(M19,AE19)+0.001&gt;AR19*1000000+SUM(T19,AL19)*10000+SUM(N19,AF19)*100+SUM(H19,Z19)+0.006,1,0)=0,"R",IF(IF(AR19*1000000+SUM(T19,AL19)*10000+SUM(N19,AF19)*100+SUM(H19,Z19)+0.006&gt;AS19*1000000+SUM(U19,AM19)*10000+SUM(O19,AG19)*100+SUM(I19,AA19)+0.005,1,0)+IF(AT19*1000000+SUM(V19,AN19)*10000+SUM(P19,AH19)*100+SUM(J19,AB19)+0.004&gt;AS19*1000000+SUM(U19,AM19)*10000+SUM(O19,AG19)*100+SUM(I19,AA19)+0.005,1,0)+IF(AU19*1000000+SUM(W19,AO19)*10000+SUM(Q19,AI19)*100+SUM(K19,AC19)+0.003&gt;AS19*1000000+SUM(U19,AM19)*10000+SUM(O19,AG19)*100+SUM(I19,AA19)+0.005,1,0)+IF(AV19*1000000+SUM(X19,AP19)*10000+SUM(R19,AJ19)*100+SUM(L19,AD19)+0.002&gt;AS19*1000000+SUM(U19,AM19)*10000+SUM(O19,AG19)*100+SUM(I19,AA19)+0.005,1,0)+IF(AW19*1000000+SUM(Y19,AQ19)*10000+SUM(S19,AK19)*100+SUM(M19,AE19)+0.001&gt;AS19*1000000+SUM(U19,AM19)*10000+SUM(O19,AG19)*100+SUM(I19,AA19)+0.005,1,0)=0,"I",IF(IF(AR19*1000000+SUM(T19,AL19)*10000+SUM(N19,AF19)*100+SUM(H19,Z19)+0.006&gt;AT19*1000000+SUM(V19,AN19)*10000+SUM(P19,AH19)*100+SUM(J19,AB19)+0.004,1,0)+IF(AS19*1000000+SUM(U19,AM19)*10000+SUM(O19,AG19)*100+SUM(I19,AA19)+0.005&gt;AT19*1000000+SUM(V19,AN19)*10000+SUM(P19,AH19)*100+SUM(J19,AB19)+0.004,1,0)+IF(AU19*1000000+SUM(W19,AO19)*10000+SUM(Q19,AI19)*100+SUM(K19,AC19)+0.003&gt;AT19*1000000+SUM(V19,AN19)*10000+SUM(P19,AH19)*100+SUM(J19,AB19)+0.004,1,0)+IF(AV19*1000000+SUM(X19,AP19)*10000+SUM(R19,AJ19)*100+SUM(L19,AD19)+0.002&gt;AT19*1000000+SUM(V19,AN19)*10000+SUM(P19,AH19)*100+SUM(J19,AB19)+0.004,1,0)+IF(AW19*1000000+SUM(Y19,AQ19)*10000+SUM(S19,AK19)*100+SUM(M19,AE19)+0.001&gt;AT19*1000000+SUM(V19,AN19)*10000+SUM(P19,AH19)*100+SUM(J19,AB19)+0.004,1,0)=0,"A",IF(IF(AR19*1000000+SUM(T19,AL19)*10000+SUM(N19,AF19)*100+SUM(H19,Z19)+0.006&gt;AU19*1000000+SUM(W19,AO19)*10000+SUM(Q19,AI19)*100+SUM(K19,AC19)+0.003,1,0)+IF(AS19*1000000+SUM(U19,AM19)*10000+SUM(O19,AG19)*100+SUM(I19,AA19)+0.005&gt;AU19*1000000+SUM(W19,AO19)*10000+SUM(Q19,AI19)*100+SUM(K19,AC19)+0.003,1,0)+IF(AT19*1000000+SUM(V19,AN19)*10000+SUM(P19,AH19)*100+SUM(J19,AB19)+0.004&gt;AU19*1000000+SUM(W19,AO19)*10000+SUM(Q19,AI19)*100+SUM(K19,AC19)+0.003,1,0)+IF(AV19*1000000+SUM(X19,AP19)*10000+SUM(R19,AJ19)*100+SUM(L19,AD19)+0.002&gt;AU19*1000000+SUM(W19,AO19)*10000+SUM(Q19,AI19)*100+SUM(K19,AC19)+0.003,1,0)+IF(AW19*1000000+SUM(Y19,AQ19)*10000+SUM(S19,AK19)*100+SUM(M19,AE19)+0.001&gt;AU19*1000000+SUM(W19,AO19)*10000+SUM(Q19,AI19)*100+SUM(K19,AC19)+0.003,1,0)=0,"S",IF(IF(AR19*1000000+SUM(T19,AL19)*10000+SUM(N19,AF19)*100+SUM(H19,Z19)+0.006&gt;AV19*1000000+SUM(X19,AP19)*10000+SUM(R19,AJ19)*100+SUM(L19,AD19)+0.002,1,0)+IF(AS19*1000000+SUM(U19,AM19)*10000+SUM(O19,AG19)*100+SUM(I19,AA19)+0.005&gt;AV19*1000000+SUM(X19,AP19)*10000+SUM(R19,AJ19)*100+SUM(L19,AD19)+0.002,1,0)+IF(AT19*1000000+SUM(V19,AN19)*10000+SUM(P19,AH19)*100+SUM(J19,AB19)+0.004&gt;AV19*1000000+SUM(X19,AP19)*10000+SUM(R19,AJ19)*100+SUM(L19,AD19)+0.002,1,0)+IF(AU19*1000000+SUM(W19,AO19)*10000+SUM(Q19,AI19)*100+SUM(K19,AC19)+0.003&gt;AV19*1000000+SUM(X19,AP19)*10000+SUM(R19,AJ19)*100+SUM(L19,AD19)+0.002,1,0)+IF(AW19*1000000+SUM(Y19,AQ19)*10000+SUM(S19,AK19)*100+SUM(M19,AE19)+0.001&gt;AV19*1000000+SUM(X19,AP19)*10000+SUM(R19,AJ19)*100+SUM(L19,AD19)+0.002,1,0)=0,"E",IF(IF(AR19*1000000+SUM(T19,AL19)*10000+SUM(N19,AF19)*100+SUM(H19,Z19)+0.006&gt;AW19*1000000+SUM(Y19,AQ19)*10000+SUM(S19,AK19)*100+SUM(M19,AE19)+0.001,1,0)+IF(AS19*1000000+SUM(U19,AM19)*10000+SUM(O19,AG19)*100+SUM(I19,AA19)+0.005&gt;AW19*1000000+SUM(Y19,AQ19)*10000+SUM(S19,AK19)*100+SUM(M19,AE19)+0.001,1,0)+IF(AT19*1000000+SUM(V19,AN19)*10000+SUM(P19,AH19)*100+SUM(J19,AB19)+0.004&gt;AW19*1000000+SUM(Y19,AQ19)*10000+SUM(S19,AK19)*100+SUM(M19,AE19)+0.001,1,0)+IF(AU19*1000000+SUM(W19,AO19)*10000+SUM(Q19,AI19)*100+SUM(K19,AC19)+0.003&gt;AW19*1000000+SUM(Y19,AQ19)*10000+SUM(S19,AK19)*100+SUM(M19,AE19)+0.001,1,0)+IF(AV19*1000000+SUM(X19,AP19)*10000+SUM(R19,AJ19)*100+SUM(L19,AD19)+0.002&gt;AW19*1000000+SUM(Y19,AQ19)*10000+SUM(S19,AK19)*100+SUM(M19,AE19)+0.001,1,0)=0,"C",""))))))&amp;IF(IF(AS19*1000000+SUM(U19,AM19)*10000+SUM(O19,AG19)*100+SUM(I19,AA19)+0.005&gt;AR19*1000000+SUM(T19,AL19)*10000+SUM(N19,AF19)*100+SUM(H19,Z19)+0.006,1,0)+IF(AT19*1000000+SUM(V19,AN19)*10000+SUM(P19,AH19)*100+SUM(J19,AB19)+0.004&gt;AR19*1000000+SUM(T19,AL19)*10000+SUM(N19,AF19)*100+SUM(H19,Z19)+0.006,1,0)+IF(AU19*1000000+SUM(W19,AO19)*10000+SUM(Q19,AI19)*100+SUM(K19,AC19)+0.003&gt;AR19*1000000+SUM(T19,AL19)*10000+SUM(N19,AF19)*100+SUM(H19,Z19)+0.006,1,0)+IF(AV19*1000000+SUM(X19,AP19)*10000+SUM(R19,AJ19)*100+SUM(L19,AD19)+0.002&gt;AR19*1000000+SUM(T19,AL19)*10000+SUM(N19,AF19)*100+SUM(H19,Z19)+0.006,1,0)+IF(AW19*1000000+SUM(Y19,AQ19)*10000+SUM(S19,AK19)*100+SUM(M19,AE19)+0.001&gt;AR19*1000000+SUM(T19,AL19)*10000+SUM(N19,AF19)*100+SUM(H19,Z19)+0.006,1,0)=1,"R",IF(IF(AR19*1000000+SUM(T19,AL19)*10000+SUM(N19,AF19)*100+SUM(H19,Z19)+0.006&gt;AS19*1000000+SUM(U19,AM19)*10000+SUM(O19,AG19)*100+SUM(I19,AA19)+0.005,1,0)+IF(AT19*1000000+SUM(V19,AN19)*10000+SUM(P19,AH19)*100+SUM(J19,AB19)+0.004&gt;AS19*1000000+SUM(U19,AM19)*10000+SUM(O19,AG19)*100+SUM(I19,AA19)+0.005,1,0)+IF(AU19*1000000+SUM(W19,AO19)*10000+SUM(Q19,AI19)*100+SUM(K19,AC19)+0.003&gt;AS19*1000000+SUM(U19,AM19)*10000+SUM(O19,AG19)*100+SUM(I19,AA19)+0.005,1,0)+IF(AV19*1000000+SUM(X19,AP19)*10000+SUM(R19,AJ19)*100+SUM(L19,AD19)+0.002&gt;AS19*1000000+SUM(U19,AM19)*10000+SUM(O19,AG19)*100+SUM(I19,AA19)+0.005,1,0)+IF(AW19*1000000+SUM(Y19,AQ19)*10000+SUM(S19,AK19)*100+SUM(M19,AE19)+0.001&gt;AS19*1000000+SUM(U19,AM19)*10000+SUM(O19,AG19)*100+SUM(I19,AA19)+0.005,1,0)=1,"I",IF(IF(AR19*1000000+SUM(T19,AL19)*10000+SUM(N19,AF19)*100+SUM(H19,Z19)+0.006&gt;AT19*1000000+SUM(V19,AN19)*10000+SUM(P19,AH19)*100+SUM(J19,AB19)+0.004,1,0)+IF(AS19*1000000+SUM(U19,AM19)*10000+SUM(O19,AG19)*100+SUM(I19,AA19)+0.005&gt;AT19*1000000+SUM(V19,AN19)*10000+SUM(P19,AH19)*100+SUM(J19,AB19)+0.004,1,0)+IF(AU19*1000000+SUM(W19,AO19)*10000+SUM(Q19,AI19)*100+SUM(K19,AC19)+0.003&gt;AT19*1000000+SUM(V19,AN19)*10000+SUM(P19,AH19)*100+SUM(J19,AB19)+0.004,1,0)+IF(AV19*1000000+SUM(X19,AP19)*10000+SUM(R19,AJ19)*100+SUM(L19,AD19)+0.002&gt;AT19*1000000+SUM(V19,AN19)*10000+SUM(P19,AH19)*100+SUM(J19,AB19)+0.004,1,0)+IF(AW19*1000000+SUM(Y19,AQ19)*10000+SUM(S19,AK19)*100+SUM(M19,AE19)+0.001&gt;AT19*1000000+SUM(V19,AN19)*10000+SUM(P19,AH19)*100+SUM(J19,AB19)+0.004,1,0)=1,"A",IF(IF(AR19*1000000+SUM(T19,AL19)*10000+SUM(N19,AF19)*100+SUM(H19,Z19)+0.006&gt;AU19*1000000+SUM(W19,AO19)*10000+SUM(Q19,AI19)*100+SUM(K19,AC19)+0.003,1,0)+IF(AS19*1000000+SUM(U19,AM19)*10000+SUM(O19,AG19)*100+SUM(I19,AA19)+0.005&gt;AU19*1000000+SUM(W19,AO19)*10000+SUM(Q19,AI19)*100+SUM(K19,AC19)+0.003,1,0)+IF(AT19*1000000+SUM(V19,AN19)*10000+SUM(P19,AH19)*100+SUM(J19,AB19)+0.004&gt;AU19*1000000+SUM(W19,AO19)*10000+SUM(Q19,AI19)*100+SUM(K19,AC19)+0.003,1,0)+IF(AV19*1000000+SUM(X19,AP19)*10000+SUM(R19,AJ19)*100+SUM(L19,AD19)+0.002&gt;AU19*1000000+SUM(W19,AO19)*10000+SUM(Q19,AI19)*100+SUM(K19,AC19)+0.003,1,0)+IF(AW19*1000000+SUM(Y19,AQ19)*10000+SUM(S19,AK19)*100+SUM(M19,AE19)+0.001&gt;AU19*1000000+SUM(W19,AO19)*10000+SUM(Q19,AI19)*100+SUM(K19,AC19)+0.003,1,0)=1,"S",IF(IF(AR19*1000000+SUM(T19,AL19)*10000+SUM(N19,AF19)*100+SUM(H19,Z19)+0.006&gt;AV19*1000000+SUM(X19,AP19)*10000+SUM(R19,AJ19)*100+SUM(L19,AD19)+0.002,1,0)+IF(AS19*1000000+SUM(U19,AM19)*10000+SUM(O19,AG19)*100+SUM(I19,AA19)+0.005&gt;AV19*1000000+SUM(X19,AP19)*10000+SUM(R19,AJ19)*100+SUM(L19,AD19)+0.002,1,0)+IF(AT19*1000000+SUM(V19,AN19)*10000+SUM(P19,AH19)*100+SUM(J19,AB19)+0.004&gt;AV19*1000000+SUM(X19,AP19)*10000+SUM(R19,AJ19)*100+SUM(L19,AD19)+0.002,1,0)+IF(AU19*1000000+SUM(W19,AO19)*10000+SUM(Q19,AI19)*100+SUM(K19,AC19)+0.003&gt;AV19*1000000+SUM(X19,AP19)*10000+SUM(R19,AJ19)*100+SUM(L19,AD19)+0.002,1,0)+IF(AW19*1000000+SUM(Y19,AQ19)*10000+SUM(S19,AK19)*100+SUM(M19,AE19)+0.001&gt;AV19*1000000+SUM(X19,AP19)*10000+SUM(R19,AJ19)*100+SUM(L19,AD19)+0.002,1,0)=1,"E",IF(IF(AR19*1000000+SUM(T19,AL19)*10000+SUM(N19,AF19)*100+SUM(H19,Z19)+0.006&gt;AW19*1000000+SUM(Y19,AQ19)*10000+SUM(S19,AK19)*100+SUM(M19,AE19)+0.001,1,0)+IF(AS19*1000000+SUM(U19,AM19)*10000+SUM(O19,AG19)*100+SUM(I19,AA19)+0.005&gt;AW19*1000000+SUM(Y19,AQ19)*10000+SUM(S19,AK19)*100+SUM(M19,AE19)+0.001,1,0)+IF(AT19*1000000+SUM(V19,AN19)*10000+SUM(P19,AH19)*100+SUM(J19,AB19)+0.004&gt;AW19*1000000+SUM(Y19,AQ19)*10000+SUM(S19,AK19)*100+SUM(M19,AE19)+0.001,1,0)+IF(AU19*1000000+SUM(W19,AO19)*10000+SUM(Q19,AI19)*100+SUM(K19,AC19)+0.003&gt;AW19*1000000+SUM(Y19,AQ19)*10000+SUM(S19,AK19)*100+SUM(M19,AE19)+0.001,1,0)+IF(AV19*1000000+SUM(X19,AP19)*10000+SUM(R19,AJ19)*100+SUM(L19,AD19)+0.002&gt;AW19*1000000+SUM(Y19,AQ19)*10000+SUM(S19,AK19)*100+SUM(M19,AE19)+0.001,1,0)=1,"C",""))))))&amp;IF(IF(AS19*1000000+SUM(U19,AM19)*10000+SUM(O19,AG19)*100+SUM(I19,AA19)+0.005&gt;AR19*1000000+SUM(T19,AL19)*10000+SUM(N19,AF19)*100+SUM(H19,Z19)+0.006,1,0)+IF(AT19*1000000+SUM(V19,AN19)*10000+SUM(P19,AH19)*100+SUM(J19,AB19)+0.004&gt;AR19*1000000+SUM(T19,AL19)*10000+SUM(N19,AF19)*100+SUM(H19,Z19)+0.006,1,0)+IF(AU19*1000000+SUM(W19,AO19)*10000+SUM(Q19,AI19)*100+SUM(K19,AC19)+0.003&gt;AR19*1000000+SUM(T19,AL19)*10000+SUM(N19,AF19)*100+SUM(H19,Z19)+0.006,1,0)+IF(AV19*1000000+SUM(X19,AP19)*10000+SUM(R19,AJ19)*100+SUM(L19,AD19)+0.002&gt;AR19*1000000+SUM(T19,AL19)*10000+SUM(N19,AF19)*100+SUM(H19,Z19)+0.006,1,0)+IF(AW19*1000000+SUM(Y19,AQ19)*10000+SUM(S19,AK19)*100+SUM(M19,AE19)+0.001&gt;AR19*1000000+SUM(T19,AL19)*10000+SUM(N19,AF19)*100+SUM(H19,Z19)+0.006,1,0)=2,"R",IF(IF(AR19*1000000+SUM(T19,AL19)*10000+SUM(N19,AF19)*100+SUM(H19,Z19)+0.006&gt;AS19*1000000+SUM(U19,AM19)*10000+SUM(O19,AG19)*100+SUM(I19,AA19)+0.005,1,0)+IF(AT19*1000000+SUM(V19,AN19)*10000+SUM(P19,AH19)*100+SUM(J19,AB19)+0.004&gt;AS19*1000000+SUM(U19,AM19)*10000+SUM(O19,AG19)*100+SUM(I19,AA19)+0.005,1,0)+IF(AU19*1000000+SUM(W19,AO19)*10000+SUM(Q19,AI19)*100+SUM(K19,AC19)+0.003&gt;AS19*1000000+SUM(U19,AM19)*10000+SUM(O19,AG19)*100+SUM(I19,AA19)+0.005,1,0)+IF(AV19*1000000+SUM(X19,AP19)*10000+SUM(R19,AJ19)*100+SUM(L19,AD19)+0.002&gt;AS19*1000000+SUM(U19,AM19)*10000+SUM(O19,AG19)*100+SUM(I19,AA19)+0.005,1,0)+IF(AW19*1000000+SUM(Y19,AQ19)*10000+SUM(S19,AK19)*100+SUM(M19,AE19)+0.001&gt;AS19*1000000+SUM(U19,AM19)*10000+SUM(O19,AG19)*100+SUM(I19,AA19)+0.005,1,0)=2,"I",IF(IF(AR19*1000000+SUM(T19,AL19)*10000+SUM(N19,AF19)*100+SUM(H19,Z19)+0.006&gt;AT19*1000000+SUM(V19,AN19)*10000+SUM(P19,AH19)*100+SUM(J19,AB19)+0.004,1,0)+IF(AS19*1000000+SUM(U19,AM19)*10000+SUM(O19,AG19)*100+SUM(I19,AA19)+0.005&gt;AT19*1000000+SUM(V19,AN19)*10000+SUM(P19,AH19)*100+SUM(J19,AB19)+0.004,1,0)+IF(AU19*1000000+SUM(W19,AO19)*10000+SUM(Q19,AI19)*100+SUM(K19,AC19)+0.003&gt;AT19*1000000+SUM(V19,AN19)*10000+SUM(P19,AH19)*100+SUM(J19,AB19)+0.004,1,0)+IF(AV19*1000000+SUM(X19,AP19)*10000+SUM(R19,AJ19)*100+SUM(L19,AD19)+0.002&gt;AT19*1000000+SUM(V19,AN19)*10000+SUM(P19,AH19)*100+SUM(J19,AB19)+0.004,1,0)+IF(AW19*1000000+SUM(Y19,AQ19)*10000+SUM(S19,AK19)*100+SUM(M19,AE19)+0.001&gt;AT19*1000000+SUM(V19,AN19)*10000+SUM(P19,AH19)*100+SUM(J19,AB19)+0.004,1,0)=2,"A",IF(IF(AR19*1000000+SUM(T19,AL19)*10000+SUM(N19,AF19)*100+SUM(H19,Z19)+0.006&gt;AU19*1000000+SUM(W19,AO19)*10000+SUM(Q19,AI19)*100+SUM(K19,AC19)+0.003,1,0)+IF(AS19*1000000+SUM(U19,AM19)*10000+SUM(O19,AG19)*100+SUM(I19,AA19)+0.005&gt;AU19*1000000+SUM(W19,AO19)*10000+SUM(Q19,AI19)*100+SUM(K19,AC19)+0.003,1,0)+IF(AT19*1000000+SUM(V19,AN19)*10000+SUM(P19,AH19)*100+SUM(J19,AB19)+0.004&gt;AU19*1000000+SUM(W19,AO19)*10000+SUM(Q19,AI19)*100+SUM(K19,AC19)+0.003,1,0)+IF(AV19*1000000+SUM(X19,AP19)*10000+SUM(R19,AJ19)*100+SUM(L19,AD19)+0.002&gt;AU19*1000000+SUM(W19,AO19)*10000+SUM(Q19,AI19)*100+SUM(K19,AC19)+0.003,1,0)+IF(AW19*1000000+SUM(Y19,AQ19)*10000+SUM(S19,AK19)*100+SUM(M19,AE19)+0.001&gt;AU19*1000000+SUM(W19,AO19)*10000+SUM(Q19,AI19)*100+SUM(K19,AC19)+0.003,1,0)=2,"S",IF(IF(AR19*1000000+SUM(T19,AL19)*10000+SUM(N19,AF19)*100+SUM(H19,Z19)+0.006&gt;AV19*1000000+SUM(X19,AP19)*10000+SUM(R19,AJ19)*100+SUM(L19,AD19)+0.002,1,0)+IF(AS19*1000000+SUM(U19,AM19)*10000+SUM(O19,AG19)*100+SUM(I19,AA19)+0.005&gt;AV19*1000000+SUM(X19,AP19)*10000+SUM(R19,AJ19)*100+SUM(L19,AD19)+0.002,1,0)+IF(AT19*1000000+SUM(V19,AN19)*10000+SUM(P19,AH19)*100+SUM(J19,AB19)+0.004&gt;AV19*1000000+SUM(X19,AP19)*10000+SUM(R19,AJ19)*100+SUM(L19,AD19)+0.002,1,0)+IF(AU19*1000000+SUM(W19,AO19)*10000+SUM(Q19,AI19)*100+SUM(K19,AC19)+0.003&gt;AV19*1000000+SUM(X19,AP19)*10000+SUM(R19,AJ19)*100+SUM(L19,AD19)+0.002,1,0)+IF(AW19*1000000+SUM(Y19,AQ19)*10000+SUM(S19,AK19)*100+SUM(M19,AE19)+0.001&gt;AV19*1000000+SUM(X19,AP19)*10000+SUM(R19,AJ19)*100+SUM(L19,AD19)+0.002,1,0)=2,"E",IF(IF(AR19*1000000+SUM(T19,AL19)*10000+SUM(N19,AF19)*100+SUM(H19,Z19)+0.006&gt;AW19*1000000+SUM(Y19,AQ19)*10000+SUM(S19,AK19)*100+SUM(M19,AE19)+0.001,1,0)+IF(AS19*1000000+SUM(U19,AM19)*10000+SUM(O19,AG19)*100+SUM(I19,AA19)+0.005&gt;AW19*1000000+SUM(Y19,AQ19)*10000+SUM(S19,AK19)*100+SUM(M19,AE19)+0.001,1,0)+IF(AT19*1000000+SUM(V19,AN19)*10000+SUM(P19,AH19)*100+SUM(J19,AB19)+0.004&gt;AW19*1000000+SUM(Y19,AQ19)*10000+SUM(S19,AK19)*100+SUM(M19,AE19)+0.001,1,0)+IF(AU19*1000000+SUM(W19,AO19)*10000+SUM(Q19,AI19)*100+SUM(K19,AC19)+0.003&gt;AW19*1000000+SUM(Y19,AQ19)*10000+SUM(S19,AK19)*100+SUM(M19,AE19)+0.001,1,0)+IF(AV19*1000000+SUM(X19,AP19)*10000+SUM(R19,AJ19)*100+SUM(L19,AD19)+0.002&gt;AW19*1000000+SUM(Y19,AQ19)*10000+SUM(S19,AK19)*100+SUM(M19,AE19)+0.001,1,0)=2,"C","")))))))</x:f>
      </x:c>
      <x:c r="AY19" s="27" t="str">
        <x:f>IF(C19="","",IF(LEFT(AX19,1)="R","นักปฏิบัติ",IF(LEFT(AX19,1)="I","นักคิดวิเคราะห์",IF(LEFT(AX19,1)="A","นักสร้างสรรค์",IF(LEFT(AX19,1)="S","ผู้เข้าใจผู้คน",IF(LEFT(AX19,1)="E","ผู้นำการเปลี่ยนแปลง","ผู้จัดระบบ"))))))</x:f>
      </x:c>
    </x:row>
    <x:row r="20">
      <x:c r="A20" s="27"/>
      <x:c r="B20" s="28"/>
      <x:c r="C20" s="27"/>
      <x:c r="D20" s="27"/>
      <x:c r="E20" s="27"/>
      <x:c r="F20" s="27"/>
      <x:c r="G20" s="27"/>
      <x:c r="H20" s="27"/>
      <x:c r="I20" s="27"/>
      <x:c r="J20" s="27"/>
      <x:c r="K20" s="27"/>
      <x:c r="L20" s="27"/>
      <x:c r="M20" s="27"/>
      <x:c r="N20" s="27"/>
      <x:c r="O20" s="27"/>
      <x:c r="P20" s="27"/>
      <x:c r="Q20" s="27"/>
      <x:c r="R20" s="27"/>
      <x:c r="S20" s="27"/>
      <x:c r="T20" s="27"/>
      <x:c r="U20" s="27"/>
      <x:c r="V20" s="27"/>
      <x:c r="W20" s="27"/>
      <x:c r="X20" s="27"/>
      <x:c r="Y20" s="27"/>
      <x:c r="Z20" s="27"/>
      <x:c r="AA20" s="27"/>
      <x:c r="AB20" s="27"/>
      <x:c r="AC20" s="27"/>
      <x:c r="AD20" s="27"/>
      <x:c r="AE20" s="27"/>
      <x:c r="AF20" s="27"/>
      <x:c r="AG20" s="27"/>
      <x:c r="AH20" s="27"/>
      <x:c r="AI20" s="27"/>
      <x:c r="AJ20" s="27"/>
      <x:c r="AK20" s="27"/>
      <x:c r="AL20" s="27"/>
      <x:c r="AM20" s="27"/>
      <x:c r="AN20" s="27"/>
      <x:c r="AO20" s="27"/>
      <x:c r="AP20" s="27"/>
      <x:c r="AQ20" s="27"/>
      <x:c r="AR20" s="27" t="str">
        <x:f>IF(C20="","",SUM(H20,N20,T20,Z20,AF20,AL20))</x:f>
      </x:c>
      <x:c r="AS20" s="27" t="str">
        <x:f>IF(C20="","",SUM(I20,O20,U20,AA20,AG20,AM20))</x:f>
      </x:c>
      <x:c r="AT20" s="27" t="str">
        <x:f>IF(C20="","",SUM(J20,P20,V20,AB20,AH20,AN20))</x:f>
      </x:c>
      <x:c r="AU20" s="27" t="str">
        <x:f>IF(C20="","",SUM(K20,Q20,W20,AC20,AI20,AO20))</x:f>
      </x:c>
      <x:c r="AV20" s="27" t="str">
        <x:f>IF(C20="","",SUM(L20,R20,X20,AD20,AJ20,AP20))</x:f>
      </x:c>
      <x:c r="AW20" s="27" t="str">
        <x:f>IF(C20="","",SUM(M20,S20,Y20,AE20,AK20,AQ20))</x:f>
      </x:c>
      <x:c r="AX20" s="27" t="str">
        <x:f>IF(C20="","",IF(IF(AS20*1000000+SUM(U20,AM20)*10000+SUM(O20,AG20)*100+SUM(I20,AA20)+0.005&gt;AR20*1000000+SUM(T20,AL20)*10000+SUM(N20,AF20)*100+SUM(H20,Z20)+0.006,1,0)+IF(AT20*1000000+SUM(V20,AN20)*10000+SUM(P20,AH20)*100+SUM(J20,AB20)+0.004&gt;AR20*1000000+SUM(T20,AL20)*10000+SUM(N20,AF20)*100+SUM(H20,Z20)+0.006,1,0)+IF(AU20*1000000+SUM(W20,AO20)*10000+SUM(Q20,AI20)*100+SUM(K20,AC20)+0.003&gt;AR20*1000000+SUM(T20,AL20)*10000+SUM(N20,AF20)*100+SUM(H20,Z20)+0.006,1,0)+IF(AV20*1000000+SUM(X20,AP20)*10000+SUM(R20,AJ20)*100+SUM(L20,AD20)+0.002&gt;AR20*1000000+SUM(T20,AL20)*10000+SUM(N20,AF20)*100+SUM(H20,Z20)+0.006,1,0)+IF(AW20*1000000+SUM(Y20,AQ20)*10000+SUM(S20,AK20)*100+SUM(M20,AE20)+0.001&gt;AR20*1000000+SUM(T20,AL20)*10000+SUM(N20,AF20)*100+SUM(H20,Z20)+0.006,1,0)=0,"R",IF(IF(AR20*1000000+SUM(T20,AL20)*10000+SUM(N20,AF20)*100+SUM(H20,Z20)+0.006&gt;AS20*1000000+SUM(U20,AM20)*10000+SUM(O20,AG20)*100+SUM(I20,AA20)+0.005,1,0)+IF(AT20*1000000+SUM(V20,AN20)*10000+SUM(P20,AH20)*100+SUM(J20,AB20)+0.004&gt;AS20*1000000+SUM(U20,AM20)*10000+SUM(O20,AG20)*100+SUM(I20,AA20)+0.005,1,0)+IF(AU20*1000000+SUM(W20,AO20)*10000+SUM(Q20,AI20)*100+SUM(K20,AC20)+0.003&gt;AS20*1000000+SUM(U20,AM20)*10000+SUM(O20,AG20)*100+SUM(I20,AA20)+0.005,1,0)+IF(AV20*1000000+SUM(X20,AP20)*10000+SUM(R20,AJ20)*100+SUM(L20,AD20)+0.002&gt;AS20*1000000+SUM(U20,AM20)*10000+SUM(O20,AG20)*100+SUM(I20,AA20)+0.005,1,0)+IF(AW20*1000000+SUM(Y20,AQ20)*10000+SUM(S20,AK20)*100+SUM(M20,AE20)+0.001&gt;AS20*1000000+SUM(U20,AM20)*10000+SUM(O20,AG20)*100+SUM(I20,AA20)+0.005,1,0)=0,"I",IF(IF(AR20*1000000+SUM(T20,AL20)*10000+SUM(N20,AF20)*100+SUM(H20,Z20)+0.006&gt;AT20*1000000+SUM(V20,AN20)*10000+SUM(P20,AH20)*100+SUM(J20,AB20)+0.004,1,0)+IF(AS20*1000000+SUM(U20,AM20)*10000+SUM(O20,AG20)*100+SUM(I20,AA20)+0.005&gt;AT20*1000000+SUM(V20,AN20)*10000+SUM(P20,AH20)*100+SUM(J20,AB20)+0.004,1,0)+IF(AU20*1000000+SUM(W20,AO20)*10000+SUM(Q20,AI20)*100+SUM(K20,AC20)+0.003&gt;AT20*1000000+SUM(V20,AN20)*10000+SUM(P20,AH20)*100+SUM(J20,AB20)+0.004,1,0)+IF(AV20*1000000+SUM(X20,AP20)*10000+SUM(R20,AJ20)*100+SUM(L20,AD20)+0.002&gt;AT20*1000000+SUM(V20,AN20)*10000+SUM(P20,AH20)*100+SUM(J20,AB20)+0.004,1,0)+IF(AW20*1000000+SUM(Y20,AQ20)*10000+SUM(S20,AK20)*100+SUM(M20,AE20)+0.001&gt;AT20*1000000+SUM(V20,AN20)*10000+SUM(P20,AH20)*100+SUM(J20,AB20)+0.004,1,0)=0,"A",IF(IF(AR20*1000000+SUM(T20,AL20)*10000+SUM(N20,AF20)*100+SUM(H20,Z20)+0.006&gt;AU20*1000000+SUM(W20,AO20)*10000+SUM(Q20,AI20)*100+SUM(K20,AC20)+0.003,1,0)+IF(AS20*1000000+SUM(U20,AM20)*10000+SUM(O20,AG20)*100+SUM(I20,AA20)+0.005&gt;AU20*1000000+SUM(W20,AO20)*10000+SUM(Q20,AI20)*100+SUM(K20,AC20)+0.003,1,0)+IF(AT20*1000000+SUM(V20,AN20)*10000+SUM(P20,AH20)*100+SUM(J20,AB20)+0.004&gt;AU20*1000000+SUM(W20,AO20)*10000+SUM(Q20,AI20)*100+SUM(K20,AC20)+0.003,1,0)+IF(AV20*1000000+SUM(X20,AP20)*10000+SUM(R20,AJ20)*100+SUM(L20,AD20)+0.002&gt;AU20*1000000+SUM(W20,AO20)*10000+SUM(Q20,AI20)*100+SUM(K20,AC20)+0.003,1,0)+IF(AW20*1000000+SUM(Y20,AQ20)*10000+SUM(S20,AK20)*100+SUM(M20,AE20)+0.001&gt;AU20*1000000+SUM(W20,AO20)*10000+SUM(Q20,AI20)*100+SUM(K20,AC20)+0.003,1,0)=0,"S",IF(IF(AR20*1000000+SUM(T20,AL20)*10000+SUM(N20,AF20)*100+SUM(H20,Z20)+0.006&gt;AV20*1000000+SUM(X20,AP20)*10000+SUM(R20,AJ20)*100+SUM(L20,AD20)+0.002,1,0)+IF(AS20*1000000+SUM(U20,AM20)*10000+SUM(O20,AG20)*100+SUM(I20,AA20)+0.005&gt;AV20*1000000+SUM(X20,AP20)*10000+SUM(R20,AJ20)*100+SUM(L20,AD20)+0.002,1,0)+IF(AT20*1000000+SUM(V20,AN20)*10000+SUM(P20,AH20)*100+SUM(J20,AB20)+0.004&gt;AV20*1000000+SUM(X20,AP20)*10000+SUM(R20,AJ20)*100+SUM(L20,AD20)+0.002,1,0)+IF(AU20*1000000+SUM(W20,AO20)*10000+SUM(Q20,AI20)*100+SUM(K20,AC20)+0.003&gt;AV20*1000000+SUM(X20,AP20)*10000+SUM(R20,AJ20)*100+SUM(L20,AD20)+0.002,1,0)+IF(AW20*1000000+SUM(Y20,AQ20)*10000+SUM(S20,AK20)*100+SUM(M20,AE20)+0.001&gt;AV20*1000000+SUM(X20,AP20)*10000+SUM(R20,AJ20)*100+SUM(L20,AD20)+0.002,1,0)=0,"E",IF(IF(AR20*1000000+SUM(T20,AL20)*10000+SUM(N20,AF20)*100+SUM(H20,Z20)+0.006&gt;AW20*1000000+SUM(Y20,AQ20)*10000+SUM(S20,AK20)*100+SUM(M20,AE20)+0.001,1,0)+IF(AS20*1000000+SUM(U20,AM20)*10000+SUM(O20,AG20)*100+SUM(I20,AA20)+0.005&gt;AW20*1000000+SUM(Y20,AQ20)*10000+SUM(S20,AK20)*100+SUM(M20,AE20)+0.001,1,0)+IF(AT20*1000000+SUM(V20,AN20)*10000+SUM(P20,AH20)*100+SUM(J20,AB20)+0.004&gt;AW20*1000000+SUM(Y20,AQ20)*10000+SUM(S20,AK20)*100+SUM(M20,AE20)+0.001,1,0)+IF(AU20*1000000+SUM(W20,AO20)*10000+SUM(Q20,AI20)*100+SUM(K20,AC20)+0.003&gt;AW20*1000000+SUM(Y20,AQ20)*10000+SUM(S20,AK20)*100+SUM(M20,AE20)+0.001,1,0)+IF(AV20*1000000+SUM(X20,AP20)*10000+SUM(R20,AJ20)*100+SUM(L20,AD20)+0.002&gt;AW20*1000000+SUM(Y20,AQ20)*10000+SUM(S20,AK20)*100+SUM(M20,AE20)+0.001,1,0)=0,"C",""))))))&amp;IF(IF(AS20*1000000+SUM(U20,AM20)*10000+SUM(O20,AG20)*100+SUM(I20,AA20)+0.005&gt;AR20*1000000+SUM(T20,AL20)*10000+SUM(N20,AF20)*100+SUM(H20,Z20)+0.006,1,0)+IF(AT20*1000000+SUM(V20,AN20)*10000+SUM(P20,AH20)*100+SUM(J20,AB20)+0.004&gt;AR20*1000000+SUM(T20,AL20)*10000+SUM(N20,AF20)*100+SUM(H20,Z20)+0.006,1,0)+IF(AU20*1000000+SUM(W20,AO20)*10000+SUM(Q20,AI20)*100+SUM(K20,AC20)+0.003&gt;AR20*1000000+SUM(T20,AL20)*10000+SUM(N20,AF20)*100+SUM(H20,Z20)+0.006,1,0)+IF(AV20*1000000+SUM(X20,AP20)*10000+SUM(R20,AJ20)*100+SUM(L20,AD20)+0.002&gt;AR20*1000000+SUM(T20,AL20)*10000+SUM(N20,AF20)*100+SUM(H20,Z20)+0.006,1,0)+IF(AW20*1000000+SUM(Y20,AQ20)*10000+SUM(S20,AK20)*100+SUM(M20,AE20)+0.001&gt;AR20*1000000+SUM(T20,AL20)*10000+SUM(N20,AF20)*100+SUM(H20,Z20)+0.006,1,0)=1,"R",IF(IF(AR20*1000000+SUM(T20,AL20)*10000+SUM(N20,AF20)*100+SUM(H20,Z20)+0.006&gt;AS20*1000000+SUM(U20,AM20)*10000+SUM(O20,AG20)*100+SUM(I20,AA20)+0.005,1,0)+IF(AT20*1000000+SUM(V20,AN20)*10000+SUM(P20,AH20)*100+SUM(J20,AB20)+0.004&gt;AS20*1000000+SUM(U20,AM20)*10000+SUM(O20,AG20)*100+SUM(I20,AA20)+0.005,1,0)+IF(AU20*1000000+SUM(W20,AO20)*10000+SUM(Q20,AI20)*100+SUM(K20,AC20)+0.003&gt;AS20*1000000+SUM(U20,AM20)*10000+SUM(O20,AG20)*100+SUM(I20,AA20)+0.005,1,0)+IF(AV20*1000000+SUM(X20,AP20)*10000+SUM(R20,AJ20)*100+SUM(L20,AD20)+0.002&gt;AS20*1000000+SUM(U20,AM20)*10000+SUM(O20,AG20)*100+SUM(I20,AA20)+0.005,1,0)+IF(AW20*1000000+SUM(Y20,AQ20)*10000+SUM(S20,AK20)*100+SUM(M20,AE20)+0.001&gt;AS20*1000000+SUM(U20,AM20)*10000+SUM(O20,AG20)*100+SUM(I20,AA20)+0.005,1,0)=1,"I",IF(IF(AR20*1000000+SUM(T20,AL20)*10000+SUM(N20,AF20)*100+SUM(H20,Z20)+0.006&gt;AT20*1000000+SUM(V20,AN20)*10000+SUM(P20,AH20)*100+SUM(J20,AB20)+0.004,1,0)+IF(AS20*1000000+SUM(U20,AM20)*10000+SUM(O20,AG20)*100+SUM(I20,AA20)+0.005&gt;AT20*1000000+SUM(V20,AN20)*10000+SUM(P20,AH20)*100+SUM(J20,AB20)+0.004,1,0)+IF(AU20*1000000+SUM(W20,AO20)*10000+SUM(Q20,AI20)*100+SUM(K20,AC20)+0.003&gt;AT20*1000000+SUM(V20,AN20)*10000+SUM(P20,AH20)*100+SUM(J20,AB20)+0.004,1,0)+IF(AV20*1000000+SUM(X20,AP20)*10000+SUM(R20,AJ20)*100+SUM(L20,AD20)+0.002&gt;AT20*1000000+SUM(V20,AN20)*10000+SUM(P20,AH20)*100+SUM(J20,AB20)+0.004,1,0)+IF(AW20*1000000+SUM(Y20,AQ20)*10000+SUM(S20,AK20)*100+SUM(M20,AE20)+0.001&gt;AT20*1000000+SUM(V20,AN20)*10000+SUM(P20,AH20)*100+SUM(J20,AB20)+0.004,1,0)=1,"A",IF(IF(AR20*1000000+SUM(T20,AL20)*10000+SUM(N20,AF20)*100+SUM(H20,Z20)+0.006&gt;AU20*1000000+SUM(W20,AO20)*10000+SUM(Q20,AI20)*100+SUM(K20,AC20)+0.003,1,0)+IF(AS20*1000000+SUM(U20,AM20)*10000+SUM(O20,AG20)*100+SUM(I20,AA20)+0.005&gt;AU20*1000000+SUM(W20,AO20)*10000+SUM(Q20,AI20)*100+SUM(K20,AC20)+0.003,1,0)+IF(AT20*1000000+SUM(V20,AN20)*10000+SUM(P20,AH20)*100+SUM(J20,AB20)+0.004&gt;AU20*1000000+SUM(W20,AO20)*10000+SUM(Q20,AI20)*100+SUM(K20,AC20)+0.003,1,0)+IF(AV20*1000000+SUM(X20,AP20)*10000+SUM(R20,AJ20)*100+SUM(L20,AD20)+0.002&gt;AU20*1000000+SUM(W20,AO20)*10000+SUM(Q20,AI20)*100+SUM(K20,AC20)+0.003,1,0)+IF(AW20*1000000+SUM(Y20,AQ20)*10000+SUM(S20,AK20)*100+SUM(M20,AE20)+0.001&gt;AU20*1000000+SUM(W20,AO20)*10000+SUM(Q20,AI20)*100+SUM(K20,AC20)+0.003,1,0)=1,"S",IF(IF(AR20*1000000+SUM(T20,AL20)*10000+SUM(N20,AF20)*100+SUM(H20,Z20)+0.006&gt;AV20*1000000+SUM(X20,AP20)*10000+SUM(R20,AJ20)*100+SUM(L20,AD20)+0.002,1,0)+IF(AS20*1000000+SUM(U20,AM20)*10000+SUM(O20,AG20)*100+SUM(I20,AA20)+0.005&gt;AV20*1000000+SUM(X20,AP20)*10000+SUM(R20,AJ20)*100+SUM(L20,AD20)+0.002,1,0)+IF(AT20*1000000+SUM(V20,AN20)*10000+SUM(P20,AH20)*100+SUM(J20,AB20)+0.004&gt;AV20*1000000+SUM(X20,AP20)*10000+SUM(R20,AJ20)*100+SUM(L20,AD20)+0.002,1,0)+IF(AU20*1000000+SUM(W20,AO20)*10000+SUM(Q20,AI20)*100+SUM(K20,AC20)+0.003&gt;AV20*1000000+SUM(X20,AP20)*10000+SUM(R20,AJ20)*100+SUM(L20,AD20)+0.002,1,0)+IF(AW20*1000000+SUM(Y20,AQ20)*10000+SUM(S20,AK20)*100+SUM(M20,AE20)+0.001&gt;AV20*1000000+SUM(X20,AP20)*10000+SUM(R20,AJ20)*100+SUM(L20,AD20)+0.002,1,0)=1,"E",IF(IF(AR20*1000000+SUM(T20,AL20)*10000+SUM(N20,AF20)*100+SUM(H20,Z20)+0.006&gt;AW20*1000000+SUM(Y20,AQ20)*10000+SUM(S20,AK20)*100+SUM(M20,AE20)+0.001,1,0)+IF(AS20*1000000+SUM(U20,AM20)*10000+SUM(O20,AG20)*100+SUM(I20,AA20)+0.005&gt;AW20*1000000+SUM(Y20,AQ20)*10000+SUM(S20,AK20)*100+SUM(M20,AE20)+0.001,1,0)+IF(AT20*1000000+SUM(V20,AN20)*10000+SUM(P20,AH20)*100+SUM(J20,AB20)+0.004&gt;AW20*1000000+SUM(Y20,AQ20)*10000+SUM(S20,AK20)*100+SUM(M20,AE20)+0.001,1,0)+IF(AU20*1000000+SUM(W20,AO20)*10000+SUM(Q20,AI20)*100+SUM(K20,AC20)+0.003&gt;AW20*1000000+SUM(Y20,AQ20)*10000+SUM(S20,AK20)*100+SUM(M20,AE20)+0.001,1,0)+IF(AV20*1000000+SUM(X20,AP20)*10000+SUM(R20,AJ20)*100+SUM(L20,AD20)+0.002&gt;AW20*1000000+SUM(Y20,AQ20)*10000+SUM(S20,AK20)*100+SUM(M20,AE20)+0.001,1,0)=1,"C",""))))))&amp;IF(IF(AS20*1000000+SUM(U20,AM20)*10000+SUM(O20,AG20)*100+SUM(I20,AA20)+0.005&gt;AR20*1000000+SUM(T20,AL20)*10000+SUM(N20,AF20)*100+SUM(H20,Z20)+0.006,1,0)+IF(AT20*1000000+SUM(V20,AN20)*10000+SUM(P20,AH20)*100+SUM(J20,AB20)+0.004&gt;AR20*1000000+SUM(T20,AL20)*10000+SUM(N20,AF20)*100+SUM(H20,Z20)+0.006,1,0)+IF(AU20*1000000+SUM(W20,AO20)*10000+SUM(Q20,AI20)*100+SUM(K20,AC20)+0.003&gt;AR20*1000000+SUM(T20,AL20)*10000+SUM(N20,AF20)*100+SUM(H20,Z20)+0.006,1,0)+IF(AV20*1000000+SUM(X20,AP20)*10000+SUM(R20,AJ20)*100+SUM(L20,AD20)+0.002&gt;AR20*1000000+SUM(T20,AL20)*10000+SUM(N20,AF20)*100+SUM(H20,Z20)+0.006,1,0)+IF(AW20*1000000+SUM(Y20,AQ20)*10000+SUM(S20,AK20)*100+SUM(M20,AE20)+0.001&gt;AR20*1000000+SUM(T20,AL20)*10000+SUM(N20,AF20)*100+SUM(H20,Z20)+0.006,1,0)=2,"R",IF(IF(AR20*1000000+SUM(T20,AL20)*10000+SUM(N20,AF20)*100+SUM(H20,Z20)+0.006&gt;AS20*1000000+SUM(U20,AM20)*10000+SUM(O20,AG20)*100+SUM(I20,AA20)+0.005,1,0)+IF(AT20*1000000+SUM(V20,AN20)*10000+SUM(P20,AH20)*100+SUM(J20,AB20)+0.004&gt;AS20*1000000+SUM(U20,AM20)*10000+SUM(O20,AG20)*100+SUM(I20,AA20)+0.005,1,0)+IF(AU20*1000000+SUM(W20,AO20)*10000+SUM(Q20,AI20)*100+SUM(K20,AC20)+0.003&gt;AS20*1000000+SUM(U20,AM20)*10000+SUM(O20,AG20)*100+SUM(I20,AA20)+0.005,1,0)+IF(AV20*1000000+SUM(X20,AP20)*10000+SUM(R20,AJ20)*100+SUM(L20,AD20)+0.002&gt;AS20*1000000+SUM(U20,AM20)*10000+SUM(O20,AG20)*100+SUM(I20,AA20)+0.005,1,0)+IF(AW20*1000000+SUM(Y20,AQ20)*10000+SUM(S20,AK20)*100+SUM(M20,AE20)+0.001&gt;AS20*1000000+SUM(U20,AM20)*10000+SUM(O20,AG20)*100+SUM(I20,AA20)+0.005,1,0)=2,"I",IF(IF(AR20*1000000+SUM(T20,AL20)*10000+SUM(N20,AF20)*100+SUM(H20,Z20)+0.006&gt;AT20*1000000+SUM(V20,AN20)*10000+SUM(P20,AH20)*100+SUM(J20,AB20)+0.004,1,0)+IF(AS20*1000000+SUM(U20,AM20)*10000+SUM(O20,AG20)*100+SUM(I20,AA20)+0.005&gt;AT20*1000000+SUM(V20,AN20)*10000+SUM(P20,AH20)*100+SUM(J20,AB20)+0.004,1,0)+IF(AU20*1000000+SUM(W20,AO20)*10000+SUM(Q20,AI20)*100+SUM(K20,AC20)+0.003&gt;AT20*1000000+SUM(V20,AN20)*10000+SUM(P20,AH20)*100+SUM(J20,AB20)+0.004,1,0)+IF(AV20*1000000+SUM(X20,AP20)*10000+SUM(R20,AJ20)*100+SUM(L20,AD20)+0.002&gt;AT20*1000000+SUM(V20,AN20)*10000+SUM(P20,AH20)*100+SUM(J20,AB20)+0.004,1,0)+IF(AW20*1000000+SUM(Y20,AQ20)*10000+SUM(S20,AK20)*100+SUM(M20,AE20)+0.001&gt;AT20*1000000+SUM(V20,AN20)*10000+SUM(P20,AH20)*100+SUM(J20,AB20)+0.004,1,0)=2,"A",IF(IF(AR20*1000000+SUM(T20,AL20)*10000+SUM(N20,AF20)*100+SUM(H20,Z20)+0.006&gt;AU20*1000000+SUM(W20,AO20)*10000+SUM(Q20,AI20)*100+SUM(K20,AC20)+0.003,1,0)+IF(AS20*1000000+SUM(U20,AM20)*10000+SUM(O20,AG20)*100+SUM(I20,AA20)+0.005&gt;AU20*1000000+SUM(W20,AO20)*10000+SUM(Q20,AI20)*100+SUM(K20,AC20)+0.003,1,0)+IF(AT20*1000000+SUM(V20,AN20)*10000+SUM(P20,AH20)*100+SUM(J20,AB20)+0.004&gt;AU20*1000000+SUM(W20,AO20)*10000+SUM(Q20,AI20)*100+SUM(K20,AC20)+0.003,1,0)+IF(AV20*1000000+SUM(X20,AP20)*10000+SUM(R20,AJ20)*100+SUM(L20,AD20)+0.002&gt;AU20*1000000+SUM(W20,AO20)*10000+SUM(Q20,AI20)*100+SUM(K20,AC20)+0.003,1,0)+IF(AW20*1000000+SUM(Y20,AQ20)*10000+SUM(S20,AK20)*100+SUM(M20,AE20)+0.001&gt;AU20*1000000+SUM(W20,AO20)*10000+SUM(Q20,AI20)*100+SUM(K20,AC20)+0.003,1,0)=2,"S",IF(IF(AR20*1000000+SUM(T20,AL20)*10000+SUM(N20,AF20)*100+SUM(H20,Z20)+0.006&gt;AV20*1000000+SUM(X20,AP20)*10000+SUM(R20,AJ20)*100+SUM(L20,AD20)+0.002,1,0)+IF(AS20*1000000+SUM(U20,AM20)*10000+SUM(O20,AG20)*100+SUM(I20,AA20)+0.005&gt;AV20*1000000+SUM(X20,AP20)*10000+SUM(R20,AJ20)*100+SUM(L20,AD20)+0.002,1,0)+IF(AT20*1000000+SUM(V20,AN20)*10000+SUM(P20,AH20)*100+SUM(J20,AB20)+0.004&gt;AV20*1000000+SUM(X20,AP20)*10000+SUM(R20,AJ20)*100+SUM(L20,AD20)+0.002,1,0)+IF(AU20*1000000+SUM(W20,AO20)*10000+SUM(Q20,AI20)*100+SUM(K20,AC20)+0.003&gt;AV20*1000000+SUM(X20,AP20)*10000+SUM(R20,AJ20)*100+SUM(L20,AD20)+0.002,1,0)+IF(AW20*1000000+SUM(Y20,AQ20)*10000+SUM(S20,AK20)*100+SUM(M20,AE20)+0.001&gt;AV20*1000000+SUM(X20,AP20)*10000+SUM(R20,AJ20)*100+SUM(L20,AD20)+0.002,1,0)=2,"E",IF(IF(AR20*1000000+SUM(T20,AL20)*10000+SUM(N20,AF20)*100+SUM(H20,Z20)+0.006&gt;AW20*1000000+SUM(Y20,AQ20)*10000+SUM(S20,AK20)*100+SUM(M20,AE20)+0.001,1,0)+IF(AS20*1000000+SUM(U20,AM20)*10000+SUM(O20,AG20)*100+SUM(I20,AA20)+0.005&gt;AW20*1000000+SUM(Y20,AQ20)*10000+SUM(S20,AK20)*100+SUM(M20,AE20)+0.001,1,0)+IF(AT20*1000000+SUM(V20,AN20)*10000+SUM(P20,AH20)*100+SUM(J20,AB20)+0.004&gt;AW20*1000000+SUM(Y20,AQ20)*10000+SUM(S20,AK20)*100+SUM(M20,AE20)+0.001,1,0)+IF(AU20*1000000+SUM(W20,AO20)*10000+SUM(Q20,AI20)*100+SUM(K20,AC20)+0.003&gt;AW20*1000000+SUM(Y20,AQ20)*10000+SUM(S20,AK20)*100+SUM(M20,AE20)+0.001,1,0)+IF(AV20*1000000+SUM(X20,AP20)*10000+SUM(R20,AJ20)*100+SUM(L20,AD20)+0.002&gt;AW20*1000000+SUM(Y20,AQ20)*10000+SUM(S20,AK20)*100+SUM(M20,AE20)+0.001,1,0)=2,"C","")))))))</x:f>
      </x:c>
      <x:c r="AY20" s="27" t="str">
        <x:f>IF(C20="","",IF(LEFT(AX20,1)="R","นักปฏิบัติ",IF(LEFT(AX20,1)="I","นักคิดวิเคราะห์",IF(LEFT(AX20,1)="A","นักสร้างสรรค์",IF(LEFT(AX20,1)="S","ผู้เข้าใจผู้คน",IF(LEFT(AX20,1)="E","ผู้นำการเปลี่ยนแปลง","ผู้จัดระบบ"))))))</x:f>
      </x:c>
    </x:row>
    <x:row r="21">
      <x:c r="A21" s="27"/>
      <x:c r="B21" s="28"/>
      <x:c r="C21" s="27"/>
      <x:c r="D21" s="27"/>
      <x:c r="E21" s="27"/>
      <x:c r="F21" s="27"/>
      <x:c r="G21" s="27"/>
      <x:c r="H21" s="27"/>
      <x:c r="I21" s="27"/>
      <x:c r="J21" s="27"/>
      <x:c r="K21" s="27"/>
      <x:c r="L21" s="27"/>
      <x:c r="M21" s="27"/>
      <x:c r="N21" s="27"/>
      <x:c r="O21" s="27"/>
      <x:c r="P21" s="27"/>
      <x:c r="Q21" s="27"/>
      <x:c r="R21" s="27"/>
      <x:c r="S21" s="27"/>
      <x:c r="T21" s="27"/>
      <x:c r="U21" s="27"/>
      <x:c r="V21" s="27"/>
      <x:c r="W21" s="27"/>
      <x:c r="X21" s="27"/>
      <x:c r="Y21" s="27"/>
      <x:c r="Z21" s="27"/>
      <x:c r="AA21" s="27"/>
      <x:c r="AB21" s="27"/>
      <x:c r="AC21" s="27"/>
      <x:c r="AD21" s="27"/>
      <x:c r="AE21" s="27"/>
      <x:c r="AF21" s="27"/>
      <x:c r="AG21" s="27"/>
      <x:c r="AH21" s="27"/>
      <x:c r="AI21" s="27"/>
      <x:c r="AJ21" s="27"/>
      <x:c r="AK21" s="27"/>
      <x:c r="AL21" s="27"/>
      <x:c r="AM21" s="27"/>
      <x:c r="AN21" s="27"/>
      <x:c r="AO21" s="27"/>
      <x:c r="AP21" s="27"/>
      <x:c r="AQ21" s="27"/>
      <x:c r="AR21" s="27" t="str">
        <x:f>IF(C21="","",SUM(H21,N21,T21,Z21,AF21,AL21))</x:f>
      </x:c>
      <x:c r="AS21" s="27" t="str">
        <x:f>IF(C21="","",SUM(I21,O21,U21,AA21,AG21,AM21))</x:f>
      </x:c>
      <x:c r="AT21" s="27" t="str">
        <x:f>IF(C21="","",SUM(J21,P21,V21,AB21,AH21,AN21))</x:f>
      </x:c>
      <x:c r="AU21" s="27" t="str">
        <x:f>IF(C21="","",SUM(K21,Q21,W21,AC21,AI21,AO21))</x:f>
      </x:c>
      <x:c r="AV21" s="27" t="str">
        <x:f>IF(C21="","",SUM(L21,R21,X21,AD21,AJ21,AP21))</x:f>
      </x:c>
      <x:c r="AW21" s="27" t="str">
        <x:f>IF(C21="","",SUM(M21,S21,Y21,AE21,AK21,AQ21))</x:f>
      </x:c>
      <x:c r="AX21" s="27" t="str">
        <x:f>IF(C21="","",IF(IF(AS21*1000000+SUM(U21,AM21)*10000+SUM(O21,AG21)*100+SUM(I21,AA21)+0.005&gt;AR21*1000000+SUM(T21,AL21)*10000+SUM(N21,AF21)*100+SUM(H21,Z21)+0.006,1,0)+IF(AT21*1000000+SUM(V21,AN21)*10000+SUM(P21,AH21)*100+SUM(J21,AB21)+0.004&gt;AR21*1000000+SUM(T21,AL21)*10000+SUM(N21,AF21)*100+SUM(H21,Z21)+0.006,1,0)+IF(AU21*1000000+SUM(W21,AO21)*10000+SUM(Q21,AI21)*100+SUM(K21,AC21)+0.003&gt;AR21*1000000+SUM(T21,AL21)*10000+SUM(N21,AF21)*100+SUM(H21,Z21)+0.006,1,0)+IF(AV21*1000000+SUM(X21,AP21)*10000+SUM(R21,AJ21)*100+SUM(L21,AD21)+0.002&gt;AR21*1000000+SUM(T21,AL21)*10000+SUM(N21,AF21)*100+SUM(H21,Z21)+0.006,1,0)+IF(AW21*1000000+SUM(Y21,AQ21)*10000+SUM(S21,AK21)*100+SUM(M21,AE21)+0.001&gt;AR21*1000000+SUM(T21,AL21)*10000+SUM(N21,AF21)*100+SUM(H21,Z21)+0.006,1,0)=0,"R",IF(IF(AR21*1000000+SUM(T21,AL21)*10000+SUM(N21,AF21)*100+SUM(H21,Z21)+0.006&gt;AS21*1000000+SUM(U21,AM21)*10000+SUM(O21,AG21)*100+SUM(I21,AA21)+0.005,1,0)+IF(AT21*1000000+SUM(V21,AN21)*10000+SUM(P21,AH21)*100+SUM(J21,AB21)+0.004&gt;AS21*1000000+SUM(U21,AM21)*10000+SUM(O21,AG21)*100+SUM(I21,AA21)+0.005,1,0)+IF(AU21*1000000+SUM(W21,AO21)*10000+SUM(Q21,AI21)*100+SUM(K21,AC21)+0.003&gt;AS21*1000000+SUM(U21,AM21)*10000+SUM(O21,AG21)*100+SUM(I21,AA21)+0.005,1,0)+IF(AV21*1000000+SUM(X21,AP21)*10000+SUM(R21,AJ21)*100+SUM(L21,AD21)+0.002&gt;AS21*1000000+SUM(U21,AM21)*10000+SUM(O21,AG21)*100+SUM(I21,AA21)+0.005,1,0)+IF(AW21*1000000+SUM(Y21,AQ21)*10000+SUM(S21,AK21)*100+SUM(M21,AE21)+0.001&gt;AS21*1000000+SUM(U21,AM21)*10000+SUM(O21,AG21)*100+SUM(I21,AA21)+0.005,1,0)=0,"I",IF(IF(AR21*1000000+SUM(T21,AL21)*10000+SUM(N21,AF21)*100+SUM(H21,Z21)+0.006&gt;AT21*1000000+SUM(V21,AN21)*10000+SUM(P21,AH21)*100+SUM(J21,AB21)+0.004,1,0)+IF(AS21*1000000+SUM(U21,AM21)*10000+SUM(O21,AG21)*100+SUM(I21,AA21)+0.005&gt;AT21*1000000+SUM(V21,AN21)*10000+SUM(P21,AH21)*100+SUM(J21,AB21)+0.004,1,0)+IF(AU21*1000000+SUM(W21,AO21)*10000+SUM(Q21,AI21)*100+SUM(K21,AC21)+0.003&gt;AT21*1000000+SUM(V21,AN21)*10000+SUM(P21,AH21)*100+SUM(J21,AB21)+0.004,1,0)+IF(AV21*1000000+SUM(X21,AP21)*10000+SUM(R21,AJ21)*100+SUM(L21,AD21)+0.002&gt;AT21*1000000+SUM(V21,AN21)*10000+SUM(P21,AH21)*100+SUM(J21,AB21)+0.004,1,0)+IF(AW21*1000000+SUM(Y21,AQ21)*10000+SUM(S21,AK21)*100+SUM(M21,AE21)+0.001&gt;AT21*1000000+SUM(V21,AN21)*10000+SUM(P21,AH21)*100+SUM(J21,AB21)+0.004,1,0)=0,"A",IF(IF(AR21*1000000+SUM(T21,AL21)*10000+SUM(N21,AF21)*100+SUM(H21,Z21)+0.006&gt;AU21*1000000+SUM(W21,AO21)*10000+SUM(Q21,AI21)*100+SUM(K21,AC21)+0.003,1,0)+IF(AS21*1000000+SUM(U21,AM21)*10000+SUM(O21,AG21)*100+SUM(I21,AA21)+0.005&gt;AU21*1000000+SUM(W21,AO21)*10000+SUM(Q21,AI21)*100+SUM(K21,AC21)+0.003,1,0)+IF(AT21*1000000+SUM(V21,AN21)*10000+SUM(P21,AH21)*100+SUM(J21,AB21)+0.004&gt;AU21*1000000+SUM(W21,AO21)*10000+SUM(Q21,AI21)*100+SUM(K21,AC21)+0.003,1,0)+IF(AV21*1000000+SUM(X21,AP21)*10000+SUM(R21,AJ21)*100+SUM(L21,AD21)+0.002&gt;AU21*1000000+SUM(W21,AO21)*10000+SUM(Q21,AI21)*100+SUM(K21,AC21)+0.003,1,0)+IF(AW21*1000000+SUM(Y21,AQ21)*10000+SUM(S21,AK21)*100+SUM(M21,AE21)+0.001&gt;AU21*1000000+SUM(W21,AO21)*10000+SUM(Q21,AI21)*100+SUM(K21,AC21)+0.003,1,0)=0,"S",IF(IF(AR21*1000000+SUM(T21,AL21)*10000+SUM(N21,AF21)*100+SUM(H21,Z21)+0.006&gt;AV21*1000000+SUM(X21,AP21)*10000+SUM(R21,AJ21)*100+SUM(L21,AD21)+0.002,1,0)+IF(AS21*1000000+SUM(U21,AM21)*10000+SUM(O21,AG21)*100+SUM(I21,AA21)+0.005&gt;AV21*1000000+SUM(X21,AP21)*10000+SUM(R21,AJ21)*100+SUM(L21,AD21)+0.002,1,0)+IF(AT21*1000000+SUM(V21,AN21)*10000+SUM(P21,AH21)*100+SUM(J21,AB21)+0.004&gt;AV21*1000000+SUM(X21,AP21)*10000+SUM(R21,AJ21)*100+SUM(L21,AD21)+0.002,1,0)+IF(AU21*1000000+SUM(W21,AO21)*10000+SUM(Q21,AI21)*100+SUM(K21,AC21)+0.003&gt;AV21*1000000+SUM(X21,AP21)*10000+SUM(R21,AJ21)*100+SUM(L21,AD21)+0.002,1,0)+IF(AW21*1000000+SUM(Y21,AQ21)*10000+SUM(S21,AK21)*100+SUM(M21,AE21)+0.001&gt;AV21*1000000+SUM(X21,AP21)*10000+SUM(R21,AJ21)*100+SUM(L21,AD21)+0.002,1,0)=0,"E",IF(IF(AR21*1000000+SUM(T21,AL21)*10000+SUM(N21,AF21)*100+SUM(H21,Z21)+0.006&gt;AW21*1000000+SUM(Y21,AQ21)*10000+SUM(S21,AK21)*100+SUM(M21,AE21)+0.001,1,0)+IF(AS21*1000000+SUM(U21,AM21)*10000+SUM(O21,AG21)*100+SUM(I21,AA21)+0.005&gt;AW21*1000000+SUM(Y21,AQ21)*10000+SUM(S21,AK21)*100+SUM(M21,AE21)+0.001,1,0)+IF(AT21*1000000+SUM(V21,AN21)*10000+SUM(P21,AH21)*100+SUM(J21,AB21)+0.004&gt;AW21*1000000+SUM(Y21,AQ21)*10000+SUM(S21,AK21)*100+SUM(M21,AE21)+0.001,1,0)+IF(AU21*1000000+SUM(W21,AO21)*10000+SUM(Q21,AI21)*100+SUM(K21,AC21)+0.003&gt;AW21*1000000+SUM(Y21,AQ21)*10000+SUM(S21,AK21)*100+SUM(M21,AE21)+0.001,1,0)+IF(AV21*1000000+SUM(X21,AP21)*10000+SUM(R21,AJ21)*100+SUM(L21,AD21)+0.002&gt;AW21*1000000+SUM(Y21,AQ21)*10000+SUM(S21,AK21)*100+SUM(M21,AE21)+0.001,1,0)=0,"C",""))))))&amp;IF(IF(AS21*1000000+SUM(U21,AM21)*10000+SUM(O21,AG21)*100+SUM(I21,AA21)+0.005&gt;AR21*1000000+SUM(T21,AL21)*10000+SUM(N21,AF21)*100+SUM(H21,Z21)+0.006,1,0)+IF(AT21*1000000+SUM(V21,AN21)*10000+SUM(P21,AH21)*100+SUM(J21,AB21)+0.004&gt;AR21*1000000+SUM(T21,AL21)*10000+SUM(N21,AF21)*100+SUM(H21,Z21)+0.006,1,0)+IF(AU21*1000000+SUM(W21,AO21)*10000+SUM(Q21,AI21)*100+SUM(K21,AC21)+0.003&gt;AR21*1000000+SUM(T21,AL21)*10000+SUM(N21,AF21)*100+SUM(H21,Z21)+0.006,1,0)+IF(AV21*1000000+SUM(X21,AP21)*10000+SUM(R21,AJ21)*100+SUM(L21,AD21)+0.002&gt;AR21*1000000+SUM(T21,AL21)*10000+SUM(N21,AF21)*100+SUM(H21,Z21)+0.006,1,0)+IF(AW21*1000000+SUM(Y21,AQ21)*10000+SUM(S21,AK21)*100+SUM(M21,AE21)+0.001&gt;AR21*1000000+SUM(T21,AL21)*10000+SUM(N21,AF21)*100+SUM(H21,Z21)+0.006,1,0)=1,"R",IF(IF(AR21*1000000+SUM(T21,AL21)*10000+SUM(N21,AF21)*100+SUM(H21,Z21)+0.006&gt;AS21*1000000+SUM(U21,AM21)*10000+SUM(O21,AG21)*100+SUM(I21,AA21)+0.005,1,0)+IF(AT21*1000000+SUM(V21,AN21)*10000+SUM(P21,AH21)*100+SUM(J21,AB21)+0.004&gt;AS21*1000000+SUM(U21,AM21)*10000+SUM(O21,AG21)*100+SUM(I21,AA21)+0.005,1,0)+IF(AU21*1000000+SUM(W21,AO21)*10000+SUM(Q21,AI21)*100+SUM(K21,AC21)+0.003&gt;AS21*1000000+SUM(U21,AM21)*10000+SUM(O21,AG21)*100+SUM(I21,AA21)+0.005,1,0)+IF(AV21*1000000+SUM(X21,AP21)*10000+SUM(R21,AJ21)*100+SUM(L21,AD21)+0.002&gt;AS21*1000000+SUM(U21,AM21)*10000+SUM(O21,AG21)*100+SUM(I21,AA21)+0.005,1,0)+IF(AW21*1000000+SUM(Y21,AQ21)*10000+SUM(S21,AK21)*100+SUM(M21,AE21)+0.001&gt;AS21*1000000+SUM(U21,AM21)*10000+SUM(O21,AG21)*100+SUM(I21,AA21)+0.005,1,0)=1,"I",IF(IF(AR21*1000000+SUM(T21,AL21)*10000+SUM(N21,AF21)*100+SUM(H21,Z21)+0.006&gt;AT21*1000000+SUM(V21,AN21)*10000+SUM(P21,AH21)*100+SUM(J21,AB21)+0.004,1,0)+IF(AS21*1000000+SUM(U21,AM21)*10000+SUM(O21,AG21)*100+SUM(I21,AA21)+0.005&gt;AT21*1000000+SUM(V21,AN21)*10000+SUM(P21,AH21)*100+SUM(J21,AB21)+0.004,1,0)+IF(AU21*1000000+SUM(W21,AO21)*10000+SUM(Q21,AI21)*100+SUM(K21,AC21)+0.003&gt;AT21*1000000+SUM(V21,AN21)*10000+SUM(P21,AH21)*100+SUM(J21,AB21)+0.004,1,0)+IF(AV21*1000000+SUM(X21,AP21)*10000+SUM(R21,AJ21)*100+SUM(L21,AD21)+0.002&gt;AT21*1000000+SUM(V21,AN21)*10000+SUM(P21,AH21)*100+SUM(J21,AB21)+0.004,1,0)+IF(AW21*1000000+SUM(Y21,AQ21)*10000+SUM(S21,AK21)*100+SUM(M21,AE21)+0.001&gt;AT21*1000000+SUM(V21,AN21)*10000+SUM(P21,AH21)*100+SUM(J21,AB21)+0.004,1,0)=1,"A",IF(IF(AR21*1000000+SUM(T21,AL21)*10000+SUM(N21,AF21)*100+SUM(H21,Z21)+0.006&gt;AU21*1000000+SUM(W21,AO21)*10000+SUM(Q21,AI21)*100+SUM(K21,AC21)+0.003,1,0)+IF(AS21*1000000+SUM(U21,AM21)*10000+SUM(O21,AG21)*100+SUM(I21,AA21)+0.005&gt;AU21*1000000+SUM(W21,AO21)*10000+SUM(Q21,AI21)*100+SUM(K21,AC21)+0.003,1,0)+IF(AT21*1000000+SUM(V21,AN21)*10000+SUM(P21,AH21)*100+SUM(J21,AB21)+0.004&gt;AU21*1000000+SUM(W21,AO21)*10000+SUM(Q21,AI21)*100+SUM(K21,AC21)+0.003,1,0)+IF(AV21*1000000+SUM(X21,AP21)*10000+SUM(R21,AJ21)*100+SUM(L21,AD21)+0.002&gt;AU21*1000000+SUM(W21,AO21)*10000+SUM(Q21,AI21)*100+SUM(K21,AC21)+0.003,1,0)+IF(AW21*1000000+SUM(Y21,AQ21)*10000+SUM(S21,AK21)*100+SUM(M21,AE21)+0.001&gt;AU21*1000000+SUM(W21,AO21)*10000+SUM(Q21,AI21)*100+SUM(K21,AC21)+0.003,1,0)=1,"S",IF(IF(AR21*1000000+SUM(T21,AL21)*10000+SUM(N21,AF21)*100+SUM(H21,Z21)+0.006&gt;AV21*1000000+SUM(X21,AP21)*10000+SUM(R21,AJ21)*100+SUM(L21,AD21)+0.002,1,0)+IF(AS21*1000000+SUM(U21,AM21)*10000+SUM(O21,AG21)*100+SUM(I21,AA21)+0.005&gt;AV21*1000000+SUM(X21,AP21)*10000+SUM(R21,AJ21)*100+SUM(L21,AD21)+0.002,1,0)+IF(AT21*1000000+SUM(V21,AN21)*10000+SUM(P21,AH21)*100+SUM(J21,AB21)+0.004&gt;AV21*1000000+SUM(X21,AP21)*10000+SUM(R21,AJ21)*100+SUM(L21,AD21)+0.002,1,0)+IF(AU21*1000000+SUM(W21,AO21)*10000+SUM(Q21,AI21)*100+SUM(K21,AC21)+0.003&gt;AV21*1000000+SUM(X21,AP21)*10000+SUM(R21,AJ21)*100+SUM(L21,AD21)+0.002,1,0)+IF(AW21*1000000+SUM(Y21,AQ21)*10000+SUM(S21,AK21)*100+SUM(M21,AE21)+0.001&gt;AV21*1000000+SUM(X21,AP21)*10000+SUM(R21,AJ21)*100+SUM(L21,AD21)+0.002,1,0)=1,"E",IF(IF(AR21*1000000+SUM(T21,AL21)*10000+SUM(N21,AF21)*100+SUM(H21,Z21)+0.006&gt;AW21*1000000+SUM(Y21,AQ21)*10000+SUM(S21,AK21)*100+SUM(M21,AE21)+0.001,1,0)+IF(AS21*1000000+SUM(U21,AM21)*10000+SUM(O21,AG21)*100+SUM(I21,AA21)+0.005&gt;AW21*1000000+SUM(Y21,AQ21)*10000+SUM(S21,AK21)*100+SUM(M21,AE21)+0.001,1,0)+IF(AT21*1000000+SUM(V21,AN21)*10000+SUM(P21,AH21)*100+SUM(J21,AB21)+0.004&gt;AW21*1000000+SUM(Y21,AQ21)*10000+SUM(S21,AK21)*100+SUM(M21,AE21)+0.001,1,0)+IF(AU21*1000000+SUM(W21,AO21)*10000+SUM(Q21,AI21)*100+SUM(K21,AC21)+0.003&gt;AW21*1000000+SUM(Y21,AQ21)*10000+SUM(S21,AK21)*100+SUM(M21,AE21)+0.001,1,0)+IF(AV21*1000000+SUM(X21,AP21)*10000+SUM(R21,AJ21)*100+SUM(L21,AD21)+0.002&gt;AW21*1000000+SUM(Y21,AQ21)*10000+SUM(S21,AK21)*100+SUM(M21,AE21)+0.001,1,0)=1,"C",""))))))&amp;IF(IF(AS21*1000000+SUM(U21,AM21)*10000+SUM(O21,AG21)*100+SUM(I21,AA21)+0.005&gt;AR21*1000000+SUM(T21,AL21)*10000+SUM(N21,AF21)*100+SUM(H21,Z21)+0.006,1,0)+IF(AT21*1000000+SUM(V21,AN21)*10000+SUM(P21,AH21)*100+SUM(J21,AB21)+0.004&gt;AR21*1000000+SUM(T21,AL21)*10000+SUM(N21,AF21)*100+SUM(H21,Z21)+0.006,1,0)+IF(AU21*1000000+SUM(W21,AO21)*10000+SUM(Q21,AI21)*100+SUM(K21,AC21)+0.003&gt;AR21*1000000+SUM(T21,AL21)*10000+SUM(N21,AF21)*100+SUM(H21,Z21)+0.006,1,0)+IF(AV21*1000000+SUM(X21,AP21)*10000+SUM(R21,AJ21)*100+SUM(L21,AD21)+0.002&gt;AR21*1000000+SUM(T21,AL21)*10000+SUM(N21,AF21)*100+SUM(H21,Z21)+0.006,1,0)+IF(AW21*1000000+SUM(Y21,AQ21)*10000+SUM(S21,AK21)*100+SUM(M21,AE21)+0.001&gt;AR21*1000000+SUM(T21,AL21)*10000+SUM(N21,AF21)*100+SUM(H21,Z21)+0.006,1,0)=2,"R",IF(IF(AR21*1000000+SUM(T21,AL21)*10000+SUM(N21,AF21)*100+SUM(H21,Z21)+0.006&gt;AS21*1000000+SUM(U21,AM21)*10000+SUM(O21,AG21)*100+SUM(I21,AA21)+0.005,1,0)+IF(AT21*1000000+SUM(V21,AN21)*10000+SUM(P21,AH21)*100+SUM(J21,AB21)+0.004&gt;AS21*1000000+SUM(U21,AM21)*10000+SUM(O21,AG21)*100+SUM(I21,AA21)+0.005,1,0)+IF(AU21*1000000+SUM(W21,AO21)*10000+SUM(Q21,AI21)*100+SUM(K21,AC21)+0.003&gt;AS21*1000000+SUM(U21,AM21)*10000+SUM(O21,AG21)*100+SUM(I21,AA21)+0.005,1,0)+IF(AV21*1000000+SUM(X21,AP21)*10000+SUM(R21,AJ21)*100+SUM(L21,AD21)+0.002&gt;AS21*1000000+SUM(U21,AM21)*10000+SUM(O21,AG21)*100+SUM(I21,AA21)+0.005,1,0)+IF(AW21*1000000+SUM(Y21,AQ21)*10000+SUM(S21,AK21)*100+SUM(M21,AE21)+0.001&gt;AS21*1000000+SUM(U21,AM21)*10000+SUM(O21,AG21)*100+SUM(I21,AA21)+0.005,1,0)=2,"I",IF(IF(AR21*1000000+SUM(T21,AL21)*10000+SUM(N21,AF21)*100+SUM(H21,Z21)+0.006&gt;AT21*1000000+SUM(V21,AN21)*10000+SUM(P21,AH21)*100+SUM(J21,AB21)+0.004,1,0)+IF(AS21*1000000+SUM(U21,AM21)*10000+SUM(O21,AG21)*100+SUM(I21,AA21)+0.005&gt;AT21*1000000+SUM(V21,AN21)*10000+SUM(P21,AH21)*100+SUM(J21,AB21)+0.004,1,0)+IF(AU21*1000000+SUM(W21,AO21)*10000+SUM(Q21,AI21)*100+SUM(K21,AC21)+0.003&gt;AT21*1000000+SUM(V21,AN21)*10000+SUM(P21,AH21)*100+SUM(J21,AB21)+0.004,1,0)+IF(AV21*1000000+SUM(X21,AP21)*10000+SUM(R21,AJ21)*100+SUM(L21,AD21)+0.002&gt;AT21*1000000+SUM(V21,AN21)*10000+SUM(P21,AH21)*100+SUM(J21,AB21)+0.004,1,0)+IF(AW21*1000000+SUM(Y21,AQ21)*10000+SUM(S21,AK21)*100+SUM(M21,AE21)+0.001&gt;AT21*1000000+SUM(V21,AN21)*10000+SUM(P21,AH21)*100+SUM(J21,AB21)+0.004,1,0)=2,"A",IF(IF(AR21*1000000+SUM(T21,AL21)*10000+SUM(N21,AF21)*100+SUM(H21,Z21)+0.006&gt;AU21*1000000+SUM(W21,AO21)*10000+SUM(Q21,AI21)*100+SUM(K21,AC21)+0.003,1,0)+IF(AS21*1000000+SUM(U21,AM21)*10000+SUM(O21,AG21)*100+SUM(I21,AA21)+0.005&gt;AU21*1000000+SUM(W21,AO21)*10000+SUM(Q21,AI21)*100+SUM(K21,AC21)+0.003,1,0)+IF(AT21*1000000+SUM(V21,AN21)*10000+SUM(P21,AH21)*100+SUM(J21,AB21)+0.004&gt;AU21*1000000+SUM(W21,AO21)*10000+SUM(Q21,AI21)*100+SUM(K21,AC21)+0.003,1,0)+IF(AV21*1000000+SUM(X21,AP21)*10000+SUM(R21,AJ21)*100+SUM(L21,AD21)+0.002&gt;AU21*1000000+SUM(W21,AO21)*10000+SUM(Q21,AI21)*100+SUM(K21,AC21)+0.003,1,0)+IF(AW21*1000000+SUM(Y21,AQ21)*10000+SUM(S21,AK21)*100+SUM(M21,AE21)+0.001&gt;AU21*1000000+SUM(W21,AO21)*10000+SUM(Q21,AI21)*100+SUM(K21,AC21)+0.003,1,0)=2,"S",IF(IF(AR21*1000000+SUM(T21,AL21)*10000+SUM(N21,AF21)*100+SUM(H21,Z21)+0.006&gt;AV21*1000000+SUM(X21,AP21)*10000+SUM(R21,AJ21)*100+SUM(L21,AD21)+0.002,1,0)+IF(AS21*1000000+SUM(U21,AM21)*10000+SUM(O21,AG21)*100+SUM(I21,AA21)+0.005&gt;AV21*1000000+SUM(X21,AP21)*10000+SUM(R21,AJ21)*100+SUM(L21,AD21)+0.002,1,0)+IF(AT21*1000000+SUM(V21,AN21)*10000+SUM(P21,AH21)*100+SUM(J21,AB21)+0.004&gt;AV21*1000000+SUM(X21,AP21)*10000+SUM(R21,AJ21)*100+SUM(L21,AD21)+0.002,1,0)+IF(AU21*1000000+SUM(W21,AO21)*10000+SUM(Q21,AI21)*100+SUM(K21,AC21)+0.003&gt;AV21*1000000+SUM(X21,AP21)*10000+SUM(R21,AJ21)*100+SUM(L21,AD21)+0.002,1,0)+IF(AW21*1000000+SUM(Y21,AQ21)*10000+SUM(S21,AK21)*100+SUM(M21,AE21)+0.001&gt;AV21*1000000+SUM(X21,AP21)*10000+SUM(R21,AJ21)*100+SUM(L21,AD21)+0.002,1,0)=2,"E",IF(IF(AR21*1000000+SUM(T21,AL21)*10000+SUM(N21,AF21)*100+SUM(H21,Z21)+0.006&gt;AW21*1000000+SUM(Y21,AQ21)*10000+SUM(S21,AK21)*100+SUM(M21,AE21)+0.001,1,0)+IF(AS21*1000000+SUM(U21,AM21)*10000+SUM(O21,AG21)*100+SUM(I21,AA21)+0.005&gt;AW21*1000000+SUM(Y21,AQ21)*10000+SUM(S21,AK21)*100+SUM(M21,AE21)+0.001,1,0)+IF(AT21*1000000+SUM(V21,AN21)*10000+SUM(P21,AH21)*100+SUM(J21,AB21)+0.004&gt;AW21*1000000+SUM(Y21,AQ21)*10000+SUM(S21,AK21)*100+SUM(M21,AE21)+0.001,1,0)+IF(AU21*1000000+SUM(W21,AO21)*10000+SUM(Q21,AI21)*100+SUM(K21,AC21)+0.003&gt;AW21*1000000+SUM(Y21,AQ21)*10000+SUM(S21,AK21)*100+SUM(M21,AE21)+0.001,1,0)+IF(AV21*1000000+SUM(X21,AP21)*10000+SUM(R21,AJ21)*100+SUM(L21,AD21)+0.002&gt;AW21*1000000+SUM(Y21,AQ21)*10000+SUM(S21,AK21)*100+SUM(M21,AE21)+0.001,1,0)=2,"C","")))))))</x:f>
      </x:c>
      <x:c r="AY21" s="27" t="str">
        <x:f>IF(C21="","",IF(LEFT(AX21,1)="R","นักปฏิบัติ",IF(LEFT(AX21,1)="I","นักคิดวิเคราะห์",IF(LEFT(AX21,1)="A","นักสร้างสรรค์",IF(LEFT(AX21,1)="S","ผู้เข้าใจผู้คน",IF(LEFT(AX21,1)="E","ผู้นำการเปลี่ยนแปลง","ผู้จัดระบบ"))))))</x:f>
      </x:c>
    </x:row>
    <x:row r="22">
      <x:c r="A22" s="27"/>
      <x:c r="B22" s="28"/>
      <x:c r="C22" s="27"/>
      <x:c r="D22" s="27"/>
      <x:c r="E22" s="27"/>
      <x:c r="F22" s="27"/>
      <x:c r="G22" s="27"/>
      <x:c r="H22" s="27"/>
      <x:c r="I22" s="27"/>
      <x:c r="J22" s="27"/>
      <x:c r="K22" s="27"/>
      <x:c r="L22" s="27"/>
      <x:c r="M22" s="27"/>
      <x:c r="N22" s="27"/>
      <x:c r="O22" s="27"/>
      <x:c r="P22" s="27"/>
      <x:c r="Q22" s="27"/>
      <x:c r="R22" s="27"/>
      <x:c r="S22" s="27"/>
      <x:c r="T22" s="27"/>
      <x:c r="U22" s="27"/>
      <x:c r="V22" s="27"/>
      <x:c r="W22" s="27"/>
      <x:c r="X22" s="27"/>
      <x:c r="Y22" s="27"/>
      <x:c r="Z22" s="27"/>
      <x:c r="AA22" s="27"/>
      <x:c r="AB22" s="27"/>
      <x:c r="AC22" s="27"/>
      <x:c r="AD22" s="27"/>
      <x:c r="AE22" s="27"/>
      <x:c r="AF22" s="27"/>
      <x:c r="AG22" s="27"/>
      <x:c r="AH22" s="27"/>
      <x:c r="AI22" s="27"/>
      <x:c r="AJ22" s="27"/>
      <x:c r="AK22" s="27"/>
      <x:c r="AL22" s="27"/>
      <x:c r="AM22" s="27"/>
      <x:c r="AN22" s="27"/>
      <x:c r="AO22" s="27"/>
      <x:c r="AP22" s="27"/>
      <x:c r="AQ22" s="27"/>
      <x:c r="AR22" s="27" t="str">
        <x:f>IF(C22="","",SUM(H22,N22,T22,Z22,AF22,AL22))</x:f>
      </x:c>
      <x:c r="AS22" s="27" t="str">
        <x:f>IF(C22="","",SUM(I22,O22,U22,AA22,AG22,AM22))</x:f>
      </x:c>
      <x:c r="AT22" s="27" t="str">
        <x:f>IF(C22="","",SUM(J22,P22,V22,AB22,AH22,AN22))</x:f>
      </x:c>
      <x:c r="AU22" s="27" t="str">
        <x:f>IF(C22="","",SUM(K22,Q22,W22,AC22,AI22,AO22))</x:f>
      </x:c>
      <x:c r="AV22" s="27" t="str">
        <x:f>IF(C22="","",SUM(L22,R22,X22,AD22,AJ22,AP22))</x:f>
      </x:c>
      <x:c r="AW22" s="27" t="str">
        <x:f>IF(C22="","",SUM(M22,S22,Y22,AE22,AK22,AQ22))</x:f>
      </x:c>
      <x:c r="AX22" s="27" t="str">
        <x:f>IF(C22="","",IF(IF(AS22*1000000+SUM(U22,AM22)*10000+SUM(O22,AG22)*100+SUM(I22,AA22)+0.005&gt;AR22*1000000+SUM(T22,AL22)*10000+SUM(N22,AF22)*100+SUM(H22,Z22)+0.006,1,0)+IF(AT22*1000000+SUM(V22,AN22)*10000+SUM(P22,AH22)*100+SUM(J22,AB22)+0.004&gt;AR22*1000000+SUM(T22,AL22)*10000+SUM(N22,AF22)*100+SUM(H22,Z22)+0.006,1,0)+IF(AU22*1000000+SUM(W22,AO22)*10000+SUM(Q22,AI22)*100+SUM(K22,AC22)+0.003&gt;AR22*1000000+SUM(T22,AL22)*10000+SUM(N22,AF22)*100+SUM(H22,Z22)+0.006,1,0)+IF(AV22*1000000+SUM(X22,AP22)*10000+SUM(R22,AJ22)*100+SUM(L22,AD22)+0.002&gt;AR22*1000000+SUM(T22,AL22)*10000+SUM(N22,AF22)*100+SUM(H22,Z22)+0.006,1,0)+IF(AW22*1000000+SUM(Y22,AQ22)*10000+SUM(S22,AK22)*100+SUM(M22,AE22)+0.001&gt;AR22*1000000+SUM(T22,AL22)*10000+SUM(N22,AF22)*100+SUM(H22,Z22)+0.006,1,0)=0,"R",IF(IF(AR22*1000000+SUM(T22,AL22)*10000+SUM(N22,AF22)*100+SUM(H22,Z22)+0.006&gt;AS22*1000000+SUM(U22,AM22)*10000+SUM(O22,AG22)*100+SUM(I22,AA22)+0.005,1,0)+IF(AT22*1000000+SUM(V22,AN22)*10000+SUM(P22,AH22)*100+SUM(J22,AB22)+0.004&gt;AS22*1000000+SUM(U22,AM22)*10000+SUM(O22,AG22)*100+SUM(I22,AA22)+0.005,1,0)+IF(AU22*1000000+SUM(W22,AO22)*10000+SUM(Q22,AI22)*100+SUM(K22,AC22)+0.003&gt;AS22*1000000+SUM(U22,AM22)*10000+SUM(O22,AG22)*100+SUM(I22,AA22)+0.005,1,0)+IF(AV22*1000000+SUM(X22,AP22)*10000+SUM(R22,AJ22)*100+SUM(L22,AD22)+0.002&gt;AS22*1000000+SUM(U22,AM22)*10000+SUM(O22,AG22)*100+SUM(I22,AA22)+0.005,1,0)+IF(AW22*1000000+SUM(Y22,AQ22)*10000+SUM(S22,AK22)*100+SUM(M22,AE22)+0.001&gt;AS22*1000000+SUM(U22,AM22)*10000+SUM(O22,AG22)*100+SUM(I22,AA22)+0.005,1,0)=0,"I",IF(IF(AR22*1000000+SUM(T22,AL22)*10000+SUM(N22,AF22)*100+SUM(H22,Z22)+0.006&gt;AT22*1000000+SUM(V22,AN22)*10000+SUM(P22,AH22)*100+SUM(J22,AB22)+0.004,1,0)+IF(AS22*1000000+SUM(U22,AM22)*10000+SUM(O22,AG22)*100+SUM(I22,AA22)+0.005&gt;AT22*1000000+SUM(V22,AN22)*10000+SUM(P22,AH22)*100+SUM(J22,AB22)+0.004,1,0)+IF(AU22*1000000+SUM(W22,AO22)*10000+SUM(Q22,AI22)*100+SUM(K22,AC22)+0.003&gt;AT22*1000000+SUM(V22,AN22)*10000+SUM(P22,AH22)*100+SUM(J22,AB22)+0.004,1,0)+IF(AV22*1000000+SUM(X22,AP22)*10000+SUM(R22,AJ22)*100+SUM(L22,AD22)+0.002&gt;AT22*1000000+SUM(V22,AN22)*10000+SUM(P22,AH22)*100+SUM(J22,AB22)+0.004,1,0)+IF(AW22*1000000+SUM(Y22,AQ22)*10000+SUM(S22,AK22)*100+SUM(M22,AE22)+0.001&gt;AT22*1000000+SUM(V22,AN22)*10000+SUM(P22,AH22)*100+SUM(J22,AB22)+0.004,1,0)=0,"A",IF(IF(AR22*1000000+SUM(T22,AL22)*10000+SUM(N22,AF22)*100+SUM(H22,Z22)+0.006&gt;AU22*1000000+SUM(W22,AO22)*10000+SUM(Q22,AI22)*100+SUM(K22,AC22)+0.003,1,0)+IF(AS22*1000000+SUM(U22,AM22)*10000+SUM(O22,AG22)*100+SUM(I22,AA22)+0.005&gt;AU22*1000000+SUM(W22,AO22)*10000+SUM(Q22,AI22)*100+SUM(K22,AC22)+0.003,1,0)+IF(AT22*1000000+SUM(V22,AN22)*10000+SUM(P22,AH22)*100+SUM(J22,AB22)+0.004&gt;AU22*1000000+SUM(W22,AO22)*10000+SUM(Q22,AI22)*100+SUM(K22,AC22)+0.003,1,0)+IF(AV22*1000000+SUM(X22,AP22)*10000+SUM(R22,AJ22)*100+SUM(L22,AD22)+0.002&gt;AU22*1000000+SUM(W22,AO22)*10000+SUM(Q22,AI22)*100+SUM(K22,AC22)+0.003,1,0)+IF(AW22*1000000+SUM(Y22,AQ22)*10000+SUM(S22,AK22)*100+SUM(M22,AE22)+0.001&gt;AU22*1000000+SUM(W22,AO22)*10000+SUM(Q22,AI22)*100+SUM(K22,AC22)+0.003,1,0)=0,"S",IF(IF(AR22*1000000+SUM(T22,AL22)*10000+SUM(N22,AF22)*100+SUM(H22,Z22)+0.006&gt;AV22*1000000+SUM(X22,AP22)*10000+SUM(R22,AJ22)*100+SUM(L22,AD22)+0.002,1,0)+IF(AS22*1000000+SUM(U22,AM22)*10000+SUM(O22,AG22)*100+SUM(I22,AA22)+0.005&gt;AV22*1000000+SUM(X22,AP22)*10000+SUM(R22,AJ22)*100+SUM(L22,AD22)+0.002,1,0)+IF(AT22*1000000+SUM(V22,AN22)*10000+SUM(P22,AH22)*100+SUM(J22,AB22)+0.004&gt;AV22*1000000+SUM(X22,AP22)*10000+SUM(R22,AJ22)*100+SUM(L22,AD22)+0.002,1,0)+IF(AU22*1000000+SUM(W22,AO22)*10000+SUM(Q22,AI22)*100+SUM(K22,AC22)+0.003&gt;AV22*1000000+SUM(X22,AP22)*10000+SUM(R22,AJ22)*100+SUM(L22,AD22)+0.002,1,0)+IF(AW22*1000000+SUM(Y22,AQ22)*10000+SUM(S22,AK22)*100+SUM(M22,AE22)+0.001&gt;AV22*1000000+SUM(X22,AP22)*10000+SUM(R22,AJ22)*100+SUM(L22,AD22)+0.002,1,0)=0,"E",IF(IF(AR22*1000000+SUM(T22,AL22)*10000+SUM(N22,AF22)*100+SUM(H22,Z22)+0.006&gt;AW22*1000000+SUM(Y22,AQ22)*10000+SUM(S22,AK22)*100+SUM(M22,AE22)+0.001,1,0)+IF(AS22*1000000+SUM(U22,AM22)*10000+SUM(O22,AG22)*100+SUM(I22,AA22)+0.005&gt;AW22*1000000+SUM(Y22,AQ22)*10000+SUM(S22,AK22)*100+SUM(M22,AE22)+0.001,1,0)+IF(AT22*1000000+SUM(V22,AN22)*10000+SUM(P22,AH22)*100+SUM(J22,AB22)+0.004&gt;AW22*1000000+SUM(Y22,AQ22)*10000+SUM(S22,AK22)*100+SUM(M22,AE22)+0.001,1,0)+IF(AU22*1000000+SUM(W22,AO22)*10000+SUM(Q22,AI22)*100+SUM(K22,AC22)+0.003&gt;AW22*1000000+SUM(Y22,AQ22)*10000+SUM(S22,AK22)*100+SUM(M22,AE22)+0.001,1,0)+IF(AV22*1000000+SUM(X22,AP22)*10000+SUM(R22,AJ22)*100+SUM(L22,AD22)+0.002&gt;AW22*1000000+SUM(Y22,AQ22)*10000+SUM(S22,AK22)*100+SUM(M22,AE22)+0.001,1,0)=0,"C",""))))))&amp;IF(IF(AS22*1000000+SUM(U22,AM22)*10000+SUM(O22,AG22)*100+SUM(I22,AA22)+0.005&gt;AR22*1000000+SUM(T22,AL22)*10000+SUM(N22,AF22)*100+SUM(H22,Z22)+0.006,1,0)+IF(AT22*1000000+SUM(V22,AN22)*10000+SUM(P22,AH22)*100+SUM(J22,AB22)+0.004&gt;AR22*1000000+SUM(T22,AL22)*10000+SUM(N22,AF22)*100+SUM(H22,Z22)+0.006,1,0)+IF(AU22*1000000+SUM(W22,AO22)*10000+SUM(Q22,AI22)*100+SUM(K22,AC22)+0.003&gt;AR22*1000000+SUM(T22,AL22)*10000+SUM(N22,AF22)*100+SUM(H22,Z22)+0.006,1,0)+IF(AV22*1000000+SUM(X22,AP22)*10000+SUM(R22,AJ22)*100+SUM(L22,AD22)+0.002&gt;AR22*1000000+SUM(T22,AL22)*10000+SUM(N22,AF22)*100+SUM(H22,Z22)+0.006,1,0)+IF(AW22*1000000+SUM(Y22,AQ22)*10000+SUM(S22,AK22)*100+SUM(M22,AE22)+0.001&gt;AR22*1000000+SUM(T22,AL22)*10000+SUM(N22,AF22)*100+SUM(H22,Z22)+0.006,1,0)=1,"R",IF(IF(AR22*1000000+SUM(T22,AL22)*10000+SUM(N22,AF22)*100+SUM(H22,Z22)+0.006&gt;AS22*1000000+SUM(U22,AM22)*10000+SUM(O22,AG22)*100+SUM(I22,AA22)+0.005,1,0)+IF(AT22*1000000+SUM(V22,AN22)*10000+SUM(P22,AH22)*100+SUM(J22,AB22)+0.004&gt;AS22*1000000+SUM(U22,AM22)*10000+SUM(O22,AG22)*100+SUM(I22,AA22)+0.005,1,0)+IF(AU22*1000000+SUM(W22,AO22)*10000+SUM(Q22,AI22)*100+SUM(K22,AC22)+0.003&gt;AS22*1000000+SUM(U22,AM22)*10000+SUM(O22,AG22)*100+SUM(I22,AA22)+0.005,1,0)+IF(AV22*1000000+SUM(X22,AP22)*10000+SUM(R22,AJ22)*100+SUM(L22,AD22)+0.002&gt;AS22*1000000+SUM(U22,AM22)*10000+SUM(O22,AG22)*100+SUM(I22,AA22)+0.005,1,0)+IF(AW22*1000000+SUM(Y22,AQ22)*10000+SUM(S22,AK22)*100+SUM(M22,AE22)+0.001&gt;AS22*1000000+SUM(U22,AM22)*10000+SUM(O22,AG22)*100+SUM(I22,AA22)+0.005,1,0)=1,"I",IF(IF(AR22*1000000+SUM(T22,AL22)*10000+SUM(N22,AF22)*100+SUM(H22,Z22)+0.006&gt;AT22*1000000+SUM(V22,AN22)*10000+SUM(P22,AH22)*100+SUM(J22,AB22)+0.004,1,0)+IF(AS22*1000000+SUM(U22,AM22)*10000+SUM(O22,AG22)*100+SUM(I22,AA22)+0.005&gt;AT22*1000000+SUM(V22,AN22)*10000+SUM(P22,AH22)*100+SUM(J22,AB22)+0.004,1,0)+IF(AU22*1000000+SUM(W22,AO22)*10000+SUM(Q22,AI22)*100+SUM(K22,AC22)+0.003&gt;AT22*1000000+SUM(V22,AN22)*10000+SUM(P22,AH22)*100+SUM(J22,AB22)+0.004,1,0)+IF(AV22*1000000+SUM(X22,AP22)*10000+SUM(R22,AJ22)*100+SUM(L22,AD22)+0.002&gt;AT22*1000000+SUM(V22,AN22)*10000+SUM(P22,AH22)*100+SUM(J22,AB22)+0.004,1,0)+IF(AW22*1000000+SUM(Y22,AQ22)*10000+SUM(S22,AK22)*100+SUM(M22,AE22)+0.001&gt;AT22*1000000+SUM(V22,AN22)*10000+SUM(P22,AH22)*100+SUM(J22,AB22)+0.004,1,0)=1,"A",IF(IF(AR22*1000000+SUM(T22,AL22)*10000+SUM(N22,AF22)*100+SUM(H22,Z22)+0.006&gt;AU22*1000000+SUM(W22,AO22)*10000+SUM(Q22,AI22)*100+SUM(K22,AC22)+0.003,1,0)+IF(AS22*1000000+SUM(U22,AM22)*10000+SUM(O22,AG22)*100+SUM(I22,AA22)+0.005&gt;AU22*1000000+SUM(W22,AO22)*10000+SUM(Q22,AI22)*100+SUM(K22,AC22)+0.003,1,0)+IF(AT22*1000000+SUM(V22,AN22)*10000+SUM(P22,AH22)*100+SUM(J22,AB22)+0.004&gt;AU22*1000000+SUM(W22,AO22)*10000+SUM(Q22,AI22)*100+SUM(K22,AC22)+0.003,1,0)+IF(AV22*1000000+SUM(X22,AP22)*10000+SUM(R22,AJ22)*100+SUM(L22,AD22)+0.002&gt;AU22*1000000+SUM(W22,AO22)*10000+SUM(Q22,AI22)*100+SUM(K22,AC22)+0.003,1,0)+IF(AW22*1000000+SUM(Y22,AQ22)*10000+SUM(S22,AK22)*100+SUM(M22,AE22)+0.001&gt;AU22*1000000+SUM(W22,AO22)*10000+SUM(Q22,AI22)*100+SUM(K22,AC22)+0.003,1,0)=1,"S",IF(IF(AR22*1000000+SUM(T22,AL22)*10000+SUM(N22,AF22)*100+SUM(H22,Z22)+0.006&gt;AV22*1000000+SUM(X22,AP22)*10000+SUM(R22,AJ22)*100+SUM(L22,AD22)+0.002,1,0)+IF(AS22*1000000+SUM(U22,AM22)*10000+SUM(O22,AG22)*100+SUM(I22,AA22)+0.005&gt;AV22*1000000+SUM(X22,AP22)*10000+SUM(R22,AJ22)*100+SUM(L22,AD22)+0.002,1,0)+IF(AT22*1000000+SUM(V22,AN22)*10000+SUM(P22,AH22)*100+SUM(J22,AB22)+0.004&gt;AV22*1000000+SUM(X22,AP22)*10000+SUM(R22,AJ22)*100+SUM(L22,AD22)+0.002,1,0)+IF(AU22*1000000+SUM(W22,AO22)*10000+SUM(Q22,AI22)*100+SUM(K22,AC22)+0.003&gt;AV22*1000000+SUM(X22,AP22)*10000+SUM(R22,AJ22)*100+SUM(L22,AD22)+0.002,1,0)+IF(AW22*1000000+SUM(Y22,AQ22)*10000+SUM(S22,AK22)*100+SUM(M22,AE22)+0.001&gt;AV22*1000000+SUM(X22,AP22)*10000+SUM(R22,AJ22)*100+SUM(L22,AD22)+0.002,1,0)=1,"E",IF(IF(AR22*1000000+SUM(T22,AL22)*10000+SUM(N22,AF22)*100+SUM(H22,Z22)+0.006&gt;AW22*1000000+SUM(Y22,AQ22)*10000+SUM(S22,AK22)*100+SUM(M22,AE22)+0.001,1,0)+IF(AS22*1000000+SUM(U22,AM22)*10000+SUM(O22,AG22)*100+SUM(I22,AA22)+0.005&gt;AW22*1000000+SUM(Y22,AQ22)*10000+SUM(S22,AK22)*100+SUM(M22,AE22)+0.001,1,0)+IF(AT22*1000000+SUM(V22,AN22)*10000+SUM(P22,AH22)*100+SUM(J22,AB22)+0.004&gt;AW22*1000000+SUM(Y22,AQ22)*10000+SUM(S22,AK22)*100+SUM(M22,AE22)+0.001,1,0)+IF(AU22*1000000+SUM(W22,AO22)*10000+SUM(Q22,AI22)*100+SUM(K22,AC22)+0.003&gt;AW22*1000000+SUM(Y22,AQ22)*10000+SUM(S22,AK22)*100+SUM(M22,AE22)+0.001,1,0)+IF(AV22*1000000+SUM(X22,AP22)*10000+SUM(R22,AJ22)*100+SUM(L22,AD22)+0.002&gt;AW22*1000000+SUM(Y22,AQ22)*10000+SUM(S22,AK22)*100+SUM(M22,AE22)+0.001,1,0)=1,"C",""))))))&amp;IF(IF(AS22*1000000+SUM(U22,AM22)*10000+SUM(O22,AG22)*100+SUM(I22,AA22)+0.005&gt;AR22*1000000+SUM(T22,AL22)*10000+SUM(N22,AF22)*100+SUM(H22,Z22)+0.006,1,0)+IF(AT22*1000000+SUM(V22,AN22)*10000+SUM(P22,AH22)*100+SUM(J22,AB22)+0.004&gt;AR22*1000000+SUM(T22,AL22)*10000+SUM(N22,AF22)*100+SUM(H22,Z22)+0.006,1,0)+IF(AU22*1000000+SUM(W22,AO22)*10000+SUM(Q22,AI22)*100+SUM(K22,AC22)+0.003&gt;AR22*1000000+SUM(T22,AL22)*10000+SUM(N22,AF22)*100+SUM(H22,Z22)+0.006,1,0)+IF(AV22*1000000+SUM(X22,AP22)*10000+SUM(R22,AJ22)*100+SUM(L22,AD22)+0.002&gt;AR22*1000000+SUM(T22,AL22)*10000+SUM(N22,AF22)*100+SUM(H22,Z22)+0.006,1,0)+IF(AW22*1000000+SUM(Y22,AQ22)*10000+SUM(S22,AK22)*100+SUM(M22,AE22)+0.001&gt;AR22*1000000+SUM(T22,AL22)*10000+SUM(N22,AF22)*100+SUM(H22,Z22)+0.006,1,0)=2,"R",IF(IF(AR22*1000000+SUM(T22,AL22)*10000+SUM(N22,AF22)*100+SUM(H22,Z22)+0.006&gt;AS22*1000000+SUM(U22,AM22)*10000+SUM(O22,AG22)*100+SUM(I22,AA22)+0.005,1,0)+IF(AT22*1000000+SUM(V22,AN22)*10000+SUM(P22,AH22)*100+SUM(J22,AB22)+0.004&gt;AS22*1000000+SUM(U22,AM22)*10000+SUM(O22,AG22)*100+SUM(I22,AA22)+0.005,1,0)+IF(AU22*1000000+SUM(W22,AO22)*10000+SUM(Q22,AI22)*100+SUM(K22,AC22)+0.003&gt;AS22*1000000+SUM(U22,AM22)*10000+SUM(O22,AG22)*100+SUM(I22,AA22)+0.005,1,0)+IF(AV22*1000000+SUM(X22,AP22)*10000+SUM(R22,AJ22)*100+SUM(L22,AD22)+0.002&gt;AS22*1000000+SUM(U22,AM22)*10000+SUM(O22,AG22)*100+SUM(I22,AA22)+0.005,1,0)+IF(AW22*1000000+SUM(Y22,AQ22)*10000+SUM(S22,AK22)*100+SUM(M22,AE22)+0.001&gt;AS22*1000000+SUM(U22,AM22)*10000+SUM(O22,AG22)*100+SUM(I22,AA22)+0.005,1,0)=2,"I",IF(IF(AR22*1000000+SUM(T22,AL22)*10000+SUM(N22,AF22)*100+SUM(H22,Z22)+0.006&gt;AT22*1000000+SUM(V22,AN22)*10000+SUM(P22,AH22)*100+SUM(J22,AB22)+0.004,1,0)+IF(AS22*1000000+SUM(U22,AM22)*10000+SUM(O22,AG22)*100+SUM(I22,AA22)+0.005&gt;AT22*1000000+SUM(V22,AN22)*10000+SUM(P22,AH22)*100+SUM(J22,AB22)+0.004,1,0)+IF(AU22*1000000+SUM(W22,AO22)*10000+SUM(Q22,AI22)*100+SUM(K22,AC22)+0.003&gt;AT22*1000000+SUM(V22,AN22)*10000+SUM(P22,AH22)*100+SUM(J22,AB22)+0.004,1,0)+IF(AV22*1000000+SUM(X22,AP22)*10000+SUM(R22,AJ22)*100+SUM(L22,AD22)+0.002&gt;AT22*1000000+SUM(V22,AN22)*10000+SUM(P22,AH22)*100+SUM(J22,AB22)+0.004,1,0)+IF(AW22*1000000+SUM(Y22,AQ22)*10000+SUM(S22,AK22)*100+SUM(M22,AE22)+0.001&gt;AT22*1000000+SUM(V22,AN22)*10000+SUM(P22,AH22)*100+SUM(J22,AB22)+0.004,1,0)=2,"A",IF(IF(AR22*1000000+SUM(T22,AL22)*10000+SUM(N22,AF22)*100+SUM(H22,Z22)+0.006&gt;AU22*1000000+SUM(W22,AO22)*10000+SUM(Q22,AI22)*100+SUM(K22,AC22)+0.003,1,0)+IF(AS22*1000000+SUM(U22,AM22)*10000+SUM(O22,AG22)*100+SUM(I22,AA22)+0.005&gt;AU22*1000000+SUM(W22,AO22)*10000+SUM(Q22,AI22)*100+SUM(K22,AC22)+0.003,1,0)+IF(AT22*1000000+SUM(V22,AN22)*10000+SUM(P22,AH22)*100+SUM(J22,AB22)+0.004&gt;AU22*1000000+SUM(W22,AO22)*10000+SUM(Q22,AI22)*100+SUM(K22,AC22)+0.003,1,0)+IF(AV22*1000000+SUM(X22,AP22)*10000+SUM(R22,AJ22)*100+SUM(L22,AD22)+0.002&gt;AU22*1000000+SUM(W22,AO22)*10000+SUM(Q22,AI22)*100+SUM(K22,AC22)+0.003,1,0)+IF(AW22*1000000+SUM(Y22,AQ22)*10000+SUM(S22,AK22)*100+SUM(M22,AE22)+0.001&gt;AU22*1000000+SUM(W22,AO22)*10000+SUM(Q22,AI22)*100+SUM(K22,AC22)+0.003,1,0)=2,"S",IF(IF(AR22*1000000+SUM(T22,AL22)*10000+SUM(N22,AF22)*100+SUM(H22,Z22)+0.006&gt;AV22*1000000+SUM(X22,AP22)*10000+SUM(R22,AJ22)*100+SUM(L22,AD22)+0.002,1,0)+IF(AS22*1000000+SUM(U22,AM22)*10000+SUM(O22,AG22)*100+SUM(I22,AA22)+0.005&gt;AV22*1000000+SUM(X22,AP22)*10000+SUM(R22,AJ22)*100+SUM(L22,AD22)+0.002,1,0)+IF(AT22*1000000+SUM(V22,AN22)*10000+SUM(P22,AH22)*100+SUM(J22,AB22)+0.004&gt;AV22*1000000+SUM(X22,AP22)*10000+SUM(R22,AJ22)*100+SUM(L22,AD22)+0.002,1,0)+IF(AU22*1000000+SUM(W22,AO22)*10000+SUM(Q22,AI22)*100+SUM(K22,AC22)+0.003&gt;AV22*1000000+SUM(X22,AP22)*10000+SUM(R22,AJ22)*100+SUM(L22,AD22)+0.002,1,0)+IF(AW22*1000000+SUM(Y22,AQ22)*10000+SUM(S22,AK22)*100+SUM(M22,AE22)+0.001&gt;AV22*1000000+SUM(X22,AP22)*10000+SUM(R22,AJ22)*100+SUM(L22,AD22)+0.002,1,0)=2,"E",IF(IF(AR22*1000000+SUM(T22,AL22)*10000+SUM(N22,AF22)*100+SUM(H22,Z22)+0.006&gt;AW22*1000000+SUM(Y22,AQ22)*10000+SUM(S22,AK22)*100+SUM(M22,AE22)+0.001,1,0)+IF(AS22*1000000+SUM(U22,AM22)*10000+SUM(O22,AG22)*100+SUM(I22,AA22)+0.005&gt;AW22*1000000+SUM(Y22,AQ22)*10000+SUM(S22,AK22)*100+SUM(M22,AE22)+0.001,1,0)+IF(AT22*1000000+SUM(V22,AN22)*10000+SUM(P22,AH22)*100+SUM(J22,AB22)+0.004&gt;AW22*1000000+SUM(Y22,AQ22)*10000+SUM(S22,AK22)*100+SUM(M22,AE22)+0.001,1,0)+IF(AU22*1000000+SUM(W22,AO22)*10000+SUM(Q22,AI22)*100+SUM(K22,AC22)+0.003&gt;AW22*1000000+SUM(Y22,AQ22)*10000+SUM(S22,AK22)*100+SUM(M22,AE22)+0.001,1,0)+IF(AV22*1000000+SUM(X22,AP22)*10000+SUM(R22,AJ22)*100+SUM(L22,AD22)+0.002&gt;AW22*1000000+SUM(Y22,AQ22)*10000+SUM(S22,AK22)*100+SUM(M22,AE22)+0.001,1,0)=2,"C","")))))))</x:f>
      </x:c>
      <x:c r="AY22" s="27" t="str">
        <x:f>IF(C22="","",IF(LEFT(AX22,1)="R","นักปฏิบัติ",IF(LEFT(AX22,1)="I","นักคิดวิเคราะห์",IF(LEFT(AX22,1)="A","นักสร้างสรรค์",IF(LEFT(AX22,1)="S","ผู้เข้าใจผู้คน",IF(LEFT(AX22,1)="E","ผู้นำการเปลี่ยนแปลง","ผู้จัดระบบ"))))))</x:f>
      </x:c>
    </x:row>
    <x:row r="23">
      <x:c r="A23" s="27"/>
      <x:c r="B23" s="28"/>
      <x:c r="C23" s="27"/>
      <x:c r="D23" s="27"/>
      <x:c r="E23" s="27"/>
      <x:c r="F23" s="27"/>
      <x:c r="G23" s="27"/>
      <x:c r="H23" s="27"/>
      <x:c r="I23" s="27"/>
      <x:c r="J23" s="27"/>
      <x:c r="K23" s="27"/>
      <x:c r="L23" s="27"/>
      <x:c r="M23" s="27"/>
      <x:c r="N23" s="27"/>
      <x:c r="O23" s="27"/>
      <x:c r="P23" s="27"/>
      <x:c r="Q23" s="27"/>
      <x:c r="R23" s="27"/>
      <x:c r="S23" s="27"/>
      <x:c r="T23" s="27"/>
      <x:c r="U23" s="27"/>
      <x:c r="V23" s="27"/>
      <x:c r="W23" s="27"/>
      <x:c r="X23" s="27"/>
      <x:c r="Y23" s="27"/>
      <x:c r="Z23" s="27"/>
      <x:c r="AA23" s="27"/>
      <x:c r="AB23" s="27"/>
      <x:c r="AC23" s="27"/>
      <x:c r="AD23" s="27"/>
      <x:c r="AE23" s="27"/>
      <x:c r="AF23" s="27"/>
      <x:c r="AG23" s="27"/>
      <x:c r="AH23" s="27"/>
      <x:c r="AI23" s="27"/>
      <x:c r="AJ23" s="27"/>
      <x:c r="AK23" s="27"/>
      <x:c r="AL23" s="27"/>
      <x:c r="AM23" s="27"/>
      <x:c r="AN23" s="27"/>
      <x:c r="AO23" s="27"/>
      <x:c r="AP23" s="27"/>
      <x:c r="AQ23" s="27"/>
      <x:c r="AR23" s="27" t="str">
        <x:f>IF(C23="","",SUM(H23,N23,T23,Z23,AF23,AL23))</x:f>
      </x:c>
      <x:c r="AS23" s="27" t="str">
        <x:f>IF(C23="","",SUM(I23,O23,U23,AA23,AG23,AM23))</x:f>
      </x:c>
      <x:c r="AT23" s="27" t="str">
        <x:f>IF(C23="","",SUM(J23,P23,V23,AB23,AH23,AN23))</x:f>
      </x:c>
      <x:c r="AU23" s="27" t="str">
        <x:f>IF(C23="","",SUM(K23,Q23,W23,AC23,AI23,AO23))</x:f>
      </x:c>
      <x:c r="AV23" s="27" t="str">
        <x:f>IF(C23="","",SUM(L23,R23,X23,AD23,AJ23,AP23))</x:f>
      </x:c>
      <x:c r="AW23" s="27" t="str">
        <x:f>IF(C23="","",SUM(M23,S23,Y23,AE23,AK23,AQ23))</x:f>
      </x:c>
      <x:c r="AX23" s="27" t="str">
        <x:f>IF(C23="","",IF(IF(AS23*1000000+SUM(U23,AM23)*10000+SUM(O23,AG23)*100+SUM(I23,AA23)+0.005&gt;AR23*1000000+SUM(T23,AL23)*10000+SUM(N23,AF23)*100+SUM(H23,Z23)+0.006,1,0)+IF(AT23*1000000+SUM(V23,AN23)*10000+SUM(P23,AH23)*100+SUM(J23,AB23)+0.004&gt;AR23*1000000+SUM(T23,AL23)*10000+SUM(N23,AF23)*100+SUM(H23,Z23)+0.006,1,0)+IF(AU23*1000000+SUM(W23,AO23)*10000+SUM(Q23,AI23)*100+SUM(K23,AC23)+0.003&gt;AR23*1000000+SUM(T23,AL23)*10000+SUM(N23,AF23)*100+SUM(H23,Z23)+0.006,1,0)+IF(AV23*1000000+SUM(X23,AP23)*10000+SUM(R23,AJ23)*100+SUM(L23,AD23)+0.002&gt;AR23*1000000+SUM(T23,AL23)*10000+SUM(N23,AF23)*100+SUM(H23,Z23)+0.006,1,0)+IF(AW23*1000000+SUM(Y23,AQ23)*10000+SUM(S23,AK23)*100+SUM(M23,AE23)+0.001&gt;AR23*1000000+SUM(T23,AL23)*10000+SUM(N23,AF23)*100+SUM(H23,Z23)+0.006,1,0)=0,"R",IF(IF(AR23*1000000+SUM(T23,AL23)*10000+SUM(N23,AF23)*100+SUM(H23,Z23)+0.006&gt;AS23*1000000+SUM(U23,AM23)*10000+SUM(O23,AG23)*100+SUM(I23,AA23)+0.005,1,0)+IF(AT23*1000000+SUM(V23,AN23)*10000+SUM(P23,AH23)*100+SUM(J23,AB23)+0.004&gt;AS23*1000000+SUM(U23,AM23)*10000+SUM(O23,AG23)*100+SUM(I23,AA23)+0.005,1,0)+IF(AU23*1000000+SUM(W23,AO23)*10000+SUM(Q23,AI23)*100+SUM(K23,AC23)+0.003&gt;AS23*1000000+SUM(U23,AM23)*10000+SUM(O23,AG23)*100+SUM(I23,AA23)+0.005,1,0)+IF(AV23*1000000+SUM(X23,AP23)*10000+SUM(R23,AJ23)*100+SUM(L23,AD23)+0.002&gt;AS23*1000000+SUM(U23,AM23)*10000+SUM(O23,AG23)*100+SUM(I23,AA23)+0.005,1,0)+IF(AW23*1000000+SUM(Y23,AQ23)*10000+SUM(S23,AK23)*100+SUM(M23,AE23)+0.001&gt;AS23*1000000+SUM(U23,AM23)*10000+SUM(O23,AG23)*100+SUM(I23,AA23)+0.005,1,0)=0,"I",IF(IF(AR23*1000000+SUM(T23,AL23)*10000+SUM(N23,AF23)*100+SUM(H23,Z23)+0.006&gt;AT23*1000000+SUM(V23,AN23)*10000+SUM(P23,AH23)*100+SUM(J23,AB23)+0.004,1,0)+IF(AS23*1000000+SUM(U23,AM23)*10000+SUM(O23,AG23)*100+SUM(I23,AA23)+0.005&gt;AT23*1000000+SUM(V23,AN23)*10000+SUM(P23,AH23)*100+SUM(J23,AB23)+0.004,1,0)+IF(AU23*1000000+SUM(W23,AO23)*10000+SUM(Q23,AI23)*100+SUM(K23,AC23)+0.003&gt;AT23*1000000+SUM(V23,AN23)*10000+SUM(P23,AH23)*100+SUM(J23,AB23)+0.004,1,0)+IF(AV23*1000000+SUM(X23,AP23)*10000+SUM(R23,AJ23)*100+SUM(L23,AD23)+0.002&gt;AT23*1000000+SUM(V23,AN23)*10000+SUM(P23,AH23)*100+SUM(J23,AB23)+0.004,1,0)+IF(AW23*1000000+SUM(Y23,AQ23)*10000+SUM(S23,AK23)*100+SUM(M23,AE23)+0.001&gt;AT23*1000000+SUM(V23,AN23)*10000+SUM(P23,AH23)*100+SUM(J23,AB23)+0.004,1,0)=0,"A",IF(IF(AR23*1000000+SUM(T23,AL23)*10000+SUM(N23,AF23)*100+SUM(H23,Z23)+0.006&gt;AU23*1000000+SUM(W23,AO23)*10000+SUM(Q23,AI23)*100+SUM(K23,AC23)+0.003,1,0)+IF(AS23*1000000+SUM(U23,AM23)*10000+SUM(O23,AG23)*100+SUM(I23,AA23)+0.005&gt;AU23*1000000+SUM(W23,AO23)*10000+SUM(Q23,AI23)*100+SUM(K23,AC23)+0.003,1,0)+IF(AT23*1000000+SUM(V23,AN23)*10000+SUM(P23,AH23)*100+SUM(J23,AB23)+0.004&gt;AU23*1000000+SUM(W23,AO23)*10000+SUM(Q23,AI23)*100+SUM(K23,AC23)+0.003,1,0)+IF(AV23*1000000+SUM(X23,AP23)*10000+SUM(R23,AJ23)*100+SUM(L23,AD23)+0.002&gt;AU23*1000000+SUM(W23,AO23)*10000+SUM(Q23,AI23)*100+SUM(K23,AC23)+0.003,1,0)+IF(AW23*1000000+SUM(Y23,AQ23)*10000+SUM(S23,AK23)*100+SUM(M23,AE23)+0.001&gt;AU23*1000000+SUM(W23,AO23)*10000+SUM(Q23,AI23)*100+SUM(K23,AC23)+0.003,1,0)=0,"S",IF(IF(AR23*1000000+SUM(T23,AL23)*10000+SUM(N23,AF23)*100+SUM(H23,Z23)+0.006&gt;AV23*1000000+SUM(X23,AP23)*10000+SUM(R23,AJ23)*100+SUM(L23,AD23)+0.002,1,0)+IF(AS23*1000000+SUM(U23,AM23)*10000+SUM(O23,AG23)*100+SUM(I23,AA23)+0.005&gt;AV23*1000000+SUM(X23,AP23)*10000+SUM(R23,AJ23)*100+SUM(L23,AD23)+0.002,1,0)+IF(AT23*1000000+SUM(V23,AN23)*10000+SUM(P23,AH23)*100+SUM(J23,AB23)+0.004&gt;AV23*1000000+SUM(X23,AP23)*10000+SUM(R23,AJ23)*100+SUM(L23,AD23)+0.002,1,0)+IF(AU23*1000000+SUM(W23,AO23)*10000+SUM(Q23,AI23)*100+SUM(K23,AC23)+0.003&gt;AV23*1000000+SUM(X23,AP23)*10000+SUM(R23,AJ23)*100+SUM(L23,AD23)+0.002,1,0)+IF(AW23*1000000+SUM(Y23,AQ23)*10000+SUM(S23,AK23)*100+SUM(M23,AE23)+0.001&gt;AV23*1000000+SUM(X23,AP23)*10000+SUM(R23,AJ23)*100+SUM(L23,AD23)+0.002,1,0)=0,"E",IF(IF(AR23*1000000+SUM(T23,AL23)*10000+SUM(N23,AF23)*100+SUM(H23,Z23)+0.006&gt;AW23*1000000+SUM(Y23,AQ23)*10000+SUM(S23,AK23)*100+SUM(M23,AE23)+0.001,1,0)+IF(AS23*1000000+SUM(U23,AM23)*10000+SUM(O23,AG23)*100+SUM(I23,AA23)+0.005&gt;AW23*1000000+SUM(Y23,AQ23)*10000+SUM(S23,AK23)*100+SUM(M23,AE23)+0.001,1,0)+IF(AT23*1000000+SUM(V23,AN23)*10000+SUM(P23,AH23)*100+SUM(J23,AB23)+0.004&gt;AW23*1000000+SUM(Y23,AQ23)*10000+SUM(S23,AK23)*100+SUM(M23,AE23)+0.001,1,0)+IF(AU23*1000000+SUM(W23,AO23)*10000+SUM(Q23,AI23)*100+SUM(K23,AC23)+0.003&gt;AW23*1000000+SUM(Y23,AQ23)*10000+SUM(S23,AK23)*100+SUM(M23,AE23)+0.001,1,0)+IF(AV23*1000000+SUM(X23,AP23)*10000+SUM(R23,AJ23)*100+SUM(L23,AD23)+0.002&gt;AW23*1000000+SUM(Y23,AQ23)*10000+SUM(S23,AK23)*100+SUM(M23,AE23)+0.001,1,0)=0,"C",""))))))&amp;IF(IF(AS23*1000000+SUM(U23,AM23)*10000+SUM(O23,AG23)*100+SUM(I23,AA23)+0.005&gt;AR23*1000000+SUM(T23,AL23)*10000+SUM(N23,AF23)*100+SUM(H23,Z23)+0.006,1,0)+IF(AT23*1000000+SUM(V23,AN23)*10000+SUM(P23,AH23)*100+SUM(J23,AB23)+0.004&gt;AR23*1000000+SUM(T23,AL23)*10000+SUM(N23,AF23)*100+SUM(H23,Z23)+0.006,1,0)+IF(AU23*1000000+SUM(W23,AO23)*10000+SUM(Q23,AI23)*100+SUM(K23,AC23)+0.003&gt;AR23*1000000+SUM(T23,AL23)*10000+SUM(N23,AF23)*100+SUM(H23,Z23)+0.006,1,0)+IF(AV23*1000000+SUM(X23,AP23)*10000+SUM(R23,AJ23)*100+SUM(L23,AD23)+0.002&gt;AR23*1000000+SUM(T23,AL23)*10000+SUM(N23,AF23)*100+SUM(H23,Z23)+0.006,1,0)+IF(AW23*1000000+SUM(Y23,AQ23)*10000+SUM(S23,AK23)*100+SUM(M23,AE23)+0.001&gt;AR23*1000000+SUM(T23,AL23)*10000+SUM(N23,AF23)*100+SUM(H23,Z23)+0.006,1,0)=1,"R",IF(IF(AR23*1000000+SUM(T23,AL23)*10000+SUM(N23,AF23)*100+SUM(H23,Z23)+0.006&gt;AS23*1000000+SUM(U23,AM23)*10000+SUM(O23,AG23)*100+SUM(I23,AA23)+0.005,1,0)+IF(AT23*1000000+SUM(V23,AN23)*10000+SUM(P23,AH23)*100+SUM(J23,AB23)+0.004&gt;AS23*1000000+SUM(U23,AM23)*10000+SUM(O23,AG23)*100+SUM(I23,AA23)+0.005,1,0)+IF(AU23*1000000+SUM(W23,AO23)*10000+SUM(Q23,AI23)*100+SUM(K23,AC23)+0.003&gt;AS23*1000000+SUM(U23,AM23)*10000+SUM(O23,AG23)*100+SUM(I23,AA23)+0.005,1,0)+IF(AV23*1000000+SUM(X23,AP23)*10000+SUM(R23,AJ23)*100+SUM(L23,AD23)+0.002&gt;AS23*1000000+SUM(U23,AM23)*10000+SUM(O23,AG23)*100+SUM(I23,AA23)+0.005,1,0)+IF(AW23*1000000+SUM(Y23,AQ23)*10000+SUM(S23,AK23)*100+SUM(M23,AE23)+0.001&gt;AS23*1000000+SUM(U23,AM23)*10000+SUM(O23,AG23)*100+SUM(I23,AA23)+0.005,1,0)=1,"I",IF(IF(AR23*1000000+SUM(T23,AL23)*10000+SUM(N23,AF23)*100+SUM(H23,Z23)+0.006&gt;AT23*1000000+SUM(V23,AN23)*10000+SUM(P23,AH23)*100+SUM(J23,AB23)+0.004,1,0)+IF(AS23*1000000+SUM(U23,AM23)*10000+SUM(O23,AG23)*100+SUM(I23,AA23)+0.005&gt;AT23*1000000+SUM(V23,AN23)*10000+SUM(P23,AH23)*100+SUM(J23,AB23)+0.004,1,0)+IF(AU23*1000000+SUM(W23,AO23)*10000+SUM(Q23,AI23)*100+SUM(K23,AC23)+0.003&gt;AT23*1000000+SUM(V23,AN23)*10000+SUM(P23,AH23)*100+SUM(J23,AB23)+0.004,1,0)+IF(AV23*1000000+SUM(X23,AP23)*10000+SUM(R23,AJ23)*100+SUM(L23,AD23)+0.002&gt;AT23*1000000+SUM(V23,AN23)*10000+SUM(P23,AH23)*100+SUM(J23,AB23)+0.004,1,0)+IF(AW23*1000000+SUM(Y23,AQ23)*10000+SUM(S23,AK23)*100+SUM(M23,AE23)+0.001&gt;AT23*1000000+SUM(V23,AN23)*10000+SUM(P23,AH23)*100+SUM(J23,AB23)+0.004,1,0)=1,"A",IF(IF(AR23*1000000+SUM(T23,AL23)*10000+SUM(N23,AF23)*100+SUM(H23,Z23)+0.006&gt;AU23*1000000+SUM(W23,AO23)*10000+SUM(Q23,AI23)*100+SUM(K23,AC23)+0.003,1,0)+IF(AS23*1000000+SUM(U23,AM23)*10000+SUM(O23,AG23)*100+SUM(I23,AA23)+0.005&gt;AU23*1000000+SUM(W23,AO23)*10000+SUM(Q23,AI23)*100+SUM(K23,AC23)+0.003,1,0)+IF(AT23*1000000+SUM(V23,AN23)*10000+SUM(P23,AH23)*100+SUM(J23,AB23)+0.004&gt;AU23*1000000+SUM(W23,AO23)*10000+SUM(Q23,AI23)*100+SUM(K23,AC23)+0.003,1,0)+IF(AV23*1000000+SUM(X23,AP23)*10000+SUM(R23,AJ23)*100+SUM(L23,AD23)+0.002&gt;AU23*1000000+SUM(W23,AO23)*10000+SUM(Q23,AI23)*100+SUM(K23,AC23)+0.003,1,0)+IF(AW23*1000000+SUM(Y23,AQ23)*10000+SUM(S23,AK23)*100+SUM(M23,AE23)+0.001&gt;AU23*1000000+SUM(W23,AO23)*10000+SUM(Q23,AI23)*100+SUM(K23,AC23)+0.003,1,0)=1,"S",IF(IF(AR23*1000000+SUM(T23,AL23)*10000+SUM(N23,AF23)*100+SUM(H23,Z23)+0.006&gt;AV23*1000000+SUM(X23,AP23)*10000+SUM(R23,AJ23)*100+SUM(L23,AD23)+0.002,1,0)+IF(AS23*1000000+SUM(U23,AM23)*10000+SUM(O23,AG23)*100+SUM(I23,AA23)+0.005&gt;AV23*1000000+SUM(X23,AP23)*10000+SUM(R23,AJ23)*100+SUM(L23,AD23)+0.002,1,0)+IF(AT23*1000000+SUM(V23,AN23)*10000+SUM(P23,AH23)*100+SUM(J23,AB23)+0.004&gt;AV23*1000000+SUM(X23,AP23)*10000+SUM(R23,AJ23)*100+SUM(L23,AD23)+0.002,1,0)+IF(AU23*1000000+SUM(W23,AO23)*10000+SUM(Q23,AI23)*100+SUM(K23,AC23)+0.003&gt;AV23*1000000+SUM(X23,AP23)*10000+SUM(R23,AJ23)*100+SUM(L23,AD23)+0.002,1,0)+IF(AW23*1000000+SUM(Y23,AQ23)*10000+SUM(S23,AK23)*100+SUM(M23,AE23)+0.001&gt;AV23*1000000+SUM(X23,AP23)*10000+SUM(R23,AJ23)*100+SUM(L23,AD23)+0.002,1,0)=1,"E",IF(IF(AR23*1000000+SUM(T23,AL23)*10000+SUM(N23,AF23)*100+SUM(H23,Z23)+0.006&gt;AW23*1000000+SUM(Y23,AQ23)*10000+SUM(S23,AK23)*100+SUM(M23,AE23)+0.001,1,0)+IF(AS23*1000000+SUM(U23,AM23)*10000+SUM(O23,AG23)*100+SUM(I23,AA23)+0.005&gt;AW23*1000000+SUM(Y23,AQ23)*10000+SUM(S23,AK23)*100+SUM(M23,AE23)+0.001,1,0)+IF(AT23*1000000+SUM(V23,AN23)*10000+SUM(P23,AH23)*100+SUM(J23,AB23)+0.004&gt;AW23*1000000+SUM(Y23,AQ23)*10000+SUM(S23,AK23)*100+SUM(M23,AE23)+0.001,1,0)+IF(AU23*1000000+SUM(W23,AO23)*10000+SUM(Q23,AI23)*100+SUM(K23,AC23)+0.003&gt;AW23*1000000+SUM(Y23,AQ23)*10000+SUM(S23,AK23)*100+SUM(M23,AE23)+0.001,1,0)+IF(AV23*1000000+SUM(X23,AP23)*10000+SUM(R23,AJ23)*100+SUM(L23,AD23)+0.002&gt;AW23*1000000+SUM(Y23,AQ23)*10000+SUM(S23,AK23)*100+SUM(M23,AE23)+0.001,1,0)=1,"C",""))))))&amp;IF(IF(AS23*1000000+SUM(U23,AM23)*10000+SUM(O23,AG23)*100+SUM(I23,AA23)+0.005&gt;AR23*1000000+SUM(T23,AL23)*10000+SUM(N23,AF23)*100+SUM(H23,Z23)+0.006,1,0)+IF(AT23*1000000+SUM(V23,AN23)*10000+SUM(P23,AH23)*100+SUM(J23,AB23)+0.004&gt;AR23*1000000+SUM(T23,AL23)*10000+SUM(N23,AF23)*100+SUM(H23,Z23)+0.006,1,0)+IF(AU23*1000000+SUM(W23,AO23)*10000+SUM(Q23,AI23)*100+SUM(K23,AC23)+0.003&gt;AR23*1000000+SUM(T23,AL23)*10000+SUM(N23,AF23)*100+SUM(H23,Z23)+0.006,1,0)+IF(AV23*1000000+SUM(X23,AP23)*10000+SUM(R23,AJ23)*100+SUM(L23,AD23)+0.002&gt;AR23*1000000+SUM(T23,AL23)*10000+SUM(N23,AF23)*100+SUM(H23,Z23)+0.006,1,0)+IF(AW23*1000000+SUM(Y23,AQ23)*10000+SUM(S23,AK23)*100+SUM(M23,AE23)+0.001&gt;AR23*1000000+SUM(T23,AL23)*10000+SUM(N23,AF23)*100+SUM(H23,Z23)+0.006,1,0)=2,"R",IF(IF(AR23*1000000+SUM(T23,AL23)*10000+SUM(N23,AF23)*100+SUM(H23,Z23)+0.006&gt;AS23*1000000+SUM(U23,AM23)*10000+SUM(O23,AG23)*100+SUM(I23,AA23)+0.005,1,0)+IF(AT23*1000000+SUM(V23,AN23)*10000+SUM(P23,AH23)*100+SUM(J23,AB23)+0.004&gt;AS23*1000000+SUM(U23,AM23)*10000+SUM(O23,AG23)*100+SUM(I23,AA23)+0.005,1,0)+IF(AU23*1000000+SUM(W23,AO23)*10000+SUM(Q23,AI23)*100+SUM(K23,AC23)+0.003&gt;AS23*1000000+SUM(U23,AM23)*10000+SUM(O23,AG23)*100+SUM(I23,AA23)+0.005,1,0)+IF(AV23*1000000+SUM(X23,AP23)*10000+SUM(R23,AJ23)*100+SUM(L23,AD23)+0.002&gt;AS23*1000000+SUM(U23,AM23)*10000+SUM(O23,AG23)*100+SUM(I23,AA23)+0.005,1,0)+IF(AW23*1000000+SUM(Y23,AQ23)*10000+SUM(S23,AK23)*100+SUM(M23,AE23)+0.001&gt;AS23*1000000+SUM(U23,AM23)*10000+SUM(O23,AG23)*100+SUM(I23,AA23)+0.005,1,0)=2,"I",IF(IF(AR23*1000000+SUM(T23,AL23)*10000+SUM(N23,AF23)*100+SUM(H23,Z23)+0.006&gt;AT23*1000000+SUM(V23,AN23)*10000+SUM(P23,AH23)*100+SUM(J23,AB23)+0.004,1,0)+IF(AS23*1000000+SUM(U23,AM23)*10000+SUM(O23,AG23)*100+SUM(I23,AA23)+0.005&gt;AT23*1000000+SUM(V23,AN23)*10000+SUM(P23,AH23)*100+SUM(J23,AB23)+0.004,1,0)+IF(AU23*1000000+SUM(W23,AO23)*10000+SUM(Q23,AI23)*100+SUM(K23,AC23)+0.003&gt;AT23*1000000+SUM(V23,AN23)*10000+SUM(P23,AH23)*100+SUM(J23,AB23)+0.004,1,0)+IF(AV23*1000000+SUM(X23,AP23)*10000+SUM(R23,AJ23)*100+SUM(L23,AD23)+0.002&gt;AT23*1000000+SUM(V23,AN23)*10000+SUM(P23,AH23)*100+SUM(J23,AB23)+0.004,1,0)+IF(AW23*1000000+SUM(Y23,AQ23)*10000+SUM(S23,AK23)*100+SUM(M23,AE23)+0.001&gt;AT23*1000000+SUM(V23,AN23)*10000+SUM(P23,AH23)*100+SUM(J23,AB23)+0.004,1,0)=2,"A",IF(IF(AR23*1000000+SUM(T23,AL23)*10000+SUM(N23,AF23)*100+SUM(H23,Z23)+0.006&gt;AU23*1000000+SUM(W23,AO23)*10000+SUM(Q23,AI23)*100+SUM(K23,AC23)+0.003,1,0)+IF(AS23*1000000+SUM(U23,AM23)*10000+SUM(O23,AG23)*100+SUM(I23,AA23)+0.005&gt;AU23*1000000+SUM(W23,AO23)*10000+SUM(Q23,AI23)*100+SUM(K23,AC23)+0.003,1,0)+IF(AT23*1000000+SUM(V23,AN23)*10000+SUM(P23,AH23)*100+SUM(J23,AB23)+0.004&gt;AU23*1000000+SUM(W23,AO23)*10000+SUM(Q23,AI23)*100+SUM(K23,AC23)+0.003,1,0)+IF(AV23*1000000+SUM(X23,AP23)*10000+SUM(R23,AJ23)*100+SUM(L23,AD23)+0.002&gt;AU23*1000000+SUM(W23,AO23)*10000+SUM(Q23,AI23)*100+SUM(K23,AC23)+0.003,1,0)+IF(AW23*1000000+SUM(Y23,AQ23)*10000+SUM(S23,AK23)*100+SUM(M23,AE23)+0.001&gt;AU23*1000000+SUM(W23,AO23)*10000+SUM(Q23,AI23)*100+SUM(K23,AC23)+0.003,1,0)=2,"S",IF(IF(AR23*1000000+SUM(T23,AL23)*10000+SUM(N23,AF23)*100+SUM(H23,Z23)+0.006&gt;AV23*1000000+SUM(X23,AP23)*10000+SUM(R23,AJ23)*100+SUM(L23,AD23)+0.002,1,0)+IF(AS23*1000000+SUM(U23,AM23)*10000+SUM(O23,AG23)*100+SUM(I23,AA23)+0.005&gt;AV23*1000000+SUM(X23,AP23)*10000+SUM(R23,AJ23)*100+SUM(L23,AD23)+0.002,1,0)+IF(AT23*1000000+SUM(V23,AN23)*10000+SUM(P23,AH23)*100+SUM(J23,AB23)+0.004&gt;AV23*1000000+SUM(X23,AP23)*10000+SUM(R23,AJ23)*100+SUM(L23,AD23)+0.002,1,0)+IF(AU23*1000000+SUM(W23,AO23)*10000+SUM(Q23,AI23)*100+SUM(K23,AC23)+0.003&gt;AV23*1000000+SUM(X23,AP23)*10000+SUM(R23,AJ23)*100+SUM(L23,AD23)+0.002,1,0)+IF(AW23*1000000+SUM(Y23,AQ23)*10000+SUM(S23,AK23)*100+SUM(M23,AE23)+0.001&gt;AV23*1000000+SUM(X23,AP23)*10000+SUM(R23,AJ23)*100+SUM(L23,AD23)+0.002,1,0)=2,"E",IF(IF(AR23*1000000+SUM(T23,AL23)*10000+SUM(N23,AF23)*100+SUM(H23,Z23)+0.006&gt;AW23*1000000+SUM(Y23,AQ23)*10000+SUM(S23,AK23)*100+SUM(M23,AE23)+0.001,1,0)+IF(AS23*1000000+SUM(U23,AM23)*10000+SUM(O23,AG23)*100+SUM(I23,AA23)+0.005&gt;AW23*1000000+SUM(Y23,AQ23)*10000+SUM(S23,AK23)*100+SUM(M23,AE23)+0.001,1,0)+IF(AT23*1000000+SUM(V23,AN23)*10000+SUM(P23,AH23)*100+SUM(J23,AB23)+0.004&gt;AW23*1000000+SUM(Y23,AQ23)*10000+SUM(S23,AK23)*100+SUM(M23,AE23)+0.001,1,0)+IF(AU23*1000000+SUM(W23,AO23)*10000+SUM(Q23,AI23)*100+SUM(K23,AC23)+0.003&gt;AW23*1000000+SUM(Y23,AQ23)*10000+SUM(S23,AK23)*100+SUM(M23,AE23)+0.001,1,0)+IF(AV23*1000000+SUM(X23,AP23)*10000+SUM(R23,AJ23)*100+SUM(L23,AD23)+0.002&gt;AW23*1000000+SUM(Y23,AQ23)*10000+SUM(S23,AK23)*100+SUM(M23,AE23)+0.001,1,0)=2,"C","")))))))</x:f>
      </x:c>
      <x:c r="AY23" s="27" t="str">
        <x:f>IF(C23="","",IF(LEFT(AX23,1)="R","นักปฏิบัติ",IF(LEFT(AX23,1)="I","นักคิดวิเคราะห์",IF(LEFT(AX23,1)="A","นักสร้างสรรค์",IF(LEFT(AX23,1)="S","ผู้เข้าใจผู้คน",IF(LEFT(AX23,1)="E","ผู้นำการเปลี่ยนแปลง","ผู้จัดระบบ"))))))</x:f>
      </x:c>
    </x:row>
    <x:row r="24">
      <x:c r="A24" s="27"/>
      <x:c r="B24" s="28"/>
      <x:c r="C24" s="27"/>
      <x:c r="D24" s="27"/>
      <x:c r="E24" s="27"/>
      <x:c r="F24" s="27"/>
      <x:c r="G24" s="27"/>
      <x:c r="H24" s="27"/>
      <x:c r="I24" s="27"/>
      <x:c r="J24" s="27"/>
      <x:c r="K24" s="27"/>
      <x:c r="L24" s="27"/>
      <x:c r="M24" s="27"/>
      <x:c r="N24" s="27"/>
      <x:c r="O24" s="27"/>
      <x:c r="P24" s="27"/>
      <x:c r="Q24" s="27"/>
      <x:c r="R24" s="27"/>
      <x:c r="S24" s="27"/>
      <x:c r="T24" s="27"/>
      <x:c r="U24" s="27"/>
      <x:c r="V24" s="27"/>
      <x:c r="W24" s="27"/>
      <x:c r="X24" s="27"/>
      <x:c r="Y24" s="27"/>
      <x:c r="Z24" s="27"/>
      <x:c r="AA24" s="27"/>
      <x:c r="AB24" s="27"/>
      <x:c r="AC24" s="27"/>
      <x:c r="AD24" s="27"/>
      <x:c r="AE24" s="27"/>
      <x:c r="AF24" s="27"/>
      <x:c r="AG24" s="27"/>
      <x:c r="AH24" s="27"/>
      <x:c r="AI24" s="27"/>
      <x:c r="AJ24" s="27"/>
      <x:c r="AK24" s="27"/>
      <x:c r="AL24" s="27"/>
      <x:c r="AM24" s="27"/>
      <x:c r="AN24" s="27"/>
      <x:c r="AO24" s="27"/>
      <x:c r="AP24" s="27"/>
      <x:c r="AQ24" s="27"/>
      <x:c r="AR24" s="27" t="str">
        <x:f>IF(C24="","",SUM(H24,N24,T24,Z24,AF24,AL24))</x:f>
      </x:c>
      <x:c r="AS24" s="27" t="str">
        <x:f>IF(C24="","",SUM(I24,O24,U24,AA24,AG24,AM24))</x:f>
      </x:c>
      <x:c r="AT24" s="27" t="str">
        <x:f>IF(C24="","",SUM(J24,P24,V24,AB24,AH24,AN24))</x:f>
      </x:c>
      <x:c r="AU24" s="27" t="str">
        <x:f>IF(C24="","",SUM(K24,Q24,W24,AC24,AI24,AO24))</x:f>
      </x:c>
      <x:c r="AV24" s="27" t="str">
        <x:f>IF(C24="","",SUM(L24,R24,X24,AD24,AJ24,AP24))</x:f>
      </x:c>
      <x:c r="AW24" s="27" t="str">
        <x:f>IF(C24="","",SUM(M24,S24,Y24,AE24,AK24,AQ24))</x:f>
      </x:c>
      <x:c r="AX24" s="27" t="str">
        <x:f>IF(C24="","",IF(IF(AS24*1000000+SUM(U24,AM24)*10000+SUM(O24,AG24)*100+SUM(I24,AA24)+0.005&gt;AR24*1000000+SUM(T24,AL24)*10000+SUM(N24,AF24)*100+SUM(H24,Z24)+0.006,1,0)+IF(AT24*1000000+SUM(V24,AN24)*10000+SUM(P24,AH24)*100+SUM(J24,AB24)+0.004&gt;AR24*1000000+SUM(T24,AL24)*10000+SUM(N24,AF24)*100+SUM(H24,Z24)+0.006,1,0)+IF(AU24*1000000+SUM(W24,AO24)*10000+SUM(Q24,AI24)*100+SUM(K24,AC24)+0.003&gt;AR24*1000000+SUM(T24,AL24)*10000+SUM(N24,AF24)*100+SUM(H24,Z24)+0.006,1,0)+IF(AV24*1000000+SUM(X24,AP24)*10000+SUM(R24,AJ24)*100+SUM(L24,AD24)+0.002&gt;AR24*1000000+SUM(T24,AL24)*10000+SUM(N24,AF24)*100+SUM(H24,Z24)+0.006,1,0)+IF(AW24*1000000+SUM(Y24,AQ24)*10000+SUM(S24,AK24)*100+SUM(M24,AE24)+0.001&gt;AR24*1000000+SUM(T24,AL24)*10000+SUM(N24,AF24)*100+SUM(H24,Z24)+0.006,1,0)=0,"R",IF(IF(AR24*1000000+SUM(T24,AL24)*10000+SUM(N24,AF24)*100+SUM(H24,Z24)+0.006&gt;AS24*1000000+SUM(U24,AM24)*10000+SUM(O24,AG24)*100+SUM(I24,AA24)+0.005,1,0)+IF(AT24*1000000+SUM(V24,AN24)*10000+SUM(P24,AH24)*100+SUM(J24,AB24)+0.004&gt;AS24*1000000+SUM(U24,AM24)*10000+SUM(O24,AG24)*100+SUM(I24,AA24)+0.005,1,0)+IF(AU24*1000000+SUM(W24,AO24)*10000+SUM(Q24,AI24)*100+SUM(K24,AC24)+0.003&gt;AS24*1000000+SUM(U24,AM24)*10000+SUM(O24,AG24)*100+SUM(I24,AA24)+0.005,1,0)+IF(AV24*1000000+SUM(X24,AP24)*10000+SUM(R24,AJ24)*100+SUM(L24,AD24)+0.002&gt;AS24*1000000+SUM(U24,AM24)*10000+SUM(O24,AG24)*100+SUM(I24,AA24)+0.005,1,0)+IF(AW24*1000000+SUM(Y24,AQ24)*10000+SUM(S24,AK24)*100+SUM(M24,AE24)+0.001&gt;AS24*1000000+SUM(U24,AM24)*10000+SUM(O24,AG24)*100+SUM(I24,AA24)+0.005,1,0)=0,"I",IF(IF(AR24*1000000+SUM(T24,AL24)*10000+SUM(N24,AF24)*100+SUM(H24,Z24)+0.006&gt;AT24*1000000+SUM(V24,AN24)*10000+SUM(P24,AH24)*100+SUM(J24,AB24)+0.004,1,0)+IF(AS24*1000000+SUM(U24,AM24)*10000+SUM(O24,AG24)*100+SUM(I24,AA24)+0.005&gt;AT24*1000000+SUM(V24,AN24)*10000+SUM(P24,AH24)*100+SUM(J24,AB24)+0.004,1,0)+IF(AU24*1000000+SUM(W24,AO24)*10000+SUM(Q24,AI24)*100+SUM(K24,AC24)+0.003&gt;AT24*1000000+SUM(V24,AN24)*10000+SUM(P24,AH24)*100+SUM(J24,AB24)+0.004,1,0)+IF(AV24*1000000+SUM(X24,AP24)*10000+SUM(R24,AJ24)*100+SUM(L24,AD24)+0.002&gt;AT24*1000000+SUM(V24,AN24)*10000+SUM(P24,AH24)*100+SUM(J24,AB24)+0.004,1,0)+IF(AW24*1000000+SUM(Y24,AQ24)*10000+SUM(S24,AK24)*100+SUM(M24,AE24)+0.001&gt;AT24*1000000+SUM(V24,AN24)*10000+SUM(P24,AH24)*100+SUM(J24,AB24)+0.004,1,0)=0,"A",IF(IF(AR24*1000000+SUM(T24,AL24)*10000+SUM(N24,AF24)*100+SUM(H24,Z24)+0.006&gt;AU24*1000000+SUM(W24,AO24)*10000+SUM(Q24,AI24)*100+SUM(K24,AC24)+0.003,1,0)+IF(AS24*1000000+SUM(U24,AM24)*10000+SUM(O24,AG24)*100+SUM(I24,AA24)+0.005&gt;AU24*1000000+SUM(W24,AO24)*10000+SUM(Q24,AI24)*100+SUM(K24,AC24)+0.003,1,0)+IF(AT24*1000000+SUM(V24,AN24)*10000+SUM(P24,AH24)*100+SUM(J24,AB24)+0.004&gt;AU24*1000000+SUM(W24,AO24)*10000+SUM(Q24,AI24)*100+SUM(K24,AC24)+0.003,1,0)+IF(AV24*1000000+SUM(X24,AP24)*10000+SUM(R24,AJ24)*100+SUM(L24,AD24)+0.002&gt;AU24*1000000+SUM(W24,AO24)*10000+SUM(Q24,AI24)*100+SUM(K24,AC24)+0.003,1,0)+IF(AW24*1000000+SUM(Y24,AQ24)*10000+SUM(S24,AK24)*100+SUM(M24,AE24)+0.001&gt;AU24*1000000+SUM(W24,AO24)*10000+SUM(Q24,AI24)*100+SUM(K24,AC24)+0.003,1,0)=0,"S",IF(IF(AR24*1000000+SUM(T24,AL24)*10000+SUM(N24,AF24)*100+SUM(H24,Z24)+0.006&gt;AV24*1000000+SUM(X24,AP24)*10000+SUM(R24,AJ24)*100+SUM(L24,AD24)+0.002,1,0)+IF(AS24*1000000+SUM(U24,AM24)*10000+SUM(O24,AG24)*100+SUM(I24,AA24)+0.005&gt;AV24*1000000+SUM(X24,AP24)*10000+SUM(R24,AJ24)*100+SUM(L24,AD24)+0.002,1,0)+IF(AT24*1000000+SUM(V24,AN24)*10000+SUM(P24,AH24)*100+SUM(J24,AB24)+0.004&gt;AV24*1000000+SUM(X24,AP24)*10000+SUM(R24,AJ24)*100+SUM(L24,AD24)+0.002,1,0)+IF(AU24*1000000+SUM(W24,AO24)*10000+SUM(Q24,AI24)*100+SUM(K24,AC24)+0.003&gt;AV24*1000000+SUM(X24,AP24)*10000+SUM(R24,AJ24)*100+SUM(L24,AD24)+0.002,1,0)+IF(AW24*1000000+SUM(Y24,AQ24)*10000+SUM(S24,AK24)*100+SUM(M24,AE24)+0.001&gt;AV24*1000000+SUM(X24,AP24)*10000+SUM(R24,AJ24)*100+SUM(L24,AD24)+0.002,1,0)=0,"E",IF(IF(AR24*1000000+SUM(T24,AL24)*10000+SUM(N24,AF24)*100+SUM(H24,Z24)+0.006&gt;AW24*1000000+SUM(Y24,AQ24)*10000+SUM(S24,AK24)*100+SUM(M24,AE24)+0.001,1,0)+IF(AS24*1000000+SUM(U24,AM24)*10000+SUM(O24,AG24)*100+SUM(I24,AA24)+0.005&gt;AW24*1000000+SUM(Y24,AQ24)*10000+SUM(S24,AK24)*100+SUM(M24,AE24)+0.001,1,0)+IF(AT24*1000000+SUM(V24,AN24)*10000+SUM(P24,AH24)*100+SUM(J24,AB24)+0.004&gt;AW24*1000000+SUM(Y24,AQ24)*10000+SUM(S24,AK24)*100+SUM(M24,AE24)+0.001,1,0)+IF(AU24*1000000+SUM(W24,AO24)*10000+SUM(Q24,AI24)*100+SUM(K24,AC24)+0.003&gt;AW24*1000000+SUM(Y24,AQ24)*10000+SUM(S24,AK24)*100+SUM(M24,AE24)+0.001,1,0)+IF(AV24*1000000+SUM(X24,AP24)*10000+SUM(R24,AJ24)*100+SUM(L24,AD24)+0.002&gt;AW24*1000000+SUM(Y24,AQ24)*10000+SUM(S24,AK24)*100+SUM(M24,AE24)+0.001,1,0)=0,"C",""))))))&amp;IF(IF(AS24*1000000+SUM(U24,AM24)*10000+SUM(O24,AG24)*100+SUM(I24,AA24)+0.005&gt;AR24*1000000+SUM(T24,AL24)*10000+SUM(N24,AF24)*100+SUM(H24,Z24)+0.006,1,0)+IF(AT24*1000000+SUM(V24,AN24)*10000+SUM(P24,AH24)*100+SUM(J24,AB24)+0.004&gt;AR24*1000000+SUM(T24,AL24)*10000+SUM(N24,AF24)*100+SUM(H24,Z24)+0.006,1,0)+IF(AU24*1000000+SUM(W24,AO24)*10000+SUM(Q24,AI24)*100+SUM(K24,AC24)+0.003&gt;AR24*1000000+SUM(T24,AL24)*10000+SUM(N24,AF24)*100+SUM(H24,Z24)+0.006,1,0)+IF(AV24*1000000+SUM(X24,AP24)*10000+SUM(R24,AJ24)*100+SUM(L24,AD24)+0.002&gt;AR24*1000000+SUM(T24,AL24)*10000+SUM(N24,AF24)*100+SUM(H24,Z24)+0.006,1,0)+IF(AW24*1000000+SUM(Y24,AQ24)*10000+SUM(S24,AK24)*100+SUM(M24,AE24)+0.001&gt;AR24*1000000+SUM(T24,AL24)*10000+SUM(N24,AF24)*100+SUM(H24,Z24)+0.006,1,0)=1,"R",IF(IF(AR24*1000000+SUM(T24,AL24)*10000+SUM(N24,AF24)*100+SUM(H24,Z24)+0.006&gt;AS24*1000000+SUM(U24,AM24)*10000+SUM(O24,AG24)*100+SUM(I24,AA24)+0.005,1,0)+IF(AT24*1000000+SUM(V24,AN24)*10000+SUM(P24,AH24)*100+SUM(J24,AB24)+0.004&gt;AS24*1000000+SUM(U24,AM24)*10000+SUM(O24,AG24)*100+SUM(I24,AA24)+0.005,1,0)+IF(AU24*1000000+SUM(W24,AO24)*10000+SUM(Q24,AI24)*100+SUM(K24,AC24)+0.003&gt;AS24*1000000+SUM(U24,AM24)*10000+SUM(O24,AG24)*100+SUM(I24,AA24)+0.005,1,0)+IF(AV24*1000000+SUM(X24,AP24)*10000+SUM(R24,AJ24)*100+SUM(L24,AD24)+0.002&gt;AS24*1000000+SUM(U24,AM24)*10000+SUM(O24,AG24)*100+SUM(I24,AA24)+0.005,1,0)+IF(AW24*1000000+SUM(Y24,AQ24)*10000+SUM(S24,AK24)*100+SUM(M24,AE24)+0.001&gt;AS24*1000000+SUM(U24,AM24)*10000+SUM(O24,AG24)*100+SUM(I24,AA24)+0.005,1,0)=1,"I",IF(IF(AR24*1000000+SUM(T24,AL24)*10000+SUM(N24,AF24)*100+SUM(H24,Z24)+0.006&gt;AT24*1000000+SUM(V24,AN24)*10000+SUM(P24,AH24)*100+SUM(J24,AB24)+0.004,1,0)+IF(AS24*1000000+SUM(U24,AM24)*10000+SUM(O24,AG24)*100+SUM(I24,AA24)+0.005&gt;AT24*1000000+SUM(V24,AN24)*10000+SUM(P24,AH24)*100+SUM(J24,AB24)+0.004,1,0)+IF(AU24*1000000+SUM(W24,AO24)*10000+SUM(Q24,AI24)*100+SUM(K24,AC24)+0.003&gt;AT24*1000000+SUM(V24,AN24)*10000+SUM(P24,AH24)*100+SUM(J24,AB24)+0.004,1,0)+IF(AV24*1000000+SUM(X24,AP24)*10000+SUM(R24,AJ24)*100+SUM(L24,AD24)+0.002&gt;AT24*1000000+SUM(V24,AN24)*10000+SUM(P24,AH24)*100+SUM(J24,AB24)+0.004,1,0)+IF(AW24*1000000+SUM(Y24,AQ24)*10000+SUM(S24,AK24)*100+SUM(M24,AE24)+0.001&gt;AT24*1000000+SUM(V24,AN24)*10000+SUM(P24,AH24)*100+SUM(J24,AB24)+0.004,1,0)=1,"A",IF(IF(AR24*1000000+SUM(T24,AL24)*10000+SUM(N24,AF24)*100+SUM(H24,Z24)+0.006&gt;AU24*1000000+SUM(W24,AO24)*10000+SUM(Q24,AI24)*100+SUM(K24,AC24)+0.003,1,0)+IF(AS24*1000000+SUM(U24,AM24)*10000+SUM(O24,AG24)*100+SUM(I24,AA24)+0.005&gt;AU24*1000000+SUM(W24,AO24)*10000+SUM(Q24,AI24)*100+SUM(K24,AC24)+0.003,1,0)+IF(AT24*1000000+SUM(V24,AN24)*10000+SUM(P24,AH24)*100+SUM(J24,AB24)+0.004&gt;AU24*1000000+SUM(W24,AO24)*10000+SUM(Q24,AI24)*100+SUM(K24,AC24)+0.003,1,0)+IF(AV24*1000000+SUM(X24,AP24)*10000+SUM(R24,AJ24)*100+SUM(L24,AD24)+0.002&gt;AU24*1000000+SUM(W24,AO24)*10000+SUM(Q24,AI24)*100+SUM(K24,AC24)+0.003,1,0)+IF(AW24*1000000+SUM(Y24,AQ24)*10000+SUM(S24,AK24)*100+SUM(M24,AE24)+0.001&gt;AU24*1000000+SUM(W24,AO24)*10000+SUM(Q24,AI24)*100+SUM(K24,AC24)+0.003,1,0)=1,"S",IF(IF(AR24*1000000+SUM(T24,AL24)*10000+SUM(N24,AF24)*100+SUM(H24,Z24)+0.006&gt;AV24*1000000+SUM(X24,AP24)*10000+SUM(R24,AJ24)*100+SUM(L24,AD24)+0.002,1,0)+IF(AS24*1000000+SUM(U24,AM24)*10000+SUM(O24,AG24)*100+SUM(I24,AA24)+0.005&gt;AV24*1000000+SUM(X24,AP24)*10000+SUM(R24,AJ24)*100+SUM(L24,AD24)+0.002,1,0)+IF(AT24*1000000+SUM(V24,AN24)*10000+SUM(P24,AH24)*100+SUM(J24,AB24)+0.004&gt;AV24*1000000+SUM(X24,AP24)*10000+SUM(R24,AJ24)*100+SUM(L24,AD24)+0.002,1,0)+IF(AU24*1000000+SUM(W24,AO24)*10000+SUM(Q24,AI24)*100+SUM(K24,AC24)+0.003&gt;AV24*1000000+SUM(X24,AP24)*10000+SUM(R24,AJ24)*100+SUM(L24,AD24)+0.002,1,0)+IF(AW24*1000000+SUM(Y24,AQ24)*10000+SUM(S24,AK24)*100+SUM(M24,AE24)+0.001&gt;AV24*1000000+SUM(X24,AP24)*10000+SUM(R24,AJ24)*100+SUM(L24,AD24)+0.002,1,0)=1,"E",IF(IF(AR24*1000000+SUM(T24,AL24)*10000+SUM(N24,AF24)*100+SUM(H24,Z24)+0.006&gt;AW24*1000000+SUM(Y24,AQ24)*10000+SUM(S24,AK24)*100+SUM(M24,AE24)+0.001,1,0)+IF(AS24*1000000+SUM(U24,AM24)*10000+SUM(O24,AG24)*100+SUM(I24,AA24)+0.005&gt;AW24*1000000+SUM(Y24,AQ24)*10000+SUM(S24,AK24)*100+SUM(M24,AE24)+0.001,1,0)+IF(AT24*1000000+SUM(V24,AN24)*10000+SUM(P24,AH24)*100+SUM(J24,AB24)+0.004&gt;AW24*1000000+SUM(Y24,AQ24)*10000+SUM(S24,AK24)*100+SUM(M24,AE24)+0.001,1,0)+IF(AU24*1000000+SUM(W24,AO24)*10000+SUM(Q24,AI24)*100+SUM(K24,AC24)+0.003&gt;AW24*1000000+SUM(Y24,AQ24)*10000+SUM(S24,AK24)*100+SUM(M24,AE24)+0.001,1,0)+IF(AV24*1000000+SUM(X24,AP24)*10000+SUM(R24,AJ24)*100+SUM(L24,AD24)+0.002&gt;AW24*1000000+SUM(Y24,AQ24)*10000+SUM(S24,AK24)*100+SUM(M24,AE24)+0.001,1,0)=1,"C",""))))))&amp;IF(IF(AS24*1000000+SUM(U24,AM24)*10000+SUM(O24,AG24)*100+SUM(I24,AA24)+0.005&gt;AR24*1000000+SUM(T24,AL24)*10000+SUM(N24,AF24)*100+SUM(H24,Z24)+0.006,1,0)+IF(AT24*1000000+SUM(V24,AN24)*10000+SUM(P24,AH24)*100+SUM(J24,AB24)+0.004&gt;AR24*1000000+SUM(T24,AL24)*10000+SUM(N24,AF24)*100+SUM(H24,Z24)+0.006,1,0)+IF(AU24*1000000+SUM(W24,AO24)*10000+SUM(Q24,AI24)*100+SUM(K24,AC24)+0.003&gt;AR24*1000000+SUM(T24,AL24)*10000+SUM(N24,AF24)*100+SUM(H24,Z24)+0.006,1,0)+IF(AV24*1000000+SUM(X24,AP24)*10000+SUM(R24,AJ24)*100+SUM(L24,AD24)+0.002&gt;AR24*1000000+SUM(T24,AL24)*10000+SUM(N24,AF24)*100+SUM(H24,Z24)+0.006,1,0)+IF(AW24*1000000+SUM(Y24,AQ24)*10000+SUM(S24,AK24)*100+SUM(M24,AE24)+0.001&gt;AR24*1000000+SUM(T24,AL24)*10000+SUM(N24,AF24)*100+SUM(H24,Z24)+0.006,1,0)=2,"R",IF(IF(AR24*1000000+SUM(T24,AL24)*10000+SUM(N24,AF24)*100+SUM(H24,Z24)+0.006&gt;AS24*1000000+SUM(U24,AM24)*10000+SUM(O24,AG24)*100+SUM(I24,AA24)+0.005,1,0)+IF(AT24*1000000+SUM(V24,AN24)*10000+SUM(P24,AH24)*100+SUM(J24,AB24)+0.004&gt;AS24*1000000+SUM(U24,AM24)*10000+SUM(O24,AG24)*100+SUM(I24,AA24)+0.005,1,0)+IF(AU24*1000000+SUM(W24,AO24)*10000+SUM(Q24,AI24)*100+SUM(K24,AC24)+0.003&gt;AS24*1000000+SUM(U24,AM24)*10000+SUM(O24,AG24)*100+SUM(I24,AA24)+0.005,1,0)+IF(AV24*1000000+SUM(X24,AP24)*10000+SUM(R24,AJ24)*100+SUM(L24,AD24)+0.002&gt;AS24*1000000+SUM(U24,AM24)*10000+SUM(O24,AG24)*100+SUM(I24,AA24)+0.005,1,0)+IF(AW24*1000000+SUM(Y24,AQ24)*10000+SUM(S24,AK24)*100+SUM(M24,AE24)+0.001&gt;AS24*1000000+SUM(U24,AM24)*10000+SUM(O24,AG24)*100+SUM(I24,AA24)+0.005,1,0)=2,"I",IF(IF(AR24*1000000+SUM(T24,AL24)*10000+SUM(N24,AF24)*100+SUM(H24,Z24)+0.006&gt;AT24*1000000+SUM(V24,AN24)*10000+SUM(P24,AH24)*100+SUM(J24,AB24)+0.004,1,0)+IF(AS24*1000000+SUM(U24,AM24)*10000+SUM(O24,AG24)*100+SUM(I24,AA24)+0.005&gt;AT24*1000000+SUM(V24,AN24)*10000+SUM(P24,AH24)*100+SUM(J24,AB24)+0.004,1,0)+IF(AU24*1000000+SUM(W24,AO24)*10000+SUM(Q24,AI24)*100+SUM(K24,AC24)+0.003&gt;AT24*1000000+SUM(V24,AN24)*10000+SUM(P24,AH24)*100+SUM(J24,AB24)+0.004,1,0)+IF(AV24*1000000+SUM(X24,AP24)*10000+SUM(R24,AJ24)*100+SUM(L24,AD24)+0.002&gt;AT24*1000000+SUM(V24,AN24)*10000+SUM(P24,AH24)*100+SUM(J24,AB24)+0.004,1,0)+IF(AW24*1000000+SUM(Y24,AQ24)*10000+SUM(S24,AK24)*100+SUM(M24,AE24)+0.001&gt;AT24*1000000+SUM(V24,AN24)*10000+SUM(P24,AH24)*100+SUM(J24,AB24)+0.004,1,0)=2,"A",IF(IF(AR24*1000000+SUM(T24,AL24)*10000+SUM(N24,AF24)*100+SUM(H24,Z24)+0.006&gt;AU24*1000000+SUM(W24,AO24)*10000+SUM(Q24,AI24)*100+SUM(K24,AC24)+0.003,1,0)+IF(AS24*1000000+SUM(U24,AM24)*10000+SUM(O24,AG24)*100+SUM(I24,AA24)+0.005&gt;AU24*1000000+SUM(W24,AO24)*10000+SUM(Q24,AI24)*100+SUM(K24,AC24)+0.003,1,0)+IF(AT24*1000000+SUM(V24,AN24)*10000+SUM(P24,AH24)*100+SUM(J24,AB24)+0.004&gt;AU24*1000000+SUM(W24,AO24)*10000+SUM(Q24,AI24)*100+SUM(K24,AC24)+0.003,1,0)+IF(AV24*1000000+SUM(X24,AP24)*10000+SUM(R24,AJ24)*100+SUM(L24,AD24)+0.002&gt;AU24*1000000+SUM(W24,AO24)*10000+SUM(Q24,AI24)*100+SUM(K24,AC24)+0.003,1,0)+IF(AW24*1000000+SUM(Y24,AQ24)*10000+SUM(S24,AK24)*100+SUM(M24,AE24)+0.001&gt;AU24*1000000+SUM(W24,AO24)*10000+SUM(Q24,AI24)*100+SUM(K24,AC24)+0.003,1,0)=2,"S",IF(IF(AR24*1000000+SUM(T24,AL24)*10000+SUM(N24,AF24)*100+SUM(H24,Z24)+0.006&gt;AV24*1000000+SUM(X24,AP24)*10000+SUM(R24,AJ24)*100+SUM(L24,AD24)+0.002,1,0)+IF(AS24*1000000+SUM(U24,AM24)*10000+SUM(O24,AG24)*100+SUM(I24,AA24)+0.005&gt;AV24*1000000+SUM(X24,AP24)*10000+SUM(R24,AJ24)*100+SUM(L24,AD24)+0.002,1,0)+IF(AT24*1000000+SUM(V24,AN24)*10000+SUM(P24,AH24)*100+SUM(J24,AB24)+0.004&gt;AV24*1000000+SUM(X24,AP24)*10000+SUM(R24,AJ24)*100+SUM(L24,AD24)+0.002,1,0)+IF(AU24*1000000+SUM(W24,AO24)*10000+SUM(Q24,AI24)*100+SUM(K24,AC24)+0.003&gt;AV24*1000000+SUM(X24,AP24)*10000+SUM(R24,AJ24)*100+SUM(L24,AD24)+0.002,1,0)+IF(AW24*1000000+SUM(Y24,AQ24)*10000+SUM(S24,AK24)*100+SUM(M24,AE24)+0.001&gt;AV24*1000000+SUM(X24,AP24)*10000+SUM(R24,AJ24)*100+SUM(L24,AD24)+0.002,1,0)=2,"E",IF(IF(AR24*1000000+SUM(T24,AL24)*10000+SUM(N24,AF24)*100+SUM(H24,Z24)+0.006&gt;AW24*1000000+SUM(Y24,AQ24)*10000+SUM(S24,AK24)*100+SUM(M24,AE24)+0.001,1,0)+IF(AS24*1000000+SUM(U24,AM24)*10000+SUM(O24,AG24)*100+SUM(I24,AA24)+0.005&gt;AW24*1000000+SUM(Y24,AQ24)*10000+SUM(S24,AK24)*100+SUM(M24,AE24)+0.001,1,0)+IF(AT24*1000000+SUM(V24,AN24)*10000+SUM(P24,AH24)*100+SUM(J24,AB24)+0.004&gt;AW24*1000000+SUM(Y24,AQ24)*10000+SUM(S24,AK24)*100+SUM(M24,AE24)+0.001,1,0)+IF(AU24*1000000+SUM(W24,AO24)*10000+SUM(Q24,AI24)*100+SUM(K24,AC24)+0.003&gt;AW24*1000000+SUM(Y24,AQ24)*10000+SUM(S24,AK24)*100+SUM(M24,AE24)+0.001,1,0)+IF(AV24*1000000+SUM(X24,AP24)*10000+SUM(R24,AJ24)*100+SUM(L24,AD24)+0.002&gt;AW24*1000000+SUM(Y24,AQ24)*10000+SUM(S24,AK24)*100+SUM(M24,AE24)+0.001,1,0)=2,"C","")))))))</x:f>
      </x:c>
      <x:c r="AY24" s="27" t="str">
        <x:f>IF(C24="","",IF(LEFT(AX24,1)="R","นักปฏิบัติ",IF(LEFT(AX24,1)="I","นักคิดวิเคราะห์",IF(LEFT(AX24,1)="A","นักสร้างสรรค์",IF(LEFT(AX24,1)="S","ผู้เข้าใจผู้คน",IF(LEFT(AX24,1)="E","ผู้นำการเปลี่ยนแปลง","ผู้จัดระบบ"))))))</x:f>
      </x:c>
    </x:row>
    <x:row r="25">
      <x:c r="A25" s="27"/>
      <x:c r="B25" s="28"/>
      <x:c r="C25" s="27"/>
      <x:c r="D25" s="27"/>
      <x:c r="E25" s="27"/>
      <x:c r="F25" s="27"/>
      <x:c r="G25" s="27"/>
      <x:c r="H25" s="27"/>
      <x:c r="I25" s="27"/>
      <x:c r="J25" s="27"/>
      <x:c r="K25" s="27"/>
      <x:c r="L25" s="27"/>
      <x:c r="M25" s="27"/>
      <x:c r="N25" s="27"/>
      <x:c r="O25" s="27"/>
      <x:c r="P25" s="27"/>
      <x:c r="Q25" s="27"/>
      <x:c r="R25" s="27"/>
      <x:c r="S25" s="27"/>
      <x:c r="T25" s="27"/>
      <x:c r="U25" s="27"/>
      <x:c r="V25" s="27"/>
      <x:c r="W25" s="27"/>
      <x:c r="X25" s="27"/>
      <x:c r="Y25" s="27"/>
      <x:c r="Z25" s="27"/>
      <x:c r="AA25" s="27"/>
      <x:c r="AB25" s="27"/>
      <x:c r="AC25" s="27"/>
      <x:c r="AD25" s="27"/>
      <x:c r="AE25" s="27"/>
      <x:c r="AF25" s="27"/>
      <x:c r="AG25" s="27"/>
      <x:c r="AH25" s="27"/>
      <x:c r="AI25" s="27"/>
      <x:c r="AJ25" s="27"/>
      <x:c r="AK25" s="27"/>
      <x:c r="AL25" s="27"/>
      <x:c r="AM25" s="27"/>
      <x:c r="AN25" s="27"/>
      <x:c r="AO25" s="27"/>
      <x:c r="AP25" s="27"/>
      <x:c r="AQ25" s="27"/>
      <x:c r="AR25" s="27" t="str">
        <x:f>IF(C25="","",SUM(H25,N25,T25,Z25,AF25,AL25))</x:f>
      </x:c>
      <x:c r="AS25" s="27" t="str">
        <x:f>IF(C25="","",SUM(I25,O25,U25,AA25,AG25,AM25))</x:f>
      </x:c>
      <x:c r="AT25" s="27" t="str">
        <x:f>IF(C25="","",SUM(J25,P25,V25,AB25,AH25,AN25))</x:f>
      </x:c>
      <x:c r="AU25" s="27" t="str">
        <x:f>IF(C25="","",SUM(K25,Q25,W25,AC25,AI25,AO25))</x:f>
      </x:c>
      <x:c r="AV25" s="27" t="str">
        <x:f>IF(C25="","",SUM(L25,R25,X25,AD25,AJ25,AP25))</x:f>
      </x:c>
      <x:c r="AW25" s="27" t="str">
        <x:f>IF(C25="","",SUM(M25,S25,Y25,AE25,AK25,AQ25))</x:f>
      </x:c>
      <x:c r="AX25" s="27" t="str">
        <x:f>IF(C25="","",IF(IF(AS25*1000000+SUM(U25,AM25)*10000+SUM(O25,AG25)*100+SUM(I25,AA25)+0.005&gt;AR25*1000000+SUM(T25,AL25)*10000+SUM(N25,AF25)*100+SUM(H25,Z25)+0.006,1,0)+IF(AT25*1000000+SUM(V25,AN25)*10000+SUM(P25,AH25)*100+SUM(J25,AB25)+0.004&gt;AR25*1000000+SUM(T25,AL25)*10000+SUM(N25,AF25)*100+SUM(H25,Z25)+0.006,1,0)+IF(AU25*1000000+SUM(W25,AO25)*10000+SUM(Q25,AI25)*100+SUM(K25,AC25)+0.003&gt;AR25*1000000+SUM(T25,AL25)*10000+SUM(N25,AF25)*100+SUM(H25,Z25)+0.006,1,0)+IF(AV25*1000000+SUM(X25,AP25)*10000+SUM(R25,AJ25)*100+SUM(L25,AD25)+0.002&gt;AR25*1000000+SUM(T25,AL25)*10000+SUM(N25,AF25)*100+SUM(H25,Z25)+0.006,1,0)+IF(AW25*1000000+SUM(Y25,AQ25)*10000+SUM(S25,AK25)*100+SUM(M25,AE25)+0.001&gt;AR25*1000000+SUM(T25,AL25)*10000+SUM(N25,AF25)*100+SUM(H25,Z25)+0.006,1,0)=0,"R",IF(IF(AR25*1000000+SUM(T25,AL25)*10000+SUM(N25,AF25)*100+SUM(H25,Z25)+0.006&gt;AS25*1000000+SUM(U25,AM25)*10000+SUM(O25,AG25)*100+SUM(I25,AA25)+0.005,1,0)+IF(AT25*1000000+SUM(V25,AN25)*10000+SUM(P25,AH25)*100+SUM(J25,AB25)+0.004&gt;AS25*1000000+SUM(U25,AM25)*10000+SUM(O25,AG25)*100+SUM(I25,AA25)+0.005,1,0)+IF(AU25*1000000+SUM(W25,AO25)*10000+SUM(Q25,AI25)*100+SUM(K25,AC25)+0.003&gt;AS25*1000000+SUM(U25,AM25)*10000+SUM(O25,AG25)*100+SUM(I25,AA25)+0.005,1,0)+IF(AV25*1000000+SUM(X25,AP25)*10000+SUM(R25,AJ25)*100+SUM(L25,AD25)+0.002&gt;AS25*1000000+SUM(U25,AM25)*10000+SUM(O25,AG25)*100+SUM(I25,AA25)+0.005,1,0)+IF(AW25*1000000+SUM(Y25,AQ25)*10000+SUM(S25,AK25)*100+SUM(M25,AE25)+0.001&gt;AS25*1000000+SUM(U25,AM25)*10000+SUM(O25,AG25)*100+SUM(I25,AA25)+0.005,1,0)=0,"I",IF(IF(AR25*1000000+SUM(T25,AL25)*10000+SUM(N25,AF25)*100+SUM(H25,Z25)+0.006&gt;AT25*1000000+SUM(V25,AN25)*10000+SUM(P25,AH25)*100+SUM(J25,AB25)+0.004,1,0)+IF(AS25*1000000+SUM(U25,AM25)*10000+SUM(O25,AG25)*100+SUM(I25,AA25)+0.005&gt;AT25*1000000+SUM(V25,AN25)*10000+SUM(P25,AH25)*100+SUM(J25,AB25)+0.004,1,0)+IF(AU25*1000000+SUM(W25,AO25)*10000+SUM(Q25,AI25)*100+SUM(K25,AC25)+0.003&gt;AT25*1000000+SUM(V25,AN25)*10000+SUM(P25,AH25)*100+SUM(J25,AB25)+0.004,1,0)+IF(AV25*1000000+SUM(X25,AP25)*10000+SUM(R25,AJ25)*100+SUM(L25,AD25)+0.002&gt;AT25*1000000+SUM(V25,AN25)*10000+SUM(P25,AH25)*100+SUM(J25,AB25)+0.004,1,0)+IF(AW25*1000000+SUM(Y25,AQ25)*10000+SUM(S25,AK25)*100+SUM(M25,AE25)+0.001&gt;AT25*1000000+SUM(V25,AN25)*10000+SUM(P25,AH25)*100+SUM(J25,AB25)+0.004,1,0)=0,"A",IF(IF(AR25*1000000+SUM(T25,AL25)*10000+SUM(N25,AF25)*100+SUM(H25,Z25)+0.006&gt;AU25*1000000+SUM(W25,AO25)*10000+SUM(Q25,AI25)*100+SUM(K25,AC25)+0.003,1,0)+IF(AS25*1000000+SUM(U25,AM25)*10000+SUM(O25,AG25)*100+SUM(I25,AA25)+0.005&gt;AU25*1000000+SUM(W25,AO25)*10000+SUM(Q25,AI25)*100+SUM(K25,AC25)+0.003,1,0)+IF(AT25*1000000+SUM(V25,AN25)*10000+SUM(P25,AH25)*100+SUM(J25,AB25)+0.004&gt;AU25*1000000+SUM(W25,AO25)*10000+SUM(Q25,AI25)*100+SUM(K25,AC25)+0.003,1,0)+IF(AV25*1000000+SUM(X25,AP25)*10000+SUM(R25,AJ25)*100+SUM(L25,AD25)+0.002&gt;AU25*1000000+SUM(W25,AO25)*10000+SUM(Q25,AI25)*100+SUM(K25,AC25)+0.003,1,0)+IF(AW25*1000000+SUM(Y25,AQ25)*10000+SUM(S25,AK25)*100+SUM(M25,AE25)+0.001&gt;AU25*1000000+SUM(W25,AO25)*10000+SUM(Q25,AI25)*100+SUM(K25,AC25)+0.003,1,0)=0,"S",IF(IF(AR25*1000000+SUM(T25,AL25)*10000+SUM(N25,AF25)*100+SUM(H25,Z25)+0.006&gt;AV25*1000000+SUM(X25,AP25)*10000+SUM(R25,AJ25)*100+SUM(L25,AD25)+0.002,1,0)+IF(AS25*1000000+SUM(U25,AM25)*10000+SUM(O25,AG25)*100+SUM(I25,AA25)+0.005&gt;AV25*1000000+SUM(X25,AP25)*10000+SUM(R25,AJ25)*100+SUM(L25,AD25)+0.002,1,0)+IF(AT25*1000000+SUM(V25,AN25)*10000+SUM(P25,AH25)*100+SUM(J25,AB25)+0.004&gt;AV25*1000000+SUM(X25,AP25)*10000+SUM(R25,AJ25)*100+SUM(L25,AD25)+0.002,1,0)+IF(AU25*1000000+SUM(W25,AO25)*10000+SUM(Q25,AI25)*100+SUM(K25,AC25)+0.003&gt;AV25*1000000+SUM(X25,AP25)*10000+SUM(R25,AJ25)*100+SUM(L25,AD25)+0.002,1,0)+IF(AW25*1000000+SUM(Y25,AQ25)*10000+SUM(S25,AK25)*100+SUM(M25,AE25)+0.001&gt;AV25*1000000+SUM(X25,AP25)*10000+SUM(R25,AJ25)*100+SUM(L25,AD25)+0.002,1,0)=0,"E",IF(IF(AR25*1000000+SUM(T25,AL25)*10000+SUM(N25,AF25)*100+SUM(H25,Z25)+0.006&gt;AW25*1000000+SUM(Y25,AQ25)*10000+SUM(S25,AK25)*100+SUM(M25,AE25)+0.001,1,0)+IF(AS25*1000000+SUM(U25,AM25)*10000+SUM(O25,AG25)*100+SUM(I25,AA25)+0.005&gt;AW25*1000000+SUM(Y25,AQ25)*10000+SUM(S25,AK25)*100+SUM(M25,AE25)+0.001,1,0)+IF(AT25*1000000+SUM(V25,AN25)*10000+SUM(P25,AH25)*100+SUM(J25,AB25)+0.004&gt;AW25*1000000+SUM(Y25,AQ25)*10000+SUM(S25,AK25)*100+SUM(M25,AE25)+0.001,1,0)+IF(AU25*1000000+SUM(W25,AO25)*10000+SUM(Q25,AI25)*100+SUM(K25,AC25)+0.003&gt;AW25*1000000+SUM(Y25,AQ25)*10000+SUM(S25,AK25)*100+SUM(M25,AE25)+0.001,1,0)+IF(AV25*1000000+SUM(X25,AP25)*10000+SUM(R25,AJ25)*100+SUM(L25,AD25)+0.002&gt;AW25*1000000+SUM(Y25,AQ25)*10000+SUM(S25,AK25)*100+SUM(M25,AE25)+0.001,1,0)=0,"C",""))))))&amp;IF(IF(AS25*1000000+SUM(U25,AM25)*10000+SUM(O25,AG25)*100+SUM(I25,AA25)+0.005&gt;AR25*1000000+SUM(T25,AL25)*10000+SUM(N25,AF25)*100+SUM(H25,Z25)+0.006,1,0)+IF(AT25*1000000+SUM(V25,AN25)*10000+SUM(P25,AH25)*100+SUM(J25,AB25)+0.004&gt;AR25*1000000+SUM(T25,AL25)*10000+SUM(N25,AF25)*100+SUM(H25,Z25)+0.006,1,0)+IF(AU25*1000000+SUM(W25,AO25)*10000+SUM(Q25,AI25)*100+SUM(K25,AC25)+0.003&gt;AR25*1000000+SUM(T25,AL25)*10000+SUM(N25,AF25)*100+SUM(H25,Z25)+0.006,1,0)+IF(AV25*1000000+SUM(X25,AP25)*10000+SUM(R25,AJ25)*100+SUM(L25,AD25)+0.002&gt;AR25*1000000+SUM(T25,AL25)*10000+SUM(N25,AF25)*100+SUM(H25,Z25)+0.006,1,0)+IF(AW25*1000000+SUM(Y25,AQ25)*10000+SUM(S25,AK25)*100+SUM(M25,AE25)+0.001&gt;AR25*1000000+SUM(T25,AL25)*10000+SUM(N25,AF25)*100+SUM(H25,Z25)+0.006,1,0)=1,"R",IF(IF(AR25*1000000+SUM(T25,AL25)*10000+SUM(N25,AF25)*100+SUM(H25,Z25)+0.006&gt;AS25*1000000+SUM(U25,AM25)*10000+SUM(O25,AG25)*100+SUM(I25,AA25)+0.005,1,0)+IF(AT25*1000000+SUM(V25,AN25)*10000+SUM(P25,AH25)*100+SUM(J25,AB25)+0.004&gt;AS25*1000000+SUM(U25,AM25)*10000+SUM(O25,AG25)*100+SUM(I25,AA25)+0.005,1,0)+IF(AU25*1000000+SUM(W25,AO25)*10000+SUM(Q25,AI25)*100+SUM(K25,AC25)+0.003&gt;AS25*1000000+SUM(U25,AM25)*10000+SUM(O25,AG25)*100+SUM(I25,AA25)+0.005,1,0)+IF(AV25*1000000+SUM(X25,AP25)*10000+SUM(R25,AJ25)*100+SUM(L25,AD25)+0.002&gt;AS25*1000000+SUM(U25,AM25)*10000+SUM(O25,AG25)*100+SUM(I25,AA25)+0.005,1,0)+IF(AW25*1000000+SUM(Y25,AQ25)*10000+SUM(S25,AK25)*100+SUM(M25,AE25)+0.001&gt;AS25*1000000+SUM(U25,AM25)*10000+SUM(O25,AG25)*100+SUM(I25,AA25)+0.005,1,0)=1,"I",IF(IF(AR25*1000000+SUM(T25,AL25)*10000+SUM(N25,AF25)*100+SUM(H25,Z25)+0.006&gt;AT25*1000000+SUM(V25,AN25)*10000+SUM(P25,AH25)*100+SUM(J25,AB25)+0.004,1,0)+IF(AS25*1000000+SUM(U25,AM25)*10000+SUM(O25,AG25)*100+SUM(I25,AA25)+0.005&gt;AT25*1000000+SUM(V25,AN25)*10000+SUM(P25,AH25)*100+SUM(J25,AB25)+0.004,1,0)+IF(AU25*1000000+SUM(W25,AO25)*10000+SUM(Q25,AI25)*100+SUM(K25,AC25)+0.003&gt;AT25*1000000+SUM(V25,AN25)*10000+SUM(P25,AH25)*100+SUM(J25,AB25)+0.004,1,0)+IF(AV25*1000000+SUM(X25,AP25)*10000+SUM(R25,AJ25)*100+SUM(L25,AD25)+0.002&gt;AT25*1000000+SUM(V25,AN25)*10000+SUM(P25,AH25)*100+SUM(J25,AB25)+0.004,1,0)+IF(AW25*1000000+SUM(Y25,AQ25)*10000+SUM(S25,AK25)*100+SUM(M25,AE25)+0.001&gt;AT25*1000000+SUM(V25,AN25)*10000+SUM(P25,AH25)*100+SUM(J25,AB25)+0.004,1,0)=1,"A",IF(IF(AR25*1000000+SUM(T25,AL25)*10000+SUM(N25,AF25)*100+SUM(H25,Z25)+0.006&gt;AU25*1000000+SUM(W25,AO25)*10000+SUM(Q25,AI25)*100+SUM(K25,AC25)+0.003,1,0)+IF(AS25*1000000+SUM(U25,AM25)*10000+SUM(O25,AG25)*100+SUM(I25,AA25)+0.005&gt;AU25*1000000+SUM(W25,AO25)*10000+SUM(Q25,AI25)*100+SUM(K25,AC25)+0.003,1,0)+IF(AT25*1000000+SUM(V25,AN25)*10000+SUM(P25,AH25)*100+SUM(J25,AB25)+0.004&gt;AU25*1000000+SUM(W25,AO25)*10000+SUM(Q25,AI25)*100+SUM(K25,AC25)+0.003,1,0)+IF(AV25*1000000+SUM(X25,AP25)*10000+SUM(R25,AJ25)*100+SUM(L25,AD25)+0.002&gt;AU25*1000000+SUM(W25,AO25)*10000+SUM(Q25,AI25)*100+SUM(K25,AC25)+0.003,1,0)+IF(AW25*1000000+SUM(Y25,AQ25)*10000+SUM(S25,AK25)*100+SUM(M25,AE25)+0.001&gt;AU25*1000000+SUM(W25,AO25)*10000+SUM(Q25,AI25)*100+SUM(K25,AC25)+0.003,1,0)=1,"S",IF(IF(AR25*1000000+SUM(T25,AL25)*10000+SUM(N25,AF25)*100+SUM(H25,Z25)+0.006&gt;AV25*1000000+SUM(X25,AP25)*10000+SUM(R25,AJ25)*100+SUM(L25,AD25)+0.002,1,0)+IF(AS25*1000000+SUM(U25,AM25)*10000+SUM(O25,AG25)*100+SUM(I25,AA25)+0.005&gt;AV25*1000000+SUM(X25,AP25)*10000+SUM(R25,AJ25)*100+SUM(L25,AD25)+0.002,1,0)+IF(AT25*1000000+SUM(V25,AN25)*10000+SUM(P25,AH25)*100+SUM(J25,AB25)+0.004&gt;AV25*1000000+SUM(X25,AP25)*10000+SUM(R25,AJ25)*100+SUM(L25,AD25)+0.002,1,0)+IF(AU25*1000000+SUM(W25,AO25)*10000+SUM(Q25,AI25)*100+SUM(K25,AC25)+0.003&gt;AV25*1000000+SUM(X25,AP25)*10000+SUM(R25,AJ25)*100+SUM(L25,AD25)+0.002,1,0)+IF(AW25*1000000+SUM(Y25,AQ25)*10000+SUM(S25,AK25)*100+SUM(M25,AE25)+0.001&gt;AV25*1000000+SUM(X25,AP25)*10000+SUM(R25,AJ25)*100+SUM(L25,AD25)+0.002,1,0)=1,"E",IF(IF(AR25*1000000+SUM(T25,AL25)*10000+SUM(N25,AF25)*100+SUM(H25,Z25)+0.006&gt;AW25*1000000+SUM(Y25,AQ25)*10000+SUM(S25,AK25)*100+SUM(M25,AE25)+0.001,1,0)+IF(AS25*1000000+SUM(U25,AM25)*10000+SUM(O25,AG25)*100+SUM(I25,AA25)+0.005&gt;AW25*1000000+SUM(Y25,AQ25)*10000+SUM(S25,AK25)*100+SUM(M25,AE25)+0.001,1,0)+IF(AT25*1000000+SUM(V25,AN25)*10000+SUM(P25,AH25)*100+SUM(J25,AB25)+0.004&gt;AW25*1000000+SUM(Y25,AQ25)*10000+SUM(S25,AK25)*100+SUM(M25,AE25)+0.001,1,0)+IF(AU25*1000000+SUM(W25,AO25)*10000+SUM(Q25,AI25)*100+SUM(K25,AC25)+0.003&gt;AW25*1000000+SUM(Y25,AQ25)*10000+SUM(S25,AK25)*100+SUM(M25,AE25)+0.001,1,0)+IF(AV25*1000000+SUM(X25,AP25)*10000+SUM(R25,AJ25)*100+SUM(L25,AD25)+0.002&gt;AW25*1000000+SUM(Y25,AQ25)*10000+SUM(S25,AK25)*100+SUM(M25,AE25)+0.001,1,0)=1,"C",""))))))&amp;IF(IF(AS25*1000000+SUM(U25,AM25)*10000+SUM(O25,AG25)*100+SUM(I25,AA25)+0.005&gt;AR25*1000000+SUM(T25,AL25)*10000+SUM(N25,AF25)*100+SUM(H25,Z25)+0.006,1,0)+IF(AT25*1000000+SUM(V25,AN25)*10000+SUM(P25,AH25)*100+SUM(J25,AB25)+0.004&gt;AR25*1000000+SUM(T25,AL25)*10000+SUM(N25,AF25)*100+SUM(H25,Z25)+0.006,1,0)+IF(AU25*1000000+SUM(W25,AO25)*10000+SUM(Q25,AI25)*100+SUM(K25,AC25)+0.003&gt;AR25*1000000+SUM(T25,AL25)*10000+SUM(N25,AF25)*100+SUM(H25,Z25)+0.006,1,0)+IF(AV25*1000000+SUM(X25,AP25)*10000+SUM(R25,AJ25)*100+SUM(L25,AD25)+0.002&gt;AR25*1000000+SUM(T25,AL25)*10000+SUM(N25,AF25)*100+SUM(H25,Z25)+0.006,1,0)+IF(AW25*1000000+SUM(Y25,AQ25)*10000+SUM(S25,AK25)*100+SUM(M25,AE25)+0.001&gt;AR25*1000000+SUM(T25,AL25)*10000+SUM(N25,AF25)*100+SUM(H25,Z25)+0.006,1,0)=2,"R",IF(IF(AR25*1000000+SUM(T25,AL25)*10000+SUM(N25,AF25)*100+SUM(H25,Z25)+0.006&gt;AS25*1000000+SUM(U25,AM25)*10000+SUM(O25,AG25)*100+SUM(I25,AA25)+0.005,1,0)+IF(AT25*1000000+SUM(V25,AN25)*10000+SUM(P25,AH25)*100+SUM(J25,AB25)+0.004&gt;AS25*1000000+SUM(U25,AM25)*10000+SUM(O25,AG25)*100+SUM(I25,AA25)+0.005,1,0)+IF(AU25*1000000+SUM(W25,AO25)*10000+SUM(Q25,AI25)*100+SUM(K25,AC25)+0.003&gt;AS25*1000000+SUM(U25,AM25)*10000+SUM(O25,AG25)*100+SUM(I25,AA25)+0.005,1,0)+IF(AV25*1000000+SUM(X25,AP25)*10000+SUM(R25,AJ25)*100+SUM(L25,AD25)+0.002&gt;AS25*1000000+SUM(U25,AM25)*10000+SUM(O25,AG25)*100+SUM(I25,AA25)+0.005,1,0)+IF(AW25*1000000+SUM(Y25,AQ25)*10000+SUM(S25,AK25)*100+SUM(M25,AE25)+0.001&gt;AS25*1000000+SUM(U25,AM25)*10000+SUM(O25,AG25)*100+SUM(I25,AA25)+0.005,1,0)=2,"I",IF(IF(AR25*1000000+SUM(T25,AL25)*10000+SUM(N25,AF25)*100+SUM(H25,Z25)+0.006&gt;AT25*1000000+SUM(V25,AN25)*10000+SUM(P25,AH25)*100+SUM(J25,AB25)+0.004,1,0)+IF(AS25*1000000+SUM(U25,AM25)*10000+SUM(O25,AG25)*100+SUM(I25,AA25)+0.005&gt;AT25*1000000+SUM(V25,AN25)*10000+SUM(P25,AH25)*100+SUM(J25,AB25)+0.004,1,0)+IF(AU25*1000000+SUM(W25,AO25)*10000+SUM(Q25,AI25)*100+SUM(K25,AC25)+0.003&gt;AT25*1000000+SUM(V25,AN25)*10000+SUM(P25,AH25)*100+SUM(J25,AB25)+0.004,1,0)+IF(AV25*1000000+SUM(X25,AP25)*10000+SUM(R25,AJ25)*100+SUM(L25,AD25)+0.002&gt;AT25*1000000+SUM(V25,AN25)*10000+SUM(P25,AH25)*100+SUM(J25,AB25)+0.004,1,0)+IF(AW25*1000000+SUM(Y25,AQ25)*10000+SUM(S25,AK25)*100+SUM(M25,AE25)+0.001&gt;AT25*1000000+SUM(V25,AN25)*10000+SUM(P25,AH25)*100+SUM(J25,AB25)+0.004,1,0)=2,"A",IF(IF(AR25*1000000+SUM(T25,AL25)*10000+SUM(N25,AF25)*100+SUM(H25,Z25)+0.006&gt;AU25*1000000+SUM(W25,AO25)*10000+SUM(Q25,AI25)*100+SUM(K25,AC25)+0.003,1,0)+IF(AS25*1000000+SUM(U25,AM25)*10000+SUM(O25,AG25)*100+SUM(I25,AA25)+0.005&gt;AU25*1000000+SUM(W25,AO25)*10000+SUM(Q25,AI25)*100+SUM(K25,AC25)+0.003,1,0)+IF(AT25*1000000+SUM(V25,AN25)*10000+SUM(P25,AH25)*100+SUM(J25,AB25)+0.004&gt;AU25*1000000+SUM(W25,AO25)*10000+SUM(Q25,AI25)*100+SUM(K25,AC25)+0.003,1,0)+IF(AV25*1000000+SUM(X25,AP25)*10000+SUM(R25,AJ25)*100+SUM(L25,AD25)+0.002&gt;AU25*1000000+SUM(W25,AO25)*10000+SUM(Q25,AI25)*100+SUM(K25,AC25)+0.003,1,0)+IF(AW25*1000000+SUM(Y25,AQ25)*10000+SUM(S25,AK25)*100+SUM(M25,AE25)+0.001&gt;AU25*1000000+SUM(W25,AO25)*10000+SUM(Q25,AI25)*100+SUM(K25,AC25)+0.003,1,0)=2,"S",IF(IF(AR25*1000000+SUM(T25,AL25)*10000+SUM(N25,AF25)*100+SUM(H25,Z25)+0.006&gt;AV25*1000000+SUM(X25,AP25)*10000+SUM(R25,AJ25)*100+SUM(L25,AD25)+0.002,1,0)+IF(AS25*1000000+SUM(U25,AM25)*10000+SUM(O25,AG25)*100+SUM(I25,AA25)+0.005&gt;AV25*1000000+SUM(X25,AP25)*10000+SUM(R25,AJ25)*100+SUM(L25,AD25)+0.002,1,0)+IF(AT25*1000000+SUM(V25,AN25)*10000+SUM(P25,AH25)*100+SUM(J25,AB25)+0.004&gt;AV25*1000000+SUM(X25,AP25)*10000+SUM(R25,AJ25)*100+SUM(L25,AD25)+0.002,1,0)+IF(AU25*1000000+SUM(W25,AO25)*10000+SUM(Q25,AI25)*100+SUM(K25,AC25)+0.003&gt;AV25*1000000+SUM(X25,AP25)*10000+SUM(R25,AJ25)*100+SUM(L25,AD25)+0.002,1,0)+IF(AW25*1000000+SUM(Y25,AQ25)*10000+SUM(S25,AK25)*100+SUM(M25,AE25)+0.001&gt;AV25*1000000+SUM(X25,AP25)*10000+SUM(R25,AJ25)*100+SUM(L25,AD25)+0.002,1,0)=2,"E",IF(IF(AR25*1000000+SUM(T25,AL25)*10000+SUM(N25,AF25)*100+SUM(H25,Z25)+0.006&gt;AW25*1000000+SUM(Y25,AQ25)*10000+SUM(S25,AK25)*100+SUM(M25,AE25)+0.001,1,0)+IF(AS25*1000000+SUM(U25,AM25)*10000+SUM(O25,AG25)*100+SUM(I25,AA25)+0.005&gt;AW25*1000000+SUM(Y25,AQ25)*10000+SUM(S25,AK25)*100+SUM(M25,AE25)+0.001,1,0)+IF(AT25*1000000+SUM(V25,AN25)*10000+SUM(P25,AH25)*100+SUM(J25,AB25)+0.004&gt;AW25*1000000+SUM(Y25,AQ25)*10000+SUM(S25,AK25)*100+SUM(M25,AE25)+0.001,1,0)+IF(AU25*1000000+SUM(W25,AO25)*10000+SUM(Q25,AI25)*100+SUM(K25,AC25)+0.003&gt;AW25*1000000+SUM(Y25,AQ25)*10000+SUM(S25,AK25)*100+SUM(M25,AE25)+0.001,1,0)+IF(AV25*1000000+SUM(X25,AP25)*10000+SUM(R25,AJ25)*100+SUM(L25,AD25)+0.002&gt;AW25*1000000+SUM(Y25,AQ25)*10000+SUM(S25,AK25)*100+SUM(M25,AE25)+0.001,1,0)=2,"C","")))))))</x:f>
      </x:c>
      <x:c r="AY25" s="27" t="str">
        <x:f>IF(C25="","",IF(LEFT(AX25,1)="R","นักปฏิบัติ",IF(LEFT(AX25,1)="I","นักคิดวิเคราะห์",IF(LEFT(AX25,1)="A","นักสร้างสรรค์",IF(LEFT(AX25,1)="S","ผู้เข้าใจผู้คน",IF(LEFT(AX25,1)="E","ผู้นำการเปลี่ยนแปลง","ผู้จัดระบบ"))))))</x:f>
      </x:c>
    </x:row>
    <x:row r="26">
      <x:c r="A26" s="27"/>
      <x:c r="B26" s="28"/>
      <x:c r="C26" s="27"/>
      <x:c r="D26" s="27"/>
      <x:c r="E26" s="27"/>
      <x:c r="F26" s="27"/>
      <x:c r="G26" s="27"/>
      <x:c r="H26" s="27"/>
      <x:c r="I26" s="27"/>
      <x:c r="J26" s="27"/>
      <x:c r="K26" s="27"/>
      <x:c r="L26" s="27"/>
      <x:c r="M26" s="27"/>
      <x:c r="N26" s="27"/>
      <x:c r="O26" s="27"/>
      <x:c r="P26" s="27"/>
      <x:c r="Q26" s="27"/>
      <x:c r="R26" s="27"/>
      <x:c r="S26" s="27"/>
      <x:c r="T26" s="27"/>
      <x:c r="U26" s="27"/>
      <x:c r="V26" s="27"/>
      <x:c r="W26" s="27"/>
      <x:c r="X26" s="27"/>
      <x:c r="Y26" s="27"/>
      <x:c r="Z26" s="27"/>
      <x:c r="AA26" s="27"/>
      <x:c r="AB26" s="27"/>
      <x:c r="AC26" s="27"/>
      <x:c r="AD26" s="27"/>
      <x:c r="AE26" s="27"/>
      <x:c r="AF26" s="27"/>
      <x:c r="AG26" s="27"/>
      <x:c r="AH26" s="27"/>
      <x:c r="AI26" s="27"/>
      <x:c r="AJ26" s="27"/>
      <x:c r="AK26" s="27"/>
      <x:c r="AL26" s="27"/>
      <x:c r="AM26" s="27"/>
      <x:c r="AN26" s="27"/>
      <x:c r="AO26" s="27"/>
      <x:c r="AP26" s="27"/>
      <x:c r="AQ26" s="27"/>
      <x:c r="AR26" s="27" t="str">
        <x:f>IF(C26="","",SUM(H26,N26,T26,Z26,AF26,AL26))</x:f>
      </x:c>
      <x:c r="AS26" s="27" t="str">
        <x:f>IF(C26="","",SUM(I26,O26,U26,AA26,AG26,AM26))</x:f>
      </x:c>
      <x:c r="AT26" s="27" t="str">
        <x:f>IF(C26="","",SUM(J26,P26,V26,AB26,AH26,AN26))</x:f>
      </x:c>
      <x:c r="AU26" s="27" t="str">
        <x:f>IF(C26="","",SUM(K26,Q26,W26,AC26,AI26,AO26))</x:f>
      </x:c>
      <x:c r="AV26" s="27" t="str">
        <x:f>IF(C26="","",SUM(L26,R26,X26,AD26,AJ26,AP26))</x:f>
      </x:c>
      <x:c r="AW26" s="27" t="str">
        <x:f>IF(C26="","",SUM(M26,S26,Y26,AE26,AK26,AQ26))</x:f>
      </x:c>
      <x:c r="AX26" s="27" t="str">
        <x:f>IF(C26="","",IF(IF(AS26*1000000+SUM(U26,AM26)*10000+SUM(O26,AG26)*100+SUM(I26,AA26)+0.005&gt;AR26*1000000+SUM(T26,AL26)*10000+SUM(N26,AF26)*100+SUM(H26,Z26)+0.006,1,0)+IF(AT26*1000000+SUM(V26,AN26)*10000+SUM(P26,AH26)*100+SUM(J26,AB26)+0.004&gt;AR26*1000000+SUM(T26,AL26)*10000+SUM(N26,AF26)*100+SUM(H26,Z26)+0.006,1,0)+IF(AU26*1000000+SUM(W26,AO26)*10000+SUM(Q26,AI26)*100+SUM(K26,AC26)+0.003&gt;AR26*1000000+SUM(T26,AL26)*10000+SUM(N26,AF26)*100+SUM(H26,Z26)+0.006,1,0)+IF(AV26*1000000+SUM(X26,AP26)*10000+SUM(R26,AJ26)*100+SUM(L26,AD26)+0.002&gt;AR26*1000000+SUM(T26,AL26)*10000+SUM(N26,AF26)*100+SUM(H26,Z26)+0.006,1,0)+IF(AW26*1000000+SUM(Y26,AQ26)*10000+SUM(S26,AK26)*100+SUM(M26,AE26)+0.001&gt;AR26*1000000+SUM(T26,AL26)*10000+SUM(N26,AF26)*100+SUM(H26,Z26)+0.006,1,0)=0,"R",IF(IF(AR26*1000000+SUM(T26,AL26)*10000+SUM(N26,AF26)*100+SUM(H26,Z26)+0.006&gt;AS26*1000000+SUM(U26,AM26)*10000+SUM(O26,AG26)*100+SUM(I26,AA26)+0.005,1,0)+IF(AT26*1000000+SUM(V26,AN26)*10000+SUM(P26,AH26)*100+SUM(J26,AB26)+0.004&gt;AS26*1000000+SUM(U26,AM26)*10000+SUM(O26,AG26)*100+SUM(I26,AA26)+0.005,1,0)+IF(AU26*1000000+SUM(W26,AO26)*10000+SUM(Q26,AI26)*100+SUM(K26,AC26)+0.003&gt;AS26*1000000+SUM(U26,AM26)*10000+SUM(O26,AG26)*100+SUM(I26,AA26)+0.005,1,0)+IF(AV26*1000000+SUM(X26,AP26)*10000+SUM(R26,AJ26)*100+SUM(L26,AD26)+0.002&gt;AS26*1000000+SUM(U26,AM26)*10000+SUM(O26,AG26)*100+SUM(I26,AA26)+0.005,1,0)+IF(AW26*1000000+SUM(Y26,AQ26)*10000+SUM(S26,AK26)*100+SUM(M26,AE26)+0.001&gt;AS26*1000000+SUM(U26,AM26)*10000+SUM(O26,AG26)*100+SUM(I26,AA26)+0.005,1,0)=0,"I",IF(IF(AR26*1000000+SUM(T26,AL26)*10000+SUM(N26,AF26)*100+SUM(H26,Z26)+0.006&gt;AT26*1000000+SUM(V26,AN26)*10000+SUM(P26,AH26)*100+SUM(J26,AB26)+0.004,1,0)+IF(AS26*1000000+SUM(U26,AM26)*10000+SUM(O26,AG26)*100+SUM(I26,AA26)+0.005&gt;AT26*1000000+SUM(V26,AN26)*10000+SUM(P26,AH26)*100+SUM(J26,AB26)+0.004,1,0)+IF(AU26*1000000+SUM(W26,AO26)*10000+SUM(Q26,AI26)*100+SUM(K26,AC26)+0.003&gt;AT26*1000000+SUM(V26,AN26)*10000+SUM(P26,AH26)*100+SUM(J26,AB26)+0.004,1,0)+IF(AV26*1000000+SUM(X26,AP26)*10000+SUM(R26,AJ26)*100+SUM(L26,AD26)+0.002&gt;AT26*1000000+SUM(V26,AN26)*10000+SUM(P26,AH26)*100+SUM(J26,AB26)+0.004,1,0)+IF(AW26*1000000+SUM(Y26,AQ26)*10000+SUM(S26,AK26)*100+SUM(M26,AE26)+0.001&gt;AT26*1000000+SUM(V26,AN26)*10000+SUM(P26,AH26)*100+SUM(J26,AB26)+0.004,1,0)=0,"A",IF(IF(AR26*1000000+SUM(T26,AL26)*10000+SUM(N26,AF26)*100+SUM(H26,Z26)+0.006&gt;AU26*1000000+SUM(W26,AO26)*10000+SUM(Q26,AI26)*100+SUM(K26,AC26)+0.003,1,0)+IF(AS26*1000000+SUM(U26,AM26)*10000+SUM(O26,AG26)*100+SUM(I26,AA26)+0.005&gt;AU26*1000000+SUM(W26,AO26)*10000+SUM(Q26,AI26)*100+SUM(K26,AC26)+0.003,1,0)+IF(AT26*1000000+SUM(V26,AN26)*10000+SUM(P26,AH26)*100+SUM(J26,AB26)+0.004&gt;AU26*1000000+SUM(W26,AO26)*10000+SUM(Q26,AI26)*100+SUM(K26,AC26)+0.003,1,0)+IF(AV26*1000000+SUM(X26,AP26)*10000+SUM(R26,AJ26)*100+SUM(L26,AD26)+0.002&gt;AU26*1000000+SUM(W26,AO26)*10000+SUM(Q26,AI26)*100+SUM(K26,AC26)+0.003,1,0)+IF(AW26*1000000+SUM(Y26,AQ26)*10000+SUM(S26,AK26)*100+SUM(M26,AE26)+0.001&gt;AU26*1000000+SUM(W26,AO26)*10000+SUM(Q26,AI26)*100+SUM(K26,AC26)+0.003,1,0)=0,"S",IF(IF(AR26*1000000+SUM(T26,AL26)*10000+SUM(N26,AF26)*100+SUM(H26,Z26)+0.006&gt;AV26*1000000+SUM(X26,AP26)*10000+SUM(R26,AJ26)*100+SUM(L26,AD26)+0.002,1,0)+IF(AS26*1000000+SUM(U26,AM26)*10000+SUM(O26,AG26)*100+SUM(I26,AA26)+0.005&gt;AV26*1000000+SUM(X26,AP26)*10000+SUM(R26,AJ26)*100+SUM(L26,AD26)+0.002,1,0)+IF(AT26*1000000+SUM(V26,AN26)*10000+SUM(P26,AH26)*100+SUM(J26,AB26)+0.004&gt;AV26*1000000+SUM(X26,AP26)*10000+SUM(R26,AJ26)*100+SUM(L26,AD26)+0.002,1,0)+IF(AU26*1000000+SUM(W26,AO26)*10000+SUM(Q26,AI26)*100+SUM(K26,AC26)+0.003&gt;AV26*1000000+SUM(X26,AP26)*10000+SUM(R26,AJ26)*100+SUM(L26,AD26)+0.002,1,0)+IF(AW26*1000000+SUM(Y26,AQ26)*10000+SUM(S26,AK26)*100+SUM(M26,AE26)+0.001&gt;AV26*1000000+SUM(X26,AP26)*10000+SUM(R26,AJ26)*100+SUM(L26,AD26)+0.002,1,0)=0,"E",IF(IF(AR26*1000000+SUM(T26,AL26)*10000+SUM(N26,AF26)*100+SUM(H26,Z26)+0.006&gt;AW26*1000000+SUM(Y26,AQ26)*10000+SUM(S26,AK26)*100+SUM(M26,AE26)+0.001,1,0)+IF(AS26*1000000+SUM(U26,AM26)*10000+SUM(O26,AG26)*100+SUM(I26,AA26)+0.005&gt;AW26*1000000+SUM(Y26,AQ26)*10000+SUM(S26,AK26)*100+SUM(M26,AE26)+0.001,1,0)+IF(AT26*1000000+SUM(V26,AN26)*10000+SUM(P26,AH26)*100+SUM(J26,AB26)+0.004&gt;AW26*1000000+SUM(Y26,AQ26)*10000+SUM(S26,AK26)*100+SUM(M26,AE26)+0.001,1,0)+IF(AU26*1000000+SUM(W26,AO26)*10000+SUM(Q26,AI26)*100+SUM(K26,AC26)+0.003&gt;AW26*1000000+SUM(Y26,AQ26)*10000+SUM(S26,AK26)*100+SUM(M26,AE26)+0.001,1,0)+IF(AV26*1000000+SUM(X26,AP26)*10000+SUM(R26,AJ26)*100+SUM(L26,AD26)+0.002&gt;AW26*1000000+SUM(Y26,AQ26)*10000+SUM(S26,AK26)*100+SUM(M26,AE26)+0.001,1,0)=0,"C",""))))))&amp;IF(IF(AS26*1000000+SUM(U26,AM26)*10000+SUM(O26,AG26)*100+SUM(I26,AA26)+0.005&gt;AR26*1000000+SUM(T26,AL26)*10000+SUM(N26,AF26)*100+SUM(H26,Z26)+0.006,1,0)+IF(AT26*1000000+SUM(V26,AN26)*10000+SUM(P26,AH26)*100+SUM(J26,AB26)+0.004&gt;AR26*1000000+SUM(T26,AL26)*10000+SUM(N26,AF26)*100+SUM(H26,Z26)+0.006,1,0)+IF(AU26*1000000+SUM(W26,AO26)*10000+SUM(Q26,AI26)*100+SUM(K26,AC26)+0.003&gt;AR26*1000000+SUM(T26,AL26)*10000+SUM(N26,AF26)*100+SUM(H26,Z26)+0.006,1,0)+IF(AV26*1000000+SUM(X26,AP26)*10000+SUM(R26,AJ26)*100+SUM(L26,AD26)+0.002&gt;AR26*1000000+SUM(T26,AL26)*10000+SUM(N26,AF26)*100+SUM(H26,Z26)+0.006,1,0)+IF(AW26*1000000+SUM(Y26,AQ26)*10000+SUM(S26,AK26)*100+SUM(M26,AE26)+0.001&gt;AR26*1000000+SUM(T26,AL26)*10000+SUM(N26,AF26)*100+SUM(H26,Z26)+0.006,1,0)=1,"R",IF(IF(AR26*1000000+SUM(T26,AL26)*10000+SUM(N26,AF26)*100+SUM(H26,Z26)+0.006&gt;AS26*1000000+SUM(U26,AM26)*10000+SUM(O26,AG26)*100+SUM(I26,AA26)+0.005,1,0)+IF(AT26*1000000+SUM(V26,AN26)*10000+SUM(P26,AH26)*100+SUM(J26,AB26)+0.004&gt;AS26*1000000+SUM(U26,AM26)*10000+SUM(O26,AG26)*100+SUM(I26,AA26)+0.005,1,0)+IF(AU26*1000000+SUM(W26,AO26)*10000+SUM(Q26,AI26)*100+SUM(K26,AC26)+0.003&gt;AS26*1000000+SUM(U26,AM26)*10000+SUM(O26,AG26)*100+SUM(I26,AA26)+0.005,1,0)+IF(AV26*1000000+SUM(X26,AP26)*10000+SUM(R26,AJ26)*100+SUM(L26,AD26)+0.002&gt;AS26*1000000+SUM(U26,AM26)*10000+SUM(O26,AG26)*100+SUM(I26,AA26)+0.005,1,0)+IF(AW26*1000000+SUM(Y26,AQ26)*10000+SUM(S26,AK26)*100+SUM(M26,AE26)+0.001&gt;AS26*1000000+SUM(U26,AM26)*10000+SUM(O26,AG26)*100+SUM(I26,AA26)+0.005,1,0)=1,"I",IF(IF(AR26*1000000+SUM(T26,AL26)*10000+SUM(N26,AF26)*100+SUM(H26,Z26)+0.006&gt;AT26*1000000+SUM(V26,AN26)*10000+SUM(P26,AH26)*100+SUM(J26,AB26)+0.004,1,0)+IF(AS26*1000000+SUM(U26,AM26)*10000+SUM(O26,AG26)*100+SUM(I26,AA26)+0.005&gt;AT26*1000000+SUM(V26,AN26)*10000+SUM(P26,AH26)*100+SUM(J26,AB26)+0.004,1,0)+IF(AU26*1000000+SUM(W26,AO26)*10000+SUM(Q26,AI26)*100+SUM(K26,AC26)+0.003&gt;AT26*1000000+SUM(V26,AN26)*10000+SUM(P26,AH26)*100+SUM(J26,AB26)+0.004,1,0)+IF(AV26*1000000+SUM(X26,AP26)*10000+SUM(R26,AJ26)*100+SUM(L26,AD26)+0.002&gt;AT26*1000000+SUM(V26,AN26)*10000+SUM(P26,AH26)*100+SUM(J26,AB26)+0.004,1,0)+IF(AW26*1000000+SUM(Y26,AQ26)*10000+SUM(S26,AK26)*100+SUM(M26,AE26)+0.001&gt;AT26*1000000+SUM(V26,AN26)*10000+SUM(P26,AH26)*100+SUM(J26,AB26)+0.004,1,0)=1,"A",IF(IF(AR26*1000000+SUM(T26,AL26)*10000+SUM(N26,AF26)*100+SUM(H26,Z26)+0.006&gt;AU26*1000000+SUM(W26,AO26)*10000+SUM(Q26,AI26)*100+SUM(K26,AC26)+0.003,1,0)+IF(AS26*1000000+SUM(U26,AM26)*10000+SUM(O26,AG26)*100+SUM(I26,AA26)+0.005&gt;AU26*1000000+SUM(W26,AO26)*10000+SUM(Q26,AI26)*100+SUM(K26,AC26)+0.003,1,0)+IF(AT26*1000000+SUM(V26,AN26)*10000+SUM(P26,AH26)*100+SUM(J26,AB26)+0.004&gt;AU26*1000000+SUM(W26,AO26)*10000+SUM(Q26,AI26)*100+SUM(K26,AC26)+0.003,1,0)+IF(AV26*1000000+SUM(X26,AP26)*10000+SUM(R26,AJ26)*100+SUM(L26,AD26)+0.002&gt;AU26*1000000+SUM(W26,AO26)*10000+SUM(Q26,AI26)*100+SUM(K26,AC26)+0.003,1,0)+IF(AW26*1000000+SUM(Y26,AQ26)*10000+SUM(S26,AK26)*100+SUM(M26,AE26)+0.001&gt;AU26*1000000+SUM(W26,AO26)*10000+SUM(Q26,AI26)*100+SUM(K26,AC26)+0.003,1,0)=1,"S",IF(IF(AR26*1000000+SUM(T26,AL26)*10000+SUM(N26,AF26)*100+SUM(H26,Z26)+0.006&gt;AV26*1000000+SUM(X26,AP26)*10000+SUM(R26,AJ26)*100+SUM(L26,AD26)+0.002,1,0)+IF(AS26*1000000+SUM(U26,AM26)*10000+SUM(O26,AG26)*100+SUM(I26,AA26)+0.005&gt;AV26*1000000+SUM(X26,AP26)*10000+SUM(R26,AJ26)*100+SUM(L26,AD26)+0.002,1,0)+IF(AT26*1000000+SUM(V26,AN26)*10000+SUM(P26,AH26)*100+SUM(J26,AB26)+0.004&gt;AV26*1000000+SUM(X26,AP26)*10000+SUM(R26,AJ26)*100+SUM(L26,AD26)+0.002,1,0)+IF(AU26*1000000+SUM(W26,AO26)*10000+SUM(Q26,AI26)*100+SUM(K26,AC26)+0.003&gt;AV26*1000000+SUM(X26,AP26)*10000+SUM(R26,AJ26)*100+SUM(L26,AD26)+0.002,1,0)+IF(AW26*1000000+SUM(Y26,AQ26)*10000+SUM(S26,AK26)*100+SUM(M26,AE26)+0.001&gt;AV26*1000000+SUM(X26,AP26)*10000+SUM(R26,AJ26)*100+SUM(L26,AD26)+0.002,1,0)=1,"E",IF(IF(AR26*1000000+SUM(T26,AL26)*10000+SUM(N26,AF26)*100+SUM(H26,Z26)+0.006&gt;AW26*1000000+SUM(Y26,AQ26)*10000+SUM(S26,AK26)*100+SUM(M26,AE26)+0.001,1,0)+IF(AS26*1000000+SUM(U26,AM26)*10000+SUM(O26,AG26)*100+SUM(I26,AA26)+0.005&gt;AW26*1000000+SUM(Y26,AQ26)*10000+SUM(S26,AK26)*100+SUM(M26,AE26)+0.001,1,0)+IF(AT26*1000000+SUM(V26,AN26)*10000+SUM(P26,AH26)*100+SUM(J26,AB26)+0.004&gt;AW26*1000000+SUM(Y26,AQ26)*10000+SUM(S26,AK26)*100+SUM(M26,AE26)+0.001,1,0)+IF(AU26*1000000+SUM(W26,AO26)*10000+SUM(Q26,AI26)*100+SUM(K26,AC26)+0.003&gt;AW26*1000000+SUM(Y26,AQ26)*10000+SUM(S26,AK26)*100+SUM(M26,AE26)+0.001,1,0)+IF(AV26*1000000+SUM(X26,AP26)*10000+SUM(R26,AJ26)*100+SUM(L26,AD26)+0.002&gt;AW26*1000000+SUM(Y26,AQ26)*10000+SUM(S26,AK26)*100+SUM(M26,AE26)+0.001,1,0)=1,"C",""))))))&amp;IF(IF(AS26*1000000+SUM(U26,AM26)*10000+SUM(O26,AG26)*100+SUM(I26,AA26)+0.005&gt;AR26*1000000+SUM(T26,AL26)*10000+SUM(N26,AF26)*100+SUM(H26,Z26)+0.006,1,0)+IF(AT26*1000000+SUM(V26,AN26)*10000+SUM(P26,AH26)*100+SUM(J26,AB26)+0.004&gt;AR26*1000000+SUM(T26,AL26)*10000+SUM(N26,AF26)*100+SUM(H26,Z26)+0.006,1,0)+IF(AU26*1000000+SUM(W26,AO26)*10000+SUM(Q26,AI26)*100+SUM(K26,AC26)+0.003&gt;AR26*1000000+SUM(T26,AL26)*10000+SUM(N26,AF26)*100+SUM(H26,Z26)+0.006,1,0)+IF(AV26*1000000+SUM(X26,AP26)*10000+SUM(R26,AJ26)*100+SUM(L26,AD26)+0.002&gt;AR26*1000000+SUM(T26,AL26)*10000+SUM(N26,AF26)*100+SUM(H26,Z26)+0.006,1,0)+IF(AW26*1000000+SUM(Y26,AQ26)*10000+SUM(S26,AK26)*100+SUM(M26,AE26)+0.001&gt;AR26*1000000+SUM(T26,AL26)*10000+SUM(N26,AF26)*100+SUM(H26,Z26)+0.006,1,0)=2,"R",IF(IF(AR26*1000000+SUM(T26,AL26)*10000+SUM(N26,AF26)*100+SUM(H26,Z26)+0.006&gt;AS26*1000000+SUM(U26,AM26)*10000+SUM(O26,AG26)*100+SUM(I26,AA26)+0.005,1,0)+IF(AT26*1000000+SUM(V26,AN26)*10000+SUM(P26,AH26)*100+SUM(J26,AB26)+0.004&gt;AS26*1000000+SUM(U26,AM26)*10000+SUM(O26,AG26)*100+SUM(I26,AA26)+0.005,1,0)+IF(AU26*1000000+SUM(W26,AO26)*10000+SUM(Q26,AI26)*100+SUM(K26,AC26)+0.003&gt;AS26*1000000+SUM(U26,AM26)*10000+SUM(O26,AG26)*100+SUM(I26,AA26)+0.005,1,0)+IF(AV26*1000000+SUM(X26,AP26)*10000+SUM(R26,AJ26)*100+SUM(L26,AD26)+0.002&gt;AS26*1000000+SUM(U26,AM26)*10000+SUM(O26,AG26)*100+SUM(I26,AA26)+0.005,1,0)+IF(AW26*1000000+SUM(Y26,AQ26)*10000+SUM(S26,AK26)*100+SUM(M26,AE26)+0.001&gt;AS26*1000000+SUM(U26,AM26)*10000+SUM(O26,AG26)*100+SUM(I26,AA26)+0.005,1,0)=2,"I",IF(IF(AR26*1000000+SUM(T26,AL26)*10000+SUM(N26,AF26)*100+SUM(H26,Z26)+0.006&gt;AT26*1000000+SUM(V26,AN26)*10000+SUM(P26,AH26)*100+SUM(J26,AB26)+0.004,1,0)+IF(AS26*1000000+SUM(U26,AM26)*10000+SUM(O26,AG26)*100+SUM(I26,AA26)+0.005&gt;AT26*1000000+SUM(V26,AN26)*10000+SUM(P26,AH26)*100+SUM(J26,AB26)+0.004,1,0)+IF(AU26*1000000+SUM(W26,AO26)*10000+SUM(Q26,AI26)*100+SUM(K26,AC26)+0.003&gt;AT26*1000000+SUM(V26,AN26)*10000+SUM(P26,AH26)*100+SUM(J26,AB26)+0.004,1,0)+IF(AV26*1000000+SUM(X26,AP26)*10000+SUM(R26,AJ26)*100+SUM(L26,AD26)+0.002&gt;AT26*1000000+SUM(V26,AN26)*10000+SUM(P26,AH26)*100+SUM(J26,AB26)+0.004,1,0)+IF(AW26*1000000+SUM(Y26,AQ26)*10000+SUM(S26,AK26)*100+SUM(M26,AE26)+0.001&gt;AT26*1000000+SUM(V26,AN26)*10000+SUM(P26,AH26)*100+SUM(J26,AB26)+0.004,1,0)=2,"A",IF(IF(AR26*1000000+SUM(T26,AL26)*10000+SUM(N26,AF26)*100+SUM(H26,Z26)+0.006&gt;AU26*1000000+SUM(W26,AO26)*10000+SUM(Q26,AI26)*100+SUM(K26,AC26)+0.003,1,0)+IF(AS26*1000000+SUM(U26,AM26)*10000+SUM(O26,AG26)*100+SUM(I26,AA26)+0.005&gt;AU26*1000000+SUM(W26,AO26)*10000+SUM(Q26,AI26)*100+SUM(K26,AC26)+0.003,1,0)+IF(AT26*1000000+SUM(V26,AN26)*10000+SUM(P26,AH26)*100+SUM(J26,AB26)+0.004&gt;AU26*1000000+SUM(W26,AO26)*10000+SUM(Q26,AI26)*100+SUM(K26,AC26)+0.003,1,0)+IF(AV26*1000000+SUM(X26,AP26)*10000+SUM(R26,AJ26)*100+SUM(L26,AD26)+0.002&gt;AU26*1000000+SUM(W26,AO26)*10000+SUM(Q26,AI26)*100+SUM(K26,AC26)+0.003,1,0)+IF(AW26*1000000+SUM(Y26,AQ26)*10000+SUM(S26,AK26)*100+SUM(M26,AE26)+0.001&gt;AU26*1000000+SUM(W26,AO26)*10000+SUM(Q26,AI26)*100+SUM(K26,AC26)+0.003,1,0)=2,"S",IF(IF(AR26*1000000+SUM(T26,AL26)*10000+SUM(N26,AF26)*100+SUM(H26,Z26)+0.006&gt;AV26*1000000+SUM(X26,AP26)*10000+SUM(R26,AJ26)*100+SUM(L26,AD26)+0.002,1,0)+IF(AS26*1000000+SUM(U26,AM26)*10000+SUM(O26,AG26)*100+SUM(I26,AA26)+0.005&gt;AV26*1000000+SUM(X26,AP26)*10000+SUM(R26,AJ26)*100+SUM(L26,AD26)+0.002,1,0)+IF(AT26*1000000+SUM(V26,AN26)*10000+SUM(P26,AH26)*100+SUM(J26,AB26)+0.004&gt;AV26*1000000+SUM(X26,AP26)*10000+SUM(R26,AJ26)*100+SUM(L26,AD26)+0.002,1,0)+IF(AU26*1000000+SUM(W26,AO26)*10000+SUM(Q26,AI26)*100+SUM(K26,AC26)+0.003&gt;AV26*1000000+SUM(X26,AP26)*10000+SUM(R26,AJ26)*100+SUM(L26,AD26)+0.002,1,0)+IF(AW26*1000000+SUM(Y26,AQ26)*10000+SUM(S26,AK26)*100+SUM(M26,AE26)+0.001&gt;AV26*1000000+SUM(X26,AP26)*10000+SUM(R26,AJ26)*100+SUM(L26,AD26)+0.002,1,0)=2,"E",IF(IF(AR26*1000000+SUM(T26,AL26)*10000+SUM(N26,AF26)*100+SUM(H26,Z26)+0.006&gt;AW26*1000000+SUM(Y26,AQ26)*10000+SUM(S26,AK26)*100+SUM(M26,AE26)+0.001,1,0)+IF(AS26*1000000+SUM(U26,AM26)*10000+SUM(O26,AG26)*100+SUM(I26,AA26)+0.005&gt;AW26*1000000+SUM(Y26,AQ26)*10000+SUM(S26,AK26)*100+SUM(M26,AE26)+0.001,1,0)+IF(AT26*1000000+SUM(V26,AN26)*10000+SUM(P26,AH26)*100+SUM(J26,AB26)+0.004&gt;AW26*1000000+SUM(Y26,AQ26)*10000+SUM(S26,AK26)*100+SUM(M26,AE26)+0.001,1,0)+IF(AU26*1000000+SUM(W26,AO26)*10000+SUM(Q26,AI26)*100+SUM(K26,AC26)+0.003&gt;AW26*1000000+SUM(Y26,AQ26)*10000+SUM(S26,AK26)*100+SUM(M26,AE26)+0.001,1,0)+IF(AV26*1000000+SUM(X26,AP26)*10000+SUM(R26,AJ26)*100+SUM(L26,AD26)+0.002&gt;AW26*1000000+SUM(Y26,AQ26)*10000+SUM(S26,AK26)*100+SUM(M26,AE26)+0.001,1,0)=2,"C","")))))))</x:f>
      </x:c>
      <x:c r="AY26" s="27" t="str">
        <x:f>IF(C26="","",IF(LEFT(AX26,1)="R","นักปฏิบัติ",IF(LEFT(AX26,1)="I","นักคิดวิเคราะห์",IF(LEFT(AX26,1)="A","นักสร้างสรรค์",IF(LEFT(AX26,1)="S","ผู้เข้าใจผู้คน",IF(LEFT(AX26,1)="E","ผู้นำการเปลี่ยนแปลง","ผู้จัดระบบ"))))))</x:f>
      </x:c>
    </x:row>
    <x:row r="27">
      <x:c r="A27" s="27"/>
      <x:c r="B27" s="28"/>
      <x:c r="C27" s="27"/>
      <x:c r="D27" s="27"/>
      <x:c r="E27" s="27"/>
      <x:c r="F27" s="27"/>
      <x:c r="G27" s="27"/>
      <x:c r="H27" s="27"/>
      <x:c r="I27" s="27"/>
      <x:c r="J27" s="27"/>
      <x:c r="K27" s="27"/>
      <x:c r="L27" s="27"/>
      <x:c r="M27" s="27"/>
      <x:c r="N27" s="27"/>
      <x:c r="O27" s="27"/>
      <x:c r="P27" s="27"/>
      <x:c r="Q27" s="27"/>
      <x:c r="R27" s="27"/>
      <x:c r="S27" s="27"/>
      <x:c r="T27" s="27"/>
      <x:c r="U27" s="27"/>
      <x:c r="V27" s="27"/>
      <x:c r="W27" s="27"/>
      <x:c r="X27" s="27"/>
      <x:c r="Y27" s="27"/>
      <x:c r="Z27" s="27"/>
      <x:c r="AA27" s="27"/>
      <x:c r="AB27" s="27"/>
      <x:c r="AC27" s="27"/>
      <x:c r="AD27" s="27"/>
      <x:c r="AE27" s="27"/>
      <x:c r="AF27" s="27"/>
      <x:c r="AG27" s="27"/>
      <x:c r="AH27" s="27"/>
      <x:c r="AI27" s="27"/>
      <x:c r="AJ27" s="27"/>
      <x:c r="AK27" s="27"/>
      <x:c r="AL27" s="27"/>
      <x:c r="AM27" s="27"/>
      <x:c r="AN27" s="27"/>
      <x:c r="AO27" s="27"/>
      <x:c r="AP27" s="27"/>
      <x:c r="AQ27" s="27"/>
      <x:c r="AR27" s="27" t="str">
        <x:f>IF(C27="","",SUM(H27,N27,T27,Z27,AF27,AL27))</x:f>
      </x:c>
      <x:c r="AS27" s="27" t="str">
        <x:f>IF(C27="","",SUM(I27,O27,U27,AA27,AG27,AM27))</x:f>
      </x:c>
      <x:c r="AT27" s="27" t="str">
        <x:f>IF(C27="","",SUM(J27,P27,V27,AB27,AH27,AN27))</x:f>
      </x:c>
      <x:c r="AU27" s="27" t="str">
        <x:f>IF(C27="","",SUM(K27,Q27,W27,AC27,AI27,AO27))</x:f>
      </x:c>
      <x:c r="AV27" s="27" t="str">
        <x:f>IF(C27="","",SUM(L27,R27,X27,AD27,AJ27,AP27))</x:f>
      </x:c>
      <x:c r="AW27" s="27" t="str">
        <x:f>IF(C27="","",SUM(M27,S27,Y27,AE27,AK27,AQ27))</x:f>
      </x:c>
      <x:c r="AX27" s="27" t="str">
        <x:f>IF(C27="","",IF(IF(AS27*1000000+SUM(U27,AM27)*10000+SUM(O27,AG27)*100+SUM(I27,AA27)+0.005&gt;AR27*1000000+SUM(T27,AL27)*10000+SUM(N27,AF27)*100+SUM(H27,Z27)+0.006,1,0)+IF(AT27*1000000+SUM(V27,AN27)*10000+SUM(P27,AH27)*100+SUM(J27,AB27)+0.004&gt;AR27*1000000+SUM(T27,AL27)*10000+SUM(N27,AF27)*100+SUM(H27,Z27)+0.006,1,0)+IF(AU27*1000000+SUM(W27,AO27)*10000+SUM(Q27,AI27)*100+SUM(K27,AC27)+0.003&gt;AR27*1000000+SUM(T27,AL27)*10000+SUM(N27,AF27)*100+SUM(H27,Z27)+0.006,1,0)+IF(AV27*1000000+SUM(X27,AP27)*10000+SUM(R27,AJ27)*100+SUM(L27,AD27)+0.002&gt;AR27*1000000+SUM(T27,AL27)*10000+SUM(N27,AF27)*100+SUM(H27,Z27)+0.006,1,0)+IF(AW27*1000000+SUM(Y27,AQ27)*10000+SUM(S27,AK27)*100+SUM(M27,AE27)+0.001&gt;AR27*1000000+SUM(T27,AL27)*10000+SUM(N27,AF27)*100+SUM(H27,Z27)+0.006,1,0)=0,"R",IF(IF(AR27*1000000+SUM(T27,AL27)*10000+SUM(N27,AF27)*100+SUM(H27,Z27)+0.006&gt;AS27*1000000+SUM(U27,AM27)*10000+SUM(O27,AG27)*100+SUM(I27,AA27)+0.005,1,0)+IF(AT27*1000000+SUM(V27,AN27)*10000+SUM(P27,AH27)*100+SUM(J27,AB27)+0.004&gt;AS27*1000000+SUM(U27,AM27)*10000+SUM(O27,AG27)*100+SUM(I27,AA27)+0.005,1,0)+IF(AU27*1000000+SUM(W27,AO27)*10000+SUM(Q27,AI27)*100+SUM(K27,AC27)+0.003&gt;AS27*1000000+SUM(U27,AM27)*10000+SUM(O27,AG27)*100+SUM(I27,AA27)+0.005,1,0)+IF(AV27*1000000+SUM(X27,AP27)*10000+SUM(R27,AJ27)*100+SUM(L27,AD27)+0.002&gt;AS27*1000000+SUM(U27,AM27)*10000+SUM(O27,AG27)*100+SUM(I27,AA27)+0.005,1,0)+IF(AW27*1000000+SUM(Y27,AQ27)*10000+SUM(S27,AK27)*100+SUM(M27,AE27)+0.001&gt;AS27*1000000+SUM(U27,AM27)*10000+SUM(O27,AG27)*100+SUM(I27,AA27)+0.005,1,0)=0,"I",IF(IF(AR27*1000000+SUM(T27,AL27)*10000+SUM(N27,AF27)*100+SUM(H27,Z27)+0.006&gt;AT27*1000000+SUM(V27,AN27)*10000+SUM(P27,AH27)*100+SUM(J27,AB27)+0.004,1,0)+IF(AS27*1000000+SUM(U27,AM27)*10000+SUM(O27,AG27)*100+SUM(I27,AA27)+0.005&gt;AT27*1000000+SUM(V27,AN27)*10000+SUM(P27,AH27)*100+SUM(J27,AB27)+0.004,1,0)+IF(AU27*1000000+SUM(W27,AO27)*10000+SUM(Q27,AI27)*100+SUM(K27,AC27)+0.003&gt;AT27*1000000+SUM(V27,AN27)*10000+SUM(P27,AH27)*100+SUM(J27,AB27)+0.004,1,0)+IF(AV27*1000000+SUM(X27,AP27)*10000+SUM(R27,AJ27)*100+SUM(L27,AD27)+0.002&gt;AT27*1000000+SUM(V27,AN27)*10000+SUM(P27,AH27)*100+SUM(J27,AB27)+0.004,1,0)+IF(AW27*1000000+SUM(Y27,AQ27)*10000+SUM(S27,AK27)*100+SUM(M27,AE27)+0.001&gt;AT27*1000000+SUM(V27,AN27)*10000+SUM(P27,AH27)*100+SUM(J27,AB27)+0.004,1,0)=0,"A",IF(IF(AR27*1000000+SUM(T27,AL27)*10000+SUM(N27,AF27)*100+SUM(H27,Z27)+0.006&gt;AU27*1000000+SUM(W27,AO27)*10000+SUM(Q27,AI27)*100+SUM(K27,AC27)+0.003,1,0)+IF(AS27*1000000+SUM(U27,AM27)*10000+SUM(O27,AG27)*100+SUM(I27,AA27)+0.005&gt;AU27*1000000+SUM(W27,AO27)*10000+SUM(Q27,AI27)*100+SUM(K27,AC27)+0.003,1,0)+IF(AT27*1000000+SUM(V27,AN27)*10000+SUM(P27,AH27)*100+SUM(J27,AB27)+0.004&gt;AU27*1000000+SUM(W27,AO27)*10000+SUM(Q27,AI27)*100+SUM(K27,AC27)+0.003,1,0)+IF(AV27*1000000+SUM(X27,AP27)*10000+SUM(R27,AJ27)*100+SUM(L27,AD27)+0.002&gt;AU27*1000000+SUM(W27,AO27)*10000+SUM(Q27,AI27)*100+SUM(K27,AC27)+0.003,1,0)+IF(AW27*1000000+SUM(Y27,AQ27)*10000+SUM(S27,AK27)*100+SUM(M27,AE27)+0.001&gt;AU27*1000000+SUM(W27,AO27)*10000+SUM(Q27,AI27)*100+SUM(K27,AC27)+0.003,1,0)=0,"S",IF(IF(AR27*1000000+SUM(T27,AL27)*10000+SUM(N27,AF27)*100+SUM(H27,Z27)+0.006&gt;AV27*1000000+SUM(X27,AP27)*10000+SUM(R27,AJ27)*100+SUM(L27,AD27)+0.002,1,0)+IF(AS27*1000000+SUM(U27,AM27)*10000+SUM(O27,AG27)*100+SUM(I27,AA27)+0.005&gt;AV27*1000000+SUM(X27,AP27)*10000+SUM(R27,AJ27)*100+SUM(L27,AD27)+0.002,1,0)+IF(AT27*1000000+SUM(V27,AN27)*10000+SUM(P27,AH27)*100+SUM(J27,AB27)+0.004&gt;AV27*1000000+SUM(X27,AP27)*10000+SUM(R27,AJ27)*100+SUM(L27,AD27)+0.002,1,0)+IF(AU27*1000000+SUM(W27,AO27)*10000+SUM(Q27,AI27)*100+SUM(K27,AC27)+0.003&gt;AV27*1000000+SUM(X27,AP27)*10000+SUM(R27,AJ27)*100+SUM(L27,AD27)+0.002,1,0)+IF(AW27*1000000+SUM(Y27,AQ27)*10000+SUM(S27,AK27)*100+SUM(M27,AE27)+0.001&gt;AV27*1000000+SUM(X27,AP27)*10000+SUM(R27,AJ27)*100+SUM(L27,AD27)+0.002,1,0)=0,"E",IF(IF(AR27*1000000+SUM(T27,AL27)*10000+SUM(N27,AF27)*100+SUM(H27,Z27)+0.006&gt;AW27*1000000+SUM(Y27,AQ27)*10000+SUM(S27,AK27)*100+SUM(M27,AE27)+0.001,1,0)+IF(AS27*1000000+SUM(U27,AM27)*10000+SUM(O27,AG27)*100+SUM(I27,AA27)+0.005&gt;AW27*1000000+SUM(Y27,AQ27)*10000+SUM(S27,AK27)*100+SUM(M27,AE27)+0.001,1,0)+IF(AT27*1000000+SUM(V27,AN27)*10000+SUM(P27,AH27)*100+SUM(J27,AB27)+0.004&gt;AW27*1000000+SUM(Y27,AQ27)*10000+SUM(S27,AK27)*100+SUM(M27,AE27)+0.001,1,0)+IF(AU27*1000000+SUM(W27,AO27)*10000+SUM(Q27,AI27)*100+SUM(K27,AC27)+0.003&gt;AW27*1000000+SUM(Y27,AQ27)*10000+SUM(S27,AK27)*100+SUM(M27,AE27)+0.001,1,0)+IF(AV27*1000000+SUM(X27,AP27)*10000+SUM(R27,AJ27)*100+SUM(L27,AD27)+0.002&gt;AW27*1000000+SUM(Y27,AQ27)*10000+SUM(S27,AK27)*100+SUM(M27,AE27)+0.001,1,0)=0,"C",""))))))&amp;IF(IF(AS27*1000000+SUM(U27,AM27)*10000+SUM(O27,AG27)*100+SUM(I27,AA27)+0.005&gt;AR27*1000000+SUM(T27,AL27)*10000+SUM(N27,AF27)*100+SUM(H27,Z27)+0.006,1,0)+IF(AT27*1000000+SUM(V27,AN27)*10000+SUM(P27,AH27)*100+SUM(J27,AB27)+0.004&gt;AR27*1000000+SUM(T27,AL27)*10000+SUM(N27,AF27)*100+SUM(H27,Z27)+0.006,1,0)+IF(AU27*1000000+SUM(W27,AO27)*10000+SUM(Q27,AI27)*100+SUM(K27,AC27)+0.003&gt;AR27*1000000+SUM(T27,AL27)*10000+SUM(N27,AF27)*100+SUM(H27,Z27)+0.006,1,0)+IF(AV27*1000000+SUM(X27,AP27)*10000+SUM(R27,AJ27)*100+SUM(L27,AD27)+0.002&gt;AR27*1000000+SUM(T27,AL27)*10000+SUM(N27,AF27)*100+SUM(H27,Z27)+0.006,1,0)+IF(AW27*1000000+SUM(Y27,AQ27)*10000+SUM(S27,AK27)*100+SUM(M27,AE27)+0.001&gt;AR27*1000000+SUM(T27,AL27)*10000+SUM(N27,AF27)*100+SUM(H27,Z27)+0.006,1,0)=1,"R",IF(IF(AR27*1000000+SUM(T27,AL27)*10000+SUM(N27,AF27)*100+SUM(H27,Z27)+0.006&gt;AS27*1000000+SUM(U27,AM27)*10000+SUM(O27,AG27)*100+SUM(I27,AA27)+0.005,1,0)+IF(AT27*1000000+SUM(V27,AN27)*10000+SUM(P27,AH27)*100+SUM(J27,AB27)+0.004&gt;AS27*1000000+SUM(U27,AM27)*10000+SUM(O27,AG27)*100+SUM(I27,AA27)+0.005,1,0)+IF(AU27*1000000+SUM(W27,AO27)*10000+SUM(Q27,AI27)*100+SUM(K27,AC27)+0.003&gt;AS27*1000000+SUM(U27,AM27)*10000+SUM(O27,AG27)*100+SUM(I27,AA27)+0.005,1,0)+IF(AV27*1000000+SUM(X27,AP27)*10000+SUM(R27,AJ27)*100+SUM(L27,AD27)+0.002&gt;AS27*1000000+SUM(U27,AM27)*10000+SUM(O27,AG27)*100+SUM(I27,AA27)+0.005,1,0)+IF(AW27*1000000+SUM(Y27,AQ27)*10000+SUM(S27,AK27)*100+SUM(M27,AE27)+0.001&gt;AS27*1000000+SUM(U27,AM27)*10000+SUM(O27,AG27)*100+SUM(I27,AA27)+0.005,1,0)=1,"I",IF(IF(AR27*1000000+SUM(T27,AL27)*10000+SUM(N27,AF27)*100+SUM(H27,Z27)+0.006&gt;AT27*1000000+SUM(V27,AN27)*10000+SUM(P27,AH27)*100+SUM(J27,AB27)+0.004,1,0)+IF(AS27*1000000+SUM(U27,AM27)*10000+SUM(O27,AG27)*100+SUM(I27,AA27)+0.005&gt;AT27*1000000+SUM(V27,AN27)*10000+SUM(P27,AH27)*100+SUM(J27,AB27)+0.004,1,0)+IF(AU27*1000000+SUM(W27,AO27)*10000+SUM(Q27,AI27)*100+SUM(K27,AC27)+0.003&gt;AT27*1000000+SUM(V27,AN27)*10000+SUM(P27,AH27)*100+SUM(J27,AB27)+0.004,1,0)+IF(AV27*1000000+SUM(X27,AP27)*10000+SUM(R27,AJ27)*100+SUM(L27,AD27)+0.002&gt;AT27*1000000+SUM(V27,AN27)*10000+SUM(P27,AH27)*100+SUM(J27,AB27)+0.004,1,0)+IF(AW27*1000000+SUM(Y27,AQ27)*10000+SUM(S27,AK27)*100+SUM(M27,AE27)+0.001&gt;AT27*1000000+SUM(V27,AN27)*10000+SUM(P27,AH27)*100+SUM(J27,AB27)+0.004,1,0)=1,"A",IF(IF(AR27*1000000+SUM(T27,AL27)*10000+SUM(N27,AF27)*100+SUM(H27,Z27)+0.006&gt;AU27*1000000+SUM(W27,AO27)*10000+SUM(Q27,AI27)*100+SUM(K27,AC27)+0.003,1,0)+IF(AS27*1000000+SUM(U27,AM27)*10000+SUM(O27,AG27)*100+SUM(I27,AA27)+0.005&gt;AU27*1000000+SUM(W27,AO27)*10000+SUM(Q27,AI27)*100+SUM(K27,AC27)+0.003,1,0)+IF(AT27*1000000+SUM(V27,AN27)*10000+SUM(P27,AH27)*100+SUM(J27,AB27)+0.004&gt;AU27*1000000+SUM(W27,AO27)*10000+SUM(Q27,AI27)*100+SUM(K27,AC27)+0.003,1,0)+IF(AV27*1000000+SUM(X27,AP27)*10000+SUM(R27,AJ27)*100+SUM(L27,AD27)+0.002&gt;AU27*1000000+SUM(W27,AO27)*10000+SUM(Q27,AI27)*100+SUM(K27,AC27)+0.003,1,0)+IF(AW27*1000000+SUM(Y27,AQ27)*10000+SUM(S27,AK27)*100+SUM(M27,AE27)+0.001&gt;AU27*1000000+SUM(W27,AO27)*10000+SUM(Q27,AI27)*100+SUM(K27,AC27)+0.003,1,0)=1,"S",IF(IF(AR27*1000000+SUM(T27,AL27)*10000+SUM(N27,AF27)*100+SUM(H27,Z27)+0.006&gt;AV27*1000000+SUM(X27,AP27)*10000+SUM(R27,AJ27)*100+SUM(L27,AD27)+0.002,1,0)+IF(AS27*1000000+SUM(U27,AM27)*10000+SUM(O27,AG27)*100+SUM(I27,AA27)+0.005&gt;AV27*1000000+SUM(X27,AP27)*10000+SUM(R27,AJ27)*100+SUM(L27,AD27)+0.002,1,0)+IF(AT27*1000000+SUM(V27,AN27)*10000+SUM(P27,AH27)*100+SUM(J27,AB27)+0.004&gt;AV27*1000000+SUM(X27,AP27)*10000+SUM(R27,AJ27)*100+SUM(L27,AD27)+0.002,1,0)+IF(AU27*1000000+SUM(W27,AO27)*10000+SUM(Q27,AI27)*100+SUM(K27,AC27)+0.003&gt;AV27*1000000+SUM(X27,AP27)*10000+SUM(R27,AJ27)*100+SUM(L27,AD27)+0.002,1,0)+IF(AW27*1000000+SUM(Y27,AQ27)*10000+SUM(S27,AK27)*100+SUM(M27,AE27)+0.001&gt;AV27*1000000+SUM(X27,AP27)*10000+SUM(R27,AJ27)*100+SUM(L27,AD27)+0.002,1,0)=1,"E",IF(IF(AR27*1000000+SUM(T27,AL27)*10000+SUM(N27,AF27)*100+SUM(H27,Z27)+0.006&gt;AW27*1000000+SUM(Y27,AQ27)*10000+SUM(S27,AK27)*100+SUM(M27,AE27)+0.001,1,0)+IF(AS27*1000000+SUM(U27,AM27)*10000+SUM(O27,AG27)*100+SUM(I27,AA27)+0.005&gt;AW27*1000000+SUM(Y27,AQ27)*10000+SUM(S27,AK27)*100+SUM(M27,AE27)+0.001,1,0)+IF(AT27*1000000+SUM(V27,AN27)*10000+SUM(P27,AH27)*100+SUM(J27,AB27)+0.004&gt;AW27*1000000+SUM(Y27,AQ27)*10000+SUM(S27,AK27)*100+SUM(M27,AE27)+0.001,1,0)+IF(AU27*1000000+SUM(W27,AO27)*10000+SUM(Q27,AI27)*100+SUM(K27,AC27)+0.003&gt;AW27*1000000+SUM(Y27,AQ27)*10000+SUM(S27,AK27)*100+SUM(M27,AE27)+0.001,1,0)+IF(AV27*1000000+SUM(X27,AP27)*10000+SUM(R27,AJ27)*100+SUM(L27,AD27)+0.002&gt;AW27*1000000+SUM(Y27,AQ27)*10000+SUM(S27,AK27)*100+SUM(M27,AE27)+0.001,1,0)=1,"C",""))))))&amp;IF(IF(AS27*1000000+SUM(U27,AM27)*10000+SUM(O27,AG27)*100+SUM(I27,AA27)+0.005&gt;AR27*1000000+SUM(T27,AL27)*10000+SUM(N27,AF27)*100+SUM(H27,Z27)+0.006,1,0)+IF(AT27*1000000+SUM(V27,AN27)*10000+SUM(P27,AH27)*100+SUM(J27,AB27)+0.004&gt;AR27*1000000+SUM(T27,AL27)*10000+SUM(N27,AF27)*100+SUM(H27,Z27)+0.006,1,0)+IF(AU27*1000000+SUM(W27,AO27)*10000+SUM(Q27,AI27)*100+SUM(K27,AC27)+0.003&gt;AR27*1000000+SUM(T27,AL27)*10000+SUM(N27,AF27)*100+SUM(H27,Z27)+0.006,1,0)+IF(AV27*1000000+SUM(X27,AP27)*10000+SUM(R27,AJ27)*100+SUM(L27,AD27)+0.002&gt;AR27*1000000+SUM(T27,AL27)*10000+SUM(N27,AF27)*100+SUM(H27,Z27)+0.006,1,0)+IF(AW27*1000000+SUM(Y27,AQ27)*10000+SUM(S27,AK27)*100+SUM(M27,AE27)+0.001&gt;AR27*1000000+SUM(T27,AL27)*10000+SUM(N27,AF27)*100+SUM(H27,Z27)+0.006,1,0)=2,"R",IF(IF(AR27*1000000+SUM(T27,AL27)*10000+SUM(N27,AF27)*100+SUM(H27,Z27)+0.006&gt;AS27*1000000+SUM(U27,AM27)*10000+SUM(O27,AG27)*100+SUM(I27,AA27)+0.005,1,0)+IF(AT27*1000000+SUM(V27,AN27)*10000+SUM(P27,AH27)*100+SUM(J27,AB27)+0.004&gt;AS27*1000000+SUM(U27,AM27)*10000+SUM(O27,AG27)*100+SUM(I27,AA27)+0.005,1,0)+IF(AU27*1000000+SUM(W27,AO27)*10000+SUM(Q27,AI27)*100+SUM(K27,AC27)+0.003&gt;AS27*1000000+SUM(U27,AM27)*10000+SUM(O27,AG27)*100+SUM(I27,AA27)+0.005,1,0)+IF(AV27*1000000+SUM(X27,AP27)*10000+SUM(R27,AJ27)*100+SUM(L27,AD27)+0.002&gt;AS27*1000000+SUM(U27,AM27)*10000+SUM(O27,AG27)*100+SUM(I27,AA27)+0.005,1,0)+IF(AW27*1000000+SUM(Y27,AQ27)*10000+SUM(S27,AK27)*100+SUM(M27,AE27)+0.001&gt;AS27*1000000+SUM(U27,AM27)*10000+SUM(O27,AG27)*100+SUM(I27,AA27)+0.005,1,0)=2,"I",IF(IF(AR27*1000000+SUM(T27,AL27)*10000+SUM(N27,AF27)*100+SUM(H27,Z27)+0.006&gt;AT27*1000000+SUM(V27,AN27)*10000+SUM(P27,AH27)*100+SUM(J27,AB27)+0.004,1,0)+IF(AS27*1000000+SUM(U27,AM27)*10000+SUM(O27,AG27)*100+SUM(I27,AA27)+0.005&gt;AT27*1000000+SUM(V27,AN27)*10000+SUM(P27,AH27)*100+SUM(J27,AB27)+0.004,1,0)+IF(AU27*1000000+SUM(W27,AO27)*10000+SUM(Q27,AI27)*100+SUM(K27,AC27)+0.003&gt;AT27*1000000+SUM(V27,AN27)*10000+SUM(P27,AH27)*100+SUM(J27,AB27)+0.004,1,0)+IF(AV27*1000000+SUM(X27,AP27)*10000+SUM(R27,AJ27)*100+SUM(L27,AD27)+0.002&gt;AT27*1000000+SUM(V27,AN27)*10000+SUM(P27,AH27)*100+SUM(J27,AB27)+0.004,1,0)+IF(AW27*1000000+SUM(Y27,AQ27)*10000+SUM(S27,AK27)*100+SUM(M27,AE27)+0.001&gt;AT27*1000000+SUM(V27,AN27)*10000+SUM(P27,AH27)*100+SUM(J27,AB27)+0.004,1,0)=2,"A",IF(IF(AR27*1000000+SUM(T27,AL27)*10000+SUM(N27,AF27)*100+SUM(H27,Z27)+0.006&gt;AU27*1000000+SUM(W27,AO27)*10000+SUM(Q27,AI27)*100+SUM(K27,AC27)+0.003,1,0)+IF(AS27*1000000+SUM(U27,AM27)*10000+SUM(O27,AG27)*100+SUM(I27,AA27)+0.005&gt;AU27*1000000+SUM(W27,AO27)*10000+SUM(Q27,AI27)*100+SUM(K27,AC27)+0.003,1,0)+IF(AT27*1000000+SUM(V27,AN27)*10000+SUM(P27,AH27)*100+SUM(J27,AB27)+0.004&gt;AU27*1000000+SUM(W27,AO27)*10000+SUM(Q27,AI27)*100+SUM(K27,AC27)+0.003,1,0)+IF(AV27*1000000+SUM(X27,AP27)*10000+SUM(R27,AJ27)*100+SUM(L27,AD27)+0.002&gt;AU27*1000000+SUM(W27,AO27)*10000+SUM(Q27,AI27)*100+SUM(K27,AC27)+0.003,1,0)+IF(AW27*1000000+SUM(Y27,AQ27)*10000+SUM(S27,AK27)*100+SUM(M27,AE27)+0.001&gt;AU27*1000000+SUM(W27,AO27)*10000+SUM(Q27,AI27)*100+SUM(K27,AC27)+0.003,1,0)=2,"S",IF(IF(AR27*1000000+SUM(T27,AL27)*10000+SUM(N27,AF27)*100+SUM(H27,Z27)+0.006&gt;AV27*1000000+SUM(X27,AP27)*10000+SUM(R27,AJ27)*100+SUM(L27,AD27)+0.002,1,0)+IF(AS27*1000000+SUM(U27,AM27)*10000+SUM(O27,AG27)*100+SUM(I27,AA27)+0.005&gt;AV27*1000000+SUM(X27,AP27)*10000+SUM(R27,AJ27)*100+SUM(L27,AD27)+0.002,1,0)+IF(AT27*1000000+SUM(V27,AN27)*10000+SUM(P27,AH27)*100+SUM(J27,AB27)+0.004&gt;AV27*1000000+SUM(X27,AP27)*10000+SUM(R27,AJ27)*100+SUM(L27,AD27)+0.002,1,0)+IF(AU27*1000000+SUM(W27,AO27)*10000+SUM(Q27,AI27)*100+SUM(K27,AC27)+0.003&gt;AV27*1000000+SUM(X27,AP27)*10000+SUM(R27,AJ27)*100+SUM(L27,AD27)+0.002,1,0)+IF(AW27*1000000+SUM(Y27,AQ27)*10000+SUM(S27,AK27)*100+SUM(M27,AE27)+0.001&gt;AV27*1000000+SUM(X27,AP27)*10000+SUM(R27,AJ27)*100+SUM(L27,AD27)+0.002,1,0)=2,"E",IF(IF(AR27*1000000+SUM(T27,AL27)*10000+SUM(N27,AF27)*100+SUM(H27,Z27)+0.006&gt;AW27*1000000+SUM(Y27,AQ27)*10000+SUM(S27,AK27)*100+SUM(M27,AE27)+0.001,1,0)+IF(AS27*1000000+SUM(U27,AM27)*10000+SUM(O27,AG27)*100+SUM(I27,AA27)+0.005&gt;AW27*1000000+SUM(Y27,AQ27)*10000+SUM(S27,AK27)*100+SUM(M27,AE27)+0.001,1,0)+IF(AT27*1000000+SUM(V27,AN27)*10000+SUM(P27,AH27)*100+SUM(J27,AB27)+0.004&gt;AW27*1000000+SUM(Y27,AQ27)*10000+SUM(S27,AK27)*100+SUM(M27,AE27)+0.001,1,0)+IF(AU27*1000000+SUM(W27,AO27)*10000+SUM(Q27,AI27)*100+SUM(K27,AC27)+0.003&gt;AW27*1000000+SUM(Y27,AQ27)*10000+SUM(S27,AK27)*100+SUM(M27,AE27)+0.001,1,0)+IF(AV27*1000000+SUM(X27,AP27)*10000+SUM(R27,AJ27)*100+SUM(L27,AD27)+0.002&gt;AW27*1000000+SUM(Y27,AQ27)*10000+SUM(S27,AK27)*100+SUM(M27,AE27)+0.001,1,0)=2,"C","")))))))</x:f>
      </x:c>
      <x:c r="AY27" s="27" t="str">
        <x:f>IF(C27="","",IF(LEFT(AX27,1)="R","นักปฏิบัติ",IF(LEFT(AX27,1)="I","นักคิดวิเคราะห์",IF(LEFT(AX27,1)="A","นักสร้างสรรค์",IF(LEFT(AX27,1)="S","ผู้เข้าใจผู้คน",IF(LEFT(AX27,1)="E","ผู้นำการเปลี่ยนแปลง","ผู้จัดระบบ"))))))</x:f>
      </x:c>
    </x:row>
    <x:row r="28">
      <x:c r="A28" s="27"/>
      <x:c r="B28" s="28"/>
      <x:c r="C28" s="27"/>
      <x:c r="D28" s="27"/>
      <x:c r="E28" s="27"/>
      <x:c r="F28" s="27"/>
      <x:c r="G28" s="27"/>
      <x:c r="H28" s="27"/>
      <x:c r="I28" s="27"/>
      <x:c r="J28" s="27"/>
      <x:c r="K28" s="27"/>
      <x:c r="L28" s="27"/>
      <x:c r="M28" s="27"/>
      <x:c r="N28" s="27"/>
      <x:c r="O28" s="27"/>
      <x:c r="P28" s="27"/>
      <x:c r="Q28" s="27"/>
      <x:c r="R28" s="27"/>
      <x:c r="S28" s="27"/>
      <x:c r="T28" s="27"/>
      <x:c r="U28" s="27"/>
      <x:c r="V28" s="27"/>
      <x:c r="W28" s="27"/>
      <x:c r="X28" s="27"/>
      <x:c r="Y28" s="27"/>
      <x:c r="Z28" s="27"/>
      <x:c r="AA28" s="27"/>
      <x:c r="AB28" s="27"/>
      <x:c r="AC28" s="27"/>
      <x:c r="AD28" s="27"/>
      <x:c r="AE28" s="27"/>
      <x:c r="AF28" s="27"/>
      <x:c r="AG28" s="27"/>
      <x:c r="AH28" s="27"/>
      <x:c r="AI28" s="27"/>
      <x:c r="AJ28" s="27"/>
      <x:c r="AK28" s="27"/>
      <x:c r="AL28" s="27"/>
      <x:c r="AM28" s="27"/>
      <x:c r="AN28" s="27"/>
      <x:c r="AO28" s="27"/>
      <x:c r="AP28" s="27"/>
      <x:c r="AQ28" s="27"/>
      <x:c r="AR28" s="27" t="str">
        <x:f>IF(C28="","",SUM(H28,N28,T28,Z28,AF28,AL28))</x:f>
      </x:c>
      <x:c r="AS28" s="27" t="str">
        <x:f>IF(C28="","",SUM(I28,O28,U28,AA28,AG28,AM28))</x:f>
      </x:c>
      <x:c r="AT28" s="27" t="str">
        <x:f>IF(C28="","",SUM(J28,P28,V28,AB28,AH28,AN28))</x:f>
      </x:c>
      <x:c r="AU28" s="27" t="str">
        <x:f>IF(C28="","",SUM(K28,Q28,W28,AC28,AI28,AO28))</x:f>
      </x:c>
      <x:c r="AV28" s="27" t="str">
        <x:f>IF(C28="","",SUM(L28,R28,X28,AD28,AJ28,AP28))</x:f>
      </x:c>
      <x:c r="AW28" s="27" t="str">
        <x:f>IF(C28="","",SUM(M28,S28,Y28,AE28,AK28,AQ28))</x:f>
      </x:c>
      <x:c r="AX28" s="27" t="str">
        <x:f>IF(C28="","",IF(IF(AS28*1000000+SUM(U28,AM28)*10000+SUM(O28,AG28)*100+SUM(I28,AA28)+0.005&gt;AR28*1000000+SUM(T28,AL28)*10000+SUM(N28,AF28)*100+SUM(H28,Z28)+0.006,1,0)+IF(AT28*1000000+SUM(V28,AN28)*10000+SUM(P28,AH28)*100+SUM(J28,AB28)+0.004&gt;AR28*1000000+SUM(T28,AL28)*10000+SUM(N28,AF28)*100+SUM(H28,Z28)+0.006,1,0)+IF(AU28*1000000+SUM(W28,AO28)*10000+SUM(Q28,AI28)*100+SUM(K28,AC28)+0.003&gt;AR28*1000000+SUM(T28,AL28)*10000+SUM(N28,AF28)*100+SUM(H28,Z28)+0.006,1,0)+IF(AV28*1000000+SUM(X28,AP28)*10000+SUM(R28,AJ28)*100+SUM(L28,AD28)+0.002&gt;AR28*1000000+SUM(T28,AL28)*10000+SUM(N28,AF28)*100+SUM(H28,Z28)+0.006,1,0)+IF(AW28*1000000+SUM(Y28,AQ28)*10000+SUM(S28,AK28)*100+SUM(M28,AE28)+0.001&gt;AR28*1000000+SUM(T28,AL28)*10000+SUM(N28,AF28)*100+SUM(H28,Z28)+0.006,1,0)=0,"R",IF(IF(AR28*1000000+SUM(T28,AL28)*10000+SUM(N28,AF28)*100+SUM(H28,Z28)+0.006&gt;AS28*1000000+SUM(U28,AM28)*10000+SUM(O28,AG28)*100+SUM(I28,AA28)+0.005,1,0)+IF(AT28*1000000+SUM(V28,AN28)*10000+SUM(P28,AH28)*100+SUM(J28,AB28)+0.004&gt;AS28*1000000+SUM(U28,AM28)*10000+SUM(O28,AG28)*100+SUM(I28,AA28)+0.005,1,0)+IF(AU28*1000000+SUM(W28,AO28)*10000+SUM(Q28,AI28)*100+SUM(K28,AC28)+0.003&gt;AS28*1000000+SUM(U28,AM28)*10000+SUM(O28,AG28)*100+SUM(I28,AA28)+0.005,1,0)+IF(AV28*1000000+SUM(X28,AP28)*10000+SUM(R28,AJ28)*100+SUM(L28,AD28)+0.002&gt;AS28*1000000+SUM(U28,AM28)*10000+SUM(O28,AG28)*100+SUM(I28,AA28)+0.005,1,0)+IF(AW28*1000000+SUM(Y28,AQ28)*10000+SUM(S28,AK28)*100+SUM(M28,AE28)+0.001&gt;AS28*1000000+SUM(U28,AM28)*10000+SUM(O28,AG28)*100+SUM(I28,AA28)+0.005,1,0)=0,"I",IF(IF(AR28*1000000+SUM(T28,AL28)*10000+SUM(N28,AF28)*100+SUM(H28,Z28)+0.006&gt;AT28*1000000+SUM(V28,AN28)*10000+SUM(P28,AH28)*100+SUM(J28,AB28)+0.004,1,0)+IF(AS28*1000000+SUM(U28,AM28)*10000+SUM(O28,AG28)*100+SUM(I28,AA28)+0.005&gt;AT28*1000000+SUM(V28,AN28)*10000+SUM(P28,AH28)*100+SUM(J28,AB28)+0.004,1,0)+IF(AU28*1000000+SUM(W28,AO28)*10000+SUM(Q28,AI28)*100+SUM(K28,AC28)+0.003&gt;AT28*1000000+SUM(V28,AN28)*10000+SUM(P28,AH28)*100+SUM(J28,AB28)+0.004,1,0)+IF(AV28*1000000+SUM(X28,AP28)*10000+SUM(R28,AJ28)*100+SUM(L28,AD28)+0.002&gt;AT28*1000000+SUM(V28,AN28)*10000+SUM(P28,AH28)*100+SUM(J28,AB28)+0.004,1,0)+IF(AW28*1000000+SUM(Y28,AQ28)*10000+SUM(S28,AK28)*100+SUM(M28,AE28)+0.001&gt;AT28*1000000+SUM(V28,AN28)*10000+SUM(P28,AH28)*100+SUM(J28,AB28)+0.004,1,0)=0,"A",IF(IF(AR28*1000000+SUM(T28,AL28)*10000+SUM(N28,AF28)*100+SUM(H28,Z28)+0.006&gt;AU28*1000000+SUM(W28,AO28)*10000+SUM(Q28,AI28)*100+SUM(K28,AC28)+0.003,1,0)+IF(AS28*1000000+SUM(U28,AM28)*10000+SUM(O28,AG28)*100+SUM(I28,AA28)+0.005&gt;AU28*1000000+SUM(W28,AO28)*10000+SUM(Q28,AI28)*100+SUM(K28,AC28)+0.003,1,0)+IF(AT28*1000000+SUM(V28,AN28)*10000+SUM(P28,AH28)*100+SUM(J28,AB28)+0.004&gt;AU28*1000000+SUM(W28,AO28)*10000+SUM(Q28,AI28)*100+SUM(K28,AC28)+0.003,1,0)+IF(AV28*1000000+SUM(X28,AP28)*10000+SUM(R28,AJ28)*100+SUM(L28,AD28)+0.002&gt;AU28*1000000+SUM(W28,AO28)*10000+SUM(Q28,AI28)*100+SUM(K28,AC28)+0.003,1,0)+IF(AW28*1000000+SUM(Y28,AQ28)*10000+SUM(S28,AK28)*100+SUM(M28,AE28)+0.001&gt;AU28*1000000+SUM(W28,AO28)*10000+SUM(Q28,AI28)*100+SUM(K28,AC28)+0.003,1,0)=0,"S",IF(IF(AR28*1000000+SUM(T28,AL28)*10000+SUM(N28,AF28)*100+SUM(H28,Z28)+0.006&gt;AV28*1000000+SUM(X28,AP28)*10000+SUM(R28,AJ28)*100+SUM(L28,AD28)+0.002,1,0)+IF(AS28*1000000+SUM(U28,AM28)*10000+SUM(O28,AG28)*100+SUM(I28,AA28)+0.005&gt;AV28*1000000+SUM(X28,AP28)*10000+SUM(R28,AJ28)*100+SUM(L28,AD28)+0.002,1,0)+IF(AT28*1000000+SUM(V28,AN28)*10000+SUM(P28,AH28)*100+SUM(J28,AB28)+0.004&gt;AV28*1000000+SUM(X28,AP28)*10000+SUM(R28,AJ28)*100+SUM(L28,AD28)+0.002,1,0)+IF(AU28*1000000+SUM(W28,AO28)*10000+SUM(Q28,AI28)*100+SUM(K28,AC28)+0.003&gt;AV28*1000000+SUM(X28,AP28)*10000+SUM(R28,AJ28)*100+SUM(L28,AD28)+0.002,1,0)+IF(AW28*1000000+SUM(Y28,AQ28)*10000+SUM(S28,AK28)*100+SUM(M28,AE28)+0.001&gt;AV28*1000000+SUM(X28,AP28)*10000+SUM(R28,AJ28)*100+SUM(L28,AD28)+0.002,1,0)=0,"E",IF(IF(AR28*1000000+SUM(T28,AL28)*10000+SUM(N28,AF28)*100+SUM(H28,Z28)+0.006&gt;AW28*1000000+SUM(Y28,AQ28)*10000+SUM(S28,AK28)*100+SUM(M28,AE28)+0.001,1,0)+IF(AS28*1000000+SUM(U28,AM28)*10000+SUM(O28,AG28)*100+SUM(I28,AA28)+0.005&gt;AW28*1000000+SUM(Y28,AQ28)*10000+SUM(S28,AK28)*100+SUM(M28,AE28)+0.001,1,0)+IF(AT28*1000000+SUM(V28,AN28)*10000+SUM(P28,AH28)*100+SUM(J28,AB28)+0.004&gt;AW28*1000000+SUM(Y28,AQ28)*10000+SUM(S28,AK28)*100+SUM(M28,AE28)+0.001,1,0)+IF(AU28*1000000+SUM(W28,AO28)*10000+SUM(Q28,AI28)*100+SUM(K28,AC28)+0.003&gt;AW28*1000000+SUM(Y28,AQ28)*10000+SUM(S28,AK28)*100+SUM(M28,AE28)+0.001,1,0)+IF(AV28*1000000+SUM(X28,AP28)*10000+SUM(R28,AJ28)*100+SUM(L28,AD28)+0.002&gt;AW28*1000000+SUM(Y28,AQ28)*10000+SUM(S28,AK28)*100+SUM(M28,AE28)+0.001,1,0)=0,"C",""))))))&amp;IF(IF(AS28*1000000+SUM(U28,AM28)*10000+SUM(O28,AG28)*100+SUM(I28,AA28)+0.005&gt;AR28*1000000+SUM(T28,AL28)*10000+SUM(N28,AF28)*100+SUM(H28,Z28)+0.006,1,0)+IF(AT28*1000000+SUM(V28,AN28)*10000+SUM(P28,AH28)*100+SUM(J28,AB28)+0.004&gt;AR28*1000000+SUM(T28,AL28)*10000+SUM(N28,AF28)*100+SUM(H28,Z28)+0.006,1,0)+IF(AU28*1000000+SUM(W28,AO28)*10000+SUM(Q28,AI28)*100+SUM(K28,AC28)+0.003&gt;AR28*1000000+SUM(T28,AL28)*10000+SUM(N28,AF28)*100+SUM(H28,Z28)+0.006,1,0)+IF(AV28*1000000+SUM(X28,AP28)*10000+SUM(R28,AJ28)*100+SUM(L28,AD28)+0.002&gt;AR28*1000000+SUM(T28,AL28)*10000+SUM(N28,AF28)*100+SUM(H28,Z28)+0.006,1,0)+IF(AW28*1000000+SUM(Y28,AQ28)*10000+SUM(S28,AK28)*100+SUM(M28,AE28)+0.001&gt;AR28*1000000+SUM(T28,AL28)*10000+SUM(N28,AF28)*100+SUM(H28,Z28)+0.006,1,0)=1,"R",IF(IF(AR28*1000000+SUM(T28,AL28)*10000+SUM(N28,AF28)*100+SUM(H28,Z28)+0.006&gt;AS28*1000000+SUM(U28,AM28)*10000+SUM(O28,AG28)*100+SUM(I28,AA28)+0.005,1,0)+IF(AT28*1000000+SUM(V28,AN28)*10000+SUM(P28,AH28)*100+SUM(J28,AB28)+0.004&gt;AS28*1000000+SUM(U28,AM28)*10000+SUM(O28,AG28)*100+SUM(I28,AA28)+0.005,1,0)+IF(AU28*1000000+SUM(W28,AO28)*10000+SUM(Q28,AI28)*100+SUM(K28,AC28)+0.003&gt;AS28*1000000+SUM(U28,AM28)*10000+SUM(O28,AG28)*100+SUM(I28,AA28)+0.005,1,0)+IF(AV28*1000000+SUM(X28,AP28)*10000+SUM(R28,AJ28)*100+SUM(L28,AD28)+0.002&gt;AS28*1000000+SUM(U28,AM28)*10000+SUM(O28,AG28)*100+SUM(I28,AA28)+0.005,1,0)+IF(AW28*1000000+SUM(Y28,AQ28)*10000+SUM(S28,AK28)*100+SUM(M28,AE28)+0.001&gt;AS28*1000000+SUM(U28,AM28)*10000+SUM(O28,AG28)*100+SUM(I28,AA28)+0.005,1,0)=1,"I",IF(IF(AR28*1000000+SUM(T28,AL28)*10000+SUM(N28,AF28)*100+SUM(H28,Z28)+0.006&gt;AT28*1000000+SUM(V28,AN28)*10000+SUM(P28,AH28)*100+SUM(J28,AB28)+0.004,1,0)+IF(AS28*1000000+SUM(U28,AM28)*10000+SUM(O28,AG28)*100+SUM(I28,AA28)+0.005&gt;AT28*1000000+SUM(V28,AN28)*10000+SUM(P28,AH28)*100+SUM(J28,AB28)+0.004,1,0)+IF(AU28*1000000+SUM(W28,AO28)*10000+SUM(Q28,AI28)*100+SUM(K28,AC28)+0.003&gt;AT28*1000000+SUM(V28,AN28)*10000+SUM(P28,AH28)*100+SUM(J28,AB28)+0.004,1,0)+IF(AV28*1000000+SUM(X28,AP28)*10000+SUM(R28,AJ28)*100+SUM(L28,AD28)+0.002&gt;AT28*1000000+SUM(V28,AN28)*10000+SUM(P28,AH28)*100+SUM(J28,AB28)+0.004,1,0)+IF(AW28*1000000+SUM(Y28,AQ28)*10000+SUM(S28,AK28)*100+SUM(M28,AE28)+0.001&gt;AT28*1000000+SUM(V28,AN28)*10000+SUM(P28,AH28)*100+SUM(J28,AB28)+0.004,1,0)=1,"A",IF(IF(AR28*1000000+SUM(T28,AL28)*10000+SUM(N28,AF28)*100+SUM(H28,Z28)+0.006&gt;AU28*1000000+SUM(W28,AO28)*10000+SUM(Q28,AI28)*100+SUM(K28,AC28)+0.003,1,0)+IF(AS28*1000000+SUM(U28,AM28)*10000+SUM(O28,AG28)*100+SUM(I28,AA28)+0.005&gt;AU28*1000000+SUM(W28,AO28)*10000+SUM(Q28,AI28)*100+SUM(K28,AC28)+0.003,1,0)+IF(AT28*1000000+SUM(V28,AN28)*10000+SUM(P28,AH28)*100+SUM(J28,AB28)+0.004&gt;AU28*1000000+SUM(W28,AO28)*10000+SUM(Q28,AI28)*100+SUM(K28,AC28)+0.003,1,0)+IF(AV28*1000000+SUM(X28,AP28)*10000+SUM(R28,AJ28)*100+SUM(L28,AD28)+0.002&gt;AU28*1000000+SUM(W28,AO28)*10000+SUM(Q28,AI28)*100+SUM(K28,AC28)+0.003,1,0)+IF(AW28*1000000+SUM(Y28,AQ28)*10000+SUM(S28,AK28)*100+SUM(M28,AE28)+0.001&gt;AU28*1000000+SUM(W28,AO28)*10000+SUM(Q28,AI28)*100+SUM(K28,AC28)+0.003,1,0)=1,"S",IF(IF(AR28*1000000+SUM(T28,AL28)*10000+SUM(N28,AF28)*100+SUM(H28,Z28)+0.006&gt;AV28*1000000+SUM(X28,AP28)*10000+SUM(R28,AJ28)*100+SUM(L28,AD28)+0.002,1,0)+IF(AS28*1000000+SUM(U28,AM28)*10000+SUM(O28,AG28)*100+SUM(I28,AA28)+0.005&gt;AV28*1000000+SUM(X28,AP28)*10000+SUM(R28,AJ28)*100+SUM(L28,AD28)+0.002,1,0)+IF(AT28*1000000+SUM(V28,AN28)*10000+SUM(P28,AH28)*100+SUM(J28,AB28)+0.004&gt;AV28*1000000+SUM(X28,AP28)*10000+SUM(R28,AJ28)*100+SUM(L28,AD28)+0.002,1,0)+IF(AU28*1000000+SUM(W28,AO28)*10000+SUM(Q28,AI28)*100+SUM(K28,AC28)+0.003&gt;AV28*1000000+SUM(X28,AP28)*10000+SUM(R28,AJ28)*100+SUM(L28,AD28)+0.002,1,0)+IF(AW28*1000000+SUM(Y28,AQ28)*10000+SUM(S28,AK28)*100+SUM(M28,AE28)+0.001&gt;AV28*1000000+SUM(X28,AP28)*10000+SUM(R28,AJ28)*100+SUM(L28,AD28)+0.002,1,0)=1,"E",IF(IF(AR28*1000000+SUM(T28,AL28)*10000+SUM(N28,AF28)*100+SUM(H28,Z28)+0.006&gt;AW28*1000000+SUM(Y28,AQ28)*10000+SUM(S28,AK28)*100+SUM(M28,AE28)+0.001,1,0)+IF(AS28*1000000+SUM(U28,AM28)*10000+SUM(O28,AG28)*100+SUM(I28,AA28)+0.005&gt;AW28*1000000+SUM(Y28,AQ28)*10000+SUM(S28,AK28)*100+SUM(M28,AE28)+0.001,1,0)+IF(AT28*1000000+SUM(V28,AN28)*10000+SUM(P28,AH28)*100+SUM(J28,AB28)+0.004&gt;AW28*1000000+SUM(Y28,AQ28)*10000+SUM(S28,AK28)*100+SUM(M28,AE28)+0.001,1,0)+IF(AU28*1000000+SUM(W28,AO28)*10000+SUM(Q28,AI28)*100+SUM(K28,AC28)+0.003&gt;AW28*1000000+SUM(Y28,AQ28)*10000+SUM(S28,AK28)*100+SUM(M28,AE28)+0.001,1,0)+IF(AV28*1000000+SUM(X28,AP28)*10000+SUM(R28,AJ28)*100+SUM(L28,AD28)+0.002&gt;AW28*1000000+SUM(Y28,AQ28)*10000+SUM(S28,AK28)*100+SUM(M28,AE28)+0.001,1,0)=1,"C",""))))))&amp;IF(IF(AS28*1000000+SUM(U28,AM28)*10000+SUM(O28,AG28)*100+SUM(I28,AA28)+0.005&gt;AR28*1000000+SUM(T28,AL28)*10000+SUM(N28,AF28)*100+SUM(H28,Z28)+0.006,1,0)+IF(AT28*1000000+SUM(V28,AN28)*10000+SUM(P28,AH28)*100+SUM(J28,AB28)+0.004&gt;AR28*1000000+SUM(T28,AL28)*10000+SUM(N28,AF28)*100+SUM(H28,Z28)+0.006,1,0)+IF(AU28*1000000+SUM(W28,AO28)*10000+SUM(Q28,AI28)*100+SUM(K28,AC28)+0.003&gt;AR28*1000000+SUM(T28,AL28)*10000+SUM(N28,AF28)*100+SUM(H28,Z28)+0.006,1,0)+IF(AV28*1000000+SUM(X28,AP28)*10000+SUM(R28,AJ28)*100+SUM(L28,AD28)+0.002&gt;AR28*1000000+SUM(T28,AL28)*10000+SUM(N28,AF28)*100+SUM(H28,Z28)+0.006,1,0)+IF(AW28*1000000+SUM(Y28,AQ28)*10000+SUM(S28,AK28)*100+SUM(M28,AE28)+0.001&gt;AR28*1000000+SUM(T28,AL28)*10000+SUM(N28,AF28)*100+SUM(H28,Z28)+0.006,1,0)=2,"R",IF(IF(AR28*1000000+SUM(T28,AL28)*10000+SUM(N28,AF28)*100+SUM(H28,Z28)+0.006&gt;AS28*1000000+SUM(U28,AM28)*10000+SUM(O28,AG28)*100+SUM(I28,AA28)+0.005,1,0)+IF(AT28*1000000+SUM(V28,AN28)*10000+SUM(P28,AH28)*100+SUM(J28,AB28)+0.004&gt;AS28*1000000+SUM(U28,AM28)*10000+SUM(O28,AG28)*100+SUM(I28,AA28)+0.005,1,0)+IF(AU28*1000000+SUM(W28,AO28)*10000+SUM(Q28,AI28)*100+SUM(K28,AC28)+0.003&gt;AS28*1000000+SUM(U28,AM28)*10000+SUM(O28,AG28)*100+SUM(I28,AA28)+0.005,1,0)+IF(AV28*1000000+SUM(X28,AP28)*10000+SUM(R28,AJ28)*100+SUM(L28,AD28)+0.002&gt;AS28*1000000+SUM(U28,AM28)*10000+SUM(O28,AG28)*100+SUM(I28,AA28)+0.005,1,0)+IF(AW28*1000000+SUM(Y28,AQ28)*10000+SUM(S28,AK28)*100+SUM(M28,AE28)+0.001&gt;AS28*1000000+SUM(U28,AM28)*10000+SUM(O28,AG28)*100+SUM(I28,AA28)+0.005,1,0)=2,"I",IF(IF(AR28*1000000+SUM(T28,AL28)*10000+SUM(N28,AF28)*100+SUM(H28,Z28)+0.006&gt;AT28*1000000+SUM(V28,AN28)*10000+SUM(P28,AH28)*100+SUM(J28,AB28)+0.004,1,0)+IF(AS28*1000000+SUM(U28,AM28)*10000+SUM(O28,AG28)*100+SUM(I28,AA28)+0.005&gt;AT28*1000000+SUM(V28,AN28)*10000+SUM(P28,AH28)*100+SUM(J28,AB28)+0.004,1,0)+IF(AU28*1000000+SUM(W28,AO28)*10000+SUM(Q28,AI28)*100+SUM(K28,AC28)+0.003&gt;AT28*1000000+SUM(V28,AN28)*10000+SUM(P28,AH28)*100+SUM(J28,AB28)+0.004,1,0)+IF(AV28*1000000+SUM(X28,AP28)*10000+SUM(R28,AJ28)*100+SUM(L28,AD28)+0.002&gt;AT28*1000000+SUM(V28,AN28)*10000+SUM(P28,AH28)*100+SUM(J28,AB28)+0.004,1,0)+IF(AW28*1000000+SUM(Y28,AQ28)*10000+SUM(S28,AK28)*100+SUM(M28,AE28)+0.001&gt;AT28*1000000+SUM(V28,AN28)*10000+SUM(P28,AH28)*100+SUM(J28,AB28)+0.004,1,0)=2,"A",IF(IF(AR28*1000000+SUM(T28,AL28)*10000+SUM(N28,AF28)*100+SUM(H28,Z28)+0.006&gt;AU28*1000000+SUM(W28,AO28)*10000+SUM(Q28,AI28)*100+SUM(K28,AC28)+0.003,1,0)+IF(AS28*1000000+SUM(U28,AM28)*10000+SUM(O28,AG28)*100+SUM(I28,AA28)+0.005&gt;AU28*1000000+SUM(W28,AO28)*10000+SUM(Q28,AI28)*100+SUM(K28,AC28)+0.003,1,0)+IF(AT28*1000000+SUM(V28,AN28)*10000+SUM(P28,AH28)*100+SUM(J28,AB28)+0.004&gt;AU28*1000000+SUM(W28,AO28)*10000+SUM(Q28,AI28)*100+SUM(K28,AC28)+0.003,1,0)+IF(AV28*1000000+SUM(X28,AP28)*10000+SUM(R28,AJ28)*100+SUM(L28,AD28)+0.002&gt;AU28*1000000+SUM(W28,AO28)*10000+SUM(Q28,AI28)*100+SUM(K28,AC28)+0.003,1,0)+IF(AW28*1000000+SUM(Y28,AQ28)*10000+SUM(S28,AK28)*100+SUM(M28,AE28)+0.001&gt;AU28*1000000+SUM(W28,AO28)*10000+SUM(Q28,AI28)*100+SUM(K28,AC28)+0.003,1,0)=2,"S",IF(IF(AR28*1000000+SUM(T28,AL28)*10000+SUM(N28,AF28)*100+SUM(H28,Z28)+0.006&gt;AV28*1000000+SUM(X28,AP28)*10000+SUM(R28,AJ28)*100+SUM(L28,AD28)+0.002,1,0)+IF(AS28*1000000+SUM(U28,AM28)*10000+SUM(O28,AG28)*100+SUM(I28,AA28)+0.005&gt;AV28*1000000+SUM(X28,AP28)*10000+SUM(R28,AJ28)*100+SUM(L28,AD28)+0.002,1,0)+IF(AT28*1000000+SUM(V28,AN28)*10000+SUM(P28,AH28)*100+SUM(J28,AB28)+0.004&gt;AV28*1000000+SUM(X28,AP28)*10000+SUM(R28,AJ28)*100+SUM(L28,AD28)+0.002,1,0)+IF(AU28*1000000+SUM(W28,AO28)*10000+SUM(Q28,AI28)*100+SUM(K28,AC28)+0.003&gt;AV28*1000000+SUM(X28,AP28)*10000+SUM(R28,AJ28)*100+SUM(L28,AD28)+0.002,1,0)+IF(AW28*1000000+SUM(Y28,AQ28)*10000+SUM(S28,AK28)*100+SUM(M28,AE28)+0.001&gt;AV28*1000000+SUM(X28,AP28)*10000+SUM(R28,AJ28)*100+SUM(L28,AD28)+0.002,1,0)=2,"E",IF(IF(AR28*1000000+SUM(T28,AL28)*10000+SUM(N28,AF28)*100+SUM(H28,Z28)+0.006&gt;AW28*1000000+SUM(Y28,AQ28)*10000+SUM(S28,AK28)*100+SUM(M28,AE28)+0.001,1,0)+IF(AS28*1000000+SUM(U28,AM28)*10000+SUM(O28,AG28)*100+SUM(I28,AA28)+0.005&gt;AW28*1000000+SUM(Y28,AQ28)*10000+SUM(S28,AK28)*100+SUM(M28,AE28)+0.001,1,0)+IF(AT28*1000000+SUM(V28,AN28)*10000+SUM(P28,AH28)*100+SUM(J28,AB28)+0.004&gt;AW28*1000000+SUM(Y28,AQ28)*10000+SUM(S28,AK28)*100+SUM(M28,AE28)+0.001,1,0)+IF(AU28*1000000+SUM(W28,AO28)*10000+SUM(Q28,AI28)*100+SUM(K28,AC28)+0.003&gt;AW28*1000000+SUM(Y28,AQ28)*10000+SUM(S28,AK28)*100+SUM(M28,AE28)+0.001,1,0)+IF(AV28*1000000+SUM(X28,AP28)*10000+SUM(R28,AJ28)*100+SUM(L28,AD28)+0.002&gt;AW28*1000000+SUM(Y28,AQ28)*10000+SUM(S28,AK28)*100+SUM(M28,AE28)+0.001,1,0)=2,"C","")))))))</x:f>
      </x:c>
      <x:c r="AY28" s="27" t="str">
        <x:f>IF(C28="","",IF(LEFT(AX28,1)="R","นักปฏิบัติ",IF(LEFT(AX28,1)="I","นักคิดวิเคราะห์",IF(LEFT(AX28,1)="A","นักสร้างสรรค์",IF(LEFT(AX28,1)="S","ผู้เข้าใจผู้คน",IF(LEFT(AX28,1)="E","ผู้นำการเปลี่ยนแปลง","ผู้จัดระบบ"))))))</x:f>
      </x:c>
    </x:row>
    <x:row r="29">
      <x:c r="A29" s="27"/>
      <x:c r="B29" s="28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27"/>
      <x:c r="P29" s="27"/>
      <x:c r="Q29" s="27"/>
      <x:c r="R29" s="27"/>
      <x:c r="S29" s="27"/>
      <x:c r="T29" s="27"/>
      <x:c r="U29" s="27"/>
      <x:c r="V29" s="27"/>
      <x:c r="W29" s="27"/>
      <x:c r="X29" s="27"/>
      <x:c r="Y29" s="27"/>
      <x:c r="Z29" s="27"/>
      <x:c r="AA29" s="27"/>
      <x:c r="AB29" s="27"/>
      <x:c r="AC29" s="27"/>
      <x:c r="AD29" s="27"/>
      <x:c r="AE29" s="27"/>
      <x:c r="AF29" s="27"/>
      <x:c r="AG29" s="27"/>
      <x:c r="AH29" s="27"/>
      <x:c r="AI29" s="27"/>
      <x:c r="AJ29" s="27"/>
      <x:c r="AK29" s="27"/>
      <x:c r="AL29" s="27"/>
      <x:c r="AM29" s="27"/>
      <x:c r="AN29" s="27"/>
      <x:c r="AO29" s="27"/>
      <x:c r="AP29" s="27"/>
      <x:c r="AQ29" s="27"/>
      <x:c r="AR29" s="27" t="str">
        <x:f>IF(C29="","",SUM(H29,N29,T29,Z29,AF29,AL29))</x:f>
      </x:c>
      <x:c r="AS29" s="27" t="str">
        <x:f>IF(C29="","",SUM(I29,O29,U29,AA29,AG29,AM29))</x:f>
      </x:c>
      <x:c r="AT29" s="27" t="str">
        <x:f>IF(C29="","",SUM(J29,P29,V29,AB29,AH29,AN29))</x:f>
      </x:c>
      <x:c r="AU29" s="27" t="str">
        <x:f>IF(C29="","",SUM(K29,Q29,W29,AC29,AI29,AO29))</x:f>
      </x:c>
      <x:c r="AV29" s="27" t="str">
        <x:f>IF(C29="","",SUM(L29,R29,X29,AD29,AJ29,AP29))</x:f>
      </x:c>
      <x:c r="AW29" s="27" t="str">
        <x:f>IF(C29="","",SUM(M29,S29,Y29,AE29,AK29,AQ29))</x:f>
      </x:c>
      <x:c r="AX29" s="27" t="str">
        <x:f>IF(C29="","",IF(IF(AS29*1000000+SUM(U29,AM29)*10000+SUM(O29,AG29)*100+SUM(I29,AA29)+0.005&gt;AR29*1000000+SUM(T29,AL29)*10000+SUM(N29,AF29)*100+SUM(H29,Z29)+0.006,1,0)+IF(AT29*1000000+SUM(V29,AN29)*10000+SUM(P29,AH29)*100+SUM(J29,AB29)+0.004&gt;AR29*1000000+SUM(T29,AL29)*10000+SUM(N29,AF29)*100+SUM(H29,Z29)+0.006,1,0)+IF(AU29*1000000+SUM(W29,AO29)*10000+SUM(Q29,AI29)*100+SUM(K29,AC29)+0.003&gt;AR29*1000000+SUM(T29,AL29)*10000+SUM(N29,AF29)*100+SUM(H29,Z29)+0.006,1,0)+IF(AV29*1000000+SUM(X29,AP29)*10000+SUM(R29,AJ29)*100+SUM(L29,AD29)+0.002&gt;AR29*1000000+SUM(T29,AL29)*10000+SUM(N29,AF29)*100+SUM(H29,Z29)+0.006,1,0)+IF(AW29*1000000+SUM(Y29,AQ29)*10000+SUM(S29,AK29)*100+SUM(M29,AE29)+0.001&gt;AR29*1000000+SUM(T29,AL29)*10000+SUM(N29,AF29)*100+SUM(H29,Z29)+0.006,1,0)=0,"R",IF(IF(AR29*1000000+SUM(T29,AL29)*10000+SUM(N29,AF29)*100+SUM(H29,Z29)+0.006&gt;AS29*1000000+SUM(U29,AM29)*10000+SUM(O29,AG29)*100+SUM(I29,AA29)+0.005,1,0)+IF(AT29*1000000+SUM(V29,AN29)*10000+SUM(P29,AH29)*100+SUM(J29,AB29)+0.004&gt;AS29*1000000+SUM(U29,AM29)*10000+SUM(O29,AG29)*100+SUM(I29,AA29)+0.005,1,0)+IF(AU29*1000000+SUM(W29,AO29)*10000+SUM(Q29,AI29)*100+SUM(K29,AC29)+0.003&gt;AS29*1000000+SUM(U29,AM29)*10000+SUM(O29,AG29)*100+SUM(I29,AA29)+0.005,1,0)+IF(AV29*1000000+SUM(X29,AP29)*10000+SUM(R29,AJ29)*100+SUM(L29,AD29)+0.002&gt;AS29*1000000+SUM(U29,AM29)*10000+SUM(O29,AG29)*100+SUM(I29,AA29)+0.005,1,0)+IF(AW29*1000000+SUM(Y29,AQ29)*10000+SUM(S29,AK29)*100+SUM(M29,AE29)+0.001&gt;AS29*1000000+SUM(U29,AM29)*10000+SUM(O29,AG29)*100+SUM(I29,AA29)+0.005,1,0)=0,"I",IF(IF(AR29*1000000+SUM(T29,AL29)*10000+SUM(N29,AF29)*100+SUM(H29,Z29)+0.006&gt;AT29*1000000+SUM(V29,AN29)*10000+SUM(P29,AH29)*100+SUM(J29,AB29)+0.004,1,0)+IF(AS29*1000000+SUM(U29,AM29)*10000+SUM(O29,AG29)*100+SUM(I29,AA29)+0.005&gt;AT29*1000000+SUM(V29,AN29)*10000+SUM(P29,AH29)*100+SUM(J29,AB29)+0.004,1,0)+IF(AU29*1000000+SUM(W29,AO29)*10000+SUM(Q29,AI29)*100+SUM(K29,AC29)+0.003&gt;AT29*1000000+SUM(V29,AN29)*10000+SUM(P29,AH29)*100+SUM(J29,AB29)+0.004,1,0)+IF(AV29*1000000+SUM(X29,AP29)*10000+SUM(R29,AJ29)*100+SUM(L29,AD29)+0.002&gt;AT29*1000000+SUM(V29,AN29)*10000+SUM(P29,AH29)*100+SUM(J29,AB29)+0.004,1,0)+IF(AW29*1000000+SUM(Y29,AQ29)*10000+SUM(S29,AK29)*100+SUM(M29,AE29)+0.001&gt;AT29*1000000+SUM(V29,AN29)*10000+SUM(P29,AH29)*100+SUM(J29,AB29)+0.004,1,0)=0,"A",IF(IF(AR29*1000000+SUM(T29,AL29)*10000+SUM(N29,AF29)*100+SUM(H29,Z29)+0.006&gt;AU29*1000000+SUM(W29,AO29)*10000+SUM(Q29,AI29)*100+SUM(K29,AC29)+0.003,1,0)+IF(AS29*1000000+SUM(U29,AM29)*10000+SUM(O29,AG29)*100+SUM(I29,AA29)+0.005&gt;AU29*1000000+SUM(W29,AO29)*10000+SUM(Q29,AI29)*100+SUM(K29,AC29)+0.003,1,0)+IF(AT29*1000000+SUM(V29,AN29)*10000+SUM(P29,AH29)*100+SUM(J29,AB29)+0.004&gt;AU29*1000000+SUM(W29,AO29)*10000+SUM(Q29,AI29)*100+SUM(K29,AC29)+0.003,1,0)+IF(AV29*1000000+SUM(X29,AP29)*10000+SUM(R29,AJ29)*100+SUM(L29,AD29)+0.002&gt;AU29*1000000+SUM(W29,AO29)*10000+SUM(Q29,AI29)*100+SUM(K29,AC29)+0.003,1,0)+IF(AW29*1000000+SUM(Y29,AQ29)*10000+SUM(S29,AK29)*100+SUM(M29,AE29)+0.001&gt;AU29*1000000+SUM(W29,AO29)*10000+SUM(Q29,AI29)*100+SUM(K29,AC29)+0.003,1,0)=0,"S",IF(IF(AR29*1000000+SUM(T29,AL29)*10000+SUM(N29,AF29)*100+SUM(H29,Z29)+0.006&gt;AV29*1000000+SUM(X29,AP29)*10000+SUM(R29,AJ29)*100+SUM(L29,AD29)+0.002,1,0)+IF(AS29*1000000+SUM(U29,AM29)*10000+SUM(O29,AG29)*100+SUM(I29,AA29)+0.005&gt;AV29*1000000+SUM(X29,AP29)*10000+SUM(R29,AJ29)*100+SUM(L29,AD29)+0.002,1,0)+IF(AT29*1000000+SUM(V29,AN29)*10000+SUM(P29,AH29)*100+SUM(J29,AB29)+0.004&gt;AV29*1000000+SUM(X29,AP29)*10000+SUM(R29,AJ29)*100+SUM(L29,AD29)+0.002,1,0)+IF(AU29*1000000+SUM(W29,AO29)*10000+SUM(Q29,AI29)*100+SUM(K29,AC29)+0.003&gt;AV29*1000000+SUM(X29,AP29)*10000+SUM(R29,AJ29)*100+SUM(L29,AD29)+0.002,1,0)+IF(AW29*1000000+SUM(Y29,AQ29)*10000+SUM(S29,AK29)*100+SUM(M29,AE29)+0.001&gt;AV29*1000000+SUM(X29,AP29)*10000+SUM(R29,AJ29)*100+SUM(L29,AD29)+0.002,1,0)=0,"E",IF(IF(AR29*1000000+SUM(T29,AL29)*10000+SUM(N29,AF29)*100+SUM(H29,Z29)+0.006&gt;AW29*1000000+SUM(Y29,AQ29)*10000+SUM(S29,AK29)*100+SUM(M29,AE29)+0.001,1,0)+IF(AS29*1000000+SUM(U29,AM29)*10000+SUM(O29,AG29)*100+SUM(I29,AA29)+0.005&gt;AW29*1000000+SUM(Y29,AQ29)*10000+SUM(S29,AK29)*100+SUM(M29,AE29)+0.001,1,0)+IF(AT29*1000000+SUM(V29,AN29)*10000+SUM(P29,AH29)*100+SUM(J29,AB29)+0.004&gt;AW29*1000000+SUM(Y29,AQ29)*10000+SUM(S29,AK29)*100+SUM(M29,AE29)+0.001,1,0)+IF(AU29*1000000+SUM(W29,AO29)*10000+SUM(Q29,AI29)*100+SUM(K29,AC29)+0.003&gt;AW29*1000000+SUM(Y29,AQ29)*10000+SUM(S29,AK29)*100+SUM(M29,AE29)+0.001,1,0)+IF(AV29*1000000+SUM(X29,AP29)*10000+SUM(R29,AJ29)*100+SUM(L29,AD29)+0.002&gt;AW29*1000000+SUM(Y29,AQ29)*10000+SUM(S29,AK29)*100+SUM(M29,AE29)+0.001,1,0)=0,"C",""))))))&amp;IF(IF(AS29*1000000+SUM(U29,AM29)*10000+SUM(O29,AG29)*100+SUM(I29,AA29)+0.005&gt;AR29*1000000+SUM(T29,AL29)*10000+SUM(N29,AF29)*100+SUM(H29,Z29)+0.006,1,0)+IF(AT29*1000000+SUM(V29,AN29)*10000+SUM(P29,AH29)*100+SUM(J29,AB29)+0.004&gt;AR29*1000000+SUM(T29,AL29)*10000+SUM(N29,AF29)*100+SUM(H29,Z29)+0.006,1,0)+IF(AU29*1000000+SUM(W29,AO29)*10000+SUM(Q29,AI29)*100+SUM(K29,AC29)+0.003&gt;AR29*1000000+SUM(T29,AL29)*10000+SUM(N29,AF29)*100+SUM(H29,Z29)+0.006,1,0)+IF(AV29*1000000+SUM(X29,AP29)*10000+SUM(R29,AJ29)*100+SUM(L29,AD29)+0.002&gt;AR29*1000000+SUM(T29,AL29)*10000+SUM(N29,AF29)*100+SUM(H29,Z29)+0.006,1,0)+IF(AW29*1000000+SUM(Y29,AQ29)*10000+SUM(S29,AK29)*100+SUM(M29,AE29)+0.001&gt;AR29*1000000+SUM(T29,AL29)*10000+SUM(N29,AF29)*100+SUM(H29,Z29)+0.006,1,0)=1,"R",IF(IF(AR29*1000000+SUM(T29,AL29)*10000+SUM(N29,AF29)*100+SUM(H29,Z29)+0.006&gt;AS29*1000000+SUM(U29,AM29)*10000+SUM(O29,AG29)*100+SUM(I29,AA29)+0.005,1,0)+IF(AT29*1000000+SUM(V29,AN29)*10000+SUM(P29,AH29)*100+SUM(J29,AB29)+0.004&gt;AS29*1000000+SUM(U29,AM29)*10000+SUM(O29,AG29)*100+SUM(I29,AA29)+0.005,1,0)+IF(AU29*1000000+SUM(W29,AO29)*10000+SUM(Q29,AI29)*100+SUM(K29,AC29)+0.003&gt;AS29*1000000+SUM(U29,AM29)*10000+SUM(O29,AG29)*100+SUM(I29,AA29)+0.005,1,0)+IF(AV29*1000000+SUM(X29,AP29)*10000+SUM(R29,AJ29)*100+SUM(L29,AD29)+0.002&gt;AS29*1000000+SUM(U29,AM29)*10000+SUM(O29,AG29)*100+SUM(I29,AA29)+0.005,1,0)+IF(AW29*1000000+SUM(Y29,AQ29)*10000+SUM(S29,AK29)*100+SUM(M29,AE29)+0.001&gt;AS29*1000000+SUM(U29,AM29)*10000+SUM(O29,AG29)*100+SUM(I29,AA29)+0.005,1,0)=1,"I",IF(IF(AR29*1000000+SUM(T29,AL29)*10000+SUM(N29,AF29)*100+SUM(H29,Z29)+0.006&gt;AT29*1000000+SUM(V29,AN29)*10000+SUM(P29,AH29)*100+SUM(J29,AB29)+0.004,1,0)+IF(AS29*1000000+SUM(U29,AM29)*10000+SUM(O29,AG29)*100+SUM(I29,AA29)+0.005&gt;AT29*1000000+SUM(V29,AN29)*10000+SUM(P29,AH29)*100+SUM(J29,AB29)+0.004,1,0)+IF(AU29*1000000+SUM(W29,AO29)*10000+SUM(Q29,AI29)*100+SUM(K29,AC29)+0.003&gt;AT29*1000000+SUM(V29,AN29)*10000+SUM(P29,AH29)*100+SUM(J29,AB29)+0.004,1,0)+IF(AV29*1000000+SUM(X29,AP29)*10000+SUM(R29,AJ29)*100+SUM(L29,AD29)+0.002&gt;AT29*1000000+SUM(V29,AN29)*10000+SUM(P29,AH29)*100+SUM(J29,AB29)+0.004,1,0)+IF(AW29*1000000+SUM(Y29,AQ29)*10000+SUM(S29,AK29)*100+SUM(M29,AE29)+0.001&gt;AT29*1000000+SUM(V29,AN29)*10000+SUM(P29,AH29)*100+SUM(J29,AB29)+0.004,1,0)=1,"A",IF(IF(AR29*1000000+SUM(T29,AL29)*10000+SUM(N29,AF29)*100+SUM(H29,Z29)+0.006&gt;AU29*1000000+SUM(W29,AO29)*10000+SUM(Q29,AI29)*100+SUM(K29,AC29)+0.003,1,0)+IF(AS29*1000000+SUM(U29,AM29)*10000+SUM(O29,AG29)*100+SUM(I29,AA29)+0.005&gt;AU29*1000000+SUM(W29,AO29)*10000+SUM(Q29,AI29)*100+SUM(K29,AC29)+0.003,1,0)+IF(AT29*1000000+SUM(V29,AN29)*10000+SUM(P29,AH29)*100+SUM(J29,AB29)+0.004&gt;AU29*1000000+SUM(W29,AO29)*10000+SUM(Q29,AI29)*100+SUM(K29,AC29)+0.003,1,0)+IF(AV29*1000000+SUM(X29,AP29)*10000+SUM(R29,AJ29)*100+SUM(L29,AD29)+0.002&gt;AU29*1000000+SUM(W29,AO29)*10000+SUM(Q29,AI29)*100+SUM(K29,AC29)+0.003,1,0)+IF(AW29*1000000+SUM(Y29,AQ29)*10000+SUM(S29,AK29)*100+SUM(M29,AE29)+0.001&gt;AU29*1000000+SUM(W29,AO29)*10000+SUM(Q29,AI29)*100+SUM(K29,AC29)+0.003,1,0)=1,"S",IF(IF(AR29*1000000+SUM(T29,AL29)*10000+SUM(N29,AF29)*100+SUM(H29,Z29)+0.006&gt;AV29*1000000+SUM(X29,AP29)*10000+SUM(R29,AJ29)*100+SUM(L29,AD29)+0.002,1,0)+IF(AS29*1000000+SUM(U29,AM29)*10000+SUM(O29,AG29)*100+SUM(I29,AA29)+0.005&gt;AV29*1000000+SUM(X29,AP29)*10000+SUM(R29,AJ29)*100+SUM(L29,AD29)+0.002,1,0)+IF(AT29*1000000+SUM(V29,AN29)*10000+SUM(P29,AH29)*100+SUM(J29,AB29)+0.004&gt;AV29*1000000+SUM(X29,AP29)*10000+SUM(R29,AJ29)*100+SUM(L29,AD29)+0.002,1,0)+IF(AU29*1000000+SUM(W29,AO29)*10000+SUM(Q29,AI29)*100+SUM(K29,AC29)+0.003&gt;AV29*1000000+SUM(X29,AP29)*10000+SUM(R29,AJ29)*100+SUM(L29,AD29)+0.002,1,0)+IF(AW29*1000000+SUM(Y29,AQ29)*10000+SUM(S29,AK29)*100+SUM(M29,AE29)+0.001&gt;AV29*1000000+SUM(X29,AP29)*10000+SUM(R29,AJ29)*100+SUM(L29,AD29)+0.002,1,0)=1,"E",IF(IF(AR29*1000000+SUM(T29,AL29)*10000+SUM(N29,AF29)*100+SUM(H29,Z29)+0.006&gt;AW29*1000000+SUM(Y29,AQ29)*10000+SUM(S29,AK29)*100+SUM(M29,AE29)+0.001,1,0)+IF(AS29*1000000+SUM(U29,AM29)*10000+SUM(O29,AG29)*100+SUM(I29,AA29)+0.005&gt;AW29*1000000+SUM(Y29,AQ29)*10000+SUM(S29,AK29)*100+SUM(M29,AE29)+0.001,1,0)+IF(AT29*1000000+SUM(V29,AN29)*10000+SUM(P29,AH29)*100+SUM(J29,AB29)+0.004&gt;AW29*1000000+SUM(Y29,AQ29)*10000+SUM(S29,AK29)*100+SUM(M29,AE29)+0.001,1,0)+IF(AU29*1000000+SUM(W29,AO29)*10000+SUM(Q29,AI29)*100+SUM(K29,AC29)+0.003&gt;AW29*1000000+SUM(Y29,AQ29)*10000+SUM(S29,AK29)*100+SUM(M29,AE29)+0.001,1,0)+IF(AV29*1000000+SUM(X29,AP29)*10000+SUM(R29,AJ29)*100+SUM(L29,AD29)+0.002&gt;AW29*1000000+SUM(Y29,AQ29)*10000+SUM(S29,AK29)*100+SUM(M29,AE29)+0.001,1,0)=1,"C",""))))))&amp;IF(IF(AS29*1000000+SUM(U29,AM29)*10000+SUM(O29,AG29)*100+SUM(I29,AA29)+0.005&gt;AR29*1000000+SUM(T29,AL29)*10000+SUM(N29,AF29)*100+SUM(H29,Z29)+0.006,1,0)+IF(AT29*1000000+SUM(V29,AN29)*10000+SUM(P29,AH29)*100+SUM(J29,AB29)+0.004&gt;AR29*1000000+SUM(T29,AL29)*10000+SUM(N29,AF29)*100+SUM(H29,Z29)+0.006,1,0)+IF(AU29*1000000+SUM(W29,AO29)*10000+SUM(Q29,AI29)*100+SUM(K29,AC29)+0.003&gt;AR29*1000000+SUM(T29,AL29)*10000+SUM(N29,AF29)*100+SUM(H29,Z29)+0.006,1,0)+IF(AV29*1000000+SUM(X29,AP29)*10000+SUM(R29,AJ29)*100+SUM(L29,AD29)+0.002&gt;AR29*1000000+SUM(T29,AL29)*10000+SUM(N29,AF29)*100+SUM(H29,Z29)+0.006,1,0)+IF(AW29*1000000+SUM(Y29,AQ29)*10000+SUM(S29,AK29)*100+SUM(M29,AE29)+0.001&gt;AR29*1000000+SUM(T29,AL29)*10000+SUM(N29,AF29)*100+SUM(H29,Z29)+0.006,1,0)=2,"R",IF(IF(AR29*1000000+SUM(T29,AL29)*10000+SUM(N29,AF29)*100+SUM(H29,Z29)+0.006&gt;AS29*1000000+SUM(U29,AM29)*10000+SUM(O29,AG29)*100+SUM(I29,AA29)+0.005,1,0)+IF(AT29*1000000+SUM(V29,AN29)*10000+SUM(P29,AH29)*100+SUM(J29,AB29)+0.004&gt;AS29*1000000+SUM(U29,AM29)*10000+SUM(O29,AG29)*100+SUM(I29,AA29)+0.005,1,0)+IF(AU29*1000000+SUM(W29,AO29)*10000+SUM(Q29,AI29)*100+SUM(K29,AC29)+0.003&gt;AS29*1000000+SUM(U29,AM29)*10000+SUM(O29,AG29)*100+SUM(I29,AA29)+0.005,1,0)+IF(AV29*1000000+SUM(X29,AP29)*10000+SUM(R29,AJ29)*100+SUM(L29,AD29)+0.002&gt;AS29*1000000+SUM(U29,AM29)*10000+SUM(O29,AG29)*100+SUM(I29,AA29)+0.005,1,0)+IF(AW29*1000000+SUM(Y29,AQ29)*10000+SUM(S29,AK29)*100+SUM(M29,AE29)+0.001&gt;AS29*1000000+SUM(U29,AM29)*10000+SUM(O29,AG29)*100+SUM(I29,AA29)+0.005,1,0)=2,"I",IF(IF(AR29*1000000+SUM(T29,AL29)*10000+SUM(N29,AF29)*100+SUM(H29,Z29)+0.006&gt;AT29*1000000+SUM(V29,AN29)*10000+SUM(P29,AH29)*100+SUM(J29,AB29)+0.004,1,0)+IF(AS29*1000000+SUM(U29,AM29)*10000+SUM(O29,AG29)*100+SUM(I29,AA29)+0.005&gt;AT29*1000000+SUM(V29,AN29)*10000+SUM(P29,AH29)*100+SUM(J29,AB29)+0.004,1,0)+IF(AU29*1000000+SUM(W29,AO29)*10000+SUM(Q29,AI29)*100+SUM(K29,AC29)+0.003&gt;AT29*1000000+SUM(V29,AN29)*10000+SUM(P29,AH29)*100+SUM(J29,AB29)+0.004,1,0)+IF(AV29*1000000+SUM(X29,AP29)*10000+SUM(R29,AJ29)*100+SUM(L29,AD29)+0.002&gt;AT29*1000000+SUM(V29,AN29)*10000+SUM(P29,AH29)*100+SUM(J29,AB29)+0.004,1,0)+IF(AW29*1000000+SUM(Y29,AQ29)*10000+SUM(S29,AK29)*100+SUM(M29,AE29)+0.001&gt;AT29*1000000+SUM(V29,AN29)*10000+SUM(P29,AH29)*100+SUM(J29,AB29)+0.004,1,0)=2,"A",IF(IF(AR29*1000000+SUM(T29,AL29)*10000+SUM(N29,AF29)*100+SUM(H29,Z29)+0.006&gt;AU29*1000000+SUM(W29,AO29)*10000+SUM(Q29,AI29)*100+SUM(K29,AC29)+0.003,1,0)+IF(AS29*1000000+SUM(U29,AM29)*10000+SUM(O29,AG29)*100+SUM(I29,AA29)+0.005&gt;AU29*1000000+SUM(W29,AO29)*10000+SUM(Q29,AI29)*100+SUM(K29,AC29)+0.003,1,0)+IF(AT29*1000000+SUM(V29,AN29)*10000+SUM(P29,AH29)*100+SUM(J29,AB29)+0.004&gt;AU29*1000000+SUM(W29,AO29)*10000+SUM(Q29,AI29)*100+SUM(K29,AC29)+0.003,1,0)+IF(AV29*1000000+SUM(X29,AP29)*10000+SUM(R29,AJ29)*100+SUM(L29,AD29)+0.002&gt;AU29*1000000+SUM(W29,AO29)*10000+SUM(Q29,AI29)*100+SUM(K29,AC29)+0.003,1,0)+IF(AW29*1000000+SUM(Y29,AQ29)*10000+SUM(S29,AK29)*100+SUM(M29,AE29)+0.001&gt;AU29*1000000+SUM(W29,AO29)*10000+SUM(Q29,AI29)*100+SUM(K29,AC29)+0.003,1,0)=2,"S",IF(IF(AR29*1000000+SUM(T29,AL29)*10000+SUM(N29,AF29)*100+SUM(H29,Z29)+0.006&gt;AV29*1000000+SUM(X29,AP29)*10000+SUM(R29,AJ29)*100+SUM(L29,AD29)+0.002,1,0)+IF(AS29*1000000+SUM(U29,AM29)*10000+SUM(O29,AG29)*100+SUM(I29,AA29)+0.005&gt;AV29*1000000+SUM(X29,AP29)*10000+SUM(R29,AJ29)*100+SUM(L29,AD29)+0.002,1,0)+IF(AT29*1000000+SUM(V29,AN29)*10000+SUM(P29,AH29)*100+SUM(J29,AB29)+0.004&gt;AV29*1000000+SUM(X29,AP29)*10000+SUM(R29,AJ29)*100+SUM(L29,AD29)+0.002,1,0)+IF(AU29*1000000+SUM(W29,AO29)*10000+SUM(Q29,AI29)*100+SUM(K29,AC29)+0.003&gt;AV29*1000000+SUM(X29,AP29)*10000+SUM(R29,AJ29)*100+SUM(L29,AD29)+0.002,1,0)+IF(AW29*1000000+SUM(Y29,AQ29)*10000+SUM(S29,AK29)*100+SUM(M29,AE29)+0.001&gt;AV29*1000000+SUM(X29,AP29)*10000+SUM(R29,AJ29)*100+SUM(L29,AD29)+0.002,1,0)=2,"E",IF(IF(AR29*1000000+SUM(T29,AL29)*10000+SUM(N29,AF29)*100+SUM(H29,Z29)+0.006&gt;AW29*1000000+SUM(Y29,AQ29)*10000+SUM(S29,AK29)*100+SUM(M29,AE29)+0.001,1,0)+IF(AS29*1000000+SUM(U29,AM29)*10000+SUM(O29,AG29)*100+SUM(I29,AA29)+0.005&gt;AW29*1000000+SUM(Y29,AQ29)*10000+SUM(S29,AK29)*100+SUM(M29,AE29)+0.001,1,0)+IF(AT29*1000000+SUM(V29,AN29)*10000+SUM(P29,AH29)*100+SUM(J29,AB29)+0.004&gt;AW29*1000000+SUM(Y29,AQ29)*10000+SUM(S29,AK29)*100+SUM(M29,AE29)+0.001,1,0)+IF(AU29*1000000+SUM(W29,AO29)*10000+SUM(Q29,AI29)*100+SUM(K29,AC29)+0.003&gt;AW29*1000000+SUM(Y29,AQ29)*10000+SUM(S29,AK29)*100+SUM(M29,AE29)+0.001,1,0)+IF(AV29*1000000+SUM(X29,AP29)*10000+SUM(R29,AJ29)*100+SUM(L29,AD29)+0.002&gt;AW29*1000000+SUM(Y29,AQ29)*10000+SUM(S29,AK29)*100+SUM(M29,AE29)+0.001,1,0)=2,"C","")))))))</x:f>
      </x:c>
      <x:c r="AY29" s="27" t="str">
        <x:f>IF(C29="","",IF(LEFT(AX29,1)="R","นักปฏิบัติ",IF(LEFT(AX29,1)="I","นักคิดวิเคราะห์",IF(LEFT(AX29,1)="A","นักสร้างสรรค์",IF(LEFT(AX29,1)="S","ผู้เข้าใจผู้คน",IF(LEFT(AX29,1)="E","ผู้นำการเปลี่ยนแปลง","ผู้จัดระบบ"))))))</x:f>
      </x:c>
    </x:row>
    <x:row r="30">
      <x:c r="A30" s="27"/>
      <x:c r="B30" s="28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27"/>
      <x:c r="P30" s="27"/>
      <x:c r="Q30" s="27"/>
      <x:c r="R30" s="27"/>
      <x:c r="S30" s="27"/>
      <x:c r="T30" s="27"/>
      <x:c r="U30" s="27"/>
      <x:c r="V30" s="27"/>
      <x:c r="W30" s="27"/>
      <x:c r="X30" s="27"/>
      <x:c r="Y30" s="27"/>
      <x:c r="Z30" s="27"/>
      <x:c r="AA30" s="27"/>
      <x:c r="AB30" s="27"/>
      <x:c r="AC30" s="27"/>
      <x:c r="AD30" s="27"/>
      <x:c r="AE30" s="27"/>
      <x:c r="AF30" s="27"/>
      <x:c r="AG30" s="27"/>
      <x:c r="AH30" s="27"/>
      <x:c r="AI30" s="27"/>
      <x:c r="AJ30" s="27"/>
      <x:c r="AK30" s="27"/>
      <x:c r="AL30" s="27"/>
      <x:c r="AM30" s="27"/>
      <x:c r="AN30" s="27"/>
      <x:c r="AO30" s="27"/>
      <x:c r="AP30" s="27"/>
      <x:c r="AQ30" s="27"/>
      <x:c r="AR30" s="27" t="str">
        <x:f>IF(C30="","",SUM(H30,N30,T30,Z30,AF30,AL30))</x:f>
      </x:c>
      <x:c r="AS30" s="27" t="str">
        <x:f>IF(C30="","",SUM(I30,O30,U30,AA30,AG30,AM30))</x:f>
      </x:c>
      <x:c r="AT30" s="27" t="str">
        <x:f>IF(C30="","",SUM(J30,P30,V30,AB30,AH30,AN30))</x:f>
      </x:c>
      <x:c r="AU30" s="27" t="str">
        <x:f>IF(C30="","",SUM(K30,Q30,W30,AC30,AI30,AO30))</x:f>
      </x:c>
      <x:c r="AV30" s="27" t="str">
        <x:f>IF(C30="","",SUM(L30,R30,X30,AD30,AJ30,AP30))</x:f>
      </x:c>
      <x:c r="AW30" s="27" t="str">
        <x:f>IF(C30="","",SUM(M30,S30,Y30,AE30,AK30,AQ30))</x:f>
      </x:c>
      <x:c r="AX30" s="27" t="str">
        <x:f>IF(C30="","",IF(IF(AS30*1000000+SUM(U30,AM30)*10000+SUM(O30,AG30)*100+SUM(I30,AA30)+0.005&gt;AR30*1000000+SUM(T30,AL30)*10000+SUM(N30,AF30)*100+SUM(H30,Z30)+0.006,1,0)+IF(AT30*1000000+SUM(V30,AN30)*10000+SUM(P30,AH30)*100+SUM(J30,AB30)+0.004&gt;AR30*1000000+SUM(T30,AL30)*10000+SUM(N30,AF30)*100+SUM(H30,Z30)+0.006,1,0)+IF(AU30*1000000+SUM(W30,AO30)*10000+SUM(Q30,AI30)*100+SUM(K30,AC30)+0.003&gt;AR30*1000000+SUM(T30,AL30)*10000+SUM(N30,AF30)*100+SUM(H30,Z30)+0.006,1,0)+IF(AV30*1000000+SUM(X30,AP30)*10000+SUM(R30,AJ30)*100+SUM(L30,AD30)+0.002&gt;AR30*1000000+SUM(T30,AL30)*10000+SUM(N30,AF30)*100+SUM(H30,Z30)+0.006,1,0)+IF(AW30*1000000+SUM(Y30,AQ30)*10000+SUM(S30,AK30)*100+SUM(M30,AE30)+0.001&gt;AR30*1000000+SUM(T30,AL30)*10000+SUM(N30,AF30)*100+SUM(H30,Z30)+0.006,1,0)=0,"R",IF(IF(AR30*1000000+SUM(T30,AL30)*10000+SUM(N30,AF30)*100+SUM(H30,Z30)+0.006&gt;AS30*1000000+SUM(U30,AM30)*10000+SUM(O30,AG30)*100+SUM(I30,AA30)+0.005,1,0)+IF(AT30*1000000+SUM(V30,AN30)*10000+SUM(P30,AH30)*100+SUM(J30,AB30)+0.004&gt;AS30*1000000+SUM(U30,AM30)*10000+SUM(O30,AG30)*100+SUM(I30,AA30)+0.005,1,0)+IF(AU30*1000000+SUM(W30,AO30)*10000+SUM(Q30,AI30)*100+SUM(K30,AC30)+0.003&gt;AS30*1000000+SUM(U30,AM30)*10000+SUM(O30,AG30)*100+SUM(I30,AA30)+0.005,1,0)+IF(AV30*1000000+SUM(X30,AP30)*10000+SUM(R30,AJ30)*100+SUM(L30,AD30)+0.002&gt;AS30*1000000+SUM(U30,AM30)*10000+SUM(O30,AG30)*100+SUM(I30,AA30)+0.005,1,0)+IF(AW30*1000000+SUM(Y30,AQ30)*10000+SUM(S30,AK30)*100+SUM(M30,AE30)+0.001&gt;AS30*1000000+SUM(U30,AM30)*10000+SUM(O30,AG30)*100+SUM(I30,AA30)+0.005,1,0)=0,"I",IF(IF(AR30*1000000+SUM(T30,AL30)*10000+SUM(N30,AF30)*100+SUM(H30,Z30)+0.006&gt;AT30*1000000+SUM(V30,AN30)*10000+SUM(P30,AH30)*100+SUM(J30,AB30)+0.004,1,0)+IF(AS30*1000000+SUM(U30,AM30)*10000+SUM(O30,AG30)*100+SUM(I30,AA30)+0.005&gt;AT30*1000000+SUM(V30,AN30)*10000+SUM(P30,AH30)*100+SUM(J30,AB30)+0.004,1,0)+IF(AU30*1000000+SUM(W30,AO30)*10000+SUM(Q30,AI30)*100+SUM(K30,AC30)+0.003&gt;AT30*1000000+SUM(V30,AN30)*10000+SUM(P30,AH30)*100+SUM(J30,AB30)+0.004,1,0)+IF(AV30*1000000+SUM(X30,AP30)*10000+SUM(R30,AJ30)*100+SUM(L30,AD30)+0.002&gt;AT30*1000000+SUM(V30,AN30)*10000+SUM(P30,AH30)*100+SUM(J30,AB30)+0.004,1,0)+IF(AW30*1000000+SUM(Y30,AQ30)*10000+SUM(S30,AK30)*100+SUM(M30,AE30)+0.001&gt;AT30*1000000+SUM(V30,AN30)*10000+SUM(P30,AH30)*100+SUM(J30,AB30)+0.004,1,0)=0,"A",IF(IF(AR30*1000000+SUM(T30,AL30)*10000+SUM(N30,AF30)*100+SUM(H30,Z30)+0.006&gt;AU30*1000000+SUM(W30,AO30)*10000+SUM(Q30,AI30)*100+SUM(K30,AC30)+0.003,1,0)+IF(AS30*1000000+SUM(U30,AM30)*10000+SUM(O30,AG30)*100+SUM(I30,AA30)+0.005&gt;AU30*1000000+SUM(W30,AO30)*10000+SUM(Q30,AI30)*100+SUM(K30,AC30)+0.003,1,0)+IF(AT30*1000000+SUM(V30,AN30)*10000+SUM(P30,AH30)*100+SUM(J30,AB30)+0.004&gt;AU30*1000000+SUM(W30,AO30)*10000+SUM(Q30,AI30)*100+SUM(K30,AC30)+0.003,1,0)+IF(AV30*1000000+SUM(X30,AP30)*10000+SUM(R30,AJ30)*100+SUM(L30,AD30)+0.002&gt;AU30*1000000+SUM(W30,AO30)*10000+SUM(Q30,AI30)*100+SUM(K30,AC30)+0.003,1,0)+IF(AW30*1000000+SUM(Y30,AQ30)*10000+SUM(S30,AK30)*100+SUM(M30,AE30)+0.001&gt;AU30*1000000+SUM(W30,AO30)*10000+SUM(Q30,AI30)*100+SUM(K30,AC30)+0.003,1,0)=0,"S",IF(IF(AR30*1000000+SUM(T30,AL30)*10000+SUM(N30,AF30)*100+SUM(H30,Z30)+0.006&gt;AV30*1000000+SUM(X30,AP30)*10000+SUM(R30,AJ30)*100+SUM(L30,AD30)+0.002,1,0)+IF(AS30*1000000+SUM(U30,AM30)*10000+SUM(O30,AG30)*100+SUM(I30,AA30)+0.005&gt;AV30*1000000+SUM(X30,AP30)*10000+SUM(R30,AJ30)*100+SUM(L30,AD30)+0.002,1,0)+IF(AT30*1000000+SUM(V30,AN30)*10000+SUM(P30,AH30)*100+SUM(J30,AB30)+0.004&gt;AV30*1000000+SUM(X30,AP30)*10000+SUM(R30,AJ30)*100+SUM(L30,AD30)+0.002,1,0)+IF(AU30*1000000+SUM(W30,AO30)*10000+SUM(Q30,AI30)*100+SUM(K30,AC30)+0.003&gt;AV30*1000000+SUM(X30,AP30)*10000+SUM(R30,AJ30)*100+SUM(L30,AD30)+0.002,1,0)+IF(AW30*1000000+SUM(Y30,AQ30)*10000+SUM(S30,AK30)*100+SUM(M30,AE30)+0.001&gt;AV30*1000000+SUM(X30,AP30)*10000+SUM(R30,AJ30)*100+SUM(L30,AD30)+0.002,1,0)=0,"E",IF(IF(AR30*1000000+SUM(T30,AL30)*10000+SUM(N30,AF30)*100+SUM(H30,Z30)+0.006&gt;AW30*1000000+SUM(Y30,AQ30)*10000+SUM(S30,AK30)*100+SUM(M30,AE30)+0.001,1,0)+IF(AS30*1000000+SUM(U30,AM30)*10000+SUM(O30,AG30)*100+SUM(I30,AA30)+0.005&gt;AW30*1000000+SUM(Y30,AQ30)*10000+SUM(S30,AK30)*100+SUM(M30,AE30)+0.001,1,0)+IF(AT30*1000000+SUM(V30,AN30)*10000+SUM(P30,AH30)*100+SUM(J30,AB30)+0.004&gt;AW30*1000000+SUM(Y30,AQ30)*10000+SUM(S30,AK30)*100+SUM(M30,AE30)+0.001,1,0)+IF(AU30*1000000+SUM(W30,AO30)*10000+SUM(Q30,AI30)*100+SUM(K30,AC30)+0.003&gt;AW30*1000000+SUM(Y30,AQ30)*10000+SUM(S30,AK30)*100+SUM(M30,AE30)+0.001,1,0)+IF(AV30*1000000+SUM(X30,AP30)*10000+SUM(R30,AJ30)*100+SUM(L30,AD30)+0.002&gt;AW30*1000000+SUM(Y30,AQ30)*10000+SUM(S30,AK30)*100+SUM(M30,AE30)+0.001,1,0)=0,"C",""))))))&amp;IF(IF(AS30*1000000+SUM(U30,AM30)*10000+SUM(O30,AG30)*100+SUM(I30,AA30)+0.005&gt;AR30*1000000+SUM(T30,AL30)*10000+SUM(N30,AF30)*100+SUM(H30,Z30)+0.006,1,0)+IF(AT30*1000000+SUM(V30,AN30)*10000+SUM(P30,AH30)*100+SUM(J30,AB30)+0.004&gt;AR30*1000000+SUM(T30,AL30)*10000+SUM(N30,AF30)*100+SUM(H30,Z30)+0.006,1,0)+IF(AU30*1000000+SUM(W30,AO30)*10000+SUM(Q30,AI30)*100+SUM(K30,AC30)+0.003&gt;AR30*1000000+SUM(T30,AL30)*10000+SUM(N30,AF30)*100+SUM(H30,Z30)+0.006,1,0)+IF(AV30*1000000+SUM(X30,AP30)*10000+SUM(R30,AJ30)*100+SUM(L30,AD30)+0.002&gt;AR30*1000000+SUM(T30,AL30)*10000+SUM(N30,AF30)*100+SUM(H30,Z30)+0.006,1,0)+IF(AW30*1000000+SUM(Y30,AQ30)*10000+SUM(S30,AK30)*100+SUM(M30,AE30)+0.001&gt;AR30*1000000+SUM(T30,AL30)*10000+SUM(N30,AF30)*100+SUM(H30,Z30)+0.006,1,0)=1,"R",IF(IF(AR30*1000000+SUM(T30,AL30)*10000+SUM(N30,AF30)*100+SUM(H30,Z30)+0.006&gt;AS30*1000000+SUM(U30,AM30)*10000+SUM(O30,AG30)*100+SUM(I30,AA30)+0.005,1,0)+IF(AT30*1000000+SUM(V30,AN30)*10000+SUM(P30,AH30)*100+SUM(J30,AB30)+0.004&gt;AS30*1000000+SUM(U30,AM30)*10000+SUM(O30,AG30)*100+SUM(I30,AA30)+0.005,1,0)+IF(AU30*1000000+SUM(W30,AO30)*10000+SUM(Q30,AI30)*100+SUM(K30,AC30)+0.003&gt;AS30*1000000+SUM(U30,AM30)*10000+SUM(O30,AG30)*100+SUM(I30,AA30)+0.005,1,0)+IF(AV30*1000000+SUM(X30,AP30)*10000+SUM(R30,AJ30)*100+SUM(L30,AD30)+0.002&gt;AS30*1000000+SUM(U30,AM30)*10000+SUM(O30,AG30)*100+SUM(I30,AA30)+0.005,1,0)+IF(AW30*1000000+SUM(Y30,AQ30)*10000+SUM(S30,AK30)*100+SUM(M30,AE30)+0.001&gt;AS30*1000000+SUM(U30,AM30)*10000+SUM(O30,AG30)*100+SUM(I30,AA30)+0.005,1,0)=1,"I",IF(IF(AR30*1000000+SUM(T30,AL30)*10000+SUM(N30,AF30)*100+SUM(H30,Z30)+0.006&gt;AT30*1000000+SUM(V30,AN30)*10000+SUM(P30,AH30)*100+SUM(J30,AB30)+0.004,1,0)+IF(AS30*1000000+SUM(U30,AM30)*10000+SUM(O30,AG30)*100+SUM(I30,AA30)+0.005&gt;AT30*1000000+SUM(V30,AN30)*10000+SUM(P30,AH30)*100+SUM(J30,AB30)+0.004,1,0)+IF(AU30*1000000+SUM(W30,AO30)*10000+SUM(Q30,AI30)*100+SUM(K30,AC30)+0.003&gt;AT30*1000000+SUM(V30,AN30)*10000+SUM(P30,AH30)*100+SUM(J30,AB30)+0.004,1,0)+IF(AV30*1000000+SUM(X30,AP30)*10000+SUM(R30,AJ30)*100+SUM(L30,AD30)+0.002&gt;AT30*1000000+SUM(V30,AN30)*10000+SUM(P30,AH30)*100+SUM(J30,AB30)+0.004,1,0)+IF(AW30*1000000+SUM(Y30,AQ30)*10000+SUM(S30,AK30)*100+SUM(M30,AE30)+0.001&gt;AT30*1000000+SUM(V30,AN30)*10000+SUM(P30,AH30)*100+SUM(J30,AB30)+0.004,1,0)=1,"A",IF(IF(AR30*1000000+SUM(T30,AL30)*10000+SUM(N30,AF30)*100+SUM(H30,Z30)+0.006&gt;AU30*1000000+SUM(W30,AO30)*10000+SUM(Q30,AI30)*100+SUM(K30,AC30)+0.003,1,0)+IF(AS30*1000000+SUM(U30,AM30)*10000+SUM(O30,AG30)*100+SUM(I30,AA30)+0.005&gt;AU30*1000000+SUM(W30,AO30)*10000+SUM(Q30,AI30)*100+SUM(K30,AC30)+0.003,1,0)+IF(AT30*1000000+SUM(V30,AN30)*10000+SUM(P30,AH30)*100+SUM(J30,AB30)+0.004&gt;AU30*1000000+SUM(W30,AO30)*10000+SUM(Q30,AI30)*100+SUM(K30,AC30)+0.003,1,0)+IF(AV30*1000000+SUM(X30,AP30)*10000+SUM(R30,AJ30)*100+SUM(L30,AD30)+0.002&gt;AU30*1000000+SUM(W30,AO30)*10000+SUM(Q30,AI30)*100+SUM(K30,AC30)+0.003,1,0)+IF(AW30*1000000+SUM(Y30,AQ30)*10000+SUM(S30,AK30)*100+SUM(M30,AE30)+0.001&gt;AU30*1000000+SUM(W30,AO30)*10000+SUM(Q30,AI30)*100+SUM(K30,AC30)+0.003,1,0)=1,"S",IF(IF(AR30*1000000+SUM(T30,AL30)*10000+SUM(N30,AF30)*100+SUM(H30,Z30)+0.006&gt;AV30*1000000+SUM(X30,AP30)*10000+SUM(R30,AJ30)*100+SUM(L30,AD30)+0.002,1,0)+IF(AS30*1000000+SUM(U30,AM30)*10000+SUM(O30,AG30)*100+SUM(I30,AA30)+0.005&gt;AV30*1000000+SUM(X30,AP30)*10000+SUM(R30,AJ30)*100+SUM(L30,AD30)+0.002,1,0)+IF(AT30*1000000+SUM(V30,AN30)*10000+SUM(P30,AH30)*100+SUM(J30,AB30)+0.004&gt;AV30*1000000+SUM(X30,AP30)*10000+SUM(R30,AJ30)*100+SUM(L30,AD30)+0.002,1,0)+IF(AU30*1000000+SUM(W30,AO30)*10000+SUM(Q30,AI30)*100+SUM(K30,AC30)+0.003&gt;AV30*1000000+SUM(X30,AP30)*10000+SUM(R30,AJ30)*100+SUM(L30,AD30)+0.002,1,0)+IF(AW30*1000000+SUM(Y30,AQ30)*10000+SUM(S30,AK30)*100+SUM(M30,AE30)+0.001&gt;AV30*1000000+SUM(X30,AP30)*10000+SUM(R30,AJ30)*100+SUM(L30,AD30)+0.002,1,0)=1,"E",IF(IF(AR30*1000000+SUM(T30,AL30)*10000+SUM(N30,AF30)*100+SUM(H30,Z30)+0.006&gt;AW30*1000000+SUM(Y30,AQ30)*10000+SUM(S30,AK30)*100+SUM(M30,AE30)+0.001,1,0)+IF(AS30*1000000+SUM(U30,AM30)*10000+SUM(O30,AG30)*100+SUM(I30,AA30)+0.005&gt;AW30*1000000+SUM(Y30,AQ30)*10000+SUM(S30,AK30)*100+SUM(M30,AE30)+0.001,1,0)+IF(AT30*1000000+SUM(V30,AN30)*10000+SUM(P30,AH30)*100+SUM(J30,AB30)+0.004&gt;AW30*1000000+SUM(Y30,AQ30)*10000+SUM(S30,AK30)*100+SUM(M30,AE30)+0.001,1,0)+IF(AU30*1000000+SUM(W30,AO30)*10000+SUM(Q30,AI30)*100+SUM(K30,AC30)+0.003&gt;AW30*1000000+SUM(Y30,AQ30)*10000+SUM(S30,AK30)*100+SUM(M30,AE30)+0.001,1,0)+IF(AV30*1000000+SUM(X30,AP30)*10000+SUM(R30,AJ30)*100+SUM(L30,AD30)+0.002&gt;AW30*1000000+SUM(Y30,AQ30)*10000+SUM(S30,AK30)*100+SUM(M30,AE30)+0.001,1,0)=1,"C",""))))))&amp;IF(IF(AS30*1000000+SUM(U30,AM30)*10000+SUM(O30,AG30)*100+SUM(I30,AA30)+0.005&gt;AR30*1000000+SUM(T30,AL30)*10000+SUM(N30,AF30)*100+SUM(H30,Z30)+0.006,1,0)+IF(AT30*1000000+SUM(V30,AN30)*10000+SUM(P30,AH30)*100+SUM(J30,AB30)+0.004&gt;AR30*1000000+SUM(T30,AL30)*10000+SUM(N30,AF30)*100+SUM(H30,Z30)+0.006,1,0)+IF(AU30*1000000+SUM(W30,AO30)*10000+SUM(Q30,AI30)*100+SUM(K30,AC30)+0.003&gt;AR30*1000000+SUM(T30,AL30)*10000+SUM(N30,AF30)*100+SUM(H30,Z30)+0.006,1,0)+IF(AV30*1000000+SUM(X30,AP30)*10000+SUM(R30,AJ30)*100+SUM(L30,AD30)+0.002&gt;AR30*1000000+SUM(T30,AL30)*10000+SUM(N30,AF30)*100+SUM(H30,Z30)+0.006,1,0)+IF(AW30*1000000+SUM(Y30,AQ30)*10000+SUM(S30,AK30)*100+SUM(M30,AE30)+0.001&gt;AR30*1000000+SUM(T30,AL30)*10000+SUM(N30,AF30)*100+SUM(H30,Z30)+0.006,1,0)=2,"R",IF(IF(AR30*1000000+SUM(T30,AL30)*10000+SUM(N30,AF30)*100+SUM(H30,Z30)+0.006&gt;AS30*1000000+SUM(U30,AM30)*10000+SUM(O30,AG30)*100+SUM(I30,AA30)+0.005,1,0)+IF(AT30*1000000+SUM(V30,AN30)*10000+SUM(P30,AH30)*100+SUM(J30,AB30)+0.004&gt;AS30*1000000+SUM(U30,AM30)*10000+SUM(O30,AG30)*100+SUM(I30,AA30)+0.005,1,0)+IF(AU30*1000000+SUM(W30,AO30)*10000+SUM(Q30,AI30)*100+SUM(K30,AC30)+0.003&gt;AS30*1000000+SUM(U30,AM30)*10000+SUM(O30,AG30)*100+SUM(I30,AA30)+0.005,1,0)+IF(AV30*1000000+SUM(X30,AP30)*10000+SUM(R30,AJ30)*100+SUM(L30,AD30)+0.002&gt;AS30*1000000+SUM(U30,AM30)*10000+SUM(O30,AG30)*100+SUM(I30,AA30)+0.005,1,0)+IF(AW30*1000000+SUM(Y30,AQ30)*10000+SUM(S30,AK30)*100+SUM(M30,AE30)+0.001&gt;AS30*1000000+SUM(U30,AM30)*10000+SUM(O30,AG30)*100+SUM(I30,AA30)+0.005,1,0)=2,"I",IF(IF(AR30*1000000+SUM(T30,AL30)*10000+SUM(N30,AF30)*100+SUM(H30,Z30)+0.006&gt;AT30*1000000+SUM(V30,AN30)*10000+SUM(P30,AH30)*100+SUM(J30,AB30)+0.004,1,0)+IF(AS30*1000000+SUM(U30,AM30)*10000+SUM(O30,AG30)*100+SUM(I30,AA30)+0.005&gt;AT30*1000000+SUM(V30,AN30)*10000+SUM(P30,AH30)*100+SUM(J30,AB30)+0.004,1,0)+IF(AU30*1000000+SUM(W30,AO30)*10000+SUM(Q30,AI30)*100+SUM(K30,AC30)+0.003&gt;AT30*1000000+SUM(V30,AN30)*10000+SUM(P30,AH30)*100+SUM(J30,AB30)+0.004,1,0)+IF(AV30*1000000+SUM(X30,AP30)*10000+SUM(R30,AJ30)*100+SUM(L30,AD30)+0.002&gt;AT30*1000000+SUM(V30,AN30)*10000+SUM(P30,AH30)*100+SUM(J30,AB30)+0.004,1,0)+IF(AW30*1000000+SUM(Y30,AQ30)*10000+SUM(S30,AK30)*100+SUM(M30,AE30)+0.001&gt;AT30*1000000+SUM(V30,AN30)*10000+SUM(P30,AH30)*100+SUM(J30,AB30)+0.004,1,0)=2,"A",IF(IF(AR30*1000000+SUM(T30,AL30)*10000+SUM(N30,AF30)*100+SUM(H30,Z30)+0.006&gt;AU30*1000000+SUM(W30,AO30)*10000+SUM(Q30,AI30)*100+SUM(K30,AC30)+0.003,1,0)+IF(AS30*1000000+SUM(U30,AM30)*10000+SUM(O30,AG30)*100+SUM(I30,AA30)+0.005&gt;AU30*1000000+SUM(W30,AO30)*10000+SUM(Q30,AI30)*100+SUM(K30,AC30)+0.003,1,0)+IF(AT30*1000000+SUM(V30,AN30)*10000+SUM(P30,AH30)*100+SUM(J30,AB30)+0.004&gt;AU30*1000000+SUM(W30,AO30)*10000+SUM(Q30,AI30)*100+SUM(K30,AC30)+0.003,1,0)+IF(AV30*1000000+SUM(X30,AP30)*10000+SUM(R30,AJ30)*100+SUM(L30,AD30)+0.002&gt;AU30*1000000+SUM(W30,AO30)*10000+SUM(Q30,AI30)*100+SUM(K30,AC30)+0.003,1,0)+IF(AW30*1000000+SUM(Y30,AQ30)*10000+SUM(S30,AK30)*100+SUM(M30,AE30)+0.001&gt;AU30*1000000+SUM(W30,AO30)*10000+SUM(Q30,AI30)*100+SUM(K30,AC30)+0.003,1,0)=2,"S",IF(IF(AR30*1000000+SUM(T30,AL30)*10000+SUM(N30,AF30)*100+SUM(H30,Z30)+0.006&gt;AV30*1000000+SUM(X30,AP30)*10000+SUM(R30,AJ30)*100+SUM(L30,AD30)+0.002,1,0)+IF(AS30*1000000+SUM(U30,AM30)*10000+SUM(O30,AG30)*100+SUM(I30,AA30)+0.005&gt;AV30*1000000+SUM(X30,AP30)*10000+SUM(R30,AJ30)*100+SUM(L30,AD30)+0.002,1,0)+IF(AT30*1000000+SUM(V30,AN30)*10000+SUM(P30,AH30)*100+SUM(J30,AB30)+0.004&gt;AV30*1000000+SUM(X30,AP30)*10000+SUM(R30,AJ30)*100+SUM(L30,AD30)+0.002,1,0)+IF(AU30*1000000+SUM(W30,AO30)*10000+SUM(Q30,AI30)*100+SUM(K30,AC30)+0.003&gt;AV30*1000000+SUM(X30,AP30)*10000+SUM(R30,AJ30)*100+SUM(L30,AD30)+0.002,1,0)+IF(AW30*1000000+SUM(Y30,AQ30)*10000+SUM(S30,AK30)*100+SUM(M30,AE30)+0.001&gt;AV30*1000000+SUM(X30,AP30)*10000+SUM(R30,AJ30)*100+SUM(L30,AD30)+0.002,1,0)=2,"E",IF(IF(AR30*1000000+SUM(T30,AL30)*10000+SUM(N30,AF30)*100+SUM(H30,Z30)+0.006&gt;AW30*1000000+SUM(Y30,AQ30)*10000+SUM(S30,AK30)*100+SUM(M30,AE30)+0.001,1,0)+IF(AS30*1000000+SUM(U30,AM30)*10000+SUM(O30,AG30)*100+SUM(I30,AA30)+0.005&gt;AW30*1000000+SUM(Y30,AQ30)*10000+SUM(S30,AK30)*100+SUM(M30,AE30)+0.001,1,0)+IF(AT30*1000000+SUM(V30,AN30)*10000+SUM(P30,AH30)*100+SUM(J30,AB30)+0.004&gt;AW30*1000000+SUM(Y30,AQ30)*10000+SUM(S30,AK30)*100+SUM(M30,AE30)+0.001,1,0)+IF(AU30*1000000+SUM(W30,AO30)*10000+SUM(Q30,AI30)*100+SUM(K30,AC30)+0.003&gt;AW30*1000000+SUM(Y30,AQ30)*10000+SUM(S30,AK30)*100+SUM(M30,AE30)+0.001,1,0)+IF(AV30*1000000+SUM(X30,AP30)*10000+SUM(R30,AJ30)*100+SUM(L30,AD30)+0.002&gt;AW30*1000000+SUM(Y30,AQ30)*10000+SUM(S30,AK30)*100+SUM(M30,AE30)+0.001,1,0)=2,"C","")))))))</x:f>
      </x:c>
      <x:c r="AY30" s="27" t="str">
        <x:f>IF(C30="","",IF(LEFT(AX30,1)="R","นักปฏิบัติ",IF(LEFT(AX30,1)="I","นักคิดวิเคราะห์",IF(LEFT(AX30,1)="A","นักสร้างสรรค์",IF(LEFT(AX30,1)="S","ผู้เข้าใจผู้คน",IF(LEFT(AX30,1)="E","ผู้นำการเปลี่ยนแปลง","ผู้จัดระบบ"))))))</x:f>
      </x:c>
    </x:row>
    <x:row r="31">
      <x:c r="A31" s="27"/>
      <x:c r="B31" s="28"/>
      <x:c r="C31" s="27"/>
      <x:c r="D31" s="27"/>
      <x:c r="E31" s="27"/>
      <x:c r="F31" s="27"/>
      <x:c r="G31" s="27"/>
      <x:c r="H31" s="27"/>
      <x:c r="I31" s="27"/>
      <x:c r="J31" s="27"/>
      <x:c r="K31" s="27"/>
      <x:c r="L31" s="27"/>
      <x:c r="M31" s="27"/>
      <x:c r="N31" s="27"/>
      <x:c r="O31" s="27"/>
      <x:c r="P31" s="27"/>
      <x:c r="Q31" s="27"/>
      <x:c r="R31" s="27"/>
      <x:c r="S31" s="27"/>
      <x:c r="T31" s="27"/>
      <x:c r="U31" s="27"/>
      <x:c r="V31" s="27"/>
      <x:c r="W31" s="27"/>
      <x:c r="X31" s="27"/>
      <x:c r="Y31" s="27"/>
      <x:c r="Z31" s="27"/>
      <x:c r="AA31" s="27"/>
      <x:c r="AB31" s="27"/>
      <x:c r="AC31" s="27"/>
      <x:c r="AD31" s="27"/>
      <x:c r="AE31" s="27"/>
      <x:c r="AF31" s="27"/>
      <x:c r="AG31" s="27"/>
      <x:c r="AH31" s="27"/>
      <x:c r="AI31" s="27"/>
      <x:c r="AJ31" s="27"/>
      <x:c r="AK31" s="27"/>
      <x:c r="AL31" s="27"/>
      <x:c r="AM31" s="27"/>
      <x:c r="AN31" s="27"/>
      <x:c r="AO31" s="27"/>
      <x:c r="AP31" s="27"/>
      <x:c r="AQ31" s="27"/>
      <x:c r="AR31" s="27" t="str">
        <x:f>IF(C31="","",SUM(H31,N31,T31,Z31,AF31,AL31))</x:f>
      </x:c>
      <x:c r="AS31" s="27" t="str">
        <x:f>IF(C31="","",SUM(I31,O31,U31,AA31,AG31,AM31))</x:f>
      </x:c>
      <x:c r="AT31" s="27" t="str">
        <x:f>IF(C31="","",SUM(J31,P31,V31,AB31,AH31,AN31))</x:f>
      </x:c>
      <x:c r="AU31" s="27" t="str">
        <x:f>IF(C31="","",SUM(K31,Q31,W31,AC31,AI31,AO31))</x:f>
      </x:c>
      <x:c r="AV31" s="27" t="str">
        <x:f>IF(C31="","",SUM(L31,R31,X31,AD31,AJ31,AP31))</x:f>
      </x:c>
      <x:c r="AW31" s="27" t="str">
        <x:f>IF(C31="","",SUM(M31,S31,Y31,AE31,AK31,AQ31))</x:f>
      </x:c>
      <x:c r="AX31" s="27" t="str">
        <x:f>IF(C31="","",IF(IF(AS31*1000000+SUM(U31,AM31)*10000+SUM(O31,AG31)*100+SUM(I31,AA31)+0.005&gt;AR31*1000000+SUM(T31,AL31)*10000+SUM(N31,AF31)*100+SUM(H31,Z31)+0.006,1,0)+IF(AT31*1000000+SUM(V31,AN31)*10000+SUM(P31,AH31)*100+SUM(J31,AB31)+0.004&gt;AR31*1000000+SUM(T31,AL31)*10000+SUM(N31,AF31)*100+SUM(H31,Z31)+0.006,1,0)+IF(AU31*1000000+SUM(W31,AO31)*10000+SUM(Q31,AI31)*100+SUM(K31,AC31)+0.003&gt;AR31*1000000+SUM(T31,AL31)*10000+SUM(N31,AF31)*100+SUM(H31,Z31)+0.006,1,0)+IF(AV31*1000000+SUM(X31,AP31)*10000+SUM(R31,AJ31)*100+SUM(L31,AD31)+0.002&gt;AR31*1000000+SUM(T31,AL31)*10000+SUM(N31,AF31)*100+SUM(H31,Z31)+0.006,1,0)+IF(AW31*1000000+SUM(Y31,AQ31)*10000+SUM(S31,AK31)*100+SUM(M31,AE31)+0.001&gt;AR31*1000000+SUM(T31,AL31)*10000+SUM(N31,AF31)*100+SUM(H31,Z31)+0.006,1,0)=0,"R",IF(IF(AR31*1000000+SUM(T31,AL31)*10000+SUM(N31,AF31)*100+SUM(H31,Z31)+0.006&gt;AS31*1000000+SUM(U31,AM31)*10000+SUM(O31,AG31)*100+SUM(I31,AA31)+0.005,1,0)+IF(AT31*1000000+SUM(V31,AN31)*10000+SUM(P31,AH31)*100+SUM(J31,AB31)+0.004&gt;AS31*1000000+SUM(U31,AM31)*10000+SUM(O31,AG31)*100+SUM(I31,AA31)+0.005,1,0)+IF(AU31*1000000+SUM(W31,AO31)*10000+SUM(Q31,AI31)*100+SUM(K31,AC31)+0.003&gt;AS31*1000000+SUM(U31,AM31)*10000+SUM(O31,AG31)*100+SUM(I31,AA31)+0.005,1,0)+IF(AV31*1000000+SUM(X31,AP31)*10000+SUM(R31,AJ31)*100+SUM(L31,AD31)+0.002&gt;AS31*1000000+SUM(U31,AM31)*10000+SUM(O31,AG31)*100+SUM(I31,AA31)+0.005,1,0)+IF(AW31*1000000+SUM(Y31,AQ31)*10000+SUM(S31,AK31)*100+SUM(M31,AE31)+0.001&gt;AS31*1000000+SUM(U31,AM31)*10000+SUM(O31,AG31)*100+SUM(I31,AA31)+0.005,1,0)=0,"I",IF(IF(AR31*1000000+SUM(T31,AL31)*10000+SUM(N31,AF31)*100+SUM(H31,Z31)+0.006&gt;AT31*1000000+SUM(V31,AN31)*10000+SUM(P31,AH31)*100+SUM(J31,AB31)+0.004,1,0)+IF(AS31*1000000+SUM(U31,AM31)*10000+SUM(O31,AG31)*100+SUM(I31,AA31)+0.005&gt;AT31*1000000+SUM(V31,AN31)*10000+SUM(P31,AH31)*100+SUM(J31,AB31)+0.004,1,0)+IF(AU31*1000000+SUM(W31,AO31)*10000+SUM(Q31,AI31)*100+SUM(K31,AC31)+0.003&gt;AT31*1000000+SUM(V31,AN31)*10000+SUM(P31,AH31)*100+SUM(J31,AB31)+0.004,1,0)+IF(AV31*1000000+SUM(X31,AP31)*10000+SUM(R31,AJ31)*100+SUM(L31,AD31)+0.002&gt;AT31*1000000+SUM(V31,AN31)*10000+SUM(P31,AH31)*100+SUM(J31,AB31)+0.004,1,0)+IF(AW31*1000000+SUM(Y31,AQ31)*10000+SUM(S31,AK31)*100+SUM(M31,AE31)+0.001&gt;AT31*1000000+SUM(V31,AN31)*10000+SUM(P31,AH31)*100+SUM(J31,AB31)+0.004,1,0)=0,"A",IF(IF(AR31*1000000+SUM(T31,AL31)*10000+SUM(N31,AF31)*100+SUM(H31,Z31)+0.006&gt;AU31*1000000+SUM(W31,AO31)*10000+SUM(Q31,AI31)*100+SUM(K31,AC31)+0.003,1,0)+IF(AS31*1000000+SUM(U31,AM31)*10000+SUM(O31,AG31)*100+SUM(I31,AA31)+0.005&gt;AU31*1000000+SUM(W31,AO31)*10000+SUM(Q31,AI31)*100+SUM(K31,AC31)+0.003,1,0)+IF(AT31*1000000+SUM(V31,AN31)*10000+SUM(P31,AH31)*100+SUM(J31,AB31)+0.004&gt;AU31*1000000+SUM(W31,AO31)*10000+SUM(Q31,AI31)*100+SUM(K31,AC31)+0.003,1,0)+IF(AV31*1000000+SUM(X31,AP31)*10000+SUM(R31,AJ31)*100+SUM(L31,AD31)+0.002&gt;AU31*1000000+SUM(W31,AO31)*10000+SUM(Q31,AI31)*100+SUM(K31,AC31)+0.003,1,0)+IF(AW31*1000000+SUM(Y31,AQ31)*10000+SUM(S31,AK31)*100+SUM(M31,AE31)+0.001&gt;AU31*1000000+SUM(W31,AO31)*10000+SUM(Q31,AI31)*100+SUM(K31,AC31)+0.003,1,0)=0,"S",IF(IF(AR31*1000000+SUM(T31,AL31)*10000+SUM(N31,AF31)*100+SUM(H31,Z31)+0.006&gt;AV31*1000000+SUM(X31,AP31)*10000+SUM(R31,AJ31)*100+SUM(L31,AD31)+0.002,1,0)+IF(AS31*1000000+SUM(U31,AM31)*10000+SUM(O31,AG31)*100+SUM(I31,AA31)+0.005&gt;AV31*1000000+SUM(X31,AP31)*10000+SUM(R31,AJ31)*100+SUM(L31,AD31)+0.002,1,0)+IF(AT31*1000000+SUM(V31,AN31)*10000+SUM(P31,AH31)*100+SUM(J31,AB31)+0.004&gt;AV31*1000000+SUM(X31,AP31)*10000+SUM(R31,AJ31)*100+SUM(L31,AD31)+0.002,1,0)+IF(AU31*1000000+SUM(W31,AO31)*10000+SUM(Q31,AI31)*100+SUM(K31,AC31)+0.003&gt;AV31*1000000+SUM(X31,AP31)*10000+SUM(R31,AJ31)*100+SUM(L31,AD31)+0.002,1,0)+IF(AW31*1000000+SUM(Y31,AQ31)*10000+SUM(S31,AK31)*100+SUM(M31,AE31)+0.001&gt;AV31*1000000+SUM(X31,AP31)*10000+SUM(R31,AJ31)*100+SUM(L31,AD31)+0.002,1,0)=0,"E",IF(IF(AR31*1000000+SUM(T31,AL31)*10000+SUM(N31,AF31)*100+SUM(H31,Z31)+0.006&gt;AW31*1000000+SUM(Y31,AQ31)*10000+SUM(S31,AK31)*100+SUM(M31,AE31)+0.001,1,0)+IF(AS31*1000000+SUM(U31,AM31)*10000+SUM(O31,AG31)*100+SUM(I31,AA31)+0.005&gt;AW31*1000000+SUM(Y31,AQ31)*10000+SUM(S31,AK31)*100+SUM(M31,AE31)+0.001,1,0)+IF(AT31*1000000+SUM(V31,AN31)*10000+SUM(P31,AH31)*100+SUM(J31,AB31)+0.004&gt;AW31*1000000+SUM(Y31,AQ31)*10000+SUM(S31,AK31)*100+SUM(M31,AE31)+0.001,1,0)+IF(AU31*1000000+SUM(W31,AO31)*10000+SUM(Q31,AI31)*100+SUM(K31,AC31)+0.003&gt;AW31*1000000+SUM(Y31,AQ31)*10000+SUM(S31,AK31)*100+SUM(M31,AE31)+0.001,1,0)+IF(AV31*1000000+SUM(X31,AP31)*10000+SUM(R31,AJ31)*100+SUM(L31,AD31)+0.002&gt;AW31*1000000+SUM(Y31,AQ31)*10000+SUM(S31,AK31)*100+SUM(M31,AE31)+0.001,1,0)=0,"C",""))))))&amp;IF(IF(AS31*1000000+SUM(U31,AM31)*10000+SUM(O31,AG31)*100+SUM(I31,AA31)+0.005&gt;AR31*1000000+SUM(T31,AL31)*10000+SUM(N31,AF31)*100+SUM(H31,Z31)+0.006,1,0)+IF(AT31*1000000+SUM(V31,AN31)*10000+SUM(P31,AH31)*100+SUM(J31,AB31)+0.004&gt;AR31*1000000+SUM(T31,AL31)*10000+SUM(N31,AF31)*100+SUM(H31,Z31)+0.006,1,0)+IF(AU31*1000000+SUM(W31,AO31)*10000+SUM(Q31,AI31)*100+SUM(K31,AC31)+0.003&gt;AR31*1000000+SUM(T31,AL31)*10000+SUM(N31,AF31)*100+SUM(H31,Z31)+0.006,1,0)+IF(AV31*1000000+SUM(X31,AP31)*10000+SUM(R31,AJ31)*100+SUM(L31,AD31)+0.002&gt;AR31*1000000+SUM(T31,AL31)*10000+SUM(N31,AF31)*100+SUM(H31,Z31)+0.006,1,0)+IF(AW31*1000000+SUM(Y31,AQ31)*10000+SUM(S31,AK31)*100+SUM(M31,AE31)+0.001&gt;AR31*1000000+SUM(T31,AL31)*10000+SUM(N31,AF31)*100+SUM(H31,Z31)+0.006,1,0)=1,"R",IF(IF(AR31*1000000+SUM(T31,AL31)*10000+SUM(N31,AF31)*100+SUM(H31,Z31)+0.006&gt;AS31*1000000+SUM(U31,AM31)*10000+SUM(O31,AG31)*100+SUM(I31,AA31)+0.005,1,0)+IF(AT31*1000000+SUM(V31,AN31)*10000+SUM(P31,AH31)*100+SUM(J31,AB31)+0.004&gt;AS31*1000000+SUM(U31,AM31)*10000+SUM(O31,AG31)*100+SUM(I31,AA31)+0.005,1,0)+IF(AU31*1000000+SUM(W31,AO31)*10000+SUM(Q31,AI31)*100+SUM(K31,AC31)+0.003&gt;AS31*1000000+SUM(U31,AM31)*10000+SUM(O31,AG31)*100+SUM(I31,AA31)+0.005,1,0)+IF(AV31*1000000+SUM(X31,AP31)*10000+SUM(R31,AJ31)*100+SUM(L31,AD31)+0.002&gt;AS31*1000000+SUM(U31,AM31)*10000+SUM(O31,AG31)*100+SUM(I31,AA31)+0.005,1,0)+IF(AW31*1000000+SUM(Y31,AQ31)*10000+SUM(S31,AK31)*100+SUM(M31,AE31)+0.001&gt;AS31*1000000+SUM(U31,AM31)*10000+SUM(O31,AG31)*100+SUM(I31,AA31)+0.005,1,0)=1,"I",IF(IF(AR31*1000000+SUM(T31,AL31)*10000+SUM(N31,AF31)*100+SUM(H31,Z31)+0.006&gt;AT31*1000000+SUM(V31,AN31)*10000+SUM(P31,AH31)*100+SUM(J31,AB31)+0.004,1,0)+IF(AS31*1000000+SUM(U31,AM31)*10000+SUM(O31,AG31)*100+SUM(I31,AA31)+0.005&gt;AT31*1000000+SUM(V31,AN31)*10000+SUM(P31,AH31)*100+SUM(J31,AB31)+0.004,1,0)+IF(AU31*1000000+SUM(W31,AO31)*10000+SUM(Q31,AI31)*100+SUM(K31,AC31)+0.003&gt;AT31*1000000+SUM(V31,AN31)*10000+SUM(P31,AH31)*100+SUM(J31,AB31)+0.004,1,0)+IF(AV31*1000000+SUM(X31,AP31)*10000+SUM(R31,AJ31)*100+SUM(L31,AD31)+0.002&gt;AT31*1000000+SUM(V31,AN31)*10000+SUM(P31,AH31)*100+SUM(J31,AB31)+0.004,1,0)+IF(AW31*1000000+SUM(Y31,AQ31)*10000+SUM(S31,AK31)*100+SUM(M31,AE31)+0.001&gt;AT31*1000000+SUM(V31,AN31)*10000+SUM(P31,AH31)*100+SUM(J31,AB31)+0.004,1,0)=1,"A",IF(IF(AR31*1000000+SUM(T31,AL31)*10000+SUM(N31,AF31)*100+SUM(H31,Z31)+0.006&gt;AU31*1000000+SUM(W31,AO31)*10000+SUM(Q31,AI31)*100+SUM(K31,AC31)+0.003,1,0)+IF(AS31*1000000+SUM(U31,AM31)*10000+SUM(O31,AG31)*100+SUM(I31,AA31)+0.005&gt;AU31*1000000+SUM(W31,AO31)*10000+SUM(Q31,AI31)*100+SUM(K31,AC31)+0.003,1,0)+IF(AT31*1000000+SUM(V31,AN31)*10000+SUM(P31,AH31)*100+SUM(J31,AB31)+0.004&gt;AU31*1000000+SUM(W31,AO31)*10000+SUM(Q31,AI31)*100+SUM(K31,AC31)+0.003,1,0)+IF(AV31*1000000+SUM(X31,AP31)*10000+SUM(R31,AJ31)*100+SUM(L31,AD31)+0.002&gt;AU31*1000000+SUM(W31,AO31)*10000+SUM(Q31,AI31)*100+SUM(K31,AC31)+0.003,1,0)+IF(AW31*1000000+SUM(Y31,AQ31)*10000+SUM(S31,AK31)*100+SUM(M31,AE31)+0.001&gt;AU31*1000000+SUM(W31,AO31)*10000+SUM(Q31,AI31)*100+SUM(K31,AC31)+0.003,1,0)=1,"S",IF(IF(AR31*1000000+SUM(T31,AL31)*10000+SUM(N31,AF31)*100+SUM(H31,Z31)+0.006&gt;AV31*1000000+SUM(X31,AP31)*10000+SUM(R31,AJ31)*100+SUM(L31,AD31)+0.002,1,0)+IF(AS31*1000000+SUM(U31,AM31)*10000+SUM(O31,AG31)*100+SUM(I31,AA31)+0.005&gt;AV31*1000000+SUM(X31,AP31)*10000+SUM(R31,AJ31)*100+SUM(L31,AD31)+0.002,1,0)+IF(AT31*1000000+SUM(V31,AN31)*10000+SUM(P31,AH31)*100+SUM(J31,AB31)+0.004&gt;AV31*1000000+SUM(X31,AP31)*10000+SUM(R31,AJ31)*100+SUM(L31,AD31)+0.002,1,0)+IF(AU31*1000000+SUM(W31,AO31)*10000+SUM(Q31,AI31)*100+SUM(K31,AC31)+0.003&gt;AV31*1000000+SUM(X31,AP31)*10000+SUM(R31,AJ31)*100+SUM(L31,AD31)+0.002,1,0)+IF(AW31*1000000+SUM(Y31,AQ31)*10000+SUM(S31,AK31)*100+SUM(M31,AE31)+0.001&gt;AV31*1000000+SUM(X31,AP31)*10000+SUM(R31,AJ31)*100+SUM(L31,AD31)+0.002,1,0)=1,"E",IF(IF(AR31*1000000+SUM(T31,AL31)*10000+SUM(N31,AF31)*100+SUM(H31,Z31)+0.006&gt;AW31*1000000+SUM(Y31,AQ31)*10000+SUM(S31,AK31)*100+SUM(M31,AE31)+0.001,1,0)+IF(AS31*1000000+SUM(U31,AM31)*10000+SUM(O31,AG31)*100+SUM(I31,AA31)+0.005&gt;AW31*1000000+SUM(Y31,AQ31)*10000+SUM(S31,AK31)*100+SUM(M31,AE31)+0.001,1,0)+IF(AT31*1000000+SUM(V31,AN31)*10000+SUM(P31,AH31)*100+SUM(J31,AB31)+0.004&gt;AW31*1000000+SUM(Y31,AQ31)*10000+SUM(S31,AK31)*100+SUM(M31,AE31)+0.001,1,0)+IF(AU31*1000000+SUM(W31,AO31)*10000+SUM(Q31,AI31)*100+SUM(K31,AC31)+0.003&gt;AW31*1000000+SUM(Y31,AQ31)*10000+SUM(S31,AK31)*100+SUM(M31,AE31)+0.001,1,0)+IF(AV31*1000000+SUM(X31,AP31)*10000+SUM(R31,AJ31)*100+SUM(L31,AD31)+0.002&gt;AW31*1000000+SUM(Y31,AQ31)*10000+SUM(S31,AK31)*100+SUM(M31,AE31)+0.001,1,0)=1,"C",""))))))&amp;IF(IF(AS31*1000000+SUM(U31,AM31)*10000+SUM(O31,AG31)*100+SUM(I31,AA31)+0.005&gt;AR31*1000000+SUM(T31,AL31)*10000+SUM(N31,AF31)*100+SUM(H31,Z31)+0.006,1,0)+IF(AT31*1000000+SUM(V31,AN31)*10000+SUM(P31,AH31)*100+SUM(J31,AB31)+0.004&gt;AR31*1000000+SUM(T31,AL31)*10000+SUM(N31,AF31)*100+SUM(H31,Z31)+0.006,1,0)+IF(AU31*1000000+SUM(W31,AO31)*10000+SUM(Q31,AI31)*100+SUM(K31,AC31)+0.003&gt;AR31*1000000+SUM(T31,AL31)*10000+SUM(N31,AF31)*100+SUM(H31,Z31)+0.006,1,0)+IF(AV31*1000000+SUM(X31,AP31)*10000+SUM(R31,AJ31)*100+SUM(L31,AD31)+0.002&gt;AR31*1000000+SUM(T31,AL31)*10000+SUM(N31,AF31)*100+SUM(H31,Z31)+0.006,1,0)+IF(AW31*1000000+SUM(Y31,AQ31)*10000+SUM(S31,AK31)*100+SUM(M31,AE31)+0.001&gt;AR31*1000000+SUM(T31,AL31)*10000+SUM(N31,AF31)*100+SUM(H31,Z31)+0.006,1,0)=2,"R",IF(IF(AR31*1000000+SUM(T31,AL31)*10000+SUM(N31,AF31)*100+SUM(H31,Z31)+0.006&gt;AS31*1000000+SUM(U31,AM31)*10000+SUM(O31,AG31)*100+SUM(I31,AA31)+0.005,1,0)+IF(AT31*1000000+SUM(V31,AN31)*10000+SUM(P31,AH31)*100+SUM(J31,AB31)+0.004&gt;AS31*1000000+SUM(U31,AM31)*10000+SUM(O31,AG31)*100+SUM(I31,AA31)+0.005,1,0)+IF(AU31*1000000+SUM(W31,AO31)*10000+SUM(Q31,AI31)*100+SUM(K31,AC31)+0.003&gt;AS31*1000000+SUM(U31,AM31)*10000+SUM(O31,AG31)*100+SUM(I31,AA31)+0.005,1,0)+IF(AV31*1000000+SUM(X31,AP31)*10000+SUM(R31,AJ31)*100+SUM(L31,AD31)+0.002&gt;AS31*1000000+SUM(U31,AM31)*10000+SUM(O31,AG31)*100+SUM(I31,AA31)+0.005,1,0)+IF(AW31*1000000+SUM(Y31,AQ31)*10000+SUM(S31,AK31)*100+SUM(M31,AE31)+0.001&gt;AS31*1000000+SUM(U31,AM31)*10000+SUM(O31,AG31)*100+SUM(I31,AA31)+0.005,1,0)=2,"I",IF(IF(AR31*1000000+SUM(T31,AL31)*10000+SUM(N31,AF31)*100+SUM(H31,Z31)+0.006&gt;AT31*1000000+SUM(V31,AN31)*10000+SUM(P31,AH31)*100+SUM(J31,AB31)+0.004,1,0)+IF(AS31*1000000+SUM(U31,AM31)*10000+SUM(O31,AG31)*100+SUM(I31,AA31)+0.005&gt;AT31*1000000+SUM(V31,AN31)*10000+SUM(P31,AH31)*100+SUM(J31,AB31)+0.004,1,0)+IF(AU31*1000000+SUM(W31,AO31)*10000+SUM(Q31,AI31)*100+SUM(K31,AC31)+0.003&gt;AT31*1000000+SUM(V31,AN31)*10000+SUM(P31,AH31)*100+SUM(J31,AB31)+0.004,1,0)+IF(AV31*1000000+SUM(X31,AP31)*10000+SUM(R31,AJ31)*100+SUM(L31,AD31)+0.002&gt;AT31*1000000+SUM(V31,AN31)*10000+SUM(P31,AH31)*100+SUM(J31,AB31)+0.004,1,0)+IF(AW31*1000000+SUM(Y31,AQ31)*10000+SUM(S31,AK31)*100+SUM(M31,AE31)+0.001&gt;AT31*1000000+SUM(V31,AN31)*10000+SUM(P31,AH31)*100+SUM(J31,AB31)+0.004,1,0)=2,"A",IF(IF(AR31*1000000+SUM(T31,AL31)*10000+SUM(N31,AF31)*100+SUM(H31,Z31)+0.006&gt;AU31*1000000+SUM(W31,AO31)*10000+SUM(Q31,AI31)*100+SUM(K31,AC31)+0.003,1,0)+IF(AS31*1000000+SUM(U31,AM31)*10000+SUM(O31,AG31)*100+SUM(I31,AA31)+0.005&gt;AU31*1000000+SUM(W31,AO31)*10000+SUM(Q31,AI31)*100+SUM(K31,AC31)+0.003,1,0)+IF(AT31*1000000+SUM(V31,AN31)*10000+SUM(P31,AH31)*100+SUM(J31,AB31)+0.004&gt;AU31*1000000+SUM(W31,AO31)*10000+SUM(Q31,AI31)*100+SUM(K31,AC31)+0.003,1,0)+IF(AV31*1000000+SUM(X31,AP31)*10000+SUM(R31,AJ31)*100+SUM(L31,AD31)+0.002&gt;AU31*1000000+SUM(W31,AO31)*10000+SUM(Q31,AI31)*100+SUM(K31,AC31)+0.003,1,0)+IF(AW31*1000000+SUM(Y31,AQ31)*10000+SUM(S31,AK31)*100+SUM(M31,AE31)+0.001&gt;AU31*1000000+SUM(W31,AO31)*10000+SUM(Q31,AI31)*100+SUM(K31,AC31)+0.003,1,0)=2,"S",IF(IF(AR31*1000000+SUM(T31,AL31)*10000+SUM(N31,AF31)*100+SUM(H31,Z31)+0.006&gt;AV31*1000000+SUM(X31,AP31)*10000+SUM(R31,AJ31)*100+SUM(L31,AD31)+0.002,1,0)+IF(AS31*1000000+SUM(U31,AM31)*10000+SUM(O31,AG31)*100+SUM(I31,AA31)+0.005&gt;AV31*1000000+SUM(X31,AP31)*10000+SUM(R31,AJ31)*100+SUM(L31,AD31)+0.002,1,0)+IF(AT31*1000000+SUM(V31,AN31)*10000+SUM(P31,AH31)*100+SUM(J31,AB31)+0.004&gt;AV31*1000000+SUM(X31,AP31)*10000+SUM(R31,AJ31)*100+SUM(L31,AD31)+0.002,1,0)+IF(AU31*1000000+SUM(W31,AO31)*10000+SUM(Q31,AI31)*100+SUM(K31,AC31)+0.003&gt;AV31*1000000+SUM(X31,AP31)*10000+SUM(R31,AJ31)*100+SUM(L31,AD31)+0.002,1,0)+IF(AW31*1000000+SUM(Y31,AQ31)*10000+SUM(S31,AK31)*100+SUM(M31,AE31)+0.001&gt;AV31*1000000+SUM(X31,AP31)*10000+SUM(R31,AJ31)*100+SUM(L31,AD31)+0.002,1,0)=2,"E",IF(IF(AR31*1000000+SUM(T31,AL31)*10000+SUM(N31,AF31)*100+SUM(H31,Z31)+0.006&gt;AW31*1000000+SUM(Y31,AQ31)*10000+SUM(S31,AK31)*100+SUM(M31,AE31)+0.001,1,0)+IF(AS31*1000000+SUM(U31,AM31)*10000+SUM(O31,AG31)*100+SUM(I31,AA31)+0.005&gt;AW31*1000000+SUM(Y31,AQ31)*10000+SUM(S31,AK31)*100+SUM(M31,AE31)+0.001,1,0)+IF(AT31*1000000+SUM(V31,AN31)*10000+SUM(P31,AH31)*100+SUM(J31,AB31)+0.004&gt;AW31*1000000+SUM(Y31,AQ31)*10000+SUM(S31,AK31)*100+SUM(M31,AE31)+0.001,1,0)+IF(AU31*1000000+SUM(W31,AO31)*10000+SUM(Q31,AI31)*100+SUM(K31,AC31)+0.003&gt;AW31*1000000+SUM(Y31,AQ31)*10000+SUM(S31,AK31)*100+SUM(M31,AE31)+0.001,1,0)+IF(AV31*1000000+SUM(X31,AP31)*10000+SUM(R31,AJ31)*100+SUM(L31,AD31)+0.002&gt;AW31*1000000+SUM(Y31,AQ31)*10000+SUM(S31,AK31)*100+SUM(M31,AE31)+0.001,1,0)=2,"C","")))))))</x:f>
      </x:c>
      <x:c r="AY31" s="27" t="str">
        <x:f>IF(C31="","",IF(LEFT(AX31,1)="R","นักปฏิบัติ",IF(LEFT(AX31,1)="I","นักคิดวิเคราะห์",IF(LEFT(AX31,1)="A","นักสร้างสรรค์",IF(LEFT(AX31,1)="S","ผู้เข้าใจผู้คน",IF(LEFT(AX31,1)="E","ผู้นำการเปลี่ยนแปลง","ผู้จัดระบบ"))))))</x:f>
      </x:c>
    </x:row>
    <x:row r="32">
      <x:c r="A32" s="27"/>
      <x:c r="B32" s="28"/>
      <x:c r="C32" s="27"/>
      <x:c r="D32" s="27"/>
      <x:c r="E32" s="27"/>
      <x:c r="F32" s="27"/>
      <x:c r="G32" s="27"/>
      <x:c r="H32" s="27"/>
      <x:c r="I32" s="27"/>
      <x:c r="J32" s="27"/>
      <x:c r="K32" s="27"/>
      <x:c r="L32" s="27"/>
      <x:c r="M32" s="27"/>
      <x:c r="N32" s="27"/>
      <x:c r="O32" s="27"/>
      <x:c r="P32" s="27"/>
      <x:c r="Q32" s="27"/>
      <x:c r="R32" s="27"/>
      <x:c r="S32" s="27"/>
      <x:c r="T32" s="27"/>
      <x:c r="U32" s="27"/>
      <x:c r="V32" s="27"/>
      <x:c r="W32" s="27"/>
      <x:c r="X32" s="27"/>
      <x:c r="Y32" s="27"/>
      <x:c r="Z32" s="27"/>
      <x:c r="AA32" s="27"/>
      <x:c r="AB32" s="27"/>
      <x:c r="AC32" s="27"/>
      <x:c r="AD32" s="27"/>
      <x:c r="AE32" s="27"/>
      <x:c r="AF32" s="27"/>
      <x:c r="AG32" s="27"/>
      <x:c r="AH32" s="27"/>
      <x:c r="AI32" s="27"/>
      <x:c r="AJ32" s="27"/>
      <x:c r="AK32" s="27"/>
      <x:c r="AL32" s="27"/>
      <x:c r="AM32" s="27"/>
      <x:c r="AN32" s="27"/>
      <x:c r="AO32" s="27"/>
      <x:c r="AP32" s="27"/>
      <x:c r="AQ32" s="27"/>
      <x:c r="AR32" s="27" t="str">
        <x:f>IF(C32="","",SUM(H32,N32,T32,Z32,AF32,AL32))</x:f>
      </x:c>
      <x:c r="AS32" s="27" t="str">
        <x:f>IF(C32="","",SUM(I32,O32,U32,AA32,AG32,AM32))</x:f>
      </x:c>
      <x:c r="AT32" s="27" t="str">
        <x:f>IF(C32="","",SUM(J32,P32,V32,AB32,AH32,AN32))</x:f>
      </x:c>
      <x:c r="AU32" s="27" t="str">
        <x:f>IF(C32="","",SUM(K32,Q32,W32,AC32,AI32,AO32))</x:f>
      </x:c>
      <x:c r="AV32" s="27" t="str">
        <x:f>IF(C32="","",SUM(L32,R32,X32,AD32,AJ32,AP32))</x:f>
      </x:c>
      <x:c r="AW32" s="27" t="str">
        <x:f>IF(C32="","",SUM(M32,S32,Y32,AE32,AK32,AQ32))</x:f>
      </x:c>
      <x:c r="AX32" s="27" t="str">
        <x:f>IF(C32="","",IF(IF(AS32*1000000+SUM(U32,AM32)*10000+SUM(O32,AG32)*100+SUM(I32,AA32)+0.005&gt;AR32*1000000+SUM(T32,AL32)*10000+SUM(N32,AF32)*100+SUM(H32,Z32)+0.006,1,0)+IF(AT32*1000000+SUM(V32,AN32)*10000+SUM(P32,AH32)*100+SUM(J32,AB32)+0.004&gt;AR32*1000000+SUM(T32,AL32)*10000+SUM(N32,AF32)*100+SUM(H32,Z32)+0.006,1,0)+IF(AU32*1000000+SUM(W32,AO32)*10000+SUM(Q32,AI32)*100+SUM(K32,AC32)+0.003&gt;AR32*1000000+SUM(T32,AL32)*10000+SUM(N32,AF32)*100+SUM(H32,Z32)+0.006,1,0)+IF(AV32*1000000+SUM(X32,AP32)*10000+SUM(R32,AJ32)*100+SUM(L32,AD32)+0.002&gt;AR32*1000000+SUM(T32,AL32)*10000+SUM(N32,AF32)*100+SUM(H32,Z32)+0.006,1,0)+IF(AW32*1000000+SUM(Y32,AQ32)*10000+SUM(S32,AK32)*100+SUM(M32,AE32)+0.001&gt;AR32*1000000+SUM(T32,AL32)*10000+SUM(N32,AF32)*100+SUM(H32,Z32)+0.006,1,0)=0,"R",IF(IF(AR32*1000000+SUM(T32,AL32)*10000+SUM(N32,AF32)*100+SUM(H32,Z32)+0.006&gt;AS32*1000000+SUM(U32,AM32)*10000+SUM(O32,AG32)*100+SUM(I32,AA32)+0.005,1,0)+IF(AT32*1000000+SUM(V32,AN32)*10000+SUM(P32,AH32)*100+SUM(J32,AB32)+0.004&gt;AS32*1000000+SUM(U32,AM32)*10000+SUM(O32,AG32)*100+SUM(I32,AA32)+0.005,1,0)+IF(AU32*1000000+SUM(W32,AO32)*10000+SUM(Q32,AI32)*100+SUM(K32,AC32)+0.003&gt;AS32*1000000+SUM(U32,AM32)*10000+SUM(O32,AG32)*100+SUM(I32,AA32)+0.005,1,0)+IF(AV32*1000000+SUM(X32,AP32)*10000+SUM(R32,AJ32)*100+SUM(L32,AD32)+0.002&gt;AS32*1000000+SUM(U32,AM32)*10000+SUM(O32,AG32)*100+SUM(I32,AA32)+0.005,1,0)+IF(AW32*1000000+SUM(Y32,AQ32)*10000+SUM(S32,AK32)*100+SUM(M32,AE32)+0.001&gt;AS32*1000000+SUM(U32,AM32)*10000+SUM(O32,AG32)*100+SUM(I32,AA32)+0.005,1,0)=0,"I",IF(IF(AR32*1000000+SUM(T32,AL32)*10000+SUM(N32,AF32)*100+SUM(H32,Z32)+0.006&gt;AT32*1000000+SUM(V32,AN32)*10000+SUM(P32,AH32)*100+SUM(J32,AB32)+0.004,1,0)+IF(AS32*1000000+SUM(U32,AM32)*10000+SUM(O32,AG32)*100+SUM(I32,AA32)+0.005&gt;AT32*1000000+SUM(V32,AN32)*10000+SUM(P32,AH32)*100+SUM(J32,AB32)+0.004,1,0)+IF(AU32*1000000+SUM(W32,AO32)*10000+SUM(Q32,AI32)*100+SUM(K32,AC32)+0.003&gt;AT32*1000000+SUM(V32,AN32)*10000+SUM(P32,AH32)*100+SUM(J32,AB32)+0.004,1,0)+IF(AV32*1000000+SUM(X32,AP32)*10000+SUM(R32,AJ32)*100+SUM(L32,AD32)+0.002&gt;AT32*1000000+SUM(V32,AN32)*10000+SUM(P32,AH32)*100+SUM(J32,AB32)+0.004,1,0)+IF(AW32*1000000+SUM(Y32,AQ32)*10000+SUM(S32,AK32)*100+SUM(M32,AE32)+0.001&gt;AT32*1000000+SUM(V32,AN32)*10000+SUM(P32,AH32)*100+SUM(J32,AB32)+0.004,1,0)=0,"A",IF(IF(AR32*1000000+SUM(T32,AL32)*10000+SUM(N32,AF32)*100+SUM(H32,Z32)+0.006&gt;AU32*1000000+SUM(W32,AO32)*10000+SUM(Q32,AI32)*100+SUM(K32,AC32)+0.003,1,0)+IF(AS32*1000000+SUM(U32,AM32)*10000+SUM(O32,AG32)*100+SUM(I32,AA32)+0.005&gt;AU32*1000000+SUM(W32,AO32)*10000+SUM(Q32,AI32)*100+SUM(K32,AC32)+0.003,1,0)+IF(AT32*1000000+SUM(V32,AN32)*10000+SUM(P32,AH32)*100+SUM(J32,AB32)+0.004&gt;AU32*1000000+SUM(W32,AO32)*10000+SUM(Q32,AI32)*100+SUM(K32,AC32)+0.003,1,0)+IF(AV32*1000000+SUM(X32,AP32)*10000+SUM(R32,AJ32)*100+SUM(L32,AD32)+0.002&gt;AU32*1000000+SUM(W32,AO32)*10000+SUM(Q32,AI32)*100+SUM(K32,AC32)+0.003,1,0)+IF(AW32*1000000+SUM(Y32,AQ32)*10000+SUM(S32,AK32)*100+SUM(M32,AE32)+0.001&gt;AU32*1000000+SUM(W32,AO32)*10000+SUM(Q32,AI32)*100+SUM(K32,AC32)+0.003,1,0)=0,"S",IF(IF(AR32*1000000+SUM(T32,AL32)*10000+SUM(N32,AF32)*100+SUM(H32,Z32)+0.006&gt;AV32*1000000+SUM(X32,AP32)*10000+SUM(R32,AJ32)*100+SUM(L32,AD32)+0.002,1,0)+IF(AS32*1000000+SUM(U32,AM32)*10000+SUM(O32,AG32)*100+SUM(I32,AA32)+0.005&gt;AV32*1000000+SUM(X32,AP32)*10000+SUM(R32,AJ32)*100+SUM(L32,AD32)+0.002,1,0)+IF(AT32*1000000+SUM(V32,AN32)*10000+SUM(P32,AH32)*100+SUM(J32,AB32)+0.004&gt;AV32*1000000+SUM(X32,AP32)*10000+SUM(R32,AJ32)*100+SUM(L32,AD32)+0.002,1,0)+IF(AU32*1000000+SUM(W32,AO32)*10000+SUM(Q32,AI32)*100+SUM(K32,AC32)+0.003&gt;AV32*1000000+SUM(X32,AP32)*10000+SUM(R32,AJ32)*100+SUM(L32,AD32)+0.002,1,0)+IF(AW32*1000000+SUM(Y32,AQ32)*10000+SUM(S32,AK32)*100+SUM(M32,AE32)+0.001&gt;AV32*1000000+SUM(X32,AP32)*10000+SUM(R32,AJ32)*100+SUM(L32,AD32)+0.002,1,0)=0,"E",IF(IF(AR32*1000000+SUM(T32,AL32)*10000+SUM(N32,AF32)*100+SUM(H32,Z32)+0.006&gt;AW32*1000000+SUM(Y32,AQ32)*10000+SUM(S32,AK32)*100+SUM(M32,AE32)+0.001,1,0)+IF(AS32*1000000+SUM(U32,AM32)*10000+SUM(O32,AG32)*100+SUM(I32,AA32)+0.005&gt;AW32*1000000+SUM(Y32,AQ32)*10000+SUM(S32,AK32)*100+SUM(M32,AE32)+0.001,1,0)+IF(AT32*1000000+SUM(V32,AN32)*10000+SUM(P32,AH32)*100+SUM(J32,AB32)+0.004&gt;AW32*1000000+SUM(Y32,AQ32)*10000+SUM(S32,AK32)*100+SUM(M32,AE32)+0.001,1,0)+IF(AU32*1000000+SUM(W32,AO32)*10000+SUM(Q32,AI32)*100+SUM(K32,AC32)+0.003&gt;AW32*1000000+SUM(Y32,AQ32)*10000+SUM(S32,AK32)*100+SUM(M32,AE32)+0.001,1,0)+IF(AV32*1000000+SUM(X32,AP32)*10000+SUM(R32,AJ32)*100+SUM(L32,AD32)+0.002&gt;AW32*1000000+SUM(Y32,AQ32)*10000+SUM(S32,AK32)*100+SUM(M32,AE32)+0.001,1,0)=0,"C",""))))))&amp;IF(IF(AS32*1000000+SUM(U32,AM32)*10000+SUM(O32,AG32)*100+SUM(I32,AA32)+0.005&gt;AR32*1000000+SUM(T32,AL32)*10000+SUM(N32,AF32)*100+SUM(H32,Z32)+0.006,1,0)+IF(AT32*1000000+SUM(V32,AN32)*10000+SUM(P32,AH32)*100+SUM(J32,AB32)+0.004&gt;AR32*1000000+SUM(T32,AL32)*10000+SUM(N32,AF32)*100+SUM(H32,Z32)+0.006,1,0)+IF(AU32*1000000+SUM(W32,AO32)*10000+SUM(Q32,AI32)*100+SUM(K32,AC32)+0.003&gt;AR32*1000000+SUM(T32,AL32)*10000+SUM(N32,AF32)*100+SUM(H32,Z32)+0.006,1,0)+IF(AV32*1000000+SUM(X32,AP32)*10000+SUM(R32,AJ32)*100+SUM(L32,AD32)+0.002&gt;AR32*1000000+SUM(T32,AL32)*10000+SUM(N32,AF32)*100+SUM(H32,Z32)+0.006,1,0)+IF(AW32*1000000+SUM(Y32,AQ32)*10000+SUM(S32,AK32)*100+SUM(M32,AE32)+0.001&gt;AR32*1000000+SUM(T32,AL32)*10000+SUM(N32,AF32)*100+SUM(H32,Z32)+0.006,1,0)=1,"R",IF(IF(AR32*1000000+SUM(T32,AL32)*10000+SUM(N32,AF32)*100+SUM(H32,Z32)+0.006&gt;AS32*1000000+SUM(U32,AM32)*10000+SUM(O32,AG32)*100+SUM(I32,AA32)+0.005,1,0)+IF(AT32*1000000+SUM(V32,AN32)*10000+SUM(P32,AH32)*100+SUM(J32,AB32)+0.004&gt;AS32*1000000+SUM(U32,AM32)*10000+SUM(O32,AG32)*100+SUM(I32,AA32)+0.005,1,0)+IF(AU32*1000000+SUM(W32,AO32)*10000+SUM(Q32,AI32)*100+SUM(K32,AC32)+0.003&gt;AS32*1000000+SUM(U32,AM32)*10000+SUM(O32,AG32)*100+SUM(I32,AA32)+0.005,1,0)+IF(AV32*1000000+SUM(X32,AP32)*10000+SUM(R32,AJ32)*100+SUM(L32,AD32)+0.002&gt;AS32*1000000+SUM(U32,AM32)*10000+SUM(O32,AG32)*100+SUM(I32,AA32)+0.005,1,0)+IF(AW32*1000000+SUM(Y32,AQ32)*10000+SUM(S32,AK32)*100+SUM(M32,AE32)+0.001&gt;AS32*1000000+SUM(U32,AM32)*10000+SUM(O32,AG32)*100+SUM(I32,AA32)+0.005,1,0)=1,"I",IF(IF(AR32*1000000+SUM(T32,AL32)*10000+SUM(N32,AF32)*100+SUM(H32,Z32)+0.006&gt;AT32*1000000+SUM(V32,AN32)*10000+SUM(P32,AH32)*100+SUM(J32,AB32)+0.004,1,0)+IF(AS32*1000000+SUM(U32,AM32)*10000+SUM(O32,AG32)*100+SUM(I32,AA32)+0.005&gt;AT32*1000000+SUM(V32,AN32)*10000+SUM(P32,AH32)*100+SUM(J32,AB32)+0.004,1,0)+IF(AU32*1000000+SUM(W32,AO32)*10000+SUM(Q32,AI32)*100+SUM(K32,AC32)+0.003&gt;AT32*1000000+SUM(V32,AN32)*10000+SUM(P32,AH32)*100+SUM(J32,AB32)+0.004,1,0)+IF(AV32*1000000+SUM(X32,AP32)*10000+SUM(R32,AJ32)*100+SUM(L32,AD32)+0.002&gt;AT32*1000000+SUM(V32,AN32)*10000+SUM(P32,AH32)*100+SUM(J32,AB32)+0.004,1,0)+IF(AW32*1000000+SUM(Y32,AQ32)*10000+SUM(S32,AK32)*100+SUM(M32,AE32)+0.001&gt;AT32*1000000+SUM(V32,AN32)*10000+SUM(P32,AH32)*100+SUM(J32,AB32)+0.004,1,0)=1,"A",IF(IF(AR32*1000000+SUM(T32,AL32)*10000+SUM(N32,AF32)*100+SUM(H32,Z32)+0.006&gt;AU32*1000000+SUM(W32,AO32)*10000+SUM(Q32,AI32)*100+SUM(K32,AC32)+0.003,1,0)+IF(AS32*1000000+SUM(U32,AM32)*10000+SUM(O32,AG32)*100+SUM(I32,AA32)+0.005&gt;AU32*1000000+SUM(W32,AO32)*10000+SUM(Q32,AI32)*100+SUM(K32,AC32)+0.003,1,0)+IF(AT32*1000000+SUM(V32,AN32)*10000+SUM(P32,AH32)*100+SUM(J32,AB32)+0.004&gt;AU32*1000000+SUM(W32,AO32)*10000+SUM(Q32,AI32)*100+SUM(K32,AC32)+0.003,1,0)+IF(AV32*1000000+SUM(X32,AP32)*10000+SUM(R32,AJ32)*100+SUM(L32,AD32)+0.002&gt;AU32*1000000+SUM(W32,AO32)*10000+SUM(Q32,AI32)*100+SUM(K32,AC32)+0.003,1,0)+IF(AW32*1000000+SUM(Y32,AQ32)*10000+SUM(S32,AK32)*100+SUM(M32,AE32)+0.001&gt;AU32*1000000+SUM(W32,AO32)*10000+SUM(Q32,AI32)*100+SUM(K32,AC32)+0.003,1,0)=1,"S",IF(IF(AR32*1000000+SUM(T32,AL32)*10000+SUM(N32,AF32)*100+SUM(H32,Z32)+0.006&gt;AV32*1000000+SUM(X32,AP32)*10000+SUM(R32,AJ32)*100+SUM(L32,AD32)+0.002,1,0)+IF(AS32*1000000+SUM(U32,AM32)*10000+SUM(O32,AG32)*100+SUM(I32,AA32)+0.005&gt;AV32*1000000+SUM(X32,AP32)*10000+SUM(R32,AJ32)*100+SUM(L32,AD32)+0.002,1,0)+IF(AT32*1000000+SUM(V32,AN32)*10000+SUM(P32,AH32)*100+SUM(J32,AB32)+0.004&gt;AV32*1000000+SUM(X32,AP32)*10000+SUM(R32,AJ32)*100+SUM(L32,AD32)+0.002,1,0)+IF(AU32*1000000+SUM(W32,AO32)*10000+SUM(Q32,AI32)*100+SUM(K32,AC32)+0.003&gt;AV32*1000000+SUM(X32,AP32)*10000+SUM(R32,AJ32)*100+SUM(L32,AD32)+0.002,1,0)+IF(AW32*1000000+SUM(Y32,AQ32)*10000+SUM(S32,AK32)*100+SUM(M32,AE32)+0.001&gt;AV32*1000000+SUM(X32,AP32)*10000+SUM(R32,AJ32)*100+SUM(L32,AD32)+0.002,1,0)=1,"E",IF(IF(AR32*1000000+SUM(T32,AL32)*10000+SUM(N32,AF32)*100+SUM(H32,Z32)+0.006&gt;AW32*1000000+SUM(Y32,AQ32)*10000+SUM(S32,AK32)*100+SUM(M32,AE32)+0.001,1,0)+IF(AS32*1000000+SUM(U32,AM32)*10000+SUM(O32,AG32)*100+SUM(I32,AA32)+0.005&gt;AW32*1000000+SUM(Y32,AQ32)*10000+SUM(S32,AK32)*100+SUM(M32,AE32)+0.001,1,0)+IF(AT32*1000000+SUM(V32,AN32)*10000+SUM(P32,AH32)*100+SUM(J32,AB32)+0.004&gt;AW32*1000000+SUM(Y32,AQ32)*10000+SUM(S32,AK32)*100+SUM(M32,AE32)+0.001,1,0)+IF(AU32*1000000+SUM(W32,AO32)*10000+SUM(Q32,AI32)*100+SUM(K32,AC32)+0.003&gt;AW32*1000000+SUM(Y32,AQ32)*10000+SUM(S32,AK32)*100+SUM(M32,AE32)+0.001,1,0)+IF(AV32*1000000+SUM(X32,AP32)*10000+SUM(R32,AJ32)*100+SUM(L32,AD32)+0.002&gt;AW32*1000000+SUM(Y32,AQ32)*10000+SUM(S32,AK32)*100+SUM(M32,AE32)+0.001,1,0)=1,"C",""))))))&amp;IF(IF(AS32*1000000+SUM(U32,AM32)*10000+SUM(O32,AG32)*100+SUM(I32,AA32)+0.005&gt;AR32*1000000+SUM(T32,AL32)*10000+SUM(N32,AF32)*100+SUM(H32,Z32)+0.006,1,0)+IF(AT32*1000000+SUM(V32,AN32)*10000+SUM(P32,AH32)*100+SUM(J32,AB32)+0.004&gt;AR32*1000000+SUM(T32,AL32)*10000+SUM(N32,AF32)*100+SUM(H32,Z32)+0.006,1,0)+IF(AU32*1000000+SUM(W32,AO32)*10000+SUM(Q32,AI32)*100+SUM(K32,AC32)+0.003&gt;AR32*1000000+SUM(T32,AL32)*10000+SUM(N32,AF32)*100+SUM(H32,Z32)+0.006,1,0)+IF(AV32*1000000+SUM(X32,AP32)*10000+SUM(R32,AJ32)*100+SUM(L32,AD32)+0.002&gt;AR32*1000000+SUM(T32,AL32)*10000+SUM(N32,AF32)*100+SUM(H32,Z32)+0.006,1,0)+IF(AW32*1000000+SUM(Y32,AQ32)*10000+SUM(S32,AK32)*100+SUM(M32,AE32)+0.001&gt;AR32*1000000+SUM(T32,AL32)*10000+SUM(N32,AF32)*100+SUM(H32,Z32)+0.006,1,0)=2,"R",IF(IF(AR32*1000000+SUM(T32,AL32)*10000+SUM(N32,AF32)*100+SUM(H32,Z32)+0.006&gt;AS32*1000000+SUM(U32,AM32)*10000+SUM(O32,AG32)*100+SUM(I32,AA32)+0.005,1,0)+IF(AT32*1000000+SUM(V32,AN32)*10000+SUM(P32,AH32)*100+SUM(J32,AB32)+0.004&gt;AS32*1000000+SUM(U32,AM32)*10000+SUM(O32,AG32)*100+SUM(I32,AA32)+0.005,1,0)+IF(AU32*1000000+SUM(W32,AO32)*10000+SUM(Q32,AI32)*100+SUM(K32,AC32)+0.003&gt;AS32*1000000+SUM(U32,AM32)*10000+SUM(O32,AG32)*100+SUM(I32,AA32)+0.005,1,0)+IF(AV32*1000000+SUM(X32,AP32)*10000+SUM(R32,AJ32)*100+SUM(L32,AD32)+0.002&gt;AS32*1000000+SUM(U32,AM32)*10000+SUM(O32,AG32)*100+SUM(I32,AA32)+0.005,1,0)+IF(AW32*1000000+SUM(Y32,AQ32)*10000+SUM(S32,AK32)*100+SUM(M32,AE32)+0.001&gt;AS32*1000000+SUM(U32,AM32)*10000+SUM(O32,AG32)*100+SUM(I32,AA32)+0.005,1,0)=2,"I",IF(IF(AR32*1000000+SUM(T32,AL32)*10000+SUM(N32,AF32)*100+SUM(H32,Z32)+0.006&gt;AT32*1000000+SUM(V32,AN32)*10000+SUM(P32,AH32)*100+SUM(J32,AB32)+0.004,1,0)+IF(AS32*1000000+SUM(U32,AM32)*10000+SUM(O32,AG32)*100+SUM(I32,AA32)+0.005&gt;AT32*1000000+SUM(V32,AN32)*10000+SUM(P32,AH32)*100+SUM(J32,AB32)+0.004,1,0)+IF(AU32*1000000+SUM(W32,AO32)*10000+SUM(Q32,AI32)*100+SUM(K32,AC32)+0.003&gt;AT32*1000000+SUM(V32,AN32)*10000+SUM(P32,AH32)*100+SUM(J32,AB32)+0.004,1,0)+IF(AV32*1000000+SUM(X32,AP32)*10000+SUM(R32,AJ32)*100+SUM(L32,AD32)+0.002&gt;AT32*1000000+SUM(V32,AN32)*10000+SUM(P32,AH32)*100+SUM(J32,AB32)+0.004,1,0)+IF(AW32*1000000+SUM(Y32,AQ32)*10000+SUM(S32,AK32)*100+SUM(M32,AE32)+0.001&gt;AT32*1000000+SUM(V32,AN32)*10000+SUM(P32,AH32)*100+SUM(J32,AB32)+0.004,1,0)=2,"A",IF(IF(AR32*1000000+SUM(T32,AL32)*10000+SUM(N32,AF32)*100+SUM(H32,Z32)+0.006&gt;AU32*1000000+SUM(W32,AO32)*10000+SUM(Q32,AI32)*100+SUM(K32,AC32)+0.003,1,0)+IF(AS32*1000000+SUM(U32,AM32)*10000+SUM(O32,AG32)*100+SUM(I32,AA32)+0.005&gt;AU32*1000000+SUM(W32,AO32)*10000+SUM(Q32,AI32)*100+SUM(K32,AC32)+0.003,1,0)+IF(AT32*1000000+SUM(V32,AN32)*10000+SUM(P32,AH32)*100+SUM(J32,AB32)+0.004&gt;AU32*1000000+SUM(W32,AO32)*10000+SUM(Q32,AI32)*100+SUM(K32,AC32)+0.003,1,0)+IF(AV32*1000000+SUM(X32,AP32)*10000+SUM(R32,AJ32)*100+SUM(L32,AD32)+0.002&gt;AU32*1000000+SUM(W32,AO32)*10000+SUM(Q32,AI32)*100+SUM(K32,AC32)+0.003,1,0)+IF(AW32*1000000+SUM(Y32,AQ32)*10000+SUM(S32,AK32)*100+SUM(M32,AE32)+0.001&gt;AU32*1000000+SUM(W32,AO32)*10000+SUM(Q32,AI32)*100+SUM(K32,AC32)+0.003,1,0)=2,"S",IF(IF(AR32*1000000+SUM(T32,AL32)*10000+SUM(N32,AF32)*100+SUM(H32,Z32)+0.006&gt;AV32*1000000+SUM(X32,AP32)*10000+SUM(R32,AJ32)*100+SUM(L32,AD32)+0.002,1,0)+IF(AS32*1000000+SUM(U32,AM32)*10000+SUM(O32,AG32)*100+SUM(I32,AA32)+0.005&gt;AV32*1000000+SUM(X32,AP32)*10000+SUM(R32,AJ32)*100+SUM(L32,AD32)+0.002,1,0)+IF(AT32*1000000+SUM(V32,AN32)*10000+SUM(P32,AH32)*100+SUM(J32,AB32)+0.004&gt;AV32*1000000+SUM(X32,AP32)*10000+SUM(R32,AJ32)*100+SUM(L32,AD32)+0.002,1,0)+IF(AU32*1000000+SUM(W32,AO32)*10000+SUM(Q32,AI32)*100+SUM(K32,AC32)+0.003&gt;AV32*1000000+SUM(X32,AP32)*10000+SUM(R32,AJ32)*100+SUM(L32,AD32)+0.002,1,0)+IF(AW32*1000000+SUM(Y32,AQ32)*10000+SUM(S32,AK32)*100+SUM(M32,AE32)+0.001&gt;AV32*1000000+SUM(X32,AP32)*10000+SUM(R32,AJ32)*100+SUM(L32,AD32)+0.002,1,0)=2,"E",IF(IF(AR32*1000000+SUM(T32,AL32)*10000+SUM(N32,AF32)*100+SUM(H32,Z32)+0.006&gt;AW32*1000000+SUM(Y32,AQ32)*10000+SUM(S32,AK32)*100+SUM(M32,AE32)+0.001,1,0)+IF(AS32*1000000+SUM(U32,AM32)*10000+SUM(O32,AG32)*100+SUM(I32,AA32)+0.005&gt;AW32*1000000+SUM(Y32,AQ32)*10000+SUM(S32,AK32)*100+SUM(M32,AE32)+0.001,1,0)+IF(AT32*1000000+SUM(V32,AN32)*10000+SUM(P32,AH32)*100+SUM(J32,AB32)+0.004&gt;AW32*1000000+SUM(Y32,AQ32)*10000+SUM(S32,AK32)*100+SUM(M32,AE32)+0.001,1,0)+IF(AU32*1000000+SUM(W32,AO32)*10000+SUM(Q32,AI32)*100+SUM(K32,AC32)+0.003&gt;AW32*1000000+SUM(Y32,AQ32)*10000+SUM(S32,AK32)*100+SUM(M32,AE32)+0.001,1,0)+IF(AV32*1000000+SUM(X32,AP32)*10000+SUM(R32,AJ32)*100+SUM(L32,AD32)+0.002&gt;AW32*1000000+SUM(Y32,AQ32)*10000+SUM(S32,AK32)*100+SUM(M32,AE32)+0.001,1,0)=2,"C","")))))))</x:f>
      </x:c>
      <x:c r="AY32" s="27" t="str">
        <x:f>IF(C32="","",IF(LEFT(AX32,1)="R","นักปฏิบัติ",IF(LEFT(AX32,1)="I","นักคิดวิเคราะห์",IF(LEFT(AX32,1)="A","นักสร้างสรรค์",IF(LEFT(AX32,1)="S","ผู้เข้าใจผู้คน",IF(LEFT(AX32,1)="E","ผู้นำการเปลี่ยนแปลง","ผู้จัดระบบ"))))))</x:f>
      </x:c>
    </x:row>
    <x:row r="33">
      <x:c r="A33" s="27"/>
      <x:c r="B33" s="28"/>
      <x:c r="C33" s="27"/>
      <x:c r="D33" s="27"/>
      <x:c r="E33" s="27"/>
      <x:c r="F33" s="27"/>
      <x:c r="G33" s="27"/>
      <x:c r="H33" s="27"/>
      <x:c r="I33" s="27"/>
      <x:c r="J33" s="27"/>
      <x:c r="K33" s="27"/>
      <x:c r="L33" s="27"/>
      <x:c r="M33" s="27"/>
      <x:c r="N33" s="27"/>
      <x:c r="O33" s="27"/>
      <x:c r="P33" s="27"/>
      <x:c r="Q33" s="27"/>
      <x:c r="R33" s="27"/>
      <x:c r="S33" s="27"/>
      <x:c r="T33" s="27"/>
      <x:c r="U33" s="27"/>
      <x:c r="V33" s="27"/>
      <x:c r="W33" s="27"/>
      <x:c r="X33" s="27"/>
      <x:c r="Y33" s="27"/>
      <x:c r="Z33" s="27"/>
      <x:c r="AA33" s="27"/>
      <x:c r="AB33" s="27"/>
      <x:c r="AC33" s="27"/>
      <x:c r="AD33" s="27"/>
      <x:c r="AE33" s="27"/>
      <x:c r="AF33" s="27"/>
      <x:c r="AG33" s="27"/>
      <x:c r="AH33" s="27"/>
      <x:c r="AI33" s="27"/>
      <x:c r="AJ33" s="27"/>
      <x:c r="AK33" s="27"/>
      <x:c r="AL33" s="27"/>
      <x:c r="AM33" s="27"/>
      <x:c r="AN33" s="27"/>
      <x:c r="AO33" s="27"/>
      <x:c r="AP33" s="27"/>
      <x:c r="AQ33" s="27"/>
      <x:c r="AR33" s="27" t="str">
        <x:f>IF(C33="","",SUM(H33,N33,T33,Z33,AF33,AL33))</x:f>
      </x:c>
      <x:c r="AS33" s="27" t="str">
        <x:f>IF(C33="","",SUM(I33,O33,U33,AA33,AG33,AM33))</x:f>
      </x:c>
      <x:c r="AT33" s="27" t="str">
        <x:f>IF(C33="","",SUM(J33,P33,V33,AB33,AH33,AN33))</x:f>
      </x:c>
      <x:c r="AU33" s="27" t="str">
        <x:f>IF(C33="","",SUM(K33,Q33,W33,AC33,AI33,AO33))</x:f>
      </x:c>
      <x:c r="AV33" s="27" t="str">
        <x:f>IF(C33="","",SUM(L33,R33,X33,AD33,AJ33,AP33))</x:f>
      </x:c>
      <x:c r="AW33" s="27" t="str">
        <x:f>IF(C33="","",SUM(M33,S33,Y33,AE33,AK33,AQ33))</x:f>
      </x:c>
      <x:c r="AX33" s="27" t="str">
        <x:f>IF(C33="","",IF(IF(AS33*1000000+SUM(U33,AM33)*10000+SUM(O33,AG33)*100+SUM(I33,AA33)+0.005&gt;AR33*1000000+SUM(T33,AL33)*10000+SUM(N33,AF33)*100+SUM(H33,Z33)+0.006,1,0)+IF(AT33*1000000+SUM(V33,AN33)*10000+SUM(P33,AH33)*100+SUM(J33,AB33)+0.004&gt;AR33*1000000+SUM(T33,AL33)*10000+SUM(N33,AF33)*100+SUM(H33,Z33)+0.006,1,0)+IF(AU33*1000000+SUM(W33,AO33)*10000+SUM(Q33,AI33)*100+SUM(K33,AC33)+0.003&gt;AR33*1000000+SUM(T33,AL33)*10000+SUM(N33,AF33)*100+SUM(H33,Z33)+0.006,1,0)+IF(AV33*1000000+SUM(X33,AP33)*10000+SUM(R33,AJ33)*100+SUM(L33,AD33)+0.002&gt;AR33*1000000+SUM(T33,AL33)*10000+SUM(N33,AF33)*100+SUM(H33,Z33)+0.006,1,0)+IF(AW33*1000000+SUM(Y33,AQ33)*10000+SUM(S33,AK33)*100+SUM(M33,AE33)+0.001&gt;AR33*1000000+SUM(T33,AL33)*10000+SUM(N33,AF33)*100+SUM(H33,Z33)+0.006,1,0)=0,"R",IF(IF(AR33*1000000+SUM(T33,AL33)*10000+SUM(N33,AF33)*100+SUM(H33,Z33)+0.006&gt;AS33*1000000+SUM(U33,AM33)*10000+SUM(O33,AG33)*100+SUM(I33,AA33)+0.005,1,0)+IF(AT33*1000000+SUM(V33,AN33)*10000+SUM(P33,AH33)*100+SUM(J33,AB33)+0.004&gt;AS33*1000000+SUM(U33,AM33)*10000+SUM(O33,AG33)*100+SUM(I33,AA33)+0.005,1,0)+IF(AU33*1000000+SUM(W33,AO33)*10000+SUM(Q33,AI33)*100+SUM(K33,AC33)+0.003&gt;AS33*1000000+SUM(U33,AM33)*10000+SUM(O33,AG33)*100+SUM(I33,AA33)+0.005,1,0)+IF(AV33*1000000+SUM(X33,AP33)*10000+SUM(R33,AJ33)*100+SUM(L33,AD33)+0.002&gt;AS33*1000000+SUM(U33,AM33)*10000+SUM(O33,AG33)*100+SUM(I33,AA33)+0.005,1,0)+IF(AW33*1000000+SUM(Y33,AQ33)*10000+SUM(S33,AK33)*100+SUM(M33,AE33)+0.001&gt;AS33*1000000+SUM(U33,AM33)*10000+SUM(O33,AG33)*100+SUM(I33,AA33)+0.005,1,0)=0,"I",IF(IF(AR33*1000000+SUM(T33,AL33)*10000+SUM(N33,AF33)*100+SUM(H33,Z33)+0.006&gt;AT33*1000000+SUM(V33,AN33)*10000+SUM(P33,AH33)*100+SUM(J33,AB33)+0.004,1,0)+IF(AS33*1000000+SUM(U33,AM33)*10000+SUM(O33,AG33)*100+SUM(I33,AA33)+0.005&gt;AT33*1000000+SUM(V33,AN33)*10000+SUM(P33,AH33)*100+SUM(J33,AB33)+0.004,1,0)+IF(AU33*1000000+SUM(W33,AO33)*10000+SUM(Q33,AI33)*100+SUM(K33,AC33)+0.003&gt;AT33*1000000+SUM(V33,AN33)*10000+SUM(P33,AH33)*100+SUM(J33,AB33)+0.004,1,0)+IF(AV33*1000000+SUM(X33,AP33)*10000+SUM(R33,AJ33)*100+SUM(L33,AD33)+0.002&gt;AT33*1000000+SUM(V33,AN33)*10000+SUM(P33,AH33)*100+SUM(J33,AB33)+0.004,1,0)+IF(AW33*1000000+SUM(Y33,AQ33)*10000+SUM(S33,AK33)*100+SUM(M33,AE33)+0.001&gt;AT33*1000000+SUM(V33,AN33)*10000+SUM(P33,AH33)*100+SUM(J33,AB33)+0.004,1,0)=0,"A",IF(IF(AR33*1000000+SUM(T33,AL33)*10000+SUM(N33,AF33)*100+SUM(H33,Z33)+0.006&gt;AU33*1000000+SUM(W33,AO33)*10000+SUM(Q33,AI33)*100+SUM(K33,AC33)+0.003,1,0)+IF(AS33*1000000+SUM(U33,AM33)*10000+SUM(O33,AG33)*100+SUM(I33,AA33)+0.005&gt;AU33*1000000+SUM(W33,AO33)*10000+SUM(Q33,AI33)*100+SUM(K33,AC33)+0.003,1,0)+IF(AT33*1000000+SUM(V33,AN33)*10000+SUM(P33,AH33)*100+SUM(J33,AB33)+0.004&gt;AU33*1000000+SUM(W33,AO33)*10000+SUM(Q33,AI33)*100+SUM(K33,AC33)+0.003,1,0)+IF(AV33*1000000+SUM(X33,AP33)*10000+SUM(R33,AJ33)*100+SUM(L33,AD33)+0.002&gt;AU33*1000000+SUM(W33,AO33)*10000+SUM(Q33,AI33)*100+SUM(K33,AC33)+0.003,1,0)+IF(AW33*1000000+SUM(Y33,AQ33)*10000+SUM(S33,AK33)*100+SUM(M33,AE33)+0.001&gt;AU33*1000000+SUM(W33,AO33)*10000+SUM(Q33,AI33)*100+SUM(K33,AC33)+0.003,1,0)=0,"S",IF(IF(AR33*1000000+SUM(T33,AL33)*10000+SUM(N33,AF33)*100+SUM(H33,Z33)+0.006&gt;AV33*1000000+SUM(X33,AP33)*10000+SUM(R33,AJ33)*100+SUM(L33,AD33)+0.002,1,0)+IF(AS33*1000000+SUM(U33,AM33)*10000+SUM(O33,AG33)*100+SUM(I33,AA33)+0.005&gt;AV33*1000000+SUM(X33,AP33)*10000+SUM(R33,AJ33)*100+SUM(L33,AD33)+0.002,1,0)+IF(AT33*1000000+SUM(V33,AN33)*10000+SUM(P33,AH33)*100+SUM(J33,AB33)+0.004&gt;AV33*1000000+SUM(X33,AP33)*10000+SUM(R33,AJ33)*100+SUM(L33,AD33)+0.002,1,0)+IF(AU33*1000000+SUM(W33,AO33)*10000+SUM(Q33,AI33)*100+SUM(K33,AC33)+0.003&gt;AV33*1000000+SUM(X33,AP33)*10000+SUM(R33,AJ33)*100+SUM(L33,AD33)+0.002,1,0)+IF(AW33*1000000+SUM(Y33,AQ33)*10000+SUM(S33,AK33)*100+SUM(M33,AE33)+0.001&gt;AV33*1000000+SUM(X33,AP33)*10000+SUM(R33,AJ33)*100+SUM(L33,AD33)+0.002,1,0)=0,"E",IF(IF(AR33*1000000+SUM(T33,AL33)*10000+SUM(N33,AF33)*100+SUM(H33,Z33)+0.006&gt;AW33*1000000+SUM(Y33,AQ33)*10000+SUM(S33,AK33)*100+SUM(M33,AE33)+0.001,1,0)+IF(AS33*1000000+SUM(U33,AM33)*10000+SUM(O33,AG33)*100+SUM(I33,AA33)+0.005&gt;AW33*1000000+SUM(Y33,AQ33)*10000+SUM(S33,AK33)*100+SUM(M33,AE33)+0.001,1,0)+IF(AT33*1000000+SUM(V33,AN33)*10000+SUM(P33,AH33)*100+SUM(J33,AB33)+0.004&gt;AW33*1000000+SUM(Y33,AQ33)*10000+SUM(S33,AK33)*100+SUM(M33,AE33)+0.001,1,0)+IF(AU33*1000000+SUM(W33,AO33)*10000+SUM(Q33,AI33)*100+SUM(K33,AC33)+0.003&gt;AW33*1000000+SUM(Y33,AQ33)*10000+SUM(S33,AK33)*100+SUM(M33,AE33)+0.001,1,0)+IF(AV33*1000000+SUM(X33,AP33)*10000+SUM(R33,AJ33)*100+SUM(L33,AD33)+0.002&gt;AW33*1000000+SUM(Y33,AQ33)*10000+SUM(S33,AK33)*100+SUM(M33,AE33)+0.001,1,0)=0,"C",""))))))&amp;IF(IF(AS33*1000000+SUM(U33,AM33)*10000+SUM(O33,AG33)*100+SUM(I33,AA33)+0.005&gt;AR33*1000000+SUM(T33,AL33)*10000+SUM(N33,AF33)*100+SUM(H33,Z33)+0.006,1,0)+IF(AT33*1000000+SUM(V33,AN33)*10000+SUM(P33,AH33)*100+SUM(J33,AB33)+0.004&gt;AR33*1000000+SUM(T33,AL33)*10000+SUM(N33,AF33)*100+SUM(H33,Z33)+0.006,1,0)+IF(AU33*1000000+SUM(W33,AO33)*10000+SUM(Q33,AI33)*100+SUM(K33,AC33)+0.003&gt;AR33*1000000+SUM(T33,AL33)*10000+SUM(N33,AF33)*100+SUM(H33,Z33)+0.006,1,0)+IF(AV33*1000000+SUM(X33,AP33)*10000+SUM(R33,AJ33)*100+SUM(L33,AD33)+0.002&gt;AR33*1000000+SUM(T33,AL33)*10000+SUM(N33,AF33)*100+SUM(H33,Z33)+0.006,1,0)+IF(AW33*1000000+SUM(Y33,AQ33)*10000+SUM(S33,AK33)*100+SUM(M33,AE33)+0.001&gt;AR33*1000000+SUM(T33,AL33)*10000+SUM(N33,AF33)*100+SUM(H33,Z33)+0.006,1,0)=1,"R",IF(IF(AR33*1000000+SUM(T33,AL33)*10000+SUM(N33,AF33)*100+SUM(H33,Z33)+0.006&gt;AS33*1000000+SUM(U33,AM33)*10000+SUM(O33,AG33)*100+SUM(I33,AA33)+0.005,1,0)+IF(AT33*1000000+SUM(V33,AN33)*10000+SUM(P33,AH33)*100+SUM(J33,AB33)+0.004&gt;AS33*1000000+SUM(U33,AM33)*10000+SUM(O33,AG33)*100+SUM(I33,AA33)+0.005,1,0)+IF(AU33*1000000+SUM(W33,AO33)*10000+SUM(Q33,AI33)*100+SUM(K33,AC33)+0.003&gt;AS33*1000000+SUM(U33,AM33)*10000+SUM(O33,AG33)*100+SUM(I33,AA33)+0.005,1,0)+IF(AV33*1000000+SUM(X33,AP33)*10000+SUM(R33,AJ33)*100+SUM(L33,AD33)+0.002&gt;AS33*1000000+SUM(U33,AM33)*10000+SUM(O33,AG33)*100+SUM(I33,AA33)+0.005,1,0)+IF(AW33*1000000+SUM(Y33,AQ33)*10000+SUM(S33,AK33)*100+SUM(M33,AE33)+0.001&gt;AS33*1000000+SUM(U33,AM33)*10000+SUM(O33,AG33)*100+SUM(I33,AA33)+0.005,1,0)=1,"I",IF(IF(AR33*1000000+SUM(T33,AL33)*10000+SUM(N33,AF33)*100+SUM(H33,Z33)+0.006&gt;AT33*1000000+SUM(V33,AN33)*10000+SUM(P33,AH33)*100+SUM(J33,AB33)+0.004,1,0)+IF(AS33*1000000+SUM(U33,AM33)*10000+SUM(O33,AG33)*100+SUM(I33,AA33)+0.005&gt;AT33*1000000+SUM(V33,AN33)*10000+SUM(P33,AH33)*100+SUM(J33,AB33)+0.004,1,0)+IF(AU33*1000000+SUM(W33,AO33)*10000+SUM(Q33,AI33)*100+SUM(K33,AC33)+0.003&gt;AT33*1000000+SUM(V33,AN33)*10000+SUM(P33,AH33)*100+SUM(J33,AB33)+0.004,1,0)+IF(AV33*1000000+SUM(X33,AP33)*10000+SUM(R33,AJ33)*100+SUM(L33,AD33)+0.002&gt;AT33*1000000+SUM(V33,AN33)*10000+SUM(P33,AH33)*100+SUM(J33,AB33)+0.004,1,0)+IF(AW33*1000000+SUM(Y33,AQ33)*10000+SUM(S33,AK33)*100+SUM(M33,AE33)+0.001&gt;AT33*1000000+SUM(V33,AN33)*10000+SUM(P33,AH33)*100+SUM(J33,AB33)+0.004,1,0)=1,"A",IF(IF(AR33*1000000+SUM(T33,AL33)*10000+SUM(N33,AF33)*100+SUM(H33,Z33)+0.006&gt;AU33*1000000+SUM(W33,AO33)*10000+SUM(Q33,AI33)*100+SUM(K33,AC33)+0.003,1,0)+IF(AS33*1000000+SUM(U33,AM33)*10000+SUM(O33,AG33)*100+SUM(I33,AA33)+0.005&gt;AU33*1000000+SUM(W33,AO33)*10000+SUM(Q33,AI33)*100+SUM(K33,AC33)+0.003,1,0)+IF(AT33*1000000+SUM(V33,AN33)*10000+SUM(P33,AH33)*100+SUM(J33,AB33)+0.004&gt;AU33*1000000+SUM(W33,AO33)*10000+SUM(Q33,AI33)*100+SUM(K33,AC33)+0.003,1,0)+IF(AV33*1000000+SUM(X33,AP33)*10000+SUM(R33,AJ33)*100+SUM(L33,AD33)+0.002&gt;AU33*1000000+SUM(W33,AO33)*10000+SUM(Q33,AI33)*100+SUM(K33,AC33)+0.003,1,0)+IF(AW33*1000000+SUM(Y33,AQ33)*10000+SUM(S33,AK33)*100+SUM(M33,AE33)+0.001&gt;AU33*1000000+SUM(W33,AO33)*10000+SUM(Q33,AI33)*100+SUM(K33,AC33)+0.003,1,0)=1,"S",IF(IF(AR33*1000000+SUM(T33,AL33)*10000+SUM(N33,AF33)*100+SUM(H33,Z33)+0.006&gt;AV33*1000000+SUM(X33,AP33)*10000+SUM(R33,AJ33)*100+SUM(L33,AD33)+0.002,1,0)+IF(AS33*1000000+SUM(U33,AM33)*10000+SUM(O33,AG33)*100+SUM(I33,AA33)+0.005&gt;AV33*1000000+SUM(X33,AP33)*10000+SUM(R33,AJ33)*100+SUM(L33,AD33)+0.002,1,0)+IF(AT33*1000000+SUM(V33,AN33)*10000+SUM(P33,AH33)*100+SUM(J33,AB33)+0.004&gt;AV33*1000000+SUM(X33,AP33)*10000+SUM(R33,AJ33)*100+SUM(L33,AD33)+0.002,1,0)+IF(AU33*1000000+SUM(W33,AO33)*10000+SUM(Q33,AI33)*100+SUM(K33,AC33)+0.003&gt;AV33*1000000+SUM(X33,AP33)*10000+SUM(R33,AJ33)*100+SUM(L33,AD33)+0.002,1,0)+IF(AW33*1000000+SUM(Y33,AQ33)*10000+SUM(S33,AK33)*100+SUM(M33,AE33)+0.001&gt;AV33*1000000+SUM(X33,AP33)*10000+SUM(R33,AJ33)*100+SUM(L33,AD33)+0.002,1,0)=1,"E",IF(IF(AR33*1000000+SUM(T33,AL33)*10000+SUM(N33,AF33)*100+SUM(H33,Z33)+0.006&gt;AW33*1000000+SUM(Y33,AQ33)*10000+SUM(S33,AK33)*100+SUM(M33,AE33)+0.001,1,0)+IF(AS33*1000000+SUM(U33,AM33)*10000+SUM(O33,AG33)*100+SUM(I33,AA33)+0.005&gt;AW33*1000000+SUM(Y33,AQ33)*10000+SUM(S33,AK33)*100+SUM(M33,AE33)+0.001,1,0)+IF(AT33*1000000+SUM(V33,AN33)*10000+SUM(P33,AH33)*100+SUM(J33,AB33)+0.004&gt;AW33*1000000+SUM(Y33,AQ33)*10000+SUM(S33,AK33)*100+SUM(M33,AE33)+0.001,1,0)+IF(AU33*1000000+SUM(W33,AO33)*10000+SUM(Q33,AI33)*100+SUM(K33,AC33)+0.003&gt;AW33*1000000+SUM(Y33,AQ33)*10000+SUM(S33,AK33)*100+SUM(M33,AE33)+0.001,1,0)+IF(AV33*1000000+SUM(X33,AP33)*10000+SUM(R33,AJ33)*100+SUM(L33,AD33)+0.002&gt;AW33*1000000+SUM(Y33,AQ33)*10000+SUM(S33,AK33)*100+SUM(M33,AE33)+0.001,1,0)=1,"C",""))))))&amp;IF(IF(AS33*1000000+SUM(U33,AM33)*10000+SUM(O33,AG33)*100+SUM(I33,AA33)+0.005&gt;AR33*1000000+SUM(T33,AL33)*10000+SUM(N33,AF33)*100+SUM(H33,Z33)+0.006,1,0)+IF(AT33*1000000+SUM(V33,AN33)*10000+SUM(P33,AH33)*100+SUM(J33,AB33)+0.004&gt;AR33*1000000+SUM(T33,AL33)*10000+SUM(N33,AF33)*100+SUM(H33,Z33)+0.006,1,0)+IF(AU33*1000000+SUM(W33,AO33)*10000+SUM(Q33,AI33)*100+SUM(K33,AC33)+0.003&gt;AR33*1000000+SUM(T33,AL33)*10000+SUM(N33,AF33)*100+SUM(H33,Z33)+0.006,1,0)+IF(AV33*1000000+SUM(X33,AP33)*10000+SUM(R33,AJ33)*100+SUM(L33,AD33)+0.002&gt;AR33*1000000+SUM(T33,AL33)*10000+SUM(N33,AF33)*100+SUM(H33,Z33)+0.006,1,0)+IF(AW33*1000000+SUM(Y33,AQ33)*10000+SUM(S33,AK33)*100+SUM(M33,AE33)+0.001&gt;AR33*1000000+SUM(T33,AL33)*10000+SUM(N33,AF33)*100+SUM(H33,Z33)+0.006,1,0)=2,"R",IF(IF(AR33*1000000+SUM(T33,AL33)*10000+SUM(N33,AF33)*100+SUM(H33,Z33)+0.006&gt;AS33*1000000+SUM(U33,AM33)*10000+SUM(O33,AG33)*100+SUM(I33,AA33)+0.005,1,0)+IF(AT33*1000000+SUM(V33,AN33)*10000+SUM(P33,AH33)*100+SUM(J33,AB33)+0.004&gt;AS33*1000000+SUM(U33,AM33)*10000+SUM(O33,AG33)*100+SUM(I33,AA33)+0.005,1,0)+IF(AU33*1000000+SUM(W33,AO33)*10000+SUM(Q33,AI33)*100+SUM(K33,AC33)+0.003&gt;AS33*1000000+SUM(U33,AM33)*10000+SUM(O33,AG33)*100+SUM(I33,AA33)+0.005,1,0)+IF(AV33*1000000+SUM(X33,AP33)*10000+SUM(R33,AJ33)*100+SUM(L33,AD33)+0.002&gt;AS33*1000000+SUM(U33,AM33)*10000+SUM(O33,AG33)*100+SUM(I33,AA33)+0.005,1,0)+IF(AW33*1000000+SUM(Y33,AQ33)*10000+SUM(S33,AK33)*100+SUM(M33,AE33)+0.001&gt;AS33*1000000+SUM(U33,AM33)*10000+SUM(O33,AG33)*100+SUM(I33,AA33)+0.005,1,0)=2,"I",IF(IF(AR33*1000000+SUM(T33,AL33)*10000+SUM(N33,AF33)*100+SUM(H33,Z33)+0.006&gt;AT33*1000000+SUM(V33,AN33)*10000+SUM(P33,AH33)*100+SUM(J33,AB33)+0.004,1,0)+IF(AS33*1000000+SUM(U33,AM33)*10000+SUM(O33,AG33)*100+SUM(I33,AA33)+0.005&gt;AT33*1000000+SUM(V33,AN33)*10000+SUM(P33,AH33)*100+SUM(J33,AB33)+0.004,1,0)+IF(AU33*1000000+SUM(W33,AO33)*10000+SUM(Q33,AI33)*100+SUM(K33,AC33)+0.003&gt;AT33*1000000+SUM(V33,AN33)*10000+SUM(P33,AH33)*100+SUM(J33,AB33)+0.004,1,0)+IF(AV33*1000000+SUM(X33,AP33)*10000+SUM(R33,AJ33)*100+SUM(L33,AD33)+0.002&gt;AT33*1000000+SUM(V33,AN33)*10000+SUM(P33,AH33)*100+SUM(J33,AB33)+0.004,1,0)+IF(AW33*1000000+SUM(Y33,AQ33)*10000+SUM(S33,AK33)*100+SUM(M33,AE33)+0.001&gt;AT33*1000000+SUM(V33,AN33)*10000+SUM(P33,AH33)*100+SUM(J33,AB33)+0.004,1,0)=2,"A",IF(IF(AR33*1000000+SUM(T33,AL33)*10000+SUM(N33,AF33)*100+SUM(H33,Z33)+0.006&gt;AU33*1000000+SUM(W33,AO33)*10000+SUM(Q33,AI33)*100+SUM(K33,AC33)+0.003,1,0)+IF(AS33*1000000+SUM(U33,AM33)*10000+SUM(O33,AG33)*100+SUM(I33,AA33)+0.005&gt;AU33*1000000+SUM(W33,AO33)*10000+SUM(Q33,AI33)*100+SUM(K33,AC33)+0.003,1,0)+IF(AT33*1000000+SUM(V33,AN33)*10000+SUM(P33,AH33)*100+SUM(J33,AB33)+0.004&gt;AU33*1000000+SUM(W33,AO33)*10000+SUM(Q33,AI33)*100+SUM(K33,AC33)+0.003,1,0)+IF(AV33*1000000+SUM(X33,AP33)*10000+SUM(R33,AJ33)*100+SUM(L33,AD33)+0.002&gt;AU33*1000000+SUM(W33,AO33)*10000+SUM(Q33,AI33)*100+SUM(K33,AC33)+0.003,1,0)+IF(AW33*1000000+SUM(Y33,AQ33)*10000+SUM(S33,AK33)*100+SUM(M33,AE33)+0.001&gt;AU33*1000000+SUM(W33,AO33)*10000+SUM(Q33,AI33)*100+SUM(K33,AC33)+0.003,1,0)=2,"S",IF(IF(AR33*1000000+SUM(T33,AL33)*10000+SUM(N33,AF33)*100+SUM(H33,Z33)+0.006&gt;AV33*1000000+SUM(X33,AP33)*10000+SUM(R33,AJ33)*100+SUM(L33,AD33)+0.002,1,0)+IF(AS33*1000000+SUM(U33,AM33)*10000+SUM(O33,AG33)*100+SUM(I33,AA33)+0.005&gt;AV33*1000000+SUM(X33,AP33)*10000+SUM(R33,AJ33)*100+SUM(L33,AD33)+0.002,1,0)+IF(AT33*1000000+SUM(V33,AN33)*10000+SUM(P33,AH33)*100+SUM(J33,AB33)+0.004&gt;AV33*1000000+SUM(X33,AP33)*10000+SUM(R33,AJ33)*100+SUM(L33,AD33)+0.002,1,0)+IF(AU33*1000000+SUM(W33,AO33)*10000+SUM(Q33,AI33)*100+SUM(K33,AC33)+0.003&gt;AV33*1000000+SUM(X33,AP33)*10000+SUM(R33,AJ33)*100+SUM(L33,AD33)+0.002,1,0)+IF(AW33*1000000+SUM(Y33,AQ33)*10000+SUM(S33,AK33)*100+SUM(M33,AE33)+0.001&gt;AV33*1000000+SUM(X33,AP33)*10000+SUM(R33,AJ33)*100+SUM(L33,AD33)+0.002,1,0)=2,"E",IF(IF(AR33*1000000+SUM(T33,AL33)*10000+SUM(N33,AF33)*100+SUM(H33,Z33)+0.006&gt;AW33*1000000+SUM(Y33,AQ33)*10000+SUM(S33,AK33)*100+SUM(M33,AE33)+0.001,1,0)+IF(AS33*1000000+SUM(U33,AM33)*10000+SUM(O33,AG33)*100+SUM(I33,AA33)+0.005&gt;AW33*1000000+SUM(Y33,AQ33)*10000+SUM(S33,AK33)*100+SUM(M33,AE33)+0.001,1,0)+IF(AT33*1000000+SUM(V33,AN33)*10000+SUM(P33,AH33)*100+SUM(J33,AB33)+0.004&gt;AW33*1000000+SUM(Y33,AQ33)*10000+SUM(S33,AK33)*100+SUM(M33,AE33)+0.001,1,0)+IF(AU33*1000000+SUM(W33,AO33)*10000+SUM(Q33,AI33)*100+SUM(K33,AC33)+0.003&gt;AW33*1000000+SUM(Y33,AQ33)*10000+SUM(S33,AK33)*100+SUM(M33,AE33)+0.001,1,0)+IF(AV33*1000000+SUM(X33,AP33)*10000+SUM(R33,AJ33)*100+SUM(L33,AD33)+0.002&gt;AW33*1000000+SUM(Y33,AQ33)*10000+SUM(S33,AK33)*100+SUM(M33,AE33)+0.001,1,0)=2,"C","")))))))</x:f>
      </x:c>
      <x:c r="AY33" s="27" t="str">
        <x:f>IF(C33="","",IF(LEFT(AX33,1)="R","นักปฏิบัติ",IF(LEFT(AX33,1)="I","นักคิดวิเคราะห์",IF(LEFT(AX33,1)="A","นักสร้างสรรค์",IF(LEFT(AX33,1)="S","ผู้เข้าใจผู้คน",IF(LEFT(AX33,1)="E","ผู้นำการเปลี่ยนแปลง","ผู้จัดระบบ"))))))</x:f>
      </x:c>
    </x:row>
    <x:row r="34">
      <x:c r="A34" s="27"/>
      <x:c r="B34" s="28"/>
      <x:c r="C34" s="27"/>
      <x:c r="D34" s="27"/>
      <x:c r="E34" s="27"/>
      <x:c r="F34" s="27"/>
      <x:c r="G34" s="27"/>
      <x:c r="H34" s="27"/>
      <x:c r="I34" s="27"/>
      <x:c r="J34" s="27"/>
      <x:c r="K34" s="27"/>
      <x:c r="L34" s="27"/>
      <x:c r="M34" s="27"/>
      <x:c r="N34" s="27"/>
      <x:c r="O34" s="27"/>
      <x:c r="P34" s="27"/>
      <x:c r="Q34" s="27"/>
      <x:c r="R34" s="27"/>
      <x:c r="S34" s="27"/>
      <x:c r="T34" s="27"/>
      <x:c r="U34" s="27"/>
      <x:c r="V34" s="27"/>
      <x:c r="W34" s="27"/>
      <x:c r="X34" s="27"/>
      <x:c r="Y34" s="27"/>
      <x:c r="Z34" s="27"/>
      <x:c r="AA34" s="27"/>
      <x:c r="AB34" s="27"/>
      <x:c r="AC34" s="27"/>
      <x:c r="AD34" s="27"/>
      <x:c r="AE34" s="27"/>
      <x:c r="AF34" s="27"/>
      <x:c r="AG34" s="27"/>
      <x:c r="AH34" s="27"/>
      <x:c r="AI34" s="27"/>
      <x:c r="AJ34" s="27"/>
      <x:c r="AK34" s="27"/>
      <x:c r="AL34" s="27"/>
      <x:c r="AM34" s="27"/>
      <x:c r="AN34" s="27"/>
      <x:c r="AO34" s="27"/>
      <x:c r="AP34" s="27"/>
      <x:c r="AQ34" s="27"/>
      <x:c r="AR34" s="27" t="str">
        <x:f>IF(C34="","",SUM(H34,N34,T34,Z34,AF34,AL34))</x:f>
      </x:c>
      <x:c r="AS34" s="27" t="str">
        <x:f>IF(C34="","",SUM(I34,O34,U34,AA34,AG34,AM34))</x:f>
      </x:c>
      <x:c r="AT34" s="27" t="str">
        <x:f>IF(C34="","",SUM(J34,P34,V34,AB34,AH34,AN34))</x:f>
      </x:c>
      <x:c r="AU34" s="27" t="str">
        <x:f>IF(C34="","",SUM(K34,Q34,W34,AC34,AI34,AO34))</x:f>
      </x:c>
      <x:c r="AV34" s="27" t="str">
        <x:f>IF(C34="","",SUM(L34,R34,X34,AD34,AJ34,AP34))</x:f>
      </x:c>
      <x:c r="AW34" s="27" t="str">
        <x:f>IF(C34="","",SUM(M34,S34,Y34,AE34,AK34,AQ34))</x:f>
      </x:c>
      <x:c r="AX34" s="27" t="str">
        <x:f>IF(C34="","",IF(IF(AS34*1000000+SUM(U34,AM34)*10000+SUM(O34,AG34)*100+SUM(I34,AA34)+0.005&gt;AR34*1000000+SUM(T34,AL34)*10000+SUM(N34,AF34)*100+SUM(H34,Z34)+0.006,1,0)+IF(AT34*1000000+SUM(V34,AN34)*10000+SUM(P34,AH34)*100+SUM(J34,AB34)+0.004&gt;AR34*1000000+SUM(T34,AL34)*10000+SUM(N34,AF34)*100+SUM(H34,Z34)+0.006,1,0)+IF(AU34*1000000+SUM(W34,AO34)*10000+SUM(Q34,AI34)*100+SUM(K34,AC34)+0.003&gt;AR34*1000000+SUM(T34,AL34)*10000+SUM(N34,AF34)*100+SUM(H34,Z34)+0.006,1,0)+IF(AV34*1000000+SUM(X34,AP34)*10000+SUM(R34,AJ34)*100+SUM(L34,AD34)+0.002&gt;AR34*1000000+SUM(T34,AL34)*10000+SUM(N34,AF34)*100+SUM(H34,Z34)+0.006,1,0)+IF(AW34*1000000+SUM(Y34,AQ34)*10000+SUM(S34,AK34)*100+SUM(M34,AE34)+0.001&gt;AR34*1000000+SUM(T34,AL34)*10000+SUM(N34,AF34)*100+SUM(H34,Z34)+0.006,1,0)=0,"R",IF(IF(AR34*1000000+SUM(T34,AL34)*10000+SUM(N34,AF34)*100+SUM(H34,Z34)+0.006&gt;AS34*1000000+SUM(U34,AM34)*10000+SUM(O34,AG34)*100+SUM(I34,AA34)+0.005,1,0)+IF(AT34*1000000+SUM(V34,AN34)*10000+SUM(P34,AH34)*100+SUM(J34,AB34)+0.004&gt;AS34*1000000+SUM(U34,AM34)*10000+SUM(O34,AG34)*100+SUM(I34,AA34)+0.005,1,0)+IF(AU34*1000000+SUM(W34,AO34)*10000+SUM(Q34,AI34)*100+SUM(K34,AC34)+0.003&gt;AS34*1000000+SUM(U34,AM34)*10000+SUM(O34,AG34)*100+SUM(I34,AA34)+0.005,1,0)+IF(AV34*1000000+SUM(X34,AP34)*10000+SUM(R34,AJ34)*100+SUM(L34,AD34)+0.002&gt;AS34*1000000+SUM(U34,AM34)*10000+SUM(O34,AG34)*100+SUM(I34,AA34)+0.005,1,0)+IF(AW34*1000000+SUM(Y34,AQ34)*10000+SUM(S34,AK34)*100+SUM(M34,AE34)+0.001&gt;AS34*1000000+SUM(U34,AM34)*10000+SUM(O34,AG34)*100+SUM(I34,AA34)+0.005,1,0)=0,"I",IF(IF(AR34*1000000+SUM(T34,AL34)*10000+SUM(N34,AF34)*100+SUM(H34,Z34)+0.006&gt;AT34*1000000+SUM(V34,AN34)*10000+SUM(P34,AH34)*100+SUM(J34,AB34)+0.004,1,0)+IF(AS34*1000000+SUM(U34,AM34)*10000+SUM(O34,AG34)*100+SUM(I34,AA34)+0.005&gt;AT34*1000000+SUM(V34,AN34)*10000+SUM(P34,AH34)*100+SUM(J34,AB34)+0.004,1,0)+IF(AU34*1000000+SUM(W34,AO34)*10000+SUM(Q34,AI34)*100+SUM(K34,AC34)+0.003&gt;AT34*1000000+SUM(V34,AN34)*10000+SUM(P34,AH34)*100+SUM(J34,AB34)+0.004,1,0)+IF(AV34*1000000+SUM(X34,AP34)*10000+SUM(R34,AJ34)*100+SUM(L34,AD34)+0.002&gt;AT34*1000000+SUM(V34,AN34)*10000+SUM(P34,AH34)*100+SUM(J34,AB34)+0.004,1,0)+IF(AW34*1000000+SUM(Y34,AQ34)*10000+SUM(S34,AK34)*100+SUM(M34,AE34)+0.001&gt;AT34*1000000+SUM(V34,AN34)*10000+SUM(P34,AH34)*100+SUM(J34,AB34)+0.004,1,0)=0,"A",IF(IF(AR34*1000000+SUM(T34,AL34)*10000+SUM(N34,AF34)*100+SUM(H34,Z34)+0.006&gt;AU34*1000000+SUM(W34,AO34)*10000+SUM(Q34,AI34)*100+SUM(K34,AC34)+0.003,1,0)+IF(AS34*1000000+SUM(U34,AM34)*10000+SUM(O34,AG34)*100+SUM(I34,AA34)+0.005&gt;AU34*1000000+SUM(W34,AO34)*10000+SUM(Q34,AI34)*100+SUM(K34,AC34)+0.003,1,0)+IF(AT34*1000000+SUM(V34,AN34)*10000+SUM(P34,AH34)*100+SUM(J34,AB34)+0.004&gt;AU34*1000000+SUM(W34,AO34)*10000+SUM(Q34,AI34)*100+SUM(K34,AC34)+0.003,1,0)+IF(AV34*1000000+SUM(X34,AP34)*10000+SUM(R34,AJ34)*100+SUM(L34,AD34)+0.002&gt;AU34*1000000+SUM(W34,AO34)*10000+SUM(Q34,AI34)*100+SUM(K34,AC34)+0.003,1,0)+IF(AW34*1000000+SUM(Y34,AQ34)*10000+SUM(S34,AK34)*100+SUM(M34,AE34)+0.001&gt;AU34*1000000+SUM(W34,AO34)*10000+SUM(Q34,AI34)*100+SUM(K34,AC34)+0.003,1,0)=0,"S",IF(IF(AR34*1000000+SUM(T34,AL34)*10000+SUM(N34,AF34)*100+SUM(H34,Z34)+0.006&gt;AV34*1000000+SUM(X34,AP34)*10000+SUM(R34,AJ34)*100+SUM(L34,AD34)+0.002,1,0)+IF(AS34*1000000+SUM(U34,AM34)*10000+SUM(O34,AG34)*100+SUM(I34,AA34)+0.005&gt;AV34*1000000+SUM(X34,AP34)*10000+SUM(R34,AJ34)*100+SUM(L34,AD34)+0.002,1,0)+IF(AT34*1000000+SUM(V34,AN34)*10000+SUM(P34,AH34)*100+SUM(J34,AB34)+0.004&gt;AV34*1000000+SUM(X34,AP34)*10000+SUM(R34,AJ34)*100+SUM(L34,AD34)+0.002,1,0)+IF(AU34*1000000+SUM(W34,AO34)*10000+SUM(Q34,AI34)*100+SUM(K34,AC34)+0.003&gt;AV34*1000000+SUM(X34,AP34)*10000+SUM(R34,AJ34)*100+SUM(L34,AD34)+0.002,1,0)+IF(AW34*1000000+SUM(Y34,AQ34)*10000+SUM(S34,AK34)*100+SUM(M34,AE34)+0.001&gt;AV34*1000000+SUM(X34,AP34)*10000+SUM(R34,AJ34)*100+SUM(L34,AD34)+0.002,1,0)=0,"E",IF(IF(AR34*1000000+SUM(T34,AL34)*10000+SUM(N34,AF34)*100+SUM(H34,Z34)+0.006&gt;AW34*1000000+SUM(Y34,AQ34)*10000+SUM(S34,AK34)*100+SUM(M34,AE34)+0.001,1,0)+IF(AS34*1000000+SUM(U34,AM34)*10000+SUM(O34,AG34)*100+SUM(I34,AA34)+0.005&gt;AW34*1000000+SUM(Y34,AQ34)*10000+SUM(S34,AK34)*100+SUM(M34,AE34)+0.001,1,0)+IF(AT34*1000000+SUM(V34,AN34)*10000+SUM(P34,AH34)*100+SUM(J34,AB34)+0.004&gt;AW34*1000000+SUM(Y34,AQ34)*10000+SUM(S34,AK34)*100+SUM(M34,AE34)+0.001,1,0)+IF(AU34*1000000+SUM(W34,AO34)*10000+SUM(Q34,AI34)*100+SUM(K34,AC34)+0.003&gt;AW34*1000000+SUM(Y34,AQ34)*10000+SUM(S34,AK34)*100+SUM(M34,AE34)+0.001,1,0)+IF(AV34*1000000+SUM(X34,AP34)*10000+SUM(R34,AJ34)*100+SUM(L34,AD34)+0.002&gt;AW34*1000000+SUM(Y34,AQ34)*10000+SUM(S34,AK34)*100+SUM(M34,AE34)+0.001,1,0)=0,"C",""))))))&amp;IF(IF(AS34*1000000+SUM(U34,AM34)*10000+SUM(O34,AG34)*100+SUM(I34,AA34)+0.005&gt;AR34*1000000+SUM(T34,AL34)*10000+SUM(N34,AF34)*100+SUM(H34,Z34)+0.006,1,0)+IF(AT34*1000000+SUM(V34,AN34)*10000+SUM(P34,AH34)*100+SUM(J34,AB34)+0.004&gt;AR34*1000000+SUM(T34,AL34)*10000+SUM(N34,AF34)*100+SUM(H34,Z34)+0.006,1,0)+IF(AU34*1000000+SUM(W34,AO34)*10000+SUM(Q34,AI34)*100+SUM(K34,AC34)+0.003&gt;AR34*1000000+SUM(T34,AL34)*10000+SUM(N34,AF34)*100+SUM(H34,Z34)+0.006,1,0)+IF(AV34*1000000+SUM(X34,AP34)*10000+SUM(R34,AJ34)*100+SUM(L34,AD34)+0.002&gt;AR34*1000000+SUM(T34,AL34)*10000+SUM(N34,AF34)*100+SUM(H34,Z34)+0.006,1,0)+IF(AW34*1000000+SUM(Y34,AQ34)*10000+SUM(S34,AK34)*100+SUM(M34,AE34)+0.001&gt;AR34*1000000+SUM(T34,AL34)*10000+SUM(N34,AF34)*100+SUM(H34,Z34)+0.006,1,0)=1,"R",IF(IF(AR34*1000000+SUM(T34,AL34)*10000+SUM(N34,AF34)*100+SUM(H34,Z34)+0.006&gt;AS34*1000000+SUM(U34,AM34)*10000+SUM(O34,AG34)*100+SUM(I34,AA34)+0.005,1,0)+IF(AT34*1000000+SUM(V34,AN34)*10000+SUM(P34,AH34)*100+SUM(J34,AB34)+0.004&gt;AS34*1000000+SUM(U34,AM34)*10000+SUM(O34,AG34)*100+SUM(I34,AA34)+0.005,1,0)+IF(AU34*1000000+SUM(W34,AO34)*10000+SUM(Q34,AI34)*100+SUM(K34,AC34)+0.003&gt;AS34*1000000+SUM(U34,AM34)*10000+SUM(O34,AG34)*100+SUM(I34,AA34)+0.005,1,0)+IF(AV34*1000000+SUM(X34,AP34)*10000+SUM(R34,AJ34)*100+SUM(L34,AD34)+0.002&gt;AS34*1000000+SUM(U34,AM34)*10000+SUM(O34,AG34)*100+SUM(I34,AA34)+0.005,1,0)+IF(AW34*1000000+SUM(Y34,AQ34)*10000+SUM(S34,AK34)*100+SUM(M34,AE34)+0.001&gt;AS34*1000000+SUM(U34,AM34)*10000+SUM(O34,AG34)*100+SUM(I34,AA34)+0.005,1,0)=1,"I",IF(IF(AR34*1000000+SUM(T34,AL34)*10000+SUM(N34,AF34)*100+SUM(H34,Z34)+0.006&gt;AT34*1000000+SUM(V34,AN34)*10000+SUM(P34,AH34)*100+SUM(J34,AB34)+0.004,1,0)+IF(AS34*1000000+SUM(U34,AM34)*10000+SUM(O34,AG34)*100+SUM(I34,AA34)+0.005&gt;AT34*1000000+SUM(V34,AN34)*10000+SUM(P34,AH34)*100+SUM(J34,AB34)+0.004,1,0)+IF(AU34*1000000+SUM(W34,AO34)*10000+SUM(Q34,AI34)*100+SUM(K34,AC34)+0.003&gt;AT34*1000000+SUM(V34,AN34)*10000+SUM(P34,AH34)*100+SUM(J34,AB34)+0.004,1,0)+IF(AV34*1000000+SUM(X34,AP34)*10000+SUM(R34,AJ34)*100+SUM(L34,AD34)+0.002&gt;AT34*1000000+SUM(V34,AN34)*10000+SUM(P34,AH34)*100+SUM(J34,AB34)+0.004,1,0)+IF(AW34*1000000+SUM(Y34,AQ34)*10000+SUM(S34,AK34)*100+SUM(M34,AE34)+0.001&gt;AT34*1000000+SUM(V34,AN34)*10000+SUM(P34,AH34)*100+SUM(J34,AB34)+0.004,1,0)=1,"A",IF(IF(AR34*1000000+SUM(T34,AL34)*10000+SUM(N34,AF34)*100+SUM(H34,Z34)+0.006&gt;AU34*1000000+SUM(W34,AO34)*10000+SUM(Q34,AI34)*100+SUM(K34,AC34)+0.003,1,0)+IF(AS34*1000000+SUM(U34,AM34)*10000+SUM(O34,AG34)*100+SUM(I34,AA34)+0.005&gt;AU34*1000000+SUM(W34,AO34)*10000+SUM(Q34,AI34)*100+SUM(K34,AC34)+0.003,1,0)+IF(AT34*1000000+SUM(V34,AN34)*10000+SUM(P34,AH34)*100+SUM(J34,AB34)+0.004&gt;AU34*1000000+SUM(W34,AO34)*10000+SUM(Q34,AI34)*100+SUM(K34,AC34)+0.003,1,0)+IF(AV34*1000000+SUM(X34,AP34)*10000+SUM(R34,AJ34)*100+SUM(L34,AD34)+0.002&gt;AU34*1000000+SUM(W34,AO34)*10000+SUM(Q34,AI34)*100+SUM(K34,AC34)+0.003,1,0)+IF(AW34*1000000+SUM(Y34,AQ34)*10000+SUM(S34,AK34)*100+SUM(M34,AE34)+0.001&gt;AU34*1000000+SUM(W34,AO34)*10000+SUM(Q34,AI34)*100+SUM(K34,AC34)+0.003,1,0)=1,"S",IF(IF(AR34*1000000+SUM(T34,AL34)*10000+SUM(N34,AF34)*100+SUM(H34,Z34)+0.006&gt;AV34*1000000+SUM(X34,AP34)*10000+SUM(R34,AJ34)*100+SUM(L34,AD34)+0.002,1,0)+IF(AS34*1000000+SUM(U34,AM34)*10000+SUM(O34,AG34)*100+SUM(I34,AA34)+0.005&gt;AV34*1000000+SUM(X34,AP34)*10000+SUM(R34,AJ34)*100+SUM(L34,AD34)+0.002,1,0)+IF(AT34*1000000+SUM(V34,AN34)*10000+SUM(P34,AH34)*100+SUM(J34,AB34)+0.004&gt;AV34*1000000+SUM(X34,AP34)*10000+SUM(R34,AJ34)*100+SUM(L34,AD34)+0.002,1,0)+IF(AU34*1000000+SUM(W34,AO34)*10000+SUM(Q34,AI34)*100+SUM(K34,AC34)+0.003&gt;AV34*1000000+SUM(X34,AP34)*10000+SUM(R34,AJ34)*100+SUM(L34,AD34)+0.002,1,0)+IF(AW34*1000000+SUM(Y34,AQ34)*10000+SUM(S34,AK34)*100+SUM(M34,AE34)+0.001&gt;AV34*1000000+SUM(X34,AP34)*10000+SUM(R34,AJ34)*100+SUM(L34,AD34)+0.002,1,0)=1,"E",IF(IF(AR34*1000000+SUM(T34,AL34)*10000+SUM(N34,AF34)*100+SUM(H34,Z34)+0.006&gt;AW34*1000000+SUM(Y34,AQ34)*10000+SUM(S34,AK34)*100+SUM(M34,AE34)+0.001,1,0)+IF(AS34*1000000+SUM(U34,AM34)*10000+SUM(O34,AG34)*100+SUM(I34,AA34)+0.005&gt;AW34*1000000+SUM(Y34,AQ34)*10000+SUM(S34,AK34)*100+SUM(M34,AE34)+0.001,1,0)+IF(AT34*1000000+SUM(V34,AN34)*10000+SUM(P34,AH34)*100+SUM(J34,AB34)+0.004&gt;AW34*1000000+SUM(Y34,AQ34)*10000+SUM(S34,AK34)*100+SUM(M34,AE34)+0.001,1,0)+IF(AU34*1000000+SUM(W34,AO34)*10000+SUM(Q34,AI34)*100+SUM(K34,AC34)+0.003&gt;AW34*1000000+SUM(Y34,AQ34)*10000+SUM(S34,AK34)*100+SUM(M34,AE34)+0.001,1,0)+IF(AV34*1000000+SUM(X34,AP34)*10000+SUM(R34,AJ34)*100+SUM(L34,AD34)+0.002&gt;AW34*1000000+SUM(Y34,AQ34)*10000+SUM(S34,AK34)*100+SUM(M34,AE34)+0.001,1,0)=1,"C",""))))))&amp;IF(IF(AS34*1000000+SUM(U34,AM34)*10000+SUM(O34,AG34)*100+SUM(I34,AA34)+0.005&gt;AR34*1000000+SUM(T34,AL34)*10000+SUM(N34,AF34)*100+SUM(H34,Z34)+0.006,1,0)+IF(AT34*1000000+SUM(V34,AN34)*10000+SUM(P34,AH34)*100+SUM(J34,AB34)+0.004&gt;AR34*1000000+SUM(T34,AL34)*10000+SUM(N34,AF34)*100+SUM(H34,Z34)+0.006,1,0)+IF(AU34*1000000+SUM(W34,AO34)*10000+SUM(Q34,AI34)*100+SUM(K34,AC34)+0.003&gt;AR34*1000000+SUM(T34,AL34)*10000+SUM(N34,AF34)*100+SUM(H34,Z34)+0.006,1,0)+IF(AV34*1000000+SUM(X34,AP34)*10000+SUM(R34,AJ34)*100+SUM(L34,AD34)+0.002&gt;AR34*1000000+SUM(T34,AL34)*10000+SUM(N34,AF34)*100+SUM(H34,Z34)+0.006,1,0)+IF(AW34*1000000+SUM(Y34,AQ34)*10000+SUM(S34,AK34)*100+SUM(M34,AE34)+0.001&gt;AR34*1000000+SUM(T34,AL34)*10000+SUM(N34,AF34)*100+SUM(H34,Z34)+0.006,1,0)=2,"R",IF(IF(AR34*1000000+SUM(T34,AL34)*10000+SUM(N34,AF34)*100+SUM(H34,Z34)+0.006&gt;AS34*1000000+SUM(U34,AM34)*10000+SUM(O34,AG34)*100+SUM(I34,AA34)+0.005,1,0)+IF(AT34*1000000+SUM(V34,AN34)*10000+SUM(P34,AH34)*100+SUM(J34,AB34)+0.004&gt;AS34*1000000+SUM(U34,AM34)*10000+SUM(O34,AG34)*100+SUM(I34,AA34)+0.005,1,0)+IF(AU34*1000000+SUM(W34,AO34)*10000+SUM(Q34,AI34)*100+SUM(K34,AC34)+0.003&gt;AS34*1000000+SUM(U34,AM34)*10000+SUM(O34,AG34)*100+SUM(I34,AA34)+0.005,1,0)+IF(AV34*1000000+SUM(X34,AP34)*10000+SUM(R34,AJ34)*100+SUM(L34,AD34)+0.002&gt;AS34*1000000+SUM(U34,AM34)*10000+SUM(O34,AG34)*100+SUM(I34,AA34)+0.005,1,0)+IF(AW34*1000000+SUM(Y34,AQ34)*10000+SUM(S34,AK34)*100+SUM(M34,AE34)+0.001&gt;AS34*1000000+SUM(U34,AM34)*10000+SUM(O34,AG34)*100+SUM(I34,AA34)+0.005,1,0)=2,"I",IF(IF(AR34*1000000+SUM(T34,AL34)*10000+SUM(N34,AF34)*100+SUM(H34,Z34)+0.006&gt;AT34*1000000+SUM(V34,AN34)*10000+SUM(P34,AH34)*100+SUM(J34,AB34)+0.004,1,0)+IF(AS34*1000000+SUM(U34,AM34)*10000+SUM(O34,AG34)*100+SUM(I34,AA34)+0.005&gt;AT34*1000000+SUM(V34,AN34)*10000+SUM(P34,AH34)*100+SUM(J34,AB34)+0.004,1,0)+IF(AU34*1000000+SUM(W34,AO34)*10000+SUM(Q34,AI34)*100+SUM(K34,AC34)+0.003&gt;AT34*1000000+SUM(V34,AN34)*10000+SUM(P34,AH34)*100+SUM(J34,AB34)+0.004,1,0)+IF(AV34*1000000+SUM(X34,AP34)*10000+SUM(R34,AJ34)*100+SUM(L34,AD34)+0.002&gt;AT34*1000000+SUM(V34,AN34)*10000+SUM(P34,AH34)*100+SUM(J34,AB34)+0.004,1,0)+IF(AW34*1000000+SUM(Y34,AQ34)*10000+SUM(S34,AK34)*100+SUM(M34,AE34)+0.001&gt;AT34*1000000+SUM(V34,AN34)*10000+SUM(P34,AH34)*100+SUM(J34,AB34)+0.004,1,0)=2,"A",IF(IF(AR34*1000000+SUM(T34,AL34)*10000+SUM(N34,AF34)*100+SUM(H34,Z34)+0.006&gt;AU34*1000000+SUM(W34,AO34)*10000+SUM(Q34,AI34)*100+SUM(K34,AC34)+0.003,1,0)+IF(AS34*1000000+SUM(U34,AM34)*10000+SUM(O34,AG34)*100+SUM(I34,AA34)+0.005&gt;AU34*1000000+SUM(W34,AO34)*10000+SUM(Q34,AI34)*100+SUM(K34,AC34)+0.003,1,0)+IF(AT34*1000000+SUM(V34,AN34)*10000+SUM(P34,AH34)*100+SUM(J34,AB34)+0.004&gt;AU34*1000000+SUM(W34,AO34)*10000+SUM(Q34,AI34)*100+SUM(K34,AC34)+0.003,1,0)+IF(AV34*1000000+SUM(X34,AP34)*10000+SUM(R34,AJ34)*100+SUM(L34,AD34)+0.002&gt;AU34*1000000+SUM(W34,AO34)*10000+SUM(Q34,AI34)*100+SUM(K34,AC34)+0.003,1,0)+IF(AW34*1000000+SUM(Y34,AQ34)*10000+SUM(S34,AK34)*100+SUM(M34,AE34)+0.001&gt;AU34*1000000+SUM(W34,AO34)*10000+SUM(Q34,AI34)*100+SUM(K34,AC34)+0.003,1,0)=2,"S",IF(IF(AR34*1000000+SUM(T34,AL34)*10000+SUM(N34,AF34)*100+SUM(H34,Z34)+0.006&gt;AV34*1000000+SUM(X34,AP34)*10000+SUM(R34,AJ34)*100+SUM(L34,AD34)+0.002,1,0)+IF(AS34*1000000+SUM(U34,AM34)*10000+SUM(O34,AG34)*100+SUM(I34,AA34)+0.005&gt;AV34*1000000+SUM(X34,AP34)*10000+SUM(R34,AJ34)*100+SUM(L34,AD34)+0.002,1,0)+IF(AT34*1000000+SUM(V34,AN34)*10000+SUM(P34,AH34)*100+SUM(J34,AB34)+0.004&gt;AV34*1000000+SUM(X34,AP34)*10000+SUM(R34,AJ34)*100+SUM(L34,AD34)+0.002,1,0)+IF(AU34*1000000+SUM(W34,AO34)*10000+SUM(Q34,AI34)*100+SUM(K34,AC34)+0.003&gt;AV34*1000000+SUM(X34,AP34)*10000+SUM(R34,AJ34)*100+SUM(L34,AD34)+0.002,1,0)+IF(AW34*1000000+SUM(Y34,AQ34)*10000+SUM(S34,AK34)*100+SUM(M34,AE34)+0.001&gt;AV34*1000000+SUM(X34,AP34)*10000+SUM(R34,AJ34)*100+SUM(L34,AD34)+0.002,1,0)=2,"E",IF(IF(AR34*1000000+SUM(T34,AL34)*10000+SUM(N34,AF34)*100+SUM(H34,Z34)+0.006&gt;AW34*1000000+SUM(Y34,AQ34)*10000+SUM(S34,AK34)*100+SUM(M34,AE34)+0.001,1,0)+IF(AS34*1000000+SUM(U34,AM34)*10000+SUM(O34,AG34)*100+SUM(I34,AA34)+0.005&gt;AW34*1000000+SUM(Y34,AQ34)*10000+SUM(S34,AK34)*100+SUM(M34,AE34)+0.001,1,0)+IF(AT34*1000000+SUM(V34,AN34)*10000+SUM(P34,AH34)*100+SUM(J34,AB34)+0.004&gt;AW34*1000000+SUM(Y34,AQ34)*10000+SUM(S34,AK34)*100+SUM(M34,AE34)+0.001,1,0)+IF(AU34*1000000+SUM(W34,AO34)*10000+SUM(Q34,AI34)*100+SUM(K34,AC34)+0.003&gt;AW34*1000000+SUM(Y34,AQ34)*10000+SUM(S34,AK34)*100+SUM(M34,AE34)+0.001,1,0)+IF(AV34*1000000+SUM(X34,AP34)*10000+SUM(R34,AJ34)*100+SUM(L34,AD34)+0.002&gt;AW34*1000000+SUM(Y34,AQ34)*10000+SUM(S34,AK34)*100+SUM(M34,AE34)+0.001,1,0)=2,"C","")))))))</x:f>
      </x:c>
      <x:c r="AY34" s="27" t="str">
        <x:f>IF(C34="","",IF(LEFT(AX34,1)="R","นักปฏิบัติ",IF(LEFT(AX34,1)="I","นักคิดวิเคราะห์",IF(LEFT(AX34,1)="A","นักสร้างสรรค์",IF(LEFT(AX34,1)="S","ผู้เข้าใจผู้คน",IF(LEFT(AX34,1)="E","ผู้นำการเปลี่ยนแปลง","ผู้จัดระบบ"))))))</x:f>
      </x:c>
    </x:row>
    <x:row r="35">
      <x:c r="A35" s="27"/>
      <x:c r="B35" s="28"/>
      <x:c r="C35" s="27"/>
      <x:c r="D35" s="27"/>
      <x:c r="E35" s="27"/>
      <x:c r="F35" s="27"/>
      <x:c r="G35" s="27"/>
      <x:c r="H35" s="27"/>
      <x:c r="I35" s="27"/>
      <x:c r="J35" s="27"/>
      <x:c r="K35" s="27"/>
      <x:c r="L35" s="27"/>
      <x:c r="M35" s="27"/>
      <x:c r="N35" s="27"/>
      <x:c r="O35" s="27"/>
      <x:c r="P35" s="27"/>
      <x:c r="Q35" s="27"/>
      <x:c r="R35" s="27"/>
      <x:c r="S35" s="27"/>
      <x:c r="T35" s="27"/>
      <x:c r="U35" s="27"/>
      <x:c r="V35" s="27"/>
      <x:c r="W35" s="27"/>
      <x:c r="X35" s="27"/>
      <x:c r="Y35" s="27"/>
      <x:c r="Z35" s="27"/>
      <x:c r="AA35" s="27"/>
      <x:c r="AB35" s="27"/>
      <x:c r="AC35" s="27"/>
      <x:c r="AD35" s="27"/>
      <x:c r="AE35" s="27"/>
      <x:c r="AF35" s="27"/>
      <x:c r="AG35" s="27"/>
      <x:c r="AH35" s="27"/>
      <x:c r="AI35" s="27"/>
      <x:c r="AJ35" s="27"/>
      <x:c r="AK35" s="27"/>
      <x:c r="AL35" s="27"/>
      <x:c r="AM35" s="27"/>
      <x:c r="AN35" s="27"/>
      <x:c r="AO35" s="27"/>
      <x:c r="AP35" s="27"/>
      <x:c r="AQ35" s="27"/>
      <x:c r="AR35" s="27" t="str">
        <x:f>IF(C35="","",SUM(H35,N35,T35,Z35,AF35,AL35))</x:f>
      </x:c>
      <x:c r="AS35" s="27" t="str">
        <x:f>IF(C35="","",SUM(I35,O35,U35,AA35,AG35,AM35))</x:f>
      </x:c>
      <x:c r="AT35" s="27" t="str">
        <x:f>IF(C35="","",SUM(J35,P35,V35,AB35,AH35,AN35))</x:f>
      </x:c>
      <x:c r="AU35" s="27" t="str">
        <x:f>IF(C35="","",SUM(K35,Q35,W35,AC35,AI35,AO35))</x:f>
      </x:c>
      <x:c r="AV35" s="27" t="str">
        <x:f>IF(C35="","",SUM(L35,R35,X35,AD35,AJ35,AP35))</x:f>
      </x:c>
      <x:c r="AW35" s="27" t="str">
        <x:f>IF(C35="","",SUM(M35,S35,Y35,AE35,AK35,AQ35))</x:f>
      </x:c>
      <x:c r="AX35" s="27" t="str">
        <x:f>IF(C35="","",IF(IF(AS35*1000000+SUM(U35,AM35)*10000+SUM(O35,AG35)*100+SUM(I35,AA35)+0.005&gt;AR35*1000000+SUM(T35,AL35)*10000+SUM(N35,AF35)*100+SUM(H35,Z35)+0.006,1,0)+IF(AT35*1000000+SUM(V35,AN35)*10000+SUM(P35,AH35)*100+SUM(J35,AB35)+0.004&gt;AR35*1000000+SUM(T35,AL35)*10000+SUM(N35,AF35)*100+SUM(H35,Z35)+0.006,1,0)+IF(AU35*1000000+SUM(W35,AO35)*10000+SUM(Q35,AI35)*100+SUM(K35,AC35)+0.003&gt;AR35*1000000+SUM(T35,AL35)*10000+SUM(N35,AF35)*100+SUM(H35,Z35)+0.006,1,0)+IF(AV35*1000000+SUM(X35,AP35)*10000+SUM(R35,AJ35)*100+SUM(L35,AD35)+0.002&gt;AR35*1000000+SUM(T35,AL35)*10000+SUM(N35,AF35)*100+SUM(H35,Z35)+0.006,1,0)+IF(AW35*1000000+SUM(Y35,AQ35)*10000+SUM(S35,AK35)*100+SUM(M35,AE35)+0.001&gt;AR35*1000000+SUM(T35,AL35)*10000+SUM(N35,AF35)*100+SUM(H35,Z35)+0.006,1,0)=0,"R",IF(IF(AR35*1000000+SUM(T35,AL35)*10000+SUM(N35,AF35)*100+SUM(H35,Z35)+0.006&gt;AS35*1000000+SUM(U35,AM35)*10000+SUM(O35,AG35)*100+SUM(I35,AA35)+0.005,1,0)+IF(AT35*1000000+SUM(V35,AN35)*10000+SUM(P35,AH35)*100+SUM(J35,AB35)+0.004&gt;AS35*1000000+SUM(U35,AM35)*10000+SUM(O35,AG35)*100+SUM(I35,AA35)+0.005,1,0)+IF(AU35*1000000+SUM(W35,AO35)*10000+SUM(Q35,AI35)*100+SUM(K35,AC35)+0.003&gt;AS35*1000000+SUM(U35,AM35)*10000+SUM(O35,AG35)*100+SUM(I35,AA35)+0.005,1,0)+IF(AV35*1000000+SUM(X35,AP35)*10000+SUM(R35,AJ35)*100+SUM(L35,AD35)+0.002&gt;AS35*1000000+SUM(U35,AM35)*10000+SUM(O35,AG35)*100+SUM(I35,AA35)+0.005,1,0)+IF(AW35*1000000+SUM(Y35,AQ35)*10000+SUM(S35,AK35)*100+SUM(M35,AE35)+0.001&gt;AS35*1000000+SUM(U35,AM35)*10000+SUM(O35,AG35)*100+SUM(I35,AA35)+0.005,1,0)=0,"I",IF(IF(AR35*1000000+SUM(T35,AL35)*10000+SUM(N35,AF35)*100+SUM(H35,Z35)+0.006&gt;AT35*1000000+SUM(V35,AN35)*10000+SUM(P35,AH35)*100+SUM(J35,AB35)+0.004,1,0)+IF(AS35*1000000+SUM(U35,AM35)*10000+SUM(O35,AG35)*100+SUM(I35,AA35)+0.005&gt;AT35*1000000+SUM(V35,AN35)*10000+SUM(P35,AH35)*100+SUM(J35,AB35)+0.004,1,0)+IF(AU35*1000000+SUM(W35,AO35)*10000+SUM(Q35,AI35)*100+SUM(K35,AC35)+0.003&gt;AT35*1000000+SUM(V35,AN35)*10000+SUM(P35,AH35)*100+SUM(J35,AB35)+0.004,1,0)+IF(AV35*1000000+SUM(X35,AP35)*10000+SUM(R35,AJ35)*100+SUM(L35,AD35)+0.002&gt;AT35*1000000+SUM(V35,AN35)*10000+SUM(P35,AH35)*100+SUM(J35,AB35)+0.004,1,0)+IF(AW35*1000000+SUM(Y35,AQ35)*10000+SUM(S35,AK35)*100+SUM(M35,AE35)+0.001&gt;AT35*1000000+SUM(V35,AN35)*10000+SUM(P35,AH35)*100+SUM(J35,AB35)+0.004,1,0)=0,"A",IF(IF(AR35*1000000+SUM(T35,AL35)*10000+SUM(N35,AF35)*100+SUM(H35,Z35)+0.006&gt;AU35*1000000+SUM(W35,AO35)*10000+SUM(Q35,AI35)*100+SUM(K35,AC35)+0.003,1,0)+IF(AS35*1000000+SUM(U35,AM35)*10000+SUM(O35,AG35)*100+SUM(I35,AA35)+0.005&gt;AU35*1000000+SUM(W35,AO35)*10000+SUM(Q35,AI35)*100+SUM(K35,AC35)+0.003,1,0)+IF(AT35*1000000+SUM(V35,AN35)*10000+SUM(P35,AH35)*100+SUM(J35,AB35)+0.004&gt;AU35*1000000+SUM(W35,AO35)*10000+SUM(Q35,AI35)*100+SUM(K35,AC35)+0.003,1,0)+IF(AV35*1000000+SUM(X35,AP35)*10000+SUM(R35,AJ35)*100+SUM(L35,AD35)+0.002&gt;AU35*1000000+SUM(W35,AO35)*10000+SUM(Q35,AI35)*100+SUM(K35,AC35)+0.003,1,0)+IF(AW35*1000000+SUM(Y35,AQ35)*10000+SUM(S35,AK35)*100+SUM(M35,AE35)+0.001&gt;AU35*1000000+SUM(W35,AO35)*10000+SUM(Q35,AI35)*100+SUM(K35,AC35)+0.003,1,0)=0,"S",IF(IF(AR35*1000000+SUM(T35,AL35)*10000+SUM(N35,AF35)*100+SUM(H35,Z35)+0.006&gt;AV35*1000000+SUM(X35,AP35)*10000+SUM(R35,AJ35)*100+SUM(L35,AD35)+0.002,1,0)+IF(AS35*1000000+SUM(U35,AM35)*10000+SUM(O35,AG35)*100+SUM(I35,AA35)+0.005&gt;AV35*1000000+SUM(X35,AP35)*10000+SUM(R35,AJ35)*100+SUM(L35,AD35)+0.002,1,0)+IF(AT35*1000000+SUM(V35,AN35)*10000+SUM(P35,AH35)*100+SUM(J35,AB35)+0.004&gt;AV35*1000000+SUM(X35,AP35)*10000+SUM(R35,AJ35)*100+SUM(L35,AD35)+0.002,1,0)+IF(AU35*1000000+SUM(W35,AO35)*10000+SUM(Q35,AI35)*100+SUM(K35,AC35)+0.003&gt;AV35*1000000+SUM(X35,AP35)*10000+SUM(R35,AJ35)*100+SUM(L35,AD35)+0.002,1,0)+IF(AW35*1000000+SUM(Y35,AQ35)*10000+SUM(S35,AK35)*100+SUM(M35,AE35)+0.001&gt;AV35*1000000+SUM(X35,AP35)*10000+SUM(R35,AJ35)*100+SUM(L35,AD35)+0.002,1,0)=0,"E",IF(IF(AR35*1000000+SUM(T35,AL35)*10000+SUM(N35,AF35)*100+SUM(H35,Z35)+0.006&gt;AW35*1000000+SUM(Y35,AQ35)*10000+SUM(S35,AK35)*100+SUM(M35,AE35)+0.001,1,0)+IF(AS35*1000000+SUM(U35,AM35)*10000+SUM(O35,AG35)*100+SUM(I35,AA35)+0.005&gt;AW35*1000000+SUM(Y35,AQ35)*10000+SUM(S35,AK35)*100+SUM(M35,AE35)+0.001,1,0)+IF(AT35*1000000+SUM(V35,AN35)*10000+SUM(P35,AH35)*100+SUM(J35,AB35)+0.004&gt;AW35*1000000+SUM(Y35,AQ35)*10000+SUM(S35,AK35)*100+SUM(M35,AE35)+0.001,1,0)+IF(AU35*1000000+SUM(W35,AO35)*10000+SUM(Q35,AI35)*100+SUM(K35,AC35)+0.003&gt;AW35*1000000+SUM(Y35,AQ35)*10000+SUM(S35,AK35)*100+SUM(M35,AE35)+0.001,1,0)+IF(AV35*1000000+SUM(X35,AP35)*10000+SUM(R35,AJ35)*100+SUM(L35,AD35)+0.002&gt;AW35*1000000+SUM(Y35,AQ35)*10000+SUM(S35,AK35)*100+SUM(M35,AE35)+0.001,1,0)=0,"C",""))))))&amp;IF(IF(AS35*1000000+SUM(U35,AM35)*10000+SUM(O35,AG35)*100+SUM(I35,AA35)+0.005&gt;AR35*1000000+SUM(T35,AL35)*10000+SUM(N35,AF35)*100+SUM(H35,Z35)+0.006,1,0)+IF(AT35*1000000+SUM(V35,AN35)*10000+SUM(P35,AH35)*100+SUM(J35,AB35)+0.004&gt;AR35*1000000+SUM(T35,AL35)*10000+SUM(N35,AF35)*100+SUM(H35,Z35)+0.006,1,0)+IF(AU35*1000000+SUM(W35,AO35)*10000+SUM(Q35,AI35)*100+SUM(K35,AC35)+0.003&gt;AR35*1000000+SUM(T35,AL35)*10000+SUM(N35,AF35)*100+SUM(H35,Z35)+0.006,1,0)+IF(AV35*1000000+SUM(X35,AP35)*10000+SUM(R35,AJ35)*100+SUM(L35,AD35)+0.002&gt;AR35*1000000+SUM(T35,AL35)*10000+SUM(N35,AF35)*100+SUM(H35,Z35)+0.006,1,0)+IF(AW35*1000000+SUM(Y35,AQ35)*10000+SUM(S35,AK35)*100+SUM(M35,AE35)+0.001&gt;AR35*1000000+SUM(T35,AL35)*10000+SUM(N35,AF35)*100+SUM(H35,Z35)+0.006,1,0)=1,"R",IF(IF(AR35*1000000+SUM(T35,AL35)*10000+SUM(N35,AF35)*100+SUM(H35,Z35)+0.006&gt;AS35*1000000+SUM(U35,AM35)*10000+SUM(O35,AG35)*100+SUM(I35,AA35)+0.005,1,0)+IF(AT35*1000000+SUM(V35,AN35)*10000+SUM(P35,AH35)*100+SUM(J35,AB35)+0.004&gt;AS35*1000000+SUM(U35,AM35)*10000+SUM(O35,AG35)*100+SUM(I35,AA35)+0.005,1,0)+IF(AU35*1000000+SUM(W35,AO35)*10000+SUM(Q35,AI35)*100+SUM(K35,AC35)+0.003&gt;AS35*1000000+SUM(U35,AM35)*10000+SUM(O35,AG35)*100+SUM(I35,AA35)+0.005,1,0)+IF(AV35*1000000+SUM(X35,AP35)*10000+SUM(R35,AJ35)*100+SUM(L35,AD35)+0.002&gt;AS35*1000000+SUM(U35,AM35)*10000+SUM(O35,AG35)*100+SUM(I35,AA35)+0.005,1,0)+IF(AW35*1000000+SUM(Y35,AQ35)*10000+SUM(S35,AK35)*100+SUM(M35,AE35)+0.001&gt;AS35*1000000+SUM(U35,AM35)*10000+SUM(O35,AG35)*100+SUM(I35,AA35)+0.005,1,0)=1,"I",IF(IF(AR35*1000000+SUM(T35,AL35)*10000+SUM(N35,AF35)*100+SUM(H35,Z35)+0.006&gt;AT35*1000000+SUM(V35,AN35)*10000+SUM(P35,AH35)*100+SUM(J35,AB35)+0.004,1,0)+IF(AS35*1000000+SUM(U35,AM35)*10000+SUM(O35,AG35)*100+SUM(I35,AA35)+0.005&gt;AT35*1000000+SUM(V35,AN35)*10000+SUM(P35,AH35)*100+SUM(J35,AB35)+0.004,1,0)+IF(AU35*1000000+SUM(W35,AO35)*10000+SUM(Q35,AI35)*100+SUM(K35,AC35)+0.003&gt;AT35*1000000+SUM(V35,AN35)*10000+SUM(P35,AH35)*100+SUM(J35,AB35)+0.004,1,0)+IF(AV35*1000000+SUM(X35,AP35)*10000+SUM(R35,AJ35)*100+SUM(L35,AD35)+0.002&gt;AT35*1000000+SUM(V35,AN35)*10000+SUM(P35,AH35)*100+SUM(J35,AB35)+0.004,1,0)+IF(AW35*1000000+SUM(Y35,AQ35)*10000+SUM(S35,AK35)*100+SUM(M35,AE35)+0.001&gt;AT35*1000000+SUM(V35,AN35)*10000+SUM(P35,AH35)*100+SUM(J35,AB35)+0.004,1,0)=1,"A",IF(IF(AR35*1000000+SUM(T35,AL35)*10000+SUM(N35,AF35)*100+SUM(H35,Z35)+0.006&gt;AU35*1000000+SUM(W35,AO35)*10000+SUM(Q35,AI35)*100+SUM(K35,AC35)+0.003,1,0)+IF(AS35*1000000+SUM(U35,AM35)*10000+SUM(O35,AG35)*100+SUM(I35,AA35)+0.005&gt;AU35*1000000+SUM(W35,AO35)*10000+SUM(Q35,AI35)*100+SUM(K35,AC35)+0.003,1,0)+IF(AT35*1000000+SUM(V35,AN35)*10000+SUM(P35,AH35)*100+SUM(J35,AB35)+0.004&gt;AU35*1000000+SUM(W35,AO35)*10000+SUM(Q35,AI35)*100+SUM(K35,AC35)+0.003,1,0)+IF(AV35*1000000+SUM(X35,AP35)*10000+SUM(R35,AJ35)*100+SUM(L35,AD35)+0.002&gt;AU35*1000000+SUM(W35,AO35)*10000+SUM(Q35,AI35)*100+SUM(K35,AC35)+0.003,1,0)+IF(AW35*1000000+SUM(Y35,AQ35)*10000+SUM(S35,AK35)*100+SUM(M35,AE35)+0.001&gt;AU35*1000000+SUM(W35,AO35)*10000+SUM(Q35,AI35)*100+SUM(K35,AC35)+0.003,1,0)=1,"S",IF(IF(AR35*1000000+SUM(T35,AL35)*10000+SUM(N35,AF35)*100+SUM(H35,Z35)+0.006&gt;AV35*1000000+SUM(X35,AP35)*10000+SUM(R35,AJ35)*100+SUM(L35,AD35)+0.002,1,0)+IF(AS35*1000000+SUM(U35,AM35)*10000+SUM(O35,AG35)*100+SUM(I35,AA35)+0.005&gt;AV35*1000000+SUM(X35,AP35)*10000+SUM(R35,AJ35)*100+SUM(L35,AD35)+0.002,1,0)+IF(AT35*1000000+SUM(V35,AN35)*10000+SUM(P35,AH35)*100+SUM(J35,AB35)+0.004&gt;AV35*1000000+SUM(X35,AP35)*10000+SUM(R35,AJ35)*100+SUM(L35,AD35)+0.002,1,0)+IF(AU35*1000000+SUM(W35,AO35)*10000+SUM(Q35,AI35)*100+SUM(K35,AC35)+0.003&gt;AV35*1000000+SUM(X35,AP35)*10000+SUM(R35,AJ35)*100+SUM(L35,AD35)+0.002,1,0)+IF(AW35*1000000+SUM(Y35,AQ35)*10000+SUM(S35,AK35)*100+SUM(M35,AE35)+0.001&gt;AV35*1000000+SUM(X35,AP35)*10000+SUM(R35,AJ35)*100+SUM(L35,AD35)+0.002,1,0)=1,"E",IF(IF(AR35*1000000+SUM(T35,AL35)*10000+SUM(N35,AF35)*100+SUM(H35,Z35)+0.006&gt;AW35*1000000+SUM(Y35,AQ35)*10000+SUM(S35,AK35)*100+SUM(M35,AE35)+0.001,1,0)+IF(AS35*1000000+SUM(U35,AM35)*10000+SUM(O35,AG35)*100+SUM(I35,AA35)+0.005&gt;AW35*1000000+SUM(Y35,AQ35)*10000+SUM(S35,AK35)*100+SUM(M35,AE35)+0.001,1,0)+IF(AT35*1000000+SUM(V35,AN35)*10000+SUM(P35,AH35)*100+SUM(J35,AB35)+0.004&gt;AW35*1000000+SUM(Y35,AQ35)*10000+SUM(S35,AK35)*100+SUM(M35,AE35)+0.001,1,0)+IF(AU35*1000000+SUM(W35,AO35)*10000+SUM(Q35,AI35)*100+SUM(K35,AC35)+0.003&gt;AW35*1000000+SUM(Y35,AQ35)*10000+SUM(S35,AK35)*100+SUM(M35,AE35)+0.001,1,0)+IF(AV35*1000000+SUM(X35,AP35)*10000+SUM(R35,AJ35)*100+SUM(L35,AD35)+0.002&gt;AW35*1000000+SUM(Y35,AQ35)*10000+SUM(S35,AK35)*100+SUM(M35,AE35)+0.001,1,0)=1,"C",""))))))&amp;IF(IF(AS35*1000000+SUM(U35,AM35)*10000+SUM(O35,AG35)*100+SUM(I35,AA35)+0.005&gt;AR35*1000000+SUM(T35,AL35)*10000+SUM(N35,AF35)*100+SUM(H35,Z35)+0.006,1,0)+IF(AT35*1000000+SUM(V35,AN35)*10000+SUM(P35,AH35)*100+SUM(J35,AB35)+0.004&gt;AR35*1000000+SUM(T35,AL35)*10000+SUM(N35,AF35)*100+SUM(H35,Z35)+0.006,1,0)+IF(AU35*1000000+SUM(W35,AO35)*10000+SUM(Q35,AI35)*100+SUM(K35,AC35)+0.003&gt;AR35*1000000+SUM(T35,AL35)*10000+SUM(N35,AF35)*100+SUM(H35,Z35)+0.006,1,0)+IF(AV35*1000000+SUM(X35,AP35)*10000+SUM(R35,AJ35)*100+SUM(L35,AD35)+0.002&gt;AR35*1000000+SUM(T35,AL35)*10000+SUM(N35,AF35)*100+SUM(H35,Z35)+0.006,1,0)+IF(AW35*1000000+SUM(Y35,AQ35)*10000+SUM(S35,AK35)*100+SUM(M35,AE35)+0.001&gt;AR35*1000000+SUM(T35,AL35)*10000+SUM(N35,AF35)*100+SUM(H35,Z35)+0.006,1,0)=2,"R",IF(IF(AR35*1000000+SUM(T35,AL35)*10000+SUM(N35,AF35)*100+SUM(H35,Z35)+0.006&gt;AS35*1000000+SUM(U35,AM35)*10000+SUM(O35,AG35)*100+SUM(I35,AA35)+0.005,1,0)+IF(AT35*1000000+SUM(V35,AN35)*10000+SUM(P35,AH35)*100+SUM(J35,AB35)+0.004&gt;AS35*1000000+SUM(U35,AM35)*10000+SUM(O35,AG35)*100+SUM(I35,AA35)+0.005,1,0)+IF(AU35*1000000+SUM(W35,AO35)*10000+SUM(Q35,AI35)*100+SUM(K35,AC35)+0.003&gt;AS35*1000000+SUM(U35,AM35)*10000+SUM(O35,AG35)*100+SUM(I35,AA35)+0.005,1,0)+IF(AV35*1000000+SUM(X35,AP35)*10000+SUM(R35,AJ35)*100+SUM(L35,AD35)+0.002&gt;AS35*1000000+SUM(U35,AM35)*10000+SUM(O35,AG35)*100+SUM(I35,AA35)+0.005,1,0)+IF(AW35*1000000+SUM(Y35,AQ35)*10000+SUM(S35,AK35)*100+SUM(M35,AE35)+0.001&gt;AS35*1000000+SUM(U35,AM35)*10000+SUM(O35,AG35)*100+SUM(I35,AA35)+0.005,1,0)=2,"I",IF(IF(AR35*1000000+SUM(T35,AL35)*10000+SUM(N35,AF35)*100+SUM(H35,Z35)+0.006&gt;AT35*1000000+SUM(V35,AN35)*10000+SUM(P35,AH35)*100+SUM(J35,AB35)+0.004,1,0)+IF(AS35*1000000+SUM(U35,AM35)*10000+SUM(O35,AG35)*100+SUM(I35,AA35)+0.005&gt;AT35*1000000+SUM(V35,AN35)*10000+SUM(P35,AH35)*100+SUM(J35,AB35)+0.004,1,0)+IF(AU35*1000000+SUM(W35,AO35)*10000+SUM(Q35,AI35)*100+SUM(K35,AC35)+0.003&gt;AT35*1000000+SUM(V35,AN35)*10000+SUM(P35,AH35)*100+SUM(J35,AB35)+0.004,1,0)+IF(AV35*1000000+SUM(X35,AP35)*10000+SUM(R35,AJ35)*100+SUM(L35,AD35)+0.002&gt;AT35*1000000+SUM(V35,AN35)*10000+SUM(P35,AH35)*100+SUM(J35,AB35)+0.004,1,0)+IF(AW35*1000000+SUM(Y35,AQ35)*10000+SUM(S35,AK35)*100+SUM(M35,AE35)+0.001&gt;AT35*1000000+SUM(V35,AN35)*10000+SUM(P35,AH35)*100+SUM(J35,AB35)+0.004,1,0)=2,"A",IF(IF(AR35*1000000+SUM(T35,AL35)*10000+SUM(N35,AF35)*100+SUM(H35,Z35)+0.006&gt;AU35*1000000+SUM(W35,AO35)*10000+SUM(Q35,AI35)*100+SUM(K35,AC35)+0.003,1,0)+IF(AS35*1000000+SUM(U35,AM35)*10000+SUM(O35,AG35)*100+SUM(I35,AA35)+0.005&gt;AU35*1000000+SUM(W35,AO35)*10000+SUM(Q35,AI35)*100+SUM(K35,AC35)+0.003,1,0)+IF(AT35*1000000+SUM(V35,AN35)*10000+SUM(P35,AH35)*100+SUM(J35,AB35)+0.004&gt;AU35*1000000+SUM(W35,AO35)*10000+SUM(Q35,AI35)*100+SUM(K35,AC35)+0.003,1,0)+IF(AV35*1000000+SUM(X35,AP35)*10000+SUM(R35,AJ35)*100+SUM(L35,AD35)+0.002&gt;AU35*1000000+SUM(W35,AO35)*10000+SUM(Q35,AI35)*100+SUM(K35,AC35)+0.003,1,0)+IF(AW35*1000000+SUM(Y35,AQ35)*10000+SUM(S35,AK35)*100+SUM(M35,AE35)+0.001&gt;AU35*1000000+SUM(W35,AO35)*10000+SUM(Q35,AI35)*100+SUM(K35,AC35)+0.003,1,0)=2,"S",IF(IF(AR35*1000000+SUM(T35,AL35)*10000+SUM(N35,AF35)*100+SUM(H35,Z35)+0.006&gt;AV35*1000000+SUM(X35,AP35)*10000+SUM(R35,AJ35)*100+SUM(L35,AD35)+0.002,1,0)+IF(AS35*1000000+SUM(U35,AM35)*10000+SUM(O35,AG35)*100+SUM(I35,AA35)+0.005&gt;AV35*1000000+SUM(X35,AP35)*10000+SUM(R35,AJ35)*100+SUM(L35,AD35)+0.002,1,0)+IF(AT35*1000000+SUM(V35,AN35)*10000+SUM(P35,AH35)*100+SUM(J35,AB35)+0.004&gt;AV35*1000000+SUM(X35,AP35)*10000+SUM(R35,AJ35)*100+SUM(L35,AD35)+0.002,1,0)+IF(AU35*1000000+SUM(W35,AO35)*10000+SUM(Q35,AI35)*100+SUM(K35,AC35)+0.003&gt;AV35*1000000+SUM(X35,AP35)*10000+SUM(R35,AJ35)*100+SUM(L35,AD35)+0.002,1,0)+IF(AW35*1000000+SUM(Y35,AQ35)*10000+SUM(S35,AK35)*100+SUM(M35,AE35)+0.001&gt;AV35*1000000+SUM(X35,AP35)*10000+SUM(R35,AJ35)*100+SUM(L35,AD35)+0.002,1,0)=2,"E",IF(IF(AR35*1000000+SUM(T35,AL35)*10000+SUM(N35,AF35)*100+SUM(H35,Z35)+0.006&gt;AW35*1000000+SUM(Y35,AQ35)*10000+SUM(S35,AK35)*100+SUM(M35,AE35)+0.001,1,0)+IF(AS35*1000000+SUM(U35,AM35)*10000+SUM(O35,AG35)*100+SUM(I35,AA35)+0.005&gt;AW35*1000000+SUM(Y35,AQ35)*10000+SUM(S35,AK35)*100+SUM(M35,AE35)+0.001,1,0)+IF(AT35*1000000+SUM(V35,AN35)*10000+SUM(P35,AH35)*100+SUM(J35,AB35)+0.004&gt;AW35*1000000+SUM(Y35,AQ35)*10000+SUM(S35,AK35)*100+SUM(M35,AE35)+0.001,1,0)+IF(AU35*1000000+SUM(W35,AO35)*10000+SUM(Q35,AI35)*100+SUM(K35,AC35)+0.003&gt;AW35*1000000+SUM(Y35,AQ35)*10000+SUM(S35,AK35)*100+SUM(M35,AE35)+0.001,1,0)+IF(AV35*1000000+SUM(X35,AP35)*10000+SUM(R35,AJ35)*100+SUM(L35,AD35)+0.002&gt;AW35*1000000+SUM(Y35,AQ35)*10000+SUM(S35,AK35)*100+SUM(M35,AE35)+0.001,1,0)=2,"C","")))))))</x:f>
      </x:c>
      <x:c r="AY35" s="27" t="str">
        <x:f>IF(C35="","",IF(LEFT(AX35,1)="R","นักปฏิบัติ",IF(LEFT(AX35,1)="I","นักคิดวิเคราะห์",IF(LEFT(AX35,1)="A","นักสร้างสรรค์",IF(LEFT(AX35,1)="S","ผู้เข้าใจผู้คน",IF(LEFT(AX35,1)="E","ผู้นำการเปลี่ยนแปลง","ผู้จัดระบบ"))))))</x:f>
      </x:c>
    </x:row>
    <x:row r="36">
      <x:c r="A36" s="27"/>
      <x:c r="B36" s="28"/>
      <x:c r="C36" s="27"/>
      <x:c r="D36" s="27"/>
      <x:c r="E36" s="27"/>
      <x:c r="F36" s="27"/>
      <x:c r="G36" s="27"/>
      <x:c r="H36" s="27"/>
      <x:c r="I36" s="27"/>
      <x:c r="J36" s="27"/>
      <x:c r="K36" s="27"/>
      <x:c r="L36" s="27"/>
      <x:c r="M36" s="27"/>
      <x:c r="N36" s="27"/>
      <x:c r="O36" s="27"/>
      <x:c r="P36" s="27"/>
      <x:c r="Q36" s="27"/>
      <x:c r="R36" s="27"/>
      <x:c r="S36" s="27"/>
      <x:c r="T36" s="27"/>
      <x:c r="U36" s="27"/>
      <x:c r="V36" s="27"/>
      <x:c r="W36" s="27"/>
      <x:c r="X36" s="27"/>
      <x:c r="Y36" s="27"/>
      <x:c r="Z36" s="27"/>
      <x:c r="AA36" s="27"/>
      <x:c r="AB36" s="27"/>
      <x:c r="AC36" s="27"/>
      <x:c r="AD36" s="27"/>
      <x:c r="AE36" s="27"/>
      <x:c r="AF36" s="27"/>
      <x:c r="AG36" s="27"/>
      <x:c r="AH36" s="27"/>
      <x:c r="AI36" s="27"/>
      <x:c r="AJ36" s="27"/>
      <x:c r="AK36" s="27"/>
      <x:c r="AL36" s="27"/>
      <x:c r="AM36" s="27"/>
      <x:c r="AN36" s="27"/>
      <x:c r="AO36" s="27"/>
      <x:c r="AP36" s="27"/>
      <x:c r="AQ36" s="27"/>
      <x:c r="AR36" s="27" t="str">
        <x:f>IF(C36="","",SUM(H36,N36,T36,Z36,AF36,AL36))</x:f>
      </x:c>
      <x:c r="AS36" s="27" t="str">
        <x:f>IF(C36="","",SUM(I36,O36,U36,AA36,AG36,AM36))</x:f>
      </x:c>
      <x:c r="AT36" s="27" t="str">
        <x:f>IF(C36="","",SUM(J36,P36,V36,AB36,AH36,AN36))</x:f>
      </x:c>
      <x:c r="AU36" s="27" t="str">
        <x:f>IF(C36="","",SUM(K36,Q36,W36,AC36,AI36,AO36))</x:f>
      </x:c>
      <x:c r="AV36" s="27" t="str">
        <x:f>IF(C36="","",SUM(L36,R36,X36,AD36,AJ36,AP36))</x:f>
      </x:c>
      <x:c r="AW36" s="27" t="str">
        <x:f>IF(C36="","",SUM(M36,S36,Y36,AE36,AK36,AQ36))</x:f>
      </x:c>
      <x:c r="AX36" s="27" t="str">
        <x:f>IF(C36="","",IF(IF(AS36*1000000+SUM(U36,AM36)*10000+SUM(O36,AG36)*100+SUM(I36,AA36)+0.005&gt;AR36*1000000+SUM(T36,AL36)*10000+SUM(N36,AF36)*100+SUM(H36,Z36)+0.006,1,0)+IF(AT36*1000000+SUM(V36,AN36)*10000+SUM(P36,AH36)*100+SUM(J36,AB36)+0.004&gt;AR36*1000000+SUM(T36,AL36)*10000+SUM(N36,AF36)*100+SUM(H36,Z36)+0.006,1,0)+IF(AU36*1000000+SUM(W36,AO36)*10000+SUM(Q36,AI36)*100+SUM(K36,AC36)+0.003&gt;AR36*1000000+SUM(T36,AL36)*10000+SUM(N36,AF36)*100+SUM(H36,Z36)+0.006,1,0)+IF(AV36*1000000+SUM(X36,AP36)*10000+SUM(R36,AJ36)*100+SUM(L36,AD36)+0.002&gt;AR36*1000000+SUM(T36,AL36)*10000+SUM(N36,AF36)*100+SUM(H36,Z36)+0.006,1,0)+IF(AW36*1000000+SUM(Y36,AQ36)*10000+SUM(S36,AK36)*100+SUM(M36,AE36)+0.001&gt;AR36*1000000+SUM(T36,AL36)*10000+SUM(N36,AF36)*100+SUM(H36,Z36)+0.006,1,0)=0,"R",IF(IF(AR36*1000000+SUM(T36,AL36)*10000+SUM(N36,AF36)*100+SUM(H36,Z36)+0.006&gt;AS36*1000000+SUM(U36,AM36)*10000+SUM(O36,AG36)*100+SUM(I36,AA36)+0.005,1,0)+IF(AT36*1000000+SUM(V36,AN36)*10000+SUM(P36,AH36)*100+SUM(J36,AB36)+0.004&gt;AS36*1000000+SUM(U36,AM36)*10000+SUM(O36,AG36)*100+SUM(I36,AA36)+0.005,1,0)+IF(AU36*1000000+SUM(W36,AO36)*10000+SUM(Q36,AI36)*100+SUM(K36,AC36)+0.003&gt;AS36*1000000+SUM(U36,AM36)*10000+SUM(O36,AG36)*100+SUM(I36,AA36)+0.005,1,0)+IF(AV36*1000000+SUM(X36,AP36)*10000+SUM(R36,AJ36)*100+SUM(L36,AD36)+0.002&gt;AS36*1000000+SUM(U36,AM36)*10000+SUM(O36,AG36)*100+SUM(I36,AA36)+0.005,1,0)+IF(AW36*1000000+SUM(Y36,AQ36)*10000+SUM(S36,AK36)*100+SUM(M36,AE36)+0.001&gt;AS36*1000000+SUM(U36,AM36)*10000+SUM(O36,AG36)*100+SUM(I36,AA36)+0.005,1,0)=0,"I",IF(IF(AR36*1000000+SUM(T36,AL36)*10000+SUM(N36,AF36)*100+SUM(H36,Z36)+0.006&gt;AT36*1000000+SUM(V36,AN36)*10000+SUM(P36,AH36)*100+SUM(J36,AB36)+0.004,1,0)+IF(AS36*1000000+SUM(U36,AM36)*10000+SUM(O36,AG36)*100+SUM(I36,AA36)+0.005&gt;AT36*1000000+SUM(V36,AN36)*10000+SUM(P36,AH36)*100+SUM(J36,AB36)+0.004,1,0)+IF(AU36*1000000+SUM(W36,AO36)*10000+SUM(Q36,AI36)*100+SUM(K36,AC36)+0.003&gt;AT36*1000000+SUM(V36,AN36)*10000+SUM(P36,AH36)*100+SUM(J36,AB36)+0.004,1,0)+IF(AV36*1000000+SUM(X36,AP36)*10000+SUM(R36,AJ36)*100+SUM(L36,AD36)+0.002&gt;AT36*1000000+SUM(V36,AN36)*10000+SUM(P36,AH36)*100+SUM(J36,AB36)+0.004,1,0)+IF(AW36*1000000+SUM(Y36,AQ36)*10000+SUM(S36,AK36)*100+SUM(M36,AE36)+0.001&gt;AT36*1000000+SUM(V36,AN36)*10000+SUM(P36,AH36)*100+SUM(J36,AB36)+0.004,1,0)=0,"A",IF(IF(AR36*1000000+SUM(T36,AL36)*10000+SUM(N36,AF36)*100+SUM(H36,Z36)+0.006&gt;AU36*1000000+SUM(W36,AO36)*10000+SUM(Q36,AI36)*100+SUM(K36,AC36)+0.003,1,0)+IF(AS36*1000000+SUM(U36,AM36)*10000+SUM(O36,AG36)*100+SUM(I36,AA36)+0.005&gt;AU36*1000000+SUM(W36,AO36)*10000+SUM(Q36,AI36)*100+SUM(K36,AC36)+0.003,1,0)+IF(AT36*1000000+SUM(V36,AN36)*10000+SUM(P36,AH36)*100+SUM(J36,AB36)+0.004&gt;AU36*1000000+SUM(W36,AO36)*10000+SUM(Q36,AI36)*100+SUM(K36,AC36)+0.003,1,0)+IF(AV36*1000000+SUM(X36,AP36)*10000+SUM(R36,AJ36)*100+SUM(L36,AD36)+0.002&gt;AU36*1000000+SUM(W36,AO36)*10000+SUM(Q36,AI36)*100+SUM(K36,AC36)+0.003,1,0)+IF(AW36*1000000+SUM(Y36,AQ36)*10000+SUM(S36,AK36)*100+SUM(M36,AE36)+0.001&gt;AU36*1000000+SUM(W36,AO36)*10000+SUM(Q36,AI36)*100+SUM(K36,AC36)+0.003,1,0)=0,"S",IF(IF(AR36*1000000+SUM(T36,AL36)*10000+SUM(N36,AF36)*100+SUM(H36,Z36)+0.006&gt;AV36*1000000+SUM(X36,AP36)*10000+SUM(R36,AJ36)*100+SUM(L36,AD36)+0.002,1,0)+IF(AS36*1000000+SUM(U36,AM36)*10000+SUM(O36,AG36)*100+SUM(I36,AA36)+0.005&gt;AV36*1000000+SUM(X36,AP36)*10000+SUM(R36,AJ36)*100+SUM(L36,AD36)+0.002,1,0)+IF(AT36*1000000+SUM(V36,AN36)*10000+SUM(P36,AH36)*100+SUM(J36,AB36)+0.004&gt;AV36*1000000+SUM(X36,AP36)*10000+SUM(R36,AJ36)*100+SUM(L36,AD36)+0.002,1,0)+IF(AU36*1000000+SUM(W36,AO36)*10000+SUM(Q36,AI36)*100+SUM(K36,AC36)+0.003&gt;AV36*1000000+SUM(X36,AP36)*10000+SUM(R36,AJ36)*100+SUM(L36,AD36)+0.002,1,0)+IF(AW36*1000000+SUM(Y36,AQ36)*10000+SUM(S36,AK36)*100+SUM(M36,AE36)+0.001&gt;AV36*1000000+SUM(X36,AP36)*10000+SUM(R36,AJ36)*100+SUM(L36,AD36)+0.002,1,0)=0,"E",IF(IF(AR36*1000000+SUM(T36,AL36)*10000+SUM(N36,AF36)*100+SUM(H36,Z36)+0.006&gt;AW36*1000000+SUM(Y36,AQ36)*10000+SUM(S36,AK36)*100+SUM(M36,AE36)+0.001,1,0)+IF(AS36*1000000+SUM(U36,AM36)*10000+SUM(O36,AG36)*100+SUM(I36,AA36)+0.005&gt;AW36*1000000+SUM(Y36,AQ36)*10000+SUM(S36,AK36)*100+SUM(M36,AE36)+0.001,1,0)+IF(AT36*1000000+SUM(V36,AN36)*10000+SUM(P36,AH36)*100+SUM(J36,AB36)+0.004&gt;AW36*1000000+SUM(Y36,AQ36)*10000+SUM(S36,AK36)*100+SUM(M36,AE36)+0.001,1,0)+IF(AU36*1000000+SUM(W36,AO36)*10000+SUM(Q36,AI36)*100+SUM(K36,AC36)+0.003&gt;AW36*1000000+SUM(Y36,AQ36)*10000+SUM(S36,AK36)*100+SUM(M36,AE36)+0.001,1,0)+IF(AV36*1000000+SUM(X36,AP36)*10000+SUM(R36,AJ36)*100+SUM(L36,AD36)+0.002&gt;AW36*1000000+SUM(Y36,AQ36)*10000+SUM(S36,AK36)*100+SUM(M36,AE36)+0.001,1,0)=0,"C",""))))))&amp;IF(IF(AS36*1000000+SUM(U36,AM36)*10000+SUM(O36,AG36)*100+SUM(I36,AA36)+0.005&gt;AR36*1000000+SUM(T36,AL36)*10000+SUM(N36,AF36)*100+SUM(H36,Z36)+0.006,1,0)+IF(AT36*1000000+SUM(V36,AN36)*10000+SUM(P36,AH36)*100+SUM(J36,AB36)+0.004&gt;AR36*1000000+SUM(T36,AL36)*10000+SUM(N36,AF36)*100+SUM(H36,Z36)+0.006,1,0)+IF(AU36*1000000+SUM(W36,AO36)*10000+SUM(Q36,AI36)*100+SUM(K36,AC36)+0.003&gt;AR36*1000000+SUM(T36,AL36)*10000+SUM(N36,AF36)*100+SUM(H36,Z36)+0.006,1,0)+IF(AV36*1000000+SUM(X36,AP36)*10000+SUM(R36,AJ36)*100+SUM(L36,AD36)+0.002&gt;AR36*1000000+SUM(T36,AL36)*10000+SUM(N36,AF36)*100+SUM(H36,Z36)+0.006,1,0)+IF(AW36*1000000+SUM(Y36,AQ36)*10000+SUM(S36,AK36)*100+SUM(M36,AE36)+0.001&gt;AR36*1000000+SUM(T36,AL36)*10000+SUM(N36,AF36)*100+SUM(H36,Z36)+0.006,1,0)=1,"R",IF(IF(AR36*1000000+SUM(T36,AL36)*10000+SUM(N36,AF36)*100+SUM(H36,Z36)+0.006&gt;AS36*1000000+SUM(U36,AM36)*10000+SUM(O36,AG36)*100+SUM(I36,AA36)+0.005,1,0)+IF(AT36*1000000+SUM(V36,AN36)*10000+SUM(P36,AH36)*100+SUM(J36,AB36)+0.004&gt;AS36*1000000+SUM(U36,AM36)*10000+SUM(O36,AG36)*100+SUM(I36,AA36)+0.005,1,0)+IF(AU36*1000000+SUM(W36,AO36)*10000+SUM(Q36,AI36)*100+SUM(K36,AC36)+0.003&gt;AS36*1000000+SUM(U36,AM36)*10000+SUM(O36,AG36)*100+SUM(I36,AA36)+0.005,1,0)+IF(AV36*1000000+SUM(X36,AP36)*10000+SUM(R36,AJ36)*100+SUM(L36,AD36)+0.002&gt;AS36*1000000+SUM(U36,AM36)*10000+SUM(O36,AG36)*100+SUM(I36,AA36)+0.005,1,0)+IF(AW36*1000000+SUM(Y36,AQ36)*10000+SUM(S36,AK36)*100+SUM(M36,AE36)+0.001&gt;AS36*1000000+SUM(U36,AM36)*10000+SUM(O36,AG36)*100+SUM(I36,AA36)+0.005,1,0)=1,"I",IF(IF(AR36*1000000+SUM(T36,AL36)*10000+SUM(N36,AF36)*100+SUM(H36,Z36)+0.006&gt;AT36*1000000+SUM(V36,AN36)*10000+SUM(P36,AH36)*100+SUM(J36,AB36)+0.004,1,0)+IF(AS36*1000000+SUM(U36,AM36)*10000+SUM(O36,AG36)*100+SUM(I36,AA36)+0.005&gt;AT36*1000000+SUM(V36,AN36)*10000+SUM(P36,AH36)*100+SUM(J36,AB36)+0.004,1,0)+IF(AU36*1000000+SUM(W36,AO36)*10000+SUM(Q36,AI36)*100+SUM(K36,AC36)+0.003&gt;AT36*1000000+SUM(V36,AN36)*10000+SUM(P36,AH36)*100+SUM(J36,AB36)+0.004,1,0)+IF(AV36*1000000+SUM(X36,AP36)*10000+SUM(R36,AJ36)*100+SUM(L36,AD36)+0.002&gt;AT36*1000000+SUM(V36,AN36)*10000+SUM(P36,AH36)*100+SUM(J36,AB36)+0.004,1,0)+IF(AW36*1000000+SUM(Y36,AQ36)*10000+SUM(S36,AK36)*100+SUM(M36,AE36)+0.001&gt;AT36*1000000+SUM(V36,AN36)*10000+SUM(P36,AH36)*100+SUM(J36,AB36)+0.004,1,0)=1,"A",IF(IF(AR36*1000000+SUM(T36,AL36)*10000+SUM(N36,AF36)*100+SUM(H36,Z36)+0.006&gt;AU36*1000000+SUM(W36,AO36)*10000+SUM(Q36,AI36)*100+SUM(K36,AC36)+0.003,1,0)+IF(AS36*1000000+SUM(U36,AM36)*10000+SUM(O36,AG36)*100+SUM(I36,AA36)+0.005&gt;AU36*1000000+SUM(W36,AO36)*10000+SUM(Q36,AI36)*100+SUM(K36,AC36)+0.003,1,0)+IF(AT36*1000000+SUM(V36,AN36)*10000+SUM(P36,AH36)*100+SUM(J36,AB36)+0.004&gt;AU36*1000000+SUM(W36,AO36)*10000+SUM(Q36,AI36)*100+SUM(K36,AC36)+0.003,1,0)+IF(AV36*1000000+SUM(X36,AP36)*10000+SUM(R36,AJ36)*100+SUM(L36,AD36)+0.002&gt;AU36*1000000+SUM(W36,AO36)*10000+SUM(Q36,AI36)*100+SUM(K36,AC36)+0.003,1,0)+IF(AW36*1000000+SUM(Y36,AQ36)*10000+SUM(S36,AK36)*100+SUM(M36,AE36)+0.001&gt;AU36*1000000+SUM(W36,AO36)*10000+SUM(Q36,AI36)*100+SUM(K36,AC36)+0.003,1,0)=1,"S",IF(IF(AR36*1000000+SUM(T36,AL36)*10000+SUM(N36,AF36)*100+SUM(H36,Z36)+0.006&gt;AV36*1000000+SUM(X36,AP36)*10000+SUM(R36,AJ36)*100+SUM(L36,AD36)+0.002,1,0)+IF(AS36*1000000+SUM(U36,AM36)*10000+SUM(O36,AG36)*100+SUM(I36,AA36)+0.005&gt;AV36*1000000+SUM(X36,AP36)*10000+SUM(R36,AJ36)*100+SUM(L36,AD36)+0.002,1,0)+IF(AT36*1000000+SUM(V36,AN36)*10000+SUM(P36,AH36)*100+SUM(J36,AB36)+0.004&gt;AV36*1000000+SUM(X36,AP36)*10000+SUM(R36,AJ36)*100+SUM(L36,AD36)+0.002,1,0)+IF(AU36*1000000+SUM(W36,AO36)*10000+SUM(Q36,AI36)*100+SUM(K36,AC36)+0.003&gt;AV36*1000000+SUM(X36,AP36)*10000+SUM(R36,AJ36)*100+SUM(L36,AD36)+0.002,1,0)+IF(AW36*1000000+SUM(Y36,AQ36)*10000+SUM(S36,AK36)*100+SUM(M36,AE36)+0.001&gt;AV36*1000000+SUM(X36,AP36)*10000+SUM(R36,AJ36)*100+SUM(L36,AD36)+0.002,1,0)=1,"E",IF(IF(AR36*1000000+SUM(T36,AL36)*10000+SUM(N36,AF36)*100+SUM(H36,Z36)+0.006&gt;AW36*1000000+SUM(Y36,AQ36)*10000+SUM(S36,AK36)*100+SUM(M36,AE36)+0.001,1,0)+IF(AS36*1000000+SUM(U36,AM36)*10000+SUM(O36,AG36)*100+SUM(I36,AA36)+0.005&gt;AW36*1000000+SUM(Y36,AQ36)*10000+SUM(S36,AK36)*100+SUM(M36,AE36)+0.001,1,0)+IF(AT36*1000000+SUM(V36,AN36)*10000+SUM(P36,AH36)*100+SUM(J36,AB36)+0.004&gt;AW36*1000000+SUM(Y36,AQ36)*10000+SUM(S36,AK36)*100+SUM(M36,AE36)+0.001,1,0)+IF(AU36*1000000+SUM(W36,AO36)*10000+SUM(Q36,AI36)*100+SUM(K36,AC36)+0.003&gt;AW36*1000000+SUM(Y36,AQ36)*10000+SUM(S36,AK36)*100+SUM(M36,AE36)+0.001,1,0)+IF(AV36*1000000+SUM(X36,AP36)*10000+SUM(R36,AJ36)*100+SUM(L36,AD36)+0.002&gt;AW36*1000000+SUM(Y36,AQ36)*10000+SUM(S36,AK36)*100+SUM(M36,AE36)+0.001,1,0)=1,"C",""))))))&amp;IF(IF(AS36*1000000+SUM(U36,AM36)*10000+SUM(O36,AG36)*100+SUM(I36,AA36)+0.005&gt;AR36*1000000+SUM(T36,AL36)*10000+SUM(N36,AF36)*100+SUM(H36,Z36)+0.006,1,0)+IF(AT36*1000000+SUM(V36,AN36)*10000+SUM(P36,AH36)*100+SUM(J36,AB36)+0.004&gt;AR36*1000000+SUM(T36,AL36)*10000+SUM(N36,AF36)*100+SUM(H36,Z36)+0.006,1,0)+IF(AU36*1000000+SUM(W36,AO36)*10000+SUM(Q36,AI36)*100+SUM(K36,AC36)+0.003&gt;AR36*1000000+SUM(T36,AL36)*10000+SUM(N36,AF36)*100+SUM(H36,Z36)+0.006,1,0)+IF(AV36*1000000+SUM(X36,AP36)*10000+SUM(R36,AJ36)*100+SUM(L36,AD36)+0.002&gt;AR36*1000000+SUM(T36,AL36)*10000+SUM(N36,AF36)*100+SUM(H36,Z36)+0.006,1,0)+IF(AW36*1000000+SUM(Y36,AQ36)*10000+SUM(S36,AK36)*100+SUM(M36,AE36)+0.001&gt;AR36*1000000+SUM(T36,AL36)*10000+SUM(N36,AF36)*100+SUM(H36,Z36)+0.006,1,0)=2,"R",IF(IF(AR36*1000000+SUM(T36,AL36)*10000+SUM(N36,AF36)*100+SUM(H36,Z36)+0.006&gt;AS36*1000000+SUM(U36,AM36)*10000+SUM(O36,AG36)*100+SUM(I36,AA36)+0.005,1,0)+IF(AT36*1000000+SUM(V36,AN36)*10000+SUM(P36,AH36)*100+SUM(J36,AB36)+0.004&gt;AS36*1000000+SUM(U36,AM36)*10000+SUM(O36,AG36)*100+SUM(I36,AA36)+0.005,1,0)+IF(AU36*1000000+SUM(W36,AO36)*10000+SUM(Q36,AI36)*100+SUM(K36,AC36)+0.003&gt;AS36*1000000+SUM(U36,AM36)*10000+SUM(O36,AG36)*100+SUM(I36,AA36)+0.005,1,0)+IF(AV36*1000000+SUM(X36,AP36)*10000+SUM(R36,AJ36)*100+SUM(L36,AD36)+0.002&gt;AS36*1000000+SUM(U36,AM36)*10000+SUM(O36,AG36)*100+SUM(I36,AA36)+0.005,1,0)+IF(AW36*1000000+SUM(Y36,AQ36)*10000+SUM(S36,AK36)*100+SUM(M36,AE36)+0.001&gt;AS36*1000000+SUM(U36,AM36)*10000+SUM(O36,AG36)*100+SUM(I36,AA36)+0.005,1,0)=2,"I",IF(IF(AR36*1000000+SUM(T36,AL36)*10000+SUM(N36,AF36)*100+SUM(H36,Z36)+0.006&gt;AT36*1000000+SUM(V36,AN36)*10000+SUM(P36,AH36)*100+SUM(J36,AB36)+0.004,1,0)+IF(AS36*1000000+SUM(U36,AM36)*10000+SUM(O36,AG36)*100+SUM(I36,AA36)+0.005&gt;AT36*1000000+SUM(V36,AN36)*10000+SUM(P36,AH36)*100+SUM(J36,AB36)+0.004,1,0)+IF(AU36*1000000+SUM(W36,AO36)*10000+SUM(Q36,AI36)*100+SUM(K36,AC36)+0.003&gt;AT36*1000000+SUM(V36,AN36)*10000+SUM(P36,AH36)*100+SUM(J36,AB36)+0.004,1,0)+IF(AV36*1000000+SUM(X36,AP36)*10000+SUM(R36,AJ36)*100+SUM(L36,AD36)+0.002&gt;AT36*1000000+SUM(V36,AN36)*10000+SUM(P36,AH36)*100+SUM(J36,AB36)+0.004,1,0)+IF(AW36*1000000+SUM(Y36,AQ36)*10000+SUM(S36,AK36)*100+SUM(M36,AE36)+0.001&gt;AT36*1000000+SUM(V36,AN36)*10000+SUM(P36,AH36)*100+SUM(J36,AB36)+0.004,1,0)=2,"A",IF(IF(AR36*1000000+SUM(T36,AL36)*10000+SUM(N36,AF36)*100+SUM(H36,Z36)+0.006&gt;AU36*1000000+SUM(W36,AO36)*10000+SUM(Q36,AI36)*100+SUM(K36,AC36)+0.003,1,0)+IF(AS36*1000000+SUM(U36,AM36)*10000+SUM(O36,AG36)*100+SUM(I36,AA36)+0.005&gt;AU36*1000000+SUM(W36,AO36)*10000+SUM(Q36,AI36)*100+SUM(K36,AC36)+0.003,1,0)+IF(AT36*1000000+SUM(V36,AN36)*10000+SUM(P36,AH36)*100+SUM(J36,AB36)+0.004&gt;AU36*1000000+SUM(W36,AO36)*10000+SUM(Q36,AI36)*100+SUM(K36,AC36)+0.003,1,0)+IF(AV36*1000000+SUM(X36,AP36)*10000+SUM(R36,AJ36)*100+SUM(L36,AD36)+0.002&gt;AU36*1000000+SUM(W36,AO36)*10000+SUM(Q36,AI36)*100+SUM(K36,AC36)+0.003,1,0)+IF(AW36*1000000+SUM(Y36,AQ36)*10000+SUM(S36,AK36)*100+SUM(M36,AE36)+0.001&gt;AU36*1000000+SUM(W36,AO36)*10000+SUM(Q36,AI36)*100+SUM(K36,AC36)+0.003,1,0)=2,"S",IF(IF(AR36*1000000+SUM(T36,AL36)*10000+SUM(N36,AF36)*100+SUM(H36,Z36)+0.006&gt;AV36*1000000+SUM(X36,AP36)*10000+SUM(R36,AJ36)*100+SUM(L36,AD36)+0.002,1,0)+IF(AS36*1000000+SUM(U36,AM36)*10000+SUM(O36,AG36)*100+SUM(I36,AA36)+0.005&gt;AV36*1000000+SUM(X36,AP36)*10000+SUM(R36,AJ36)*100+SUM(L36,AD36)+0.002,1,0)+IF(AT36*1000000+SUM(V36,AN36)*10000+SUM(P36,AH36)*100+SUM(J36,AB36)+0.004&gt;AV36*1000000+SUM(X36,AP36)*10000+SUM(R36,AJ36)*100+SUM(L36,AD36)+0.002,1,0)+IF(AU36*1000000+SUM(W36,AO36)*10000+SUM(Q36,AI36)*100+SUM(K36,AC36)+0.003&gt;AV36*1000000+SUM(X36,AP36)*10000+SUM(R36,AJ36)*100+SUM(L36,AD36)+0.002,1,0)+IF(AW36*1000000+SUM(Y36,AQ36)*10000+SUM(S36,AK36)*100+SUM(M36,AE36)+0.001&gt;AV36*1000000+SUM(X36,AP36)*10000+SUM(R36,AJ36)*100+SUM(L36,AD36)+0.002,1,0)=2,"E",IF(IF(AR36*1000000+SUM(T36,AL36)*10000+SUM(N36,AF36)*100+SUM(H36,Z36)+0.006&gt;AW36*1000000+SUM(Y36,AQ36)*10000+SUM(S36,AK36)*100+SUM(M36,AE36)+0.001,1,0)+IF(AS36*1000000+SUM(U36,AM36)*10000+SUM(O36,AG36)*100+SUM(I36,AA36)+0.005&gt;AW36*1000000+SUM(Y36,AQ36)*10000+SUM(S36,AK36)*100+SUM(M36,AE36)+0.001,1,0)+IF(AT36*1000000+SUM(V36,AN36)*10000+SUM(P36,AH36)*100+SUM(J36,AB36)+0.004&gt;AW36*1000000+SUM(Y36,AQ36)*10000+SUM(S36,AK36)*100+SUM(M36,AE36)+0.001,1,0)+IF(AU36*1000000+SUM(W36,AO36)*10000+SUM(Q36,AI36)*100+SUM(K36,AC36)+0.003&gt;AW36*1000000+SUM(Y36,AQ36)*10000+SUM(S36,AK36)*100+SUM(M36,AE36)+0.001,1,0)+IF(AV36*1000000+SUM(X36,AP36)*10000+SUM(R36,AJ36)*100+SUM(L36,AD36)+0.002&gt;AW36*1000000+SUM(Y36,AQ36)*10000+SUM(S36,AK36)*100+SUM(M36,AE36)+0.001,1,0)=2,"C","")))))))</x:f>
      </x:c>
      <x:c r="AY36" s="27" t="str">
        <x:f>IF(C36="","",IF(LEFT(AX36,1)="R","นักปฏิบัติ",IF(LEFT(AX36,1)="I","นักคิดวิเคราะห์",IF(LEFT(AX36,1)="A","นักสร้างสรรค์",IF(LEFT(AX36,1)="S","ผู้เข้าใจผู้คน",IF(LEFT(AX36,1)="E","ผู้นำการเปลี่ยนแปลง","ผู้จัดระบบ"))))))</x:f>
      </x:c>
    </x:row>
    <x:row r="37">
      <x:c r="A37" s="27"/>
      <x:c r="B37" s="28"/>
      <x:c r="C37" s="27"/>
      <x:c r="D37" s="27"/>
      <x:c r="E37" s="27"/>
      <x:c r="F37" s="27"/>
      <x:c r="G37" s="27"/>
      <x:c r="H37" s="27"/>
      <x:c r="I37" s="27"/>
      <x:c r="J37" s="27"/>
      <x:c r="K37" s="27"/>
      <x:c r="L37" s="27"/>
      <x:c r="M37" s="27"/>
      <x:c r="N37" s="27"/>
      <x:c r="O37" s="27"/>
      <x:c r="P37" s="27"/>
      <x:c r="Q37" s="27"/>
      <x:c r="R37" s="27"/>
      <x:c r="S37" s="27"/>
      <x:c r="T37" s="27"/>
      <x:c r="U37" s="27"/>
      <x:c r="V37" s="27"/>
      <x:c r="W37" s="27"/>
      <x:c r="X37" s="27"/>
      <x:c r="Y37" s="27"/>
      <x:c r="Z37" s="27"/>
      <x:c r="AA37" s="27"/>
      <x:c r="AB37" s="27"/>
      <x:c r="AC37" s="27"/>
      <x:c r="AD37" s="27"/>
      <x:c r="AE37" s="27"/>
      <x:c r="AF37" s="27"/>
      <x:c r="AG37" s="27"/>
      <x:c r="AH37" s="27"/>
      <x:c r="AI37" s="27"/>
      <x:c r="AJ37" s="27"/>
      <x:c r="AK37" s="27"/>
      <x:c r="AL37" s="27"/>
      <x:c r="AM37" s="27"/>
      <x:c r="AN37" s="27"/>
      <x:c r="AO37" s="27"/>
      <x:c r="AP37" s="27"/>
      <x:c r="AQ37" s="27"/>
      <x:c r="AR37" s="27" t="str">
        <x:f>IF(C37="","",SUM(H37,N37,T37,Z37,AF37,AL37))</x:f>
      </x:c>
      <x:c r="AS37" s="27" t="str">
        <x:f>IF(C37="","",SUM(I37,O37,U37,AA37,AG37,AM37))</x:f>
      </x:c>
      <x:c r="AT37" s="27" t="str">
        <x:f>IF(C37="","",SUM(J37,P37,V37,AB37,AH37,AN37))</x:f>
      </x:c>
      <x:c r="AU37" s="27" t="str">
        <x:f>IF(C37="","",SUM(K37,Q37,W37,AC37,AI37,AO37))</x:f>
      </x:c>
      <x:c r="AV37" s="27" t="str">
        <x:f>IF(C37="","",SUM(L37,R37,X37,AD37,AJ37,AP37))</x:f>
      </x:c>
      <x:c r="AW37" s="27" t="str">
        <x:f>IF(C37="","",SUM(M37,S37,Y37,AE37,AK37,AQ37))</x:f>
      </x:c>
      <x:c r="AX37" s="27" t="str">
        <x:f>IF(C37="","",IF(IF(AS37*1000000+SUM(U37,AM37)*10000+SUM(O37,AG37)*100+SUM(I37,AA37)+0.005&gt;AR37*1000000+SUM(T37,AL37)*10000+SUM(N37,AF37)*100+SUM(H37,Z37)+0.006,1,0)+IF(AT37*1000000+SUM(V37,AN37)*10000+SUM(P37,AH37)*100+SUM(J37,AB37)+0.004&gt;AR37*1000000+SUM(T37,AL37)*10000+SUM(N37,AF37)*100+SUM(H37,Z37)+0.006,1,0)+IF(AU37*1000000+SUM(W37,AO37)*10000+SUM(Q37,AI37)*100+SUM(K37,AC37)+0.003&gt;AR37*1000000+SUM(T37,AL37)*10000+SUM(N37,AF37)*100+SUM(H37,Z37)+0.006,1,0)+IF(AV37*1000000+SUM(X37,AP37)*10000+SUM(R37,AJ37)*100+SUM(L37,AD37)+0.002&gt;AR37*1000000+SUM(T37,AL37)*10000+SUM(N37,AF37)*100+SUM(H37,Z37)+0.006,1,0)+IF(AW37*1000000+SUM(Y37,AQ37)*10000+SUM(S37,AK37)*100+SUM(M37,AE37)+0.001&gt;AR37*1000000+SUM(T37,AL37)*10000+SUM(N37,AF37)*100+SUM(H37,Z37)+0.006,1,0)=0,"R",IF(IF(AR37*1000000+SUM(T37,AL37)*10000+SUM(N37,AF37)*100+SUM(H37,Z37)+0.006&gt;AS37*1000000+SUM(U37,AM37)*10000+SUM(O37,AG37)*100+SUM(I37,AA37)+0.005,1,0)+IF(AT37*1000000+SUM(V37,AN37)*10000+SUM(P37,AH37)*100+SUM(J37,AB37)+0.004&gt;AS37*1000000+SUM(U37,AM37)*10000+SUM(O37,AG37)*100+SUM(I37,AA37)+0.005,1,0)+IF(AU37*1000000+SUM(W37,AO37)*10000+SUM(Q37,AI37)*100+SUM(K37,AC37)+0.003&gt;AS37*1000000+SUM(U37,AM37)*10000+SUM(O37,AG37)*100+SUM(I37,AA37)+0.005,1,0)+IF(AV37*1000000+SUM(X37,AP37)*10000+SUM(R37,AJ37)*100+SUM(L37,AD37)+0.002&gt;AS37*1000000+SUM(U37,AM37)*10000+SUM(O37,AG37)*100+SUM(I37,AA37)+0.005,1,0)+IF(AW37*1000000+SUM(Y37,AQ37)*10000+SUM(S37,AK37)*100+SUM(M37,AE37)+0.001&gt;AS37*1000000+SUM(U37,AM37)*10000+SUM(O37,AG37)*100+SUM(I37,AA37)+0.005,1,0)=0,"I",IF(IF(AR37*1000000+SUM(T37,AL37)*10000+SUM(N37,AF37)*100+SUM(H37,Z37)+0.006&gt;AT37*1000000+SUM(V37,AN37)*10000+SUM(P37,AH37)*100+SUM(J37,AB37)+0.004,1,0)+IF(AS37*1000000+SUM(U37,AM37)*10000+SUM(O37,AG37)*100+SUM(I37,AA37)+0.005&gt;AT37*1000000+SUM(V37,AN37)*10000+SUM(P37,AH37)*100+SUM(J37,AB37)+0.004,1,0)+IF(AU37*1000000+SUM(W37,AO37)*10000+SUM(Q37,AI37)*100+SUM(K37,AC37)+0.003&gt;AT37*1000000+SUM(V37,AN37)*10000+SUM(P37,AH37)*100+SUM(J37,AB37)+0.004,1,0)+IF(AV37*1000000+SUM(X37,AP37)*10000+SUM(R37,AJ37)*100+SUM(L37,AD37)+0.002&gt;AT37*1000000+SUM(V37,AN37)*10000+SUM(P37,AH37)*100+SUM(J37,AB37)+0.004,1,0)+IF(AW37*1000000+SUM(Y37,AQ37)*10000+SUM(S37,AK37)*100+SUM(M37,AE37)+0.001&gt;AT37*1000000+SUM(V37,AN37)*10000+SUM(P37,AH37)*100+SUM(J37,AB37)+0.004,1,0)=0,"A",IF(IF(AR37*1000000+SUM(T37,AL37)*10000+SUM(N37,AF37)*100+SUM(H37,Z37)+0.006&gt;AU37*1000000+SUM(W37,AO37)*10000+SUM(Q37,AI37)*100+SUM(K37,AC37)+0.003,1,0)+IF(AS37*1000000+SUM(U37,AM37)*10000+SUM(O37,AG37)*100+SUM(I37,AA37)+0.005&gt;AU37*1000000+SUM(W37,AO37)*10000+SUM(Q37,AI37)*100+SUM(K37,AC37)+0.003,1,0)+IF(AT37*1000000+SUM(V37,AN37)*10000+SUM(P37,AH37)*100+SUM(J37,AB37)+0.004&gt;AU37*1000000+SUM(W37,AO37)*10000+SUM(Q37,AI37)*100+SUM(K37,AC37)+0.003,1,0)+IF(AV37*1000000+SUM(X37,AP37)*10000+SUM(R37,AJ37)*100+SUM(L37,AD37)+0.002&gt;AU37*1000000+SUM(W37,AO37)*10000+SUM(Q37,AI37)*100+SUM(K37,AC37)+0.003,1,0)+IF(AW37*1000000+SUM(Y37,AQ37)*10000+SUM(S37,AK37)*100+SUM(M37,AE37)+0.001&gt;AU37*1000000+SUM(W37,AO37)*10000+SUM(Q37,AI37)*100+SUM(K37,AC37)+0.003,1,0)=0,"S",IF(IF(AR37*1000000+SUM(T37,AL37)*10000+SUM(N37,AF37)*100+SUM(H37,Z37)+0.006&gt;AV37*1000000+SUM(X37,AP37)*10000+SUM(R37,AJ37)*100+SUM(L37,AD37)+0.002,1,0)+IF(AS37*1000000+SUM(U37,AM37)*10000+SUM(O37,AG37)*100+SUM(I37,AA37)+0.005&gt;AV37*1000000+SUM(X37,AP37)*10000+SUM(R37,AJ37)*100+SUM(L37,AD37)+0.002,1,0)+IF(AT37*1000000+SUM(V37,AN37)*10000+SUM(P37,AH37)*100+SUM(J37,AB37)+0.004&gt;AV37*1000000+SUM(X37,AP37)*10000+SUM(R37,AJ37)*100+SUM(L37,AD37)+0.002,1,0)+IF(AU37*1000000+SUM(W37,AO37)*10000+SUM(Q37,AI37)*100+SUM(K37,AC37)+0.003&gt;AV37*1000000+SUM(X37,AP37)*10000+SUM(R37,AJ37)*100+SUM(L37,AD37)+0.002,1,0)+IF(AW37*1000000+SUM(Y37,AQ37)*10000+SUM(S37,AK37)*100+SUM(M37,AE37)+0.001&gt;AV37*1000000+SUM(X37,AP37)*10000+SUM(R37,AJ37)*100+SUM(L37,AD37)+0.002,1,0)=0,"E",IF(IF(AR37*1000000+SUM(T37,AL37)*10000+SUM(N37,AF37)*100+SUM(H37,Z37)+0.006&gt;AW37*1000000+SUM(Y37,AQ37)*10000+SUM(S37,AK37)*100+SUM(M37,AE37)+0.001,1,0)+IF(AS37*1000000+SUM(U37,AM37)*10000+SUM(O37,AG37)*100+SUM(I37,AA37)+0.005&gt;AW37*1000000+SUM(Y37,AQ37)*10000+SUM(S37,AK37)*100+SUM(M37,AE37)+0.001,1,0)+IF(AT37*1000000+SUM(V37,AN37)*10000+SUM(P37,AH37)*100+SUM(J37,AB37)+0.004&gt;AW37*1000000+SUM(Y37,AQ37)*10000+SUM(S37,AK37)*100+SUM(M37,AE37)+0.001,1,0)+IF(AU37*1000000+SUM(W37,AO37)*10000+SUM(Q37,AI37)*100+SUM(K37,AC37)+0.003&gt;AW37*1000000+SUM(Y37,AQ37)*10000+SUM(S37,AK37)*100+SUM(M37,AE37)+0.001,1,0)+IF(AV37*1000000+SUM(X37,AP37)*10000+SUM(R37,AJ37)*100+SUM(L37,AD37)+0.002&gt;AW37*1000000+SUM(Y37,AQ37)*10000+SUM(S37,AK37)*100+SUM(M37,AE37)+0.001,1,0)=0,"C",""))))))&amp;IF(IF(AS37*1000000+SUM(U37,AM37)*10000+SUM(O37,AG37)*100+SUM(I37,AA37)+0.005&gt;AR37*1000000+SUM(T37,AL37)*10000+SUM(N37,AF37)*100+SUM(H37,Z37)+0.006,1,0)+IF(AT37*1000000+SUM(V37,AN37)*10000+SUM(P37,AH37)*100+SUM(J37,AB37)+0.004&gt;AR37*1000000+SUM(T37,AL37)*10000+SUM(N37,AF37)*100+SUM(H37,Z37)+0.006,1,0)+IF(AU37*1000000+SUM(W37,AO37)*10000+SUM(Q37,AI37)*100+SUM(K37,AC37)+0.003&gt;AR37*1000000+SUM(T37,AL37)*10000+SUM(N37,AF37)*100+SUM(H37,Z37)+0.006,1,0)+IF(AV37*1000000+SUM(X37,AP37)*10000+SUM(R37,AJ37)*100+SUM(L37,AD37)+0.002&gt;AR37*1000000+SUM(T37,AL37)*10000+SUM(N37,AF37)*100+SUM(H37,Z37)+0.006,1,0)+IF(AW37*1000000+SUM(Y37,AQ37)*10000+SUM(S37,AK37)*100+SUM(M37,AE37)+0.001&gt;AR37*1000000+SUM(T37,AL37)*10000+SUM(N37,AF37)*100+SUM(H37,Z37)+0.006,1,0)=1,"R",IF(IF(AR37*1000000+SUM(T37,AL37)*10000+SUM(N37,AF37)*100+SUM(H37,Z37)+0.006&gt;AS37*1000000+SUM(U37,AM37)*10000+SUM(O37,AG37)*100+SUM(I37,AA37)+0.005,1,0)+IF(AT37*1000000+SUM(V37,AN37)*10000+SUM(P37,AH37)*100+SUM(J37,AB37)+0.004&gt;AS37*1000000+SUM(U37,AM37)*10000+SUM(O37,AG37)*100+SUM(I37,AA37)+0.005,1,0)+IF(AU37*1000000+SUM(W37,AO37)*10000+SUM(Q37,AI37)*100+SUM(K37,AC37)+0.003&gt;AS37*1000000+SUM(U37,AM37)*10000+SUM(O37,AG37)*100+SUM(I37,AA37)+0.005,1,0)+IF(AV37*1000000+SUM(X37,AP37)*10000+SUM(R37,AJ37)*100+SUM(L37,AD37)+0.002&gt;AS37*1000000+SUM(U37,AM37)*10000+SUM(O37,AG37)*100+SUM(I37,AA37)+0.005,1,0)+IF(AW37*1000000+SUM(Y37,AQ37)*10000+SUM(S37,AK37)*100+SUM(M37,AE37)+0.001&gt;AS37*1000000+SUM(U37,AM37)*10000+SUM(O37,AG37)*100+SUM(I37,AA37)+0.005,1,0)=1,"I",IF(IF(AR37*1000000+SUM(T37,AL37)*10000+SUM(N37,AF37)*100+SUM(H37,Z37)+0.006&gt;AT37*1000000+SUM(V37,AN37)*10000+SUM(P37,AH37)*100+SUM(J37,AB37)+0.004,1,0)+IF(AS37*1000000+SUM(U37,AM37)*10000+SUM(O37,AG37)*100+SUM(I37,AA37)+0.005&gt;AT37*1000000+SUM(V37,AN37)*10000+SUM(P37,AH37)*100+SUM(J37,AB37)+0.004,1,0)+IF(AU37*1000000+SUM(W37,AO37)*10000+SUM(Q37,AI37)*100+SUM(K37,AC37)+0.003&gt;AT37*1000000+SUM(V37,AN37)*10000+SUM(P37,AH37)*100+SUM(J37,AB37)+0.004,1,0)+IF(AV37*1000000+SUM(X37,AP37)*10000+SUM(R37,AJ37)*100+SUM(L37,AD37)+0.002&gt;AT37*1000000+SUM(V37,AN37)*10000+SUM(P37,AH37)*100+SUM(J37,AB37)+0.004,1,0)+IF(AW37*1000000+SUM(Y37,AQ37)*10000+SUM(S37,AK37)*100+SUM(M37,AE37)+0.001&gt;AT37*1000000+SUM(V37,AN37)*10000+SUM(P37,AH37)*100+SUM(J37,AB37)+0.004,1,0)=1,"A",IF(IF(AR37*1000000+SUM(T37,AL37)*10000+SUM(N37,AF37)*100+SUM(H37,Z37)+0.006&gt;AU37*1000000+SUM(W37,AO37)*10000+SUM(Q37,AI37)*100+SUM(K37,AC37)+0.003,1,0)+IF(AS37*1000000+SUM(U37,AM37)*10000+SUM(O37,AG37)*100+SUM(I37,AA37)+0.005&gt;AU37*1000000+SUM(W37,AO37)*10000+SUM(Q37,AI37)*100+SUM(K37,AC37)+0.003,1,0)+IF(AT37*1000000+SUM(V37,AN37)*10000+SUM(P37,AH37)*100+SUM(J37,AB37)+0.004&gt;AU37*1000000+SUM(W37,AO37)*10000+SUM(Q37,AI37)*100+SUM(K37,AC37)+0.003,1,0)+IF(AV37*1000000+SUM(X37,AP37)*10000+SUM(R37,AJ37)*100+SUM(L37,AD37)+0.002&gt;AU37*1000000+SUM(W37,AO37)*10000+SUM(Q37,AI37)*100+SUM(K37,AC37)+0.003,1,0)+IF(AW37*1000000+SUM(Y37,AQ37)*10000+SUM(S37,AK37)*100+SUM(M37,AE37)+0.001&gt;AU37*1000000+SUM(W37,AO37)*10000+SUM(Q37,AI37)*100+SUM(K37,AC37)+0.003,1,0)=1,"S",IF(IF(AR37*1000000+SUM(T37,AL37)*10000+SUM(N37,AF37)*100+SUM(H37,Z37)+0.006&gt;AV37*1000000+SUM(X37,AP37)*10000+SUM(R37,AJ37)*100+SUM(L37,AD37)+0.002,1,0)+IF(AS37*1000000+SUM(U37,AM37)*10000+SUM(O37,AG37)*100+SUM(I37,AA37)+0.005&gt;AV37*1000000+SUM(X37,AP37)*10000+SUM(R37,AJ37)*100+SUM(L37,AD37)+0.002,1,0)+IF(AT37*1000000+SUM(V37,AN37)*10000+SUM(P37,AH37)*100+SUM(J37,AB37)+0.004&gt;AV37*1000000+SUM(X37,AP37)*10000+SUM(R37,AJ37)*100+SUM(L37,AD37)+0.002,1,0)+IF(AU37*1000000+SUM(W37,AO37)*10000+SUM(Q37,AI37)*100+SUM(K37,AC37)+0.003&gt;AV37*1000000+SUM(X37,AP37)*10000+SUM(R37,AJ37)*100+SUM(L37,AD37)+0.002,1,0)+IF(AW37*1000000+SUM(Y37,AQ37)*10000+SUM(S37,AK37)*100+SUM(M37,AE37)+0.001&gt;AV37*1000000+SUM(X37,AP37)*10000+SUM(R37,AJ37)*100+SUM(L37,AD37)+0.002,1,0)=1,"E",IF(IF(AR37*1000000+SUM(T37,AL37)*10000+SUM(N37,AF37)*100+SUM(H37,Z37)+0.006&gt;AW37*1000000+SUM(Y37,AQ37)*10000+SUM(S37,AK37)*100+SUM(M37,AE37)+0.001,1,0)+IF(AS37*1000000+SUM(U37,AM37)*10000+SUM(O37,AG37)*100+SUM(I37,AA37)+0.005&gt;AW37*1000000+SUM(Y37,AQ37)*10000+SUM(S37,AK37)*100+SUM(M37,AE37)+0.001,1,0)+IF(AT37*1000000+SUM(V37,AN37)*10000+SUM(P37,AH37)*100+SUM(J37,AB37)+0.004&gt;AW37*1000000+SUM(Y37,AQ37)*10000+SUM(S37,AK37)*100+SUM(M37,AE37)+0.001,1,0)+IF(AU37*1000000+SUM(W37,AO37)*10000+SUM(Q37,AI37)*100+SUM(K37,AC37)+0.003&gt;AW37*1000000+SUM(Y37,AQ37)*10000+SUM(S37,AK37)*100+SUM(M37,AE37)+0.001,1,0)+IF(AV37*1000000+SUM(X37,AP37)*10000+SUM(R37,AJ37)*100+SUM(L37,AD37)+0.002&gt;AW37*1000000+SUM(Y37,AQ37)*10000+SUM(S37,AK37)*100+SUM(M37,AE37)+0.001,1,0)=1,"C",""))))))&amp;IF(IF(AS37*1000000+SUM(U37,AM37)*10000+SUM(O37,AG37)*100+SUM(I37,AA37)+0.005&gt;AR37*1000000+SUM(T37,AL37)*10000+SUM(N37,AF37)*100+SUM(H37,Z37)+0.006,1,0)+IF(AT37*1000000+SUM(V37,AN37)*10000+SUM(P37,AH37)*100+SUM(J37,AB37)+0.004&gt;AR37*1000000+SUM(T37,AL37)*10000+SUM(N37,AF37)*100+SUM(H37,Z37)+0.006,1,0)+IF(AU37*1000000+SUM(W37,AO37)*10000+SUM(Q37,AI37)*100+SUM(K37,AC37)+0.003&gt;AR37*1000000+SUM(T37,AL37)*10000+SUM(N37,AF37)*100+SUM(H37,Z37)+0.006,1,0)+IF(AV37*1000000+SUM(X37,AP37)*10000+SUM(R37,AJ37)*100+SUM(L37,AD37)+0.002&gt;AR37*1000000+SUM(T37,AL37)*10000+SUM(N37,AF37)*100+SUM(H37,Z37)+0.006,1,0)+IF(AW37*1000000+SUM(Y37,AQ37)*10000+SUM(S37,AK37)*100+SUM(M37,AE37)+0.001&gt;AR37*1000000+SUM(T37,AL37)*10000+SUM(N37,AF37)*100+SUM(H37,Z37)+0.006,1,0)=2,"R",IF(IF(AR37*1000000+SUM(T37,AL37)*10000+SUM(N37,AF37)*100+SUM(H37,Z37)+0.006&gt;AS37*1000000+SUM(U37,AM37)*10000+SUM(O37,AG37)*100+SUM(I37,AA37)+0.005,1,0)+IF(AT37*1000000+SUM(V37,AN37)*10000+SUM(P37,AH37)*100+SUM(J37,AB37)+0.004&gt;AS37*1000000+SUM(U37,AM37)*10000+SUM(O37,AG37)*100+SUM(I37,AA37)+0.005,1,0)+IF(AU37*1000000+SUM(W37,AO37)*10000+SUM(Q37,AI37)*100+SUM(K37,AC37)+0.003&gt;AS37*1000000+SUM(U37,AM37)*10000+SUM(O37,AG37)*100+SUM(I37,AA37)+0.005,1,0)+IF(AV37*1000000+SUM(X37,AP37)*10000+SUM(R37,AJ37)*100+SUM(L37,AD37)+0.002&gt;AS37*1000000+SUM(U37,AM37)*10000+SUM(O37,AG37)*100+SUM(I37,AA37)+0.005,1,0)+IF(AW37*1000000+SUM(Y37,AQ37)*10000+SUM(S37,AK37)*100+SUM(M37,AE37)+0.001&gt;AS37*1000000+SUM(U37,AM37)*10000+SUM(O37,AG37)*100+SUM(I37,AA37)+0.005,1,0)=2,"I",IF(IF(AR37*1000000+SUM(T37,AL37)*10000+SUM(N37,AF37)*100+SUM(H37,Z37)+0.006&gt;AT37*1000000+SUM(V37,AN37)*10000+SUM(P37,AH37)*100+SUM(J37,AB37)+0.004,1,0)+IF(AS37*1000000+SUM(U37,AM37)*10000+SUM(O37,AG37)*100+SUM(I37,AA37)+0.005&gt;AT37*1000000+SUM(V37,AN37)*10000+SUM(P37,AH37)*100+SUM(J37,AB37)+0.004,1,0)+IF(AU37*1000000+SUM(W37,AO37)*10000+SUM(Q37,AI37)*100+SUM(K37,AC37)+0.003&gt;AT37*1000000+SUM(V37,AN37)*10000+SUM(P37,AH37)*100+SUM(J37,AB37)+0.004,1,0)+IF(AV37*1000000+SUM(X37,AP37)*10000+SUM(R37,AJ37)*100+SUM(L37,AD37)+0.002&gt;AT37*1000000+SUM(V37,AN37)*10000+SUM(P37,AH37)*100+SUM(J37,AB37)+0.004,1,0)+IF(AW37*1000000+SUM(Y37,AQ37)*10000+SUM(S37,AK37)*100+SUM(M37,AE37)+0.001&gt;AT37*1000000+SUM(V37,AN37)*10000+SUM(P37,AH37)*100+SUM(J37,AB37)+0.004,1,0)=2,"A",IF(IF(AR37*1000000+SUM(T37,AL37)*10000+SUM(N37,AF37)*100+SUM(H37,Z37)+0.006&gt;AU37*1000000+SUM(W37,AO37)*10000+SUM(Q37,AI37)*100+SUM(K37,AC37)+0.003,1,0)+IF(AS37*1000000+SUM(U37,AM37)*10000+SUM(O37,AG37)*100+SUM(I37,AA37)+0.005&gt;AU37*1000000+SUM(W37,AO37)*10000+SUM(Q37,AI37)*100+SUM(K37,AC37)+0.003,1,0)+IF(AT37*1000000+SUM(V37,AN37)*10000+SUM(P37,AH37)*100+SUM(J37,AB37)+0.004&gt;AU37*1000000+SUM(W37,AO37)*10000+SUM(Q37,AI37)*100+SUM(K37,AC37)+0.003,1,0)+IF(AV37*1000000+SUM(X37,AP37)*10000+SUM(R37,AJ37)*100+SUM(L37,AD37)+0.002&gt;AU37*1000000+SUM(W37,AO37)*10000+SUM(Q37,AI37)*100+SUM(K37,AC37)+0.003,1,0)+IF(AW37*1000000+SUM(Y37,AQ37)*10000+SUM(S37,AK37)*100+SUM(M37,AE37)+0.001&gt;AU37*1000000+SUM(W37,AO37)*10000+SUM(Q37,AI37)*100+SUM(K37,AC37)+0.003,1,0)=2,"S",IF(IF(AR37*1000000+SUM(T37,AL37)*10000+SUM(N37,AF37)*100+SUM(H37,Z37)+0.006&gt;AV37*1000000+SUM(X37,AP37)*10000+SUM(R37,AJ37)*100+SUM(L37,AD37)+0.002,1,0)+IF(AS37*1000000+SUM(U37,AM37)*10000+SUM(O37,AG37)*100+SUM(I37,AA37)+0.005&gt;AV37*1000000+SUM(X37,AP37)*10000+SUM(R37,AJ37)*100+SUM(L37,AD37)+0.002,1,0)+IF(AT37*1000000+SUM(V37,AN37)*10000+SUM(P37,AH37)*100+SUM(J37,AB37)+0.004&gt;AV37*1000000+SUM(X37,AP37)*10000+SUM(R37,AJ37)*100+SUM(L37,AD37)+0.002,1,0)+IF(AU37*1000000+SUM(W37,AO37)*10000+SUM(Q37,AI37)*100+SUM(K37,AC37)+0.003&gt;AV37*1000000+SUM(X37,AP37)*10000+SUM(R37,AJ37)*100+SUM(L37,AD37)+0.002,1,0)+IF(AW37*1000000+SUM(Y37,AQ37)*10000+SUM(S37,AK37)*100+SUM(M37,AE37)+0.001&gt;AV37*1000000+SUM(X37,AP37)*10000+SUM(R37,AJ37)*100+SUM(L37,AD37)+0.002,1,0)=2,"E",IF(IF(AR37*1000000+SUM(T37,AL37)*10000+SUM(N37,AF37)*100+SUM(H37,Z37)+0.006&gt;AW37*1000000+SUM(Y37,AQ37)*10000+SUM(S37,AK37)*100+SUM(M37,AE37)+0.001,1,0)+IF(AS37*1000000+SUM(U37,AM37)*10000+SUM(O37,AG37)*100+SUM(I37,AA37)+0.005&gt;AW37*1000000+SUM(Y37,AQ37)*10000+SUM(S37,AK37)*100+SUM(M37,AE37)+0.001,1,0)+IF(AT37*1000000+SUM(V37,AN37)*10000+SUM(P37,AH37)*100+SUM(J37,AB37)+0.004&gt;AW37*1000000+SUM(Y37,AQ37)*10000+SUM(S37,AK37)*100+SUM(M37,AE37)+0.001,1,0)+IF(AU37*1000000+SUM(W37,AO37)*10000+SUM(Q37,AI37)*100+SUM(K37,AC37)+0.003&gt;AW37*1000000+SUM(Y37,AQ37)*10000+SUM(S37,AK37)*100+SUM(M37,AE37)+0.001,1,0)+IF(AV37*1000000+SUM(X37,AP37)*10000+SUM(R37,AJ37)*100+SUM(L37,AD37)+0.002&gt;AW37*1000000+SUM(Y37,AQ37)*10000+SUM(S37,AK37)*100+SUM(M37,AE37)+0.001,1,0)=2,"C","")))))))</x:f>
      </x:c>
      <x:c r="AY37" s="27" t="str">
        <x:f>IF(C37="","",IF(LEFT(AX37,1)="R","นักปฏิบัติ",IF(LEFT(AX37,1)="I","นักคิดวิเคราะห์",IF(LEFT(AX37,1)="A","นักสร้างสรรค์",IF(LEFT(AX37,1)="S","ผู้เข้าใจผู้คน",IF(LEFT(AX37,1)="E","ผู้นำการเปลี่ยนแปลง","ผู้จัดระบบ"))))))</x:f>
      </x:c>
    </x:row>
    <x:row r="38">
      <x:c r="A38" s="27"/>
      <x:c r="B38" s="28"/>
      <x:c r="C38" s="27"/>
      <x:c r="D38" s="27"/>
      <x:c r="E38" s="27"/>
      <x:c r="F38" s="27"/>
      <x:c r="G38" s="27"/>
      <x:c r="H38" s="27"/>
      <x:c r="I38" s="27"/>
      <x:c r="J38" s="27"/>
      <x:c r="K38" s="27"/>
      <x:c r="L38" s="27"/>
      <x:c r="M38" s="27"/>
      <x:c r="N38" s="27"/>
      <x:c r="O38" s="27"/>
      <x:c r="P38" s="27"/>
      <x:c r="Q38" s="27"/>
      <x:c r="R38" s="27"/>
      <x:c r="S38" s="27"/>
      <x:c r="T38" s="27"/>
      <x:c r="U38" s="27"/>
      <x:c r="V38" s="27"/>
      <x:c r="W38" s="27"/>
      <x:c r="X38" s="27"/>
      <x:c r="Y38" s="27"/>
      <x:c r="Z38" s="27"/>
      <x:c r="AA38" s="27"/>
      <x:c r="AB38" s="27"/>
      <x:c r="AC38" s="27"/>
      <x:c r="AD38" s="27"/>
      <x:c r="AE38" s="27"/>
      <x:c r="AF38" s="27"/>
      <x:c r="AG38" s="27"/>
      <x:c r="AH38" s="27"/>
      <x:c r="AI38" s="27"/>
      <x:c r="AJ38" s="27"/>
      <x:c r="AK38" s="27"/>
      <x:c r="AL38" s="27"/>
      <x:c r="AM38" s="27"/>
      <x:c r="AN38" s="27"/>
      <x:c r="AO38" s="27"/>
      <x:c r="AP38" s="27"/>
      <x:c r="AQ38" s="27"/>
      <x:c r="AR38" s="27" t="str">
        <x:f>IF(C38="","",SUM(H38,N38,T38,Z38,AF38,AL38))</x:f>
      </x:c>
      <x:c r="AS38" s="27" t="str">
        <x:f>IF(C38="","",SUM(I38,O38,U38,AA38,AG38,AM38))</x:f>
      </x:c>
      <x:c r="AT38" s="27" t="str">
        <x:f>IF(C38="","",SUM(J38,P38,V38,AB38,AH38,AN38))</x:f>
      </x:c>
      <x:c r="AU38" s="27" t="str">
        <x:f>IF(C38="","",SUM(K38,Q38,W38,AC38,AI38,AO38))</x:f>
      </x:c>
      <x:c r="AV38" s="27" t="str">
        <x:f>IF(C38="","",SUM(L38,R38,X38,AD38,AJ38,AP38))</x:f>
      </x:c>
      <x:c r="AW38" s="27" t="str">
        <x:f>IF(C38="","",SUM(M38,S38,Y38,AE38,AK38,AQ38))</x:f>
      </x:c>
      <x:c r="AX38" s="27" t="str">
        <x:f>IF(C38="","",IF(IF(AS38*1000000+SUM(U38,AM38)*10000+SUM(O38,AG38)*100+SUM(I38,AA38)+0.005&gt;AR38*1000000+SUM(T38,AL38)*10000+SUM(N38,AF38)*100+SUM(H38,Z38)+0.006,1,0)+IF(AT38*1000000+SUM(V38,AN38)*10000+SUM(P38,AH38)*100+SUM(J38,AB38)+0.004&gt;AR38*1000000+SUM(T38,AL38)*10000+SUM(N38,AF38)*100+SUM(H38,Z38)+0.006,1,0)+IF(AU38*1000000+SUM(W38,AO38)*10000+SUM(Q38,AI38)*100+SUM(K38,AC38)+0.003&gt;AR38*1000000+SUM(T38,AL38)*10000+SUM(N38,AF38)*100+SUM(H38,Z38)+0.006,1,0)+IF(AV38*1000000+SUM(X38,AP38)*10000+SUM(R38,AJ38)*100+SUM(L38,AD38)+0.002&gt;AR38*1000000+SUM(T38,AL38)*10000+SUM(N38,AF38)*100+SUM(H38,Z38)+0.006,1,0)+IF(AW38*1000000+SUM(Y38,AQ38)*10000+SUM(S38,AK38)*100+SUM(M38,AE38)+0.001&gt;AR38*1000000+SUM(T38,AL38)*10000+SUM(N38,AF38)*100+SUM(H38,Z38)+0.006,1,0)=0,"R",IF(IF(AR38*1000000+SUM(T38,AL38)*10000+SUM(N38,AF38)*100+SUM(H38,Z38)+0.006&gt;AS38*1000000+SUM(U38,AM38)*10000+SUM(O38,AG38)*100+SUM(I38,AA38)+0.005,1,0)+IF(AT38*1000000+SUM(V38,AN38)*10000+SUM(P38,AH38)*100+SUM(J38,AB38)+0.004&gt;AS38*1000000+SUM(U38,AM38)*10000+SUM(O38,AG38)*100+SUM(I38,AA38)+0.005,1,0)+IF(AU38*1000000+SUM(W38,AO38)*10000+SUM(Q38,AI38)*100+SUM(K38,AC38)+0.003&gt;AS38*1000000+SUM(U38,AM38)*10000+SUM(O38,AG38)*100+SUM(I38,AA38)+0.005,1,0)+IF(AV38*1000000+SUM(X38,AP38)*10000+SUM(R38,AJ38)*100+SUM(L38,AD38)+0.002&gt;AS38*1000000+SUM(U38,AM38)*10000+SUM(O38,AG38)*100+SUM(I38,AA38)+0.005,1,0)+IF(AW38*1000000+SUM(Y38,AQ38)*10000+SUM(S38,AK38)*100+SUM(M38,AE38)+0.001&gt;AS38*1000000+SUM(U38,AM38)*10000+SUM(O38,AG38)*100+SUM(I38,AA38)+0.005,1,0)=0,"I",IF(IF(AR38*1000000+SUM(T38,AL38)*10000+SUM(N38,AF38)*100+SUM(H38,Z38)+0.006&gt;AT38*1000000+SUM(V38,AN38)*10000+SUM(P38,AH38)*100+SUM(J38,AB38)+0.004,1,0)+IF(AS38*1000000+SUM(U38,AM38)*10000+SUM(O38,AG38)*100+SUM(I38,AA38)+0.005&gt;AT38*1000000+SUM(V38,AN38)*10000+SUM(P38,AH38)*100+SUM(J38,AB38)+0.004,1,0)+IF(AU38*1000000+SUM(W38,AO38)*10000+SUM(Q38,AI38)*100+SUM(K38,AC38)+0.003&gt;AT38*1000000+SUM(V38,AN38)*10000+SUM(P38,AH38)*100+SUM(J38,AB38)+0.004,1,0)+IF(AV38*1000000+SUM(X38,AP38)*10000+SUM(R38,AJ38)*100+SUM(L38,AD38)+0.002&gt;AT38*1000000+SUM(V38,AN38)*10000+SUM(P38,AH38)*100+SUM(J38,AB38)+0.004,1,0)+IF(AW38*1000000+SUM(Y38,AQ38)*10000+SUM(S38,AK38)*100+SUM(M38,AE38)+0.001&gt;AT38*1000000+SUM(V38,AN38)*10000+SUM(P38,AH38)*100+SUM(J38,AB38)+0.004,1,0)=0,"A",IF(IF(AR38*1000000+SUM(T38,AL38)*10000+SUM(N38,AF38)*100+SUM(H38,Z38)+0.006&gt;AU38*1000000+SUM(W38,AO38)*10000+SUM(Q38,AI38)*100+SUM(K38,AC38)+0.003,1,0)+IF(AS38*1000000+SUM(U38,AM38)*10000+SUM(O38,AG38)*100+SUM(I38,AA38)+0.005&gt;AU38*1000000+SUM(W38,AO38)*10000+SUM(Q38,AI38)*100+SUM(K38,AC38)+0.003,1,0)+IF(AT38*1000000+SUM(V38,AN38)*10000+SUM(P38,AH38)*100+SUM(J38,AB38)+0.004&gt;AU38*1000000+SUM(W38,AO38)*10000+SUM(Q38,AI38)*100+SUM(K38,AC38)+0.003,1,0)+IF(AV38*1000000+SUM(X38,AP38)*10000+SUM(R38,AJ38)*100+SUM(L38,AD38)+0.002&gt;AU38*1000000+SUM(W38,AO38)*10000+SUM(Q38,AI38)*100+SUM(K38,AC38)+0.003,1,0)+IF(AW38*1000000+SUM(Y38,AQ38)*10000+SUM(S38,AK38)*100+SUM(M38,AE38)+0.001&gt;AU38*1000000+SUM(W38,AO38)*10000+SUM(Q38,AI38)*100+SUM(K38,AC38)+0.003,1,0)=0,"S",IF(IF(AR38*1000000+SUM(T38,AL38)*10000+SUM(N38,AF38)*100+SUM(H38,Z38)+0.006&gt;AV38*1000000+SUM(X38,AP38)*10000+SUM(R38,AJ38)*100+SUM(L38,AD38)+0.002,1,0)+IF(AS38*1000000+SUM(U38,AM38)*10000+SUM(O38,AG38)*100+SUM(I38,AA38)+0.005&gt;AV38*1000000+SUM(X38,AP38)*10000+SUM(R38,AJ38)*100+SUM(L38,AD38)+0.002,1,0)+IF(AT38*1000000+SUM(V38,AN38)*10000+SUM(P38,AH38)*100+SUM(J38,AB38)+0.004&gt;AV38*1000000+SUM(X38,AP38)*10000+SUM(R38,AJ38)*100+SUM(L38,AD38)+0.002,1,0)+IF(AU38*1000000+SUM(W38,AO38)*10000+SUM(Q38,AI38)*100+SUM(K38,AC38)+0.003&gt;AV38*1000000+SUM(X38,AP38)*10000+SUM(R38,AJ38)*100+SUM(L38,AD38)+0.002,1,0)+IF(AW38*1000000+SUM(Y38,AQ38)*10000+SUM(S38,AK38)*100+SUM(M38,AE38)+0.001&gt;AV38*1000000+SUM(X38,AP38)*10000+SUM(R38,AJ38)*100+SUM(L38,AD38)+0.002,1,0)=0,"E",IF(IF(AR38*1000000+SUM(T38,AL38)*10000+SUM(N38,AF38)*100+SUM(H38,Z38)+0.006&gt;AW38*1000000+SUM(Y38,AQ38)*10000+SUM(S38,AK38)*100+SUM(M38,AE38)+0.001,1,0)+IF(AS38*1000000+SUM(U38,AM38)*10000+SUM(O38,AG38)*100+SUM(I38,AA38)+0.005&gt;AW38*1000000+SUM(Y38,AQ38)*10000+SUM(S38,AK38)*100+SUM(M38,AE38)+0.001,1,0)+IF(AT38*1000000+SUM(V38,AN38)*10000+SUM(P38,AH38)*100+SUM(J38,AB38)+0.004&gt;AW38*1000000+SUM(Y38,AQ38)*10000+SUM(S38,AK38)*100+SUM(M38,AE38)+0.001,1,0)+IF(AU38*1000000+SUM(W38,AO38)*10000+SUM(Q38,AI38)*100+SUM(K38,AC38)+0.003&gt;AW38*1000000+SUM(Y38,AQ38)*10000+SUM(S38,AK38)*100+SUM(M38,AE38)+0.001,1,0)+IF(AV38*1000000+SUM(X38,AP38)*10000+SUM(R38,AJ38)*100+SUM(L38,AD38)+0.002&gt;AW38*1000000+SUM(Y38,AQ38)*10000+SUM(S38,AK38)*100+SUM(M38,AE38)+0.001,1,0)=0,"C",""))))))&amp;IF(IF(AS38*1000000+SUM(U38,AM38)*10000+SUM(O38,AG38)*100+SUM(I38,AA38)+0.005&gt;AR38*1000000+SUM(T38,AL38)*10000+SUM(N38,AF38)*100+SUM(H38,Z38)+0.006,1,0)+IF(AT38*1000000+SUM(V38,AN38)*10000+SUM(P38,AH38)*100+SUM(J38,AB38)+0.004&gt;AR38*1000000+SUM(T38,AL38)*10000+SUM(N38,AF38)*100+SUM(H38,Z38)+0.006,1,0)+IF(AU38*1000000+SUM(W38,AO38)*10000+SUM(Q38,AI38)*100+SUM(K38,AC38)+0.003&gt;AR38*1000000+SUM(T38,AL38)*10000+SUM(N38,AF38)*100+SUM(H38,Z38)+0.006,1,0)+IF(AV38*1000000+SUM(X38,AP38)*10000+SUM(R38,AJ38)*100+SUM(L38,AD38)+0.002&gt;AR38*1000000+SUM(T38,AL38)*10000+SUM(N38,AF38)*100+SUM(H38,Z38)+0.006,1,0)+IF(AW38*1000000+SUM(Y38,AQ38)*10000+SUM(S38,AK38)*100+SUM(M38,AE38)+0.001&gt;AR38*1000000+SUM(T38,AL38)*10000+SUM(N38,AF38)*100+SUM(H38,Z38)+0.006,1,0)=1,"R",IF(IF(AR38*1000000+SUM(T38,AL38)*10000+SUM(N38,AF38)*100+SUM(H38,Z38)+0.006&gt;AS38*1000000+SUM(U38,AM38)*10000+SUM(O38,AG38)*100+SUM(I38,AA38)+0.005,1,0)+IF(AT38*1000000+SUM(V38,AN38)*10000+SUM(P38,AH38)*100+SUM(J38,AB38)+0.004&gt;AS38*1000000+SUM(U38,AM38)*10000+SUM(O38,AG38)*100+SUM(I38,AA38)+0.005,1,0)+IF(AU38*1000000+SUM(W38,AO38)*10000+SUM(Q38,AI38)*100+SUM(K38,AC38)+0.003&gt;AS38*1000000+SUM(U38,AM38)*10000+SUM(O38,AG38)*100+SUM(I38,AA38)+0.005,1,0)+IF(AV38*1000000+SUM(X38,AP38)*10000+SUM(R38,AJ38)*100+SUM(L38,AD38)+0.002&gt;AS38*1000000+SUM(U38,AM38)*10000+SUM(O38,AG38)*100+SUM(I38,AA38)+0.005,1,0)+IF(AW38*1000000+SUM(Y38,AQ38)*10000+SUM(S38,AK38)*100+SUM(M38,AE38)+0.001&gt;AS38*1000000+SUM(U38,AM38)*10000+SUM(O38,AG38)*100+SUM(I38,AA38)+0.005,1,0)=1,"I",IF(IF(AR38*1000000+SUM(T38,AL38)*10000+SUM(N38,AF38)*100+SUM(H38,Z38)+0.006&gt;AT38*1000000+SUM(V38,AN38)*10000+SUM(P38,AH38)*100+SUM(J38,AB38)+0.004,1,0)+IF(AS38*1000000+SUM(U38,AM38)*10000+SUM(O38,AG38)*100+SUM(I38,AA38)+0.005&gt;AT38*1000000+SUM(V38,AN38)*10000+SUM(P38,AH38)*100+SUM(J38,AB38)+0.004,1,0)+IF(AU38*1000000+SUM(W38,AO38)*10000+SUM(Q38,AI38)*100+SUM(K38,AC38)+0.003&gt;AT38*1000000+SUM(V38,AN38)*10000+SUM(P38,AH38)*100+SUM(J38,AB38)+0.004,1,0)+IF(AV38*1000000+SUM(X38,AP38)*10000+SUM(R38,AJ38)*100+SUM(L38,AD38)+0.002&gt;AT38*1000000+SUM(V38,AN38)*10000+SUM(P38,AH38)*100+SUM(J38,AB38)+0.004,1,0)+IF(AW38*1000000+SUM(Y38,AQ38)*10000+SUM(S38,AK38)*100+SUM(M38,AE38)+0.001&gt;AT38*1000000+SUM(V38,AN38)*10000+SUM(P38,AH38)*100+SUM(J38,AB38)+0.004,1,0)=1,"A",IF(IF(AR38*1000000+SUM(T38,AL38)*10000+SUM(N38,AF38)*100+SUM(H38,Z38)+0.006&gt;AU38*1000000+SUM(W38,AO38)*10000+SUM(Q38,AI38)*100+SUM(K38,AC38)+0.003,1,0)+IF(AS38*1000000+SUM(U38,AM38)*10000+SUM(O38,AG38)*100+SUM(I38,AA38)+0.005&gt;AU38*1000000+SUM(W38,AO38)*10000+SUM(Q38,AI38)*100+SUM(K38,AC38)+0.003,1,0)+IF(AT38*1000000+SUM(V38,AN38)*10000+SUM(P38,AH38)*100+SUM(J38,AB38)+0.004&gt;AU38*1000000+SUM(W38,AO38)*10000+SUM(Q38,AI38)*100+SUM(K38,AC38)+0.003,1,0)+IF(AV38*1000000+SUM(X38,AP38)*10000+SUM(R38,AJ38)*100+SUM(L38,AD38)+0.002&gt;AU38*1000000+SUM(W38,AO38)*10000+SUM(Q38,AI38)*100+SUM(K38,AC38)+0.003,1,0)+IF(AW38*1000000+SUM(Y38,AQ38)*10000+SUM(S38,AK38)*100+SUM(M38,AE38)+0.001&gt;AU38*1000000+SUM(W38,AO38)*10000+SUM(Q38,AI38)*100+SUM(K38,AC38)+0.003,1,0)=1,"S",IF(IF(AR38*1000000+SUM(T38,AL38)*10000+SUM(N38,AF38)*100+SUM(H38,Z38)+0.006&gt;AV38*1000000+SUM(X38,AP38)*10000+SUM(R38,AJ38)*100+SUM(L38,AD38)+0.002,1,0)+IF(AS38*1000000+SUM(U38,AM38)*10000+SUM(O38,AG38)*100+SUM(I38,AA38)+0.005&gt;AV38*1000000+SUM(X38,AP38)*10000+SUM(R38,AJ38)*100+SUM(L38,AD38)+0.002,1,0)+IF(AT38*1000000+SUM(V38,AN38)*10000+SUM(P38,AH38)*100+SUM(J38,AB38)+0.004&gt;AV38*1000000+SUM(X38,AP38)*10000+SUM(R38,AJ38)*100+SUM(L38,AD38)+0.002,1,0)+IF(AU38*1000000+SUM(W38,AO38)*10000+SUM(Q38,AI38)*100+SUM(K38,AC38)+0.003&gt;AV38*1000000+SUM(X38,AP38)*10000+SUM(R38,AJ38)*100+SUM(L38,AD38)+0.002,1,0)+IF(AW38*1000000+SUM(Y38,AQ38)*10000+SUM(S38,AK38)*100+SUM(M38,AE38)+0.001&gt;AV38*1000000+SUM(X38,AP38)*10000+SUM(R38,AJ38)*100+SUM(L38,AD38)+0.002,1,0)=1,"E",IF(IF(AR38*1000000+SUM(T38,AL38)*10000+SUM(N38,AF38)*100+SUM(H38,Z38)+0.006&gt;AW38*1000000+SUM(Y38,AQ38)*10000+SUM(S38,AK38)*100+SUM(M38,AE38)+0.001,1,0)+IF(AS38*1000000+SUM(U38,AM38)*10000+SUM(O38,AG38)*100+SUM(I38,AA38)+0.005&gt;AW38*1000000+SUM(Y38,AQ38)*10000+SUM(S38,AK38)*100+SUM(M38,AE38)+0.001,1,0)+IF(AT38*1000000+SUM(V38,AN38)*10000+SUM(P38,AH38)*100+SUM(J38,AB38)+0.004&gt;AW38*1000000+SUM(Y38,AQ38)*10000+SUM(S38,AK38)*100+SUM(M38,AE38)+0.001,1,0)+IF(AU38*1000000+SUM(W38,AO38)*10000+SUM(Q38,AI38)*100+SUM(K38,AC38)+0.003&gt;AW38*1000000+SUM(Y38,AQ38)*10000+SUM(S38,AK38)*100+SUM(M38,AE38)+0.001,1,0)+IF(AV38*1000000+SUM(X38,AP38)*10000+SUM(R38,AJ38)*100+SUM(L38,AD38)+0.002&gt;AW38*1000000+SUM(Y38,AQ38)*10000+SUM(S38,AK38)*100+SUM(M38,AE38)+0.001,1,0)=1,"C",""))))))&amp;IF(IF(AS38*1000000+SUM(U38,AM38)*10000+SUM(O38,AG38)*100+SUM(I38,AA38)+0.005&gt;AR38*1000000+SUM(T38,AL38)*10000+SUM(N38,AF38)*100+SUM(H38,Z38)+0.006,1,0)+IF(AT38*1000000+SUM(V38,AN38)*10000+SUM(P38,AH38)*100+SUM(J38,AB38)+0.004&gt;AR38*1000000+SUM(T38,AL38)*10000+SUM(N38,AF38)*100+SUM(H38,Z38)+0.006,1,0)+IF(AU38*1000000+SUM(W38,AO38)*10000+SUM(Q38,AI38)*100+SUM(K38,AC38)+0.003&gt;AR38*1000000+SUM(T38,AL38)*10000+SUM(N38,AF38)*100+SUM(H38,Z38)+0.006,1,0)+IF(AV38*1000000+SUM(X38,AP38)*10000+SUM(R38,AJ38)*100+SUM(L38,AD38)+0.002&gt;AR38*1000000+SUM(T38,AL38)*10000+SUM(N38,AF38)*100+SUM(H38,Z38)+0.006,1,0)+IF(AW38*1000000+SUM(Y38,AQ38)*10000+SUM(S38,AK38)*100+SUM(M38,AE38)+0.001&gt;AR38*1000000+SUM(T38,AL38)*10000+SUM(N38,AF38)*100+SUM(H38,Z38)+0.006,1,0)=2,"R",IF(IF(AR38*1000000+SUM(T38,AL38)*10000+SUM(N38,AF38)*100+SUM(H38,Z38)+0.006&gt;AS38*1000000+SUM(U38,AM38)*10000+SUM(O38,AG38)*100+SUM(I38,AA38)+0.005,1,0)+IF(AT38*1000000+SUM(V38,AN38)*10000+SUM(P38,AH38)*100+SUM(J38,AB38)+0.004&gt;AS38*1000000+SUM(U38,AM38)*10000+SUM(O38,AG38)*100+SUM(I38,AA38)+0.005,1,0)+IF(AU38*1000000+SUM(W38,AO38)*10000+SUM(Q38,AI38)*100+SUM(K38,AC38)+0.003&gt;AS38*1000000+SUM(U38,AM38)*10000+SUM(O38,AG38)*100+SUM(I38,AA38)+0.005,1,0)+IF(AV38*1000000+SUM(X38,AP38)*10000+SUM(R38,AJ38)*100+SUM(L38,AD38)+0.002&gt;AS38*1000000+SUM(U38,AM38)*10000+SUM(O38,AG38)*100+SUM(I38,AA38)+0.005,1,0)+IF(AW38*1000000+SUM(Y38,AQ38)*10000+SUM(S38,AK38)*100+SUM(M38,AE38)+0.001&gt;AS38*1000000+SUM(U38,AM38)*10000+SUM(O38,AG38)*100+SUM(I38,AA38)+0.005,1,0)=2,"I",IF(IF(AR38*1000000+SUM(T38,AL38)*10000+SUM(N38,AF38)*100+SUM(H38,Z38)+0.006&gt;AT38*1000000+SUM(V38,AN38)*10000+SUM(P38,AH38)*100+SUM(J38,AB38)+0.004,1,0)+IF(AS38*1000000+SUM(U38,AM38)*10000+SUM(O38,AG38)*100+SUM(I38,AA38)+0.005&gt;AT38*1000000+SUM(V38,AN38)*10000+SUM(P38,AH38)*100+SUM(J38,AB38)+0.004,1,0)+IF(AU38*1000000+SUM(W38,AO38)*10000+SUM(Q38,AI38)*100+SUM(K38,AC38)+0.003&gt;AT38*1000000+SUM(V38,AN38)*10000+SUM(P38,AH38)*100+SUM(J38,AB38)+0.004,1,0)+IF(AV38*1000000+SUM(X38,AP38)*10000+SUM(R38,AJ38)*100+SUM(L38,AD38)+0.002&gt;AT38*1000000+SUM(V38,AN38)*10000+SUM(P38,AH38)*100+SUM(J38,AB38)+0.004,1,0)+IF(AW38*1000000+SUM(Y38,AQ38)*10000+SUM(S38,AK38)*100+SUM(M38,AE38)+0.001&gt;AT38*1000000+SUM(V38,AN38)*10000+SUM(P38,AH38)*100+SUM(J38,AB38)+0.004,1,0)=2,"A",IF(IF(AR38*1000000+SUM(T38,AL38)*10000+SUM(N38,AF38)*100+SUM(H38,Z38)+0.006&gt;AU38*1000000+SUM(W38,AO38)*10000+SUM(Q38,AI38)*100+SUM(K38,AC38)+0.003,1,0)+IF(AS38*1000000+SUM(U38,AM38)*10000+SUM(O38,AG38)*100+SUM(I38,AA38)+0.005&gt;AU38*1000000+SUM(W38,AO38)*10000+SUM(Q38,AI38)*100+SUM(K38,AC38)+0.003,1,0)+IF(AT38*1000000+SUM(V38,AN38)*10000+SUM(P38,AH38)*100+SUM(J38,AB38)+0.004&gt;AU38*1000000+SUM(W38,AO38)*10000+SUM(Q38,AI38)*100+SUM(K38,AC38)+0.003,1,0)+IF(AV38*1000000+SUM(X38,AP38)*10000+SUM(R38,AJ38)*100+SUM(L38,AD38)+0.002&gt;AU38*1000000+SUM(W38,AO38)*10000+SUM(Q38,AI38)*100+SUM(K38,AC38)+0.003,1,0)+IF(AW38*1000000+SUM(Y38,AQ38)*10000+SUM(S38,AK38)*100+SUM(M38,AE38)+0.001&gt;AU38*1000000+SUM(W38,AO38)*10000+SUM(Q38,AI38)*100+SUM(K38,AC38)+0.003,1,0)=2,"S",IF(IF(AR38*1000000+SUM(T38,AL38)*10000+SUM(N38,AF38)*100+SUM(H38,Z38)+0.006&gt;AV38*1000000+SUM(X38,AP38)*10000+SUM(R38,AJ38)*100+SUM(L38,AD38)+0.002,1,0)+IF(AS38*1000000+SUM(U38,AM38)*10000+SUM(O38,AG38)*100+SUM(I38,AA38)+0.005&gt;AV38*1000000+SUM(X38,AP38)*10000+SUM(R38,AJ38)*100+SUM(L38,AD38)+0.002,1,0)+IF(AT38*1000000+SUM(V38,AN38)*10000+SUM(P38,AH38)*100+SUM(J38,AB38)+0.004&gt;AV38*1000000+SUM(X38,AP38)*10000+SUM(R38,AJ38)*100+SUM(L38,AD38)+0.002,1,0)+IF(AU38*1000000+SUM(W38,AO38)*10000+SUM(Q38,AI38)*100+SUM(K38,AC38)+0.003&gt;AV38*1000000+SUM(X38,AP38)*10000+SUM(R38,AJ38)*100+SUM(L38,AD38)+0.002,1,0)+IF(AW38*1000000+SUM(Y38,AQ38)*10000+SUM(S38,AK38)*100+SUM(M38,AE38)+0.001&gt;AV38*1000000+SUM(X38,AP38)*10000+SUM(R38,AJ38)*100+SUM(L38,AD38)+0.002,1,0)=2,"E",IF(IF(AR38*1000000+SUM(T38,AL38)*10000+SUM(N38,AF38)*100+SUM(H38,Z38)+0.006&gt;AW38*1000000+SUM(Y38,AQ38)*10000+SUM(S38,AK38)*100+SUM(M38,AE38)+0.001,1,0)+IF(AS38*1000000+SUM(U38,AM38)*10000+SUM(O38,AG38)*100+SUM(I38,AA38)+0.005&gt;AW38*1000000+SUM(Y38,AQ38)*10000+SUM(S38,AK38)*100+SUM(M38,AE38)+0.001,1,0)+IF(AT38*1000000+SUM(V38,AN38)*10000+SUM(P38,AH38)*100+SUM(J38,AB38)+0.004&gt;AW38*1000000+SUM(Y38,AQ38)*10000+SUM(S38,AK38)*100+SUM(M38,AE38)+0.001,1,0)+IF(AU38*1000000+SUM(W38,AO38)*10000+SUM(Q38,AI38)*100+SUM(K38,AC38)+0.003&gt;AW38*1000000+SUM(Y38,AQ38)*10000+SUM(S38,AK38)*100+SUM(M38,AE38)+0.001,1,0)+IF(AV38*1000000+SUM(X38,AP38)*10000+SUM(R38,AJ38)*100+SUM(L38,AD38)+0.002&gt;AW38*1000000+SUM(Y38,AQ38)*10000+SUM(S38,AK38)*100+SUM(M38,AE38)+0.001,1,0)=2,"C","")))))))</x:f>
      </x:c>
      <x:c r="AY38" s="27" t="str">
        <x:f>IF(C38="","",IF(LEFT(AX38,1)="R","นักปฏิบัติ",IF(LEFT(AX38,1)="I","นักคิดวิเคราะห์",IF(LEFT(AX38,1)="A","นักสร้างสรรค์",IF(LEFT(AX38,1)="S","ผู้เข้าใจผู้คน",IF(LEFT(AX38,1)="E","ผู้นำการเปลี่ยนแปลง","ผู้จัดระบบ"))))))</x:f>
      </x:c>
    </x:row>
    <x:row r="39">
      <x:c r="A39" s="27"/>
      <x:c r="B39" s="28"/>
      <x:c r="C39" s="27"/>
      <x:c r="D39" s="27"/>
      <x:c r="E39" s="27"/>
      <x:c r="F39" s="27"/>
      <x:c r="G39" s="27"/>
      <x:c r="H39" s="27"/>
      <x:c r="I39" s="27"/>
      <x:c r="J39" s="27"/>
      <x:c r="K39" s="27"/>
      <x:c r="L39" s="27"/>
      <x:c r="M39" s="27"/>
      <x:c r="N39" s="27"/>
      <x:c r="O39" s="27"/>
      <x:c r="P39" s="27"/>
      <x:c r="Q39" s="27"/>
      <x:c r="R39" s="27"/>
      <x:c r="S39" s="27"/>
      <x:c r="T39" s="27"/>
      <x:c r="U39" s="27"/>
      <x:c r="V39" s="27"/>
      <x:c r="W39" s="27"/>
      <x:c r="X39" s="27"/>
      <x:c r="Y39" s="27"/>
      <x:c r="Z39" s="27"/>
      <x:c r="AA39" s="27"/>
      <x:c r="AB39" s="27"/>
      <x:c r="AC39" s="27"/>
      <x:c r="AD39" s="27"/>
      <x:c r="AE39" s="27"/>
      <x:c r="AF39" s="27"/>
      <x:c r="AG39" s="27"/>
      <x:c r="AH39" s="27"/>
      <x:c r="AI39" s="27"/>
      <x:c r="AJ39" s="27"/>
      <x:c r="AK39" s="27"/>
      <x:c r="AL39" s="27"/>
      <x:c r="AM39" s="27"/>
      <x:c r="AN39" s="27"/>
      <x:c r="AO39" s="27"/>
      <x:c r="AP39" s="27"/>
      <x:c r="AQ39" s="27"/>
      <x:c r="AR39" s="27" t="str">
        <x:f>IF(C39="","",SUM(H39,N39,T39,Z39,AF39,AL39))</x:f>
      </x:c>
      <x:c r="AS39" s="27" t="str">
        <x:f>IF(C39="","",SUM(I39,O39,U39,AA39,AG39,AM39))</x:f>
      </x:c>
      <x:c r="AT39" s="27" t="str">
        <x:f>IF(C39="","",SUM(J39,P39,V39,AB39,AH39,AN39))</x:f>
      </x:c>
      <x:c r="AU39" s="27" t="str">
        <x:f>IF(C39="","",SUM(K39,Q39,W39,AC39,AI39,AO39))</x:f>
      </x:c>
      <x:c r="AV39" s="27" t="str">
        <x:f>IF(C39="","",SUM(L39,R39,X39,AD39,AJ39,AP39))</x:f>
      </x:c>
      <x:c r="AW39" s="27" t="str">
        <x:f>IF(C39="","",SUM(M39,S39,Y39,AE39,AK39,AQ39))</x:f>
      </x:c>
      <x:c r="AX39" s="27" t="str">
        <x:f>IF(C39="","",IF(IF(AS39*1000000+SUM(U39,AM39)*10000+SUM(O39,AG39)*100+SUM(I39,AA39)+0.005&gt;AR39*1000000+SUM(T39,AL39)*10000+SUM(N39,AF39)*100+SUM(H39,Z39)+0.006,1,0)+IF(AT39*1000000+SUM(V39,AN39)*10000+SUM(P39,AH39)*100+SUM(J39,AB39)+0.004&gt;AR39*1000000+SUM(T39,AL39)*10000+SUM(N39,AF39)*100+SUM(H39,Z39)+0.006,1,0)+IF(AU39*1000000+SUM(W39,AO39)*10000+SUM(Q39,AI39)*100+SUM(K39,AC39)+0.003&gt;AR39*1000000+SUM(T39,AL39)*10000+SUM(N39,AF39)*100+SUM(H39,Z39)+0.006,1,0)+IF(AV39*1000000+SUM(X39,AP39)*10000+SUM(R39,AJ39)*100+SUM(L39,AD39)+0.002&gt;AR39*1000000+SUM(T39,AL39)*10000+SUM(N39,AF39)*100+SUM(H39,Z39)+0.006,1,0)+IF(AW39*1000000+SUM(Y39,AQ39)*10000+SUM(S39,AK39)*100+SUM(M39,AE39)+0.001&gt;AR39*1000000+SUM(T39,AL39)*10000+SUM(N39,AF39)*100+SUM(H39,Z39)+0.006,1,0)=0,"R",IF(IF(AR39*1000000+SUM(T39,AL39)*10000+SUM(N39,AF39)*100+SUM(H39,Z39)+0.006&gt;AS39*1000000+SUM(U39,AM39)*10000+SUM(O39,AG39)*100+SUM(I39,AA39)+0.005,1,0)+IF(AT39*1000000+SUM(V39,AN39)*10000+SUM(P39,AH39)*100+SUM(J39,AB39)+0.004&gt;AS39*1000000+SUM(U39,AM39)*10000+SUM(O39,AG39)*100+SUM(I39,AA39)+0.005,1,0)+IF(AU39*1000000+SUM(W39,AO39)*10000+SUM(Q39,AI39)*100+SUM(K39,AC39)+0.003&gt;AS39*1000000+SUM(U39,AM39)*10000+SUM(O39,AG39)*100+SUM(I39,AA39)+0.005,1,0)+IF(AV39*1000000+SUM(X39,AP39)*10000+SUM(R39,AJ39)*100+SUM(L39,AD39)+0.002&gt;AS39*1000000+SUM(U39,AM39)*10000+SUM(O39,AG39)*100+SUM(I39,AA39)+0.005,1,0)+IF(AW39*1000000+SUM(Y39,AQ39)*10000+SUM(S39,AK39)*100+SUM(M39,AE39)+0.001&gt;AS39*1000000+SUM(U39,AM39)*10000+SUM(O39,AG39)*100+SUM(I39,AA39)+0.005,1,0)=0,"I",IF(IF(AR39*1000000+SUM(T39,AL39)*10000+SUM(N39,AF39)*100+SUM(H39,Z39)+0.006&gt;AT39*1000000+SUM(V39,AN39)*10000+SUM(P39,AH39)*100+SUM(J39,AB39)+0.004,1,0)+IF(AS39*1000000+SUM(U39,AM39)*10000+SUM(O39,AG39)*100+SUM(I39,AA39)+0.005&gt;AT39*1000000+SUM(V39,AN39)*10000+SUM(P39,AH39)*100+SUM(J39,AB39)+0.004,1,0)+IF(AU39*1000000+SUM(W39,AO39)*10000+SUM(Q39,AI39)*100+SUM(K39,AC39)+0.003&gt;AT39*1000000+SUM(V39,AN39)*10000+SUM(P39,AH39)*100+SUM(J39,AB39)+0.004,1,0)+IF(AV39*1000000+SUM(X39,AP39)*10000+SUM(R39,AJ39)*100+SUM(L39,AD39)+0.002&gt;AT39*1000000+SUM(V39,AN39)*10000+SUM(P39,AH39)*100+SUM(J39,AB39)+0.004,1,0)+IF(AW39*1000000+SUM(Y39,AQ39)*10000+SUM(S39,AK39)*100+SUM(M39,AE39)+0.001&gt;AT39*1000000+SUM(V39,AN39)*10000+SUM(P39,AH39)*100+SUM(J39,AB39)+0.004,1,0)=0,"A",IF(IF(AR39*1000000+SUM(T39,AL39)*10000+SUM(N39,AF39)*100+SUM(H39,Z39)+0.006&gt;AU39*1000000+SUM(W39,AO39)*10000+SUM(Q39,AI39)*100+SUM(K39,AC39)+0.003,1,0)+IF(AS39*1000000+SUM(U39,AM39)*10000+SUM(O39,AG39)*100+SUM(I39,AA39)+0.005&gt;AU39*1000000+SUM(W39,AO39)*10000+SUM(Q39,AI39)*100+SUM(K39,AC39)+0.003,1,0)+IF(AT39*1000000+SUM(V39,AN39)*10000+SUM(P39,AH39)*100+SUM(J39,AB39)+0.004&gt;AU39*1000000+SUM(W39,AO39)*10000+SUM(Q39,AI39)*100+SUM(K39,AC39)+0.003,1,0)+IF(AV39*1000000+SUM(X39,AP39)*10000+SUM(R39,AJ39)*100+SUM(L39,AD39)+0.002&gt;AU39*1000000+SUM(W39,AO39)*10000+SUM(Q39,AI39)*100+SUM(K39,AC39)+0.003,1,0)+IF(AW39*1000000+SUM(Y39,AQ39)*10000+SUM(S39,AK39)*100+SUM(M39,AE39)+0.001&gt;AU39*1000000+SUM(W39,AO39)*10000+SUM(Q39,AI39)*100+SUM(K39,AC39)+0.003,1,0)=0,"S",IF(IF(AR39*1000000+SUM(T39,AL39)*10000+SUM(N39,AF39)*100+SUM(H39,Z39)+0.006&gt;AV39*1000000+SUM(X39,AP39)*10000+SUM(R39,AJ39)*100+SUM(L39,AD39)+0.002,1,0)+IF(AS39*1000000+SUM(U39,AM39)*10000+SUM(O39,AG39)*100+SUM(I39,AA39)+0.005&gt;AV39*1000000+SUM(X39,AP39)*10000+SUM(R39,AJ39)*100+SUM(L39,AD39)+0.002,1,0)+IF(AT39*1000000+SUM(V39,AN39)*10000+SUM(P39,AH39)*100+SUM(J39,AB39)+0.004&gt;AV39*1000000+SUM(X39,AP39)*10000+SUM(R39,AJ39)*100+SUM(L39,AD39)+0.002,1,0)+IF(AU39*1000000+SUM(W39,AO39)*10000+SUM(Q39,AI39)*100+SUM(K39,AC39)+0.003&gt;AV39*1000000+SUM(X39,AP39)*10000+SUM(R39,AJ39)*100+SUM(L39,AD39)+0.002,1,0)+IF(AW39*1000000+SUM(Y39,AQ39)*10000+SUM(S39,AK39)*100+SUM(M39,AE39)+0.001&gt;AV39*1000000+SUM(X39,AP39)*10000+SUM(R39,AJ39)*100+SUM(L39,AD39)+0.002,1,0)=0,"E",IF(IF(AR39*1000000+SUM(T39,AL39)*10000+SUM(N39,AF39)*100+SUM(H39,Z39)+0.006&gt;AW39*1000000+SUM(Y39,AQ39)*10000+SUM(S39,AK39)*100+SUM(M39,AE39)+0.001,1,0)+IF(AS39*1000000+SUM(U39,AM39)*10000+SUM(O39,AG39)*100+SUM(I39,AA39)+0.005&gt;AW39*1000000+SUM(Y39,AQ39)*10000+SUM(S39,AK39)*100+SUM(M39,AE39)+0.001,1,0)+IF(AT39*1000000+SUM(V39,AN39)*10000+SUM(P39,AH39)*100+SUM(J39,AB39)+0.004&gt;AW39*1000000+SUM(Y39,AQ39)*10000+SUM(S39,AK39)*100+SUM(M39,AE39)+0.001,1,0)+IF(AU39*1000000+SUM(W39,AO39)*10000+SUM(Q39,AI39)*100+SUM(K39,AC39)+0.003&gt;AW39*1000000+SUM(Y39,AQ39)*10000+SUM(S39,AK39)*100+SUM(M39,AE39)+0.001,1,0)+IF(AV39*1000000+SUM(X39,AP39)*10000+SUM(R39,AJ39)*100+SUM(L39,AD39)+0.002&gt;AW39*1000000+SUM(Y39,AQ39)*10000+SUM(S39,AK39)*100+SUM(M39,AE39)+0.001,1,0)=0,"C",""))))))&amp;IF(IF(AS39*1000000+SUM(U39,AM39)*10000+SUM(O39,AG39)*100+SUM(I39,AA39)+0.005&gt;AR39*1000000+SUM(T39,AL39)*10000+SUM(N39,AF39)*100+SUM(H39,Z39)+0.006,1,0)+IF(AT39*1000000+SUM(V39,AN39)*10000+SUM(P39,AH39)*100+SUM(J39,AB39)+0.004&gt;AR39*1000000+SUM(T39,AL39)*10000+SUM(N39,AF39)*100+SUM(H39,Z39)+0.006,1,0)+IF(AU39*1000000+SUM(W39,AO39)*10000+SUM(Q39,AI39)*100+SUM(K39,AC39)+0.003&gt;AR39*1000000+SUM(T39,AL39)*10000+SUM(N39,AF39)*100+SUM(H39,Z39)+0.006,1,0)+IF(AV39*1000000+SUM(X39,AP39)*10000+SUM(R39,AJ39)*100+SUM(L39,AD39)+0.002&gt;AR39*1000000+SUM(T39,AL39)*10000+SUM(N39,AF39)*100+SUM(H39,Z39)+0.006,1,0)+IF(AW39*1000000+SUM(Y39,AQ39)*10000+SUM(S39,AK39)*100+SUM(M39,AE39)+0.001&gt;AR39*1000000+SUM(T39,AL39)*10000+SUM(N39,AF39)*100+SUM(H39,Z39)+0.006,1,0)=1,"R",IF(IF(AR39*1000000+SUM(T39,AL39)*10000+SUM(N39,AF39)*100+SUM(H39,Z39)+0.006&gt;AS39*1000000+SUM(U39,AM39)*10000+SUM(O39,AG39)*100+SUM(I39,AA39)+0.005,1,0)+IF(AT39*1000000+SUM(V39,AN39)*10000+SUM(P39,AH39)*100+SUM(J39,AB39)+0.004&gt;AS39*1000000+SUM(U39,AM39)*10000+SUM(O39,AG39)*100+SUM(I39,AA39)+0.005,1,0)+IF(AU39*1000000+SUM(W39,AO39)*10000+SUM(Q39,AI39)*100+SUM(K39,AC39)+0.003&gt;AS39*1000000+SUM(U39,AM39)*10000+SUM(O39,AG39)*100+SUM(I39,AA39)+0.005,1,0)+IF(AV39*1000000+SUM(X39,AP39)*10000+SUM(R39,AJ39)*100+SUM(L39,AD39)+0.002&gt;AS39*1000000+SUM(U39,AM39)*10000+SUM(O39,AG39)*100+SUM(I39,AA39)+0.005,1,0)+IF(AW39*1000000+SUM(Y39,AQ39)*10000+SUM(S39,AK39)*100+SUM(M39,AE39)+0.001&gt;AS39*1000000+SUM(U39,AM39)*10000+SUM(O39,AG39)*100+SUM(I39,AA39)+0.005,1,0)=1,"I",IF(IF(AR39*1000000+SUM(T39,AL39)*10000+SUM(N39,AF39)*100+SUM(H39,Z39)+0.006&gt;AT39*1000000+SUM(V39,AN39)*10000+SUM(P39,AH39)*100+SUM(J39,AB39)+0.004,1,0)+IF(AS39*1000000+SUM(U39,AM39)*10000+SUM(O39,AG39)*100+SUM(I39,AA39)+0.005&gt;AT39*1000000+SUM(V39,AN39)*10000+SUM(P39,AH39)*100+SUM(J39,AB39)+0.004,1,0)+IF(AU39*1000000+SUM(W39,AO39)*10000+SUM(Q39,AI39)*100+SUM(K39,AC39)+0.003&gt;AT39*1000000+SUM(V39,AN39)*10000+SUM(P39,AH39)*100+SUM(J39,AB39)+0.004,1,0)+IF(AV39*1000000+SUM(X39,AP39)*10000+SUM(R39,AJ39)*100+SUM(L39,AD39)+0.002&gt;AT39*1000000+SUM(V39,AN39)*10000+SUM(P39,AH39)*100+SUM(J39,AB39)+0.004,1,0)+IF(AW39*1000000+SUM(Y39,AQ39)*10000+SUM(S39,AK39)*100+SUM(M39,AE39)+0.001&gt;AT39*1000000+SUM(V39,AN39)*10000+SUM(P39,AH39)*100+SUM(J39,AB39)+0.004,1,0)=1,"A",IF(IF(AR39*1000000+SUM(T39,AL39)*10000+SUM(N39,AF39)*100+SUM(H39,Z39)+0.006&gt;AU39*1000000+SUM(W39,AO39)*10000+SUM(Q39,AI39)*100+SUM(K39,AC39)+0.003,1,0)+IF(AS39*1000000+SUM(U39,AM39)*10000+SUM(O39,AG39)*100+SUM(I39,AA39)+0.005&gt;AU39*1000000+SUM(W39,AO39)*10000+SUM(Q39,AI39)*100+SUM(K39,AC39)+0.003,1,0)+IF(AT39*1000000+SUM(V39,AN39)*10000+SUM(P39,AH39)*100+SUM(J39,AB39)+0.004&gt;AU39*1000000+SUM(W39,AO39)*10000+SUM(Q39,AI39)*100+SUM(K39,AC39)+0.003,1,0)+IF(AV39*1000000+SUM(X39,AP39)*10000+SUM(R39,AJ39)*100+SUM(L39,AD39)+0.002&gt;AU39*1000000+SUM(W39,AO39)*10000+SUM(Q39,AI39)*100+SUM(K39,AC39)+0.003,1,0)+IF(AW39*1000000+SUM(Y39,AQ39)*10000+SUM(S39,AK39)*100+SUM(M39,AE39)+0.001&gt;AU39*1000000+SUM(W39,AO39)*10000+SUM(Q39,AI39)*100+SUM(K39,AC39)+0.003,1,0)=1,"S",IF(IF(AR39*1000000+SUM(T39,AL39)*10000+SUM(N39,AF39)*100+SUM(H39,Z39)+0.006&gt;AV39*1000000+SUM(X39,AP39)*10000+SUM(R39,AJ39)*100+SUM(L39,AD39)+0.002,1,0)+IF(AS39*1000000+SUM(U39,AM39)*10000+SUM(O39,AG39)*100+SUM(I39,AA39)+0.005&gt;AV39*1000000+SUM(X39,AP39)*10000+SUM(R39,AJ39)*100+SUM(L39,AD39)+0.002,1,0)+IF(AT39*1000000+SUM(V39,AN39)*10000+SUM(P39,AH39)*100+SUM(J39,AB39)+0.004&gt;AV39*1000000+SUM(X39,AP39)*10000+SUM(R39,AJ39)*100+SUM(L39,AD39)+0.002,1,0)+IF(AU39*1000000+SUM(W39,AO39)*10000+SUM(Q39,AI39)*100+SUM(K39,AC39)+0.003&gt;AV39*1000000+SUM(X39,AP39)*10000+SUM(R39,AJ39)*100+SUM(L39,AD39)+0.002,1,0)+IF(AW39*1000000+SUM(Y39,AQ39)*10000+SUM(S39,AK39)*100+SUM(M39,AE39)+0.001&gt;AV39*1000000+SUM(X39,AP39)*10000+SUM(R39,AJ39)*100+SUM(L39,AD39)+0.002,1,0)=1,"E",IF(IF(AR39*1000000+SUM(T39,AL39)*10000+SUM(N39,AF39)*100+SUM(H39,Z39)+0.006&gt;AW39*1000000+SUM(Y39,AQ39)*10000+SUM(S39,AK39)*100+SUM(M39,AE39)+0.001,1,0)+IF(AS39*1000000+SUM(U39,AM39)*10000+SUM(O39,AG39)*100+SUM(I39,AA39)+0.005&gt;AW39*1000000+SUM(Y39,AQ39)*10000+SUM(S39,AK39)*100+SUM(M39,AE39)+0.001,1,0)+IF(AT39*1000000+SUM(V39,AN39)*10000+SUM(P39,AH39)*100+SUM(J39,AB39)+0.004&gt;AW39*1000000+SUM(Y39,AQ39)*10000+SUM(S39,AK39)*100+SUM(M39,AE39)+0.001,1,0)+IF(AU39*1000000+SUM(W39,AO39)*10000+SUM(Q39,AI39)*100+SUM(K39,AC39)+0.003&gt;AW39*1000000+SUM(Y39,AQ39)*10000+SUM(S39,AK39)*100+SUM(M39,AE39)+0.001,1,0)+IF(AV39*1000000+SUM(X39,AP39)*10000+SUM(R39,AJ39)*100+SUM(L39,AD39)+0.002&gt;AW39*1000000+SUM(Y39,AQ39)*10000+SUM(S39,AK39)*100+SUM(M39,AE39)+0.001,1,0)=1,"C",""))))))&amp;IF(IF(AS39*1000000+SUM(U39,AM39)*10000+SUM(O39,AG39)*100+SUM(I39,AA39)+0.005&gt;AR39*1000000+SUM(T39,AL39)*10000+SUM(N39,AF39)*100+SUM(H39,Z39)+0.006,1,0)+IF(AT39*1000000+SUM(V39,AN39)*10000+SUM(P39,AH39)*100+SUM(J39,AB39)+0.004&gt;AR39*1000000+SUM(T39,AL39)*10000+SUM(N39,AF39)*100+SUM(H39,Z39)+0.006,1,0)+IF(AU39*1000000+SUM(W39,AO39)*10000+SUM(Q39,AI39)*100+SUM(K39,AC39)+0.003&gt;AR39*1000000+SUM(T39,AL39)*10000+SUM(N39,AF39)*100+SUM(H39,Z39)+0.006,1,0)+IF(AV39*1000000+SUM(X39,AP39)*10000+SUM(R39,AJ39)*100+SUM(L39,AD39)+0.002&gt;AR39*1000000+SUM(T39,AL39)*10000+SUM(N39,AF39)*100+SUM(H39,Z39)+0.006,1,0)+IF(AW39*1000000+SUM(Y39,AQ39)*10000+SUM(S39,AK39)*100+SUM(M39,AE39)+0.001&gt;AR39*1000000+SUM(T39,AL39)*10000+SUM(N39,AF39)*100+SUM(H39,Z39)+0.006,1,0)=2,"R",IF(IF(AR39*1000000+SUM(T39,AL39)*10000+SUM(N39,AF39)*100+SUM(H39,Z39)+0.006&gt;AS39*1000000+SUM(U39,AM39)*10000+SUM(O39,AG39)*100+SUM(I39,AA39)+0.005,1,0)+IF(AT39*1000000+SUM(V39,AN39)*10000+SUM(P39,AH39)*100+SUM(J39,AB39)+0.004&gt;AS39*1000000+SUM(U39,AM39)*10000+SUM(O39,AG39)*100+SUM(I39,AA39)+0.005,1,0)+IF(AU39*1000000+SUM(W39,AO39)*10000+SUM(Q39,AI39)*100+SUM(K39,AC39)+0.003&gt;AS39*1000000+SUM(U39,AM39)*10000+SUM(O39,AG39)*100+SUM(I39,AA39)+0.005,1,0)+IF(AV39*1000000+SUM(X39,AP39)*10000+SUM(R39,AJ39)*100+SUM(L39,AD39)+0.002&gt;AS39*1000000+SUM(U39,AM39)*10000+SUM(O39,AG39)*100+SUM(I39,AA39)+0.005,1,0)+IF(AW39*1000000+SUM(Y39,AQ39)*10000+SUM(S39,AK39)*100+SUM(M39,AE39)+0.001&gt;AS39*1000000+SUM(U39,AM39)*10000+SUM(O39,AG39)*100+SUM(I39,AA39)+0.005,1,0)=2,"I",IF(IF(AR39*1000000+SUM(T39,AL39)*10000+SUM(N39,AF39)*100+SUM(H39,Z39)+0.006&gt;AT39*1000000+SUM(V39,AN39)*10000+SUM(P39,AH39)*100+SUM(J39,AB39)+0.004,1,0)+IF(AS39*1000000+SUM(U39,AM39)*10000+SUM(O39,AG39)*100+SUM(I39,AA39)+0.005&gt;AT39*1000000+SUM(V39,AN39)*10000+SUM(P39,AH39)*100+SUM(J39,AB39)+0.004,1,0)+IF(AU39*1000000+SUM(W39,AO39)*10000+SUM(Q39,AI39)*100+SUM(K39,AC39)+0.003&gt;AT39*1000000+SUM(V39,AN39)*10000+SUM(P39,AH39)*100+SUM(J39,AB39)+0.004,1,0)+IF(AV39*1000000+SUM(X39,AP39)*10000+SUM(R39,AJ39)*100+SUM(L39,AD39)+0.002&gt;AT39*1000000+SUM(V39,AN39)*10000+SUM(P39,AH39)*100+SUM(J39,AB39)+0.004,1,0)+IF(AW39*1000000+SUM(Y39,AQ39)*10000+SUM(S39,AK39)*100+SUM(M39,AE39)+0.001&gt;AT39*1000000+SUM(V39,AN39)*10000+SUM(P39,AH39)*100+SUM(J39,AB39)+0.004,1,0)=2,"A",IF(IF(AR39*1000000+SUM(T39,AL39)*10000+SUM(N39,AF39)*100+SUM(H39,Z39)+0.006&gt;AU39*1000000+SUM(W39,AO39)*10000+SUM(Q39,AI39)*100+SUM(K39,AC39)+0.003,1,0)+IF(AS39*1000000+SUM(U39,AM39)*10000+SUM(O39,AG39)*100+SUM(I39,AA39)+0.005&gt;AU39*1000000+SUM(W39,AO39)*10000+SUM(Q39,AI39)*100+SUM(K39,AC39)+0.003,1,0)+IF(AT39*1000000+SUM(V39,AN39)*10000+SUM(P39,AH39)*100+SUM(J39,AB39)+0.004&gt;AU39*1000000+SUM(W39,AO39)*10000+SUM(Q39,AI39)*100+SUM(K39,AC39)+0.003,1,0)+IF(AV39*1000000+SUM(X39,AP39)*10000+SUM(R39,AJ39)*100+SUM(L39,AD39)+0.002&gt;AU39*1000000+SUM(W39,AO39)*10000+SUM(Q39,AI39)*100+SUM(K39,AC39)+0.003,1,0)+IF(AW39*1000000+SUM(Y39,AQ39)*10000+SUM(S39,AK39)*100+SUM(M39,AE39)+0.001&gt;AU39*1000000+SUM(W39,AO39)*10000+SUM(Q39,AI39)*100+SUM(K39,AC39)+0.003,1,0)=2,"S",IF(IF(AR39*1000000+SUM(T39,AL39)*10000+SUM(N39,AF39)*100+SUM(H39,Z39)+0.006&gt;AV39*1000000+SUM(X39,AP39)*10000+SUM(R39,AJ39)*100+SUM(L39,AD39)+0.002,1,0)+IF(AS39*1000000+SUM(U39,AM39)*10000+SUM(O39,AG39)*100+SUM(I39,AA39)+0.005&gt;AV39*1000000+SUM(X39,AP39)*10000+SUM(R39,AJ39)*100+SUM(L39,AD39)+0.002,1,0)+IF(AT39*1000000+SUM(V39,AN39)*10000+SUM(P39,AH39)*100+SUM(J39,AB39)+0.004&gt;AV39*1000000+SUM(X39,AP39)*10000+SUM(R39,AJ39)*100+SUM(L39,AD39)+0.002,1,0)+IF(AU39*1000000+SUM(W39,AO39)*10000+SUM(Q39,AI39)*100+SUM(K39,AC39)+0.003&gt;AV39*1000000+SUM(X39,AP39)*10000+SUM(R39,AJ39)*100+SUM(L39,AD39)+0.002,1,0)+IF(AW39*1000000+SUM(Y39,AQ39)*10000+SUM(S39,AK39)*100+SUM(M39,AE39)+0.001&gt;AV39*1000000+SUM(X39,AP39)*10000+SUM(R39,AJ39)*100+SUM(L39,AD39)+0.002,1,0)=2,"E",IF(IF(AR39*1000000+SUM(T39,AL39)*10000+SUM(N39,AF39)*100+SUM(H39,Z39)+0.006&gt;AW39*1000000+SUM(Y39,AQ39)*10000+SUM(S39,AK39)*100+SUM(M39,AE39)+0.001,1,0)+IF(AS39*1000000+SUM(U39,AM39)*10000+SUM(O39,AG39)*100+SUM(I39,AA39)+0.005&gt;AW39*1000000+SUM(Y39,AQ39)*10000+SUM(S39,AK39)*100+SUM(M39,AE39)+0.001,1,0)+IF(AT39*1000000+SUM(V39,AN39)*10000+SUM(P39,AH39)*100+SUM(J39,AB39)+0.004&gt;AW39*1000000+SUM(Y39,AQ39)*10000+SUM(S39,AK39)*100+SUM(M39,AE39)+0.001,1,0)+IF(AU39*1000000+SUM(W39,AO39)*10000+SUM(Q39,AI39)*100+SUM(K39,AC39)+0.003&gt;AW39*1000000+SUM(Y39,AQ39)*10000+SUM(S39,AK39)*100+SUM(M39,AE39)+0.001,1,0)+IF(AV39*1000000+SUM(X39,AP39)*10000+SUM(R39,AJ39)*100+SUM(L39,AD39)+0.002&gt;AW39*1000000+SUM(Y39,AQ39)*10000+SUM(S39,AK39)*100+SUM(M39,AE39)+0.001,1,0)=2,"C","")))))))</x:f>
      </x:c>
      <x:c r="AY39" s="27" t="str">
        <x:f>IF(C39="","",IF(LEFT(AX39,1)="R","นักปฏิบัติ",IF(LEFT(AX39,1)="I","นักคิดวิเคราะห์",IF(LEFT(AX39,1)="A","นักสร้างสรรค์",IF(LEFT(AX39,1)="S","ผู้เข้าใจผู้คน",IF(LEFT(AX39,1)="E","ผู้นำการเปลี่ยนแปลง","ผู้จัดระบบ"))))))</x:f>
      </x:c>
    </x:row>
    <x:row r="40">
      <x:c r="A40" s="27"/>
      <x:c r="B40" s="28"/>
      <x:c r="C40" s="27"/>
      <x:c r="D40" s="27"/>
      <x:c r="E40" s="27"/>
      <x:c r="F40" s="27"/>
      <x:c r="G40" s="27"/>
      <x:c r="H40" s="27"/>
      <x:c r="I40" s="27"/>
      <x:c r="J40" s="27"/>
      <x:c r="K40" s="27"/>
      <x:c r="L40" s="27"/>
      <x:c r="M40" s="27"/>
      <x:c r="N40" s="27"/>
      <x:c r="O40" s="27"/>
      <x:c r="P40" s="27"/>
      <x:c r="Q40" s="27"/>
      <x:c r="R40" s="27"/>
      <x:c r="S40" s="27"/>
      <x:c r="T40" s="27"/>
      <x:c r="U40" s="27"/>
      <x:c r="V40" s="27"/>
      <x:c r="W40" s="27"/>
      <x:c r="X40" s="27"/>
      <x:c r="Y40" s="27"/>
      <x:c r="Z40" s="27"/>
      <x:c r="AA40" s="27"/>
      <x:c r="AB40" s="27"/>
      <x:c r="AC40" s="27"/>
      <x:c r="AD40" s="27"/>
      <x:c r="AE40" s="27"/>
      <x:c r="AF40" s="27"/>
      <x:c r="AG40" s="27"/>
      <x:c r="AH40" s="27"/>
      <x:c r="AI40" s="27"/>
      <x:c r="AJ40" s="27"/>
      <x:c r="AK40" s="27"/>
      <x:c r="AL40" s="27"/>
      <x:c r="AM40" s="27"/>
      <x:c r="AN40" s="27"/>
      <x:c r="AO40" s="27"/>
      <x:c r="AP40" s="27"/>
      <x:c r="AQ40" s="27"/>
      <x:c r="AR40" s="27" t="str">
        <x:f>IF(C40="","",SUM(H40,N40,T40,Z40,AF40,AL40))</x:f>
      </x:c>
      <x:c r="AS40" s="27" t="str">
        <x:f>IF(C40="","",SUM(I40,O40,U40,AA40,AG40,AM40))</x:f>
      </x:c>
      <x:c r="AT40" s="27" t="str">
        <x:f>IF(C40="","",SUM(J40,P40,V40,AB40,AH40,AN40))</x:f>
      </x:c>
      <x:c r="AU40" s="27" t="str">
        <x:f>IF(C40="","",SUM(K40,Q40,W40,AC40,AI40,AO40))</x:f>
      </x:c>
      <x:c r="AV40" s="27" t="str">
        <x:f>IF(C40="","",SUM(L40,R40,X40,AD40,AJ40,AP40))</x:f>
      </x:c>
      <x:c r="AW40" s="27" t="str">
        <x:f>IF(C40="","",SUM(M40,S40,Y40,AE40,AK40,AQ40))</x:f>
      </x:c>
      <x:c r="AX40" s="27" t="str">
        <x:f>IF(C40="","",IF(IF(AS40*1000000+SUM(U40,AM40)*10000+SUM(O40,AG40)*100+SUM(I40,AA40)+0.005&gt;AR40*1000000+SUM(T40,AL40)*10000+SUM(N40,AF40)*100+SUM(H40,Z40)+0.006,1,0)+IF(AT40*1000000+SUM(V40,AN40)*10000+SUM(P40,AH40)*100+SUM(J40,AB40)+0.004&gt;AR40*1000000+SUM(T40,AL40)*10000+SUM(N40,AF40)*100+SUM(H40,Z40)+0.006,1,0)+IF(AU40*1000000+SUM(W40,AO40)*10000+SUM(Q40,AI40)*100+SUM(K40,AC40)+0.003&gt;AR40*1000000+SUM(T40,AL40)*10000+SUM(N40,AF40)*100+SUM(H40,Z40)+0.006,1,0)+IF(AV40*1000000+SUM(X40,AP40)*10000+SUM(R40,AJ40)*100+SUM(L40,AD40)+0.002&gt;AR40*1000000+SUM(T40,AL40)*10000+SUM(N40,AF40)*100+SUM(H40,Z40)+0.006,1,0)+IF(AW40*1000000+SUM(Y40,AQ40)*10000+SUM(S40,AK40)*100+SUM(M40,AE40)+0.001&gt;AR40*1000000+SUM(T40,AL40)*10000+SUM(N40,AF40)*100+SUM(H40,Z40)+0.006,1,0)=0,"R",IF(IF(AR40*1000000+SUM(T40,AL40)*10000+SUM(N40,AF40)*100+SUM(H40,Z40)+0.006&gt;AS40*1000000+SUM(U40,AM40)*10000+SUM(O40,AG40)*100+SUM(I40,AA40)+0.005,1,0)+IF(AT40*1000000+SUM(V40,AN40)*10000+SUM(P40,AH40)*100+SUM(J40,AB40)+0.004&gt;AS40*1000000+SUM(U40,AM40)*10000+SUM(O40,AG40)*100+SUM(I40,AA40)+0.005,1,0)+IF(AU40*1000000+SUM(W40,AO40)*10000+SUM(Q40,AI40)*100+SUM(K40,AC40)+0.003&gt;AS40*1000000+SUM(U40,AM40)*10000+SUM(O40,AG40)*100+SUM(I40,AA40)+0.005,1,0)+IF(AV40*1000000+SUM(X40,AP40)*10000+SUM(R40,AJ40)*100+SUM(L40,AD40)+0.002&gt;AS40*1000000+SUM(U40,AM40)*10000+SUM(O40,AG40)*100+SUM(I40,AA40)+0.005,1,0)+IF(AW40*1000000+SUM(Y40,AQ40)*10000+SUM(S40,AK40)*100+SUM(M40,AE40)+0.001&gt;AS40*1000000+SUM(U40,AM40)*10000+SUM(O40,AG40)*100+SUM(I40,AA40)+0.005,1,0)=0,"I",IF(IF(AR40*1000000+SUM(T40,AL40)*10000+SUM(N40,AF40)*100+SUM(H40,Z40)+0.006&gt;AT40*1000000+SUM(V40,AN40)*10000+SUM(P40,AH40)*100+SUM(J40,AB40)+0.004,1,0)+IF(AS40*1000000+SUM(U40,AM40)*10000+SUM(O40,AG40)*100+SUM(I40,AA40)+0.005&gt;AT40*1000000+SUM(V40,AN40)*10000+SUM(P40,AH40)*100+SUM(J40,AB40)+0.004,1,0)+IF(AU40*1000000+SUM(W40,AO40)*10000+SUM(Q40,AI40)*100+SUM(K40,AC40)+0.003&gt;AT40*1000000+SUM(V40,AN40)*10000+SUM(P40,AH40)*100+SUM(J40,AB40)+0.004,1,0)+IF(AV40*1000000+SUM(X40,AP40)*10000+SUM(R40,AJ40)*100+SUM(L40,AD40)+0.002&gt;AT40*1000000+SUM(V40,AN40)*10000+SUM(P40,AH40)*100+SUM(J40,AB40)+0.004,1,0)+IF(AW40*1000000+SUM(Y40,AQ40)*10000+SUM(S40,AK40)*100+SUM(M40,AE40)+0.001&gt;AT40*1000000+SUM(V40,AN40)*10000+SUM(P40,AH40)*100+SUM(J40,AB40)+0.004,1,0)=0,"A",IF(IF(AR40*1000000+SUM(T40,AL40)*10000+SUM(N40,AF40)*100+SUM(H40,Z40)+0.006&gt;AU40*1000000+SUM(W40,AO40)*10000+SUM(Q40,AI40)*100+SUM(K40,AC40)+0.003,1,0)+IF(AS40*1000000+SUM(U40,AM40)*10000+SUM(O40,AG40)*100+SUM(I40,AA40)+0.005&gt;AU40*1000000+SUM(W40,AO40)*10000+SUM(Q40,AI40)*100+SUM(K40,AC40)+0.003,1,0)+IF(AT40*1000000+SUM(V40,AN40)*10000+SUM(P40,AH40)*100+SUM(J40,AB40)+0.004&gt;AU40*1000000+SUM(W40,AO40)*10000+SUM(Q40,AI40)*100+SUM(K40,AC40)+0.003,1,0)+IF(AV40*1000000+SUM(X40,AP40)*10000+SUM(R40,AJ40)*100+SUM(L40,AD40)+0.002&gt;AU40*1000000+SUM(W40,AO40)*10000+SUM(Q40,AI40)*100+SUM(K40,AC40)+0.003,1,0)+IF(AW40*1000000+SUM(Y40,AQ40)*10000+SUM(S40,AK40)*100+SUM(M40,AE40)+0.001&gt;AU40*1000000+SUM(W40,AO40)*10000+SUM(Q40,AI40)*100+SUM(K40,AC40)+0.003,1,0)=0,"S",IF(IF(AR40*1000000+SUM(T40,AL40)*10000+SUM(N40,AF40)*100+SUM(H40,Z40)+0.006&gt;AV40*1000000+SUM(X40,AP40)*10000+SUM(R40,AJ40)*100+SUM(L40,AD40)+0.002,1,0)+IF(AS40*1000000+SUM(U40,AM40)*10000+SUM(O40,AG40)*100+SUM(I40,AA40)+0.005&gt;AV40*1000000+SUM(X40,AP40)*10000+SUM(R40,AJ40)*100+SUM(L40,AD40)+0.002,1,0)+IF(AT40*1000000+SUM(V40,AN40)*10000+SUM(P40,AH40)*100+SUM(J40,AB40)+0.004&gt;AV40*1000000+SUM(X40,AP40)*10000+SUM(R40,AJ40)*100+SUM(L40,AD40)+0.002,1,0)+IF(AU40*1000000+SUM(W40,AO40)*10000+SUM(Q40,AI40)*100+SUM(K40,AC40)+0.003&gt;AV40*1000000+SUM(X40,AP40)*10000+SUM(R40,AJ40)*100+SUM(L40,AD40)+0.002,1,0)+IF(AW40*1000000+SUM(Y40,AQ40)*10000+SUM(S40,AK40)*100+SUM(M40,AE40)+0.001&gt;AV40*1000000+SUM(X40,AP40)*10000+SUM(R40,AJ40)*100+SUM(L40,AD40)+0.002,1,0)=0,"E",IF(IF(AR40*1000000+SUM(T40,AL40)*10000+SUM(N40,AF40)*100+SUM(H40,Z40)+0.006&gt;AW40*1000000+SUM(Y40,AQ40)*10000+SUM(S40,AK40)*100+SUM(M40,AE40)+0.001,1,0)+IF(AS40*1000000+SUM(U40,AM40)*10000+SUM(O40,AG40)*100+SUM(I40,AA40)+0.005&gt;AW40*1000000+SUM(Y40,AQ40)*10000+SUM(S40,AK40)*100+SUM(M40,AE40)+0.001,1,0)+IF(AT40*1000000+SUM(V40,AN40)*10000+SUM(P40,AH40)*100+SUM(J40,AB40)+0.004&gt;AW40*1000000+SUM(Y40,AQ40)*10000+SUM(S40,AK40)*100+SUM(M40,AE40)+0.001,1,0)+IF(AU40*1000000+SUM(W40,AO40)*10000+SUM(Q40,AI40)*100+SUM(K40,AC40)+0.003&gt;AW40*1000000+SUM(Y40,AQ40)*10000+SUM(S40,AK40)*100+SUM(M40,AE40)+0.001,1,0)+IF(AV40*1000000+SUM(X40,AP40)*10000+SUM(R40,AJ40)*100+SUM(L40,AD40)+0.002&gt;AW40*1000000+SUM(Y40,AQ40)*10000+SUM(S40,AK40)*100+SUM(M40,AE40)+0.001,1,0)=0,"C",""))))))&amp;IF(IF(AS40*1000000+SUM(U40,AM40)*10000+SUM(O40,AG40)*100+SUM(I40,AA40)+0.005&gt;AR40*1000000+SUM(T40,AL40)*10000+SUM(N40,AF40)*100+SUM(H40,Z40)+0.006,1,0)+IF(AT40*1000000+SUM(V40,AN40)*10000+SUM(P40,AH40)*100+SUM(J40,AB40)+0.004&gt;AR40*1000000+SUM(T40,AL40)*10000+SUM(N40,AF40)*100+SUM(H40,Z40)+0.006,1,0)+IF(AU40*1000000+SUM(W40,AO40)*10000+SUM(Q40,AI40)*100+SUM(K40,AC40)+0.003&gt;AR40*1000000+SUM(T40,AL40)*10000+SUM(N40,AF40)*100+SUM(H40,Z40)+0.006,1,0)+IF(AV40*1000000+SUM(X40,AP40)*10000+SUM(R40,AJ40)*100+SUM(L40,AD40)+0.002&gt;AR40*1000000+SUM(T40,AL40)*10000+SUM(N40,AF40)*100+SUM(H40,Z40)+0.006,1,0)+IF(AW40*1000000+SUM(Y40,AQ40)*10000+SUM(S40,AK40)*100+SUM(M40,AE40)+0.001&gt;AR40*1000000+SUM(T40,AL40)*10000+SUM(N40,AF40)*100+SUM(H40,Z40)+0.006,1,0)=1,"R",IF(IF(AR40*1000000+SUM(T40,AL40)*10000+SUM(N40,AF40)*100+SUM(H40,Z40)+0.006&gt;AS40*1000000+SUM(U40,AM40)*10000+SUM(O40,AG40)*100+SUM(I40,AA40)+0.005,1,0)+IF(AT40*1000000+SUM(V40,AN40)*10000+SUM(P40,AH40)*100+SUM(J40,AB40)+0.004&gt;AS40*1000000+SUM(U40,AM40)*10000+SUM(O40,AG40)*100+SUM(I40,AA40)+0.005,1,0)+IF(AU40*1000000+SUM(W40,AO40)*10000+SUM(Q40,AI40)*100+SUM(K40,AC40)+0.003&gt;AS40*1000000+SUM(U40,AM40)*10000+SUM(O40,AG40)*100+SUM(I40,AA40)+0.005,1,0)+IF(AV40*1000000+SUM(X40,AP40)*10000+SUM(R40,AJ40)*100+SUM(L40,AD40)+0.002&gt;AS40*1000000+SUM(U40,AM40)*10000+SUM(O40,AG40)*100+SUM(I40,AA40)+0.005,1,0)+IF(AW40*1000000+SUM(Y40,AQ40)*10000+SUM(S40,AK40)*100+SUM(M40,AE40)+0.001&gt;AS40*1000000+SUM(U40,AM40)*10000+SUM(O40,AG40)*100+SUM(I40,AA40)+0.005,1,0)=1,"I",IF(IF(AR40*1000000+SUM(T40,AL40)*10000+SUM(N40,AF40)*100+SUM(H40,Z40)+0.006&gt;AT40*1000000+SUM(V40,AN40)*10000+SUM(P40,AH40)*100+SUM(J40,AB40)+0.004,1,0)+IF(AS40*1000000+SUM(U40,AM40)*10000+SUM(O40,AG40)*100+SUM(I40,AA40)+0.005&gt;AT40*1000000+SUM(V40,AN40)*10000+SUM(P40,AH40)*100+SUM(J40,AB40)+0.004,1,0)+IF(AU40*1000000+SUM(W40,AO40)*10000+SUM(Q40,AI40)*100+SUM(K40,AC40)+0.003&gt;AT40*1000000+SUM(V40,AN40)*10000+SUM(P40,AH40)*100+SUM(J40,AB40)+0.004,1,0)+IF(AV40*1000000+SUM(X40,AP40)*10000+SUM(R40,AJ40)*100+SUM(L40,AD40)+0.002&gt;AT40*1000000+SUM(V40,AN40)*10000+SUM(P40,AH40)*100+SUM(J40,AB40)+0.004,1,0)+IF(AW40*1000000+SUM(Y40,AQ40)*10000+SUM(S40,AK40)*100+SUM(M40,AE40)+0.001&gt;AT40*1000000+SUM(V40,AN40)*10000+SUM(P40,AH40)*100+SUM(J40,AB40)+0.004,1,0)=1,"A",IF(IF(AR40*1000000+SUM(T40,AL40)*10000+SUM(N40,AF40)*100+SUM(H40,Z40)+0.006&gt;AU40*1000000+SUM(W40,AO40)*10000+SUM(Q40,AI40)*100+SUM(K40,AC40)+0.003,1,0)+IF(AS40*1000000+SUM(U40,AM40)*10000+SUM(O40,AG40)*100+SUM(I40,AA40)+0.005&gt;AU40*1000000+SUM(W40,AO40)*10000+SUM(Q40,AI40)*100+SUM(K40,AC40)+0.003,1,0)+IF(AT40*1000000+SUM(V40,AN40)*10000+SUM(P40,AH40)*100+SUM(J40,AB40)+0.004&gt;AU40*1000000+SUM(W40,AO40)*10000+SUM(Q40,AI40)*100+SUM(K40,AC40)+0.003,1,0)+IF(AV40*1000000+SUM(X40,AP40)*10000+SUM(R40,AJ40)*100+SUM(L40,AD40)+0.002&gt;AU40*1000000+SUM(W40,AO40)*10000+SUM(Q40,AI40)*100+SUM(K40,AC40)+0.003,1,0)+IF(AW40*1000000+SUM(Y40,AQ40)*10000+SUM(S40,AK40)*100+SUM(M40,AE40)+0.001&gt;AU40*1000000+SUM(W40,AO40)*10000+SUM(Q40,AI40)*100+SUM(K40,AC40)+0.003,1,0)=1,"S",IF(IF(AR40*1000000+SUM(T40,AL40)*10000+SUM(N40,AF40)*100+SUM(H40,Z40)+0.006&gt;AV40*1000000+SUM(X40,AP40)*10000+SUM(R40,AJ40)*100+SUM(L40,AD40)+0.002,1,0)+IF(AS40*1000000+SUM(U40,AM40)*10000+SUM(O40,AG40)*100+SUM(I40,AA40)+0.005&gt;AV40*1000000+SUM(X40,AP40)*10000+SUM(R40,AJ40)*100+SUM(L40,AD40)+0.002,1,0)+IF(AT40*1000000+SUM(V40,AN40)*10000+SUM(P40,AH40)*100+SUM(J40,AB40)+0.004&gt;AV40*1000000+SUM(X40,AP40)*10000+SUM(R40,AJ40)*100+SUM(L40,AD40)+0.002,1,0)+IF(AU40*1000000+SUM(W40,AO40)*10000+SUM(Q40,AI40)*100+SUM(K40,AC40)+0.003&gt;AV40*1000000+SUM(X40,AP40)*10000+SUM(R40,AJ40)*100+SUM(L40,AD40)+0.002,1,0)+IF(AW40*1000000+SUM(Y40,AQ40)*10000+SUM(S40,AK40)*100+SUM(M40,AE40)+0.001&gt;AV40*1000000+SUM(X40,AP40)*10000+SUM(R40,AJ40)*100+SUM(L40,AD40)+0.002,1,0)=1,"E",IF(IF(AR40*1000000+SUM(T40,AL40)*10000+SUM(N40,AF40)*100+SUM(H40,Z40)+0.006&gt;AW40*1000000+SUM(Y40,AQ40)*10000+SUM(S40,AK40)*100+SUM(M40,AE40)+0.001,1,0)+IF(AS40*1000000+SUM(U40,AM40)*10000+SUM(O40,AG40)*100+SUM(I40,AA40)+0.005&gt;AW40*1000000+SUM(Y40,AQ40)*10000+SUM(S40,AK40)*100+SUM(M40,AE40)+0.001,1,0)+IF(AT40*1000000+SUM(V40,AN40)*10000+SUM(P40,AH40)*100+SUM(J40,AB40)+0.004&gt;AW40*1000000+SUM(Y40,AQ40)*10000+SUM(S40,AK40)*100+SUM(M40,AE40)+0.001,1,0)+IF(AU40*1000000+SUM(W40,AO40)*10000+SUM(Q40,AI40)*100+SUM(K40,AC40)+0.003&gt;AW40*1000000+SUM(Y40,AQ40)*10000+SUM(S40,AK40)*100+SUM(M40,AE40)+0.001,1,0)+IF(AV40*1000000+SUM(X40,AP40)*10000+SUM(R40,AJ40)*100+SUM(L40,AD40)+0.002&gt;AW40*1000000+SUM(Y40,AQ40)*10000+SUM(S40,AK40)*100+SUM(M40,AE40)+0.001,1,0)=1,"C",""))))))&amp;IF(IF(AS40*1000000+SUM(U40,AM40)*10000+SUM(O40,AG40)*100+SUM(I40,AA40)+0.005&gt;AR40*1000000+SUM(T40,AL40)*10000+SUM(N40,AF40)*100+SUM(H40,Z40)+0.006,1,0)+IF(AT40*1000000+SUM(V40,AN40)*10000+SUM(P40,AH40)*100+SUM(J40,AB40)+0.004&gt;AR40*1000000+SUM(T40,AL40)*10000+SUM(N40,AF40)*100+SUM(H40,Z40)+0.006,1,0)+IF(AU40*1000000+SUM(W40,AO40)*10000+SUM(Q40,AI40)*100+SUM(K40,AC40)+0.003&gt;AR40*1000000+SUM(T40,AL40)*10000+SUM(N40,AF40)*100+SUM(H40,Z40)+0.006,1,0)+IF(AV40*1000000+SUM(X40,AP40)*10000+SUM(R40,AJ40)*100+SUM(L40,AD40)+0.002&gt;AR40*1000000+SUM(T40,AL40)*10000+SUM(N40,AF40)*100+SUM(H40,Z40)+0.006,1,0)+IF(AW40*1000000+SUM(Y40,AQ40)*10000+SUM(S40,AK40)*100+SUM(M40,AE40)+0.001&gt;AR40*1000000+SUM(T40,AL40)*10000+SUM(N40,AF40)*100+SUM(H40,Z40)+0.006,1,0)=2,"R",IF(IF(AR40*1000000+SUM(T40,AL40)*10000+SUM(N40,AF40)*100+SUM(H40,Z40)+0.006&gt;AS40*1000000+SUM(U40,AM40)*10000+SUM(O40,AG40)*100+SUM(I40,AA40)+0.005,1,0)+IF(AT40*1000000+SUM(V40,AN40)*10000+SUM(P40,AH40)*100+SUM(J40,AB40)+0.004&gt;AS40*1000000+SUM(U40,AM40)*10000+SUM(O40,AG40)*100+SUM(I40,AA40)+0.005,1,0)+IF(AU40*1000000+SUM(W40,AO40)*10000+SUM(Q40,AI40)*100+SUM(K40,AC40)+0.003&gt;AS40*1000000+SUM(U40,AM40)*10000+SUM(O40,AG40)*100+SUM(I40,AA40)+0.005,1,0)+IF(AV40*1000000+SUM(X40,AP40)*10000+SUM(R40,AJ40)*100+SUM(L40,AD40)+0.002&gt;AS40*1000000+SUM(U40,AM40)*10000+SUM(O40,AG40)*100+SUM(I40,AA40)+0.005,1,0)+IF(AW40*1000000+SUM(Y40,AQ40)*10000+SUM(S40,AK40)*100+SUM(M40,AE40)+0.001&gt;AS40*1000000+SUM(U40,AM40)*10000+SUM(O40,AG40)*100+SUM(I40,AA40)+0.005,1,0)=2,"I",IF(IF(AR40*1000000+SUM(T40,AL40)*10000+SUM(N40,AF40)*100+SUM(H40,Z40)+0.006&gt;AT40*1000000+SUM(V40,AN40)*10000+SUM(P40,AH40)*100+SUM(J40,AB40)+0.004,1,0)+IF(AS40*1000000+SUM(U40,AM40)*10000+SUM(O40,AG40)*100+SUM(I40,AA40)+0.005&gt;AT40*1000000+SUM(V40,AN40)*10000+SUM(P40,AH40)*100+SUM(J40,AB40)+0.004,1,0)+IF(AU40*1000000+SUM(W40,AO40)*10000+SUM(Q40,AI40)*100+SUM(K40,AC40)+0.003&gt;AT40*1000000+SUM(V40,AN40)*10000+SUM(P40,AH40)*100+SUM(J40,AB40)+0.004,1,0)+IF(AV40*1000000+SUM(X40,AP40)*10000+SUM(R40,AJ40)*100+SUM(L40,AD40)+0.002&gt;AT40*1000000+SUM(V40,AN40)*10000+SUM(P40,AH40)*100+SUM(J40,AB40)+0.004,1,0)+IF(AW40*1000000+SUM(Y40,AQ40)*10000+SUM(S40,AK40)*100+SUM(M40,AE40)+0.001&gt;AT40*1000000+SUM(V40,AN40)*10000+SUM(P40,AH40)*100+SUM(J40,AB40)+0.004,1,0)=2,"A",IF(IF(AR40*1000000+SUM(T40,AL40)*10000+SUM(N40,AF40)*100+SUM(H40,Z40)+0.006&gt;AU40*1000000+SUM(W40,AO40)*10000+SUM(Q40,AI40)*100+SUM(K40,AC40)+0.003,1,0)+IF(AS40*1000000+SUM(U40,AM40)*10000+SUM(O40,AG40)*100+SUM(I40,AA40)+0.005&gt;AU40*1000000+SUM(W40,AO40)*10000+SUM(Q40,AI40)*100+SUM(K40,AC40)+0.003,1,0)+IF(AT40*1000000+SUM(V40,AN40)*10000+SUM(P40,AH40)*100+SUM(J40,AB40)+0.004&gt;AU40*1000000+SUM(W40,AO40)*10000+SUM(Q40,AI40)*100+SUM(K40,AC40)+0.003,1,0)+IF(AV40*1000000+SUM(X40,AP40)*10000+SUM(R40,AJ40)*100+SUM(L40,AD40)+0.002&gt;AU40*1000000+SUM(W40,AO40)*10000+SUM(Q40,AI40)*100+SUM(K40,AC40)+0.003,1,0)+IF(AW40*1000000+SUM(Y40,AQ40)*10000+SUM(S40,AK40)*100+SUM(M40,AE40)+0.001&gt;AU40*1000000+SUM(W40,AO40)*10000+SUM(Q40,AI40)*100+SUM(K40,AC40)+0.003,1,0)=2,"S",IF(IF(AR40*1000000+SUM(T40,AL40)*10000+SUM(N40,AF40)*100+SUM(H40,Z40)+0.006&gt;AV40*1000000+SUM(X40,AP40)*10000+SUM(R40,AJ40)*100+SUM(L40,AD40)+0.002,1,0)+IF(AS40*1000000+SUM(U40,AM40)*10000+SUM(O40,AG40)*100+SUM(I40,AA40)+0.005&gt;AV40*1000000+SUM(X40,AP40)*10000+SUM(R40,AJ40)*100+SUM(L40,AD40)+0.002,1,0)+IF(AT40*1000000+SUM(V40,AN40)*10000+SUM(P40,AH40)*100+SUM(J40,AB40)+0.004&gt;AV40*1000000+SUM(X40,AP40)*10000+SUM(R40,AJ40)*100+SUM(L40,AD40)+0.002,1,0)+IF(AU40*1000000+SUM(W40,AO40)*10000+SUM(Q40,AI40)*100+SUM(K40,AC40)+0.003&gt;AV40*1000000+SUM(X40,AP40)*10000+SUM(R40,AJ40)*100+SUM(L40,AD40)+0.002,1,0)+IF(AW40*1000000+SUM(Y40,AQ40)*10000+SUM(S40,AK40)*100+SUM(M40,AE40)+0.001&gt;AV40*1000000+SUM(X40,AP40)*10000+SUM(R40,AJ40)*100+SUM(L40,AD40)+0.002,1,0)=2,"E",IF(IF(AR40*1000000+SUM(T40,AL40)*10000+SUM(N40,AF40)*100+SUM(H40,Z40)+0.006&gt;AW40*1000000+SUM(Y40,AQ40)*10000+SUM(S40,AK40)*100+SUM(M40,AE40)+0.001,1,0)+IF(AS40*1000000+SUM(U40,AM40)*10000+SUM(O40,AG40)*100+SUM(I40,AA40)+0.005&gt;AW40*1000000+SUM(Y40,AQ40)*10000+SUM(S40,AK40)*100+SUM(M40,AE40)+0.001,1,0)+IF(AT40*1000000+SUM(V40,AN40)*10000+SUM(P40,AH40)*100+SUM(J40,AB40)+0.004&gt;AW40*1000000+SUM(Y40,AQ40)*10000+SUM(S40,AK40)*100+SUM(M40,AE40)+0.001,1,0)+IF(AU40*1000000+SUM(W40,AO40)*10000+SUM(Q40,AI40)*100+SUM(K40,AC40)+0.003&gt;AW40*1000000+SUM(Y40,AQ40)*10000+SUM(S40,AK40)*100+SUM(M40,AE40)+0.001,1,0)+IF(AV40*1000000+SUM(X40,AP40)*10000+SUM(R40,AJ40)*100+SUM(L40,AD40)+0.002&gt;AW40*1000000+SUM(Y40,AQ40)*10000+SUM(S40,AK40)*100+SUM(M40,AE40)+0.001,1,0)=2,"C","")))))))</x:f>
      </x:c>
      <x:c r="AY40" s="27" t="str">
        <x:f>IF(C40="","",IF(LEFT(AX40,1)="R","นักปฏิบัติ",IF(LEFT(AX40,1)="I","นักคิดวิเคราะห์",IF(LEFT(AX40,1)="A","นักสร้างสรรค์",IF(LEFT(AX40,1)="S","ผู้เข้าใจผู้คน",IF(LEFT(AX40,1)="E","ผู้นำการเปลี่ยนแปลง","ผู้จัดระบบ"))))))</x:f>
      </x:c>
    </x:row>
    <x:row r="41">
      <x:c r="A41" s="27"/>
      <x:c r="B41" s="28"/>
      <x:c r="C41" s="27"/>
      <x:c r="D41" s="27"/>
      <x:c r="E41" s="27"/>
      <x:c r="F41" s="27"/>
      <x:c r="G41" s="27"/>
      <x:c r="H41" s="27"/>
      <x:c r="I41" s="27"/>
      <x:c r="J41" s="27"/>
      <x:c r="K41" s="27"/>
      <x:c r="L41" s="27"/>
      <x:c r="M41" s="27"/>
      <x:c r="N41" s="27"/>
      <x:c r="O41" s="27"/>
      <x:c r="P41" s="27"/>
      <x:c r="Q41" s="27"/>
      <x:c r="R41" s="27"/>
      <x:c r="S41" s="27"/>
      <x:c r="T41" s="27"/>
      <x:c r="U41" s="27"/>
      <x:c r="V41" s="27"/>
      <x:c r="W41" s="27"/>
      <x:c r="X41" s="27"/>
      <x:c r="Y41" s="27"/>
      <x:c r="Z41" s="27"/>
      <x:c r="AA41" s="27"/>
      <x:c r="AB41" s="27"/>
      <x:c r="AC41" s="27"/>
      <x:c r="AD41" s="27"/>
      <x:c r="AE41" s="27"/>
      <x:c r="AF41" s="27"/>
      <x:c r="AG41" s="27"/>
      <x:c r="AH41" s="27"/>
      <x:c r="AI41" s="27"/>
      <x:c r="AJ41" s="27"/>
      <x:c r="AK41" s="27"/>
      <x:c r="AL41" s="27"/>
      <x:c r="AM41" s="27"/>
      <x:c r="AN41" s="27"/>
      <x:c r="AO41" s="27"/>
      <x:c r="AP41" s="27"/>
      <x:c r="AQ41" s="27"/>
      <x:c r="AR41" s="27" t="str">
        <x:f>IF(C41="","",SUM(H41,N41,T41,Z41,AF41,AL41))</x:f>
      </x:c>
      <x:c r="AS41" s="27" t="str">
        <x:f>IF(C41="","",SUM(I41,O41,U41,AA41,AG41,AM41))</x:f>
      </x:c>
      <x:c r="AT41" s="27" t="str">
        <x:f>IF(C41="","",SUM(J41,P41,V41,AB41,AH41,AN41))</x:f>
      </x:c>
      <x:c r="AU41" s="27" t="str">
        <x:f>IF(C41="","",SUM(K41,Q41,W41,AC41,AI41,AO41))</x:f>
      </x:c>
      <x:c r="AV41" s="27" t="str">
        <x:f>IF(C41="","",SUM(L41,R41,X41,AD41,AJ41,AP41))</x:f>
      </x:c>
      <x:c r="AW41" s="27" t="str">
        <x:f>IF(C41="","",SUM(M41,S41,Y41,AE41,AK41,AQ41))</x:f>
      </x:c>
      <x:c r="AX41" s="27" t="str">
        <x:f>IF(C41="","",IF(IF(AS41*1000000+SUM(U41,AM41)*10000+SUM(O41,AG41)*100+SUM(I41,AA41)+0.005&gt;AR41*1000000+SUM(T41,AL41)*10000+SUM(N41,AF41)*100+SUM(H41,Z41)+0.006,1,0)+IF(AT41*1000000+SUM(V41,AN41)*10000+SUM(P41,AH41)*100+SUM(J41,AB41)+0.004&gt;AR41*1000000+SUM(T41,AL41)*10000+SUM(N41,AF41)*100+SUM(H41,Z41)+0.006,1,0)+IF(AU41*1000000+SUM(W41,AO41)*10000+SUM(Q41,AI41)*100+SUM(K41,AC41)+0.003&gt;AR41*1000000+SUM(T41,AL41)*10000+SUM(N41,AF41)*100+SUM(H41,Z41)+0.006,1,0)+IF(AV41*1000000+SUM(X41,AP41)*10000+SUM(R41,AJ41)*100+SUM(L41,AD41)+0.002&gt;AR41*1000000+SUM(T41,AL41)*10000+SUM(N41,AF41)*100+SUM(H41,Z41)+0.006,1,0)+IF(AW41*1000000+SUM(Y41,AQ41)*10000+SUM(S41,AK41)*100+SUM(M41,AE41)+0.001&gt;AR41*1000000+SUM(T41,AL41)*10000+SUM(N41,AF41)*100+SUM(H41,Z41)+0.006,1,0)=0,"R",IF(IF(AR41*1000000+SUM(T41,AL41)*10000+SUM(N41,AF41)*100+SUM(H41,Z41)+0.006&gt;AS41*1000000+SUM(U41,AM41)*10000+SUM(O41,AG41)*100+SUM(I41,AA41)+0.005,1,0)+IF(AT41*1000000+SUM(V41,AN41)*10000+SUM(P41,AH41)*100+SUM(J41,AB41)+0.004&gt;AS41*1000000+SUM(U41,AM41)*10000+SUM(O41,AG41)*100+SUM(I41,AA41)+0.005,1,0)+IF(AU41*1000000+SUM(W41,AO41)*10000+SUM(Q41,AI41)*100+SUM(K41,AC41)+0.003&gt;AS41*1000000+SUM(U41,AM41)*10000+SUM(O41,AG41)*100+SUM(I41,AA41)+0.005,1,0)+IF(AV41*1000000+SUM(X41,AP41)*10000+SUM(R41,AJ41)*100+SUM(L41,AD41)+0.002&gt;AS41*1000000+SUM(U41,AM41)*10000+SUM(O41,AG41)*100+SUM(I41,AA41)+0.005,1,0)+IF(AW41*1000000+SUM(Y41,AQ41)*10000+SUM(S41,AK41)*100+SUM(M41,AE41)+0.001&gt;AS41*1000000+SUM(U41,AM41)*10000+SUM(O41,AG41)*100+SUM(I41,AA41)+0.005,1,0)=0,"I",IF(IF(AR41*1000000+SUM(T41,AL41)*10000+SUM(N41,AF41)*100+SUM(H41,Z41)+0.006&gt;AT41*1000000+SUM(V41,AN41)*10000+SUM(P41,AH41)*100+SUM(J41,AB41)+0.004,1,0)+IF(AS41*1000000+SUM(U41,AM41)*10000+SUM(O41,AG41)*100+SUM(I41,AA41)+0.005&gt;AT41*1000000+SUM(V41,AN41)*10000+SUM(P41,AH41)*100+SUM(J41,AB41)+0.004,1,0)+IF(AU41*1000000+SUM(W41,AO41)*10000+SUM(Q41,AI41)*100+SUM(K41,AC41)+0.003&gt;AT41*1000000+SUM(V41,AN41)*10000+SUM(P41,AH41)*100+SUM(J41,AB41)+0.004,1,0)+IF(AV41*1000000+SUM(X41,AP41)*10000+SUM(R41,AJ41)*100+SUM(L41,AD41)+0.002&gt;AT41*1000000+SUM(V41,AN41)*10000+SUM(P41,AH41)*100+SUM(J41,AB41)+0.004,1,0)+IF(AW41*1000000+SUM(Y41,AQ41)*10000+SUM(S41,AK41)*100+SUM(M41,AE41)+0.001&gt;AT41*1000000+SUM(V41,AN41)*10000+SUM(P41,AH41)*100+SUM(J41,AB41)+0.004,1,0)=0,"A",IF(IF(AR41*1000000+SUM(T41,AL41)*10000+SUM(N41,AF41)*100+SUM(H41,Z41)+0.006&gt;AU41*1000000+SUM(W41,AO41)*10000+SUM(Q41,AI41)*100+SUM(K41,AC41)+0.003,1,0)+IF(AS41*1000000+SUM(U41,AM41)*10000+SUM(O41,AG41)*100+SUM(I41,AA41)+0.005&gt;AU41*1000000+SUM(W41,AO41)*10000+SUM(Q41,AI41)*100+SUM(K41,AC41)+0.003,1,0)+IF(AT41*1000000+SUM(V41,AN41)*10000+SUM(P41,AH41)*100+SUM(J41,AB41)+0.004&gt;AU41*1000000+SUM(W41,AO41)*10000+SUM(Q41,AI41)*100+SUM(K41,AC41)+0.003,1,0)+IF(AV41*1000000+SUM(X41,AP41)*10000+SUM(R41,AJ41)*100+SUM(L41,AD41)+0.002&gt;AU41*1000000+SUM(W41,AO41)*10000+SUM(Q41,AI41)*100+SUM(K41,AC41)+0.003,1,0)+IF(AW41*1000000+SUM(Y41,AQ41)*10000+SUM(S41,AK41)*100+SUM(M41,AE41)+0.001&gt;AU41*1000000+SUM(W41,AO41)*10000+SUM(Q41,AI41)*100+SUM(K41,AC41)+0.003,1,0)=0,"S",IF(IF(AR41*1000000+SUM(T41,AL41)*10000+SUM(N41,AF41)*100+SUM(H41,Z41)+0.006&gt;AV41*1000000+SUM(X41,AP41)*10000+SUM(R41,AJ41)*100+SUM(L41,AD41)+0.002,1,0)+IF(AS41*1000000+SUM(U41,AM41)*10000+SUM(O41,AG41)*100+SUM(I41,AA41)+0.005&gt;AV41*1000000+SUM(X41,AP41)*10000+SUM(R41,AJ41)*100+SUM(L41,AD41)+0.002,1,0)+IF(AT41*1000000+SUM(V41,AN41)*10000+SUM(P41,AH41)*100+SUM(J41,AB41)+0.004&gt;AV41*1000000+SUM(X41,AP41)*10000+SUM(R41,AJ41)*100+SUM(L41,AD41)+0.002,1,0)+IF(AU41*1000000+SUM(W41,AO41)*10000+SUM(Q41,AI41)*100+SUM(K41,AC41)+0.003&gt;AV41*1000000+SUM(X41,AP41)*10000+SUM(R41,AJ41)*100+SUM(L41,AD41)+0.002,1,0)+IF(AW41*1000000+SUM(Y41,AQ41)*10000+SUM(S41,AK41)*100+SUM(M41,AE41)+0.001&gt;AV41*1000000+SUM(X41,AP41)*10000+SUM(R41,AJ41)*100+SUM(L41,AD41)+0.002,1,0)=0,"E",IF(IF(AR41*1000000+SUM(T41,AL41)*10000+SUM(N41,AF41)*100+SUM(H41,Z41)+0.006&gt;AW41*1000000+SUM(Y41,AQ41)*10000+SUM(S41,AK41)*100+SUM(M41,AE41)+0.001,1,0)+IF(AS41*1000000+SUM(U41,AM41)*10000+SUM(O41,AG41)*100+SUM(I41,AA41)+0.005&gt;AW41*1000000+SUM(Y41,AQ41)*10000+SUM(S41,AK41)*100+SUM(M41,AE41)+0.001,1,0)+IF(AT41*1000000+SUM(V41,AN41)*10000+SUM(P41,AH41)*100+SUM(J41,AB41)+0.004&gt;AW41*1000000+SUM(Y41,AQ41)*10000+SUM(S41,AK41)*100+SUM(M41,AE41)+0.001,1,0)+IF(AU41*1000000+SUM(W41,AO41)*10000+SUM(Q41,AI41)*100+SUM(K41,AC41)+0.003&gt;AW41*1000000+SUM(Y41,AQ41)*10000+SUM(S41,AK41)*100+SUM(M41,AE41)+0.001,1,0)+IF(AV41*1000000+SUM(X41,AP41)*10000+SUM(R41,AJ41)*100+SUM(L41,AD41)+0.002&gt;AW41*1000000+SUM(Y41,AQ41)*10000+SUM(S41,AK41)*100+SUM(M41,AE41)+0.001,1,0)=0,"C",""))))))&amp;IF(IF(AS41*1000000+SUM(U41,AM41)*10000+SUM(O41,AG41)*100+SUM(I41,AA41)+0.005&gt;AR41*1000000+SUM(T41,AL41)*10000+SUM(N41,AF41)*100+SUM(H41,Z41)+0.006,1,0)+IF(AT41*1000000+SUM(V41,AN41)*10000+SUM(P41,AH41)*100+SUM(J41,AB41)+0.004&gt;AR41*1000000+SUM(T41,AL41)*10000+SUM(N41,AF41)*100+SUM(H41,Z41)+0.006,1,0)+IF(AU41*1000000+SUM(W41,AO41)*10000+SUM(Q41,AI41)*100+SUM(K41,AC41)+0.003&gt;AR41*1000000+SUM(T41,AL41)*10000+SUM(N41,AF41)*100+SUM(H41,Z41)+0.006,1,0)+IF(AV41*1000000+SUM(X41,AP41)*10000+SUM(R41,AJ41)*100+SUM(L41,AD41)+0.002&gt;AR41*1000000+SUM(T41,AL41)*10000+SUM(N41,AF41)*100+SUM(H41,Z41)+0.006,1,0)+IF(AW41*1000000+SUM(Y41,AQ41)*10000+SUM(S41,AK41)*100+SUM(M41,AE41)+0.001&gt;AR41*1000000+SUM(T41,AL41)*10000+SUM(N41,AF41)*100+SUM(H41,Z41)+0.006,1,0)=1,"R",IF(IF(AR41*1000000+SUM(T41,AL41)*10000+SUM(N41,AF41)*100+SUM(H41,Z41)+0.006&gt;AS41*1000000+SUM(U41,AM41)*10000+SUM(O41,AG41)*100+SUM(I41,AA41)+0.005,1,0)+IF(AT41*1000000+SUM(V41,AN41)*10000+SUM(P41,AH41)*100+SUM(J41,AB41)+0.004&gt;AS41*1000000+SUM(U41,AM41)*10000+SUM(O41,AG41)*100+SUM(I41,AA41)+0.005,1,0)+IF(AU41*1000000+SUM(W41,AO41)*10000+SUM(Q41,AI41)*100+SUM(K41,AC41)+0.003&gt;AS41*1000000+SUM(U41,AM41)*10000+SUM(O41,AG41)*100+SUM(I41,AA41)+0.005,1,0)+IF(AV41*1000000+SUM(X41,AP41)*10000+SUM(R41,AJ41)*100+SUM(L41,AD41)+0.002&gt;AS41*1000000+SUM(U41,AM41)*10000+SUM(O41,AG41)*100+SUM(I41,AA41)+0.005,1,0)+IF(AW41*1000000+SUM(Y41,AQ41)*10000+SUM(S41,AK41)*100+SUM(M41,AE41)+0.001&gt;AS41*1000000+SUM(U41,AM41)*10000+SUM(O41,AG41)*100+SUM(I41,AA41)+0.005,1,0)=1,"I",IF(IF(AR41*1000000+SUM(T41,AL41)*10000+SUM(N41,AF41)*100+SUM(H41,Z41)+0.006&gt;AT41*1000000+SUM(V41,AN41)*10000+SUM(P41,AH41)*100+SUM(J41,AB41)+0.004,1,0)+IF(AS41*1000000+SUM(U41,AM41)*10000+SUM(O41,AG41)*100+SUM(I41,AA41)+0.005&gt;AT41*1000000+SUM(V41,AN41)*10000+SUM(P41,AH41)*100+SUM(J41,AB41)+0.004,1,0)+IF(AU41*1000000+SUM(W41,AO41)*10000+SUM(Q41,AI41)*100+SUM(K41,AC41)+0.003&gt;AT41*1000000+SUM(V41,AN41)*10000+SUM(P41,AH41)*100+SUM(J41,AB41)+0.004,1,0)+IF(AV41*1000000+SUM(X41,AP41)*10000+SUM(R41,AJ41)*100+SUM(L41,AD41)+0.002&gt;AT41*1000000+SUM(V41,AN41)*10000+SUM(P41,AH41)*100+SUM(J41,AB41)+0.004,1,0)+IF(AW41*1000000+SUM(Y41,AQ41)*10000+SUM(S41,AK41)*100+SUM(M41,AE41)+0.001&gt;AT41*1000000+SUM(V41,AN41)*10000+SUM(P41,AH41)*100+SUM(J41,AB41)+0.004,1,0)=1,"A",IF(IF(AR41*1000000+SUM(T41,AL41)*10000+SUM(N41,AF41)*100+SUM(H41,Z41)+0.006&gt;AU41*1000000+SUM(W41,AO41)*10000+SUM(Q41,AI41)*100+SUM(K41,AC41)+0.003,1,0)+IF(AS41*1000000+SUM(U41,AM41)*10000+SUM(O41,AG41)*100+SUM(I41,AA41)+0.005&gt;AU41*1000000+SUM(W41,AO41)*10000+SUM(Q41,AI41)*100+SUM(K41,AC41)+0.003,1,0)+IF(AT41*1000000+SUM(V41,AN41)*10000+SUM(P41,AH41)*100+SUM(J41,AB41)+0.004&gt;AU41*1000000+SUM(W41,AO41)*10000+SUM(Q41,AI41)*100+SUM(K41,AC41)+0.003,1,0)+IF(AV41*1000000+SUM(X41,AP41)*10000+SUM(R41,AJ41)*100+SUM(L41,AD41)+0.002&gt;AU41*1000000+SUM(W41,AO41)*10000+SUM(Q41,AI41)*100+SUM(K41,AC41)+0.003,1,0)+IF(AW41*1000000+SUM(Y41,AQ41)*10000+SUM(S41,AK41)*100+SUM(M41,AE41)+0.001&gt;AU41*1000000+SUM(W41,AO41)*10000+SUM(Q41,AI41)*100+SUM(K41,AC41)+0.003,1,0)=1,"S",IF(IF(AR41*1000000+SUM(T41,AL41)*10000+SUM(N41,AF41)*100+SUM(H41,Z41)+0.006&gt;AV41*1000000+SUM(X41,AP41)*10000+SUM(R41,AJ41)*100+SUM(L41,AD41)+0.002,1,0)+IF(AS41*1000000+SUM(U41,AM41)*10000+SUM(O41,AG41)*100+SUM(I41,AA41)+0.005&gt;AV41*1000000+SUM(X41,AP41)*10000+SUM(R41,AJ41)*100+SUM(L41,AD41)+0.002,1,0)+IF(AT41*1000000+SUM(V41,AN41)*10000+SUM(P41,AH41)*100+SUM(J41,AB41)+0.004&gt;AV41*1000000+SUM(X41,AP41)*10000+SUM(R41,AJ41)*100+SUM(L41,AD41)+0.002,1,0)+IF(AU41*1000000+SUM(W41,AO41)*10000+SUM(Q41,AI41)*100+SUM(K41,AC41)+0.003&gt;AV41*1000000+SUM(X41,AP41)*10000+SUM(R41,AJ41)*100+SUM(L41,AD41)+0.002,1,0)+IF(AW41*1000000+SUM(Y41,AQ41)*10000+SUM(S41,AK41)*100+SUM(M41,AE41)+0.001&gt;AV41*1000000+SUM(X41,AP41)*10000+SUM(R41,AJ41)*100+SUM(L41,AD41)+0.002,1,0)=1,"E",IF(IF(AR41*1000000+SUM(T41,AL41)*10000+SUM(N41,AF41)*100+SUM(H41,Z41)+0.006&gt;AW41*1000000+SUM(Y41,AQ41)*10000+SUM(S41,AK41)*100+SUM(M41,AE41)+0.001,1,0)+IF(AS41*1000000+SUM(U41,AM41)*10000+SUM(O41,AG41)*100+SUM(I41,AA41)+0.005&gt;AW41*1000000+SUM(Y41,AQ41)*10000+SUM(S41,AK41)*100+SUM(M41,AE41)+0.001,1,0)+IF(AT41*1000000+SUM(V41,AN41)*10000+SUM(P41,AH41)*100+SUM(J41,AB41)+0.004&gt;AW41*1000000+SUM(Y41,AQ41)*10000+SUM(S41,AK41)*100+SUM(M41,AE41)+0.001,1,0)+IF(AU41*1000000+SUM(W41,AO41)*10000+SUM(Q41,AI41)*100+SUM(K41,AC41)+0.003&gt;AW41*1000000+SUM(Y41,AQ41)*10000+SUM(S41,AK41)*100+SUM(M41,AE41)+0.001,1,0)+IF(AV41*1000000+SUM(X41,AP41)*10000+SUM(R41,AJ41)*100+SUM(L41,AD41)+0.002&gt;AW41*1000000+SUM(Y41,AQ41)*10000+SUM(S41,AK41)*100+SUM(M41,AE41)+0.001,1,0)=1,"C",""))))))&amp;IF(IF(AS41*1000000+SUM(U41,AM41)*10000+SUM(O41,AG41)*100+SUM(I41,AA41)+0.005&gt;AR41*1000000+SUM(T41,AL41)*10000+SUM(N41,AF41)*100+SUM(H41,Z41)+0.006,1,0)+IF(AT41*1000000+SUM(V41,AN41)*10000+SUM(P41,AH41)*100+SUM(J41,AB41)+0.004&gt;AR41*1000000+SUM(T41,AL41)*10000+SUM(N41,AF41)*100+SUM(H41,Z41)+0.006,1,0)+IF(AU41*1000000+SUM(W41,AO41)*10000+SUM(Q41,AI41)*100+SUM(K41,AC41)+0.003&gt;AR41*1000000+SUM(T41,AL41)*10000+SUM(N41,AF41)*100+SUM(H41,Z41)+0.006,1,0)+IF(AV41*1000000+SUM(X41,AP41)*10000+SUM(R41,AJ41)*100+SUM(L41,AD41)+0.002&gt;AR41*1000000+SUM(T41,AL41)*10000+SUM(N41,AF41)*100+SUM(H41,Z41)+0.006,1,0)+IF(AW41*1000000+SUM(Y41,AQ41)*10000+SUM(S41,AK41)*100+SUM(M41,AE41)+0.001&gt;AR41*1000000+SUM(T41,AL41)*10000+SUM(N41,AF41)*100+SUM(H41,Z41)+0.006,1,0)=2,"R",IF(IF(AR41*1000000+SUM(T41,AL41)*10000+SUM(N41,AF41)*100+SUM(H41,Z41)+0.006&gt;AS41*1000000+SUM(U41,AM41)*10000+SUM(O41,AG41)*100+SUM(I41,AA41)+0.005,1,0)+IF(AT41*1000000+SUM(V41,AN41)*10000+SUM(P41,AH41)*100+SUM(J41,AB41)+0.004&gt;AS41*1000000+SUM(U41,AM41)*10000+SUM(O41,AG41)*100+SUM(I41,AA41)+0.005,1,0)+IF(AU41*1000000+SUM(W41,AO41)*10000+SUM(Q41,AI41)*100+SUM(K41,AC41)+0.003&gt;AS41*1000000+SUM(U41,AM41)*10000+SUM(O41,AG41)*100+SUM(I41,AA41)+0.005,1,0)+IF(AV41*1000000+SUM(X41,AP41)*10000+SUM(R41,AJ41)*100+SUM(L41,AD41)+0.002&gt;AS41*1000000+SUM(U41,AM41)*10000+SUM(O41,AG41)*100+SUM(I41,AA41)+0.005,1,0)+IF(AW41*1000000+SUM(Y41,AQ41)*10000+SUM(S41,AK41)*100+SUM(M41,AE41)+0.001&gt;AS41*1000000+SUM(U41,AM41)*10000+SUM(O41,AG41)*100+SUM(I41,AA41)+0.005,1,0)=2,"I",IF(IF(AR41*1000000+SUM(T41,AL41)*10000+SUM(N41,AF41)*100+SUM(H41,Z41)+0.006&gt;AT41*1000000+SUM(V41,AN41)*10000+SUM(P41,AH41)*100+SUM(J41,AB41)+0.004,1,0)+IF(AS41*1000000+SUM(U41,AM41)*10000+SUM(O41,AG41)*100+SUM(I41,AA41)+0.005&gt;AT41*1000000+SUM(V41,AN41)*10000+SUM(P41,AH41)*100+SUM(J41,AB41)+0.004,1,0)+IF(AU41*1000000+SUM(W41,AO41)*10000+SUM(Q41,AI41)*100+SUM(K41,AC41)+0.003&gt;AT41*1000000+SUM(V41,AN41)*10000+SUM(P41,AH41)*100+SUM(J41,AB41)+0.004,1,0)+IF(AV41*1000000+SUM(X41,AP41)*10000+SUM(R41,AJ41)*100+SUM(L41,AD41)+0.002&gt;AT41*1000000+SUM(V41,AN41)*10000+SUM(P41,AH41)*100+SUM(J41,AB41)+0.004,1,0)+IF(AW41*1000000+SUM(Y41,AQ41)*10000+SUM(S41,AK41)*100+SUM(M41,AE41)+0.001&gt;AT41*1000000+SUM(V41,AN41)*10000+SUM(P41,AH41)*100+SUM(J41,AB41)+0.004,1,0)=2,"A",IF(IF(AR41*1000000+SUM(T41,AL41)*10000+SUM(N41,AF41)*100+SUM(H41,Z41)+0.006&gt;AU41*1000000+SUM(W41,AO41)*10000+SUM(Q41,AI41)*100+SUM(K41,AC41)+0.003,1,0)+IF(AS41*1000000+SUM(U41,AM41)*10000+SUM(O41,AG41)*100+SUM(I41,AA41)+0.005&gt;AU41*1000000+SUM(W41,AO41)*10000+SUM(Q41,AI41)*100+SUM(K41,AC41)+0.003,1,0)+IF(AT41*1000000+SUM(V41,AN41)*10000+SUM(P41,AH41)*100+SUM(J41,AB41)+0.004&gt;AU41*1000000+SUM(W41,AO41)*10000+SUM(Q41,AI41)*100+SUM(K41,AC41)+0.003,1,0)+IF(AV41*1000000+SUM(X41,AP41)*10000+SUM(R41,AJ41)*100+SUM(L41,AD41)+0.002&gt;AU41*1000000+SUM(W41,AO41)*10000+SUM(Q41,AI41)*100+SUM(K41,AC41)+0.003,1,0)+IF(AW41*1000000+SUM(Y41,AQ41)*10000+SUM(S41,AK41)*100+SUM(M41,AE41)+0.001&gt;AU41*1000000+SUM(W41,AO41)*10000+SUM(Q41,AI41)*100+SUM(K41,AC41)+0.003,1,0)=2,"S",IF(IF(AR41*1000000+SUM(T41,AL41)*10000+SUM(N41,AF41)*100+SUM(H41,Z41)+0.006&gt;AV41*1000000+SUM(X41,AP41)*10000+SUM(R41,AJ41)*100+SUM(L41,AD41)+0.002,1,0)+IF(AS41*1000000+SUM(U41,AM41)*10000+SUM(O41,AG41)*100+SUM(I41,AA41)+0.005&gt;AV41*1000000+SUM(X41,AP41)*10000+SUM(R41,AJ41)*100+SUM(L41,AD41)+0.002,1,0)+IF(AT41*1000000+SUM(V41,AN41)*10000+SUM(P41,AH41)*100+SUM(J41,AB41)+0.004&gt;AV41*1000000+SUM(X41,AP41)*10000+SUM(R41,AJ41)*100+SUM(L41,AD41)+0.002,1,0)+IF(AU41*1000000+SUM(W41,AO41)*10000+SUM(Q41,AI41)*100+SUM(K41,AC41)+0.003&gt;AV41*1000000+SUM(X41,AP41)*10000+SUM(R41,AJ41)*100+SUM(L41,AD41)+0.002,1,0)+IF(AW41*1000000+SUM(Y41,AQ41)*10000+SUM(S41,AK41)*100+SUM(M41,AE41)+0.001&gt;AV41*1000000+SUM(X41,AP41)*10000+SUM(R41,AJ41)*100+SUM(L41,AD41)+0.002,1,0)=2,"E",IF(IF(AR41*1000000+SUM(T41,AL41)*10000+SUM(N41,AF41)*100+SUM(H41,Z41)+0.006&gt;AW41*1000000+SUM(Y41,AQ41)*10000+SUM(S41,AK41)*100+SUM(M41,AE41)+0.001,1,0)+IF(AS41*1000000+SUM(U41,AM41)*10000+SUM(O41,AG41)*100+SUM(I41,AA41)+0.005&gt;AW41*1000000+SUM(Y41,AQ41)*10000+SUM(S41,AK41)*100+SUM(M41,AE41)+0.001,1,0)+IF(AT41*1000000+SUM(V41,AN41)*10000+SUM(P41,AH41)*100+SUM(J41,AB41)+0.004&gt;AW41*1000000+SUM(Y41,AQ41)*10000+SUM(S41,AK41)*100+SUM(M41,AE41)+0.001,1,0)+IF(AU41*1000000+SUM(W41,AO41)*10000+SUM(Q41,AI41)*100+SUM(K41,AC41)+0.003&gt;AW41*1000000+SUM(Y41,AQ41)*10000+SUM(S41,AK41)*100+SUM(M41,AE41)+0.001,1,0)+IF(AV41*1000000+SUM(X41,AP41)*10000+SUM(R41,AJ41)*100+SUM(L41,AD41)+0.002&gt;AW41*1000000+SUM(Y41,AQ41)*10000+SUM(S41,AK41)*100+SUM(M41,AE41)+0.001,1,0)=2,"C","")))))))</x:f>
      </x:c>
      <x:c r="AY41" s="27" t="str">
        <x:f>IF(C41="","",IF(LEFT(AX41,1)="R","นักปฏิบัติ",IF(LEFT(AX41,1)="I","นักคิดวิเคราะห์",IF(LEFT(AX41,1)="A","นักสร้างสรรค์",IF(LEFT(AX41,1)="S","ผู้เข้าใจผู้คน",IF(LEFT(AX41,1)="E","ผู้นำการเปลี่ยนแปลง","ผู้จัดระบบ"))))))</x:f>
      </x:c>
    </x:row>
    <x:row r="42">
      <x:c r="A42" s="27"/>
      <x:c r="B42" s="28"/>
      <x:c r="C42" s="27"/>
      <x:c r="D42" s="27"/>
      <x:c r="E42" s="27"/>
      <x:c r="F42" s="27"/>
      <x:c r="G42" s="27"/>
      <x:c r="H42" s="27"/>
      <x:c r="I42" s="27"/>
      <x:c r="J42" s="27"/>
      <x:c r="K42" s="27"/>
      <x:c r="L42" s="27"/>
      <x:c r="M42" s="27"/>
      <x:c r="N42" s="27"/>
      <x:c r="O42" s="27"/>
      <x:c r="P42" s="27"/>
      <x:c r="Q42" s="27"/>
      <x:c r="R42" s="27"/>
      <x:c r="S42" s="27"/>
      <x:c r="T42" s="27"/>
      <x:c r="U42" s="27"/>
      <x:c r="V42" s="27"/>
      <x:c r="W42" s="27"/>
      <x:c r="X42" s="27"/>
      <x:c r="Y42" s="27"/>
      <x:c r="Z42" s="27"/>
      <x:c r="AA42" s="27"/>
      <x:c r="AB42" s="27"/>
      <x:c r="AC42" s="27"/>
      <x:c r="AD42" s="27"/>
      <x:c r="AE42" s="27"/>
      <x:c r="AF42" s="27"/>
      <x:c r="AG42" s="27"/>
      <x:c r="AH42" s="27"/>
      <x:c r="AI42" s="27"/>
      <x:c r="AJ42" s="27"/>
      <x:c r="AK42" s="27"/>
      <x:c r="AL42" s="27"/>
      <x:c r="AM42" s="27"/>
      <x:c r="AN42" s="27"/>
      <x:c r="AO42" s="27"/>
      <x:c r="AP42" s="27"/>
      <x:c r="AQ42" s="27"/>
      <x:c r="AR42" s="27" t="str">
        <x:f>IF(C42="","",SUM(H42,N42,T42,Z42,AF42,AL42))</x:f>
      </x:c>
      <x:c r="AS42" s="27" t="str">
        <x:f>IF(C42="","",SUM(I42,O42,U42,AA42,AG42,AM42))</x:f>
      </x:c>
      <x:c r="AT42" s="27" t="str">
        <x:f>IF(C42="","",SUM(J42,P42,V42,AB42,AH42,AN42))</x:f>
      </x:c>
      <x:c r="AU42" s="27" t="str">
        <x:f>IF(C42="","",SUM(K42,Q42,W42,AC42,AI42,AO42))</x:f>
      </x:c>
      <x:c r="AV42" s="27" t="str">
        <x:f>IF(C42="","",SUM(L42,R42,X42,AD42,AJ42,AP42))</x:f>
      </x:c>
      <x:c r="AW42" s="27" t="str">
        <x:f>IF(C42="","",SUM(M42,S42,Y42,AE42,AK42,AQ42))</x:f>
      </x:c>
      <x:c r="AX42" s="27" t="str">
        <x:f>IF(C42="","",IF(IF(AS42*1000000+SUM(U42,AM42)*10000+SUM(O42,AG42)*100+SUM(I42,AA42)+0.005&gt;AR42*1000000+SUM(T42,AL42)*10000+SUM(N42,AF42)*100+SUM(H42,Z42)+0.006,1,0)+IF(AT42*1000000+SUM(V42,AN42)*10000+SUM(P42,AH42)*100+SUM(J42,AB42)+0.004&gt;AR42*1000000+SUM(T42,AL42)*10000+SUM(N42,AF42)*100+SUM(H42,Z42)+0.006,1,0)+IF(AU42*1000000+SUM(W42,AO42)*10000+SUM(Q42,AI42)*100+SUM(K42,AC42)+0.003&gt;AR42*1000000+SUM(T42,AL42)*10000+SUM(N42,AF42)*100+SUM(H42,Z42)+0.006,1,0)+IF(AV42*1000000+SUM(X42,AP42)*10000+SUM(R42,AJ42)*100+SUM(L42,AD42)+0.002&gt;AR42*1000000+SUM(T42,AL42)*10000+SUM(N42,AF42)*100+SUM(H42,Z42)+0.006,1,0)+IF(AW42*1000000+SUM(Y42,AQ42)*10000+SUM(S42,AK42)*100+SUM(M42,AE42)+0.001&gt;AR42*1000000+SUM(T42,AL42)*10000+SUM(N42,AF42)*100+SUM(H42,Z42)+0.006,1,0)=0,"R",IF(IF(AR42*1000000+SUM(T42,AL42)*10000+SUM(N42,AF42)*100+SUM(H42,Z42)+0.006&gt;AS42*1000000+SUM(U42,AM42)*10000+SUM(O42,AG42)*100+SUM(I42,AA42)+0.005,1,0)+IF(AT42*1000000+SUM(V42,AN42)*10000+SUM(P42,AH42)*100+SUM(J42,AB42)+0.004&gt;AS42*1000000+SUM(U42,AM42)*10000+SUM(O42,AG42)*100+SUM(I42,AA42)+0.005,1,0)+IF(AU42*1000000+SUM(W42,AO42)*10000+SUM(Q42,AI42)*100+SUM(K42,AC42)+0.003&gt;AS42*1000000+SUM(U42,AM42)*10000+SUM(O42,AG42)*100+SUM(I42,AA42)+0.005,1,0)+IF(AV42*1000000+SUM(X42,AP42)*10000+SUM(R42,AJ42)*100+SUM(L42,AD42)+0.002&gt;AS42*1000000+SUM(U42,AM42)*10000+SUM(O42,AG42)*100+SUM(I42,AA42)+0.005,1,0)+IF(AW42*1000000+SUM(Y42,AQ42)*10000+SUM(S42,AK42)*100+SUM(M42,AE42)+0.001&gt;AS42*1000000+SUM(U42,AM42)*10000+SUM(O42,AG42)*100+SUM(I42,AA42)+0.005,1,0)=0,"I",IF(IF(AR42*1000000+SUM(T42,AL42)*10000+SUM(N42,AF42)*100+SUM(H42,Z42)+0.006&gt;AT42*1000000+SUM(V42,AN42)*10000+SUM(P42,AH42)*100+SUM(J42,AB42)+0.004,1,0)+IF(AS42*1000000+SUM(U42,AM42)*10000+SUM(O42,AG42)*100+SUM(I42,AA42)+0.005&gt;AT42*1000000+SUM(V42,AN42)*10000+SUM(P42,AH42)*100+SUM(J42,AB42)+0.004,1,0)+IF(AU42*1000000+SUM(W42,AO42)*10000+SUM(Q42,AI42)*100+SUM(K42,AC42)+0.003&gt;AT42*1000000+SUM(V42,AN42)*10000+SUM(P42,AH42)*100+SUM(J42,AB42)+0.004,1,0)+IF(AV42*1000000+SUM(X42,AP42)*10000+SUM(R42,AJ42)*100+SUM(L42,AD42)+0.002&gt;AT42*1000000+SUM(V42,AN42)*10000+SUM(P42,AH42)*100+SUM(J42,AB42)+0.004,1,0)+IF(AW42*1000000+SUM(Y42,AQ42)*10000+SUM(S42,AK42)*100+SUM(M42,AE42)+0.001&gt;AT42*1000000+SUM(V42,AN42)*10000+SUM(P42,AH42)*100+SUM(J42,AB42)+0.004,1,0)=0,"A",IF(IF(AR42*1000000+SUM(T42,AL42)*10000+SUM(N42,AF42)*100+SUM(H42,Z42)+0.006&gt;AU42*1000000+SUM(W42,AO42)*10000+SUM(Q42,AI42)*100+SUM(K42,AC42)+0.003,1,0)+IF(AS42*1000000+SUM(U42,AM42)*10000+SUM(O42,AG42)*100+SUM(I42,AA42)+0.005&gt;AU42*1000000+SUM(W42,AO42)*10000+SUM(Q42,AI42)*100+SUM(K42,AC42)+0.003,1,0)+IF(AT42*1000000+SUM(V42,AN42)*10000+SUM(P42,AH42)*100+SUM(J42,AB42)+0.004&gt;AU42*1000000+SUM(W42,AO42)*10000+SUM(Q42,AI42)*100+SUM(K42,AC42)+0.003,1,0)+IF(AV42*1000000+SUM(X42,AP42)*10000+SUM(R42,AJ42)*100+SUM(L42,AD42)+0.002&gt;AU42*1000000+SUM(W42,AO42)*10000+SUM(Q42,AI42)*100+SUM(K42,AC42)+0.003,1,0)+IF(AW42*1000000+SUM(Y42,AQ42)*10000+SUM(S42,AK42)*100+SUM(M42,AE42)+0.001&gt;AU42*1000000+SUM(W42,AO42)*10000+SUM(Q42,AI42)*100+SUM(K42,AC42)+0.003,1,0)=0,"S",IF(IF(AR42*1000000+SUM(T42,AL42)*10000+SUM(N42,AF42)*100+SUM(H42,Z42)+0.006&gt;AV42*1000000+SUM(X42,AP42)*10000+SUM(R42,AJ42)*100+SUM(L42,AD42)+0.002,1,0)+IF(AS42*1000000+SUM(U42,AM42)*10000+SUM(O42,AG42)*100+SUM(I42,AA42)+0.005&gt;AV42*1000000+SUM(X42,AP42)*10000+SUM(R42,AJ42)*100+SUM(L42,AD42)+0.002,1,0)+IF(AT42*1000000+SUM(V42,AN42)*10000+SUM(P42,AH42)*100+SUM(J42,AB42)+0.004&gt;AV42*1000000+SUM(X42,AP42)*10000+SUM(R42,AJ42)*100+SUM(L42,AD42)+0.002,1,0)+IF(AU42*1000000+SUM(W42,AO42)*10000+SUM(Q42,AI42)*100+SUM(K42,AC42)+0.003&gt;AV42*1000000+SUM(X42,AP42)*10000+SUM(R42,AJ42)*100+SUM(L42,AD42)+0.002,1,0)+IF(AW42*1000000+SUM(Y42,AQ42)*10000+SUM(S42,AK42)*100+SUM(M42,AE42)+0.001&gt;AV42*1000000+SUM(X42,AP42)*10000+SUM(R42,AJ42)*100+SUM(L42,AD42)+0.002,1,0)=0,"E",IF(IF(AR42*1000000+SUM(T42,AL42)*10000+SUM(N42,AF42)*100+SUM(H42,Z42)+0.006&gt;AW42*1000000+SUM(Y42,AQ42)*10000+SUM(S42,AK42)*100+SUM(M42,AE42)+0.001,1,0)+IF(AS42*1000000+SUM(U42,AM42)*10000+SUM(O42,AG42)*100+SUM(I42,AA42)+0.005&gt;AW42*1000000+SUM(Y42,AQ42)*10000+SUM(S42,AK42)*100+SUM(M42,AE42)+0.001,1,0)+IF(AT42*1000000+SUM(V42,AN42)*10000+SUM(P42,AH42)*100+SUM(J42,AB42)+0.004&gt;AW42*1000000+SUM(Y42,AQ42)*10000+SUM(S42,AK42)*100+SUM(M42,AE42)+0.001,1,0)+IF(AU42*1000000+SUM(W42,AO42)*10000+SUM(Q42,AI42)*100+SUM(K42,AC42)+0.003&gt;AW42*1000000+SUM(Y42,AQ42)*10000+SUM(S42,AK42)*100+SUM(M42,AE42)+0.001,1,0)+IF(AV42*1000000+SUM(X42,AP42)*10000+SUM(R42,AJ42)*100+SUM(L42,AD42)+0.002&gt;AW42*1000000+SUM(Y42,AQ42)*10000+SUM(S42,AK42)*100+SUM(M42,AE42)+0.001,1,0)=0,"C",""))))))&amp;IF(IF(AS42*1000000+SUM(U42,AM42)*10000+SUM(O42,AG42)*100+SUM(I42,AA42)+0.005&gt;AR42*1000000+SUM(T42,AL42)*10000+SUM(N42,AF42)*100+SUM(H42,Z42)+0.006,1,0)+IF(AT42*1000000+SUM(V42,AN42)*10000+SUM(P42,AH42)*100+SUM(J42,AB42)+0.004&gt;AR42*1000000+SUM(T42,AL42)*10000+SUM(N42,AF42)*100+SUM(H42,Z42)+0.006,1,0)+IF(AU42*1000000+SUM(W42,AO42)*10000+SUM(Q42,AI42)*100+SUM(K42,AC42)+0.003&gt;AR42*1000000+SUM(T42,AL42)*10000+SUM(N42,AF42)*100+SUM(H42,Z42)+0.006,1,0)+IF(AV42*1000000+SUM(X42,AP42)*10000+SUM(R42,AJ42)*100+SUM(L42,AD42)+0.002&gt;AR42*1000000+SUM(T42,AL42)*10000+SUM(N42,AF42)*100+SUM(H42,Z42)+0.006,1,0)+IF(AW42*1000000+SUM(Y42,AQ42)*10000+SUM(S42,AK42)*100+SUM(M42,AE42)+0.001&gt;AR42*1000000+SUM(T42,AL42)*10000+SUM(N42,AF42)*100+SUM(H42,Z42)+0.006,1,0)=1,"R",IF(IF(AR42*1000000+SUM(T42,AL42)*10000+SUM(N42,AF42)*100+SUM(H42,Z42)+0.006&gt;AS42*1000000+SUM(U42,AM42)*10000+SUM(O42,AG42)*100+SUM(I42,AA42)+0.005,1,0)+IF(AT42*1000000+SUM(V42,AN42)*10000+SUM(P42,AH42)*100+SUM(J42,AB42)+0.004&gt;AS42*1000000+SUM(U42,AM42)*10000+SUM(O42,AG42)*100+SUM(I42,AA42)+0.005,1,0)+IF(AU42*1000000+SUM(W42,AO42)*10000+SUM(Q42,AI42)*100+SUM(K42,AC42)+0.003&gt;AS42*1000000+SUM(U42,AM42)*10000+SUM(O42,AG42)*100+SUM(I42,AA42)+0.005,1,0)+IF(AV42*1000000+SUM(X42,AP42)*10000+SUM(R42,AJ42)*100+SUM(L42,AD42)+0.002&gt;AS42*1000000+SUM(U42,AM42)*10000+SUM(O42,AG42)*100+SUM(I42,AA42)+0.005,1,0)+IF(AW42*1000000+SUM(Y42,AQ42)*10000+SUM(S42,AK42)*100+SUM(M42,AE42)+0.001&gt;AS42*1000000+SUM(U42,AM42)*10000+SUM(O42,AG42)*100+SUM(I42,AA42)+0.005,1,0)=1,"I",IF(IF(AR42*1000000+SUM(T42,AL42)*10000+SUM(N42,AF42)*100+SUM(H42,Z42)+0.006&gt;AT42*1000000+SUM(V42,AN42)*10000+SUM(P42,AH42)*100+SUM(J42,AB42)+0.004,1,0)+IF(AS42*1000000+SUM(U42,AM42)*10000+SUM(O42,AG42)*100+SUM(I42,AA42)+0.005&gt;AT42*1000000+SUM(V42,AN42)*10000+SUM(P42,AH42)*100+SUM(J42,AB42)+0.004,1,0)+IF(AU42*1000000+SUM(W42,AO42)*10000+SUM(Q42,AI42)*100+SUM(K42,AC42)+0.003&gt;AT42*1000000+SUM(V42,AN42)*10000+SUM(P42,AH42)*100+SUM(J42,AB42)+0.004,1,0)+IF(AV42*1000000+SUM(X42,AP42)*10000+SUM(R42,AJ42)*100+SUM(L42,AD42)+0.002&gt;AT42*1000000+SUM(V42,AN42)*10000+SUM(P42,AH42)*100+SUM(J42,AB42)+0.004,1,0)+IF(AW42*1000000+SUM(Y42,AQ42)*10000+SUM(S42,AK42)*100+SUM(M42,AE42)+0.001&gt;AT42*1000000+SUM(V42,AN42)*10000+SUM(P42,AH42)*100+SUM(J42,AB42)+0.004,1,0)=1,"A",IF(IF(AR42*1000000+SUM(T42,AL42)*10000+SUM(N42,AF42)*100+SUM(H42,Z42)+0.006&gt;AU42*1000000+SUM(W42,AO42)*10000+SUM(Q42,AI42)*100+SUM(K42,AC42)+0.003,1,0)+IF(AS42*1000000+SUM(U42,AM42)*10000+SUM(O42,AG42)*100+SUM(I42,AA42)+0.005&gt;AU42*1000000+SUM(W42,AO42)*10000+SUM(Q42,AI42)*100+SUM(K42,AC42)+0.003,1,0)+IF(AT42*1000000+SUM(V42,AN42)*10000+SUM(P42,AH42)*100+SUM(J42,AB42)+0.004&gt;AU42*1000000+SUM(W42,AO42)*10000+SUM(Q42,AI42)*100+SUM(K42,AC42)+0.003,1,0)+IF(AV42*1000000+SUM(X42,AP42)*10000+SUM(R42,AJ42)*100+SUM(L42,AD42)+0.002&gt;AU42*1000000+SUM(W42,AO42)*10000+SUM(Q42,AI42)*100+SUM(K42,AC42)+0.003,1,0)+IF(AW42*1000000+SUM(Y42,AQ42)*10000+SUM(S42,AK42)*100+SUM(M42,AE42)+0.001&gt;AU42*1000000+SUM(W42,AO42)*10000+SUM(Q42,AI42)*100+SUM(K42,AC42)+0.003,1,0)=1,"S",IF(IF(AR42*1000000+SUM(T42,AL42)*10000+SUM(N42,AF42)*100+SUM(H42,Z42)+0.006&gt;AV42*1000000+SUM(X42,AP42)*10000+SUM(R42,AJ42)*100+SUM(L42,AD42)+0.002,1,0)+IF(AS42*1000000+SUM(U42,AM42)*10000+SUM(O42,AG42)*100+SUM(I42,AA42)+0.005&gt;AV42*1000000+SUM(X42,AP42)*10000+SUM(R42,AJ42)*100+SUM(L42,AD42)+0.002,1,0)+IF(AT42*1000000+SUM(V42,AN42)*10000+SUM(P42,AH42)*100+SUM(J42,AB42)+0.004&gt;AV42*1000000+SUM(X42,AP42)*10000+SUM(R42,AJ42)*100+SUM(L42,AD42)+0.002,1,0)+IF(AU42*1000000+SUM(W42,AO42)*10000+SUM(Q42,AI42)*100+SUM(K42,AC42)+0.003&gt;AV42*1000000+SUM(X42,AP42)*10000+SUM(R42,AJ42)*100+SUM(L42,AD42)+0.002,1,0)+IF(AW42*1000000+SUM(Y42,AQ42)*10000+SUM(S42,AK42)*100+SUM(M42,AE42)+0.001&gt;AV42*1000000+SUM(X42,AP42)*10000+SUM(R42,AJ42)*100+SUM(L42,AD42)+0.002,1,0)=1,"E",IF(IF(AR42*1000000+SUM(T42,AL42)*10000+SUM(N42,AF42)*100+SUM(H42,Z42)+0.006&gt;AW42*1000000+SUM(Y42,AQ42)*10000+SUM(S42,AK42)*100+SUM(M42,AE42)+0.001,1,0)+IF(AS42*1000000+SUM(U42,AM42)*10000+SUM(O42,AG42)*100+SUM(I42,AA42)+0.005&gt;AW42*1000000+SUM(Y42,AQ42)*10000+SUM(S42,AK42)*100+SUM(M42,AE42)+0.001,1,0)+IF(AT42*1000000+SUM(V42,AN42)*10000+SUM(P42,AH42)*100+SUM(J42,AB42)+0.004&gt;AW42*1000000+SUM(Y42,AQ42)*10000+SUM(S42,AK42)*100+SUM(M42,AE42)+0.001,1,0)+IF(AU42*1000000+SUM(W42,AO42)*10000+SUM(Q42,AI42)*100+SUM(K42,AC42)+0.003&gt;AW42*1000000+SUM(Y42,AQ42)*10000+SUM(S42,AK42)*100+SUM(M42,AE42)+0.001,1,0)+IF(AV42*1000000+SUM(X42,AP42)*10000+SUM(R42,AJ42)*100+SUM(L42,AD42)+0.002&gt;AW42*1000000+SUM(Y42,AQ42)*10000+SUM(S42,AK42)*100+SUM(M42,AE42)+0.001,1,0)=1,"C",""))))))&amp;IF(IF(AS42*1000000+SUM(U42,AM42)*10000+SUM(O42,AG42)*100+SUM(I42,AA42)+0.005&gt;AR42*1000000+SUM(T42,AL42)*10000+SUM(N42,AF42)*100+SUM(H42,Z42)+0.006,1,0)+IF(AT42*1000000+SUM(V42,AN42)*10000+SUM(P42,AH42)*100+SUM(J42,AB42)+0.004&gt;AR42*1000000+SUM(T42,AL42)*10000+SUM(N42,AF42)*100+SUM(H42,Z42)+0.006,1,0)+IF(AU42*1000000+SUM(W42,AO42)*10000+SUM(Q42,AI42)*100+SUM(K42,AC42)+0.003&gt;AR42*1000000+SUM(T42,AL42)*10000+SUM(N42,AF42)*100+SUM(H42,Z42)+0.006,1,0)+IF(AV42*1000000+SUM(X42,AP42)*10000+SUM(R42,AJ42)*100+SUM(L42,AD42)+0.002&gt;AR42*1000000+SUM(T42,AL42)*10000+SUM(N42,AF42)*100+SUM(H42,Z42)+0.006,1,0)+IF(AW42*1000000+SUM(Y42,AQ42)*10000+SUM(S42,AK42)*100+SUM(M42,AE42)+0.001&gt;AR42*1000000+SUM(T42,AL42)*10000+SUM(N42,AF42)*100+SUM(H42,Z42)+0.006,1,0)=2,"R",IF(IF(AR42*1000000+SUM(T42,AL42)*10000+SUM(N42,AF42)*100+SUM(H42,Z42)+0.006&gt;AS42*1000000+SUM(U42,AM42)*10000+SUM(O42,AG42)*100+SUM(I42,AA42)+0.005,1,0)+IF(AT42*1000000+SUM(V42,AN42)*10000+SUM(P42,AH42)*100+SUM(J42,AB42)+0.004&gt;AS42*1000000+SUM(U42,AM42)*10000+SUM(O42,AG42)*100+SUM(I42,AA42)+0.005,1,0)+IF(AU42*1000000+SUM(W42,AO42)*10000+SUM(Q42,AI42)*100+SUM(K42,AC42)+0.003&gt;AS42*1000000+SUM(U42,AM42)*10000+SUM(O42,AG42)*100+SUM(I42,AA42)+0.005,1,0)+IF(AV42*1000000+SUM(X42,AP42)*10000+SUM(R42,AJ42)*100+SUM(L42,AD42)+0.002&gt;AS42*1000000+SUM(U42,AM42)*10000+SUM(O42,AG42)*100+SUM(I42,AA42)+0.005,1,0)+IF(AW42*1000000+SUM(Y42,AQ42)*10000+SUM(S42,AK42)*100+SUM(M42,AE42)+0.001&gt;AS42*1000000+SUM(U42,AM42)*10000+SUM(O42,AG42)*100+SUM(I42,AA42)+0.005,1,0)=2,"I",IF(IF(AR42*1000000+SUM(T42,AL42)*10000+SUM(N42,AF42)*100+SUM(H42,Z42)+0.006&gt;AT42*1000000+SUM(V42,AN42)*10000+SUM(P42,AH42)*100+SUM(J42,AB42)+0.004,1,0)+IF(AS42*1000000+SUM(U42,AM42)*10000+SUM(O42,AG42)*100+SUM(I42,AA42)+0.005&gt;AT42*1000000+SUM(V42,AN42)*10000+SUM(P42,AH42)*100+SUM(J42,AB42)+0.004,1,0)+IF(AU42*1000000+SUM(W42,AO42)*10000+SUM(Q42,AI42)*100+SUM(K42,AC42)+0.003&gt;AT42*1000000+SUM(V42,AN42)*10000+SUM(P42,AH42)*100+SUM(J42,AB42)+0.004,1,0)+IF(AV42*1000000+SUM(X42,AP42)*10000+SUM(R42,AJ42)*100+SUM(L42,AD42)+0.002&gt;AT42*1000000+SUM(V42,AN42)*10000+SUM(P42,AH42)*100+SUM(J42,AB42)+0.004,1,0)+IF(AW42*1000000+SUM(Y42,AQ42)*10000+SUM(S42,AK42)*100+SUM(M42,AE42)+0.001&gt;AT42*1000000+SUM(V42,AN42)*10000+SUM(P42,AH42)*100+SUM(J42,AB42)+0.004,1,0)=2,"A",IF(IF(AR42*1000000+SUM(T42,AL42)*10000+SUM(N42,AF42)*100+SUM(H42,Z42)+0.006&gt;AU42*1000000+SUM(W42,AO42)*10000+SUM(Q42,AI42)*100+SUM(K42,AC42)+0.003,1,0)+IF(AS42*1000000+SUM(U42,AM42)*10000+SUM(O42,AG42)*100+SUM(I42,AA42)+0.005&gt;AU42*1000000+SUM(W42,AO42)*10000+SUM(Q42,AI42)*100+SUM(K42,AC42)+0.003,1,0)+IF(AT42*1000000+SUM(V42,AN42)*10000+SUM(P42,AH42)*100+SUM(J42,AB42)+0.004&gt;AU42*1000000+SUM(W42,AO42)*10000+SUM(Q42,AI42)*100+SUM(K42,AC42)+0.003,1,0)+IF(AV42*1000000+SUM(X42,AP42)*10000+SUM(R42,AJ42)*100+SUM(L42,AD42)+0.002&gt;AU42*1000000+SUM(W42,AO42)*10000+SUM(Q42,AI42)*100+SUM(K42,AC42)+0.003,1,0)+IF(AW42*1000000+SUM(Y42,AQ42)*10000+SUM(S42,AK42)*100+SUM(M42,AE42)+0.001&gt;AU42*1000000+SUM(W42,AO42)*10000+SUM(Q42,AI42)*100+SUM(K42,AC42)+0.003,1,0)=2,"S",IF(IF(AR42*1000000+SUM(T42,AL42)*10000+SUM(N42,AF42)*100+SUM(H42,Z42)+0.006&gt;AV42*1000000+SUM(X42,AP42)*10000+SUM(R42,AJ42)*100+SUM(L42,AD42)+0.002,1,0)+IF(AS42*1000000+SUM(U42,AM42)*10000+SUM(O42,AG42)*100+SUM(I42,AA42)+0.005&gt;AV42*1000000+SUM(X42,AP42)*10000+SUM(R42,AJ42)*100+SUM(L42,AD42)+0.002,1,0)+IF(AT42*1000000+SUM(V42,AN42)*10000+SUM(P42,AH42)*100+SUM(J42,AB42)+0.004&gt;AV42*1000000+SUM(X42,AP42)*10000+SUM(R42,AJ42)*100+SUM(L42,AD42)+0.002,1,0)+IF(AU42*1000000+SUM(W42,AO42)*10000+SUM(Q42,AI42)*100+SUM(K42,AC42)+0.003&gt;AV42*1000000+SUM(X42,AP42)*10000+SUM(R42,AJ42)*100+SUM(L42,AD42)+0.002,1,0)+IF(AW42*1000000+SUM(Y42,AQ42)*10000+SUM(S42,AK42)*100+SUM(M42,AE42)+0.001&gt;AV42*1000000+SUM(X42,AP42)*10000+SUM(R42,AJ42)*100+SUM(L42,AD42)+0.002,1,0)=2,"E",IF(IF(AR42*1000000+SUM(T42,AL42)*10000+SUM(N42,AF42)*100+SUM(H42,Z42)+0.006&gt;AW42*1000000+SUM(Y42,AQ42)*10000+SUM(S42,AK42)*100+SUM(M42,AE42)+0.001,1,0)+IF(AS42*1000000+SUM(U42,AM42)*10000+SUM(O42,AG42)*100+SUM(I42,AA42)+0.005&gt;AW42*1000000+SUM(Y42,AQ42)*10000+SUM(S42,AK42)*100+SUM(M42,AE42)+0.001,1,0)+IF(AT42*1000000+SUM(V42,AN42)*10000+SUM(P42,AH42)*100+SUM(J42,AB42)+0.004&gt;AW42*1000000+SUM(Y42,AQ42)*10000+SUM(S42,AK42)*100+SUM(M42,AE42)+0.001,1,0)+IF(AU42*1000000+SUM(W42,AO42)*10000+SUM(Q42,AI42)*100+SUM(K42,AC42)+0.003&gt;AW42*1000000+SUM(Y42,AQ42)*10000+SUM(S42,AK42)*100+SUM(M42,AE42)+0.001,1,0)+IF(AV42*1000000+SUM(X42,AP42)*10000+SUM(R42,AJ42)*100+SUM(L42,AD42)+0.002&gt;AW42*1000000+SUM(Y42,AQ42)*10000+SUM(S42,AK42)*100+SUM(M42,AE42)+0.001,1,0)=2,"C","")))))))</x:f>
      </x:c>
      <x:c r="AY42" s="27" t="str">
        <x:f>IF(C42="","",IF(LEFT(AX42,1)="R","นักปฏิบัติ",IF(LEFT(AX42,1)="I","นักคิดวิเคราะห์",IF(LEFT(AX42,1)="A","นักสร้างสรรค์",IF(LEFT(AX42,1)="S","ผู้เข้าใจผู้คน",IF(LEFT(AX42,1)="E","ผู้นำการเปลี่ยนแปลง","ผู้จัดระบบ"))))))</x:f>
      </x:c>
    </x:row>
    <x:row r="43">
      <x:c r="A43" s="27"/>
      <x:c r="B43" s="28"/>
      <x:c r="C43" s="27"/>
      <x:c r="D43" s="27"/>
      <x:c r="E43" s="27"/>
      <x:c r="F43" s="27"/>
      <x:c r="G43" s="27"/>
      <x:c r="H43" s="27"/>
      <x:c r="I43" s="27"/>
      <x:c r="J43" s="27"/>
      <x:c r="K43" s="27"/>
      <x:c r="L43" s="27"/>
      <x:c r="M43" s="27"/>
      <x:c r="N43" s="27"/>
      <x:c r="O43" s="27"/>
      <x:c r="P43" s="27"/>
      <x:c r="Q43" s="27"/>
      <x:c r="R43" s="27"/>
      <x:c r="S43" s="27"/>
      <x:c r="T43" s="27"/>
      <x:c r="U43" s="27"/>
      <x:c r="V43" s="27"/>
      <x:c r="W43" s="27"/>
      <x:c r="X43" s="27"/>
      <x:c r="Y43" s="27"/>
      <x:c r="Z43" s="27"/>
      <x:c r="AA43" s="27"/>
      <x:c r="AB43" s="27"/>
      <x:c r="AC43" s="27"/>
      <x:c r="AD43" s="27"/>
      <x:c r="AE43" s="27"/>
      <x:c r="AF43" s="27"/>
      <x:c r="AG43" s="27"/>
      <x:c r="AH43" s="27"/>
      <x:c r="AI43" s="27"/>
      <x:c r="AJ43" s="27"/>
      <x:c r="AK43" s="27"/>
      <x:c r="AL43" s="27"/>
      <x:c r="AM43" s="27"/>
      <x:c r="AN43" s="27"/>
      <x:c r="AO43" s="27"/>
      <x:c r="AP43" s="27"/>
      <x:c r="AQ43" s="27"/>
      <x:c r="AR43" s="27" t="str">
        <x:f>IF(C43="","",SUM(H43,N43,T43,Z43,AF43,AL43))</x:f>
      </x:c>
      <x:c r="AS43" s="27" t="str">
        <x:f>IF(C43="","",SUM(I43,O43,U43,AA43,AG43,AM43))</x:f>
      </x:c>
      <x:c r="AT43" s="27" t="str">
        <x:f>IF(C43="","",SUM(J43,P43,V43,AB43,AH43,AN43))</x:f>
      </x:c>
      <x:c r="AU43" s="27" t="str">
        <x:f>IF(C43="","",SUM(K43,Q43,W43,AC43,AI43,AO43))</x:f>
      </x:c>
      <x:c r="AV43" s="27" t="str">
        <x:f>IF(C43="","",SUM(L43,R43,X43,AD43,AJ43,AP43))</x:f>
      </x:c>
      <x:c r="AW43" s="27" t="str">
        <x:f>IF(C43="","",SUM(M43,S43,Y43,AE43,AK43,AQ43))</x:f>
      </x:c>
      <x:c r="AX43" s="27" t="str">
        <x:f>IF(C43="","",IF(IF(AS43*1000000+SUM(U43,AM43)*10000+SUM(O43,AG43)*100+SUM(I43,AA43)+0.005&gt;AR43*1000000+SUM(T43,AL43)*10000+SUM(N43,AF43)*100+SUM(H43,Z43)+0.006,1,0)+IF(AT43*1000000+SUM(V43,AN43)*10000+SUM(P43,AH43)*100+SUM(J43,AB43)+0.004&gt;AR43*1000000+SUM(T43,AL43)*10000+SUM(N43,AF43)*100+SUM(H43,Z43)+0.006,1,0)+IF(AU43*1000000+SUM(W43,AO43)*10000+SUM(Q43,AI43)*100+SUM(K43,AC43)+0.003&gt;AR43*1000000+SUM(T43,AL43)*10000+SUM(N43,AF43)*100+SUM(H43,Z43)+0.006,1,0)+IF(AV43*1000000+SUM(X43,AP43)*10000+SUM(R43,AJ43)*100+SUM(L43,AD43)+0.002&gt;AR43*1000000+SUM(T43,AL43)*10000+SUM(N43,AF43)*100+SUM(H43,Z43)+0.006,1,0)+IF(AW43*1000000+SUM(Y43,AQ43)*10000+SUM(S43,AK43)*100+SUM(M43,AE43)+0.001&gt;AR43*1000000+SUM(T43,AL43)*10000+SUM(N43,AF43)*100+SUM(H43,Z43)+0.006,1,0)=0,"R",IF(IF(AR43*1000000+SUM(T43,AL43)*10000+SUM(N43,AF43)*100+SUM(H43,Z43)+0.006&gt;AS43*1000000+SUM(U43,AM43)*10000+SUM(O43,AG43)*100+SUM(I43,AA43)+0.005,1,0)+IF(AT43*1000000+SUM(V43,AN43)*10000+SUM(P43,AH43)*100+SUM(J43,AB43)+0.004&gt;AS43*1000000+SUM(U43,AM43)*10000+SUM(O43,AG43)*100+SUM(I43,AA43)+0.005,1,0)+IF(AU43*1000000+SUM(W43,AO43)*10000+SUM(Q43,AI43)*100+SUM(K43,AC43)+0.003&gt;AS43*1000000+SUM(U43,AM43)*10000+SUM(O43,AG43)*100+SUM(I43,AA43)+0.005,1,0)+IF(AV43*1000000+SUM(X43,AP43)*10000+SUM(R43,AJ43)*100+SUM(L43,AD43)+0.002&gt;AS43*1000000+SUM(U43,AM43)*10000+SUM(O43,AG43)*100+SUM(I43,AA43)+0.005,1,0)+IF(AW43*1000000+SUM(Y43,AQ43)*10000+SUM(S43,AK43)*100+SUM(M43,AE43)+0.001&gt;AS43*1000000+SUM(U43,AM43)*10000+SUM(O43,AG43)*100+SUM(I43,AA43)+0.005,1,0)=0,"I",IF(IF(AR43*1000000+SUM(T43,AL43)*10000+SUM(N43,AF43)*100+SUM(H43,Z43)+0.006&gt;AT43*1000000+SUM(V43,AN43)*10000+SUM(P43,AH43)*100+SUM(J43,AB43)+0.004,1,0)+IF(AS43*1000000+SUM(U43,AM43)*10000+SUM(O43,AG43)*100+SUM(I43,AA43)+0.005&gt;AT43*1000000+SUM(V43,AN43)*10000+SUM(P43,AH43)*100+SUM(J43,AB43)+0.004,1,0)+IF(AU43*1000000+SUM(W43,AO43)*10000+SUM(Q43,AI43)*100+SUM(K43,AC43)+0.003&gt;AT43*1000000+SUM(V43,AN43)*10000+SUM(P43,AH43)*100+SUM(J43,AB43)+0.004,1,0)+IF(AV43*1000000+SUM(X43,AP43)*10000+SUM(R43,AJ43)*100+SUM(L43,AD43)+0.002&gt;AT43*1000000+SUM(V43,AN43)*10000+SUM(P43,AH43)*100+SUM(J43,AB43)+0.004,1,0)+IF(AW43*1000000+SUM(Y43,AQ43)*10000+SUM(S43,AK43)*100+SUM(M43,AE43)+0.001&gt;AT43*1000000+SUM(V43,AN43)*10000+SUM(P43,AH43)*100+SUM(J43,AB43)+0.004,1,0)=0,"A",IF(IF(AR43*1000000+SUM(T43,AL43)*10000+SUM(N43,AF43)*100+SUM(H43,Z43)+0.006&gt;AU43*1000000+SUM(W43,AO43)*10000+SUM(Q43,AI43)*100+SUM(K43,AC43)+0.003,1,0)+IF(AS43*1000000+SUM(U43,AM43)*10000+SUM(O43,AG43)*100+SUM(I43,AA43)+0.005&gt;AU43*1000000+SUM(W43,AO43)*10000+SUM(Q43,AI43)*100+SUM(K43,AC43)+0.003,1,0)+IF(AT43*1000000+SUM(V43,AN43)*10000+SUM(P43,AH43)*100+SUM(J43,AB43)+0.004&gt;AU43*1000000+SUM(W43,AO43)*10000+SUM(Q43,AI43)*100+SUM(K43,AC43)+0.003,1,0)+IF(AV43*1000000+SUM(X43,AP43)*10000+SUM(R43,AJ43)*100+SUM(L43,AD43)+0.002&gt;AU43*1000000+SUM(W43,AO43)*10000+SUM(Q43,AI43)*100+SUM(K43,AC43)+0.003,1,0)+IF(AW43*1000000+SUM(Y43,AQ43)*10000+SUM(S43,AK43)*100+SUM(M43,AE43)+0.001&gt;AU43*1000000+SUM(W43,AO43)*10000+SUM(Q43,AI43)*100+SUM(K43,AC43)+0.003,1,0)=0,"S",IF(IF(AR43*1000000+SUM(T43,AL43)*10000+SUM(N43,AF43)*100+SUM(H43,Z43)+0.006&gt;AV43*1000000+SUM(X43,AP43)*10000+SUM(R43,AJ43)*100+SUM(L43,AD43)+0.002,1,0)+IF(AS43*1000000+SUM(U43,AM43)*10000+SUM(O43,AG43)*100+SUM(I43,AA43)+0.005&gt;AV43*1000000+SUM(X43,AP43)*10000+SUM(R43,AJ43)*100+SUM(L43,AD43)+0.002,1,0)+IF(AT43*1000000+SUM(V43,AN43)*10000+SUM(P43,AH43)*100+SUM(J43,AB43)+0.004&gt;AV43*1000000+SUM(X43,AP43)*10000+SUM(R43,AJ43)*100+SUM(L43,AD43)+0.002,1,0)+IF(AU43*1000000+SUM(W43,AO43)*10000+SUM(Q43,AI43)*100+SUM(K43,AC43)+0.003&gt;AV43*1000000+SUM(X43,AP43)*10000+SUM(R43,AJ43)*100+SUM(L43,AD43)+0.002,1,0)+IF(AW43*1000000+SUM(Y43,AQ43)*10000+SUM(S43,AK43)*100+SUM(M43,AE43)+0.001&gt;AV43*1000000+SUM(X43,AP43)*10000+SUM(R43,AJ43)*100+SUM(L43,AD43)+0.002,1,0)=0,"E",IF(IF(AR43*1000000+SUM(T43,AL43)*10000+SUM(N43,AF43)*100+SUM(H43,Z43)+0.006&gt;AW43*1000000+SUM(Y43,AQ43)*10000+SUM(S43,AK43)*100+SUM(M43,AE43)+0.001,1,0)+IF(AS43*1000000+SUM(U43,AM43)*10000+SUM(O43,AG43)*100+SUM(I43,AA43)+0.005&gt;AW43*1000000+SUM(Y43,AQ43)*10000+SUM(S43,AK43)*100+SUM(M43,AE43)+0.001,1,0)+IF(AT43*1000000+SUM(V43,AN43)*10000+SUM(P43,AH43)*100+SUM(J43,AB43)+0.004&gt;AW43*1000000+SUM(Y43,AQ43)*10000+SUM(S43,AK43)*100+SUM(M43,AE43)+0.001,1,0)+IF(AU43*1000000+SUM(W43,AO43)*10000+SUM(Q43,AI43)*100+SUM(K43,AC43)+0.003&gt;AW43*1000000+SUM(Y43,AQ43)*10000+SUM(S43,AK43)*100+SUM(M43,AE43)+0.001,1,0)+IF(AV43*1000000+SUM(X43,AP43)*10000+SUM(R43,AJ43)*100+SUM(L43,AD43)+0.002&gt;AW43*1000000+SUM(Y43,AQ43)*10000+SUM(S43,AK43)*100+SUM(M43,AE43)+0.001,1,0)=0,"C",""))))))&amp;IF(IF(AS43*1000000+SUM(U43,AM43)*10000+SUM(O43,AG43)*100+SUM(I43,AA43)+0.005&gt;AR43*1000000+SUM(T43,AL43)*10000+SUM(N43,AF43)*100+SUM(H43,Z43)+0.006,1,0)+IF(AT43*1000000+SUM(V43,AN43)*10000+SUM(P43,AH43)*100+SUM(J43,AB43)+0.004&gt;AR43*1000000+SUM(T43,AL43)*10000+SUM(N43,AF43)*100+SUM(H43,Z43)+0.006,1,0)+IF(AU43*1000000+SUM(W43,AO43)*10000+SUM(Q43,AI43)*100+SUM(K43,AC43)+0.003&gt;AR43*1000000+SUM(T43,AL43)*10000+SUM(N43,AF43)*100+SUM(H43,Z43)+0.006,1,0)+IF(AV43*1000000+SUM(X43,AP43)*10000+SUM(R43,AJ43)*100+SUM(L43,AD43)+0.002&gt;AR43*1000000+SUM(T43,AL43)*10000+SUM(N43,AF43)*100+SUM(H43,Z43)+0.006,1,0)+IF(AW43*1000000+SUM(Y43,AQ43)*10000+SUM(S43,AK43)*100+SUM(M43,AE43)+0.001&gt;AR43*1000000+SUM(T43,AL43)*10000+SUM(N43,AF43)*100+SUM(H43,Z43)+0.006,1,0)=1,"R",IF(IF(AR43*1000000+SUM(T43,AL43)*10000+SUM(N43,AF43)*100+SUM(H43,Z43)+0.006&gt;AS43*1000000+SUM(U43,AM43)*10000+SUM(O43,AG43)*100+SUM(I43,AA43)+0.005,1,0)+IF(AT43*1000000+SUM(V43,AN43)*10000+SUM(P43,AH43)*100+SUM(J43,AB43)+0.004&gt;AS43*1000000+SUM(U43,AM43)*10000+SUM(O43,AG43)*100+SUM(I43,AA43)+0.005,1,0)+IF(AU43*1000000+SUM(W43,AO43)*10000+SUM(Q43,AI43)*100+SUM(K43,AC43)+0.003&gt;AS43*1000000+SUM(U43,AM43)*10000+SUM(O43,AG43)*100+SUM(I43,AA43)+0.005,1,0)+IF(AV43*1000000+SUM(X43,AP43)*10000+SUM(R43,AJ43)*100+SUM(L43,AD43)+0.002&gt;AS43*1000000+SUM(U43,AM43)*10000+SUM(O43,AG43)*100+SUM(I43,AA43)+0.005,1,0)+IF(AW43*1000000+SUM(Y43,AQ43)*10000+SUM(S43,AK43)*100+SUM(M43,AE43)+0.001&gt;AS43*1000000+SUM(U43,AM43)*10000+SUM(O43,AG43)*100+SUM(I43,AA43)+0.005,1,0)=1,"I",IF(IF(AR43*1000000+SUM(T43,AL43)*10000+SUM(N43,AF43)*100+SUM(H43,Z43)+0.006&gt;AT43*1000000+SUM(V43,AN43)*10000+SUM(P43,AH43)*100+SUM(J43,AB43)+0.004,1,0)+IF(AS43*1000000+SUM(U43,AM43)*10000+SUM(O43,AG43)*100+SUM(I43,AA43)+0.005&gt;AT43*1000000+SUM(V43,AN43)*10000+SUM(P43,AH43)*100+SUM(J43,AB43)+0.004,1,0)+IF(AU43*1000000+SUM(W43,AO43)*10000+SUM(Q43,AI43)*100+SUM(K43,AC43)+0.003&gt;AT43*1000000+SUM(V43,AN43)*10000+SUM(P43,AH43)*100+SUM(J43,AB43)+0.004,1,0)+IF(AV43*1000000+SUM(X43,AP43)*10000+SUM(R43,AJ43)*100+SUM(L43,AD43)+0.002&gt;AT43*1000000+SUM(V43,AN43)*10000+SUM(P43,AH43)*100+SUM(J43,AB43)+0.004,1,0)+IF(AW43*1000000+SUM(Y43,AQ43)*10000+SUM(S43,AK43)*100+SUM(M43,AE43)+0.001&gt;AT43*1000000+SUM(V43,AN43)*10000+SUM(P43,AH43)*100+SUM(J43,AB43)+0.004,1,0)=1,"A",IF(IF(AR43*1000000+SUM(T43,AL43)*10000+SUM(N43,AF43)*100+SUM(H43,Z43)+0.006&gt;AU43*1000000+SUM(W43,AO43)*10000+SUM(Q43,AI43)*100+SUM(K43,AC43)+0.003,1,0)+IF(AS43*1000000+SUM(U43,AM43)*10000+SUM(O43,AG43)*100+SUM(I43,AA43)+0.005&gt;AU43*1000000+SUM(W43,AO43)*10000+SUM(Q43,AI43)*100+SUM(K43,AC43)+0.003,1,0)+IF(AT43*1000000+SUM(V43,AN43)*10000+SUM(P43,AH43)*100+SUM(J43,AB43)+0.004&gt;AU43*1000000+SUM(W43,AO43)*10000+SUM(Q43,AI43)*100+SUM(K43,AC43)+0.003,1,0)+IF(AV43*1000000+SUM(X43,AP43)*10000+SUM(R43,AJ43)*100+SUM(L43,AD43)+0.002&gt;AU43*1000000+SUM(W43,AO43)*10000+SUM(Q43,AI43)*100+SUM(K43,AC43)+0.003,1,0)+IF(AW43*1000000+SUM(Y43,AQ43)*10000+SUM(S43,AK43)*100+SUM(M43,AE43)+0.001&gt;AU43*1000000+SUM(W43,AO43)*10000+SUM(Q43,AI43)*100+SUM(K43,AC43)+0.003,1,0)=1,"S",IF(IF(AR43*1000000+SUM(T43,AL43)*10000+SUM(N43,AF43)*100+SUM(H43,Z43)+0.006&gt;AV43*1000000+SUM(X43,AP43)*10000+SUM(R43,AJ43)*100+SUM(L43,AD43)+0.002,1,0)+IF(AS43*1000000+SUM(U43,AM43)*10000+SUM(O43,AG43)*100+SUM(I43,AA43)+0.005&gt;AV43*1000000+SUM(X43,AP43)*10000+SUM(R43,AJ43)*100+SUM(L43,AD43)+0.002,1,0)+IF(AT43*1000000+SUM(V43,AN43)*10000+SUM(P43,AH43)*100+SUM(J43,AB43)+0.004&gt;AV43*1000000+SUM(X43,AP43)*10000+SUM(R43,AJ43)*100+SUM(L43,AD43)+0.002,1,0)+IF(AU43*1000000+SUM(W43,AO43)*10000+SUM(Q43,AI43)*100+SUM(K43,AC43)+0.003&gt;AV43*1000000+SUM(X43,AP43)*10000+SUM(R43,AJ43)*100+SUM(L43,AD43)+0.002,1,0)+IF(AW43*1000000+SUM(Y43,AQ43)*10000+SUM(S43,AK43)*100+SUM(M43,AE43)+0.001&gt;AV43*1000000+SUM(X43,AP43)*10000+SUM(R43,AJ43)*100+SUM(L43,AD43)+0.002,1,0)=1,"E",IF(IF(AR43*1000000+SUM(T43,AL43)*10000+SUM(N43,AF43)*100+SUM(H43,Z43)+0.006&gt;AW43*1000000+SUM(Y43,AQ43)*10000+SUM(S43,AK43)*100+SUM(M43,AE43)+0.001,1,0)+IF(AS43*1000000+SUM(U43,AM43)*10000+SUM(O43,AG43)*100+SUM(I43,AA43)+0.005&gt;AW43*1000000+SUM(Y43,AQ43)*10000+SUM(S43,AK43)*100+SUM(M43,AE43)+0.001,1,0)+IF(AT43*1000000+SUM(V43,AN43)*10000+SUM(P43,AH43)*100+SUM(J43,AB43)+0.004&gt;AW43*1000000+SUM(Y43,AQ43)*10000+SUM(S43,AK43)*100+SUM(M43,AE43)+0.001,1,0)+IF(AU43*1000000+SUM(W43,AO43)*10000+SUM(Q43,AI43)*100+SUM(K43,AC43)+0.003&gt;AW43*1000000+SUM(Y43,AQ43)*10000+SUM(S43,AK43)*100+SUM(M43,AE43)+0.001,1,0)+IF(AV43*1000000+SUM(X43,AP43)*10000+SUM(R43,AJ43)*100+SUM(L43,AD43)+0.002&gt;AW43*1000000+SUM(Y43,AQ43)*10000+SUM(S43,AK43)*100+SUM(M43,AE43)+0.001,1,0)=1,"C",""))))))&amp;IF(IF(AS43*1000000+SUM(U43,AM43)*10000+SUM(O43,AG43)*100+SUM(I43,AA43)+0.005&gt;AR43*1000000+SUM(T43,AL43)*10000+SUM(N43,AF43)*100+SUM(H43,Z43)+0.006,1,0)+IF(AT43*1000000+SUM(V43,AN43)*10000+SUM(P43,AH43)*100+SUM(J43,AB43)+0.004&gt;AR43*1000000+SUM(T43,AL43)*10000+SUM(N43,AF43)*100+SUM(H43,Z43)+0.006,1,0)+IF(AU43*1000000+SUM(W43,AO43)*10000+SUM(Q43,AI43)*100+SUM(K43,AC43)+0.003&gt;AR43*1000000+SUM(T43,AL43)*10000+SUM(N43,AF43)*100+SUM(H43,Z43)+0.006,1,0)+IF(AV43*1000000+SUM(X43,AP43)*10000+SUM(R43,AJ43)*100+SUM(L43,AD43)+0.002&gt;AR43*1000000+SUM(T43,AL43)*10000+SUM(N43,AF43)*100+SUM(H43,Z43)+0.006,1,0)+IF(AW43*1000000+SUM(Y43,AQ43)*10000+SUM(S43,AK43)*100+SUM(M43,AE43)+0.001&gt;AR43*1000000+SUM(T43,AL43)*10000+SUM(N43,AF43)*100+SUM(H43,Z43)+0.006,1,0)=2,"R",IF(IF(AR43*1000000+SUM(T43,AL43)*10000+SUM(N43,AF43)*100+SUM(H43,Z43)+0.006&gt;AS43*1000000+SUM(U43,AM43)*10000+SUM(O43,AG43)*100+SUM(I43,AA43)+0.005,1,0)+IF(AT43*1000000+SUM(V43,AN43)*10000+SUM(P43,AH43)*100+SUM(J43,AB43)+0.004&gt;AS43*1000000+SUM(U43,AM43)*10000+SUM(O43,AG43)*100+SUM(I43,AA43)+0.005,1,0)+IF(AU43*1000000+SUM(W43,AO43)*10000+SUM(Q43,AI43)*100+SUM(K43,AC43)+0.003&gt;AS43*1000000+SUM(U43,AM43)*10000+SUM(O43,AG43)*100+SUM(I43,AA43)+0.005,1,0)+IF(AV43*1000000+SUM(X43,AP43)*10000+SUM(R43,AJ43)*100+SUM(L43,AD43)+0.002&gt;AS43*1000000+SUM(U43,AM43)*10000+SUM(O43,AG43)*100+SUM(I43,AA43)+0.005,1,0)+IF(AW43*1000000+SUM(Y43,AQ43)*10000+SUM(S43,AK43)*100+SUM(M43,AE43)+0.001&gt;AS43*1000000+SUM(U43,AM43)*10000+SUM(O43,AG43)*100+SUM(I43,AA43)+0.005,1,0)=2,"I",IF(IF(AR43*1000000+SUM(T43,AL43)*10000+SUM(N43,AF43)*100+SUM(H43,Z43)+0.006&gt;AT43*1000000+SUM(V43,AN43)*10000+SUM(P43,AH43)*100+SUM(J43,AB43)+0.004,1,0)+IF(AS43*1000000+SUM(U43,AM43)*10000+SUM(O43,AG43)*100+SUM(I43,AA43)+0.005&gt;AT43*1000000+SUM(V43,AN43)*10000+SUM(P43,AH43)*100+SUM(J43,AB43)+0.004,1,0)+IF(AU43*1000000+SUM(W43,AO43)*10000+SUM(Q43,AI43)*100+SUM(K43,AC43)+0.003&gt;AT43*1000000+SUM(V43,AN43)*10000+SUM(P43,AH43)*100+SUM(J43,AB43)+0.004,1,0)+IF(AV43*1000000+SUM(X43,AP43)*10000+SUM(R43,AJ43)*100+SUM(L43,AD43)+0.002&gt;AT43*1000000+SUM(V43,AN43)*10000+SUM(P43,AH43)*100+SUM(J43,AB43)+0.004,1,0)+IF(AW43*1000000+SUM(Y43,AQ43)*10000+SUM(S43,AK43)*100+SUM(M43,AE43)+0.001&gt;AT43*1000000+SUM(V43,AN43)*10000+SUM(P43,AH43)*100+SUM(J43,AB43)+0.004,1,0)=2,"A",IF(IF(AR43*1000000+SUM(T43,AL43)*10000+SUM(N43,AF43)*100+SUM(H43,Z43)+0.006&gt;AU43*1000000+SUM(W43,AO43)*10000+SUM(Q43,AI43)*100+SUM(K43,AC43)+0.003,1,0)+IF(AS43*1000000+SUM(U43,AM43)*10000+SUM(O43,AG43)*100+SUM(I43,AA43)+0.005&gt;AU43*1000000+SUM(W43,AO43)*10000+SUM(Q43,AI43)*100+SUM(K43,AC43)+0.003,1,0)+IF(AT43*1000000+SUM(V43,AN43)*10000+SUM(P43,AH43)*100+SUM(J43,AB43)+0.004&gt;AU43*1000000+SUM(W43,AO43)*10000+SUM(Q43,AI43)*100+SUM(K43,AC43)+0.003,1,0)+IF(AV43*1000000+SUM(X43,AP43)*10000+SUM(R43,AJ43)*100+SUM(L43,AD43)+0.002&gt;AU43*1000000+SUM(W43,AO43)*10000+SUM(Q43,AI43)*100+SUM(K43,AC43)+0.003,1,0)+IF(AW43*1000000+SUM(Y43,AQ43)*10000+SUM(S43,AK43)*100+SUM(M43,AE43)+0.001&gt;AU43*1000000+SUM(W43,AO43)*10000+SUM(Q43,AI43)*100+SUM(K43,AC43)+0.003,1,0)=2,"S",IF(IF(AR43*1000000+SUM(T43,AL43)*10000+SUM(N43,AF43)*100+SUM(H43,Z43)+0.006&gt;AV43*1000000+SUM(X43,AP43)*10000+SUM(R43,AJ43)*100+SUM(L43,AD43)+0.002,1,0)+IF(AS43*1000000+SUM(U43,AM43)*10000+SUM(O43,AG43)*100+SUM(I43,AA43)+0.005&gt;AV43*1000000+SUM(X43,AP43)*10000+SUM(R43,AJ43)*100+SUM(L43,AD43)+0.002,1,0)+IF(AT43*1000000+SUM(V43,AN43)*10000+SUM(P43,AH43)*100+SUM(J43,AB43)+0.004&gt;AV43*1000000+SUM(X43,AP43)*10000+SUM(R43,AJ43)*100+SUM(L43,AD43)+0.002,1,0)+IF(AU43*1000000+SUM(W43,AO43)*10000+SUM(Q43,AI43)*100+SUM(K43,AC43)+0.003&gt;AV43*1000000+SUM(X43,AP43)*10000+SUM(R43,AJ43)*100+SUM(L43,AD43)+0.002,1,0)+IF(AW43*1000000+SUM(Y43,AQ43)*10000+SUM(S43,AK43)*100+SUM(M43,AE43)+0.001&gt;AV43*1000000+SUM(X43,AP43)*10000+SUM(R43,AJ43)*100+SUM(L43,AD43)+0.002,1,0)=2,"E",IF(IF(AR43*1000000+SUM(T43,AL43)*10000+SUM(N43,AF43)*100+SUM(H43,Z43)+0.006&gt;AW43*1000000+SUM(Y43,AQ43)*10000+SUM(S43,AK43)*100+SUM(M43,AE43)+0.001,1,0)+IF(AS43*1000000+SUM(U43,AM43)*10000+SUM(O43,AG43)*100+SUM(I43,AA43)+0.005&gt;AW43*1000000+SUM(Y43,AQ43)*10000+SUM(S43,AK43)*100+SUM(M43,AE43)+0.001,1,0)+IF(AT43*1000000+SUM(V43,AN43)*10000+SUM(P43,AH43)*100+SUM(J43,AB43)+0.004&gt;AW43*1000000+SUM(Y43,AQ43)*10000+SUM(S43,AK43)*100+SUM(M43,AE43)+0.001,1,0)+IF(AU43*1000000+SUM(W43,AO43)*10000+SUM(Q43,AI43)*100+SUM(K43,AC43)+0.003&gt;AW43*1000000+SUM(Y43,AQ43)*10000+SUM(S43,AK43)*100+SUM(M43,AE43)+0.001,1,0)+IF(AV43*1000000+SUM(X43,AP43)*10000+SUM(R43,AJ43)*100+SUM(L43,AD43)+0.002&gt;AW43*1000000+SUM(Y43,AQ43)*10000+SUM(S43,AK43)*100+SUM(M43,AE43)+0.001,1,0)=2,"C","")))))))</x:f>
      </x:c>
      <x:c r="AY43" s="27" t="str">
        <x:f>IF(C43="","",IF(LEFT(AX43,1)="R","นักปฏิบัติ",IF(LEFT(AX43,1)="I","นักคิดวิเคราะห์",IF(LEFT(AX43,1)="A","นักสร้างสรรค์",IF(LEFT(AX43,1)="S","ผู้เข้าใจผู้คน",IF(LEFT(AX43,1)="E","ผู้นำการเปลี่ยนแปลง","ผู้จัดระบบ"))))))</x:f>
      </x:c>
    </x:row>
    <x:row r="44">
      <x:c r="A44" s="27"/>
      <x:c r="B44" s="28"/>
      <x:c r="C44" s="27"/>
      <x:c r="D44" s="27"/>
      <x:c r="E44" s="27"/>
      <x:c r="F44" s="27"/>
      <x:c r="G44" s="27"/>
      <x:c r="H44" s="27"/>
      <x:c r="I44" s="27"/>
      <x:c r="J44" s="27"/>
      <x:c r="K44" s="27"/>
      <x:c r="L44" s="27"/>
      <x:c r="M44" s="27"/>
      <x:c r="N44" s="27"/>
      <x:c r="O44" s="27"/>
      <x:c r="P44" s="27"/>
      <x:c r="Q44" s="27"/>
      <x:c r="R44" s="27"/>
      <x:c r="S44" s="27"/>
      <x:c r="T44" s="27"/>
      <x:c r="U44" s="27"/>
      <x:c r="V44" s="27"/>
      <x:c r="W44" s="27"/>
      <x:c r="X44" s="27"/>
      <x:c r="Y44" s="27"/>
      <x:c r="Z44" s="27"/>
      <x:c r="AA44" s="27"/>
      <x:c r="AB44" s="27"/>
      <x:c r="AC44" s="27"/>
      <x:c r="AD44" s="27"/>
      <x:c r="AE44" s="27"/>
      <x:c r="AF44" s="27"/>
      <x:c r="AG44" s="27"/>
      <x:c r="AH44" s="27"/>
      <x:c r="AI44" s="27"/>
      <x:c r="AJ44" s="27"/>
      <x:c r="AK44" s="27"/>
      <x:c r="AL44" s="27"/>
      <x:c r="AM44" s="27"/>
      <x:c r="AN44" s="27"/>
      <x:c r="AO44" s="27"/>
      <x:c r="AP44" s="27"/>
      <x:c r="AQ44" s="27"/>
      <x:c r="AR44" s="27" t="str">
        <x:f>IF(C44="","",SUM(H44,N44,T44,Z44,AF44,AL44))</x:f>
      </x:c>
      <x:c r="AS44" s="27" t="str">
        <x:f>IF(C44="","",SUM(I44,O44,U44,AA44,AG44,AM44))</x:f>
      </x:c>
      <x:c r="AT44" s="27" t="str">
        <x:f>IF(C44="","",SUM(J44,P44,V44,AB44,AH44,AN44))</x:f>
      </x:c>
      <x:c r="AU44" s="27" t="str">
        <x:f>IF(C44="","",SUM(K44,Q44,W44,AC44,AI44,AO44))</x:f>
      </x:c>
      <x:c r="AV44" s="27" t="str">
        <x:f>IF(C44="","",SUM(L44,R44,X44,AD44,AJ44,AP44))</x:f>
      </x:c>
      <x:c r="AW44" s="27" t="str">
        <x:f>IF(C44="","",SUM(M44,S44,Y44,AE44,AK44,AQ44))</x:f>
      </x:c>
      <x:c r="AX44" s="27" t="str">
        <x:f>IF(C44="","",IF(IF(AS44*1000000+SUM(U44,AM44)*10000+SUM(O44,AG44)*100+SUM(I44,AA44)+0.005&gt;AR44*1000000+SUM(T44,AL44)*10000+SUM(N44,AF44)*100+SUM(H44,Z44)+0.006,1,0)+IF(AT44*1000000+SUM(V44,AN44)*10000+SUM(P44,AH44)*100+SUM(J44,AB44)+0.004&gt;AR44*1000000+SUM(T44,AL44)*10000+SUM(N44,AF44)*100+SUM(H44,Z44)+0.006,1,0)+IF(AU44*1000000+SUM(W44,AO44)*10000+SUM(Q44,AI44)*100+SUM(K44,AC44)+0.003&gt;AR44*1000000+SUM(T44,AL44)*10000+SUM(N44,AF44)*100+SUM(H44,Z44)+0.006,1,0)+IF(AV44*1000000+SUM(X44,AP44)*10000+SUM(R44,AJ44)*100+SUM(L44,AD44)+0.002&gt;AR44*1000000+SUM(T44,AL44)*10000+SUM(N44,AF44)*100+SUM(H44,Z44)+0.006,1,0)+IF(AW44*1000000+SUM(Y44,AQ44)*10000+SUM(S44,AK44)*100+SUM(M44,AE44)+0.001&gt;AR44*1000000+SUM(T44,AL44)*10000+SUM(N44,AF44)*100+SUM(H44,Z44)+0.006,1,0)=0,"R",IF(IF(AR44*1000000+SUM(T44,AL44)*10000+SUM(N44,AF44)*100+SUM(H44,Z44)+0.006&gt;AS44*1000000+SUM(U44,AM44)*10000+SUM(O44,AG44)*100+SUM(I44,AA44)+0.005,1,0)+IF(AT44*1000000+SUM(V44,AN44)*10000+SUM(P44,AH44)*100+SUM(J44,AB44)+0.004&gt;AS44*1000000+SUM(U44,AM44)*10000+SUM(O44,AG44)*100+SUM(I44,AA44)+0.005,1,0)+IF(AU44*1000000+SUM(W44,AO44)*10000+SUM(Q44,AI44)*100+SUM(K44,AC44)+0.003&gt;AS44*1000000+SUM(U44,AM44)*10000+SUM(O44,AG44)*100+SUM(I44,AA44)+0.005,1,0)+IF(AV44*1000000+SUM(X44,AP44)*10000+SUM(R44,AJ44)*100+SUM(L44,AD44)+0.002&gt;AS44*1000000+SUM(U44,AM44)*10000+SUM(O44,AG44)*100+SUM(I44,AA44)+0.005,1,0)+IF(AW44*1000000+SUM(Y44,AQ44)*10000+SUM(S44,AK44)*100+SUM(M44,AE44)+0.001&gt;AS44*1000000+SUM(U44,AM44)*10000+SUM(O44,AG44)*100+SUM(I44,AA44)+0.005,1,0)=0,"I",IF(IF(AR44*1000000+SUM(T44,AL44)*10000+SUM(N44,AF44)*100+SUM(H44,Z44)+0.006&gt;AT44*1000000+SUM(V44,AN44)*10000+SUM(P44,AH44)*100+SUM(J44,AB44)+0.004,1,0)+IF(AS44*1000000+SUM(U44,AM44)*10000+SUM(O44,AG44)*100+SUM(I44,AA44)+0.005&gt;AT44*1000000+SUM(V44,AN44)*10000+SUM(P44,AH44)*100+SUM(J44,AB44)+0.004,1,0)+IF(AU44*1000000+SUM(W44,AO44)*10000+SUM(Q44,AI44)*100+SUM(K44,AC44)+0.003&gt;AT44*1000000+SUM(V44,AN44)*10000+SUM(P44,AH44)*100+SUM(J44,AB44)+0.004,1,0)+IF(AV44*1000000+SUM(X44,AP44)*10000+SUM(R44,AJ44)*100+SUM(L44,AD44)+0.002&gt;AT44*1000000+SUM(V44,AN44)*10000+SUM(P44,AH44)*100+SUM(J44,AB44)+0.004,1,0)+IF(AW44*1000000+SUM(Y44,AQ44)*10000+SUM(S44,AK44)*100+SUM(M44,AE44)+0.001&gt;AT44*1000000+SUM(V44,AN44)*10000+SUM(P44,AH44)*100+SUM(J44,AB44)+0.004,1,0)=0,"A",IF(IF(AR44*1000000+SUM(T44,AL44)*10000+SUM(N44,AF44)*100+SUM(H44,Z44)+0.006&gt;AU44*1000000+SUM(W44,AO44)*10000+SUM(Q44,AI44)*100+SUM(K44,AC44)+0.003,1,0)+IF(AS44*1000000+SUM(U44,AM44)*10000+SUM(O44,AG44)*100+SUM(I44,AA44)+0.005&gt;AU44*1000000+SUM(W44,AO44)*10000+SUM(Q44,AI44)*100+SUM(K44,AC44)+0.003,1,0)+IF(AT44*1000000+SUM(V44,AN44)*10000+SUM(P44,AH44)*100+SUM(J44,AB44)+0.004&gt;AU44*1000000+SUM(W44,AO44)*10000+SUM(Q44,AI44)*100+SUM(K44,AC44)+0.003,1,0)+IF(AV44*1000000+SUM(X44,AP44)*10000+SUM(R44,AJ44)*100+SUM(L44,AD44)+0.002&gt;AU44*1000000+SUM(W44,AO44)*10000+SUM(Q44,AI44)*100+SUM(K44,AC44)+0.003,1,0)+IF(AW44*1000000+SUM(Y44,AQ44)*10000+SUM(S44,AK44)*100+SUM(M44,AE44)+0.001&gt;AU44*1000000+SUM(W44,AO44)*10000+SUM(Q44,AI44)*100+SUM(K44,AC44)+0.003,1,0)=0,"S",IF(IF(AR44*1000000+SUM(T44,AL44)*10000+SUM(N44,AF44)*100+SUM(H44,Z44)+0.006&gt;AV44*1000000+SUM(X44,AP44)*10000+SUM(R44,AJ44)*100+SUM(L44,AD44)+0.002,1,0)+IF(AS44*1000000+SUM(U44,AM44)*10000+SUM(O44,AG44)*100+SUM(I44,AA44)+0.005&gt;AV44*1000000+SUM(X44,AP44)*10000+SUM(R44,AJ44)*100+SUM(L44,AD44)+0.002,1,0)+IF(AT44*1000000+SUM(V44,AN44)*10000+SUM(P44,AH44)*100+SUM(J44,AB44)+0.004&gt;AV44*1000000+SUM(X44,AP44)*10000+SUM(R44,AJ44)*100+SUM(L44,AD44)+0.002,1,0)+IF(AU44*1000000+SUM(W44,AO44)*10000+SUM(Q44,AI44)*100+SUM(K44,AC44)+0.003&gt;AV44*1000000+SUM(X44,AP44)*10000+SUM(R44,AJ44)*100+SUM(L44,AD44)+0.002,1,0)+IF(AW44*1000000+SUM(Y44,AQ44)*10000+SUM(S44,AK44)*100+SUM(M44,AE44)+0.001&gt;AV44*1000000+SUM(X44,AP44)*10000+SUM(R44,AJ44)*100+SUM(L44,AD44)+0.002,1,0)=0,"E",IF(IF(AR44*1000000+SUM(T44,AL44)*10000+SUM(N44,AF44)*100+SUM(H44,Z44)+0.006&gt;AW44*1000000+SUM(Y44,AQ44)*10000+SUM(S44,AK44)*100+SUM(M44,AE44)+0.001,1,0)+IF(AS44*1000000+SUM(U44,AM44)*10000+SUM(O44,AG44)*100+SUM(I44,AA44)+0.005&gt;AW44*1000000+SUM(Y44,AQ44)*10000+SUM(S44,AK44)*100+SUM(M44,AE44)+0.001,1,0)+IF(AT44*1000000+SUM(V44,AN44)*10000+SUM(P44,AH44)*100+SUM(J44,AB44)+0.004&gt;AW44*1000000+SUM(Y44,AQ44)*10000+SUM(S44,AK44)*100+SUM(M44,AE44)+0.001,1,0)+IF(AU44*1000000+SUM(W44,AO44)*10000+SUM(Q44,AI44)*100+SUM(K44,AC44)+0.003&gt;AW44*1000000+SUM(Y44,AQ44)*10000+SUM(S44,AK44)*100+SUM(M44,AE44)+0.001,1,0)+IF(AV44*1000000+SUM(X44,AP44)*10000+SUM(R44,AJ44)*100+SUM(L44,AD44)+0.002&gt;AW44*1000000+SUM(Y44,AQ44)*10000+SUM(S44,AK44)*100+SUM(M44,AE44)+0.001,1,0)=0,"C",""))))))&amp;IF(IF(AS44*1000000+SUM(U44,AM44)*10000+SUM(O44,AG44)*100+SUM(I44,AA44)+0.005&gt;AR44*1000000+SUM(T44,AL44)*10000+SUM(N44,AF44)*100+SUM(H44,Z44)+0.006,1,0)+IF(AT44*1000000+SUM(V44,AN44)*10000+SUM(P44,AH44)*100+SUM(J44,AB44)+0.004&gt;AR44*1000000+SUM(T44,AL44)*10000+SUM(N44,AF44)*100+SUM(H44,Z44)+0.006,1,0)+IF(AU44*1000000+SUM(W44,AO44)*10000+SUM(Q44,AI44)*100+SUM(K44,AC44)+0.003&gt;AR44*1000000+SUM(T44,AL44)*10000+SUM(N44,AF44)*100+SUM(H44,Z44)+0.006,1,0)+IF(AV44*1000000+SUM(X44,AP44)*10000+SUM(R44,AJ44)*100+SUM(L44,AD44)+0.002&gt;AR44*1000000+SUM(T44,AL44)*10000+SUM(N44,AF44)*100+SUM(H44,Z44)+0.006,1,0)+IF(AW44*1000000+SUM(Y44,AQ44)*10000+SUM(S44,AK44)*100+SUM(M44,AE44)+0.001&gt;AR44*1000000+SUM(T44,AL44)*10000+SUM(N44,AF44)*100+SUM(H44,Z44)+0.006,1,0)=1,"R",IF(IF(AR44*1000000+SUM(T44,AL44)*10000+SUM(N44,AF44)*100+SUM(H44,Z44)+0.006&gt;AS44*1000000+SUM(U44,AM44)*10000+SUM(O44,AG44)*100+SUM(I44,AA44)+0.005,1,0)+IF(AT44*1000000+SUM(V44,AN44)*10000+SUM(P44,AH44)*100+SUM(J44,AB44)+0.004&gt;AS44*1000000+SUM(U44,AM44)*10000+SUM(O44,AG44)*100+SUM(I44,AA44)+0.005,1,0)+IF(AU44*1000000+SUM(W44,AO44)*10000+SUM(Q44,AI44)*100+SUM(K44,AC44)+0.003&gt;AS44*1000000+SUM(U44,AM44)*10000+SUM(O44,AG44)*100+SUM(I44,AA44)+0.005,1,0)+IF(AV44*1000000+SUM(X44,AP44)*10000+SUM(R44,AJ44)*100+SUM(L44,AD44)+0.002&gt;AS44*1000000+SUM(U44,AM44)*10000+SUM(O44,AG44)*100+SUM(I44,AA44)+0.005,1,0)+IF(AW44*1000000+SUM(Y44,AQ44)*10000+SUM(S44,AK44)*100+SUM(M44,AE44)+0.001&gt;AS44*1000000+SUM(U44,AM44)*10000+SUM(O44,AG44)*100+SUM(I44,AA44)+0.005,1,0)=1,"I",IF(IF(AR44*1000000+SUM(T44,AL44)*10000+SUM(N44,AF44)*100+SUM(H44,Z44)+0.006&gt;AT44*1000000+SUM(V44,AN44)*10000+SUM(P44,AH44)*100+SUM(J44,AB44)+0.004,1,0)+IF(AS44*1000000+SUM(U44,AM44)*10000+SUM(O44,AG44)*100+SUM(I44,AA44)+0.005&gt;AT44*1000000+SUM(V44,AN44)*10000+SUM(P44,AH44)*100+SUM(J44,AB44)+0.004,1,0)+IF(AU44*1000000+SUM(W44,AO44)*10000+SUM(Q44,AI44)*100+SUM(K44,AC44)+0.003&gt;AT44*1000000+SUM(V44,AN44)*10000+SUM(P44,AH44)*100+SUM(J44,AB44)+0.004,1,0)+IF(AV44*1000000+SUM(X44,AP44)*10000+SUM(R44,AJ44)*100+SUM(L44,AD44)+0.002&gt;AT44*1000000+SUM(V44,AN44)*10000+SUM(P44,AH44)*100+SUM(J44,AB44)+0.004,1,0)+IF(AW44*1000000+SUM(Y44,AQ44)*10000+SUM(S44,AK44)*100+SUM(M44,AE44)+0.001&gt;AT44*1000000+SUM(V44,AN44)*10000+SUM(P44,AH44)*100+SUM(J44,AB44)+0.004,1,0)=1,"A",IF(IF(AR44*1000000+SUM(T44,AL44)*10000+SUM(N44,AF44)*100+SUM(H44,Z44)+0.006&gt;AU44*1000000+SUM(W44,AO44)*10000+SUM(Q44,AI44)*100+SUM(K44,AC44)+0.003,1,0)+IF(AS44*1000000+SUM(U44,AM44)*10000+SUM(O44,AG44)*100+SUM(I44,AA44)+0.005&gt;AU44*1000000+SUM(W44,AO44)*10000+SUM(Q44,AI44)*100+SUM(K44,AC44)+0.003,1,0)+IF(AT44*1000000+SUM(V44,AN44)*10000+SUM(P44,AH44)*100+SUM(J44,AB44)+0.004&gt;AU44*1000000+SUM(W44,AO44)*10000+SUM(Q44,AI44)*100+SUM(K44,AC44)+0.003,1,0)+IF(AV44*1000000+SUM(X44,AP44)*10000+SUM(R44,AJ44)*100+SUM(L44,AD44)+0.002&gt;AU44*1000000+SUM(W44,AO44)*10000+SUM(Q44,AI44)*100+SUM(K44,AC44)+0.003,1,0)+IF(AW44*1000000+SUM(Y44,AQ44)*10000+SUM(S44,AK44)*100+SUM(M44,AE44)+0.001&gt;AU44*1000000+SUM(W44,AO44)*10000+SUM(Q44,AI44)*100+SUM(K44,AC44)+0.003,1,0)=1,"S",IF(IF(AR44*1000000+SUM(T44,AL44)*10000+SUM(N44,AF44)*100+SUM(H44,Z44)+0.006&gt;AV44*1000000+SUM(X44,AP44)*10000+SUM(R44,AJ44)*100+SUM(L44,AD44)+0.002,1,0)+IF(AS44*1000000+SUM(U44,AM44)*10000+SUM(O44,AG44)*100+SUM(I44,AA44)+0.005&gt;AV44*1000000+SUM(X44,AP44)*10000+SUM(R44,AJ44)*100+SUM(L44,AD44)+0.002,1,0)+IF(AT44*1000000+SUM(V44,AN44)*10000+SUM(P44,AH44)*100+SUM(J44,AB44)+0.004&gt;AV44*1000000+SUM(X44,AP44)*10000+SUM(R44,AJ44)*100+SUM(L44,AD44)+0.002,1,0)+IF(AU44*1000000+SUM(W44,AO44)*10000+SUM(Q44,AI44)*100+SUM(K44,AC44)+0.003&gt;AV44*1000000+SUM(X44,AP44)*10000+SUM(R44,AJ44)*100+SUM(L44,AD44)+0.002,1,0)+IF(AW44*1000000+SUM(Y44,AQ44)*10000+SUM(S44,AK44)*100+SUM(M44,AE44)+0.001&gt;AV44*1000000+SUM(X44,AP44)*10000+SUM(R44,AJ44)*100+SUM(L44,AD44)+0.002,1,0)=1,"E",IF(IF(AR44*1000000+SUM(T44,AL44)*10000+SUM(N44,AF44)*100+SUM(H44,Z44)+0.006&gt;AW44*1000000+SUM(Y44,AQ44)*10000+SUM(S44,AK44)*100+SUM(M44,AE44)+0.001,1,0)+IF(AS44*1000000+SUM(U44,AM44)*10000+SUM(O44,AG44)*100+SUM(I44,AA44)+0.005&gt;AW44*1000000+SUM(Y44,AQ44)*10000+SUM(S44,AK44)*100+SUM(M44,AE44)+0.001,1,0)+IF(AT44*1000000+SUM(V44,AN44)*10000+SUM(P44,AH44)*100+SUM(J44,AB44)+0.004&gt;AW44*1000000+SUM(Y44,AQ44)*10000+SUM(S44,AK44)*100+SUM(M44,AE44)+0.001,1,0)+IF(AU44*1000000+SUM(W44,AO44)*10000+SUM(Q44,AI44)*100+SUM(K44,AC44)+0.003&gt;AW44*1000000+SUM(Y44,AQ44)*10000+SUM(S44,AK44)*100+SUM(M44,AE44)+0.001,1,0)+IF(AV44*1000000+SUM(X44,AP44)*10000+SUM(R44,AJ44)*100+SUM(L44,AD44)+0.002&gt;AW44*1000000+SUM(Y44,AQ44)*10000+SUM(S44,AK44)*100+SUM(M44,AE44)+0.001,1,0)=1,"C",""))))))&amp;IF(IF(AS44*1000000+SUM(U44,AM44)*10000+SUM(O44,AG44)*100+SUM(I44,AA44)+0.005&gt;AR44*1000000+SUM(T44,AL44)*10000+SUM(N44,AF44)*100+SUM(H44,Z44)+0.006,1,0)+IF(AT44*1000000+SUM(V44,AN44)*10000+SUM(P44,AH44)*100+SUM(J44,AB44)+0.004&gt;AR44*1000000+SUM(T44,AL44)*10000+SUM(N44,AF44)*100+SUM(H44,Z44)+0.006,1,0)+IF(AU44*1000000+SUM(W44,AO44)*10000+SUM(Q44,AI44)*100+SUM(K44,AC44)+0.003&gt;AR44*1000000+SUM(T44,AL44)*10000+SUM(N44,AF44)*100+SUM(H44,Z44)+0.006,1,0)+IF(AV44*1000000+SUM(X44,AP44)*10000+SUM(R44,AJ44)*100+SUM(L44,AD44)+0.002&gt;AR44*1000000+SUM(T44,AL44)*10000+SUM(N44,AF44)*100+SUM(H44,Z44)+0.006,1,0)+IF(AW44*1000000+SUM(Y44,AQ44)*10000+SUM(S44,AK44)*100+SUM(M44,AE44)+0.001&gt;AR44*1000000+SUM(T44,AL44)*10000+SUM(N44,AF44)*100+SUM(H44,Z44)+0.006,1,0)=2,"R",IF(IF(AR44*1000000+SUM(T44,AL44)*10000+SUM(N44,AF44)*100+SUM(H44,Z44)+0.006&gt;AS44*1000000+SUM(U44,AM44)*10000+SUM(O44,AG44)*100+SUM(I44,AA44)+0.005,1,0)+IF(AT44*1000000+SUM(V44,AN44)*10000+SUM(P44,AH44)*100+SUM(J44,AB44)+0.004&gt;AS44*1000000+SUM(U44,AM44)*10000+SUM(O44,AG44)*100+SUM(I44,AA44)+0.005,1,0)+IF(AU44*1000000+SUM(W44,AO44)*10000+SUM(Q44,AI44)*100+SUM(K44,AC44)+0.003&gt;AS44*1000000+SUM(U44,AM44)*10000+SUM(O44,AG44)*100+SUM(I44,AA44)+0.005,1,0)+IF(AV44*1000000+SUM(X44,AP44)*10000+SUM(R44,AJ44)*100+SUM(L44,AD44)+0.002&gt;AS44*1000000+SUM(U44,AM44)*10000+SUM(O44,AG44)*100+SUM(I44,AA44)+0.005,1,0)+IF(AW44*1000000+SUM(Y44,AQ44)*10000+SUM(S44,AK44)*100+SUM(M44,AE44)+0.001&gt;AS44*1000000+SUM(U44,AM44)*10000+SUM(O44,AG44)*100+SUM(I44,AA44)+0.005,1,0)=2,"I",IF(IF(AR44*1000000+SUM(T44,AL44)*10000+SUM(N44,AF44)*100+SUM(H44,Z44)+0.006&gt;AT44*1000000+SUM(V44,AN44)*10000+SUM(P44,AH44)*100+SUM(J44,AB44)+0.004,1,0)+IF(AS44*1000000+SUM(U44,AM44)*10000+SUM(O44,AG44)*100+SUM(I44,AA44)+0.005&gt;AT44*1000000+SUM(V44,AN44)*10000+SUM(P44,AH44)*100+SUM(J44,AB44)+0.004,1,0)+IF(AU44*1000000+SUM(W44,AO44)*10000+SUM(Q44,AI44)*100+SUM(K44,AC44)+0.003&gt;AT44*1000000+SUM(V44,AN44)*10000+SUM(P44,AH44)*100+SUM(J44,AB44)+0.004,1,0)+IF(AV44*1000000+SUM(X44,AP44)*10000+SUM(R44,AJ44)*100+SUM(L44,AD44)+0.002&gt;AT44*1000000+SUM(V44,AN44)*10000+SUM(P44,AH44)*100+SUM(J44,AB44)+0.004,1,0)+IF(AW44*1000000+SUM(Y44,AQ44)*10000+SUM(S44,AK44)*100+SUM(M44,AE44)+0.001&gt;AT44*1000000+SUM(V44,AN44)*10000+SUM(P44,AH44)*100+SUM(J44,AB44)+0.004,1,0)=2,"A",IF(IF(AR44*1000000+SUM(T44,AL44)*10000+SUM(N44,AF44)*100+SUM(H44,Z44)+0.006&gt;AU44*1000000+SUM(W44,AO44)*10000+SUM(Q44,AI44)*100+SUM(K44,AC44)+0.003,1,0)+IF(AS44*1000000+SUM(U44,AM44)*10000+SUM(O44,AG44)*100+SUM(I44,AA44)+0.005&gt;AU44*1000000+SUM(W44,AO44)*10000+SUM(Q44,AI44)*100+SUM(K44,AC44)+0.003,1,0)+IF(AT44*1000000+SUM(V44,AN44)*10000+SUM(P44,AH44)*100+SUM(J44,AB44)+0.004&gt;AU44*1000000+SUM(W44,AO44)*10000+SUM(Q44,AI44)*100+SUM(K44,AC44)+0.003,1,0)+IF(AV44*1000000+SUM(X44,AP44)*10000+SUM(R44,AJ44)*100+SUM(L44,AD44)+0.002&gt;AU44*1000000+SUM(W44,AO44)*10000+SUM(Q44,AI44)*100+SUM(K44,AC44)+0.003,1,0)+IF(AW44*1000000+SUM(Y44,AQ44)*10000+SUM(S44,AK44)*100+SUM(M44,AE44)+0.001&gt;AU44*1000000+SUM(W44,AO44)*10000+SUM(Q44,AI44)*100+SUM(K44,AC44)+0.003,1,0)=2,"S",IF(IF(AR44*1000000+SUM(T44,AL44)*10000+SUM(N44,AF44)*100+SUM(H44,Z44)+0.006&gt;AV44*1000000+SUM(X44,AP44)*10000+SUM(R44,AJ44)*100+SUM(L44,AD44)+0.002,1,0)+IF(AS44*1000000+SUM(U44,AM44)*10000+SUM(O44,AG44)*100+SUM(I44,AA44)+0.005&gt;AV44*1000000+SUM(X44,AP44)*10000+SUM(R44,AJ44)*100+SUM(L44,AD44)+0.002,1,0)+IF(AT44*1000000+SUM(V44,AN44)*10000+SUM(P44,AH44)*100+SUM(J44,AB44)+0.004&gt;AV44*1000000+SUM(X44,AP44)*10000+SUM(R44,AJ44)*100+SUM(L44,AD44)+0.002,1,0)+IF(AU44*1000000+SUM(W44,AO44)*10000+SUM(Q44,AI44)*100+SUM(K44,AC44)+0.003&gt;AV44*1000000+SUM(X44,AP44)*10000+SUM(R44,AJ44)*100+SUM(L44,AD44)+0.002,1,0)+IF(AW44*1000000+SUM(Y44,AQ44)*10000+SUM(S44,AK44)*100+SUM(M44,AE44)+0.001&gt;AV44*1000000+SUM(X44,AP44)*10000+SUM(R44,AJ44)*100+SUM(L44,AD44)+0.002,1,0)=2,"E",IF(IF(AR44*1000000+SUM(T44,AL44)*10000+SUM(N44,AF44)*100+SUM(H44,Z44)+0.006&gt;AW44*1000000+SUM(Y44,AQ44)*10000+SUM(S44,AK44)*100+SUM(M44,AE44)+0.001,1,0)+IF(AS44*1000000+SUM(U44,AM44)*10000+SUM(O44,AG44)*100+SUM(I44,AA44)+0.005&gt;AW44*1000000+SUM(Y44,AQ44)*10000+SUM(S44,AK44)*100+SUM(M44,AE44)+0.001,1,0)+IF(AT44*1000000+SUM(V44,AN44)*10000+SUM(P44,AH44)*100+SUM(J44,AB44)+0.004&gt;AW44*1000000+SUM(Y44,AQ44)*10000+SUM(S44,AK44)*100+SUM(M44,AE44)+0.001,1,0)+IF(AU44*1000000+SUM(W44,AO44)*10000+SUM(Q44,AI44)*100+SUM(K44,AC44)+0.003&gt;AW44*1000000+SUM(Y44,AQ44)*10000+SUM(S44,AK44)*100+SUM(M44,AE44)+0.001,1,0)+IF(AV44*1000000+SUM(X44,AP44)*10000+SUM(R44,AJ44)*100+SUM(L44,AD44)+0.002&gt;AW44*1000000+SUM(Y44,AQ44)*10000+SUM(S44,AK44)*100+SUM(M44,AE44)+0.001,1,0)=2,"C","")))))))</x:f>
      </x:c>
      <x:c r="AY44" s="27" t="str">
        <x:f>IF(C44="","",IF(LEFT(AX44,1)="R","นักปฏิบัติ",IF(LEFT(AX44,1)="I","นักคิดวิเคราะห์",IF(LEFT(AX44,1)="A","นักสร้างสรรค์",IF(LEFT(AX44,1)="S","ผู้เข้าใจผู้คน",IF(LEFT(AX44,1)="E","ผู้นำการเปลี่ยนแปลง","ผู้จัดระบบ"))))))</x:f>
      </x:c>
    </x:row>
    <x:row r="45">
      <x:c r="A45" s="27"/>
      <x:c r="B45" s="28"/>
      <x:c r="C45" s="27"/>
      <x:c r="D45" s="27"/>
      <x:c r="E45" s="27"/>
      <x:c r="F45" s="27"/>
      <x:c r="G45" s="27"/>
      <x:c r="H45" s="27"/>
      <x:c r="I45" s="27"/>
      <x:c r="J45" s="27"/>
      <x:c r="K45" s="27"/>
      <x:c r="L45" s="27"/>
      <x:c r="M45" s="27"/>
      <x:c r="N45" s="27"/>
      <x:c r="O45" s="27"/>
      <x:c r="P45" s="27"/>
      <x:c r="Q45" s="27"/>
      <x:c r="R45" s="27"/>
      <x:c r="S45" s="27"/>
      <x:c r="T45" s="27"/>
      <x:c r="U45" s="27"/>
      <x:c r="V45" s="27"/>
      <x:c r="W45" s="27"/>
      <x:c r="X45" s="27"/>
      <x:c r="Y45" s="27"/>
      <x:c r="Z45" s="27"/>
      <x:c r="AA45" s="27"/>
      <x:c r="AB45" s="27"/>
      <x:c r="AC45" s="27"/>
      <x:c r="AD45" s="27"/>
      <x:c r="AE45" s="27"/>
      <x:c r="AF45" s="27"/>
      <x:c r="AG45" s="27"/>
      <x:c r="AH45" s="27"/>
      <x:c r="AI45" s="27"/>
      <x:c r="AJ45" s="27"/>
      <x:c r="AK45" s="27"/>
      <x:c r="AL45" s="27"/>
      <x:c r="AM45" s="27"/>
      <x:c r="AN45" s="27"/>
      <x:c r="AO45" s="27"/>
      <x:c r="AP45" s="27"/>
      <x:c r="AQ45" s="27"/>
      <x:c r="AR45" s="27" t="str">
        <x:f>IF(C45="","",SUM(H45,N45,T45,Z45,AF45,AL45))</x:f>
      </x:c>
      <x:c r="AS45" s="27" t="str">
        <x:f>IF(C45="","",SUM(I45,O45,U45,AA45,AG45,AM45))</x:f>
      </x:c>
      <x:c r="AT45" s="27" t="str">
        <x:f>IF(C45="","",SUM(J45,P45,V45,AB45,AH45,AN45))</x:f>
      </x:c>
      <x:c r="AU45" s="27" t="str">
        <x:f>IF(C45="","",SUM(K45,Q45,W45,AC45,AI45,AO45))</x:f>
      </x:c>
      <x:c r="AV45" s="27" t="str">
        <x:f>IF(C45="","",SUM(L45,R45,X45,AD45,AJ45,AP45))</x:f>
      </x:c>
      <x:c r="AW45" s="27" t="str">
        <x:f>IF(C45="","",SUM(M45,S45,Y45,AE45,AK45,AQ45))</x:f>
      </x:c>
      <x:c r="AX45" s="27" t="str">
        <x:f>IF(C45="","",IF(IF(AS45*1000000+SUM(U45,AM45)*10000+SUM(O45,AG45)*100+SUM(I45,AA45)+0.005&gt;AR45*1000000+SUM(T45,AL45)*10000+SUM(N45,AF45)*100+SUM(H45,Z45)+0.006,1,0)+IF(AT45*1000000+SUM(V45,AN45)*10000+SUM(P45,AH45)*100+SUM(J45,AB45)+0.004&gt;AR45*1000000+SUM(T45,AL45)*10000+SUM(N45,AF45)*100+SUM(H45,Z45)+0.006,1,0)+IF(AU45*1000000+SUM(W45,AO45)*10000+SUM(Q45,AI45)*100+SUM(K45,AC45)+0.003&gt;AR45*1000000+SUM(T45,AL45)*10000+SUM(N45,AF45)*100+SUM(H45,Z45)+0.006,1,0)+IF(AV45*1000000+SUM(X45,AP45)*10000+SUM(R45,AJ45)*100+SUM(L45,AD45)+0.002&gt;AR45*1000000+SUM(T45,AL45)*10000+SUM(N45,AF45)*100+SUM(H45,Z45)+0.006,1,0)+IF(AW45*1000000+SUM(Y45,AQ45)*10000+SUM(S45,AK45)*100+SUM(M45,AE45)+0.001&gt;AR45*1000000+SUM(T45,AL45)*10000+SUM(N45,AF45)*100+SUM(H45,Z45)+0.006,1,0)=0,"R",IF(IF(AR45*1000000+SUM(T45,AL45)*10000+SUM(N45,AF45)*100+SUM(H45,Z45)+0.006&gt;AS45*1000000+SUM(U45,AM45)*10000+SUM(O45,AG45)*100+SUM(I45,AA45)+0.005,1,0)+IF(AT45*1000000+SUM(V45,AN45)*10000+SUM(P45,AH45)*100+SUM(J45,AB45)+0.004&gt;AS45*1000000+SUM(U45,AM45)*10000+SUM(O45,AG45)*100+SUM(I45,AA45)+0.005,1,0)+IF(AU45*1000000+SUM(W45,AO45)*10000+SUM(Q45,AI45)*100+SUM(K45,AC45)+0.003&gt;AS45*1000000+SUM(U45,AM45)*10000+SUM(O45,AG45)*100+SUM(I45,AA45)+0.005,1,0)+IF(AV45*1000000+SUM(X45,AP45)*10000+SUM(R45,AJ45)*100+SUM(L45,AD45)+0.002&gt;AS45*1000000+SUM(U45,AM45)*10000+SUM(O45,AG45)*100+SUM(I45,AA45)+0.005,1,0)+IF(AW45*1000000+SUM(Y45,AQ45)*10000+SUM(S45,AK45)*100+SUM(M45,AE45)+0.001&gt;AS45*1000000+SUM(U45,AM45)*10000+SUM(O45,AG45)*100+SUM(I45,AA45)+0.005,1,0)=0,"I",IF(IF(AR45*1000000+SUM(T45,AL45)*10000+SUM(N45,AF45)*100+SUM(H45,Z45)+0.006&gt;AT45*1000000+SUM(V45,AN45)*10000+SUM(P45,AH45)*100+SUM(J45,AB45)+0.004,1,0)+IF(AS45*1000000+SUM(U45,AM45)*10000+SUM(O45,AG45)*100+SUM(I45,AA45)+0.005&gt;AT45*1000000+SUM(V45,AN45)*10000+SUM(P45,AH45)*100+SUM(J45,AB45)+0.004,1,0)+IF(AU45*1000000+SUM(W45,AO45)*10000+SUM(Q45,AI45)*100+SUM(K45,AC45)+0.003&gt;AT45*1000000+SUM(V45,AN45)*10000+SUM(P45,AH45)*100+SUM(J45,AB45)+0.004,1,0)+IF(AV45*1000000+SUM(X45,AP45)*10000+SUM(R45,AJ45)*100+SUM(L45,AD45)+0.002&gt;AT45*1000000+SUM(V45,AN45)*10000+SUM(P45,AH45)*100+SUM(J45,AB45)+0.004,1,0)+IF(AW45*1000000+SUM(Y45,AQ45)*10000+SUM(S45,AK45)*100+SUM(M45,AE45)+0.001&gt;AT45*1000000+SUM(V45,AN45)*10000+SUM(P45,AH45)*100+SUM(J45,AB45)+0.004,1,0)=0,"A",IF(IF(AR45*1000000+SUM(T45,AL45)*10000+SUM(N45,AF45)*100+SUM(H45,Z45)+0.006&gt;AU45*1000000+SUM(W45,AO45)*10000+SUM(Q45,AI45)*100+SUM(K45,AC45)+0.003,1,0)+IF(AS45*1000000+SUM(U45,AM45)*10000+SUM(O45,AG45)*100+SUM(I45,AA45)+0.005&gt;AU45*1000000+SUM(W45,AO45)*10000+SUM(Q45,AI45)*100+SUM(K45,AC45)+0.003,1,0)+IF(AT45*1000000+SUM(V45,AN45)*10000+SUM(P45,AH45)*100+SUM(J45,AB45)+0.004&gt;AU45*1000000+SUM(W45,AO45)*10000+SUM(Q45,AI45)*100+SUM(K45,AC45)+0.003,1,0)+IF(AV45*1000000+SUM(X45,AP45)*10000+SUM(R45,AJ45)*100+SUM(L45,AD45)+0.002&gt;AU45*1000000+SUM(W45,AO45)*10000+SUM(Q45,AI45)*100+SUM(K45,AC45)+0.003,1,0)+IF(AW45*1000000+SUM(Y45,AQ45)*10000+SUM(S45,AK45)*100+SUM(M45,AE45)+0.001&gt;AU45*1000000+SUM(W45,AO45)*10000+SUM(Q45,AI45)*100+SUM(K45,AC45)+0.003,1,0)=0,"S",IF(IF(AR45*1000000+SUM(T45,AL45)*10000+SUM(N45,AF45)*100+SUM(H45,Z45)+0.006&gt;AV45*1000000+SUM(X45,AP45)*10000+SUM(R45,AJ45)*100+SUM(L45,AD45)+0.002,1,0)+IF(AS45*1000000+SUM(U45,AM45)*10000+SUM(O45,AG45)*100+SUM(I45,AA45)+0.005&gt;AV45*1000000+SUM(X45,AP45)*10000+SUM(R45,AJ45)*100+SUM(L45,AD45)+0.002,1,0)+IF(AT45*1000000+SUM(V45,AN45)*10000+SUM(P45,AH45)*100+SUM(J45,AB45)+0.004&gt;AV45*1000000+SUM(X45,AP45)*10000+SUM(R45,AJ45)*100+SUM(L45,AD45)+0.002,1,0)+IF(AU45*1000000+SUM(W45,AO45)*10000+SUM(Q45,AI45)*100+SUM(K45,AC45)+0.003&gt;AV45*1000000+SUM(X45,AP45)*10000+SUM(R45,AJ45)*100+SUM(L45,AD45)+0.002,1,0)+IF(AW45*1000000+SUM(Y45,AQ45)*10000+SUM(S45,AK45)*100+SUM(M45,AE45)+0.001&gt;AV45*1000000+SUM(X45,AP45)*10000+SUM(R45,AJ45)*100+SUM(L45,AD45)+0.002,1,0)=0,"E",IF(IF(AR45*1000000+SUM(T45,AL45)*10000+SUM(N45,AF45)*100+SUM(H45,Z45)+0.006&gt;AW45*1000000+SUM(Y45,AQ45)*10000+SUM(S45,AK45)*100+SUM(M45,AE45)+0.001,1,0)+IF(AS45*1000000+SUM(U45,AM45)*10000+SUM(O45,AG45)*100+SUM(I45,AA45)+0.005&gt;AW45*1000000+SUM(Y45,AQ45)*10000+SUM(S45,AK45)*100+SUM(M45,AE45)+0.001,1,0)+IF(AT45*1000000+SUM(V45,AN45)*10000+SUM(P45,AH45)*100+SUM(J45,AB45)+0.004&gt;AW45*1000000+SUM(Y45,AQ45)*10000+SUM(S45,AK45)*100+SUM(M45,AE45)+0.001,1,0)+IF(AU45*1000000+SUM(W45,AO45)*10000+SUM(Q45,AI45)*100+SUM(K45,AC45)+0.003&gt;AW45*1000000+SUM(Y45,AQ45)*10000+SUM(S45,AK45)*100+SUM(M45,AE45)+0.001,1,0)+IF(AV45*1000000+SUM(X45,AP45)*10000+SUM(R45,AJ45)*100+SUM(L45,AD45)+0.002&gt;AW45*1000000+SUM(Y45,AQ45)*10000+SUM(S45,AK45)*100+SUM(M45,AE45)+0.001,1,0)=0,"C",""))))))&amp;IF(IF(AS45*1000000+SUM(U45,AM45)*10000+SUM(O45,AG45)*100+SUM(I45,AA45)+0.005&gt;AR45*1000000+SUM(T45,AL45)*10000+SUM(N45,AF45)*100+SUM(H45,Z45)+0.006,1,0)+IF(AT45*1000000+SUM(V45,AN45)*10000+SUM(P45,AH45)*100+SUM(J45,AB45)+0.004&gt;AR45*1000000+SUM(T45,AL45)*10000+SUM(N45,AF45)*100+SUM(H45,Z45)+0.006,1,0)+IF(AU45*1000000+SUM(W45,AO45)*10000+SUM(Q45,AI45)*100+SUM(K45,AC45)+0.003&gt;AR45*1000000+SUM(T45,AL45)*10000+SUM(N45,AF45)*100+SUM(H45,Z45)+0.006,1,0)+IF(AV45*1000000+SUM(X45,AP45)*10000+SUM(R45,AJ45)*100+SUM(L45,AD45)+0.002&gt;AR45*1000000+SUM(T45,AL45)*10000+SUM(N45,AF45)*100+SUM(H45,Z45)+0.006,1,0)+IF(AW45*1000000+SUM(Y45,AQ45)*10000+SUM(S45,AK45)*100+SUM(M45,AE45)+0.001&gt;AR45*1000000+SUM(T45,AL45)*10000+SUM(N45,AF45)*100+SUM(H45,Z45)+0.006,1,0)=1,"R",IF(IF(AR45*1000000+SUM(T45,AL45)*10000+SUM(N45,AF45)*100+SUM(H45,Z45)+0.006&gt;AS45*1000000+SUM(U45,AM45)*10000+SUM(O45,AG45)*100+SUM(I45,AA45)+0.005,1,0)+IF(AT45*1000000+SUM(V45,AN45)*10000+SUM(P45,AH45)*100+SUM(J45,AB45)+0.004&gt;AS45*1000000+SUM(U45,AM45)*10000+SUM(O45,AG45)*100+SUM(I45,AA45)+0.005,1,0)+IF(AU45*1000000+SUM(W45,AO45)*10000+SUM(Q45,AI45)*100+SUM(K45,AC45)+0.003&gt;AS45*1000000+SUM(U45,AM45)*10000+SUM(O45,AG45)*100+SUM(I45,AA45)+0.005,1,0)+IF(AV45*1000000+SUM(X45,AP45)*10000+SUM(R45,AJ45)*100+SUM(L45,AD45)+0.002&gt;AS45*1000000+SUM(U45,AM45)*10000+SUM(O45,AG45)*100+SUM(I45,AA45)+0.005,1,0)+IF(AW45*1000000+SUM(Y45,AQ45)*10000+SUM(S45,AK45)*100+SUM(M45,AE45)+0.001&gt;AS45*1000000+SUM(U45,AM45)*10000+SUM(O45,AG45)*100+SUM(I45,AA45)+0.005,1,0)=1,"I",IF(IF(AR45*1000000+SUM(T45,AL45)*10000+SUM(N45,AF45)*100+SUM(H45,Z45)+0.006&gt;AT45*1000000+SUM(V45,AN45)*10000+SUM(P45,AH45)*100+SUM(J45,AB45)+0.004,1,0)+IF(AS45*1000000+SUM(U45,AM45)*10000+SUM(O45,AG45)*100+SUM(I45,AA45)+0.005&gt;AT45*1000000+SUM(V45,AN45)*10000+SUM(P45,AH45)*100+SUM(J45,AB45)+0.004,1,0)+IF(AU45*1000000+SUM(W45,AO45)*10000+SUM(Q45,AI45)*100+SUM(K45,AC45)+0.003&gt;AT45*1000000+SUM(V45,AN45)*10000+SUM(P45,AH45)*100+SUM(J45,AB45)+0.004,1,0)+IF(AV45*1000000+SUM(X45,AP45)*10000+SUM(R45,AJ45)*100+SUM(L45,AD45)+0.002&gt;AT45*1000000+SUM(V45,AN45)*10000+SUM(P45,AH45)*100+SUM(J45,AB45)+0.004,1,0)+IF(AW45*1000000+SUM(Y45,AQ45)*10000+SUM(S45,AK45)*100+SUM(M45,AE45)+0.001&gt;AT45*1000000+SUM(V45,AN45)*10000+SUM(P45,AH45)*100+SUM(J45,AB45)+0.004,1,0)=1,"A",IF(IF(AR45*1000000+SUM(T45,AL45)*10000+SUM(N45,AF45)*100+SUM(H45,Z45)+0.006&gt;AU45*1000000+SUM(W45,AO45)*10000+SUM(Q45,AI45)*100+SUM(K45,AC45)+0.003,1,0)+IF(AS45*1000000+SUM(U45,AM45)*10000+SUM(O45,AG45)*100+SUM(I45,AA45)+0.005&gt;AU45*1000000+SUM(W45,AO45)*10000+SUM(Q45,AI45)*100+SUM(K45,AC45)+0.003,1,0)+IF(AT45*1000000+SUM(V45,AN45)*10000+SUM(P45,AH45)*100+SUM(J45,AB45)+0.004&gt;AU45*1000000+SUM(W45,AO45)*10000+SUM(Q45,AI45)*100+SUM(K45,AC45)+0.003,1,0)+IF(AV45*1000000+SUM(X45,AP45)*10000+SUM(R45,AJ45)*100+SUM(L45,AD45)+0.002&gt;AU45*1000000+SUM(W45,AO45)*10000+SUM(Q45,AI45)*100+SUM(K45,AC45)+0.003,1,0)+IF(AW45*1000000+SUM(Y45,AQ45)*10000+SUM(S45,AK45)*100+SUM(M45,AE45)+0.001&gt;AU45*1000000+SUM(W45,AO45)*10000+SUM(Q45,AI45)*100+SUM(K45,AC45)+0.003,1,0)=1,"S",IF(IF(AR45*1000000+SUM(T45,AL45)*10000+SUM(N45,AF45)*100+SUM(H45,Z45)+0.006&gt;AV45*1000000+SUM(X45,AP45)*10000+SUM(R45,AJ45)*100+SUM(L45,AD45)+0.002,1,0)+IF(AS45*1000000+SUM(U45,AM45)*10000+SUM(O45,AG45)*100+SUM(I45,AA45)+0.005&gt;AV45*1000000+SUM(X45,AP45)*10000+SUM(R45,AJ45)*100+SUM(L45,AD45)+0.002,1,0)+IF(AT45*1000000+SUM(V45,AN45)*10000+SUM(P45,AH45)*100+SUM(J45,AB45)+0.004&gt;AV45*1000000+SUM(X45,AP45)*10000+SUM(R45,AJ45)*100+SUM(L45,AD45)+0.002,1,0)+IF(AU45*1000000+SUM(W45,AO45)*10000+SUM(Q45,AI45)*100+SUM(K45,AC45)+0.003&gt;AV45*1000000+SUM(X45,AP45)*10000+SUM(R45,AJ45)*100+SUM(L45,AD45)+0.002,1,0)+IF(AW45*1000000+SUM(Y45,AQ45)*10000+SUM(S45,AK45)*100+SUM(M45,AE45)+0.001&gt;AV45*1000000+SUM(X45,AP45)*10000+SUM(R45,AJ45)*100+SUM(L45,AD45)+0.002,1,0)=1,"E",IF(IF(AR45*1000000+SUM(T45,AL45)*10000+SUM(N45,AF45)*100+SUM(H45,Z45)+0.006&gt;AW45*1000000+SUM(Y45,AQ45)*10000+SUM(S45,AK45)*100+SUM(M45,AE45)+0.001,1,0)+IF(AS45*1000000+SUM(U45,AM45)*10000+SUM(O45,AG45)*100+SUM(I45,AA45)+0.005&gt;AW45*1000000+SUM(Y45,AQ45)*10000+SUM(S45,AK45)*100+SUM(M45,AE45)+0.001,1,0)+IF(AT45*1000000+SUM(V45,AN45)*10000+SUM(P45,AH45)*100+SUM(J45,AB45)+0.004&gt;AW45*1000000+SUM(Y45,AQ45)*10000+SUM(S45,AK45)*100+SUM(M45,AE45)+0.001,1,0)+IF(AU45*1000000+SUM(W45,AO45)*10000+SUM(Q45,AI45)*100+SUM(K45,AC45)+0.003&gt;AW45*1000000+SUM(Y45,AQ45)*10000+SUM(S45,AK45)*100+SUM(M45,AE45)+0.001,1,0)+IF(AV45*1000000+SUM(X45,AP45)*10000+SUM(R45,AJ45)*100+SUM(L45,AD45)+0.002&gt;AW45*1000000+SUM(Y45,AQ45)*10000+SUM(S45,AK45)*100+SUM(M45,AE45)+0.001,1,0)=1,"C",""))))))&amp;IF(IF(AS45*1000000+SUM(U45,AM45)*10000+SUM(O45,AG45)*100+SUM(I45,AA45)+0.005&gt;AR45*1000000+SUM(T45,AL45)*10000+SUM(N45,AF45)*100+SUM(H45,Z45)+0.006,1,0)+IF(AT45*1000000+SUM(V45,AN45)*10000+SUM(P45,AH45)*100+SUM(J45,AB45)+0.004&gt;AR45*1000000+SUM(T45,AL45)*10000+SUM(N45,AF45)*100+SUM(H45,Z45)+0.006,1,0)+IF(AU45*1000000+SUM(W45,AO45)*10000+SUM(Q45,AI45)*100+SUM(K45,AC45)+0.003&gt;AR45*1000000+SUM(T45,AL45)*10000+SUM(N45,AF45)*100+SUM(H45,Z45)+0.006,1,0)+IF(AV45*1000000+SUM(X45,AP45)*10000+SUM(R45,AJ45)*100+SUM(L45,AD45)+0.002&gt;AR45*1000000+SUM(T45,AL45)*10000+SUM(N45,AF45)*100+SUM(H45,Z45)+0.006,1,0)+IF(AW45*1000000+SUM(Y45,AQ45)*10000+SUM(S45,AK45)*100+SUM(M45,AE45)+0.001&gt;AR45*1000000+SUM(T45,AL45)*10000+SUM(N45,AF45)*100+SUM(H45,Z45)+0.006,1,0)=2,"R",IF(IF(AR45*1000000+SUM(T45,AL45)*10000+SUM(N45,AF45)*100+SUM(H45,Z45)+0.006&gt;AS45*1000000+SUM(U45,AM45)*10000+SUM(O45,AG45)*100+SUM(I45,AA45)+0.005,1,0)+IF(AT45*1000000+SUM(V45,AN45)*10000+SUM(P45,AH45)*100+SUM(J45,AB45)+0.004&gt;AS45*1000000+SUM(U45,AM45)*10000+SUM(O45,AG45)*100+SUM(I45,AA45)+0.005,1,0)+IF(AU45*1000000+SUM(W45,AO45)*10000+SUM(Q45,AI45)*100+SUM(K45,AC45)+0.003&gt;AS45*1000000+SUM(U45,AM45)*10000+SUM(O45,AG45)*100+SUM(I45,AA45)+0.005,1,0)+IF(AV45*1000000+SUM(X45,AP45)*10000+SUM(R45,AJ45)*100+SUM(L45,AD45)+0.002&gt;AS45*1000000+SUM(U45,AM45)*10000+SUM(O45,AG45)*100+SUM(I45,AA45)+0.005,1,0)+IF(AW45*1000000+SUM(Y45,AQ45)*10000+SUM(S45,AK45)*100+SUM(M45,AE45)+0.001&gt;AS45*1000000+SUM(U45,AM45)*10000+SUM(O45,AG45)*100+SUM(I45,AA45)+0.005,1,0)=2,"I",IF(IF(AR45*1000000+SUM(T45,AL45)*10000+SUM(N45,AF45)*100+SUM(H45,Z45)+0.006&gt;AT45*1000000+SUM(V45,AN45)*10000+SUM(P45,AH45)*100+SUM(J45,AB45)+0.004,1,0)+IF(AS45*1000000+SUM(U45,AM45)*10000+SUM(O45,AG45)*100+SUM(I45,AA45)+0.005&gt;AT45*1000000+SUM(V45,AN45)*10000+SUM(P45,AH45)*100+SUM(J45,AB45)+0.004,1,0)+IF(AU45*1000000+SUM(W45,AO45)*10000+SUM(Q45,AI45)*100+SUM(K45,AC45)+0.003&gt;AT45*1000000+SUM(V45,AN45)*10000+SUM(P45,AH45)*100+SUM(J45,AB45)+0.004,1,0)+IF(AV45*1000000+SUM(X45,AP45)*10000+SUM(R45,AJ45)*100+SUM(L45,AD45)+0.002&gt;AT45*1000000+SUM(V45,AN45)*10000+SUM(P45,AH45)*100+SUM(J45,AB45)+0.004,1,0)+IF(AW45*1000000+SUM(Y45,AQ45)*10000+SUM(S45,AK45)*100+SUM(M45,AE45)+0.001&gt;AT45*1000000+SUM(V45,AN45)*10000+SUM(P45,AH45)*100+SUM(J45,AB45)+0.004,1,0)=2,"A",IF(IF(AR45*1000000+SUM(T45,AL45)*10000+SUM(N45,AF45)*100+SUM(H45,Z45)+0.006&gt;AU45*1000000+SUM(W45,AO45)*10000+SUM(Q45,AI45)*100+SUM(K45,AC45)+0.003,1,0)+IF(AS45*1000000+SUM(U45,AM45)*10000+SUM(O45,AG45)*100+SUM(I45,AA45)+0.005&gt;AU45*1000000+SUM(W45,AO45)*10000+SUM(Q45,AI45)*100+SUM(K45,AC45)+0.003,1,0)+IF(AT45*1000000+SUM(V45,AN45)*10000+SUM(P45,AH45)*100+SUM(J45,AB45)+0.004&gt;AU45*1000000+SUM(W45,AO45)*10000+SUM(Q45,AI45)*100+SUM(K45,AC45)+0.003,1,0)+IF(AV45*1000000+SUM(X45,AP45)*10000+SUM(R45,AJ45)*100+SUM(L45,AD45)+0.002&gt;AU45*1000000+SUM(W45,AO45)*10000+SUM(Q45,AI45)*100+SUM(K45,AC45)+0.003,1,0)+IF(AW45*1000000+SUM(Y45,AQ45)*10000+SUM(S45,AK45)*100+SUM(M45,AE45)+0.001&gt;AU45*1000000+SUM(W45,AO45)*10000+SUM(Q45,AI45)*100+SUM(K45,AC45)+0.003,1,0)=2,"S",IF(IF(AR45*1000000+SUM(T45,AL45)*10000+SUM(N45,AF45)*100+SUM(H45,Z45)+0.006&gt;AV45*1000000+SUM(X45,AP45)*10000+SUM(R45,AJ45)*100+SUM(L45,AD45)+0.002,1,0)+IF(AS45*1000000+SUM(U45,AM45)*10000+SUM(O45,AG45)*100+SUM(I45,AA45)+0.005&gt;AV45*1000000+SUM(X45,AP45)*10000+SUM(R45,AJ45)*100+SUM(L45,AD45)+0.002,1,0)+IF(AT45*1000000+SUM(V45,AN45)*10000+SUM(P45,AH45)*100+SUM(J45,AB45)+0.004&gt;AV45*1000000+SUM(X45,AP45)*10000+SUM(R45,AJ45)*100+SUM(L45,AD45)+0.002,1,0)+IF(AU45*1000000+SUM(W45,AO45)*10000+SUM(Q45,AI45)*100+SUM(K45,AC45)+0.003&gt;AV45*1000000+SUM(X45,AP45)*10000+SUM(R45,AJ45)*100+SUM(L45,AD45)+0.002,1,0)+IF(AW45*1000000+SUM(Y45,AQ45)*10000+SUM(S45,AK45)*100+SUM(M45,AE45)+0.001&gt;AV45*1000000+SUM(X45,AP45)*10000+SUM(R45,AJ45)*100+SUM(L45,AD45)+0.002,1,0)=2,"E",IF(IF(AR45*1000000+SUM(T45,AL45)*10000+SUM(N45,AF45)*100+SUM(H45,Z45)+0.006&gt;AW45*1000000+SUM(Y45,AQ45)*10000+SUM(S45,AK45)*100+SUM(M45,AE45)+0.001,1,0)+IF(AS45*1000000+SUM(U45,AM45)*10000+SUM(O45,AG45)*100+SUM(I45,AA45)+0.005&gt;AW45*1000000+SUM(Y45,AQ45)*10000+SUM(S45,AK45)*100+SUM(M45,AE45)+0.001,1,0)+IF(AT45*1000000+SUM(V45,AN45)*10000+SUM(P45,AH45)*100+SUM(J45,AB45)+0.004&gt;AW45*1000000+SUM(Y45,AQ45)*10000+SUM(S45,AK45)*100+SUM(M45,AE45)+0.001,1,0)+IF(AU45*1000000+SUM(W45,AO45)*10000+SUM(Q45,AI45)*100+SUM(K45,AC45)+0.003&gt;AW45*1000000+SUM(Y45,AQ45)*10000+SUM(S45,AK45)*100+SUM(M45,AE45)+0.001,1,0)+IF(AV45*1000000+SUM(X45,AP45)*10000+SUM(R45,AJ45)*100+SUM(L45,AD45)+0.002&gt;AW45*1000000+SUM(Y45,AQ45)*10000+SUM(S45,AK45)*100+SUM(M45,AE45)+0.001,1,0)=2,"C","")))))))</x:f>
      </x:c>
      <x:c r="AY45" s="27" t="str">
        <x:f>IF(C45="","",IF(LEFT(AX45,1)="R","นักปฏิบัติ",IF(LEFT(AX45,1)="I","นักคิดวิเคราะห์",IF(LEFT(AX45,1)="A","นักสร้างสรรค์",IF(LEFT(AX45,1)="S","ผู้เข้าใจผู้คน",IF(LEFT(AX45,1)="E","ผู้นำการเปลี่ยนแปลง","ผู้จัดระบบ"))))))</x:f>
      </x:c>
    </x:row>
    <x:row r="46">
      <x:c r="A46" s="27"/>
      <x:c r="B46" s="28"/>
      <x:c r="C46" s="27"/>
      <x:c r="D46" s="27"/>
      <x:c r="E46" s="27"/>
      <x:c r="F46" s="27"/>
      <x:c r="G46" s="27"/>
      <x:c r="H46" s="27"/>
      <x:c r="I46" s="27"/>
      <x:c r="J46" s="27"/>
      <x:c r="K46" s="27"/>
      <x:c r="L46" s="27"/>
      <x:c r="M46" s="27"/>
      <x:c r="N46" s="27"/>
      <x:c r="O46" s="27"/>
      <x:c r="P46" s="27"/>
      <x:c r="Q46" s="27"/>
      <x:c r="R46" s="27"/>
      <x:c r="S46" s="27"/>
      <x:c r="T46" s="27"/>
      <x:c r="U46" s="27"/>
      <x:c r="V46" s="27"/>
      <x:c r="W46" s="27"/>
      <x:c r="X46" s="27"/>
      <x:c r="Y46" s="27"/>
      <x:c r="Z46" s="27"/>
      <x:c r="AA46" s="27"/>
      <x:c r="AB46" s="27"/>
      <x:c r="AC46" s="27"/>
      <x:c r="AD46" s="27"/>
      <x:c r="AE46" s="27"/>
      <x:c r="AF46" s="27"/>
      <x:c r="AG46" s="27"/>
      <x:c r="AH46" s="27"/>
      <x:c r="AI46" s="27"/>
      <x:c r="AJ46" s="27"/>
      <x:c r="AK46" s="27"/>
      <x:c r="AL46" s="27"/>
      <x:c r="AM46" s="27"/>
      <x:c r="AN46" s="27"/>
      <x:c r="AO46" s="27"/>
      <x:c r="AP46" s="27"/>
      <x:c r="AQ46" s="27"/>
      <x:c r="AR46" s="27" t="str">
        <x:f>IF(C46="","",SUM(H46,N46,T46,Z46,AF46,AL46))</x:f>
      </x:c>
      <x:c r="AS46" s="27" t="str">
        <x:f>IF(C46="","",SUM(I46,O46,U46,AA46,AG46,AM46))</x:f>
      </x:c>
      <x:c r="AT46" s="27" t="str">
        <x:f>IF(C46="","",SUM(J46,P46,V46,AB46,AH46,AN46))</x:f>
      </x:c>
      <x:c r="AU46" s="27" t="str">
        <x:f>IF(C46="","",SUM(K46,Q46,W46,AC46,AI46,AO46))</x:f>
      </x:c>
      <x:c r="AV46" s="27" t="str">
        <x:f>IF(C46="","",SUM(L46,R46,X46,AD46,AJ46,AP46))</x:f>
      </x:c>
      <x:c r="AW46" s="27" t="str">
        <x:f>IF(C46="","",SUM(M46,S46,Y46,AE46,AK46,AQ46))</x:f>
      </x:c>
      <x:c r="AX46" s="27" t="str">
        <x:f>IF(C46="","",IF(IF(AS46*1000000+SUM(U46,AM46)*10000+SUM(O46,AG46)*100+SUM(I46,AA46)+0.005&gt;AR46*1000000+SUM(T46,AL46)*10000+SUM(N46,AF46)*100+SUM(H46,Z46)+0.006,1,0)+IF(AT46*1000000+SUM(V46,AN46)*10000+SUM(P46,AH46)*100+SUM(J46,AB46)+0.004&gt;AR46*1000000+SUM(T46,AL46)*10000+SUM(N46,AF46)*100+SUM(H46,Z46)+0.006,1,0)+IF(AU46*1000000+SUM(W46,AO46)*10000+SUM(Q46,AI46)*100+SUM(K46,AC46)+0.003&gt;AR46*1000000+SUM(T46,AL46)*10000+SUM(N46,AF46)*100+SUM(H46,Z46)+0.006,1,0)+IF(AV46*1000000+SUM(X46,AP46)*10000+SUM(R46,AJ46)*100+SUM(L46,AD46)+0.002&gt;AR46*1000000+SUM(T46,AL46)*10000+SUM(N46,AF46)*100+SUM(H46,Z46)+0.006,1,0)+IF(AW46*1000000+SUM(Y46,AQ46)*10000+SUM(S46,AK46)*100+SUM(M46,AE46)+0.001&gt;AR46*1000000+SUM(T46,AL46)*10000+SUM(N46,AF46)*100+SUM(H46,Z46)+0.006,1,0)=0,"R",IF(IF(AR46*1000000+SUM(T46,AL46)*10000+SUM(N46,AF46)*100+SUM(H46,Z46)+0.006&gt;AS46*1000000+SUM(U46,AM46)*10000+SUM(O46,AG46)*100+SUM(I46,AA46)+0.005,1,0)+IF(AT46*1000000+SUM(V46,AN46)*10000+SUM(P46,AH46)*100+SUM(J46,AB46)+0.004&gt;AS46*1000000+SUM(U46,AM46)*10000+SUM(O46,AG46)*100+SUM(I46,AA46)+0.005,1,0)+IF(AU46*1000000+SUM(W46,AO46)*10000+SUM(Q46,AI46)*100+SUM(K46,AC46)+0.003&gt;AS46*1000000+SUM(U46,AM46)*10000+SUM(O46,AG46)*100+SUM(I46,AA46)+0.005,1,0)+IF(AV46*1000000+SUM(X46,AP46)*10000+SUM(R46,AJ46)*100+SUM(L46,AD46)+0.002&gt;AS46*1000000+SUM(U46,AM46)*10000+SUM(O46,AG46)*100+SUM(I46,AA46)+0.005,1,0)+IF(AW46*1000000+SUM(Y46,AQ46)*10000+SUM(S46,AK46)*100+SUM(M46,AE46)+0.001&gt;AS46*1000000+SUM(U46,AM46)*10000+SUM(O46,AG46)*100+SUM(I46,AA46)+0.005,1,0)=0,"I",IF(IF(AR46*1000000+SUM(T46,AL46)*10000+SUM(N46,AF46)*100+SUM(H46,Z46)+0.006&gt;AT46*1000000+SUM(V46,AN46)*10000+SUM(P46,AH46)*100+SUM(J46,AB46)+0.004,1,0)+IF(AS46*1000000+SUM(U46,AM46)*10000+SUM(O46,AG46)*100+SUM(I46,AA46)+0.005&gt;AT46*1000000+SUM(V46,AN46)*10000+SUM(P46,AH46)*100+SUM(J46,AB46)+0.004,1,0)+IF(AU46*1000000+SUM(W46,AO46)*10000+SUM(Q46,AI46)*100+SUM(K46,AC46)+0.003&gt;AT46*1000000+SUM(V46,AN46)*10000+SUM(P46,AH46)*100+SUM(J46,AB46)+0.004,1,0)+IF(AV46*1000000+SUM(X46,AP46)*10000+SUM(R46,AJ46)*100+SUM(L46,AD46)+0.002&gt;AT46*1000000+SUM(V46,AN46)*10000+SUM(P46,AH46)*100+SUM(J46,AB46)+0.004,1,0)+IF(AW46*1000000+SUM(Y46,AQ46)*10000+SUM(S46,AK46)*100+SUM(M46,AE46)+0.001&gt;AT46*1000000+SUM(V46,AN46)*10000+SUM(P46,AH46)*100+SUM(J46,AB46)+0.004,1,0)=0,"A",IF(IF(AR46*1000000+SUM(T46,AL46)*10000+SUM(N46,AF46)*100+SUM(H46,Z46)+0.006&gt;AU46*1000000+SUM(W46,AO46)*10000+SUM(Q46,AI46)*100+SUM(K46,AC46)+0.003,1,0)+IF(AS46*1000000+SUM(U46,AM46)*10000+SUM(O46,AG46)*100+SUM(I46,AA46)+0.005&gt;AU46*1000000+SUM(W46,AO46)*10000+SUM(Q46,AI46)*100+SUM(K46,AC46)+0.003,1,0)+IF(AT46*1000000+SUM(V46,AN46)*10000+SUM(P46,AH46)*100+SUM(J46,AB46)+0.004&gt;AU46*1000000+SUM(W46,AO46)*10000+SUM(Q46,AI46)*100+SUM(K46,AC46)+0.003,1,0)+IF(AV46*1000000+SUM(X46,AP46)*10000+SUM(R46,AJ46)*100+SUM(L46,AD46)+0.002&gt;AU46*1000000+SUM(W46,AO46)*10000+SUM(Q46,AI46)*100+SUM(K46,AC46)+0.003,1,0)+IF(AW46*1000000+SUM(Y46,AQ46)*10000+SUM(S46,AK46)*100+SUM(M46,AE46)+0.001&gt;AU46*1000000+SUM(W46,AO46)*10000+SUM(Q46,AI46)*100+SUM(K46,AC46)+0.003,1,0)=0,"S",IF(IF(AR46*1000000+SUM(T46,AL46)*10000+SUM(N46,AF46)*100+SUM(H46,Z46)+0.006&gt;AV46*1000000+SUM(X46,AP46)*10000+SUM(R46,AJ46)*100+SUM(L46,AD46)+0.002,1,0)+IF(AS46*1000000+SUM(U46,AM46)*10000+SUM(O46,AG46)*100+SUM(I46,AA46)+0.005&gt;AV46*1000000+SUM(X46,AP46)*10000+SUM(R46,AJ46)*100+SUM(L46,AD46)+0.002,1,0)+IF(AT46*1000000+SUM(V46,AN46)*10000+SUM(P46,AH46)*100+SUM(J46,AB46)+0.004&gt;AV46*1000000+SUM(X46,AP46)*10000+SUM(R46,AJ46)*100+SUM(L46,AD46)+0.002,1,0)+IF(AU46*1000000+SUM(W46,AO46)*10000+SUM(Q46,AI46)*100+SUM(K46,AC46)+0.003&gt;AV46*1000000+SUM(X46,AP46)*10000+SUM(R46,AJ46)*100+SUM(L46,AD46)+0.002,1,0)+IF(AW46*1000000+SUM(Y46,AQ46)*10000+SUM(S46,AK46)*100+SUM(M46,AE46)+0.001&gt;AV46*1000000+SUM(X46,AP46)*10000+SUM(R46,AJ46)*100+SUM(L46,AD46)+0.002,1,0)=0,"E",IF(IF(AR46*1000000+SUM(T46,AL46)*10000+SUM(N46,AF46)*100+SUM(H46,Z46)+0.006&gt;AW46*1000000+SUM(Y46,AQ46)*10000+SUM(S46,AK46)*100+SUM(M46,AE46)+0.001,1,0)+IF(AS46*1000000+SUM(U46,AM46)*10000+SUM(O46,AG46)*100+SUM(I46,AA46)+0.005&gt;AW46*1000000+SUM(Y46,AQ46)*10000+SUM(S46,AK46)*100+SUM(M46,AE46)+0.001,1,0)+IF(AT46*1000000+SUM(V46,AN46)*10000+SUM(P46,AH46)*100+SUM(J46,AB46)+0.004&gt;AW46*1000000+SUM(Y46,AQ46)*10000+SUM(S46,AK46)*100+SUM(M46,AE46)+0.001,1,0)+IF(AU46*1000000+SUM(W46,AO46)*10000+SUM(Q46,AI46)*100+SUM(K46,AC46)+0.003&gt;AW46*1000000+SUM(Y46,AQ46)*10000+SUM(S46,AK46)*100+SUM(M46,AE46)+0.001,1,0)+IF(AV46*1000000+SUM(X46,AP46)*10000+SUM(R46,AJ46)*100+SUM(L46,AD46)+0.002&gt;AW46*1000000+SUM(Y46,AQ46)*10000+SUM(S46,AK46)*100+SUM(M46,AE46)+0.001,1,0)=0,"C",""))))))&amp;IF(IF(AS46*1000000+SUM(U46,AM46)*10000+SUM(O46,AG46)*100+SUM(I46,AA46)+0.005&gt;AR46*1000000+SUM(T46,AL46)*10000+SUM(N46,AF46)*100+SUM(H46,Z46)+0.006,1,0)+IF(AT46*1000000+SUM(V46,AN46)*10000+SUM(P46,AH46)*100+SUM(J46,AB46)+0.004&gt;AR46*1000000+SUM(T46,AL46)*10000+SUM(N46,AF46)*100+SUM(H46,Z46)+0.006,1,0)+IF(AU46*1000000+SUM(W46,AO46)*10000+SUM(Q46,AI46)*100+SUM(K46,AC46)+0.003&gt;AR46*1000000+SUM(T46,AL46)*10000+SUM(N46,AF46)*100+SUM(H46,Z46)+0.006,1,0)+IF(AV46*1000000+SUM(X46,AP46)*10000+SUM(R46,AJ46)*100+SUM(L46,AD46)+0.002&gt;AR46*1000000+SUM(T46,AL46)*10000+SUM(N46,AF46)*100+SUM(H46,Z46)+0.006,1,0)+IF(AW46*1000000+SUM(Y46,AQ46)*10000+SUM(S46,AK46)*100+SUM(M46,AE46)+0.001&gt;AR46*1000000+SUM(T46,AL46)*10000+SUM(N46,AF46)*100+SUM(H46,Z46)+0.006,1,0)=1,"R",IF(IF(AR46*1000000+SUM(T46,AL46)*10000+SUM(N46,AF46)*100+SUM(H46,Z46)+0.006&gt;AS46*1000000+SUM(U46,AM46)*10000+SUM(O46,AG46)*100+SUM(I46,AA46)+0.005,1,0)+IF(AT46*1000000+SUM(V46,AN46)*10000+SUM(P46,AH46)*100+SUM(J46,AB46)+0.004&gt;AS46*1000000+SUM(U46,AM46)*10000+SUM(O46,AG46)*100+SUM(I46,AA46)+0.005,1,0)+IF(AU46*1000000+SUM(W46,AO46)*10000+SUM(Q46,AI46)*100+SUM(K46,AC46)+0.003&gt;AS46*1000000+SUM(U46,AM46)*10000+SUM(O46,AG46)*100+SUM(I46,AA46)+0.005,1,0)+IF(AV46*1000000+SUM(X46,AP46)*10000+SUM(R46,AJ46)*100+SUM(L46,AD46)+0.002&gt;AS46*1000000+SUM(U46,AM46)*10000+SUM(O46,AG46)*100+SUM(I46,AA46)+0.005,1,0)+IF(AW46*1000000+SUM(Y46,AQ46)*10000+SUM(S46,AK46)*100+SUM(M46,AE46)+0.001&gt;AS46*1000000+SUM(U46,AM46)*10000+SUM(O46,AG46)*100+SUM(I46,AA46)+0.005,1,0)=1,"I",IF(IF(AR46*1000000+SUM(T46,AL46)*10000+SUM(N46,AF46)*100+SUM(H46,Z46)+0.006&gt;AT46*1000000+SUM(V46,AN46)*10000+SUM(P46,AH46)*100+SUM(J46,AB46)+0.004,1,0)+IF(AS46*1000000+SUM(U46,AM46)*10000+SUM(O46,AG46)*100+SUM(I46,AA46)+0.005&gt;AT46*1000000+SUM(V46,AN46)*10000+SUM(P46,AH46)*100+SUM(J46,AB46)+0.004,1,0)+IF(AU46*1000000+SUM(W46,AO46)*10000+SUM(Q46,AI46)*100+SUM(K46,AC46)+0.003&gt;AT46*1000000+SUM(V46,AN46)*10000+SUM(P46,AH46)*100+SUM(J46,AB46)+0.004,1,0)+IF(AV46*1000000+SUM(X46,AP46)*10000+SUM(R46,AJ46)*100+SUM(L46,AD46)+0.002&gt;AT46*1000000+SUM(V46,AN46)*10000+SUM(P46,AH46)*100+SUM(J46,AB46)+0.004,1,0)+IF(AW46*1000000+SUM(Y46,AQ46)*10000+SUM(S46,AK46)*100+SUM(M46,AE46)+0.001&gt;AT46*1000000+SUM(V46,AN46)*10000+SUM(P46,AH46)*100+SUM(J46,AB46)+0.004,1,0)=1,"A",IF(IF(AR46*1000000+SUM(T46,AL46)*10000+SUM(N46,AF46)*100+SUM(H46,Z46)+0.006&gt;AU46*1000000+SUM(W46,AO46)*10000+SUM(Q46,AI46)*100+SUM(K46,AC46)+0.003,1,0)+IF(AS46*1000000+SUM(U46,AM46)*10000+SUM(O46,AG46)*100+SUM(I46,AA46)+0.005&gt;AU46*1000000+SUM(W46,AO46)*10000+SUM(Q46,AI46)*100+SUM(K46,AC46)+0.003,1,0)+IF(AT46*1000000+SUM(V46,AN46)*10000+SUM(P46,AH46)*100+SUM(J46,AB46)+0.004&gt;AU46*1000000+SUM(W46,AO46)*10000+SUM(Q46,AI46)*100+SUM(K46,AC46)+0.003,1,0)+IF(AV46*1000000+SUM(X46,AP46)*10000+SUM(R46,AJ46)*100+SUM(L46,AD46)+0.002&gt;AU46*1000000+SUM(W46,AO46)*10000+SUM(Q46,AI46)*100+SUM(K46,AC46)+0.003,1,0)+IF(AW46*1000000+SUM(Y46,AQ46)*10000+SUM(S46,AK46)*100+SUM(M46,AE46)+0.001&gt;AU46*1000000+SUM(W46,AO46)*10000+SUM(Q46,AI46)*100+SUM(K46,AC46)+0.003,1,0)=1,"S",IF(IF(AR46*1000000+SUM(T46,AL46)*10000+SUM(N46,AF46)*100+SUM(H46,Z46)+0.006&gt;AV46*1000000+SUM(X46,AP46)*10000+SUM(R46,AJ46)*100+SUM(L46,AD46)+0.002,1,0)+IF(AS46*1000000+SUM(U46,AM46)*10000+SUM(O46,AG46)*100+SUM(I46,AA46)+0.005&gt;AV46*1000000+SUM(X46,AP46)*10000+SUM(R46,AJ46)*100+SUM(L46,AD46)+0.002,1,0)+IF(AT46*1000000+SUM(V46,AN46)*10000+SUM(P46,AH46)*100+SUM(J46,AB46)+0.004&gt;AV46*1000000+SUM(X46,AP46)*10000+SUM(R46,AJ46)*100+SUM(L46,AD46)+0.002,1,0)+IF(AU46*1000000+SUM(W46,AO46)*10000+SUM(Q46,AI46)*100+SUM(K46,AC46)+0.003&gt;AV46*1000000+SUM(X46,AP46)*10000+SUM(R46,AJ46)*100+SUM(L46,AD46)+0.002,1,0)+IF(AW46*1000000+SUM(Y46,AQ46)*10000+SUM(S46,AK46)*100+SUM(M46,AE46)+0.001&gt;AV46*1000000+SUM(X46,AP46)*10000+SUM(R46,AJ46)*100+SUM(L46,AD46)+0.002,1,0)=1,"E",IF(IF(AR46*1000000+SUM(T46,AL46)*10000+SUM(N46,AF46)*100+SUM(H46,Z46)+0.006&gt;AW46*1000000+SUM(Y46,AQ46)*10000+SUM(S46,AK46)*100+SUM(M46,AE46)+0.001,1,0)+IF(AS46*1000000+SUM(U46,AM46)*10000+SUM(O46,AG46)*100+SUM(I46,AA46)+0.005&gt;AW46*1000000+SUM(Y46,AQ46)*10000+SUM(S46,AK46)*100+SUM(M46,AE46)+0.001,1,0)+IF(AT46*1000000+SUM(V46,AN46)*10000+SUM(P46,AH46)*100+SUM(J46,AB46)+0.004&gt;AW46*1000000+SUM(Y46,AQ46)*10000+SUM(S46,AK46)*100+SUM(M46,AE46)+0.001,1,0)+IF(AU46*1000000+SUM(W46,AO46)*10000+SUM(Q46,AI46)*100+SUM(K46,AC46)+0.003&gt;AW46*1000000+SUM(Y46,AQ46)*10000+SUM(S46,AK46)*100+SUM(M46,AE46)+0.001,1,0)+IF(AV46*1000000+SUM(X46,AP46)*10000+SUM(R46,AJ46)*100+SUM(L46,AD46)+0.002&gt;AW46*1000000+SUM(Y46,AQ46)*10000+SUM(S46,AK46)*100+SUM(M46,AE46)+0.001,1,0)=1,"C",""))))))&amp;IF(IF(AS46*1000000+SUM(U46,AM46)*10000+SUM(O46,AG46)*100+SUM(I46,AA46)+0.005&gt;AR46*1000000+SUM(T46,AL46)*10000+SUM(N46,AF46)*100+SUM(H46,Z46)+0.006,1,0)+IF(AT46*1000000+SUM(V46,AN46)*10000+SUM(P46,AH46)*100+SUM(J46,AB46)+0.004&gt;AR46*1000000+SUM(T46,AL46)*10000+SUM(N46,AF46)*100+SUM(H46,Z46)+0.006,1,0)+IF(AU46*1000000+SUM(W46,AO46)*10000+SUM(Q46,AI46)*100+SUM(K46,AC46)+0.003&gt;AR46*1000000+SUM(T46,AL46)*10000+SUM(N46,AF46)*100+SUM(H46,Z46)+0.006,1,0)+IF(AV46*1000000+SUM(X46,AP46)*10000+SUM(R46,AJ46)*100+SUM(L46,AD46)+0.002&gt;AR46*1000000+SUM(T46,AL46)*10000+SUM(N46,AF46)*100+SUM(H46,Z46)+0.006,1,0)+IF(AW46*1000000+SUM(Y46,AQ46)*10000+SUM(S46,AK46)*100+SUM(M46,AE46)+0.001&gt;AR46*1000000+SUM(T46,AL46)*10000+SUM(N46,AF46)*100+SUM(H46,Z46)+0.006,1,0)=2,"R",IF(IF(AR46*1000000+SUM(T46,AL46)*10000+SUM(N46,AF46)*100+SUM(H46,Z46)+0.006&gt;AS46*1000000+SUM(U46,AM46)*10000+SUM(O46,AG46)*100+SUM(I46,AA46)+0.005,1,0)+IF(AT46*1000000+SUM(V46,AN46)*10000+SUM(P46,AH46)*100+SUM(J46,AB46)+0.004&gt;AS46*1000000+SUM(U46,AM46)*10000+SUM(O46,AG46)*100+SUM(I46,AA46)+0.005,1,0)+IF(AU46*1000000+SUM(W46,AO46)*10000+SUM(Q46,AI46)*100+SUM(K46,AC46)+0.003&gt;AS46*1000000+SUM(U46,AM46)*10000+SUM(O46,AG46)*100+SUM(I46,AA46)+0.005,1,0)+IF(AV46*1000000+SUM(X46,AP46)*10000+SUM(R46,AJ46)*100+SUM(L46,AD46)+0.002&gt;AS46*1000000+SUM(U46,AM46)*10000+SUM(O46,AG46)*100+SUM(I46,AA46)+0.005,1,0)+IF(AW46*1000000+SUM(Y46,AQ46)*10000+SUM(S46,AK46)*100+SUM(M46,AE46)+0.001&gt;AS46*1000000+SUM(U46,AM46)*10000+SUM(O46,AG46)*100+SUM(I46,AA46)+0.005,1,0)=2,"I",IF(IF(AR46*1000000+SUM(T46,AL46)*10000+SUM(N46,AF46)*100+SUM(H46,Z46)+0.006&gt;AT46*1000000+SUM(V46,AN46)*10000+SUM(P46,AH46)*100+SUM(J46,AB46)+0.004,1,0)+IF(AS46*1000000+SUM(U46,AM46)*10000+SUM(O46,AG46)*100+SUM(I46,AA46)+0.005&gt;AT46*1000000+SUM(V46,AN46)*10000+SUM(P46,AH46)*100+SUM(J46,AB46)+0.004,1,0)+IF(AU46*1000000+SUM(W46,AO46)*10000+SUM(Q46,AI46)*100+SUM(K46,AC46)+0.003&gt;AT46*1000000+SUM(V46,AN46)*10000+SUM(P46,AH46)*100+SUM(J46,AB46)+0.004,1,0)+IF(AV46*1000000+SUM(X46,AP46)*10000+SUM(R46,AJ46)*100+SUM(L46,AD46)+0.002&gt;AT46*1000000+SUM(V46,AN46)*10000+SUM(P46,AH46)*100+SUM(J46,AB46)+0.004,1,0)+IF(AW46*1000000+SUM(Y46,AQ46)*10000+SUM(S46,AK46)*100+SUM(M46,AE46)+0.001&gt;AT46*1000000+SUM(V46,AN46)*10000+SUM(P46,AH46)*100+SUM(J46,AB46)+0.004,1,0)=2,"A",IF(IF(AR46*1000000+SUM(T46,AL46)*10000+SUM(N46,AF46)*100+SUM(H46,Z46)+0.006&gt;AU46*1000000+SUM(W46,AO46)*10000+SUM(Q46,AI46)*100+SUM(K46,AC46)+0.003,1,0)+IF(AS46*1000000+SUM(U46,AM46)*10000+SUM(O46,AG46)*100+SUM(I46,AA46)+0.005&gt;AU46*1000000+SUM(W46,AO46)*10000+SUM(Q46,AI46)*100+SUM(K46,AC46)+0.003,1,0)+IF(AT46*1000000+SUM(V46,AN46)*10000+SUM(P46,AH46)*100+SUM(J46,AB46)+0.004&gt;AU46*1000000+SUM(W46,AO46)*10000+SUM(Q46,AI46)*100+SUM(K46,AC46)+0.003,1,0)+IF(AV46*1000000+SUM(X46,AP46)*10000+SUM(R46,AJ46)*100+SUM(L46,AD46)+0.002&gt;AU46*1000000+SUM(W46,AO46)*10000+SUM(Q46,AI46)*100+SUM(K46,AC46)+0.003,1,0)+IF(AW46*1000000+SUM(Y46,AQ46)*10000+SUM(S46,AK46)*100+SUM(M46,AE46)+0.001&gt;AU46*1000000+SUM(W46,AO46)*10000+SUM(Q46,AI46)*100+SUM(K46,AC46)+0.003,1,0)=2,"S",IF(IF(AR46*1000000+SUM(T46,AL46)*10000+SUM(N46,AF46)*100+SUM(H46,Z46)+0.006&gt;AV46*1000000+SUM(X46,AP46)*10000+SUM(R46,AJ46)*100+SUM(L46,AD46)+0.002,1,0)+IF(AS46*1000000+SUM(U46,AM46)*10000+SUM(O46,AG46)*100+SUM(I46,AA46)+0.005&gt;AV46*1000000+SUM(X46,AP46)*10000+SUM(R46,AJ46)*100+SUM(L46,AD46)+0.002,1,0)+IF(AT46*1000000+SUM(V46,AN46)*10000+SUM(P46,AH46)*100+SUM(J46,AB46)+0.004&gt;AV46*1000000+SUM(X46,AP46)*10000+SUM(R46,AJ46)*100+SUM(L46,AD46)+0.002,1,0)+IF(AU46*1000000+SUM(W46,AO46)*10000+SUM(Q46,AI46)*100+SUM(K46,AC46)+0.003&gt;AV46*1000000+SUM(X46,AP46)*10000+SUM(R46,AJ46)*100+SUM(L46,AD46)+0.002,1,0)+IF(AW46*1000000+SUM(Y46,AQ46)*10000+SUM(S46,AK46)*100+SUM(M46,AE46)+0.001&gt;AV46*1000000+SUM(X46,AP46)*10000+SUM(R46,AJ46)*100+SUM(L46,AD46)+0.002,1,0)=2,"E",IF(IF(AR46*1000000+SUM(T46,AL46)*10000+SUM(N46,AF46)*100+SUM(H46,Z46)+0.006&gt;AW46*1000000+SUM(Y46,AQ46)*10000+SUM(S46,AK46)*100+SUM(M46,AE46)+0.001,1,0)+IF(AS46*1000000+SUM(U46,AM46)*10000+SUM(O46,AG46)*100+SUM(I46,AA46)+0.005&gt;AW46*1000000+SUM(Y46,AQ46)*10000+SUM(S46,AK46)*100+SUM(M46,AE46)+0.001,1,0)+IF(AT46*1000000+SUM(V46,AN46)*10000+SUM(P46,AH46)*100+SUM(J46,AB46)+0.004&gt;AW46*1000000+SUM(Y46,AQ46)*10000+SUM(S46,AK46)*100+SUM(M46,AE46)+0.001,1,0)+IF(AU46*1000000+SUM(W46,AO46)*10000+SUM(Q46,AI46)*100+SUM(K46,AC46)+0.003&gt;AW46*1000000+SUM(Y46,AQ46)*10000+SUM(S46,AK46)*100+SUM(M46,AE46)+0.001,1,0)+IF(AV46*1000000+SUM(X46,AP46)*10000+SUM(R46,AJ46)*100+SUM(L46,AD46)+0.002&gt;AW46*1000000+SUM(Y46,AQ46)*10000+SUM(S46,AK46)*100+SUM(M46,AE46)+0.001,1,0)=2,"C","")))))))</x:f>
      </x:c>
      <x:c r="AY46" s="27" t="str">
        <x:f>IF(C46="","",IF(LEFT(AX46,1)="R","นักปฏิบัติ",IF(LEFT(AX46,1)="I","นักคิดวิเคราะห์",IF(LEFT(AX46,1)="A","นักสร้างสรรค์",IF(LEFT(AX46,1)="S","ผู้เข้าใจผู้คน",IF(LEFT(AX46,1)="E","ผู้นำการเปลี่ยนแปลง","ผู้จัดระบบ"))))))</x:f>
      </x:c>
    </x:row>
    <x:row r="47">
      <x:c r="A47" s="27"/>
      <x:c r="B47" s="28"/>
      <x:c r="C47" s="27"/>
      <x:c r="D47" s="27"/>
      <x:c r="E47" s="27"/>
      <x:c r="F47" s="27"/>
      <x:c r="G47" s="27"/>
      <x:c r="H47" s="27"/>
      <x:c r="I47" s="27"/>
      <x:c r="J47" s="27"/>
      <x:c r="K47" s="27"/>
      <x:c r="L47" s="27"/>
      <x:c r="M47" s="27"/>
      <x:c r="N47" s="27"/>
      <x:c r="O47" s="27"/>
      <x:c r="P47" s="27"/>
      <x:c r="Q47" s="27"/>
      <x:c r="R47" s="27"/>
      <x:c r="S47" s="27"/>
      <x:c r="T47" s="27"/>
      <x:c r="U47" s="27"/>
      <x:c r="V47" s="27"/>
      <x:c r="W47" s="27"/>
      <x:c r="X47" s="27"/>
      <x:c r="Y47" s="27"/>
      <x:c r="Z47" s="27"/>
      <x:c r="AA47" s="27"/>
      <x:c r="AB47" s="27"/>
      <x:c r="AC47" s="27"/>
      <x:c r="AD47" s="27"/>
      <x:c r="AE47" s="27"/>
      <x:c r="AF47" s="27"/>
      <x:c r="AG47" s="27"/>
      <x:c r="AH47" s="27"/>
      <x:c r="AI47" s="27"/>
      <x:c r="AJ47" s="27"/>
      <x:c r="AK47" s="27"/>
      <x:c r="AL47" s="27"/>
      <x:c r="AM47" s="27"/>
      <x:c r="AN47" s="27"/>
      <x:c r="AO47" s="27"/>
      <x:c r="AP47" s="27"/>
      <x:c r="AQ47" s="27"/>
      <x:c r="AR47" s="27" t="str">
        <x:f>IF(C47="","",SUM(H47,N47,T47,Z47,AF47,AL47))</x:f>
      </x:c>
      <x:c r="AS47" s="27" t="str">
        <x:f>IF(C47="","",SUM(I47,O47,U47,AA47,AG47,AM47))</x:f>
      </x:c>
      <x:c r="AT47" s="27" t="str">
        <x:f>IF(C47="","",SUM(J47,P47,V47,AB47,AH47,AN47))</x:f>
      </x:c>
      <x:c r="AU47" s="27" t="str">
        <x:f>IF(C47="","",SUM(K47,Q47,W47,AC47,AI47,AO47))</x:f>
      </x:c>
      <x:c r="AV47" s="27" t="str">
        <x:f>IF(C47="","",SUM(L47,R47,X47,AD47,AJ47,AP47))</x:f>
      </x:c>
      <x:c r="AW47" s="27" t="str">
        <x:f>IF(C47="","",SUM(M47,S47,Y47,AE47,AK47,AQ47))</x:f>
      </x:c>
      <x:c r="AX47" s="27" t="str">
        <x:f>IF(C47="","",IF(IF(AS47*1000000+SUM(U47,AM47)*10000+SUM(O47,AG47)*100+SUM(I47,AA47)+0.005&gt;AR47*1000000+SUM(T47,AL47)*10000+SUM(N47,AF47)*100+SUM(H47,Z47)+0.006,1,0)+IF(AT47*1000000+SUM(V47,AN47)*10000+SUM(P47,AH47)*100+SUM(J47,AB47)+0.004&gt;AR47*1000000+SUM(T47,AL47)*10000+SUM(N47,AF47)*100+SUM(H47,Z47)+0.006,1,0)+IF(AU47*1000000+SUM(W47,AO47)*10000+SUM(Q47,AI47)*100+SUM(K47,AC47)+0.003&gt;AR47*1000000+SUM(T47,AL47)*10000+SUM(N47,AF47)*100+SUM(H47,Z47)+0.006,1,0)+IF(AV47*1000000+SUM(X47,AP47)*10000+SUM(R47,AJ47)*100+SUM(L47,AD47)+0.002&gt;AR47*1000000+SUM(T47,AL47)*10000+SUM(N47,AF47)*100+SUM(H47,Z47)+0.006,1,0)+IF(AW47*1000000+SUM(Y47,AQ47)*10000+SUM(S47,AK47)*100+SUM(M47,AE47)+0.001&gt;AR47*1000000+SUM(T47,AL47)*10000+SUM(N47,AF47)*100+SUM(H47,Z47)+0.006,1,0)=0,"R",IF(IF(AR47*1000000+SUM(T47,AL47)*10000+SUM(N47,AF47)*100+SUM(H47,Z47)+0.006&gt;AS47*1000000+SUM(U47,AM47)*10000+SUM(O47,AG47)*100+SUM(I47,AA47)+0.005,1,0)+IF(AT47*1000000+SUM(V47,AN47)*10000+SUM(P47,AH47)*100+SUM(J47,AB47)+0.004&gt;AS47*1000000+SUM(U47,AM47)*10000+SUM(O47,AG47)*100+SUM(I47,AA47)+0.005,1,0)+IF(AU47*1000000+SUM(W47,AO47)*10000+SUM(Q47,AI47)*100+SUM(K47,AC47)+0.003&gt;AS47*1000000+SUM(U47,AM47)*10000+SUM(O47,AG47)*100+SUM(I47,AA47)+0.005,1,0)+IF(AV47*1000000+SUM(X47,AP47)*10000+SUM(R47,AJ47)*100+SUM(L47,AD47)+0.002&gt;AS47*1000000+SUM(U47,AM47)*10000+SUM(O47,AG47)*100+SUM(I47,AA47)+0.005,1,0)+IF(AW47*1000000+SUM(Y47,AQ47)*10000+SUM(S47,AK47)*100+SUM(M47,AE47)+0.001&gt;AS47*1000000+SUM(U47,AM47)*10000+SUM(O47,AG47)*100+SUM(I47,AA47)+0.005,1,0)=0,"I",IF(IF(AR47*1000000+SUM(T47,AL47)*10000+SUM(N47,AF47)*100+SUM(H47,Z47)+0.006&gt;AT47*1000000+SUM(V47,AN47)*10000+SUM(P47,AH47)*100+SUM(J47,AB47)+0.004,1,0)+IF(AS47*1000000+SUM(U47,AM47)*10000+SUM(O47,AG47)*100+SUM(I47,AA47)+0.005&gt;AT47*1000000+SUM(V47,AN47)*10000+SUM(P47,AH47)*100+SUM(J47,AB47)+0.004,1,0)+IF(AU47*1000000+SUM(W47,AO47)*10000+SUM(Q47,AI47)*100+SUM(K47,AC47)+0.003&gt;AT47*1000000+SUM(V47,AN47)*10000+SUM(P47,AH47)*100+SUM(J47,AB47)+0.004,1,0)+IF(AV47*1000000+SUM(X47,AP47)*10000+SUM(R47,AJ47)*100+SUM(L47,AD47)+0.002&gt;AT47*1000000+SUM(V47,AN47)*10000+SUM(P47,AH47)*100+SUM(J47,AB47)+0.004,1,0)+IF(AW47*1000000+SUM(Y47,AQ47)*10000+SUM(S47,AK47)*100+SUM(M47,AE47)+0.001&gt;AT47*1000000+SUM(V47,AN47)*10000+SUM(P47,AH47)*100+SUM(J47,AB47)+0.004,1,0)=0,"A",IF(IF(AR47*1000000+SUM(T47,AL47)*10000+SUM(N47,AF47)*100+SUM(H47,Z47)+0.006&gt;AU47*1000000+SUM(W47,AO47)*10000+SUM(Q47,AI47)*100+SUM(K47,AC47)+0.003,1,0)+IF(AS47*1000000+SUM(U47,AM47)*10000+SUM(O47,AG47)*100+SUM(I47,AA47)+0.005&gt;AU47*1000000+SUM(W47,AO47)*10000+SUM(Q47,AI47)*100+SUM(K47,AC47)+0.003,1,0)+IF(AT47*1000000+SUM(V47,AN47)*10000+SUM(P47,AH47)*100+SUM(J47,AB47)+0.004&gt;AU47*1000000+SUM(W47,AO47)*10000+SUM(Q47,AI47)*100+SUM(K47,AC47)+0.003,1,0)+IF(AV47*1000000+SUM(X47,AP47)*10000+SUM(R47,AJ47)*100+SUM(L47,AD47)+0.002&gt;AU47*1000000+SUM(W47,AO47)*10000+SUM(Q47,AI47)*100+SUM(K47,AC47)+0.003,1,0)+IF(AW47*1000000+SUM(Y47,AQ47)*10000+SUM(S47,AK47)*100+SUM(M47,AE47)+0.001&gt;AU47*1000000+SUM(W47,AO47)*10000+SUM(Q47,AI47)*100+SUM(K47,AC47)+0.003,1,0)=0,"S",IF(IF(AR47*1000000+SUM(T47,AL47)*10000+SUM(N47,AF47)*100+SUM(H47,Z47)+0.006&gt;AV47*1000000+SUM(X47,AP47)*10000+SUM(R47,AJ47)*100+SUM(L47,AD47)+0.002,1,0)+IF(AS47*1000000+SUM(U47,AM47)*10000+SUM(O47,AG47)*100+SUM(I47,AA47)+0.005&gt;AV47*1000000+SUM(X47,AP47)*10000+SUM(R47,AJ47)*100+SUM(L47,AD47)+0.002,1,0)+IF(AT47*1000000+SUM(V47,AN47)*10000+SUM(P47,AH47)*100+SUM(J47,AB47)+0.004&gt;AV47*1000000+SUM(X47,AP47)*10000+SUM(R47,AJ47)*100+SUM(L47,AD47)+0.002,1,0)+IF(AU47*1000000+SUM(W47,AO47)*10000+SUM(Q47,AI47)*100+SUM(K47,AC47)+0.003&gt;AV47*1000000+SUM(X47,AP47)*10000+SUM(R47,AJ47)*100+SUM(L47,AD47)+0.002,1,0)+IF(AW47*1000000+SUM(Y47,AQ47)*10000+SUM(S47,AK47)*100+SUM(M47,AE47)+0.001&gt;AV47*1000000+SUM(X47,AP47)*10000+SUM(R47,AJ47)*100+SUM(L47,AD47)+0.002,1,0)=0,"E",IF(IF(AR47*1000000+SUM(T47,AL47)*10000+SUM(N47,AF47)*100+SUM(H47,Z47)+0.006&gt;AW47*1000000+SUM(Y47,AQ47)*10000+SUM(S47,AK47)*100+SUM(M47,AE47)+0.001,1,0)+IF(AS47*1000000+SUM(U47,AM47)*10000+SUM(O47,AG47)*100+SUM(I47,AA47)+0.005&gt;AW47*1000000+SUM(Y47,AQ47)*10000+SUM(S47,AK47)*100+SUM(M47,AE47)+0.001,1,0)+IF(AT47*1000000+SUM(V47,AN47)*10000+SUM(P47,AH47)*100+SUM(J47,AB47)+0.004&gt;AW47*1000000+SUM(Y47,AQ47)*10000+SUM(S47,AK47)*100+SUM(M47,AE47)+0.001,1,0)+IF(AU47*1000000+SUM(W47,AO47)*10000+SUM(Q47,AI47)*100+SUM(K47,AC47)+0.003&gt;AW47*1000000+SUM(Y47,AQ47)*10000+SUM(S47,AK47)*100+SUM(M47,AE47)+0.001,1,0)+IF(AV47*1000000+SUM(X47,AP47)*10000+SUM(R47,AJ47)*100+SUM(L47,AD47)+0.002&gt;AW47*1000000+SUM(Y47,AQ47)*10000+SUM(S47,AK47)*100+SUM(M47,AE47)+0.001,1,0)=0,"C",""))))))&amp;IF(IF(AS47*1000000+SUM(U47,AM47)*10000+SUM(O47,AG47)*100+SUM(I47,AA47)+0.005&gt;AR47*1000000+SUM(T47,AL47)*10000+SUM(N47,AF47)*100+SUM(H47,Z47)+0.006,1,0)+IF(AT47*1000000+SUM(V47,AN47)*10000+SUM(P47,AH47)*100+SUM(J47,AB47)+0.004&gt;AR47*1000000+SUM(T47,AL47)*10000+SUM(N47,AF47)*100+SUM(H47,Z47)+0.006,1,0)+IF(AU47*1000000+SUM(W47,AO47)*10000+SUM(Q47,AI47)*100+SUM(K47,AC47)+0.003&gt;AR47*1000000+SUM(T47,AL47)*10000+SUM(N47,AF47)*100+SUM(H47,Z47)+0.006,1,0)+IF(AV47*1000000+SUM(X47,AP47)*10000+SUM(R47,AJ47)*100+SUM(L47,AD47)+0.002&gt;AR47*1000000+SUM(T47,AL47)*10000+SUM(N47,AF47)*100+SUM(H47,Z47)+0.006,1,0)+IF(AW47*1000000+SUM(Y47,AQ47)*10000+SUM(S47,AK47)*100+SUM(M47,AE47)+0.001&gt;AR47*1000000+SUM(T47,AL47)*10000+SUM(N47,AF47)*100+SUM(H47,Z47)+0.006,1,0)=1,"R",IF(IF(AR47*1000000+SUM(T47,AL47)*10000+SUM(N47,AF47)*100+SUM(H47,Z47)+0.006&gt;AS47*1000000+SUM(U47,AM47)*10000+SUM(O47,AG47)*100+SUM(I47,AA47)+0.005,1,0)+IF(AT47*1000000+SUM(V47,AN47)*10000+SUM(P47,AH47)*100+SUM(J47,AB47)+0.004&gt;AS47*1000000+SUM(U47,AM47)*10000+SUM(O47,AG47)*100+SUM(I47,AA47)+0.005,1,0)+IF(AU47*1000000+SUM(W47,AO47)*10000+SUM(Q47,AI47)*100+SUM(K47,AC47)+0.003&gt;AS47*1000000+SUM(U47,AM47)*10000+SUM(O47,AG47)*100+SUM(I47,AA47)+0.005,1,0)+IF(AV47*1000000+SUM(X47,AP47)*10000+SUM(R47,AJ47)*100+SUM(L47,AD47)+0.002&gt;AS47*1000000+SUM(U47,AM47)*10000+SUM(O47,AG47)*100+SUM(I47,AA47)+0.005,1,0)+IF(AW47*1000000+SUM(Y47,AQ47)*10000+SUM(S47,AK47)*100+SUM(M47,AE47)+0.001&gt;AS47*1000000+SUM(U47,AM47)*10000+SUM(O47,AG47)*100+SUM(I47,AA47)+0.005,1,0)=1,"I",IF(IF(AR47*1000000+SUM(T47,AL47)*10000+SUM(N47,AF47)*100+SUM(H47,Z47)+0.006&gt;AT47*1000000+SUM(V47,AN47)*10000+SUM(P47,AH47)*100+SUM(J47,AB47)+0.004,1,0)+IF(AS47*1000000+SUM(U47,AM47)*10000+SUM(O47,AG47)*100+SUM(I47,AA47)+0.005&gt;AT47*1000000+SUM(V47,AN47)*10000+SUM(P47,AH47)*100+SUM(J47,AB47)+0.004,1,0)+IF(AU47*1000000+SUM(W47,AO47)*10000+SUM(Q47,AI47)*100+SUM(K47,AC47)+0.003&gt;AT47*1000000+SUM(V47,AN47)*10000+SUM(P47,AH47)*100+SUM(J47,AB47)+0.004,1,0)+IF(AV47*1000000+SUM(X47,AP47)*10000+SUM(R47,AJ47)*100+SUM(L47,AD47)+0.002&gt;AT47*1000000+SUM(V47,AN47)*10000+SUM(P47,AH47)*100+SUM(J47,AB47)+0.004,1,0)+IF(AW47*1000000+SUM(Y47,AQ47)*10000+SUM(S47,AK47)*100+SUM(M47,AE47)+0.001&gt;AT47*1000000+SUM(V47,AN47)*10000+SUM(P47,AH47)*100+SUM(J47,AB47)+0.004,1,0)=1,"A",IF(IF(AR47*1000000+SUM(T47,AL47)*10000+SUM(N47,AF47)*100+SUM(H47,Z47)+0.006&gt;AU47*1000000+SUM(W47,AO47)*10000+SUM(Q47,AI47)*100+SUM(K47,AC47)+0.003,1,0)+IF(AS47*1000000+SUM(U47,AM47)*10000+SUM(O47,AG47)*100+SUM(I47,AA47)+0.005&gt;AU47*1000000+SUM(W47,AO47)*10000+SUM(Q47,AI47)*100+SUM(K47,AC47)+0.003,1,0)+IF(AT47*1000000+SUM(V47,AN47)*10000+SUM(P47,AH47)*100+SUM(J47,AB47)+0.004&gt;AU47*1000000+SUM(W47,AO47)*10000+SUM(Q47,AI47)*100+SUM(K47,AC47)+0.003,1,0)+IF(AV47*1000000+SUM(X47,AP47)*10000+SUM(R47,AJ47)*100+SUM(L47,AD47)+0.002&gt;AU47*1000000+SUM(W47,AO47)*10000+SUM(Q47,AI47)*100+SUM(K47,AC47)+0.003,1,0)+IF(AW47*1000000+SUM(Y47,AQ47)*10000+SUM(S47,AK47)*100+SUM(M47,AE47)+0.001&gt;AU47*1000000+SUM(W47,AO47)*10000+SUM(Q47,AI47)*100+SUM(K47,AC47)+0.003,1,0)=1,"S",IF(IF(AR47*1000000+SUM(T47,AL47)*10000+SUM(N47,AF47)*100+SUM(H47,Z47)+0.006&gt;AV47*1000000+SUM(X47,AP47)*10000+SUM(R47,AJ47)*100+SUM(L47,AD47)+0.002,1,0)+IF(AS47*1000000+SUM(U47,AM47)*10000+SUM(O47,AG47)*100+SUM(I47,AA47)+0.005&gt;AV47*1000000+SUM(X47,AP47)*10000+SUM(R47,AJ47)*100+SUM(L47,AD47)+0.002,1,0)+IF(AT47*1000000+SUM(V47,AN47)*10000+SUM(P47,AH47)*100+SUM(J47,AB47)+0.004&gt;AV47*1000000+SUM(X47,AP47)*10000+SUM(R47,AJ47)*100+SUM(L47,AD47)+0.002,1,0)+IF(AU47*1000000+SUM(W47,AO47)*10000+SUM(Q47,AI47)*100+SUM(K47,AC47)+0.003&gt;AV47*1000000+SUM(X47,AP47)*10000+SUM(R47,AJ47)*100+SUM(L47,AD47)+0.002,1,0)+IF(AW47*1000000+SUM(Y47,AQ47)*10000+SUM(S47,AK47)*100+SUM(M47,AE47)+0.001&gt;AV47*1000000+SUM(X47,AP47)*10000+SUM(R47,AJ47)*100+SUM(L47,AD47)+0.002,1,0)=1,"E",IF(IF(AR47*1000000+SUM(T47,AL47)*10000+SUM(N47,AF47)*100+SUM(H47,Z47)+0.006&gt;AW47*1000000+SUM(Y47,AQ47)*10000+SUM(S47,AK47)*100+SUM(M47,AE47)+0.001,1,0)+IF(AS47*1000000+SUM(U47,AM47)*10000+SUM(O47,AG47)*100+SUM(I47,AA47)+0.005&gt;AW47*1000000+SUM(Y47,AQ47)*10000+SUM(S47,AK47)*100+SUM(M47,AE47)+0.001,1,0)+IF(AT47*1000000+SUM(V47,AN47)*10000+SUM(P47,AH47)*100+SUM(J47,AB47)+0.004&gt;AW47*1000000+SUM(Y47,AQ47)*10000+SUM(S47,AK47)*100+SUM(M47,AE47)+0.001,1,0)+IF(AU47*1000000+SUM(W47,AO47)*10000+SUM(Q47,AI47)*100+SUM(K47,AC47)+0.003&gt;AW47*1000000+SUM(Y47,AQ47)*10000+SUM(S47,AK47)*100+SUM(M47,AE47)+0.001,1,0)+IF(AV47*1000000+SUM(X47,AP47)*10000+SUM(R47,AJ47)*100+SUM(L47,AD47)+0.002&gt;AW47*1000000+SUM(Y47,AQ47)*10000+SUM(S47,AK47)*100+SUM(M47,AE47)+0.001,1,0)=1,"C",""))))))&amp;IF(IF(AS47*1000000+SUM(U47,AM47)*10000+SUM(O47,AG47)*100+SUM(I47,AA47)+0.005&gt;AR47*1000000+SUM(T47,AL47)*10000+SUM(N47,AF47)*100+SUM(H47,Z47)+0.006,1,0)+IF(AT47*1000000+SUM(V47,AN47)*10000+SUM(P47,AH47)*100+SUM(J47,AB47)+0.004&gt;AR47*1000000+SUM(T47,AL47)*10000+SUM(N47,AF47)*100+SUM(H47,Z47)+0.006,1,0)+IF(AU47*1000000+SUM(W47,AO47)*10000+SUM(Q47,AI47)*100+SUM(K47,AC47)+0.003&gt;AR47*1000000+SUM(T47,AL47)*10000+SUM(N47,AF47)*100+SUM(H47,Z47)+0.006,1,0)+IF(AV47*1000000+SUM(X47,AP47)*10000+SUM(R47,AJ47)*100+SUM(L47,AD47)+0.002&gt;AR47*1000000+SUM(T47,AL47)*10000+SUM(N47,AF47)*100+SUM(H47,Z47)+0.006,1,0)+IF(AW47*1000000+SUM(Y47,AQ47)*10000+SUM(S47,AK47)*100+SUM(M47,AE47)+0.001&gt;AR47*1000000+SUM(T47,AL47)*10000+SUM(N47,AF47)*100+SUM(H47,Z47)+0.006,1,0)=2,"R",IF(IF(AR47*1000000+SUM(T47,AL47)*10000+SUM(N47,AF47)*100+SUM(H47,Z47)+0.006&gt;AS47*1000000+SUM(U47,AM47)*10000+SUM(O47,AG47)*100+SUM(I47,AA47)+0.005,1,0)+IF(AT47*1000000+SUM(V47,AN47)*10000+SUM(P47,AH47)*100+SUM(J47,AB47)+0.004&gt;AS47*1000000+SUM(U47,AM47)*10000+SUM(O47,AG47)*100+SUM(I47,AA47)+0.005,1,0)+IF(AU47*1000000+SUM(W47,AO47)*10000+SUM(Q47,AI47)*100+SUM(K47,AC47)+0.003&gt;AS47*1000000+SUM(U47,AM47)*10000+SUM(O47,AG47)*100+SUM(I47,AA47)+0.005,1,0)+IF(AV47*1000000+SUM(X47,AP47)*10000+SUM(R47,AJ47)*100+SUM(L47,AD47)+0.002&gt;AS47*1000000+SUM(U47,AM47)*10000+SUM(O47,AG47)*100+SUM(I47,AA47)+0.005,1,0)+IF(AW47*1000000+SUM(Y47,AQ47)*10000+SUM(S47,AK47)*100+SUM(M47,AE47)+0.001&gt;AS47*1000000+SUM(U47,AM47)*10000+SUM(O47,AG47)*100+SUM(I47,AA47)+0.005,1,0)=2,"I",IF(IF(AR47*1000000+SUM(T47,AL47)*10000+SUM(N47,AF47)*100+SUM(H47,Z47)+0.006&gt;AT47*1000000+SUM(V47,AN47)*10000+SUM(P47,AH47)*100+SUM(J47,AB47)+0.004,1,0)+IF(AS47*1000000+SUM(U47,AM47)*10000+SUM(O47,AG47)*100+SUM(I47,AA47)+0.005&gt;AT47*1000000+SUM(V47,AN47)*10000+SUM(P47,AH47)*100+SUM(J47,AB47)+0.004,1,0)+IF(AU47*1000000+SUM(W47,AO47)*10000+SUM(Q47,AI47)*100+SUM(K47,AC47)+0.003&gt;AT47*1000000+SUM(V47,AN47)*10000+SUM(P47,AH47)*100+SUM(J47,AB47)+0.004,1,0)+IF(AV47*1000000+SUM(X47,AP47)*10000+SUM(R47,AJ47)*100+SUM(L47,AD47)+0.002&gt;AT47*1000000+SUM(V47,AN47)*10000+SUM(P47,AH47)*100+SUM(J47,AB47)+0.004,1,0)+IF(AW47*1000000+SUM(Y47,AQ47)*10000+SUM(S47,AK47)*100+SUM(M47,AE47)+0.001&gt;AT47*1000000+SUM(V47,AN47)*10000+SUM(P47,AH47)*100+SUM(J47,AB47)+0.004,1,0)=2,"A",IF(IF(AR47*1000000+SUM(T47,AL47)*10000+SUM(N47,AF47)*100+SUM(H47,Z47)+0.006&gt;AU47*1000000+SUM(W47,AO47)*10000+SUM(Q47,AI47)*100+SUM(K47,AC47)+0.003,1,0)+IF(AS47*1000000+SUM(U47,AM47)*10000+SUM(O47,AG47)*100+SUM(I47,AA47)+0.005&gt;AU47*1000000+SUM(W47,AO47)*10000+SUM(Q47,AI47)*100+SUM(K47,AC47)+0.003,1,0)+IF(AT47*1000000+SUM(V47,AN47)*10000+SUM(P47,AH47)*100+SUM(J47,AB47)+0.004&gt;AU47*1000000+SUM(W47,AO47)*10000+SUM(Q47,AI47)*100+SUM(K47,AC47)+0.003,1,0)+IF(AV47*1000000+SUM(X47,AP47)*10000+SUM(R47,AJ47)*100+SUM(L47,AD47)+0.002&gt;AU47*1000000+SUM(W47,AO47)*10000+SUM(Q47,AI47)*100+SUM(K47,AC47)+0.003,1,0)+IF(AW47*1000000+SUM(Y47,AQ47)*10000+SUM(S47,AK47)*100+SUM(M47,AE47)+0.001&gt;AU47*1000000+SUM(W47,AO47)*10000+SUM(Q47,AI47)*100+SUM(K47,AC47)+0.003,1,0)=2,"S",IF(IF(AR47*1000000+SUM(T47,AL47)*10000+SUM(N47,AF47)*100+SUM(H47,Z47)+0.006&gt;AV47*1000000+SUM(X47,AP47)*10000+SUM(R47,AJ47)*100+SUM(L47,AD47)+0.002,1,0)+IF(AS47*1000000+SUM(U47,AM47)*10000+SUM(O47,AG47)*100+SUM(I47,AA47)+0.005&gt;AV47*1000000+SUM(X47,AP47)*10000+SUM(R47,AJ47)*100+SUM(L47,AD47)+0.002,1,0)+IF(AT47*1000000+SUM(V47,AN47)*10000+SUM(P47,AH47)*100+SUM(J47,AB47)+0.004&gt;AV47*1000000+SUM(X47,AP47)*10000+SUM(R47,AJ47)*100+SUM(L47,AD47)+0.002,1,0)+IF(AU47*1000000+SUM(W47,AO47)*10000+SUM(Q47,AI47)*100+SUM(K47,AC47)+0.003&gt;AV47*1000000+SUM(X47,AP47)*10000+SUM(R47,AJ47)*100+SUM(L47,AD47)+0.002,1,0)+IF(AW47*1000000+SUM(Y47,AQ47)*10000+SUM(S47,AK47)*100+SUM(M47,AE47)+0.001&gt;AV47*1000000+SUM(X47,AP47)*10000+SUM(R47,AJ47)*100+SUM(L47,AD47)+0.002,1,0)=2,"E",IF(IF(AR47*1000000+SUM(T47,AL47)*10000+SUM(N47,AF47)*100+SUM(H47,Z47)+0.006&gt;AW47*1000000+SUM(Y47,AQ47)*10000+SUM(S47,AK47)*100+SUM(M47,AE47)+0.001,1,0)+IF(AS47*1000000+SUM(U47,AM47)*10000+SUM(O47,AG47)*100+SUM(I47,AA47)+0.005&gt;AW47*1000000+SUM(Y47,AQ47)*10000+SUM(S47,AK47)*100+SUM(M47,AE47)+0.001,1,0)+IF(AT47*1000000+SUM(V47,AN47)*10000+SUM(P47,AH47)*100+SUM(J47,AB47)+0.004&gt;AW47*1000000+SUM(Y47,AQ47)*10000+SUM(S47,AK47)*100+SUM(M47,AE47)+0.001,1,0)+IF(AU47*1000000+SUM(W47,AO47)*10000+SUM(Q47,AI47)*100+SUM(K47,AC47)+0.003&gt;AW47*1000000+SUM(Y47,AQ47)*10000+SUM(S47,AK47)*100+SUM(M47,AE47)+0.001,1,0)+IF(AV47*1000000+SUM(X47,AP47)*10000+SUM(R47,AJ47)*100+SUM(L47,AD47)+0.002&gt;AW47*1000000+SUM(Y47,AQ47)*10000+SUM(S47,AK47)*100+SUM(M47,AE47)+0.001,1,0)=2,"C","")))))))</x:f>
      </x:c>
      <x:c r="AY47" s="27" t="str">
        <x:f>IF(C47="","",IF(LEFT(AX47,1)="R","นักปฏิบัติ",IF(LEFT(AX47,1)="I","นักคิดวิเคราะห์",IF(LEFT(AX47,1)="A","นักสร้างสรรค์",IF(LEFT(AX47,1)="S","ผู้เข้าใจผู้คน",IF(LEFT(AX47,1)="E","ผู้นำการเปลี่ยนแปลง","ผู้จัดระบบ"))))))</x:f>
      </x:c>
    </x:row>
    <x:row r="48">
      <x:c r="A48" s="27"/>
      <x:c r="B48" s="28"/>
      <x:c r="C48" s="27"/>
      <x:c r="D48" s="27"/>
      <x:c r="E48" s="27"/>
      <x:c r="F48" s="27"/>
      <x:c r="G48" s="27"/>
      <x:c r="H48" s="27"/>
      <x:c r="I48" s="27"/>
      <x:c r="J48" s="27"/>
      <x:c r="K48" s="27"/>
      <x:c r="L48" s="27"/>
      <x:c r="M48" s="27"/>
      <x:c r="N48" s="27"/>
      <x:c r="O48" s="27"/>
      <x:c r="P48" s="27"/>
      <x:c r="Q48" s="27"/>
      <x:c r="R48" s="27"/>
      <x:c r="S48" s="27"/>
      <x:c r="T48" s="27"/>
      <x:c r="U48" s="27"/>
      <x:c r="V48" s="27"/>
      <x:c r="W48" s="27"/>
      <x:c r="X48" s="27"/>
      <x:c r="Y48" s="27"/>
      <x:c r="Z48" s="27"/>
      <x:c r="AA48" s="27"/>
      <x:c r="AB48" s="27"/>
      <x:c r="AC48" s="27"/>
      <x:c r="AD48" s="27"/>
      <x:c r="AE48" s="27"/>
      <x:c r="AF48" s="27"/>
      <x:c r="AG48" s="27"/>
      <x:c r="AH48" s="27"/>
      <x:c r="AI48" s="27"/>
      <x:c r="AJ48" s="27"/>
      <x:c r="AK48" s="27"/>
      <x:c r="AL48" s="27"/>
      <x:c r="AM48" s="27"/>
      <x:c r="AN48" s="27"/>
      <x:c r="AO48" s="27"/>
      <x:c r="AP48" s="27"/>
      <x:c r="AQ48" s="27"/>
      <x:c r="AR48" s="27" t="str">
        <x:f>IF(C48="","",SUM(H48,N48,T48,Z48,AF48,AL48))</x:f>
      </x:c>
      <x:c r="AS48" s="27" t="str">
        <x:f>IF(C48="","",SUM(I48,O48,U48,AA48,AG48,AM48))</x:f>
      </x:c>
      <x:c r="AT48" s="27" t="str">
        <x:f>IF(C48="","",SUM(J48,P48,V48,AB48,AH48,AN48))</x:f>
      </x:c>
      <x:c r="AU48" s="27" t="str">
        <x:f>IF(C48="","",SUM(K48,Q48,W48,AC48,AI48,AO48))</x:f>
      </x:c>
      <x:c r="AV48" s="27" t="str">
        <x:f>IF(C48="","",SUM(L48,R48,X48,AD48,AJ48,AP48))</x:f>
      </x:c>
      <x:c r="AW48" s="27" t="str">
        <x:f>IF(C48="","",SUM(M48,S48,Y48,AE48,AK48,AQ48))</x:f>
      </x:c>
      <x:c r="AX48" s="27" t="str">
        <x:f>IF(C48="","",IF(IF(AS48*1000000+SUM(U48,AM48)*10000+SUM(O48,AG48)*100+SUM(I48,AA48)+0.005&gt;AR48*1000000+SUM(T48,AL48)*10000+SUM(N48,AF48)*100+SUM(H48,Z48)+0.006,1,0)+IF(AT48*1000000+SUM(V48,AN48)*10000+SUM(P48,AH48)*100+SUM(J48,AB48)+0.004&gt;AR48*1000000+SUM(T48,AL48)*10000+SUM(N48,AF48)*100+SUM(H48,Z48)+0.006,1,0)+IF(AU48*1000000+SUM(W48,AO48)*10000+SUM(Q48,AI48)*100+SUM(K48,AC48)+0.003&gt;AR48*1000000+SUM(T48,AL48)*10000+SUM(N48,AF48)*100+SUM(H48,Z48)+0.006,1,0)+IF(AV48*1000000+SUM(X48,AP48)*10000+SUM(R48,AJ48)*100+SUM(L48,AD48)+0.002&gt;AR48*1000000+SUM(T48,AL48)*10000+SUM(N48,AF48)*100+SUM(H48,Z48)+0.006,1,0)+IF(AW48*1000000+SUM(Y48,AQ48)*10000+SUM(S48,AK48)*100+SUM(M48,AE48)+0.001&gt;AR48*1000000+SUM(T48,AL48)*10000+SUM(N48,AF48)*100+SUM(H48,Z48)+0.006,1,0)=0,"R",IF(IF(AR48*1000000+SUM(T48,AL48)*10000+SUM(N48,AF48)*100+SUM(H48,Z48)+0.006&gt;AS48*1000000+SUM(U48,AM48)*10000+SUM(O48,AG48)*100+SUM(I48,AA48)+0.005,1,0)+IF(AT48*1000000+SUM(V48,AN48)*10000+SUM(P48,AH48)*100+SUM(J48,AB48)+0.004&gt;AS48*1000000+SUM(U48,AM48)*10000+SUM(O48,AG48)*100+SUM(I48,AA48)+0.005,1,0)+IF(AU48*1000000+SUM(W48,AO48)*10000+SUM(Q48,AI48)*100+SUM(K48,AC48)+0.003&gt;AS48*1000000+SUM(U48,AM48)*10000+SUM(O48,AG48)*100+SUM(I48,AA48)+0.005,1,0)+IF(AV48*1000000+SUM(X48,AP48)*10000+SUM(R48,AJ48)*100+SUM(L48,AD48)+0.002&gt;AS48*1000000+SUM(U48,AM48)*10000+SUM(O48,AG48)*100+SUM(I48,AA48)+0.005,1,0)+IF(AW48*1000000+SUM(Y48,AQ48)*10000+SUM(S48,AK48)*100+SUM(M48,AE48)+0.001&gt;AS48*1000000+SUM(U48,AM48)*10000+SUM(O48,AG48)*100+SUM(I48,AA48)+0.005,1,0)=0,"I",IF(IF(AR48*1000000+SUM(T48,AL48)*10000+SUM(N48,AF48)*100+SUM(H48,Z48)+0.006&gt;AT48*1000000+SUM(V48,AN48)*10000+SUM(P48,AH48)*100+SUM(J48,AB48)+0.004,1,0)+IF(AS48*1000000+SUM(U48,AM48)*10000+SUM(O48,AG48)*100+SUM(I48,AA48)+0.005&gt;AT48*1000000+SUM(V48,AN48)*10000+SUM(P48,AH48)*100+SUM(J48,AB48)+0.004,1,0)+IF(AU48*1000000+SUM(W48,AO48)*10000+SUM(Q48,AI48)*100+SUM(K48,AC48)+0.003&gt;AT48*1000000+SUM(V48,AN48)*10000+SUM(P48,AH48)*100+SUM(J48,AB48)+0.004,1,0)+IF(AV48*1000000+SUM(X48,AP48)*10000+SUM(R48,AJ48)*100+SUM(L48,AD48)+0.002&gt;AT48*1000000+SUM(V48,AN48)*10000+SUM(P48,AH48)*100+SUM(J48,AB48)+0.004,1,0)+IF(AW48*1000000+SUM(Y48,AQ48)*10000+SUM(S48,AK48)*100+SUM(M48,AE48)+0.001&gt;AT48*1000000+SUM(V48,AN48)*10000+SUM(P48,AH48)*100+SUM(J48,AB48)+0.004,1,0)=0,"A",IF(IF(AR48*1000000+SUM(T48,AL48)*10000+SUM(N48,AF48)*100+SUM(H48,Z48)+0.006&gt;AU48*1000000+SUM(W48,AO48)*10000+SUM(Q48,AI48)*100+SUM(K48,AC48)+0.003,1,0)+IF(AS48*1000000+SUM(U48,AM48)*10000+SUM(O48,AG48)*100+SUM(I48,AA48)+0.005&gt;AU48*1000000+SUM(W48,AO48)*10000+SUM(Q48,AI48)*100+SUM(K48,AC48)+0.003,1,0)+IF(AT48*1000000+SUM(V48,AN48)*10000+SUM(P48,AH48)*100+SUM(J48,AB48)+0.004&gt;AU48*1000000+SUM(W48,AO48)*10000+SUM(Q48,AI48)*100+SUM(K48,AC48)+0.003,1,0)+IF(AV48*1000000+SUM(X48,AP48)*10000+SUM(R48,AJ48)*100+SUM(L48,AD48)+0.002&gt;AU48*1000000+SUM(W48,AO48)*10000+SUM(Q48,AI48)*100+SUM(K48,AC48)+0.003,1,0)+IF(AW48*1000000+SUM(Y48,AQ48)*10000+SUM(S48,AK48)*100+SUM(M48,AE48)+0.001&gt;AU48*1000000+SUM(W48,AO48)*10000+SUM(Q48,AI48)*100+SUM(K48,AC48)+0.003,1,0)=0,"S",IF(IF(AR48*1000000+SUM(T48,AL48)*10000+SUM(N48,AF48)*100+SUM(H48,Z48)+0.006&gt;AV48*1000000+SUM(X48,AP48)*10000+SUM(R48,AJ48)*100+SUM(L48,AD48)+0.002,1,0)+IF(AS48*1000000+SUM(U48,AM48)*10000+SUM(O48,AG48)*100+SUM(I48,AA48)+0.005&gt;AV48*1000000+SUM(X48,AP48)*10000+SUM(R48,AJ48)*100+SUM(L48,AD48)+0.002,1,0)+IF(AT48*1000000+SUM(V48,AN48)*10000+SUM(P48,AH48)*100+SUM(J48,AB48)+0.004&gt;AV48*1000000+SUM(X48,AP48)*10000+SUM(R48,AJ48)*100+SUM(L48,AD48)+0.002,1,0)+IF(AU48*1000000+SUM(W48,AO48)*10000+SUM(Q48,AI48)*100+SUM(K48,AC48)+0.003&gt;AV48*1000000+SUM(X48,AP48)*10000+SUM(R48,AJ48)*100+SUM(L48,AD48)+0.002,1,0)+IF(AW48*1000000+SUM(Y48,AQ48)*10000+SUM(S48,AK48)*100+SUM(M48,AE48)+0.001&gt;AV48*1000000+SUM(X48,AP48)*10000+SUM(R48,AJ48)*100+SUM(L48,AD48)+0.002,1,0)=0,"E",IF(IF(AR48*1000000+SUM(T48,AL48)*10000+SUM(N48,AF48)*100+SUM(H48,Z48)+0.006&gt;AW48*1000000+SUM(Y48,AQ48)*10000+SUM(S48,AK48)*100+SUM(M48,AE48)+0.001,1,0)+IF(AS48*1000000+SUM(U48,AM48)*10000+SUM(O48,AG48)*100+SUM(I48,AA48)+0.005&gt;AW48*1000000+SUM(Y48,AQ48)*10000+SUM(S48,AK48)*100+SUM(M48,AE48)+0.001,1,0)+IF(AT48*1000000+SUM(V48,AN48)*10000+SUM(P48,AH48)*100+SUM(J48,AB48)+0.004&gt;AW48*1000000+SUM(Y48,AQ48)*10000+SUM(S48,AK48)*100+SUM(M48,AE48)+0.001,1,0)+IF(AU48*1000000+SUM(W48,AO48)*10000+SUM(Q48,AI48)*100+SUM(K48,AC48)+0.003&gt;AW48*1000000+SUM(Y48,AQ48)*10000+SUM(S48,AK48)*100+SUM(M48,AE48)+0.001,1,0)+IF(AV48*1000000+SUM(X48,AP48)*10000+SUM(R48,AJ48)*100+SUM(L48,AD48)+0.002&gt;AW48*1000000+SUM(Y48,AQ48)*10000+SUM(S48,AK48)*100+SUM(M48,AE48)+0.001,1,0)=0,"C",""))))))&amp;IF(IF(AS48*1000000+SUM(U48,AM48)*10000+SUM(O48,AG48)*100+SUM(I48,AA48)+0.005&gt;AR48*1000000+SUM(T48,AL48)*10000+SUM(N48,AF48)*100+SUM(H48,Z48)+0.006,1,0)+IF(AT48*1000000+SUM(V48,AN48)*10000+SUM(P48,AH48)*100+SUM(J48,AB48)+0.004&gt;AR48*1000000+SUM(T48,AL48)*10000+SUM(N48,AF48)*100+SUM(H48,Z48)+0.006,1,0)+IF(AU48*1000000+SUM(W48,AO48)*10000+SUM(Q48,AI48)*100+SUM(K48,AC48)+0.003&gt;AR48*1000000+SUM(T48,AL48)*10000+SUM(N48,AF48)*100+SUM(H48,Z48)+0.006,1,0)+IF(AV48*1000000+SUM(X48,AP48)*10000+SUM(R48,AJ48)*100+SUM(L48,AD48)+0.002&gt;AR48*1000000+SUM(T48,AL48)*10000+SUM(N48,AF48)*100+SUM(H48,Z48)+0.006,1,0)+IF(AW48*1000000+SUM(Y48,AQ48)*10000+SUM(S48,AK48)*100+SUM(M48,AE48)+0.001&gt;AR48*1000000+SUM(T48,AL48)*10000+SUM(N48,AF48)*100+SUM(H48,Z48)+0.006,1,0)=1,"R",IF(IF(AR48*1000000+SUM(T48,AL48)*10000+SUM(N48,AF48)*100+SUM(H48,Z48)+0.006&gt;AS48*1000000+SUM(U48,AM48)*10000+SUM(O48,AG48)*100+SUM(I48,AA48)+0.005,1,0)+IF(AT48*1000000+SUM(V48,AN48)*10000+SUM(P48,AH48)*100+SUM(J48,AB48)+0.004&gt;AS48*1000000+SUM(U48,AM48)*10000+SUM(O48,AG48)*100+SUM(I48,AA48)+0.005,1,0)+IF(AU48*1000000+SUM(W48,AO48)*10000+SUM(Q48,AI48)*100+SUM(K48,AC48)+0.003&gt;AS48*1000000+SUM(U48,AM48)*10000+SUM(O48,AG48)*100+SUM(I48,AA48)+0.005,1,0)+IF(AV48*1000000+SUM(X48,AP48)*10000+SUM(R48,AJ48)*100+SUM(L48,AD48)+0.002&gt;AS48*1000000+SUM(U48,AM48)*10000+SUM(O48,AG48)*100+SUM(I48,AA48)+0.005,1,0)+IF(AW48*1000000+SUM(Y48,AQ48)*10000+SUM(S48,AK48)*100+SUM(M48,AE48)+0.001&gt;AS48*1000000+SUM(U48,AM48)*10000+SUM(O48,AG48)*100+SUM(I48,AA48)+0.005,1,0)=1,"I",IF(IF(AR48*1000000+SUM(T48,AL48)*10000+SUM(N48,AF48)*100+SUM(H48,Z48)+0.006&gt;AT48*1000000+SUM(V48,AN48)*10000+SUM(P48,AH48)*100+SUM(J48,AB48)+0.004,1,0)+IF(AS48*1000000+SUM(U48,AM48)*10000+SUM(O48,AG48)*100+SUM(I48,AA48)+0.005&gt;AT48*1000000+SUM(V48,AN48)*10000+SUM(P48,AH48)*100+SUM(J48,AB48)+0.004,1,0)+IF(AU48*1000000+SUM(W48,AO48)*10000+SUM(Q48,AI48)*100+SUM(K48,AC48)+0.003&gt;AT48*1000000+SUM(V48,AN48)*10000+SUM(P48,AH48)*100+SUM(J48,AB48)+0.004,1,0)+IF(AV48*1000000+SUM(X48,AP48)*10000+SUM(R48,AJ48)*100+SUM(L48,AD48)+0.002&gt;AT48*1000000+SUM(V48,AN48)*10000+SUM(P48,AH48)*100+SUM(J48,AB48)+0.004,1,0)+IF(AW48*1000000+SUM(Y48,AQ48)*10000+SUM(S48,AK48)*100+SUM(M48,AE48)+0.001&gt;AT48*1000000+SUM(V48,AN48)*10000+SUM(P48,AH48)*100+SUM(J48,AB48)+0.004,1,0)=1,"A",IF(IF(AR48*1000000+SUM(T48,AL48)*10000+SUM(N48,AF48)*100+SUM(H48,Z48)+0.006&gt;AU48*1000000+SUM(W48,AO48)*10000+SUM(Q48,AI48)*100+SUM(K48,AC48)+0.003,1,0)+IF(AS48*1000000+SUM(U48,AM48)*10000+SUM(O48,AG48)*100+SUM(I48,AA48)+0.005&gt;AU48*1000000+SUM(W48,AO48)*10000+SUM(Q48,AI48)*100+SUM(K48,AC48)+0.003,1,0)+IF(AT48*1000000+SUM(V48,AN48)*10000+SUM(P48,AH48)*100+SUM(J48,AB48)+0.004&gt;AU48*1000000+SUM(W48,AO48)*10000+SUM(Q48,AI48)*100+SUM(K48,AC48)+0.003,1,0)+IF(AV48*1000000+SUM(X48,AP48)*10000+SUM(R48,AJ48)*100+SUM(L48,AD48)+0.002&gt;AU48*1000000+SUM(W48,AO48)*10000+SUM(Q48,AI48)*100+SUM(K48,AC48)+0.003,1,0)+IF(AW48*1000000+SUM(Y48,AQ48)*10000+SUM(S48,AK48)*100+SUM(M48,AE48)+0.001&gt;AU48*1000000+SUM(W48,AO48)*10000+SUM(Q48,AI48)*100+SUM(K48,AC48)+0.003,1,0)=1,"S",IF(IF(AR48*1000000+SUM(T48,AL48)*10000+SUM(N48,AF48)*100+SUM(H48,Z48)+0.006&gt;AV48*1000000+SUM(X48,AP48)*10000+SUM(R48,AJ48)*100+SUM(L48,AD48)+0.002,1,0)+IF(AS48*1000000+SUM(U48,AM48)*10000+SUM(O48,AG48)*100+SUM(I48,AA48)+0.005&gt;AV48*1000000+SUM(X48,AP48)*10000+SUM(R48,AJ48)*100+SUM(L48,AD48)+0.002,1,0)+IF(AT48*1000000+SUM(V48,AN48)*10000+SUM(P48,AH48)*100+SUM(J48,AB48)+0.004&gt;AV48*1000000+SUM(X48,AP48)*10000+SUM(R48,AJ48)*100+SUM(L48,AD48)+0.002,1,0)+IF(AU48*1000000+SUM(W48,AO48)*10000+SUM(Q48,AI48)*100+SUM(K48,AC48)+0.003&gt;AV48*1000000+SUM(X48,AP48)*10000+SUM(R48,AJ48)*100+SUM(L48,AD48)+0.002,1,0)+IF(AW48*1000000+SUM(Y48,AQ48)*10000+SUM(S48,AK48)*100+SUM(M48,AE48)+0.001&gt;AV48*1000000+SUM(X48,AP48)*10000+SUM(R48,AJ48)*100+SUM(L48,AD48)+0.002,1,0)=1,"E",IF(IF(AR48*1000000+SUM(T48,AL48)*10000+SUM(N48,AF48)*100+SUM(H48,Z48)+0.006&gt;AW48*1000000+SUM(Y48,AQ48)*10000+SUM(S48,AK48)*100+SUM(M48,AE48)+0.001,1,0)+IF(AS48*1000000+SUM(U48,AM48)*10000+SUM(O48,AG48)*100+SUM(I48,AA48)+0.005&gt;AW48*1000000+SUM(Y48,AQ48)*10000+SUM(S48,AK48)*100+SUM(M48,AE48)+0.001,1,0)+IF(AT48*1000000+SUM(V48,AN48)*10000+SUM(P48,AH48)*100+SUM(J48,AB48)+0.004&gt;AW48*1000000+SUM(Y48,AQ48)*10000+SUM(S48,AK48)*100+SUM(M48,AE48)+0.001,1,0)+IF(AU48*1000000+SUM(W48,AO48)*10000+SUM(Q48,AI48)*100+SUM(K48,AC48)+0.003&gt;AW48*1000000+SUM(Y48,AQ48)*10000+SUM(S48,AK48)*100+SUM(M48,AE48)+0.001,1,0)+IF(AV48*1000000+SUM(X48,AP48)*10000+SUM(R48,AJ48)*100+SUM(L48,AD48)+0.002&gt;AW48*1000000+SUM(Y48,AQ48)*10000+SUM(S48,AK48)*100+SUM(M48,AE48)+0.001,1,0)=1,"C",""))))))&amp;IF(IF(AS48*1000000+SUM(U48,AM48)*10000+SUM(O48,AG48)*100+SUM(I48,AA48)+0.005&gt;AR48*1000000+SUM(T48,AL48)*10000+SUM(N48,AF48)*100+SUM(H48,Z48)+0.006,1,0)+IF(AT48*1000000+SUM(V48,AN48)*10000+SUM(P48,AH48)*100+SUM(J48,AB48)+0.004&gt;AR48*1000000+SUM(T48,AL48)*10000+SUM(N48,AF48)*100+SUM(H48,Z48)+0.006,1,0)+IF(AU48*1000000+SUM(W48,AO48)*10000+SUM(Q48,AI48)*100+SUM(K48,AC48)+0.003&gt;AR48*1000000+SUM(T48,AL48)*10000+SUM(N48,AF48)*100+SUM(H48,Z48)+0.006,1,0)+IF(AV48*1000000+SUM(X48,AP48)*10000+SUM(R48,AJ48)*100+SUM(L48,AD48)+0.002&gt;AR48*1000000+SUM(T48,AL48)*10000+SUM(N48,AF48)*100+SUM(H48,Z48)+0.006,1,0)+IF(AW48*1000000+SUM(Y48,AQ48)*10000+SUM(S48,AK48)*100+SUM(M48,AE48)+0.001&gt;AR48*1000000+SUM(T48,AL48)*10000+SUM(N48,AF48)*100+SUM(H48,Z48)+0.006,1,0)=2,"R",IF(IF(AR48*1000000+SUM(T48,AL48)*10000+SUM(N48,AF48)*100+SUM(H48,Z48)+0.006&gt;AS48*1000000+SUM(U48,AM48)*10000+SUM(O48,AG48)*100+SUM(I48,AA48)+0.005,1,0)+IF(AT48*1000000+SUM(V48,AN48)*10000+SUM(P48,AH48)*100+SUM(J48,AB48)+0.004&gt;AS48*1000000+SUM(U48,AM48)*10000+SUM(O48,AG48)*100+SUM(I48,AA48)+0.005,1,0)+IF(AU48*1000000+SUM(W48,AO48)*10000+SUM(Q48,AI48)*100+SUM(K48,AC48)+0.003&gt;AS48*1000000+SUM(U48,AM48)*10000+SUM(O48,AG48)*100+SUM(I48,AA48)+0.005,1,0)+IF(AV48*1000000+SUM(X48,AP48)*10000+SUM(R48,AJ48)*100+SUM(L48,AD48)+0.002&gt;AS48*1000000+SUM(U48,AM48)*10000+SUM(O48,AG48)*100+SUM(I48,AA48)+0.005,1,0)+IF(AW48*1000000+SUM(Y48,AQ48)*10000+SUM(S48,AK48)*100+SUM(M48,AE48)+0.001&gt;AS48*1000000+SUM(U48,AM48)*10000+SUM(O48,AG48)*100+SUM(I48,AA48)+0.005,1,0)=2,"I",IF(IF(AR48*1000000+SUM(T48,AL48)*10000+SUM(N48,AF48)*100+SUM(H48,Z48)+0.006&gt;AT48*1000000+SUM(V48,AN48)*10000+SUM(P48,AH48)*100+SUM(J48,AB48)+0.004,1,0)+IF(AS48*1000000+SUM(U48,AM48)*10000+SUM(O48,AG48)*100+SUM(I48,AA48)+0.005&gt;AT48*1000000+SUM(V48,AN48)*10000+SUM(P48,AH48)*100+SUM(J48,AB48)+0.004,1,0)+IF(AU48*1000000+SUM(W48,AO48)*10000+SUM(Q48,AI48)*100+SUM(K48,AC48)+0.003&gt;AT48*1000000+SUM(V48,AN48)*10000+SUM(P48,AH48)*100+SUM(J48,AB48)+0.004,1,0)+IF(AV48*1000000+SUM(X48,AP48)*10000+SUM(R48,AJ48)*100+SUM(L48,AD48)+0.002&gt;AT48*1000000+SUM(V48,AN48)*10000+SUM(P48,AH48)*100+SUM(J48,AB48)+0.004,1,0)+IF(AW48*1000000+SUM(Y48,AQ48)*10000+SUM(S48,AK48)*100+SUM(M48,AE48)+0.001&gt;AT48*1000000+SUM(V48,AN48)*10000+SUM(P48,AH48)*100+SUM(J48,AB48)+0.004,1,0)=2,"A",IF(IF(AR48*1000000+SUM(T48,AL48)*10000+SUM(N48,AF48)*100+SUM(H48,Z48)+0.006&gt;AU48*1000000+SUM(W48,AO48)*10000+SUM(Q48,AI48)*100+SUM(K48,AC48)+0.003,1,0)+IF(AS48*1000000+SUM(U48,AM48)*10000+SUM(O48,AG48)*100+SUM(I48,AA48)+0.005&gt;AU48*1000000+SUM(W48,AO48)*10000+SUM(Q48,AI48)*100+SUM(K48,AC48)+0.003,1,0)+IF(AT48*1000000+SUM(V48,AN48)*10000+SUM(P48,AH48)*100+SUM(J48,AB48)+0.004&gt;AU48*1000000+SUM(W48,AO48)*10000+SUM(Q48,AI48)*100+SUM(K48,AC48)+0.003,1,0)+IF(AV48*1000000+SUM(X48,AP48)*10000+SUM(R48,AJ48)*100+SUM(L48,AD48)+0.002&gt;AU48*1000000+SUM(W48,AO48)*10000+SUM(Q48,AI48)*100+SUM(K48,AC48)+0.003,1,0)+IF(AW48*1000000+SUM(Y48,AQ48)*10000+SUM(S48,AK48)*100+SUM(M48,AE48)+0.001&gt;AU48*1000000+SUM(W48,AO48)*10000+SUM(Q48,AI48)*100+SUM(K48,AC48)+0.003,1,0)=2,"S",IF(IF(AR48*1000000+SUM(T48,AL48)*10000+SUM(N48,AF48)*100+SUM(H48,Z48)+0.006&gt;AV48*1000000+SUM(X48,AP48)*10000+SUM(R48,AJ48)*100+SUM(L48,AD48)+0.002,1,0)+IF(AS48*1000000+SUM(U48,AM48)*10000+SUM(O48,AG48)*100+SUM(I48,AA48)+0.005&gt;AV48*1000000+SUM(X48,AP48)*10000+SUM(R48,AJ48)*100+SUM(L48,AD48)+0.002,1,0)+IF(AT48*1000000+SUM(V48,AN48)*10000+SUM(P48,AH48)*100+SUM(J48,AB48)+0.004&gt;AV48*1000000+SUM(X48,AP48)*10000+SUM(R48,AJ48)*100+SUM(L48,AD48)+0.002,1,0)+IF(AU48*1000000+SUM(W48,AO48)*10000+SUM(Q48,AI48)*100+SUM(K48,AC48)+0.003&gt;AV48*1000000+SUM(X48,AP48)*10000+SUM(R48,AJ48)*100+SUM(L48,AD48)+0.002,1,0)+IF(AW48*1000000+SUM(Y48,AQ48)*10000+SUM(S48,AK48)*100+SUM(M48,AE48)+0.001&gt;AV48*1000000+SUM(X48,AP48)*10000+SUM(R48,AJ48)*100+SUM(L48,AD48)+0.002,1,0)=2,"E",IF(IF(AR48*1000000+SUM(T48,AL48)*10000+SUM(N48,AF48)*100+SUM(H48,Z48)+0.006&gt;AW48*1000000+SUM(Y48,AQ48)*10000+SUM(S48,AK48)*100+SUM(M48,AE48)+0.001,1,0)+IF(AS48*1000000+SUM(U48,AM48)*10000+SUM(O48,AG48)*100+SUM(I48,AA48)+0.005&gt;AW48*1000000+SUM(Y48,AQ48)*10000+SUM(S48,AK48)*100+SUM(M48,AE48)+0.001,1,0)+IF(AT48*1000000+SUM(V48,AN48)*10000+SUM(P48,AH48)*100+SUM(J48,AB48)+0.004&gt;AW48*1000000+SUM(Y48,AQ48)*10000+SUM(S48,AK48)*100+SUM(M48,AE48)+0.001,1,0)+IF(AU48*1000000+SUM(W48,AO48)*10000+SUM(Q48,AI48)*100+SUM(K48,AC48)+0.003&gt;AW48*1000000+SUM(Y48,AQ48)*10000+SUM(S48,AK48)*100+SUM(M48,AE48)+0.001,1,0)+IF(AV48*1000000+SUM(X48,AP48)*10000+SUM(R48,AJ48)*100+SUM(L48,AD48)+0.002&gt;AW48*1000000+SUM(Y48,AQ48)*10000+SUM(S48,AK48)*100+SUM(M48,AE48)+0.001,1,0)=2,"C","")))))))</x:f>
      </x:c>
      <x:c r="AY48" s="27" t="str">
        <x:f>IF(C48="","",IF(LEFT(AX48,1)="R","นักปฏิบัติ",IF(LEFT(AX48,1)="I","นักคิดวิเคราะห์",IF(LEFT(AX48,1)="A","นักสร้างสรรค์",IF(LEFT(AX48,1)="S","ผู้เข้าใจผู้คน",IF(LEFT(AX48,1)="E","ผู้นำการเปลี่ยนแปลง","ผู้จัดระบบ"))))))</x:f>
      </x:c>
    </x:row>
    <x:row r="49">
      <x:c r="A49" s="27"/>
      <x:c r="B49" s="28"/>
      <x:c r="C49" s="27"/>
      <x:c r="D49" s="27"/>
      <x:c r="E49" s="27"/>
      <x:c r="F49" s="27"/>
      <x:c r="G49" s="27"/>
      <x:c r="H49" s="27"/>
      <x:c r="I49" s="27"/>
      <x:c r="J49" s="27"/>
      <x:c r="K49" s="27"/>
      <x:c r="L49" s="27"/>
      <x:c r="M49" s="27"/>
      <x:c r="N49" s="27"/>
      <x:c r="O49" s="27"/>
      <x:c r="P49" s="27"/>
      <x:c r="Q49" s="27"/>
      <x:c r="R49" s="27"/>
      <x:c r="S49" s="27"/>
      <x:c r="T49" s="27"/>
      <x:c r="U49" s="27"/>
      <x:c r="V49" s="27"/>
      <x:c r="W49" s="27"/>
      <x:c r="X49" s="27"/>
      <x:c r="Y49" s="27"/>
      <x:c r="Z49" s="27"/>
      <x:c r="AA49" s="27"/>
      <x:c r="AB49" s="27"/>
      <x:c r="AC49" s="27"/>
      <x:c r="AD49" s="27"/>
      <x:c r="AE49" s="27"/>
      <x:c r="AF49" s="27"/>
      <x:c r="AG49" s="27"/>
      <x:c r="AH49" s="27"/>
      <x:c r="AI49" s="27"/>
      <x:c r="AJ49" s="27"/>
      <x:c r="AK49" s="27"/>
      <x:c r="AL49" s="27"/>
      <x:c r="AM49" s="27"/>
      <x:c r="AN49" s="27"/>
      <x:c r="AO49" s="27"/>
      <x:c r="AP49" s="27"/>
      <x:c r="AQ49" s="27"/>
      <x:c r="AR49" s="27" t="str">
        <x:f>IF(C49="","",SUM(H49,N49,T49,Z49,AF49,AL49))</x:f>
      </x:c>
      <x:c r="AS49" s="27" t="str">
        <x:f>IF(C49="","",SUM(I49,O49,U49,AA49,AG49,AM49))</x:f>
      </x:c>
      <x:c r="AT49" s="27" t="str">
        <x:f>IF(C49="","",SUM(J49,P49,V49,AB49,AH49,AN49))</x:f>
      </x:c>
      <x:c r="AU49" s="27" t="str">
        <x:f>IF(C49="","",SUM(K49,Q49,W49,AC49,AI49,AO49))</x:f>
      </x:c>
      <x:c r="AV49" s="27" t="str">
        <x:f>IF(C49="","",SUM(L49,R49,X49,AD49,AJ49,AP49))</x:f>
      </x:c>
      <x:c r="AW49" s="27" t="str">
        <x:f>IF(C49="","",SUM(M49,S49,Y49,AE49,AK49,AQ49))</x:f>
      </x:c>
      <x:c r="AX49" s="27" t="str">
        <x:f>IF(C49="","",IF(IF(AS49*1000000+SUM(U49,AM49)*10000+SUM(O49,AG49)*100+SUM(I49,AA49)+0.005&gt;AR49*1000000+SUM(T49,AL49)*10000+SUM(N49,AF49)*100+SUM(H49,Z49)+0.006,1,0)+IF(AT49*1000000+SUM(V49,AN49)*10000+SUM(P49,AH49)*100+SUM(J49,AB49)+0.004&gt;AR49*1000000+SUM(T49,AL49)*10000+SUM(N49,AF49)*100+SUM(H49,Z49)+0.006,1,0)+IF(AU49*1000000+SUM(W49,AO49)*10000+SUM(Q49,AI49)*100+SUM(K49,AC49)+0.003&gt;AR49*1000000+SUM(T49,AL49)*10000+SUM(N49,AF49)*100+SUM(H49,Z49)+0.006,1,0)+IF(AV49*1000000+SUM(X49,AP49)*10000+SUM(R49,AJ49)*100+SUM(L49,AD49)+0.002&gt;AR49*1000000+SUM(T49,AL49)*10000+SUM(N49,AF49)*100+SUM(H49,Z49)+0.006,1,0)+IF(AW49*1000000+SUM(Y49,AQ49)*10000+SUM(S49,AK49)*100+SUM(M49,AE49)+0.001&gt;AR49*1000000+SUM(T49,AL49)*10000+SUM(N49,AF49)*100+SUM(H49,Z49)+0.006,1,0)=0,"R",IF(IF(AR49*1000000+SUM(T49,AL49)*10000+SUM(N49,AF49)*100+SUM(H49,Z49)+0.006&gt;AS49*1000000+SUM(U49,AM49)*10000+SUM(O49,AG49)*100+SUM(I49,AA49)+0.005,1,0)+IF(AT49*1000000+SUM(V49,AN49)*10000+SUM(P49,AH49)*100+SUM(J49,AB49)+0.004&gt;AS49*1000000+SUM(U49,AM49)*10000+SUM(O49,AG49)*100+SUM(I49,AA49)+0.005,1,0)+IF(AU49*1000000+SUM(W49,AO49)*10000+SUM(Q49,AI49)*100+SUM(K49,AC49)+0.003&gt;AS49*1000000+SUM(U49,AM49)*10000+SUM(O49,AG49)*100+SUM(I49,AA49)+0.005,1,0)+IF(AV49*1000000+SUM(X49,AP49)*10000+SUM(R49,AJ49)*100+SUM(L49,AD49)+0.002&gt;AS49*1000000+SUM(U49,AM49)*10000+SUM(O49,AG49)*100+SUM(I49,AA49)+0.005,1,0)+IF(AW49*1000000+SUM(Y49,AQ49)*10000+SUM(S49,AK49)*100+SUM(M49,AE49)+0.001&gt;AS49*1000000+SUM(U49,AM49)*10000+SUM(O49,AG49)*100+SUM(I49,AA49)+0.005,1,0)=0,"I",IF(IF(AR49*1000000+SUM(T49,AL49)*10000+SUM(N49,AF49)*100+SUM(H49,Z49)+0.006&gt;AT49*1000000+SUM(V49,AN49)*10000+SUM(P49,AH49)*100+SUM(J49,AB49)+0.004,1,0)+IF(AS49*1000000+SUM(U49,AM49)*10000+SUM(O49,AG49)*100+SUM(I49,AA49)+0.005&gt;AT49*1000000+SUM(V49,AN49)*10000+SUM(P49,AH49)*100+SUM(J49,AB49)+0.004,1,0)+IF(AU49*1000000+SUM(W49,AO49)*10000+SUM(Q49,AI49)*100+SUM(K49,AC49)+0.003&gt;AT49*1000000+SUM(V49,AN49)*10000+SUM(P49,AH49)*100+SUM(J49,AB49)+0.004,1,0)+IF(AV49*1000000+SUM(X49,AP49)*10000+SUM(R49,AJ49)*100+SUM(L49,AD49)+0.002&gt;AT49*1000000+SUM(V49,AN49)*10000+SUM(P49,AH49)*100+SUM(J49,AB49)+0.004,1,0)+IF(AW49*1000000+SUM(Y49,AQ49)*10000+SUM(S49,AK49)*100+SUM(M49,AE49)+0.001&gt;AT49*1000000+SUM(V49,AN49)*10000+SUM(P49,AH49)*100+SUM(J49,AB49)+0.004,1,0)=0,"A",IF(IF(AR49*1000000+SUM(T49,AL49)*10000+SUM(N49,AF49)*100+SUM(H49,Z49)+0.006&gt;AU49*1000000+SUM(W49,AO49)*10000+SUM(Q49,AI49)*100+SUM(K49,AC49)+0.003,1,0)+IF(AS49*1000000+SUM(U49,AM49)*10000+SUM(O49,AG49)*100+SUM(I49,AA49)+0.005&gt;AU49*1000000+SUM(W49,AO49)*10000+SUM(Q49,AI49)*100+SUM(K49,AC49)+0.003,1,0)+IF(AT49*1000000+SUM(V49,AN49)*10000+SUM(P49,AH49)*100+SUM(J49,AB49)+0.004&gt;AU49*1000000+SUM(W49,AO49)*10000+SUM(Q49,AI49)*100+SUM(K49,AC49)+0.003,1,0)+IF(AV49*1000000+SUM(X49,AP49)*10000+SUM(R49,AJ49)*100+SUM(L49,AD49)+0.002&gt;AU49*1000000+SUM(W49,AO49)*10000+SUM(Q49,AI49)*100+SUM(K49,AC49)+0.003,1,0)+IF(AW49*1000000+SUM(Y49,AQ49)*10000+SUM(S49,AK49)*100+SUM(M49,AE49)+0.001&gt;AU49*1000000+SUM(W49,AO49)*10000+SUM(Q49,AI49)*100+SUM(K49,AC49)+0.003,1,0)=0,"S",IF(IF(AR49*1000000+SUM(T49,AL49)*10000+SUM(N49,AF49)*100+SUM(H49,Z49)+0.006&gt;AV49*1000000+SUM(X49,AP49)*10000+SUM(R49,AJ49)*100+SUM(L49,AD49)+0.002,1,0)+IF(AS49*1000000+SUM(U49,AM49)*10000+SUM(O49,AG49)*100+SUM(I49,AA49)+0.005&gt;AV49*1000000+SUM(X49,AP49)*10000+SUM(R49,AJ49)*100+SUM(L49,AD49)+0.002,1,0)+IF(AT49*1000000+SUM(V49,AN49)*10000+SUM(P49,AH49)*100+SUM(J49,AB49)+0.004&gt;AV49*1000000+SUM(X49,AP49)*10000+SUM(R49,AJ49)*100+SUM(L49,AD49)+0.002,1,0)+IF(AU49*1000000+SUM(W49,AO49)*10000+SUM(Q49,AI49)*100+SUM(K49,AC49)+0.003&gt;AV49*1000000+SUM(X49,AP49)*10000+SUM(R49,AJ49)*100+SUM(L49,AD49)+0.002,1,0)+IF(AW49*1000000+SUM(Y49,AQ49)*10000+SUM(S49,AK49)*100+SUM(M49,AE49)+0.001&gt;AV49*1000000+SUM(X49,AP49)*10000+SUM(R49,AJ49)*100+SUM(L49,AD49)+0.002,1,0)=0,"E",IF(IF(AR49*1000000+SUM(T49,AL49)*10000+SUM(N49,AF49)*100+SUM(H49,Z49)+0.006&gt;AW49*1000000+SUM(Y49,AQ49)*10000+SUM(S49,AK49)*100+SUM(M49,AE49)+0.001,1,0)+IF(AS49*1000000+SUM(U49,AM49)*10000+SUM(O49,AG49)*100+SUM(I49,AA49)+0.005&gt;AW49*1000000+SUM(Y49,AQ49)*10000+SUM(S49,AK49)*100+SUM(M49,AE49)+0.001,1,0)+IF(AT49*1000000+SUM(V49,AN49)*10000+SUM(P49,AH49)*100+SUM(J49,AB49)+0.004&gt;AW49*1000000+SUM(Y49,AQ49)*10000+SUM(S49,AK49)*100+SUM(M49,AE49)+0.001,1,0)+IF(AU49*1000000+SUM(W49,AO49)*10000+SUM(Q49,AI49)*100+SUM(K49,AC49)+0.003&gt;AW49*1000000+SUM(Y49,AQ49)*10000+SUM(S49,AK49)*100+SUM(M49,AE49)+0.001,1,0)+IF(AV49*1000000+SUM(X49,AP49)*10000+SUM(R49,AJ49)*100+SUM(L49,AD49)+0.002&gt;AW49*1000000+SUM(Y49,AQ49)*10000+SUM(S49,AK49)*100+SUM(M49,AE49)+0.001,1,0)=0,"C",""))))))&amp;IF(IF(AS49*1000000+SUM(U49,AM49)*10000+SUM(O49,AG49)*100+SUM(I49,AA49)+0.005&gt;AR49*1000000+SUM(T49,AL49)*10000+SUM(N49,AF49)*100+SUM(H49,Z49)+0.006,1,0)+IF(AT49*1000000+SUM(V49,AN49)*10000+SUM(P49,AH49)*100+SUM(J49,AB49)+0.004&gt;AR49*1000000+SUM(T49,AL49)*10000+SUM(N49,AF49)*100+SUM(H49,Z49)+0.006,1,0)+IF(AU49*1000000+SUM(W49,AO49)*10000+SUM(Q49,AI49)*100+SUM(K49,AC49)+0.003&gt;AR49*1000000+SUM(T49,AL49)*10000+SUM(N49,AF49)*100+SUM(H49,Z49)+0.006,1,0)+IF(AV49*1000000+SUM(X49,AP49)*10000+SUM(R49,AJ49)*100+SUM(L49,AD49)+0.002&gt;AR49*1000000+SUM(T49,AL49)*10000+SUM(N49,AF49)*100+SUM(H49,Z49)+0.006,1,0)+IF(AW49*1000000+SUM(Y49,AQ49)*10000+SUM(S49,AK49)*100+SUM(M49,AE49)+0.001&gt;AR49*1000000+SUM(T49,AL49)*10000+SUM(N49,AF49)*100+SUM(H49,Z49)+0.006,1,0)=1,"R",IF(IF(AR49*1000000+SUM(T49,AL49)*10000+SUM(N49,AF49)*100+SUM(H49,Z49)+0.006&gt;AS49*1000000+SUM(U49,AM49)*10000+SUM(O49,AG49)*100+SUM(I49,AA49)+0.005,1,0)+IF(AT49*1000000+SUM(V49,AN49)*10000+SUM(P49,AH49)*100+SUM(J49,AB49)+0.004&gt;AS49*1000000+SUM(U49,AM49)*10000+SUM(O49,AG49)*100+SUM(I49,AA49)+0.005,1,0)+IF(AU49*1000000+SUM(W49,AO49)*10000+SUM(Q49,AI49)*100+SUM(K49,AC49)+0.003&gt;AS49*1000000+SUM(U49,AM49)*10000+SUM(O49,AG49)*100+SUM(I49,AA49)+0.005,1,0)+IF(AV49*1000000+SUM(X49,AP49)*10000+SUM(R49,AJ49)*100+SUM(L49,AD49)+0.002&gt;AS49*1000000+SUM(U49,AM49)*10000+SUM(O49,AG49)*100+SUM(I49,AA49)+0.005,1,0)+IF(AW49*1000000+SUM(Y49,AQ49)*10000+SUM(S49,AK49)*100+SUM(M49,AE49)+0.001&gt;AS49*1000000+SUM(U49,AM49)*10000+SUM(O49,AG49)*100+SUM(I49,AA49)+0.005,1,0)=1,"I",IF(IF(AR49*1000000+SUM(T49,AL49)*10000+SUM(N49,AF49)*100+SUM(H49,Z49)+0.006&gt;AT49*1000000+SUM(V49,AN49)*10000+SUM(P49,AH49)*100+SUM(J49,AB49)+0.004,1,0)+IF(AS49*1000000+SUM(U49,AM49)*10000+SUM(O49,AG49)*100+SUM(I49,AA49)+0.005&gt;AT49*1000000+SUM(V49,AN49)*10000+SUM(P49,AH49)*100+SUM(J49,AB49)+0.004,1,0)+IF(AU49*1000000+SUM(W49,AO49)*10000+SUM(Q49,AI49)*100+SUM(K49,AC49)+0.003&gt;AT49*1000000+SUM(V49,AN49)*10000+SUM(P49,AH49)*100+SUM(J49,AB49)+0.004,1,0)+IF(AV49*1000000+SUM(X49,AP49)*10000+SUM(R49,AJ49)*100+SUM(L49,AD49)+0.002&gt;AT49*1000000+SUM(V49,AN49)*10000+SUM(P49,AH49)*100+SUM(J49,AB49)+0.004,1,0)+IF(AW49*1000000+SUM(Y49,AQ49)*10000+SUM(S49,AK49)*100+SUM(M49,AE49)+0.001&gt;AT49*1000000+SUM(V49,AN49)*10000+SUM(P49,AH49)*100+SUM(J49,AB49)+0.004,1,0)=1,"A",IF(IF(AR49*1000000+SUM(T49,AL49)*10000+SUM(N49,AF49)*100+SUM(H49,Z49)+0.006&gt;AU49*1000000+SUM(W49,AO49)*10000+SUM(Q49,AI49)*100+SUM(K49,AC49)+0.003,1,0)+IF(AS49*1000000+SUM(U49,AM49)*10000+SUM(O49,AG49)*100+SUM(I49,AA49)+0.005&gt;AU49*1000000+SUM(W49,AO49)*10000+SUM(Q49,AI49)*100+SUM(K49,AC49)+0.003,1,0)+IF(AT49*1000000+SUM(V49,AN49)*10000+SUM(P49,AH49)*100+SUM(J49,AB49)+0.004&gt;AU49*1000000+SUM(W49,AO49)*10000+SUM(Q49,AI49)*100+SUM(K49,AC49)+0.003,1,0)+IF(AV49*1000000+SUM(X49,AP49)*10000+SUM(R49,AJ49)*100+SUM(L49,AD49)+0.002&gt;AU49*1000000+SUM(W49,AO49)*10000+SUM(Q49,AI49)*100+SUM(K49,AC49)+0.003,1,0)+IF(AW49*1000000+SUM(Y49,AQ49)*10000+SUM(S49,AK49)*100+SUM(M49,AE49)+0.001&gt;AU49*1000000+SUM(W49,AO49)*10000+SUM(Q49,AI49)*100+SUM(K49,AC49)+0.003,1,0)=1,"S",IF(IF(AR49*1000000+SUM(T49,AL49)*10000+SUM(N49,AF49)*100+SUM(H49,Z49)+0.006&gt;AV49*1000000+SUM(X49,AP49)*10000+SUM(R49,AJ49)*100+SUM(L49,AD49)+0.002,1,0)+IF(AS49*1000000+SUM(U49,AM49)*10000+SUM(O49,AG49)*100+SUM(I49,AA49)+0.005&gt;AV49*1000000+SUM(X49,AP49)*10000+SUM(R49,AJ49)*100+SUM(L49,AD49)+0.002,1,0)+IF(AT49*1000000+SUM(V49,AN49)*10000+SUM(P49,AH49)*100+SUM(J49,AB49)+0.004&gt;AV49*1000000+SUM(X49,AP49)*10000+SUM(R49,AJ49)*100+SUM(L49,AD49)+0.002,1,0)+IF(AU49*1000000+SUM(W49,AO49)*10000+SUM(Q49,AI49)*100+SUM(K49,AC49)+0.003&gt;AV49*1000000+SUM(X49,AP49)*10000+SUM(R49,AJ49)*100+SUM(L49,AD49)+0.002,1,0)+IF(AW49*1000000+SUM(Y49,AQ49)*10000+SUM(S49,AK49)*100+SUM(M49,AE49)+0.001&gt;AV49*1000000+SUM(X49,AP49)*10000+SUM(R49,AJ49)*100+SUM(L49,AD49)+0.002,1,0)=1,"E",IF(IF(AR49*1000000+SUM(T49,AL49)*10000+SUM(N49,AF49)*100+SUM(H49,Z49)+0.006&gt;AW49*1000000+SUM(Y49,AQ49)*10000+SUM(S49,AK49)*100+SUM(M49,AE49)+0.001,1,0)+IF(AS49*1000000+SUM(U49,AM49)*10000+SUM(O49,AG49)*100+SUM(I49,AA49)+0.005&gt;AW49*1000000+SUM(Y49,AQ49)*10000+SUM(S49,AK49)*100+SUM(M49,AE49)+0.001,1,0)+IF(AT49*1000000+SUM(V49,AN49)*10000+SUM(P49,AH49)*100+SUM(J49,AB49)+0.004&gt;AW49*1000000+SUM(Y49,AQ49)*10000+SUM(S49,AK49)*100+SUM(M49,AE49)+0.001,1,0)+IF(AU49*1000000+SUM(W49,AO49)*10000+SUM(Q49,AI49)*100+SUM(K49,AC49)+0.003&gt;AW49*1000000+SUM(Y49,AQ49)*10000+SUM(S49,AK49)*100+SUM(M49,AE49)+0.001,1,0)+IF(AV49*1000000+SUM(X49,AP49)*10000+SUM(R49,AJ49)*100+SUM(L49,AD49)+0.002&gt;AW49*1000000+SUM(Y49,AQ49)*10000+SUM(S49,AK49)*100+SUM(M49,AE49)+0.001,1,0)=1,"C",""))))))&amp;IF(IF(AS49*1000000+SUM(U49,AM49)*10000+SUM(O49,AG49)*100+SUM(I49,AA49)+0.005&gt;AR49*1000000+SUM(T49,AL49)*10000+SUM(N49,AF49)*100+SUM(H49,Z49)+0.006,1,0)+IF(AT49*1000000+SUM(V49,AN49)*10000+SUM(P49,AH49)*100+SUM(J49,AB49)+0.004&gt;AR49*1000000+SUM(T49,AL49)*10000+SUM(N49,AF49)*100+SUM(H49,Z49)+0.006,1,0)+IF(AU49*1000000+SUM(W49,AO49)*10000+SUM(Q49,AI49)*100+SUM(K49,AC49)+0.003&gt;AR49*1000000+SUM(T49,AL49)*10000+SUM(N49,AF49)*100+SUM(H49,Z49)+0.006,1,0)+IF(AV49*1000000+SUM(X49,AP49)*10000+SUM(R49,AJ49)*100+SUM(L49,AD49)+0.002&gt;AR49*1000000+SUM(T49,AL49)*10000+SUM(N49,AF49)*100+SUM(H49,Z49)+0.006,1,0)+IF(AW49*1000000+SUM(Y49,AQ49)*10000+SUM(S49,AK49)*100+SUM(M49,AE49)+0.001&gt;AR49*1000000+SUM(T49,AL49)*10000+SUM(N49,AF49)*100+SUM(H49,Z49)+0.006,1,0)=2,"R",IF(IF(AR49*1000000+SUM(T49,AL49)*10000+SUM(N49,AF49)*100+SUM(H49,Z49)+0.006&gt;AS49*1000000+SUM(U49,AM49)*10000+SUM(O49,AG49)*100+SUM(I49,AA49)+0.005,1,0)+IF(AT49*1000000+SUM(V49,AN49)*10000+SUM(P49,AH49)*100+SUM(J49,AB49)+0.004&gt;AS49*1000000+SUM(U49,AM49)*10000+SUM(O49,AG49)*100+SUM(I49,AA49)+0.005,1,0)+IF(AU49*1000000+SUM(W49,AO49)*10000+SUM(Q49,AI49)*100+SUM(K49,AC49)+0.003&gt;AS49*1000000+SUM(U49,AM49)*10000+SUM(O49,AG49)*100+SUM(I49,AA49)+0.005,1,0)+IF(AV49*1000000+SUM(X49,AP49)*10000+SUM(R49,AJ49)*100+SUM(L49,AD49)+0.002&gt;AS49*1000000+SUM(U49,AM49)*10000+SUM(O49,AG49)*100+SUM(I49,AA49)+0.005,1,0)+IF(AW49*1000000+SUM(Y49,AQ49)*10000+SUM(S49,AK49)*100+SUM(M49,AE49)+0.001&gt;AS49*1000000+SUM(U49,AM49)*10000+SUM(O49,AG49)*100+SUM(I49,AA49)+0.005,1,0)=2,"I",IF(IF(AR49*1000000+SUM(T49,AL49)*10000+SUM(N49,AF49)*100+SUM(H49,Z49)+0.006&gt;AT49*1000000+SUM(V49,AN49)*10000+SUM(P49,AH49)*100+SUM(J49,AB49)+0.004,1,0)+IF(AS49*1000000+SUM(U49,AM49)*10000+SUM(O49,AG49)*100+SUM(I49,AA49)+0.005&gt;AT49*1000000+SUM(V49,AN49)*10000+SUM(P49,AH49)*100+SUM(J49,AB49)+0.004,1,0)+IF(AU49*1000000+SUM(W49,AO49)*10000+SUM(Q49,AI49)*100+SUM(K49,AC49)+0.003&gt;AT49*1000000+SUM(V49,AN49)*10000+SUM(P49,AH49)*100+SUM(J49,AB49)+0.004,1,0)+IF(AV49*1000000+SUM(X49,AP49)*10000+SUM(R49,AJ49)*100+SUM(L49,AD49)+0.002&gt;AT49*1000000+SUM(V49,AN49)*10000+SUM(P49,AH49)*100+SUM(J49,AB49)+0.004,1,0)+IF(AW49*1000000+SUM(Y49,AQ49)*10000+SUM(S49,AK49)*100+SUM(M49,AE49)+0.001&gt;AT49*1000000+SUM(V49,AN49)*10000+SUM(P49,AH49)*100+SUM(J49,AB49)+0.004,1,0)=2,"A",IF(IF(AR49*1000000+SUM(T49,AL49)*10000+SUM(N49,AF49)*100+SUM(H49,Z49)+0.006&gt;AU49*1000000+SUM(W49,AO49)*10000+SUM(Q49,AI49)*100+SUM(K49,AC49)+0.003,1,0)+IF(AS49*1000000+SUM(U49,AM49)*10000+SUM(O49,AG49)*100+SUM(I49,AA49)+0.005&gt;AU49*1000000+SUM(W49,AO49)*10000+SUM(Q49,AI49)*100+SUM(K49,AC49)+0.003,1,0)+IF(AT49*1000000+SUM(V49,AN49)*10000+SUM(P49,AH49)*100+SUM(J49,AB49)+0.004&gt;AU49*1000000+SUM(W49,AO49)*10000+SUM(Q49,AI49)*100+SUM(K49,AC49)+0.003,1,0)+IF(AV49*1000000+SUM(X49,AP49)*10000+SUM(R49,AJ49)*100+SUM(L49,AD49)+0.002&gt;AU49*1000000+SUM(W49,AO49)*10000+SUM(Q49,AI49)*100+SUM(K49,AC49)+0.003,1,0)+IF(AW49*1000000+SUM(Y49,AQ49)*10000+SUM(S49,AK49)*100+SUM(M49,AE49)+0.001&gt;AU49*1000000+SUM(W49,AO49)*10000+SUM(Q49,AI49)*100+SUM(K49,AC49)+0.003,1,0)=2,"S",IF(IF(AR49*1000000+SUM(T49,AL49)*10000+SUM(N49,AF49)*100+SUM(H49,Z49)+0.006&gt;AV49*1000000+SUM(X49,AP49)*10000+SUM(R49,AJ49)*100+SUM(L49,AD49)+0.002,1,0)+IF(AS49*1000000+SUM(U49,AM49)*10000+SUM(O49,AG49)*100+SUM(I49,AA49)+0.005&gt;AV49*1000000+SUM(X49,AP49)*10000+SUM(R49,AJ49)*100+SUM(L49,AD49)+0.002,1,0)+IF(AT49*1000000+SUM(V49,AN49)*10000+SUM(P49,AH49)*100+SUM(J49,AB49)+0.004&gt;AV49*1000000+SUM(X49,AP49)*10000+SUM(R49,AJ49)*100+SUM(L49,AD49)+0.002,1,0)+IF(AU49*1000000+SUM(W49,AO49)*10000+SUM(Q49,AI49)*100+SUM(K49,AC49)+0.003&gt;AV49*1000000+SUM(X49,AP49)*10000+SUM(R49,AJ49)*100+SUM(L49,AD49)+0.002,1,0)+IF(AW49*1000000+SUM(Y49,AQ49)*10000+SUM(S49,AK49)*100+SUM(M49,AE49)+0.001&gt;AV49*1000000+SUM(X49,AP49)*10000+SUM(R49,AJ49)*100+SUM(L49,AD49)+0.002,1,0)=2,"E",IF(IF(AR49*1000000+SUM(T49,AL49)*10000+SUM(N49,AF49)*100+SUM(H49,Z49)+0.006&gt;AW49*1000000+SUM(Y49,AQ49)*10000+SUM(S49,AK49)*100+SUM(M49,AE49)+0.001,1,0)+IF(AS49*1000000+SUM(U49,AM49)*10000+SUM(O49,AG49)*100+SUM(I49,AA49)+0.005&gt;AW49*1000000+SUM(Y49,AQ49)*10000+SUM(S49,AK49)*100+SUM(M49,AE49)+0.001,1,0)+IF(AT49*1000000+SUM(V49,AN49)*10000+SUM(P49,AH49)*100+SUM(J49,AB49)+0.004&gt;AW49*1000000+SUM(Y49,AQ49)*10000+SUM(S49,AK49)*100+SUM(M49,AE49)+0.001,1,0)+IF(AU49*1000000+SUM(W49,AO49)*10000+SUM(Q49,AI49)*100+SUM(K49,AC49)+0.003&gt;AW49*1000000+SUM(Y49,AQ49)*10000+SUM(S49,AK49)*100+SUM(M49,AE49)+0.001,1,0)+IF(AV49*1000000+SUM(X49,AP49)*10000+SUM(R49,AJ49)*100+SUM(L49,AD49)+0.002&gt;AW49*1000000+SUM(Y49,AQ49)*10000+SUM(S49,AK49)*100+SUM(M49,AE49)+0.001,1,0)=2,"C","")))))))</x:f>
      </x:c>
      <x:c r="AY49" s="27" t="str">
        <x:f>IF(C49="","",IF(LEFT(AX49,1)="R","นักปฏิบัติ",IF(LEFT(AX49,1)="I","นักคิดวิเคราะห์",IF(LEFT(AX49,1)="A","นักสร้างสรรค์",IF(LEFT(AX49,1)="S","ผู้เข้าใจผู้คน",IF(LEFT(AX49,1)="E","ผู้นำการเปลี่ยนแปลง","ผู้จัดระบบ"))))))</x:f>
      </x:c>
    </x:row>
    <x:row r="50">
      <x:c r="A50" s="27"/>
      <x:c r="B50" s="28"/>
      <x:c r="C50" s="27"/>
      <x:c r="D50" s="27"/>
      <x:c r="E50" s="27"/>
      <x:c r="F50" s="27"/>
      <x:c r="G50" s="27"/>
      <x:c r="H50" s="27"/>
      <x:c r="I50" s="27"/>
      <x:c r="J50" s="27"/>
      <x:c r="K50" s="27"/>
      <x:c r="L50" s="27"/>
      <x:c r="M50" s="27"/>
      <x:c r="N50" s="27"/>
      <x:c r="O50" s="27"/>
      <x:c r="P50" s="27"/>
      <x:c r="Q50" s="27"/>
      <x:c r="R50" s="27"/>
      <x:c r="S50" s="27"/>
      <x:c r="T50" s="27"/>
      <x:c r="U50" s="27"/>
      <x:c r="V50" s="27"/>
      <x:c r="W50" s="27"/>
      <x:c r="X50" s="27"/>
      <x:c r="Y50" s="27"/>
      <x:c r="Z50" s="27"/>
      <x:c r="AA50" s="27"/>
      <x:c r="AB50" s="27"/>
      <x:c r="AC50" s="27"/>
      <x:c r="AD50" s="27"/>
      <x:c r="AE50" s="27"/>
      <x:c r="AF50" s="27"/>
      <x:c r="AG50" s="27"/>
      <x:c r="AH50" s="27"/>
      <x:c r="AI50" s="27"/>
      <x:c r="AJ50" s="27"/>
      <x:c r="AK50" s="27"/>
      <x:c r="AL50" s="27"/>
      <x:c r="AM50" s="27"/>
      <x:c r="AN50" s="27"/>
      <x:c r="AO50" s="27"/>
      <x:c r="AP50" s="27"/>
      <x:c r="AQ50" s="27"/>
      <x:c r="AR50" s="27" t="str">
        <x:f>IF(C50="","",SUM(H50,N50,T50,Z50,AF50,AL50))</x:f>
      </x:c>
      <x:c r="AS50" s="27" t="str">
        <x:f>IF(C50="","",SUM(I50,O50,U50,AA50,AG50,AM50))</x:f>
      </x:c>
      <x:c r="AT50" s="27" t="str">
        <x:f>IF(C50="","",SUM(J50,P50,V50,AB50,AH50,AN50))</x:f>
      </x:c>
      <x:c r="AU50" s="27" t="str">
        <x:f>IF(C50="","",SUM(K50,Q50,W50,AC50,AI50,AO50))</x:f>
      </x:c>
      <x:c r="AV50" s="27" t="str">
        <x:f>IF(C50="","",SUM(L50,R50,X50,AD50,AJ50,AP50))</x:f>
      </x:c>
      <x:c r="AW50" s="27" t="str">
        <x:f>IF(C50="","",SUM(M50,S50,Y50,AE50,AK50,AQ50))</x:f>
      </x:c>
      <x:c r="AX50" s="27" t="str">
        <x:f>IF(C50="","",IF(IF(AS50*1000000+SUM(U50,AM50)*10000+SUM(O50,AG50)*100+SUM(I50,AA50)+0.005&gt;AR50*1000000+SUM(T50,AL50)*10000+SUM(N50,AF50)*100+SUM(H50,Z50)+0.006,1,0)+IF(AT50*1000000+SUM(V50,AN50)*10000+SUM(P50,AH50)*100+SUM(J50,AB50)+0.004&gt;AR50*1000000+SUM(T50,AL50)*10000+SUM(N50,AF50)*100+SUM(H50,Z50)+0.006,1,0)+IF(AU50*1000000+SUM(W50,AO50)*10000+SUM(Q50,AI50)*100+SUM(K50,AC50)+0.003&gt;AR50*1000000+SUM(T50,AL50)*10000+SUM(N50,AF50)*100+SUM(H50,Z50)+0.006,1,0)+IF(AV50*1000000+SUM(X50,AP50)*10000+SUM(R50,AJ50)*100+SUM(L50,AD50)+0.002&gt;AR50*1000000+SUM(T50,AL50)*10000+SUM(N50,AF50)*100+SUM(H50,Z50)+0.006,1,0)+IF(AW50*1000000+SUM(Y50,AQ50)*10000+SUM(S50,AK50)*100+SUM(M50,AE50)+0.001&gt;AR50*1000000+SUM(T50,AL50)*10000+SUM(N50,AF50)*100+SUM(H50,Z50)+0.006,1,0)=0,"R",IF(IF(AR50*1000000+SUM(T50,AL50)*10000+SUM(N50,AF50)*100+SUM(H50,Z50)+0.006&gt;AS50*1000000+SUM(U50,AM50)*10000+SUM(O50,AG50)*100+SUM(I50,AA50)+0.005,1,0)+IF(AT50*1000000+SUM(V50,AN50)*10000+SUM(P50,AH50)*100+SUM(J50,AB50)+0.004&gt;AS50*1000000+SUM(U50,AM50)*10000+SUM(O50,AG50)*100+SUM(I50,AA50)+0.005,1,0)+IF(AU50*1000000+SUM(W50,AO50)*10000+SUM(Q50,AI50)*100+SUM(K50,AC50)+0.003&gt;AS50*1000000+SUM(U50,AM50)*10000+SUM(O50,AG50)*100+SUM(I50,AA50)+0.005,1,0)+IF(AV50*1000000+SUM(X50,AP50)*10000+SUM(R50,AJ50)*100+SUM(L50,AD50)+0.002&gt;AS50*1000000+SUM(U50,AM50)*10000+SUM(O50,AG50)*100+SUM(I50,AA50)+0.005,1,0)+IF(AW50*1000000+SUM(Y50,AQ50)*10000+SUM(S50,AK50)*100+SUM(M50,AE50)+0.001&gt;AS50*1000000+SUM(U50,AM50)*10000+SUM(O50,AG50)*100+SUM(I50,AA50)+0.005,1,0)=0,"I",IF(IF(AR50*1000000+SUM(T50,AL50)*10000+SUM(N50,AF50)*100+SUM(H50,Z50)+0.006&gt;AT50*1000000+SUM(V50,AN50)*10000+SUM(P50,AH50)*100+SUM(J50,AB50)+0.004,1,0)+IF(AS50*1000000+SUM(U50,AM50)*10000+SUM(O50,AG50)*100+SUM(I50,AA50)+0.005&gt;AT50*1000000+SUM(V50,AN50)*10000+SUM(P50,AH50)*100+SUM(J50,AB50)+0.004,1,0)+IF(AU50*1000000+SUM(W50,AO50)*10000+SUM(Q50,AI50)*100+SUM(K50,AC50)+0.003&gt;AT50*1000000+SUM(V50,AN50)*10000+SUM(P50,AH50)*100+SUM(J50,AB50)+0.004,1,0)+IF(AV50*1000000+SUM(X50,AP50)*10000+SUM(R50,AJ50)*100+SUM(L50,AD50)+0.002&gt;AT50*1000000+SUM(V50,AN50)*10000+SUM(P50,AH50)*100+SUM(J50,AB50)+0.004,1,0)+IF(AW50*1000000+SUM(Y50,AQ50)*10000+SUM(S50,AK50)*100+SUM(M50,AE50)+0.001&gt;AT50*1000000+SUM(V50,AN50)*10000+SUM(P50,AH50)*100+SUM(J50,AB50)+0.004,1,0)=0,"A",IF(IF(AR50*1000000+SUM(T50,AL50)*10000+SUM(N50,AF50)*100+SUM(H50,Z50)+0.006&gt;AU50*1000000+SUM(W50,AO50)*10000+SUM(Q50,AI50)*100+SUM(K50,AC50)+0.003,1,0)+IF(AS50*1000000+SUM(U50,AM50)*10000+SUM(O50,AG50)*100+SUM(I50,AA50)+0.005&gt;AU50*1000000+SUM(W50,AO50)*10000+SUM(Q50,AI50)*100+SUM(K50,AC50)+0.003,1,0)+IF(AT50*1000000+SUM(V50,AN50)*10000+SUM(P50,AH50)*100+SUM(J50,AB50)+0.004&gt;AU50*1000000+SUM(W50,AO50)*10000+SUM(Q50,AI50)*100+SUM(K50,AC50)+0.003,1,0)+IF(AV50*1000000+SUM(X50,AP50)*10000+SUM(R50,AJ50)*100+SUM(L50,AD50)+0.002&gt;AU50*1000000+SUM(W50,AO50)*10000+SUM(Q50,AI50)*100+SUM(K50,AC50)+0.003,1,0)+IF(AW50*1000000+SUM(Y50,AQ50)*10000+SUM(S50,AK50)*100+SUM(M50,AE50)+0.001&gt;AU50*1000000+SUM(W50,AO50)*10000+SUM(Q50,AI50)*100+SUM(K50,AC50)+0.003,1,0)=0,"S",IF(IF(AR50*1000000+SUM(T50,AL50)*10000+SUM(N50,AF50)*100+SUM(H50,Z50)+0.006&gt;AV50*1000000+SUM(X50,AP50)*10000+SUM(R50,AJ50)*100+SUM(L50,AD50)+0.002,1,0)+IF(AS50*1000000+SUM(U50,AM50)*10000+SUM(O50,AG50)*100+SUM(I50,AA50)+0.005&gt;AV50*1000000+SUM(X50,AP50)*10000+SUM(R50,AJ50)*100+SUM(L50,AD50)+0.002,1,0)+IF(AT50*1000000+SUM(V50,AN50)*10000+SUM(P50,AH50)*100+SUM(J50,AB50)+0.004&gt;AV50*1000000+SUM(X50,AP50)*10000+SUM(R50,AJ50)*100+SUM(L50,AD50)+0.002,1,0)+IF(AU50*1000000+SUM(W50,AO50)*10000+SUM(Q50,AI50)*100+SUM(K50,AC50)+0.003&gt;AV50*1000000+SUM(X50,AP50)*10000+SUM(R50,AJ50)*100+SUM(L50,AD50)+0.002,1,0)+IF(AW50*1000000+SUM(Y50,AQ50)*10000+SUM(S50,AK50)*100+SUM(M50,AE50)+0.001&gt;AV50*1000000+SUM(X50,AP50)*10000+SUM(R50,AJ50)*100+SUM(L50,AD50)+0.002,1,0)=0,"E",IF(IF(AR50*1000000+SUM(T50,AL50)*10000+SUM(N50,AF50)*100+SUM(H50,Z50)+0.006&gt;AW50*1000000+SUM(Y50,AQ50)*10000+SUM(S50,AK50)*100+SUM(M50,AE50)+0.001,1,0)+IF(AS50*1000000+SUM(U50,AM50)*10000+SUM(O50,AG50)*100+SUM(I50,AA50)+0.005&gt;AW50*1000000+SUM(Y50,AQ50)*10000+SUM(S50,AK50)*100+SUM(M50,AE50)+0.001,1,0)+IF(AT50*1000000+SUM(V50,AN50)*10000+SUM(P50,AH50)*100+SUM(J50,AB50)+0.004&gt;AW50*1000000+SUM(Y50,AQ50)*10000+SUM(S50,AK50)*100+SUM(M50,AE50)+0.001,1,0)+IF(AU50*1000000+SUM(W50,AO50)*10000+SUM(Q50,AI50)*100+SUM(K50,AC50)+0.003&gt;AW50*1000000+SUM(Y50,AQ50)*10000+SUM(S50,AK50)*100+SUM(M50,AE50)+0.001,1,0)+IF(AV50*1000000+SUM(X50,AP50)*10000+SUM(R50,AJ50)*100+SUM(L50,AD50)+0.002&gt;AW50*1000000+SUM(Y50,AQ50)*10000+SUM(S50,AK50)*100+SUM(M50,AE50)+0.001,1,0)=0,"C",""))))))&amp;IF(IF(AS50*1000000+SUM(U50,AM50)*10000+SUM(O50,AG50)*100+SUM(I50,AA50)+0.005&gt;AR50*1000000+SUM(T50,AL50)*10000+SUM(N50,AF50)*100+SUM(H50,Z50)+0.006,1,0)+IF(AT50*1000000+SUM(V50,AN50)*10000+SUM(P50,AH50)*100+SUM(J50,AB50)+0.004&gt;AR50*1000000+SUM(T50,AL50)*10000+SUM(N50,AF50)*100+SUM(H50,Z50)+0.006,1,0)+IF(AU50*1000000+SUM(W50,AO50)*10000+SUM(Q50,AI50)*100+SUM(K50,AC50)+0.003&gt;AR50*1000000+SUM(T50,AL50)*10000+SUM(N50,AF50)*100+SUM(H50,Z50)+0.006,1,0)+IF(AV50*1000000+SUM(X50,AP50)*10000+SUM(R50,AJ50)*100+SUM(L50,AD50)+0.002&gt;AR50*1000000+SUM(T50,AL50)*10000+SUM(N50,AF50)*100+SUM(H50,Z50)+0.006,1,0)+IF(AW50*1000000+SUM(Y50,AQ50)*10000+SUM(S50,AK50)*100+SUM(M50,AE50)+0.001&gt;AR50*1000000+SUM(T50,AL50)*10000+SUM(N50,AF50)*100+SUM(H50,Z50)+0.006,1,0)=1,"R",IF(IF(AR50*1000000+SUM(T50,AL50)*10000+SUM(N50,AF50)*100+SUM(H50,Z50)+0.006&gt;AS50*1000000+SUM(U50,AM50)*10000+SUM(O50,AG50)*100+SUM(I50,AA50)+0.005,1,0)+IF(AT50*1000000+SUM(V50,AN50)*10000+SUM(P50,AH50)*100+SUM(J50,AB50)+0.004&gt;AS50*1000000+SUM(U50,AM50)*10000+SUM(O50,AG50)*100+SUM(I50,AA50)+0.005,1,0)+IF(AU50*1000000+SUM(W50,AO50)*10000+SUM(Q50,AI50)*100+SUM(K50,AC50)+0.003&gt;AS50*1000000+SUM(U50,AM50)*10000+SUM(O50,AG50)*100+SUM(I50,AA50)+0.005,1,0)+IF(AV50*1000000+SUM(X50,AP50)*10000+SUM(R50,AJ50)*100+SUM(L50,AD50)+0.002&gt;AS50*1000000+SUM(U50,AM50)*10000+SUM(O50,AG50)*100+SUM(I50,AA50)+0.005,1,0)+IF(AW50*1000000+SUM(Y50,AQ50)*10000+SUM(S50,AK50)*100+SUM(M50,AE50)+0.001&gt;AS50*1000000+SUM(U50,AM50)*10000+SUM(O50,AG50)*100+SUM(I50,AA50)+0.005,1,0)=1,"I",IF(IF(AR50*1000000+SUM(T50,AL50)*10000+SUM(N50,AF50)*100+SUM(H50,Z50)+0.006&gt;AT50*1000000+SUM(V50,AN50)*10000+SUM(P50,AH50)*100+SUM(J50,AB50)+0.004,1,0)+IF(AS50*1000000+SUM(U50,AM50)*10000+SUM(O50,AG50)*100+SUM(I50,AA50)+0.005&gt;AT50*1000000+SUM(V50,AN50)*10000+SUM(P50,AH50)*100+SUM(J50,AB50)+0.004,1,0)+IF(AU50*1000000+SUM(W50,AO50)*10000+SUM(Q50,AI50)*100+SUM(K50,AC50)+0.003&gt;AT50*1000000+SUM(V50,AN50)*10000+SUM(P50,AH50)*100+SUM(J50,AB50)+0.004,1,0)+IF(AV50*1000000+SUM(X50,AP50)*10000+SUM(R50,AJ50)*100+SUM(L50,AD50)+0.002&gt;AT50*1000000+SUM(V50,AN50)*10000+SUM(P50,AH50)*100+SUM(J50,AB50)+0.004,1,0)+IF(AW50*1000000+SUM(Y50,AQ50)*10000+SUM(S50,AK50)*100+SUM(M50,AE50)+0.001&gt;AT50*1000000+SUM(V50,AN50)*10000+SUM(P50,AH50)*100+SUM(J50,AB50)+0.004,1,0)=1,"A",IF(IF(AR50*1000000+SUM(T50,AL50)*10000+SUM(N50,AF50)*100+SUM(H50,Z50)+0.006&gt;AU50*1000000+SUM(W50,AO50)*10000+SUM(Q50,AI50)*100+SUM(K50,AC50)+0.003,1,0)+IF(AS50*1000000+SUM(U50,AM50)*10000+SUM(O50,AG50)*100+SUM(I50,AA50)+0.005&gt;AU50*1000000+SUM(W50,AO50)*10000+SUM(Q50,AI50)*100+SUM(K50,AC50)+0.003,1,0)+IF(AT50*1000000+SUM(V50,AN50)*10000+SUM(P50,AH50)*100+SUM(J50,AB50)+0.004&gt;AU50*1000000+SUM(W50,AO50)*10000+SUM(Q50,AI50)*100+SUM(K50,AC50)+0.003,1,0)+IF(AV50*1000000+SUM(X50,AP50)*10000+SUM(R50,AJ50)*100+SUM(L50,AD50)+0.002&gt;AU50*1000000+SUM(W50,AO50)*10000+SUM(Q50,AI50)*100+SUM(K50,AC50)+0.003,1,0)+IF(AW50*1000000+SUM(Y50,AQ50)*10000+SUM(S50,AK50)*100+SUM(M50,AE50)+0.001&gt;AU50*1000000+SUM(W50,AO50)*10000+SUM(Q50,AI50)*100+SUM(K50,AC50)+0.003,1,0)=1,"S",IF(IF(AR50*1000000+SUM(T50,AL50)*10000+SUM(N50,AF50)*100+SUM(H50,Z50)+0.006&gt;AV50*1000000+SUM(X50,AP50)*10000+SUM(R50,AJ50)*100+SUM(L50,AD50)+0.002,1,0)+IF(AS50*1000000+SUM(U50,AM50)*10000+SUM(O50,AG50)*100+SUM(I50,AA50)+0.005&gt;AV50*1000000+SUM(X50,AP50)*10000+SUM(R50,AJ50)*100+SUM(L50,AD50)+0.002,1,0)+IF(AT50*1000000+SUM(V50,AN50)*10000+SUM(P50,AH50)*100+SUM(J50,AB50)+0.004&gt;AV50*1000000+SUM(X50,AP50)*10000+SUM(R50,AJ50)*100+SUM(L50,AD50)+0.002,1,0)+IF(AU50*1000000+SUM(W50,AO50)*10000+SUM(Q50,AI50)*100+SUM(K50,AC50)+0.003&gt;AV50*1000000+SUM(X50,AP50)*10000+SUM(R50,AJ50)*100+SUM(L50,AD50)+0.002,1,0)+IF(AW50*1000000+SUM(Y50,AQ50)*10000+SUM(S50,AK50)*100+SUM(M50,AE50)+0.001&gt;AV50*1000000+SUM(X50,AP50)*10000+SUM(R50,AJ50)*100+SUM(L50,AD50)+0.002,1,0)=1,"E",IF(IF(AR50*1000000+SUM(T50,AL50)*10000+SUM(N50,AF50)*100+SUM(H50,Z50)+0.006&gt;AW50*1000000+SUM(Y50,AQ50)*10000+SUM(S50,AK50)*100+SUM(M50,AE50)+0.001,1,0)+IF(AS50*1000000+SUM(U50,AM50)*10000+SUM(O50,AG50)*100+SUM(I50,AA50)+0.005&gt;AW50*1000000+SUM(Y50,AQ50)*10000+SUM(S50,AK50)*100+SUM(M50,AE50)+0.001,1,0)+IF(AT50*1000000+SUM(V50,AN50)*10000+SUM(P50,AH50)*100+SUM(J50,AB50)+0.004&gt;AW50*1000000+SUM(Y50,AQ50)*10000+SUM(S50,AK50)*100+SUM(M50,AE50)+0.001,1,0)+IF(AU50*1000000+SUM(W50,AO50)*10000+SUM(Q50,AI50)*100+SUM(K50,AC50)+0.003&gt;AW50*1000000+SUM(Y50,AQ50)*10000+SUM(S50,AK50)*100+SUM(M50,AE50)+0.001,1,0)+IF(AV50*1000000+SUM(X50,AP50)*10000+SUM(R50,AJ50)*100+SUM(L50,AD50)+0.002&gt;AW50*1000000+SUM(Y50,AQ50)*10000+SUM(S50,AK50)*100+SUM(M50,AE50)+0.001,1,0)=1,"C",""))))))&amp;IF(IF(AS50*1000000+SUM(U50,AM50)*10000+SUM(O50,AG50)*100+SUM(I50,AA50)+0.005&gt;AR50*1000000+SUM(T50,AL50)*10000+SUM(N50,AF50)*100+SUM(H50,Z50)+0.006,1,0)+IF(AT50*1000000+SUM(V50,AN50)*10000+SUM(P50,AH50)*100+SUM(J50,AB50)+0.004&gt;AR50*1000000+SUM(T50,AL50)*10000+SUM(N50,AF50)*100+SUM(H50,Z50)+0.006,1,0)+IF(AU50*1000000+SUM(W50,AO50)*10000+SUM(Q50,AI50)*100+SUM(K50,AC50)+0.003&gt;AR50*1000000+SUM(T50,AL50)*10000+SUM(N50,AF50)*100+SUM(H50,Z50)+0.006,1,0)+IF(AV50*1000000+SUM(X50,AP50)*10000+SUM(R50,AJ50)*100+SUM(L50,AD50)+0.002&gt;AR50*1000000+SUM(T50,AL50)*10000+SUM(N50,AF50)*100+SUM(H50,Z50)+0.006,1,0)+IF(AW50*1000000+SUM(Y50,AQ50)*10000+SUM(S50,AK50)*100+SUM(M50,AE50)+0.001&gt;AR50*1000000+SUM(T50,AL50)*10000+SUM(N50,AF50)*100+SUM(H50,Z50)+0.006,1,0)=2,"R",IF(IF(AR50*1000000+SUM(T50,AL50)*10000+SUM(N50,AF50)*100+SUM(H50,Z50)+0.006&gt;AS50*1000000+SUM(U50,AM50)*10000+SUM(O50,AG50)*100+SUM(I50,AA50)+0.005,1,0)+IF(AT50*1000000+SUM(V50,AN50)*10000+SUM(P50,AH50)*100+SUM(J50,AB50)+0.004&gt;AS50*1000000+SUM(U50,AM50)*10000+SUM(O50,AG50)*100+SUM(I50,AA50)+0.005,1,0)+IF(AU50*1000000+SUM(W50,AO50)*10000+SUM(Q50,AI50)*100+SUM(K50,AC50)+0.003&gt;AS50*1000000+SUM(U50,AM50)*10000+SUM(O50,AG50)*100+SUM(I50,AA50)+0.005,1,0)+IF(AV50*1000000+SUM(X50,AP50)*10000+SUM(R50,AJ50)*100+SUM(L50,AD50)+0.002&gt;AS50*1000000+SUM(U50,AM50)*10000+SUM(O50,AG50)*100+SUM(I50,AA50)+0.005,1,0)+IF(AW50*1000000+SUM(Y50,AQ50)*10000+SUM(S50,AK50)*100+SUM(M50,AE50)+0.001&gt;AS50*1000000+SUM(U50,AM50)*10000+SUM(O50,AG50)*100+SUM(I50,AA50)+0.005,1,0)=2,"I",IF(IF(AR50*1000000+SUM(T50,AL50)*10000+SUM(N50,AF50)*100+SUM(H50,Z50)+0.006&gt;AT50*1000000+SUM(V50,AN50)*10000+SUM(P50,AH50)*100+SUM(J50,AB50)+0.004,1,0)+IF(AS50*1000000+SUM(U50,AM50)*10000+SUM(O50,AG50)*100+SUM(I50,AA50)+0.005&gt;AT50*1000000+SUM(V50,AN50)*10000+SUM(P50,AH50)*100+SUM(J50,AB50)+0.004,1,0)+IF(AU50*1000000+SUM(W50,AO50)*10000+SUM(Q50,AI50)*100+SUM(K50,AC50)+0.003&gt;AT50*1000000+SUM(V50,AN50)*10000+SUM(P50,AH50)*100+SUM(J50,AB50)+0.004,1,0)+IF(AV50*1000000+SUM(X50,AP50)*10000+SUM(R50,AJ50)*100+SUM(L50,AD50)+0.002&gt;AT50*1000000+SUM(V50,AN50)*10000+SUM(P50,AH50)*100+SUM(J50,AB50)+0.004,1,0)+IF(AW50*1000000+SUM(Y50,AQ50)*10000+SUM(S50,AK50)*100+SUM(M50,AE50)+0.001&gt;AT50*1000000+SUM(V50,AN50)*10000+SUM(P50,AH50)*100+SUM(J50,AB50)+0.004,1,0)=2,"A",IF(IF(AR50*1000000+SUM(T50,AL50)*10000+SUM(N50,AF50)*100+SUM(H50,Z50)+0.006&gt;AU50*1000000+SUM(W50,AO50)*10000+SUM(Q50,AI50)*100+SUM(K50,AC50)+0.003,1,0)+IF(AS50*1000000+SUM(U50,AM50)*10000+SUM(O50,AG50)*100+SUM(I50,AA50)+0.005&gt;AU50*1000000+SUM(W50,AO50)*10000+SUM(Q50,AI50)*100+SUM(K50,AC50)+0.003,1,0)+IF(AT50*1000000+SUM(V50,AN50)*10000+SUM(P50,AH50)*100+SUM(J50,AB50)+0.004&gt;AU50*1000000+SUM(W50,AO50)*10000+SUM(Q50,AI50)*100+SUM(K50,AC50)+0.003,1,0)+IF(AV50*1000000+SUM(X50,AP50)*10000+SUM(R50,AJ50)*100+SUM(L50,AD50)+0.002&gt;AU50*1000000+SUM(W50,AO50)*10000+SUM(Q50,AI50)*100+SUM(K50,AC50)+0.003,1,0)+IF(AW50*1000000+SUM(Y50,AQ50)*10000+SUM(S50,AK50)*100+SUM(M50,AE50)+0.001&gt;AU50*1000000+SUM(W50,AO50)*10000+SUM(Q50,AI50)*100+SUM(K50,AC50)+0.003,1,0)=2,"S",IF(IF(AR50*1000000+SUM(T50,AL50)*10000+SUM(N50,AF50)*100+SUM(H50,Z50)+0.006&gt;AV50*1000000+SUM(X50,AP50)*10000+SUM(R50,AJ50)*100+SUM(L50,AD50)+0.002,1,0)+IF(AS50*1000000+SUM(U50,AM50)*10000+SUM(O50,AG50)*100+SUM(I50,AA50)+0.005&gt;AV50*1000000+SUM(X50,AP50)*10000+SUM(R50,AJ50)*100+SUM(L50,AD50)+0.002,1,0)+IF(AT50*1000000+SUM(V50,AN50)*10000+SUM(P50,AH50)*100+SUM(J50,AB50)+0.004&gt;AV50*1000000+SUM(X50,AP50)*10000+SUM(R50,AJ50)*100+SUM(L50,AD50)+0.002,1,0)+IF(AU50*1000000+SUM(W50,AO50)*10000+SUM(Q50,AI50)*100+SUM(K50,AC50)+0.003&gt;AV50*1000000+SUM(X50,AP50)*10000+SUM(R50,AJ50)*100+SUM(L50,AD50)+0.002,1,0)+IF(AW50*1000000+SUM(Y50,AQ50)*10000+SUM(S50,AK50)*100+SUM(M50,AE50)+0.001&gt;AV50*1000000+SUM(X50,AP50)*10000+SUM(R50,AJ50)*100+SUM(L50,AD50)+0.002,1,0)=2,"E",IF(IF(AR50*1000000+SUM(T50,AL50)*10000+SUM(N50,AF50)*100+SUM(H50,Z50)+0.006&gt;AW50*1000000+SUM(Y50,AQ50)*10000+SUM(S50,AK50)*100+SUM(M50,AE50)+0.001,1,0)+IF(AS50*1000000+SUM(U50,AM50)*10000+SUM(O50,AG50)*100+SUM(I50,AA50)+0.005&gt;AW50*1000000+SUM(Y50,AQ50)*10000+SUM(S50,AK50)*100+SUM(M50,AE50)+0.001,1,0)+IF(AT50*1000000+SUM(V50,AN50)*10000+SUM(P50,AH50)*100+SUM(J50,AB50)+0.004&gt;AW50*1000000+SUM(Y50,AQ50)*10000+SUM(S50,AK50)*100+SUM(M50,AE50)+0.001,1,0)+IF(AU50*1000000+SUM(W50,AO50)*10000+SUM(Q50,AI50)*100+SUM(K50,AC50)+0.003&gt;AW50*1000000+SUM(Y50,AQ50)*10000+SUM(S50,AK50)*100+SUM(M50,AE50)+0.001,1,0)+IF(AV50*1000000+SUM(X50,AP50)*10000+SUM(R50,AJ50)*100+SUM(L50,AD50)+0.002&gt;AW50*1000000+SUM(Y50,AQ50)*10000+SUM(S50,AK50)*100+SUM(M50,AE50)+0.001,1,0)=2,"C","")))))))</x:f>
      </x:c>
      <x:c r="AY50" s="27" t="str">
        <x:f>IF(C50="","",IF(LEFT(AX50,1)="R","นักปฏิบัติ",IF(LEFT(AX50,1)="I","นักคิดวิเคราะห์",IF(LEFT(AX50,1)="A","นักสร้างสรรค์",IF(LEFT(AX50,1)="S","ผู้เข้าใจผู้คน",IF(LEFT(AX50,1)="E","ผู้นำการเปลี่ยนแปลง","ผู้จัดระบบ"))))))</x:f>
      </x:c>
    </x:row>
    <x:row r="51">
      <x:c r="A51" s="27"/>
      <x:c r="B51" s="28"/>
      <x:c r="C51" s="27"/>
      <x:c r="D51" s="27"/>
      <x:c r="E51" s="27"/>
      <x:c r="F51" s="27"/>
      <x:c r="G51" s="27"/>
      <x:c r="H51" s="27"/>
      <x:c r="I51" s="27"/>
      <x:c r="J51" s="27"/>
      <x:c r="K51" s="27"/>
      <x:c r="L51" s="27"/>
      <x:c r="M51" s="27"/>
      <x:c r="N51" s="27"/>
      <x:c r="O51" s="27"/>
      <x:c r="P51" s="27"/>
      <x:c r="Q51" s="27"/>
      <x:c r="R51" s="27"/>
      <x:c r="S51" s="27"/>
      <x:c r="T51" s="27"/>
      <x:c r="U51" s="27"/>
      <x:c r="V51" s="27"/>
      <x:c r="W51" s="27"/>
      <x:c r="X51" s="27"/>
      <x:c r="Y51" s="27"/>
      <x:c r="Z51" s="27"/>
      <x:c r="AA51" s="27"/>
      <x:c r="AB51" s="27"/>
      <x:c r="AC51" s="27"/>
      <x:c r="AD51" s="27"/>
      <x:c r="AE51" s="27"/>
      <x:c r="AF51" s="27"/>
      <x:c r="AG51" s="27"/>
      <x:c r="AH51" s="27"/>
      <x:c r="AI51" s="27"/>
      <x:c r="AJ51" s="27"/>
      <x:c r="AK51" s="27"/>
      <x:c r="AL51" s="27"/>
      <x:c r="AM51" s="27"/>
      <x:c r="AN51" s="27"/>
      <x:c r="AO51" s="27"/>
      <x:c r="AP51" s="27"/>
      <x:c r="AQ51" s="27"/>
      <x:c r="AR51" s="27" t="str">
        <x:f>IF(C51="","",SUM(H51,N51,T51,Z51,AF51,AL51))</x:f>
      </x:c>
      <x:c r="AS51" s="27" t="str">
        <x:f>IF(C51="","",SUM(I51,O51,U51,AA51,AG51,AM51))</x:f>
      </x:c>
      <x:c r="AT51" s="27" t="str">
        <x:f>IF(C51="","",SUM(J51,P51,V51,AB51,AH51,AN51))</x:f>
      </x:c>
      <x:c r="AU51" s="27" t="str">
        <x:f>IF(C51="","",SUM(K51,Q51,W51,AC51,AI51,AO51))</x:f>
      </x:c>
      <x:c r="AV51" s="27" t="str">
        <x:f>IF(C51="","",SUM(L51,R51,X51,AD51,AJ51,AP51))</x:f>
      </x:c>
      <x:c r="AW51" s="27" t="str">
        <x:f>IF(C51="","",SUM(M51,S51,Y51,AE51,AK51,AQ51))</x:f>
      </x:c>
      <x:c r="AX51" s="27" t="str">
        <x:f>IF(C51="","",IF(IF(AS51*1000000+SUM(U51,AM51)*10000+SUM(O51,AG51)*100+SUM(I51,AA51)+0.005&gt;AR51*1000000+SUM(T51,AL51)*10000+SUM(N51,AF51)*100+SUM(H51,Z51)+0.006,1,0)+IF(AT51*1000000+SUM(V51,AN51)*10000+SUM(P51,AH51)*100+SUM(J51,AB51)+0.004&gt;AR51*1000000+SUM(T51,AL51)*10000+SUM(N51,AF51)*100+SUM(H51,Z51)+0.006,1,0)+IF(AU51*1000000+SUM(W51,AO51)*10000+SUM(Q51,AI51)*100+SUM(K51,AC51)+0.003&gt;AR51*1000000+SUM(T51,AL51)*10000+SUM(N51,AF51)*100+SUM(H51,Z51)+0.006,1,0)+IF(AV51*1000000+SUM(X51,AP51)*10000+SUM(R51,AJ51)*100+SUM(L51,AD51)+0.002&gt;AR51*1000000+SUM(T51,AL51)*10000+SUM(N51,AF51)*100+SUM(H51,Z51)+0.006,1,0)+IF(AW51*1000000+SUM(Y51,AQ51)*10000+SUM(S51,AK51)*100+SUM(M51,AE51)+0.001&gt;AR51*1000000+SUM(T51,AL51)*10000+SUM(N51,AF51)*100+SUM(H51,Z51)+0.006,1,0)=0,"R",IF(IF(AR51*1000000+SUM(T51,AL51)*10000+SUM(N51,AF51)*100+SUM(H51,Z51)+0.006&gt;AS51*1000000+SUM(U51,AM51)*10000+SUM(O51,AG51)*100+SUM(I51,AA51)+0.005,1,0)+IF(AT51*1000000+SUM(V51,AN51)*10000+SUM(P51,AH51)*100+SUM(J51,AB51)+0.004&gt;AS51*1000000+SUM(U51,AM51)*10000+SUM(O51,AG51)*100+SUM(I51,AA51)+0.005,1,0)+IF(AU51*1000000+SUM(W51,AO51)*10000+SUM(Q51,AI51)*100+SUM(K51,AC51)+0.003&gt;AS51*1000000+SUM(U51,AM51)*10000+SUM(O51,AG51)*100+SUM(I51,AA51)+0.005,1,0)+IF(AV51*1000000+SUM(X51,AP51)*10000+SUM(R51,AJ51)*100+SUM(L51,AD51)+0.002&gt;AS51*1000000+SUM(U51,AM51)*10000+SUM(O51,AG51)*100+SUM(I51,AA51)+0.005,1,0)+IF(AW51*1000000+SUM(Y51,AQ51)*10000+SUM(S51,AK51)*100+SUM(M51,AE51)+0.001&gt;AS51*1000000+SUM(U51,AM51)*10000+SUM(O51,AG51)*100+SUM(I51,AA51)+0.005,1,0)=0,"I",IF(IF(AR51*1000000+SUM(T51,AL51)*10000+SUM(N51,AF51)*100+SUM(H51,Z51)+0.006&gt;AT51*1000000+SUM(V51,AN51)*10000+SUM(P51,AH51)*100+SUM(J51,AB51)+0.004,1,0)+IF(AS51*1000000+SUM(U51,AM51)*10000+SUM(O51,AG51)*100+SUM(I51,AA51)+0.005&gt;AT51*1000000+SUM(V51,AN51)*10000+SUM(P51,AH51)*100+SUM(J51,AB51)+0.004,1,0)+IF(AU51*1000000+SUM(W51,AO51)*10000+SUM(Q51,AI51)*100+SUM(K51,AC51)+0.003&gt;AT51*1000000+SUM(V51,AN51)*10000+SUM(P51,AH51)*100+SUM(J51,AB51)+0.004,1,0)+IF(AV51*1000000+SUM(X51,AP51)*10000+SUM(R51,AJ51)*100+SUM(L51,AD51)+0.002&gt;AT51*1000000+SUM(V51,AN51)*10000+SUM(P51,AH51)*100+SUM(J51,AB51)+0.004,1,0)+IF(AW51*1000000+SUM(Y51,AQ51)*10000+SUM(S51,AK51)*100+SUM(M51,AE51)+0.001&gt;AT51*1000000+SUM(V51,AN51)*10000+SUM(P51,AH51)*100+SUM(J51,AB51)+0.004,1,0)=0,"A",IF(IF(AR51*1000000+SUM(T51,AL51)*10000+SUM(N51,AF51)*100+SUM(H51,Z51)+0.006&gt;AU51*1000000+SUM(W51,AO51)*10000+SUM(Q51,AI51)*100+SUM(K51,AC51)+0.003,1,0)+IF(AS51*1000000+SUM(U51,AM51)*10000+SUM(O51,AG51)*100+SUM(I51,AA51)+0.005&gt;AU51*1000000+SUM(W51,AO51)*10000+SUM(Q51,AI51)*100+SUM(K51,AC51)+0.003,1,0)+IF(AT51*1000000+SUM(V51,AN51)*10000+SUM(P51,AH51)*100+SUM(J51,AB51)+0.004&gt;AU51*1000000+SUM(W51,AO51)*10000+SUM(Q51,AI51)*100+SUM(K51,AC51)+0.003,1,0)+IF(AV51*1000000+SUM(X51,AP51)*10000+SUM(R51,AJ51)*100+SUM(L51,AD51)+0.002&gt;AU51*1000000+SUM(W51,AO51)*10000+SUM(Q51,AI51)*100+SUM(K51,AC51)+0.003,1,0)+IF(AW51*1000000+SUM(Y51,AQ51)*10000+SUM(S51,AK51)*100+SUM(M51,AE51)+0.001&gt;AU51*1000000+SUM(W51,AO51)*10000+SUM(Q51,AI51)*100+SUM(K51,AC51)+0.003,1,0)=0,"S",IF(IF(AR51*1000000+SUM(T51,AL51)*10000+SUM(N51,AF51)*100+SUM(H51,Z51)+0.006&gt;AV51*1000000+SUM(X51,AP51)*10000+SUM(R51,AJ51)*100+SUM(L51,AD51)+0.002,1,0)+IF(AS51*1000000+SUM(U51,AM51)*10000+SUM(O51,AG51)*100+SUM(I51,AA51)+0.005&gt;AV51*1000000+SUM(X51,AP51)*10000+SUM(R51,AJ51)*100+SUM(L51,AD51)+0.002,1,0)+IF(AT51*1000000+SUM(V51,AN51)*10000+SUM(P51,AH51)*100+SUM(J51,AB51)+0.004&gt;AV51*1000000+SUM(X51,AP51)*10000+SUM(R51,AJ51)*100+SUM(L51,AD51)+0.002,1,0)+IF(AU51*1000000+SUM(W51,AO51)*10000+SUM(Q51,AI51)*100+SUM(K51,AC51)+0.003&gt;AV51*1000000+SUM(X51,AP51)*10000+SUM(R51,AJ51)*100+SUM(L51,AD51)+0.002,1,0)+IF(AW51*1000000+SUM(Y51,AQ51)*10000+SUM(S51,AK51)*100+SUM(M51,AE51)+0.001&gt;AV51*1000000+SUM(X51,AP51)*10000+SUM(R51,AJ51)*100+SUM(L51,AD51)+0.002,1,0)=0,"E",IF(IF(AR51*1000000+SUM(T51,AL51)*10000+SUM(N51,AF51)*100+SUM(H51,Z51)+0.006&gt;AW51*1000000+SUM(Y51,AQ51)*10000+SUM(S51,AK51)*100+SUM(M51,AE51)+0.001,1,0)+IF(AS51*1000000+SUM(U51,AM51)*10000+SUM(O51,AG51)*100+SUM(I51,AA51)+0.005&gt;AW51*1000000+SUM(Y51,AQ51)*10000+SUM(S51,AK51)*100+SUM(M51,AE51)+0.001,1,0)+IF(AT51*1000000+SUM(V51,AN51)*10000+SUM(P51,AH51)*100+SUM(J51,AB51)+0.004&gt;AW51*1000000+SUM(Y51,AQ51)*10000+SUM(S51,AK51)*100+SUM(M51,AE51)+0.001,1,0)+IF(AU51*1000000+SUM(W51,AO51)*10000+SUM(Q51,AI51)*100+SUM(K51,AC51)+0.003&gt;AW51*1000000+SUM(Y51,AQ51)*10000+SUM(S51,AK51)*100+SUM(M51,AE51)+0.001,1,0)+IF(AV51*1000000+SUM(X51,AP51)*10000+SUM(R51,AJ51)*100+SUM(L51,AD51)+0.002&gt;AW51*1000000+SUM(Y51,AQ51)*10000+SUM(S51,AK51)*100+SUM(M51,AE51)+0.001,1,0)=0,"C",""))))))&amp;IF(IF(AS51*1000000+SUM(U51,AM51)*10000+SUM(O51,AG51)*100+SUM(I51,AA51)+0.005&gt;AR51*1000000+SUM(T51,AL51)*10000+SUM(N51,AF51)*100+SUM(H51,Z51)+0.006,1,0)+IF(AT51*1000000+SUM(V51,AN51)*10000+SUM(P51,AH51)*100+SUM(J51,AB51)+0.004&gt;AR51*1000000+SUM(T51,AL51)*10000+SUM(N51,AF51)*100+SUM(H51,Z51)+0.006,1,0)+IF(AU51*1000000+SUM(W51,AO51)*10000+SUM(Q51,AI51)*100+SUM(K51,AC51)+0.003&gt;AR51*1000000+SUM(T51,AL51)*10000+SUM(N51,AF51)*100+SUM(H51,Z51)+0.006,1,0)+IF(AV51*1000000+SUM(X51,AP51)*10000+SUM(R51,AJ51)*100+SUM(L51,AD51)+0.002&gt;AR51*1000000+SUM(T51,AL51)*10000+SUM(N51,AF51)*100+SUM(H51,Z51)+0.006,1,0)+IF(AW51*1000000+SUM(Y51,AQ51)*10000+SUM(S51,AK51)*100+SUM(M51,AE51)+0.001&gt;AR51*1000000+SUM(T51,AL51)*10000+SUM(N51,AF51)*100+SUM(H51,Z51)+0.006,1,0)=1,"R",IF(IF(AR51*1000000+SUM(T51,AL51)*10000+SUM(N51,AF51)*100+SUM(H51,Z51)+0.006&gt;AS51*1000000+SUM(U51,AM51)*10000+SUM(O51,AG51)*100+SUM(I51,AA51)+0.005,1,0)+IF(AT51*1000000+SUM(V51,AN51)*10000+SUM(P51,AH51)*100+SUM(J51,AB51)+0.004&gt;AS51*1000000+SUM(U51,AM51)*10000+SUM(O51,AG51)*100+SUM(I51,AA51)+0.005,1,0)+IF(AU51*1000000+SUM(W51,AO51)*10000+SUM(Q51,AI51)*100+SUM(K51,AC51)+0.003&gt;AS51*1000000+SUM(U51,AM51)*10000+SUM(O51,AG51)*100+SUM(I51,AA51)+0.005,1,0)+IF(AV51*1000000+SUM(X51,AP51)*10000+SUM(R51,AJ51)*100+SUM(L51,AD51)+0.002&gt;AS51*1000000+SUM(U51,AM51)*10000+SUM(O51,AG51)*100+SUM(I51,AA51)+0.005,1,0)+IF(AW51*1000000+SUM(Y51,AQ51)*10000+SUM(S51,AK51)*100+SUM(M51,AE51)+0.001&gt;AS51*1000000+SUM(U51,AM51)*10000+SUM(O51,AG51)*100+SUM(I51,AA51)+0.005,1,0)=1,"I",IF(IF(AR51*1000000+SUM(T51,AL51)*10000+SUM(N51,AF51)*100+SUM(H51,Z51)+0.006&gt;AT51*1000000+SUM(V51,AN51)*10000+SUM(P51,AH51)*100+SUM(J51,AB51)+0.004,1,0)+IF(AS51*1000000+SUM(U51,AM51)*10000+SUM(O51,AG51)*100+SUM(I51,AA51)+0.005&gt;AT51*1000000+SUM(V51,AN51)*10000+SUM(P51,AH51)*100+SUM(J51,AB51)+0.004,1,0)+IF(AU51*1000000+SUM(W51,AO51)*10000+SUM(Q51,AI51)*100+SUM(K51,AC51)+0.003&gt;AT51*1000000+SUM(V51,AN51)*10000+SUM(P51,AH51)*100+SUM(J51,AB51)+0.004,1,0)+IF(AV51*1000000+SUM(X51,AP51)*10000+SUM(R51,AJ51)*100+SUM(L51,AD51)+0.002&gt;AT51*1000000+SUM(V51,AN51)*10000+SUM(P51,AH51)*100+SUM(J51,AB51)+0.004,1,0)+IF(AW51*1000000+SUM(Y51,AQ51)*10000+SUM(S51,AK51)*100+SUM(M51,AE51)+0.001&gt;AT51*1000000+SUM(V51,AN51)*10000+SUM(P51,AH51)*100+SUM(J51,AB51)+0.004,1,0)=1,"A",IF(IF(AR51*1000000+SUM(T51,AL51)*10000+SUM(N51,AF51)*100+SUM(H51,Z51)+0.006&gt;AU51*1000000+SUM(W51,AO51)*10000+SUM(Q51,AI51)*100+SUM(K51,AC51)+0.003,1,0)+IF(AS51*1000000+SUM(U51,AM51)*10000+SUM(O51,AG51)*100+SUM(I51,AA51)+0.005&gt;AU51*1000000+SUM(W51,AO51)*10000+SUM(Q51,AI51)*100+SUM(K51,AC51)+0.003,1,0)+IF(AT51*1000000+SUM(V51,AN51)*10000+SUM(P51,AH51)*100+SUM(J51,AB51)+0.004&gt;AU51*1000000+SUM(W51,AO51)*10000+SUM(Q51,AI51)*100+SUM(K51,AC51)+0.003,1,0)+IF(AV51*1000000+SUM(X51,AP51)*10000+SUM(R51,AJ51)*100+SUM(L51,AD51)+0.002&gt;AU51*1000000+SUM(W51,AO51)*10000+SUM(Q51,AI51)*100+SUM(K51,AC51)+0.003,1,0)+IF(AW51*1000000+SUM(Y51,AQ51)*10000+SUM(S51,AK51)*100+SUM(M51,AE51)+0.001&gt;AU51*1000000+SUM(W51,AO51)*10000+SUM(Q51,AI51)*100+SUM(K51,AC51)+0.003,1,0)=1,"S",IF(IF(AR51*1000000+SUM(T51,AL51)*10000+SUM(N51,AF51)*100+SUM(H51,Z51)+0.006&gt;AV51*1000000+SUM(X51,AP51)*10000+SUM(R51,AJ51)*100+SUM(L51,AD51)+0.002,1,0)+IF(AS51*1000000+SUM(U51,AM51)*10000+SUM(O51,AG51)*100+SUM(I51,AA51)+0.005&gt;AV51*1000000+SUM(X51,AP51)*10000+SUM(R51,AJ51)*100+SUM(L51,AD51)+0.002,1,0)+IF(AT51*1000000+SUM(V51,AN51)*10000+SUM(P51,AH51)*100+SUM(J51,AB51)+0.004&gt;AV51*1000000+SUM(X51,AP51)*10000+SUM(R51,AJ51)*100+SUM(L51,AD51)+0.002,1,0)+IF(AU51*1000000+SUM(W51,AO51)*10000+SUM(Q51,AI51)*100+SUM(K51,AC51)+0.003&gt;AV51*1000000+SUM(X51,AP51)*10000+SUM(R51,AJ51)*100+SUM(L51,AD51)+0.002,1,0)+IF(AW51*1000000+SUM(Y51,AQ51)*10000+SUM(S51,AK51)*100+SUM(M51,AE51)+0.001&gt;AV51*1000000+SUM(X51,AP51)*10000+SUM(R51,AJ51)*100+SUM(L51,AD51)+0.002,1,0)=1,"E",IF(IF(AR51*1000000+SUM(T51,AL51)*10000+SUM(N51,AF51)*100+SUM(H51,Z51)+0.006&gt;AW51*1000000+SUM(Y51,AQ51)*10000+SUM(S51,AK51)*100+SUM(M51,AE51)+0.001,1,0)+IF(AS51*1000000+SUM(U51,AM51)*10000+SUM(O51,AG51)*100+SUM(I51,AA51)+0.005&gt;AW51*1000000+SUM(Y51,AQ51)*10000+SUM(S51,AK51)*100+SUM(M51,AE51)+0.001,1,0)+IF(AT51*1000000+SUM(V51,AN51)*10000+SUM(P51,AH51)*100+SUM(J51,AB51)+0.004&gt;AW51*1000000+SUM(Y51,AQ51)*10000+SUM(S51,AK51)*100+SUM(M51,AE51)+0.001,1,0)+IF(AU51*1000000+SUM(W51,AO51)*10000+SUM(Q51,AI51)*100+SUM(K51,AC51)+0.003&gt;AW51*1000000+SUM(Y51,AQ51)*10000+SUM(S51,AK51)*100+SUM(M51,AE51)+0.001,1,0)+IF(AV51*1000000+SUM(X51,AP51)*10000+SUM(R51,AJ51)*100+SUM(L51,AD51)+0.002&gt;AW51*1000000+SUM(Y51,AQ51)*10000+SUM(S51,AK51)*100+SUM(M51,AE51)+0.001,1,0)=1,"C",""))))))&amp;IF(IF(AS51*1000000+SUM(U51,AM51)*10000+SUM(O51,AG51)*100+SUM(I51,AA51)+0.005&gt;AR51*1000000+SUM(T51,AL51)*10000+SUM(N51,AF51)*100+SUM(H51,Z51)+0.006,1,0)+IF(AT51*1000000+SUM(V51,AN51)*10000+SUM(P51,AH51)*100+SUM(J51,AB51)+0.004&gt;AR51*1000000+SUM(T51,AL51)*10000+SUM(N51,AF51)*100+SUM(H51,Z51)+0.006,1,0)+IF(AU51*1000000+SUM(W51,AO51)*10000+SUM(Q51,AI51)*100+SUM(K51,AC51)+0.003&gt;AR51*1000000+SUM(T51,AL51)*10000+SUM(N51,AF51)*100+SUM(H51,Z51)+0.006,1,0)+IF(AV51*1000000+SUM(X51,AP51)*10000+SUM(R51,AJ51)*100+SUM(L51,AD51)+0.002&gt;AR51*1000000+SUM(T51,AL51)*10000+SUM(N51,AF51)*100+SUM(H51,Z51)+0.006,1,0)+IF(AW51*1000000+SUM(Y51,AQ51)*10000+SUM(S51,AK51)*100+SUM(M51,AE51)+0.001&gt;AR51*1000000+SUM(T51,AL51)*10000+SUM(N51,AF51)*100+SUM(H51,Z51)+0.006,1,0)=2,"R",IF(IF(AR51*1000000+SUM(T51,AL51)*10000+SUM(N51,AF51)*100+SUM(H51,Z51)+0.006&gt;AS51*1000000+SUM(U51,AM51)*10000+SUM(O51,AG51)*100+SUM(I51,AA51)+0.005,1,0)+IF(AT51*1000000+SUM(V51,AN51)*10000+SUM(P51,AH51)*100+SUM(J51,AB51)+0.004&gt;AS51*1000000+SUM(U51,AM51)*10000+SUM(O51,AG51)*100+SUM(I51,AA51)+0.005,1,0)+IF(AU51*1000000+SUM(W51,AO51)*10000+SUM(Q51,AI51)*100+SUM(K51,AC51)+0.003&gt;AS51*1000000+SUM(U51,AM51)*10000+SUM(O51,AG51)*100+SUM(I51,AA51)+0.005,1,0)+IF(AV51*1000000+SUM(X51,AP51)*10000+SUM(R51,AJ51)*100+SUM(L51,AD51)+0.002&gt;AS51*1000000+SUM(U51,AM51)*10000+SUM(O51,AG51)*100+SUM(I51,AA51)+0.005,1,0)+IF(AW51*1000000+SUM(Y51,AQ51)*10000+SUM(S51,AK51)*100+SUM(M51,AE51)+0.001&gt;AS51*1000000+SUM(U51,AM51)*10000+SUM(O51,AG51)*100+SUM(I51,AA51)+0.005,1,0)=2,"I",IF(IF(AR51*1000000+SUM(T51,AL51)*10000+SUM(N51,AF51)*100+SUM(H51,Z51)+0.006&gt;AT51*1000000+SUM(V51,AN51)*10000+SUM(P51,AH51)*100+SUM(J51,AB51)+0.004,1,0)+IF(AS51*1000000+SUM(U51,AM51)*10000+SUM(O51,AG51)*100+SUM(I51,AA51)+0.005&gt;AT51*1000000+SUM(V51,AN51)*10000+SUM(P51,AH51)*100+SUM(J51,AB51)+0.004,1,0)+IF(AU51*1000000+SUM(W51,AO51)*10000+SUM(Q51,AI51)*100+SUM(K51,AC51)+0.003&gt;AT51*1000000+SUM(V51,AN51)*10000+SUM(P51,AH51)*100+SUM(J51,AB51)+0.004,1,0)+IF(AV51*1000000+SUM(X51,AP51)*10000+SUM(R51,AJ51)*100+SUM(L51,AD51)+0.002&gt;AT51*1000000+SUM(V51,AN51)*10000+SUM(P51,AH51)*100+SUM(J51,AB51)+0.004,1,0)+IF(AW51*1000000+SUM(Y51,AQ51)*10000+SUM(S51,AK51)*100+SUM(M51,AE51)+0.001&gt;AT51*1000000+SUM(V51,AN51)*10000+SUM(P51,AH51)*100+SUM(J51,AB51)+0.004,1,0)=2,"A",IF(IF(AR51*1000000+SUM(T51,AL51)*10000+SUM(N51,AF51)*100+SUM(H51,Z51)+0.006&gt;AU51*1000000+SUM(W51,AO51)*10000+SUM(Q51,AI51)*100+SUM(K51,AC51)+0.003,1,0)+IF(AS51*1000000+SUM(U51,AM51)*10000+SUM(O51,AG51)*100+SUM(I51,AA51)+0.005&gt;AU51*1000000+SUM(W51,AO51)*10000+SUM(Q51,AI51)*100+SUM(K51,AC51)+0.003,1,0)+IF(AT51*1000000+SUM(V51,AN51)*10000+SUM(P51,AH51)*100+SUM(J51,AB51)+0.004&gt;AU51*1000000+SUM(W51,AO51)*10000+SUM(Q51,AI51)*100+SUM(K51,AC51)+0.003,1,0)+IF(AV51*1000000+SUM(X51,AP51)*10000+SUM(R51,AJ51)*100+SUM(L51,AD51)+0.002&gt;AU51*1000000+SUM(W51,AO51)*10000+SUM(Q51,AI51)*100+SUM(K51,AC51)+0.003,1,0)+IF(AW51*1000000+SUM(Y51,AQ51)*10000+SUM(S51,AK51)*100+SUM(M51,AE51)+0.001&gt;AU51*1000000+SUM(W51,AO51)*10000+SUM(Q51,AI51)*100+SUM(K51,AC51)+0.003,1,0)=2,"S",IF(IF(AR51*1000000+SUM(T51,AL51)*10000+SUM(N51,AF51)*100+SUM(H51,Z51)+0.006&gt;AV51*1000000+SUM(X51,AP51)*10000+SUM(R51,AJ51)*100+SUM(L51,AD51)+0.002,1,0)+IF(AS51*1000000+SUM(U51,AM51)*10000+SUM(O51,AG51)*100+SUM(I51,AA51)+0.005&gt;AV51*1000000+SUM(X51,AP51)*10000+SUM(R51,AJ51)*100+SUM(L51,AD51)+0.002,1,0)+IF(AT51*1000000+SUM(V51,AN51)*10000+SUM(P51,AH51)*100+SUM(J51,AB51)+0.004&gt;AV51*1000000+SUM(X51,AP51)*10000+SUM(R51,AJ51)*100+SUM(L51,AD51)+0.002,1,0)+IF(AU51*1000000+SUM(W51,AO51)*10000+SUM(Q51,AI51)*100+SUM(K51,AC51)+0.003&gt;AV51*1000000+SUM(X51,AP51)*10000+SUM(R51,AJ51)*100+SUM(L51,AD51)+0.002,1,0)+IF(AW51*1000000+SUM(Y51,AQ51)*10000+SUM(S51,AK51)*100+SUM(M51,AE51)+0.001&gt;AV51*1000000+SUM(X51,AP51)*10000+SUM(R51,AJ51)*100+SUM(L51,AD51)+0.002,1,0)=2,"E",IF(IF(AR51*1000000+SUM(T51,AL51)*10000+SUM(N51,AF51)*100+SUM(H51,Z51)+0.006&gt;AW51*1000000+SUM(Y51,AQ51)*10000+SUM(S51,AK51)*100+SUM(M51,AE51)+0.001,1,0)+IF(AS51*1000000+SUM(U51,AM51)*10000+SUM(O51,AG51)*100+SUM(I51,AA51)+0.005&gt;AW51*1000000+SUM(Y51,AQ51)*10000+SUM(S51,AK51)*100+SUM(M51,AE51)+0.001,1,0)+IF(AT51*1000000+SUM(V51,AN51)*10000+SUM(P51,AH51)*100+SUM(J51,AB51)+0.004&gt;AW51*1000000+SUM(Y51,AQ51)*10000+SUM(S51,AK51)*100+SUM(M51,AE51)+0.001,1,0)+IF(AU51*1000000+SUM(W51,AO51)*10000+SUM(Q51,AI51)*100+SUM(K51,AC51)+0.003&gt;AW51*1000000+SUM(Y51,AQ51)*10000+SUM(S51,AK51)*100+SUM(M51,AE51)+0.001,1,0)+IF(AV51*1000000+SUM(X51,AP51)*10000+SUM(R51,AJ51)*100+SUM(L51,AD51)+0.002&gt;AW51*1000000+SUM(Y51,AQ51)*10000+SUM(S51,AK51)*100+SUM(M51,AE51)+0.001,1,0)=2,"C","")))))))</x:f>
      </x:c>
      <x:c r="AY51" s="27" t="str">
        <x:f>IF(C51="","",IF(LEFT(AX51,1)="R","นักปฏิบัติ",IF(LEFT(AX51,1)="I","นักคิดวิเคราะห์",IF(LEFT(AX51,1)="A","นักสร้างสรรค์",IF(LEFT(AX51,1)="S","ผู้เข้าใจผู้คน",IF(LEFT(AX51,1)="E","ผู้นำการเปลี่ยนแปลง","ผู้จัดระบบ"))))))</x:f>
      </x:c>
    </x:row>
    <x:row r="52">
      <x:c r="A52" s="27"/>
      <x:c r="B52" s="28"/>
      <x:c r="C52" s="27"/>
      <x:c r="D52" s="27"/>
      <x:c r="E52" s="27"/>
      <x:c r="F52" s="27"/>
      <x:c r="G52" s="27"/>
      <x:c r="H52" s="27"/>
      <x:c r="I52" s="27"/>
      <x:c r="J52" s="27"/>
      <x:c r="K52" s="27"/>
      <x:c r="L52" s="27"/>
      <x:c r="M52" s="27"/>
      <x:c r="N52" s="27"/>
      <x:c r="O52" s="27"/>
      <x:c r="P52" s="27"/>
      <x:c r="Q52" s="27"/>
      <x:c r="R52" s="27"/>
      <x:c r="S52" s="27"/>
      <x:c r="T52" s="27"/>
      <x:c r="U52" s="27"/>
      <x:c r="V52" s="27"/>
      <x:c r="W52" s="27"/>
      <x:c r="X52" s="27"/>
      <x:c r="Y52" s="27"/>
      <x:c r="Z52" s="27"/>
      <x:c r="AA52" s="27"/>
      <x:c r="AB52" s="27"/>
      <x:c r="AC52" s="27"/>
      <x:c r="AD52" s="27"/>
      <x:c r="AE52" s="27"/>
      <x:c r="AF52" s="27"/>
      <x:c r="AG52" s="27"/>
      <x:c r="AH52" s="27"/>
      <x:c r="AI52" s="27"/>
      <x:c r="AJ52" s="27"/>
      <x:c r="AK52" s="27"/>
      <x:c r="AL52" s="27"/>
      <x:c r="AM52" s="27"/>
      <x:c r="AN52" s="27"/>
      <x:c r="AO52" s="27"/>
      <x:c r="AP52" s="27"/>
      <x:c r="AQ52" s="27"/>
      <x:c r="AR52" s="27" t="str">
        <x:f>IF(C52="","",SUM(H52,N52,T52,Z52,AF52,AL52))</x:f>
      </x:c>
      <x:c r="AS52" s="27" t="str">
        <x:f>IF(C52="","",SUM(I52,O52,U52,AA52,AG52,AM52))</x:f>
      </x:c>
      <x:c r="AT52" s="27" t="str">
        <x:f>IF(C52="","",SUM(J52,P52,V52,AB52,AH52,AN52))</x:f>
      </x:c>
      <x:c r="AU52" s="27" t="str">
        <x:f>IF(C52="","",SUM(K52,Q52,W52,AC52,AI52,AO52))</x:f>
      </x:c>
      <x:c r="AV52" s="27" t="str">
        <x:f>IF(C52="","",SUM(L52,R52,X52,AD52,AJ52,AP52))</x:f>
      </x:c>
      <x:c r="AW52" s="27" t="str">
        <x:f>IF(C52="","",SUM(M52,S52,Y52,AE52,AK52,AQ52))</x:f>
      </x:c>
      <x:c r="AX52" s="27" t="str">
        <x:f>IF(C52="","",IF(IF(AS52*1000000+SUM(U52,AM52)*10000+SUM(O52,AG52)*100+SUM(I52,AA52)+0.005&gt;AR52*1000000+SUM(T52,AL52)*10000+SUM(N52,AF52)*100+SUM(H52,Z52)+0.006,1,0)+IF(AT52*1000000+SUM(V52,AN52)*10000+SUM(P52,AH52)*100+SUM(J52,AB52)+0.004&gt;AR52*1000000+SUM(T52,AL52)*10000+SUM(N52,AF52)*100+SUM(H52,Z52)+0.006,1,0)+IF(AU52*1000000+SUM(W52,AO52)*10000+SUM(Q52,AI52)*100+SUM(K52,AC52)+0.003&gt;AR52*1000000+SUM(T52,AL52)*10000+SUM(N52,AF52)*100+SUM(H52,Z52)+0.006,1,0)+IF(AV52*1000000+SUM(X52,AP52)*10000+SUM(R52,AJ52)*100+SUM(L52,AD52)+0.002&gt;AR52*1000000+SUM(T52,AL52)*10000+SUM(N52,AF52)*100+SUM(H52,Z52)+0.006,1,0)+IF(AW52*1000000+SUM(Y52,AQ52)*10000+SUM(S52,AK52)*100+SUM(M52,AE52)+0.001&gt;AR52*1000000+SUM(T52,AL52)*10000+SUM(N52,AF52)*100+SUM(H52,Z52)+0.006,1,0)=0,"R",IF(IF(AR52*1000000+SUM(T52,AL52)*10000+SUM(N52,AF52)*100+SUM(H52,Z52)+0.006&gt;AS52*1000000+SUM(U52,AM52)*10000+SUM(O52,AG52)*100+SUM(I52,AA52)+0.005,1,0)+IF(AT52*1000000+SUM(V52,AN52)*10000+SUM(P52,AH52)*100+SUM(J52,AB52)+0.004&gt;AS52*1000000+SUM(U52,AM52)*10000+SUM(O52,AG52)*100+SUM(I52,AA52)+0.005,1,0)+IF(AU52*1000000+SUM(W52,AO52)*10000+SUM(Q52,AI52)*100+SUM(K52,AC52)+0.003&gt;AS52*1000000+SUM(U52,AM52)*10000+SUM(O52,AG52)*100+SUM(I52,AA52)+0.005,1,0)+IF(AV52*1000000+SUM(X52,AP52)*10000+SUM(R52,AJ52)*100+SUM(L52,AD52)+0.002&gt;AS52*1000000+SUM(U52,AM52)*10000+SUM(O52,AG52)*100+SUM(I52,AA52)+0.005,1,0)+IF(AW52*1000000+SUM(Y52,AQ52)*10000+SUM(S52,AK52)*100+SUM(M52,AE52)+0.001&gt;AS52*1000000+SUM(U52,AM52)*10000+SUM(O52,AG52)*100+SUM(I52,AA52)+0.005,1,0)=0,"I",IF(IF(AR52*1000000+SUM(T52,AL52)*10000+SUM(N52,AF52)*100+SUM(H52,Z52)+0.006&gt;AT52*1000000+SUM(V52,AN52)*10000+SUM(P52,AH52)*100+SUM(J52,AB52)+0.004,1,0)+IF(AS52*1000000+SUM(U52,AM52)*10000+SUM(O52,AG52)*100+SUM(I52,AA52)+0.005&gt;AT52*1000000+SUM(V52,AN52)*10000+SUM(P52,AH52)*100+SUM(J52,AB52)+0.004,1,0)+IF(AU52*1000000+SUM(W52,AO52)*10000+SUM(Q52,AI52)*100+SUM(K52,AC52)+0.003&gt;AT52*1000000+SUM(V52,AN52)*10000+SUM(P52,AH52)*100+SUM(J52,AB52)+0.004,1,0)+IF(AV52*1000000+SUM(X52,AP52)*10000+SUM(R52,AJ52)*100+SUM(L52,AD52)+0.002&gt;AT52*1000000+SUM(V52,AN52)*10000+SUM(P52,AH52)*100+SUM(J52,AB52)+0.004,1,0)+IF(AW52*1000000+SUM(Y52,AQ52)*10000+SUM(S52,AK52)*100+SUM(M52,AE52)+0.001&gt;AT52*1000000+SUM(V52,AN52)*10000+SUM(P52,AH52)*100+SUM(J52,AB52)+0.004,1,0)=0,"A",IF(IF(AR52*1000000+SUM(T52,AL52)*10000+SUM(N52,AF52)*100+SUM(H52,Z52)+0.006&gt;AU52*1000000+SUM(W52,AO52)*10000+SUM(Q52,AI52)*100+SUM(K52,AC52)+0.003,1,0)+IF(AS52*1000000+SUM(U52,AM52)*10000+SUM(O52,AG52)*100+SUM(I52,AA52)+0.005&gt;AU52*1000000+SUM(W52,AO52)*10000+SUM(Q52,AI52)*100+SUM(K52,AC52)+0.003,1,0)+IF(AT52*1000000+SUM(V52,AN52)*10000+SUM(P52,AH52)*100+SUM(J52,AB52)+0.004&gt;AU52*1000000+SUM(W52,AO52)*10000+SUM(Q52,AI52)*100+SUM(K52,AC52)+0.003,1,0)+IF(AV52*1000000+SUM(X52,AP52)*10000+SUM(R52,AJ52)*100+SUM(L52,AD52)+0.002&gt;AU52*1000000+SUM(W52,AO52)*10000+SUM(Q52,AI52)*100+SUM(K52,AC52)+0.003,1,0)+IF(AW52*1000000+SUM(Y52,AQ52)*10000+SUM(S52,AK52)*100+SUM(M52,AE52)+0.001&gt;AU52*1000000+SUM(W52,AO52)*10000+SUM(Q52,AI52)*100+SUM(K52,AC52)+0.003,1,0)=0,"S",IF(IF(AR52*1000000+SUM(T52,AL52)*10000+SUM(N52,AF52)*100+SUM(H52,Z52)+0.006&gt;AV52*1000000+SUM(X52,AP52)*10000+SUM(R52,AJ52)*100+SUM(L52,AD52)+0.002,1,0)+IF(AS52*1000000+SUM(U52,AM52)*10000+SUM(O52,AG52)*100+SUM(I52,AA52)+0.005&gt;AV52*1000000+SUM(X52,AP52)*10000+SUM(R52,AJ52)*100+SUM(L52,AD52)+0.002,1,0)+IF(AT52*1000000+SUM(V52,AN52)*10000+SUM(P52,AH52)*100+SUM(J52,AB52)+0.004&gt;AV52*1000000+SUM(X52,AP52)*10000+SUM(R52,AJ52)*100+SUM(L52,AD52)+0.002,1,0)+IF(AU52*1000000+SUM(W52,AO52)*10000+SUM(Q52,AI52)*100+SUM(K52,AC52)+0.003&gt;AV52*1000000+SUM(X52,AP52)*10000+SUM(R52,AJ52)*100+SUM(L52,AD52)+0.002,1,0)+IF(AW52*1000000+SUM(Y52,AQ52)*10000+SUM(S52,AK52)*100+SUM(M52,AE52)+0.001&gt;AV52*1000000+SUM(X52,AP52)*10000+SUM(R52,AJ52)*100+SUM(L52,AD52)+0.002,1,0)=0,"E",IF(IF(AR52*1000000+SUM(T52,AL52)*10000+SUM(N52,AF52)*100+SUM(H52,Z52)+0.006&gt;AW52*1000000+SUM(Y52,AQ52)*10000+SUM(S52,AK52)*100+SUM(M52,AE52)+0.001,1,0)+IF(AS52*1000000+SUM(U52,AM52)*10000+SUM(O52,AG52)*100+SUM(I52,AA52)+0.005&gt;AW52*1000000+SUM(Y52,AQ52)*10000+SUM(S52,AK52)*100+SUM(M52,AE52)+0.001,1,0)+IF(AT52*1000000+SUM(V52,AN52)*10000+SUM(P52,AH52)*100+SUM(J52,AB52)+0.004&gt;AW52*1000000+SUM(Y52,AQ52)*10000+SUM(S52,AK52)*100+SUM(M52,AE52)+0.001,1,0)+IF(AU52*1000000+SUM(W52,AO52)*10000+SUM(Q52,AI52)*100+SUM(K52,AC52)+0.003&gt;AW52*1000000+SUM(Y52,AQ52)*10000+SUM(S52,AK52)*100+SUM(M52,AE52)+0.001,1,0)+IF(AV52*1000000+SUM(X52,AP52)*10000+SUM(R52,AJ52)*100+SUM(L52,AD52)+0.002&gt;AW52*1000000+SUM(Y52,AQ52)*10000+SUM(S52,AK52)*100+SUM(M52,AE52)+0.001,1,0)=0,"C",""))))))&amp;IF(IF(AS52*1000000+SUM(U52,AM52)*10000+SUM(O52,AG52)*100+SUM(I52,AA52)+0.005&gt;AR52*1000000+SUM(T52,AL52)*10000+SUM(N52,AF52)*100+SUM(H52,Z52)+0.006,1,0)+IF(AT52*1000000+SUM(V52,AN52)*10000+SUM(P52,AH52)*100+SUM(J52,AB52)+0.004&gt;AR52*1000000+SUM(T52,AL52)*10000+SUM(N52,AF52)*100+SUM(H52,Z52)+0.006,1,0)+IF(AU52*1000000+SUM(W52,AO52)*10000+SUM(Q52,AI52)*100+SUM(K52,AC52)+0.003&gt;AR52*1000000+SUM(T52,AL52)*10000+SUM(N52,AF52)*100+SUM(H52,Z52)+0.006,1,0)+IF(AV52*1000000+SUM(X52,AP52)*10000+SUM(R52,AJ52)*100+SUM(L52,AD52)+0.002&gt;AR52*1000000+SUM(T52,AL52)*10000+SUM(N52,AF52)*100+SUM(H52,Z52)+0.006,1,0)+IF(AW52*1000000+SUM(Y52,AQ52)*10000+SUM(S52,AK52)*100+SUM(M52,AE52)+0.001&gt;AR52*1000000+SUM(T52,AL52)*10000+SUM(N52,AF52)*100+SUM(H52,Z52)+0.006,1,0)=1,"R",IF(IF(AR52*1000000+SUM(T52,AL52)*10000+SUM(N52,AF52)*100+SUM(H52,Z52)+0.006&gt;AS52*1000000+SUM(U52,AM52)*10000+SUM(O52,AG52)*100+SUM(I52,AA52)+0.005,1,0)+IF(AT52*1000000+SUM(V52,AN52)*10000+SUM(P52,AH52)*100+SUM(J52,AB52)+0.004&gt;AS52*1000000+SUM(U52,AM52)*10000+SUM(O52,AG52)*100+SUM(I52,AA52)+0.005,1,0)+IF(AU52*1000000+SUM(W52,AO52)*10000+SUM(Q52,AI52)*100+SUM(K52,AC52)+0.003&gt;AS52*1000000+SUM(U52,AM52)*10000+SUM(O52,AG52)*100+SUM(I52,AA52)+0.005,1,0)+IF(AV52*1000000+SUM(X52,AP52)*10000+SUM(R52,AJ52)*100+SUM(L52,AD52)+0.002&gt;AS52*1000000+SUM(U52,AM52)*10000+SUM(O52,AG52)*100+SUM(I52,AA52)+0.005,1,0)+IF(AW52*1000000+SUM(Y52,AQ52)*10000+SUM(S52,AK52)*100+SUM(M52,AE52)+0.001&gt;AS52*1000000+SUM(U52,AM52)*10000+SUM(O52,AG52)*100+SUM(I52,AA52)+0.005,1,0)=1,"I",IF(IF(AR52*1000000+SUM(T52,AL52)*10000+SUM(N52,AF52)*100+SUM(H52,Z52)+0.006&gt;AT52*1000000+SUM(V52,AN52)*10000+SUM(P52,AH52)*100+SUM(J52,AB52)+0.004,1,0)+IF(AS52*1000000+SUM(U52,AM52)*10000+SUM(O52,AG52)*100+SUM(I52,AA52)+0.005&gt;AT52*1000000+SUM(V52,AN52)*10000+SUM(P52,AH52)*100+SUM(J52,AB52)+0.004,1,0)+IF(AU52*1000000+SUM(W52,AO52)*10000+SUM(Q52,AI52)*100+SUM(K52,AC52)+0.003&gt;AT52*1000000+SUM(V52,AN52)*10000+SUM(P52,AH52)*100+SUM(J52,AB52)+0.004,1,0)+IF(AV52*1000000+SUM(X52,AP52)*10000+SUM(R52,AJ52)*100+SUM(L52,AD52)+0.002&gt;AT52*1000000+SUM(V52,AN52)*10000+SUM(P52,AH52)*100+SUM(J52,AB52)+0.004,1,0)+IF(AW52*1000000+SUM(Y52,AQ52)*10000+SUM(S52,AK52)*100+SUM(M52,AE52)+0.001&gt;AT52*1000000+SUM(V52,AN52)*10000+SUM(P52,AH52)*100+SUM(J52,AB52)+0.004,1,0)=1,"A",IF(IF(AR52*1000000+SUM(T52,AL52)*10000+SUM(N52,AF52)*100+SUM(H52,Z52)+0.006&gt;AU52*1000000+SUM(W52,AO52)*10000+SUM(Q52,AI52)*100+SUM(K52,AC52)+0.003,1,0)+IF(AS52*1000000+SUM(U52,AM52)*10000+SUM(O52,AG52)*100+SUM(I52,AA52)+0.005&gt;AU52*1000000+SUM(W52,AO52)*10000+SUM(Q52,AI52)*100+SUM(K52,AC52)+0.003,1,0)+IF(AT52*1000000+SUM(V52,AN52)*10000+SUM(P52,AH52)*100+SUM(J52,AB52)+0.004&gt;AU52*1000000+SUM(W52,AO52)*10000+SUM(Q52,AI52)*100+SUM(K52,AC52)+0.003,1,0)+IF(AV52*1000000+SUM(X52,AP52)*10000+SUM(R52,AJ52)*100+SUM(L52,AD52)+0.002&gt;AU52*1000000+SUM(W52,AO52)*10000+SUM(Q52,AI52)*100+SUM(K52,AC52)+0.003,1,0)+IF(AW52*1000000+SUM(Y52,AQ52)*10000+SUM(S52,AK52)*100+SUM(M52,AE52)+0.001&gt;AU52*1000000+SUM(W52,AO52)*10000+SUM(Q52,AI52)*100+SUM(K52,AC52)+0.003,1,0)=1,"S",IF(IF(AR52*1000000+SUM(T52,AL52)*10000+SUM(N52,AF52)*100+SUM(H52,Z52)+0.006&gt;AV52*1000000+SUM(X52,AP52)*10000+SUM(R52,AJ52)*100+SUM(L52,AD52)+0.002,1,0)+IF(AS52*1000000+SUM(U52,AM52)*10000+SUM(O52,AG52)*100+SUM(I52,AA52)+0.005&gt;AV52*1000000+SUM(X52,AP52)*10000+SUM(R52,AJ52)*100+SUM(L52,AD52)+0.002,1,0)+IF(AT52*1000000+SUM(V52,AN52)*10000+SUM(P52,AH52)*100+SUM(J52,AB52)+0.004&gt;AV52*1000000+SUM(X52,AP52)*10000+SUM(R52,AJ52)*100+SUM(L52,AD52)+0.002,1,0)+IF(AU52*1000000+SUM(W52,AO52)*10000+SUM(Q52,AI52)*100+SUM(K52,AC52)+0.003&gt;AV52*1000000+SUM(X52,AP52)*10000+SUM(R52,AJ52)*100+SUM(L52,AD52)+0.002,1,0)+IF(AW52*1000000+SUM(Y52,AQ52)*10000+SUM(S52,AK52)*100+SUM(M52,AE52)+0.001&gt;AV52*1000000+SUM(X52,AP52)*10000+SUM(R52,AJ52)*100+SUM(L52,AD52)+0.002,1,0)=1,"E",IF(IF(AR52*1000000+SUM(T52,AL52)*10000+SUM(N52,AF52)*100+SUM(H52,Z52)+0.006&gt;AW52*1000000+SUM(Y52,AQ52)*10000+SUM(S52,AK52)*100+SUM(M52,AE52)+0.001,1,0)+IF(AS52*1000000+SUM(U52,AM52)*10000+SUM(O52,AG52)*100+SUM(I52,AA52)+0.005&gt;AW52*1000000+SUM(Y52,AQ52)*10000+SUM(S52,AK52)*100+SUM(M52,AE52)+0.001,1,0)+IF(AT52*1000000+SUM(V52,AN52)*10000+SUM(P52,AH52)*100+SUM(J52,AB52)+0.004&gt;AW52*1000000+SUM(Y52,AQ52)*10000+SUM(S52,AK52)*100+SUM(M52,AE52)+0.001,1,0)+IF(AU52*1000000+SUM(W52,AO52)*10000+SUM(Q52,AI52)*100+SUM(K52,AC52)+0.003&gt;AW52*1000000+SUM(Y52,AQ52)*10000+SUM(S52,AK52)*100+SUM(M52,AE52)+0.001,1,0)+IF(AV52*1000000+SUM(X52,AP52)*10000+SUM(R52,AJ52)*100+SUM(L52,AD52)+0.002&gt;AW52*1000000+SUM(Y52,AQ52)*10000+SUM(S52,AK52)*100+SUM(M52,AE52)+0.001,1,0)=1,"C",""))))))&amp;IF(IF(AS52*1000000+SUM(U52,AM52)*10000+SUM(O52,AG52)*100+SUM(I52,AA52)+0.005&gt;AR52*1000000+SUM(T52,AL52)*10000+SUM(N52,AF52)*100+SUM(H52,Z52)+0.006,1,0)+IF(AT52*1000000+SUM(V52,AN52)*10000+SUM(P52,AH52)*100+SUM(J52,AB52)+0.004&gt;AR52*1000000+SUM(T52,AL52)*10000+SUM(N52,AF52)*100+SUM(H52,Z52)+0.006,1,0)+IF(AU52*1000000+SUM(W52,AO52)*10000+SUM(Q52,AI52)*100+SUM(K52,AC52)+0.003&gt;AR52*1000000+SUM(T52,AL52)*10000+SUM(N52,AF52)*100+SUM(H52,Z52)+0.006,1,0)+IF(AV52*1000000+SUM(X52,AP52)*10000+SUM(R52,AJ52)*100+SUM(L52,AD52)+0.002&gt;AR52*1000000+SUM(T52,AL52)*10000+SUM(N52,AF52)*100+SUM(H52,Z52)+0.006,1,0)+IF(AW52*1000000+SUM(Y52,AQ52)*10000+SUM(S52,AK52)*100+SUM(M52,AE52)+0.001&gt;AR52*1000000+SUM(T52,AL52)*10000+SUM(N52,AF52)*100+SUM(H52,Z52)+0.006,1,0)=2,"R",IF(IF(AR52*1000000+SUM(T52,AL52)*10000+SUM(N52,AF52)*100+SUM(H52,Z52)+0.006&gt;AS52*1000000+SUM(U52,AM52)*10000+SUM(O52,AG52)*100+SUM(I52,AA52)+0.005,1,0)+IF(AT52*1000000+SUM(V52,AN52)*10000+SUM(P52,AH52)*100+SUM(J52,AB52)+0.004&gt;AS52*1000000+SUM(U52,AM52)*10000+SUM(O52,AG52)*100+SUM(I52,AA52)+0.005,1,0)+IF(AU52*1000000+SUM(W52,AO52)*10000+SUM(Q52,AI52)*100+SUM(K52,AC52)+0.003&gt;AS52*1000000+SUM(U52,AM52)*10000+SUM(O52,AG52)*100+SUM(I52,AA52)+0.005,1,0)+IF(AV52*1000000+SUM(X52,AP52)*10000+SUM(R52,AJ52)*100+SUM(L52,AD52)+0.002&gt;AS52*1000000+SUM(U52,AM52)*10000+SUM(O52,AG52)*100+SUM(I52,AA52)+0.005,1,0)+IF(AW52*1000000+SUM(Y52,AQ52)*10000+SUM(S52,AK52)*100+SUM(M52,AE52)+0.001&gt;AS52*1000000+SUM(U52,AM52)*10000+SUM(O52,AG52)*100+SUM(I52,AA52)+0.005,1,0)=2,"I",IF(IF(AR52*1000000+SUM(T52,AL52)*10000+SUM(N52,AF52)*100+SUM(H52,Z52)+0.006&gt;AT52*1000000+SUM(V52,AN52)*10000+SUM(P52,AH52)*100+SUM(J52,AB52)+0.004,1,0)+IF(AS52*1000000+SUM(U52,AM52)*10000+SUM(O52,AG52)*100+SUM(I52,AA52)+0.005&gt;AT52*1000000+SUM(V52,AN52)*10000+SUM(P52,AH52)*100+SUM(J52,AB52)+0.004,1,0)+IF(AU52*1000000+SUM(W52,AO52)*10000+SUM(Q52,AI52)*100+SUM(K52,AC52)+0.003&gt;AT52*1000000+SUM(V52,AN52)*10000+SUM(P52,AH52)*100+SUM(J52,AB52)+0.004,1,0)+IF(AV52*1000000+SUM(X52,AP52)*10000+SUM(R52,AJ52)*100+SUM(L52,AD52)+0.002&gt;AT52*1000000+SUM(V52,AN52)*10000+SUM(P52,AH52)*100+SUM(J52,AB52)+0.004,1,0)+IF(AW52*1000000+SUM(Y52,AQ52)*10000+SUM(S52,AK52)*100+SUM(M52,AE52)+0.001&gt;AT52*1000000+SUM(V52,AN52)*10000+SUM(P52,AH52)*100+SUM(J52,AB52)+0.004,1,0)=2,"A",IF(IF(AR52*1000000+SUM(T52,AL52)*10000+SUM(N52,AF52)*100+SUM(H52,Z52)+0.006&gt;AU52*1000000+SUM(W52,AO52)*10000+SUM(Q52,AI52)*100+SUM(K52,AC52)+0.003,1,0)+IF(AS52*1000000+SUM(U52,AM52)*10000+SUM(O52,AG52)*100+SUM(I52,AA52)+0.005&gt;AU52*1000000+SUM(W52,AO52)*10000+SUM(Q52,AI52)*100+SUM(K52,AC52)+0.003,1,0)+IF(AT52*1000000+SUM(V52,AN52)*10000+SUM(P52,AH52)*100+SUM(J52,AB52)+0.004&gt;AU52*1000000+SUM(W52,AO52)*10000+SUM(Q52,AI52)*100+SUM(K52,AC52)+0.003,1,0)+IF(AV52*1000000+SUM(X52,AP52)*10000+SUM(R52,AJ52)*100+SUM(L52,AD52)+0.002&gt;AU52*1000000+SUM(W52,AO52)*10000+SUM(Q52,AI52)*100+SUM(K52,AC52)+0.003,1,0)+IF(AW52*1000000+SUM(Y52,AQ52)*10000+SUM(S52,AK52)*100+SUM(M52,AE52)+0.001&gt;AU52*1000000+SUM(W52,AO52)*10000+SUM(Q52,AI52)*100+SUM(K52,AC52)+0.003,1,0)=2,"S",IF(IF(AR52*1000000+SUM(T52,AL52)*10000+SUM(N52,AF52)*100+SUM(H52,Z52)+0.006&gt;AV52*1000000+SUM(X52,AP52)*10000+SUM(R52,AJ52)*100+SUM(L52,AD52)+0.002,1,0)+IF(AS52*1000000+SUM(U52,AM52)*10000+SUM(O52,AG52)*100+SUM(I52,AA52)+0.005&gt;AV52*1000000+SUM(X52,AP52)*10000+SUM(R52,AJ52)*100+SUM(L52,AD52)+0.002,1,0)+IF(AT52*1000000+SUM(V52,AN52)*10000+SUM(P52,AH52)*100+SUM(J52,AB52)+0.004&gt;AV52*1000000+SUM(X52,AP52)*10000+SUM(R52,AJ52)*100+SUM(L52,AD52)+0.002,1,0)+IF(AU52*1000000+SUM(W52,AO52)*10000+SUM(Q52,AI52)*100+SUM(K52,AC52)+0.003&gt;AV52*1000000+SUM(X52,AP52)*10000+SUM(R52,AJ52)*100+SUM(L52,AD52)+0.002,1,0)+IF(AW52*1000000+SUM(Y52,AQ52)*10000+SUM(S52,AK52)*100+SUM(M52,AE52)+0.001&gt;AV52*1000000+SUM(X52,AP52)*10000+SUM(R52,AJ52)*100+SUM(L52,AD52)+0.002,1,0)=2,"E",IF(IF(AR52*1000000+SUM(T52,AL52)*10000+SUM(N52,AF52)*100+SUM(H52,Z52)+0.006&gt;AW52*1000000+SUM(Y52,AQ52)*10000+SUM(S52,AK52)*100+SUM(M52,AE52)+0.001,1,0)+IF(AS52*1000000+SUM(U52,AM52)*10000+SUM(O52,AG52)*100+SUM(I52,AA52)+0.005&gt;AW52*1000000+SUM(Y52,AQ52)*10000+SUM(S52,AK52)*100+SUM(M52,AE52)+0.001,1,0)+IF(AT52*1000000+SUM(V52,AN52)*10000+SUM(P52,AH52)*100+SUM(J52,AB52)+0.004&gt;AW52*1000000+SUM(Y52,AQ52)*10000+SUM(S52,AK52)*100+SUM(M52,AE52)+0.001,1,0)+IF(AU52*1000000+SUM(W52,AO52)*10000+SUM(Q52,AI52)*100+SUM(K52,AC52)+0.003&gt;AW52*1000000+SUM(Y52,AQ52)*10000+SUM(S52,AK52)*100+SUM(M52,AE52)+0.001,1,0)+IF(AV52*1000000+SUM(X52,AP52)*10000+SUM(R52,AJ52)*100+SUM(L52,AD52)+0.002&gt;AW52*1000000+SUM(Y52,AQ52)*10000+SUM(S52,AK52)*100+SUM(M52,AE52)+0.001,1,0)=2,"C","")))))))</x:f>
      </x:c>
      <x:c r="AY52" s="27" t="str">
        <x:f>IF(C52="","",IF(LEFT(AX52,1)="R","นักปฏิบัติ",IF(LEFT(AX52,1)="I","นักคิดวิเคราะห์",IF(LEFT(AX52,1)="A","นักสร้างสรรค์",IF(LEFT(AX52,1)="S","ผู้เข้าใจผู้คน",IF(LEFT(AX52,1)="E","ผู้นำการเปลี่ยนแปลง","ผู้จัดระบบ"))))))</x:f>
      </x:c>
    </x:row>
    <x:row r="53">
      <x:c r="A53" s="27"/>
      <x:c r="B53" s="28"/>
      <x:c r="C53" s="27"/>
      <x:c r="D53" s="27"/>
      <x:c r="E53" s="27"/>
      <x:c r="F53" s="27"/>
      <x:c r="G53" s="27"/>
      <x:c r="H53" s="27"/>
      <x:c r="I53" s="27"/>
      <x:c r="J53" s="27"/>
      <x:c r="K53" s="27"/>
      <x:c r="L53" s="27"/>
      <x:c r="M53" s="27"/>
      <x:c r="N53" s="27"/>
      <x:c r="O53" s="27"/>
      <x:c r="P53" s="27"/>
      <x:c r="Q53" s="27"/>
      <x:c r="R53" s="27"/>
      <x:c r="S53" s="27"/>
      <x:c r="T53" s="27"/>
      <x:c r="U53" s="27"/>
      <x:c r="V53" s="27"/>
      <x:c r="W53" s="27"/>
      <x:c r="X53" s="27"/>
      <x:c r="Y53" s="27"/>
      <x:c r="Z53" s="27"/>
      <x:c r="AA53" s="27"/>
      <x:c r="AB53" s="27"/>
      <x:c r="AC53" s="27"/>
      <x:c r="AD53" s="27"/>
      <x:c r="AE53" s="27"/>
      <x:c r="AF53" s="27"/>
      <x:c r="AG53" s="27"/>
      <x:c r="AH53" s="27"/>
      <x:c r="AI53" s="27"/>
      <x:c r="AJ53" s="27"/>
      <x:c r="AK53" s="27"/>
      <x:c r="AL53" s="27"/>
      <x:c r="AM53" s="27"/>
      <x:c r="AN53" s="27"/>
      <x:c r="AO53" s="27"/>
      <x:c r="AP53" s="27"/>
      <x:c r="AQ53" s="27"/>
      <x:c r="AR53" s="27" t="str">
        <x:f>IF(C53="","",SUM(H53,N53,T53,Z53,AF53,AL53))</x:f>
      </x:c>
      <x:c r="AS53" s="27" t="str">
        <x:f>IF(C53="","",SUM(I53,O53,U53,AA53,AG53,AM53))</x:f>
      </x:c>
      <x:c r="AT53" s="27" t="str">
        <x:f>IF(C53="","",SUM(J53,P53,V53,AB53,AH53,AN53))</x:f>
      </x:c>
      <x:c r="AU53" s="27" t="str">
        <x:f>IF(C53="","",SUM(K53,Q53,W53,AC53,AI53,AO53))</x:f>
      </x:c>
      <x:c r="AV53" s="27" t="str">
        <x:f>IF(C53="","",SUM(L53,R53,X53,AD53,AJ53,AP53))</x:f>
      </x:c>
      <x:c r="AW53" s="27" t="str">
        <x:f>IF(C53="","",SUM(M53,S53,Y53,AE53,AK53,AQ53))</x:f>
      </x:c>
      <x:c r="AX53" s="27" t="str">
        <x:f>IF(C53="","",IF(IF(AS53*1000000+SUM(U53,AM53)*10000+SUM(O53,AG53)*100+SUM(I53,AA53)+0.005&gt;AR53*1000000+SUM(T53,AL53)*10000+SUM(N53,AF53)*100+SUM(H53,Z53)+0.006,1,0)+IF(AT53*1000000+SUM(V53,AN53)*10000+SUM(P53,AH53)*100+SUM(J53,AB53)+0.004&gt;AR53*1000000+SUM(T53,AL53)*10000+SUM(N53,AF53)*100+SUM(H53,Z53)+0.006,1,0)+IF(AU53*1000000+SUM(W53,AO53)*10000+SUM(Q53,AI53)*100+SUM(K53,AC53)+0.003&gt;AR53*1000000+SUM(T53,AL53)*10000+SUM(N53,AF53)*100+SUM(H53,Z53)+0.006,1,0)+IF(AV53*1000000+SUM(X53,AP53)*10000+SUM(R53,AJ53)*100+SUM(L53,AD53)+0.002&gt;AR53*1000000+SUM(T53,AL53)*10000+SUM(N53,AF53)*100+SUM(H53,Z53)+0.006,1,0)+IF(AW53*1000000+SUM(Y53,AQ53)*10000+SUM(S53,AK53)*100+SUM(M53,AE53)+0.001&gt;AR53*1000000+SUM(T53,AL53)*10000+SUM(N53,AF53)*100+SUM(H53,Z53)+0.006,1,0)=0,"R",IF(IF(AR53*1000000+SUM(T53,AL53)*10000+SUM(N53,AF53)*100+SUM(H53,Z53)+0.006&gt;AS53*1000000+SUM(U53,AM53)*10000+SUM(O53,AG53)*100+SUM(I53,AA53)+0.005,1,0)+IF(AT53*1000000+SUM(V53,AN53)*10000+SUM(P53,AH53)*100+SUM(J53,AB53)+0.004&gt;AS53*1000000+SUM(U53,AM53)*10000+SUM(O53,AG53)*100+SUM(I53,AA53)+0.005,1,0)+IF(AU53*1000000+SUM(W53,AO53)*10000+SUM(Q53,AI53)*100+SUM(K53,AC53)+0.003&gt;AS53*1000000+SUM(U53,AM53)*10000+SUM(O53,AG53)*100+SUM(I53,AA53)+0.005,1,0)+IF(AV53*1000000+SUM(X53,AP53)*10000+SUM(R53,AJ53)*100+SUM(L53,AD53)+0.002&gt;AS53*1000000+SUM(U53,AM53)*10000+SUM(O53,AG53)*100+SUM(I53,AA53)+0.005,1,0)+IF(AW53*1000000+SUM(Y53,AQ53)*10000+SUM(S53,AK53)*100+SUM(M53,AE53)+0.001&gt;AS53*1000000+SUM(U53,AM53)*10000+SUM(O53,AG53)*100+SUM(I53,AA53)+0.005,1,0)=0,"I",IF(IF(AR53*1000000+SUM(T53,AL53)*10000+SUM(N53,AF53)*100+SUM(H53,Z53)+0.006&gt;AT53*1000000+SUM(V53,AN53)*10000+SUM(P53,AH53)*100+SUM(J53,AB53)+0.004,1,0)+IF(AS53*1000000+SUM(U53,AM53)*10000+SUM(O53,AG53)*100+SUM(I53,AA53)+0.005&gt;AT53*1000000+SUM(V53,AN53)*10000+SUM(P53,AH53)*100+SUM(J53,AB53)+0.004,1,0)+IF(AU53*1000000+SUM(W53,AO53)*10000+SUM(Q53,AI53)*100+SUM(K53,AC53)+0.003&gt;AT53*1000000+SUM(V53,AN53)*10000+SUM(P53,AH53)*100+SUM(J53,AB53)+0.004,1,0)+IF(AV53*1000000+SUM(X53,AP53)*10000+SUM(R53,AJ53)*100+SUM(L53,AD53)+0.002&gt;AT53*1000000+SUM(V53,AN53)*10000+SUM(P53,AH53)*100+SUM(J53,AB53)+0.004,1,0)+IF(AW53*1000000+SUM(Y53,AQ53)*10000+SUM(S53,AK53)*100+SUM(M53,AE53)+0.001&gt;AT53*1000000+SUM(V53,AN53)*10000+SUM(P53,AH53)*100+SUM(J53,AB53)+0.004,1,0)=0,"A",IF(IF(AR53*1000000+SUM(T53,AL53)*10000+SUM(N53,AF53)*100+SUM(H53,Z53)+0.006&gt;AU53*1000000+SUM(W53,AO53)*10000+SUM(Q53,AI53)*100+SUM(K53,AC53)+0.003,1,0)+IF(AS53*1000000+SUM(U53,AM53)*10000+SUM(O53,AG53)*100+SUM(I53,AA53)+0.005&gt;AU53*1000000+SUM(W53,AO53)*10000+SUM(Q53,AI53)*100+SUM(K53,AC53)+0.003,1,0)+IF(AT53*1000000+SUM(V53,AN53)*10000+SUM(P53,AH53)*100+SUM(J53,AB53)+0.004&gt;AU53*1000000+SUM(W53,AO53)*10000+SUM(Q53,AI53)*100+SUM(K53,AC53)+0.003,1,0)+IF(AV53*1000000+SUM(X53,AP53)*10000+SUM(R53,AJ53)*100+SUM(L53,AD53)+0.002&gt;AU53*1000000+SUM(W53,AO53)*10000+SUM(Q53,AI53)*100+SUM(K53,AC53)+0.003,1,0)+IF(AW53*1000000+SUM(Y53,AQ53)*10000+SUM(S53,AK53)*100+SUM(M53,AE53)+0.001&gt;AU53*1000000+SUM(W53,AO53)*10000+SUM(Q53,AI53)*100+SUM(K53,AC53)+0.003,1,0)=0,"S",IF(IF(AR53*1000000+SUM(T53,AL53)*10000+SUM(N53,AF53)*100+SUM(H53,Z53)+0.006&gt;AV53*1000000+SUM(X53,AP53)*10000+SUM(R53,AJ53)*100+SUM(L53,AD53)+0.002,1,0)+IF(AS53*1000000+SUM(U53,AM53)*10000+SUM(O53,AG53)*100+SUM(I53,AA53)+0.005&gt;AV53*1000000+SUM(X53,AP53)*10000+SUM(R53,AJ53)*100+SUM(L53,AD53)+0.002,1,0)+IF(AT53*1000000+SUM(V53,AN53)*10000+SUM(P53,AH53)*100+SUM(J53,AB53)+0.004&gt;AV53*1000000+SUM(X53,AP53)*10000+SUM(R53,AJ53)*100+SUM(L53,AD53)+0.002,1,0)+IF(AU53*1000000+SUM(W53,AO53)*10000+SUM(Q53,AI53)*100+SUM(K53,AC53)+0.003&gt;AV53*1000000+SUM(X53,AP53)*10000+SUM(R53,AJ53)*100+SUM(L53,AD53)+0.002,1,0)+IF(AW53*1000000+SUM(Y53,AQ53)*10000+SUM(S53,AK53)*100+SUM(M53,AE53)+0.001&gt;AV53*1000000+SUM(X53,AP53)*10000+SUM(R53,AJ53)*100+SUM(L53,AD53)+0.002,1,0)=0,"E",IF(IF(AR53*1000000+SUM(T53,AL53)*10000+SUM(N53,AF53)*100+SUM(H53,Z53)+0.006&gt;AW53*1000000+SUM(Y53,AQ53)*10000+SUM(S53,AK53)*100+SUM(M53,AE53)+0.001,1,0)+IF(AS53*1000000+SUM(U53,AM53)*10000+SUM(O53,AG53)*100+SUM(I53,AA53)+0.005&gt;AW53*1000000+SUM(Y53,AQ53)*10000+SUM(S53,AK53)*100+SUM(M53,AE53)+0.001,1,0)+IF(AT53*1000000+SUM(V53,AN53)*10000+SUM(P53,AH53)*100+SUM(J53,AB53)+0.004&gt;AW53*1000000+SUM(Y53,AQ53)*10000+SUM(S53,AK53)*100+SUM(M53,AE53)+0.001,1,0)+IF(AU53*1000000+SUM(W53,AO53)*10000+SUM(Q53,AI53)*100+SUM(K53,AC53)+0.003&gt;AW53*1000000+SUM(Y53,AQ53)*10000+SUM(S53,AK53)*100+SUM(M53,AE53)+0.001,1,0)+IF(AV53*1000000+SUM(X53,AP53)*10000+SUM(R53,AJ53)*100+SUM(L53,AD53)+0.002&gt;AW53*1000000+SUM(Y53,AQ53)*10000+SUM(S53,AK53)*100+SUM(M53,AE53)+0.001,1,0)=0,"C",""))))))&amp;IF(IF(AS53*1000000+SUM(U53,AM53)*10000+SUM(O53,AG53)*100+SUM(I53,AA53)+0.005&gt;AR53*1000000+SUM(T53,AL53)*10000+SUM(N53,AF53)*100+SUM(H53,Z53)+0.006,1,0)+IF(AT53*1000000+SUM(V53,AN53)*10000+SUM(P53,AH53)*100+SUM(J53,AB53)+0.004&gt;AR53*1000000+SUM(T53,AL53)*10000+SUM(N53,AF53)*100+SUM(H53,Z53)+0.006,1,0)+IF(AU53*1000000+SUM(W53,AO53)*10000+SUM(Q53,AI53)*100+SUM(K53,AC53)+0.003&gt;AR53*1000000+SUM(T53,AL53)*10000+SUM(N53,AF53)*100+SUM(H53,Z53)+0.006,1,0)+IF(AV53*1000000+SUM(X53,AP53)*10000+SUM(R53,AJ53)*100+SUM(L53,AD53)+0.002&gt;AR53*1000000+SUM(T53,AL53)*10000+SUM(N53,AF53)*100+SUM(H53,Z53)+0.006,1,0)+IF(AW53*1000000+SUM(Y53,AQ53)*10000+SUM(S53,AK53)*100+SUM(M53,AE53)+0.001&gt;AR53*1000000+SUM(T53,AL53)*10000+SUM(N53,AF53)*100+SUM(H53,Z53)+0.006,1,0)=1,"R",IF(IF(AR53*1000000+SUM(T53,AL53)*10000+SUM(N53,AF53)*100+SUM(H53,Z53)+0.006&gt;AS53*1000000+SUM(U53,AM53)*10000+SUM(O53,AG53)*100+SUM(I53,AA53)+0.005,1,0)+IF(AT53*1000000+SUM(V53,AN53)*10000+SUM(P53,AH53)*100+SUM(J53,AB53)+0.004&gt;AS53*1000000+SUM(U53,AM53)*10000+SUM(O53,AG53)*100+SUM(I53,AA53)+0.005,1,0)+IF(AU53*1000000+SUM(W53,AO53)*10000+SUM(Q53,AI53)*100+SUM(K53,AC53)+0.003&gt;AS53*1000000+SUM(U53,AM53)*10000+SUM(O53,AG53)*100+SUM(I53,AA53)+0.005,1,0)+IF(AV53*1000000+SUM(X53,AP53)*10000+SUM(R53,AJ53)*100+SUM(L53,AD53)+0.002&gt;AS53*1000000+SUM(U53,AM53)*10000+SUM(O53,AG53)*100+SUM(I53,AA53)+0.005,1,0)+IF(AW53*1000000+SUM(Y53,AQ53)*10000+SUM(S53,AK53)*100+SUM(M53,AE53)+0.001&gt;AS53*1000000+SUM(U53,AM53)*10000+SUM(O53,AG53)*100+SUM(I53,AA53)+0.005,1,0)=1,"I",IF(IF(AR53*1000000+SUM(T53,AL53)*10000+SUM(N53,AF53)*100+SUM(H53,Z53)+0.006&gt;AT53*1000000+SUM(V53,AN53)*10000+SUM(P53,AH53)*100+SUM(J53,AB53)+0.004,1,0)+IF(AS53*1000000+SUM(U53,AM53)*10000+SUM(O53,AG53)*100+SUM(I53,AA53)+0.005&gt;AT53*1000000+SUM(V53,AN53)*10000+SUM(P53,AH53)*100+SUM(J53,AB53)+0.004,1,0)+IF(AU53*1000000+SUM(W53,AO53)*10000+SUM(Q53,AI53)*100+SUM(K53,AC53)+0.003&gt;AT53*1000000+SUM(V53,AN53)*10000+SUM(P53,AH53)*100+SUM(J53,AB53)+0.004,1,0)+IF(AV53*1000000+SUM(X53,AP53)*10000+SUM(R53,AJ53)*100+SUM(L53,AD53)+0.002&gt;AT53*1000000+SUM(V53,AN53)*10000+SUM(P53,AH53)*100+SUM(J53,AB53)+0.004,1,0)+IF(AW53*1000000+SUM(Y53,AQ53)*10000+SUM(S53,AK53)*100+SUM(M53,AE53)+0.001&gt;AT53*1000000+SUM(V53,AN53)*10000+SUM(P53,AH53)*100+SUM(J53,AB53)+0.004,1,0)=1,"A",IF(IF(AR53*1000000+SUM(T53,AL53)*10000+SUM(N53,AF53)*100+SUM(H53,Z53)+0.006&gt;AU53*1000000+SUM(W53,AO53)*10000+SUM(Q53,AI53)*100+SUM(K53,AC53)+0.003,1,0)+IF(AS53*1000000+SUM(U53,AM53)*10000+SUM(O53,AG53)*100+SUM(I53,AA53)+0.005&gt;AU53*1000000+SUM(W53,AO53)*10000+SUM(Q53,AI53)*100+SUM(K53,AC53)+0.003,1,0)+IF(AT53*1000000+SUM(V53,AN53)*10000+SUM(P53,AH53)*100+SUM(J53,AB53)+0.004&gt;AU53*1000000+SUM(W53,AO53)*10000+SUM(Q53,AI53)*100+SUM(K53,AC53)+0.003,1,0)+IF(AV53*1000000+SUM(X53,AP53)*10000+SUM(R53,AJ53)*100+SUM(L53,AD53)+0.002&gt;AU53*1000000+SUM(W53,AO53)*10000+SUM(Q53,AI53)*100+SUM(K53,AC53)+0.003,1,0)+IF(AW53*1000000+SUM(Y53,AQ53)*10000+SUM(S53,AK53)*100+SUM(M53,AE53)+0.001&gt;AU53*1000000+SUM(W53,AO53)*10000+SUM(Q53,AI53)*100+SUM(K53,AC53)+0.003,1,0)=1,"S",IF(IF(AR53*1000000+SUM(T53,AL53)*10000+SUM(N53,AF53)*100+SUM(H53,Z53)+0.006&gt;AV53*1000000+SUM(X53,AP53)*10000+SUM(R53,AJ53)*100+SUM(L53,AD53)+0.002,1,0)+IF(AS53*1000000+SUM(U53,AM53)*10000+SUM(O53,AG53)*100+SUM(I53,AA53)+0.005&gt;AV53*1000000+SUM(X53,AP53)*10000+SUM(R53,AJ53)*100+SUM(L53,AD53)+0.002,1,0)+IF(AT53*1000000+SUM(V53,AN53)*10000+SUM(P53,AH53)*100+SUM(J53,AB53)+0.004&gt;AV53*1000000+SUM(X53,AP53)*10000+SUM(R53,AJ53)*100+SUM(L53,AD53)+0.002,1,0)+IF(AU53*1000000+SUM(W53,AO53)*10000+SUM(Q53,AI53)*100+SUM(K53,AC53)+0.003&gt;AV53*1000000+SUM(X53,AP53)*10000+SUM(R53,AJ53)*100+SUM(L53,AD53)+0.002,1,0)+IF(AW53*1000000+SUM(Y53,AQ53)*10000+SUM(S53,AK53)*100+SUM(M53,AE53)+0.001&gt;AV53*1000000+SUM(X53,AP53)*10000+SUM(R53,AJ53)*100+SUM(L53,AD53)+0.002,1,0)=1,"E",IF(IF(AR53*1000000+SUM(T53,AL53)*10000+SUM(N53,AF53)*100+SUM(H53,Z53)+0.006&gt;AW53*1000000+SUM(Y53,AQ53)*10000+SUM(S53,AK53)*100+SUM(M53,AE53)+0.001,1,0)+IF(AS53*1000000+SUM(U53,AM53)*10000+SUM(O53,AG53)*100+SUM(I53,AA53)+0.005&gt;AW53*1000000+SUM(Y53,AQ53)*10000+SUM(S53,AK53)*100+SUM(M53,AE53)+0.001,1,0)+IF(AT53*1000000+SUM(V53,AN53)*10000+SUM(P53,AH53)*100+SUM(J53,AB53)+0.004&gt;AW53*1000000+SUM(Y53,AQ53)*10000+SUM(S53,AK53)*100+SUM(M53,AE53)+0.001,1,0)+IF(AU53*1000000+SUM(W53,AO53)*10000+SUM(Q53,AI53)*100+SUM(K53,AC53)+0.003&gt;AW53*1000000+SUM(Y53,AQ53)*10000+SUM(S53,AK53)*100+SUM(M53,AE53)+0.001,1,0)+IF(AV53*1000000+SUM(X53,AP53)*10000+SUM(R53,AJ53)*100+SUM(L53,AD53)+0.002&gt;AW53*1000000+SUM(Y53,AQ53)*10000+SUM(S53,AK53)*100+SUM(M53,AE53)+0.001,1,0)=1,"C",""))))))&amp;IF(IF(AS53*1000000+SUM(U53,AM53)*10000+SUM(O53,AG53)*100+SUM(I53,AA53)+0.005&gt;AR53*1000000+SUM(T53,AL53)*10000+SUM(N53,AF53)*100+SUM(H53,Z53)+0.006,1,0)+IF(AT53*1000000+SUM(V53,AN53)*10000+SUM(P53,AH53)*100+SUM(J53,AB53)+0.004&gt;AR53*1000000+SUM(T53,AL53)*10000+SUM(N53,AF53)*100+SUM(H53,Z53)+0.006,1,0)+IF(AU53*1000000+SUM(W53,AO53)*10000+SUM(Q53,AI53)*100+SUM(K53,AC53)+0.003&gt;AR53*1000000+SUM(T53,AL53)*10000+SUM(N53,AF53)*100+SUM(H53,Z53)+0.006,1,0)+IF(AV53*1000000+SUM(X53,AP53)*10000+SUM(R53,AJ53)*100+SUM(L53,AD53)+0.002&gt;AR53*1000000+SUM(T53,AL53)*10000+SUM(N53,AF53)*100+SUM(H53,Z53)+0.006,1,0)+IF(AW53*1000000+SUM(Y53,AQ53)*10000+SUM(S53,AK53)*100+SUM(M53,AE53)+0.001&gt;AR53*1000000+SUM(T53,AL53)*10000+SUM(N53,AF53)*100+SUM(H53,Z53)+0.006,1,0)=2,"R",IF(IF(AR53*1000000+SUM(T53,AL53)*10000+SUM(N53,AF53)*100+SUM(H53,Z53)+0.006&gt;AS53*1000000+SUM(U53,AM53)*10000+SUM(O53,AG53)*100+SUM(I53,AA53)+0.005,1,0)+IF(AT53*1000000+SUM(V53,AN53)*10000+SUM(P53,AH53)*100+SUM(J53,AB53)+0.004&gt;AS53*1000000+SUM(U53,AM53)*10000+SUM(O53,AG53)*100+SUM(I53,AA53)+0.005,1,0)+IF(AU53*1000000+SUM(W53,AO53)*10000+SUM(Q53,AI53)*100+SUM(K53,AC53)+0.003&gt;AS53*1000000+SUM(U53,AM53)*10000+SUM(O53,AG53)*100+SUM(I53,AA53)+0.005,1,0)+IF(AV53*1000000+SUM(X53,AP53)*10000+SUM(R53,AJ53)*100+SUM(L53,AD53)+0.002&gt;AS53*1000000+SUM(U53,AM53)*10000+SUM(O53,AG53)*100+SUM(I53,AA53)+0.005,1,0)+IF(AW53*1000000+SUM(Y53,AQ53)*10000+SUM(S53,AK53)*100+SUM(M53,AE53)+0.001&gt;AS53*1000000+SUM(U53,AM53)*10000+SUM(O53,AG53)*100+SUM(I53,AA53)+0.005,1,0)=2,"I",IF(IF(AR53*1000000+SUM(T53,AL53)*10000+SUM(N53,AF53)*100+SUM(H53,Z53)+0.006&gt;AT53*1000000+SUM(V53,AN53)*10000+SUM(P53,AH53)*100+SUM(J53,AB53)+0.004,1,0)+IF(AS53*1000000+SUM(U53,AM53)*10000+SUM(O53,AG53)*100+SUM(I53,AA53)+0.005&gt;AT53*1000000+SUM(V53,AN53)*10000+SUM(P53,AH53)*100+SUM(J53,AB53)+0.004,1,0)+IF(AU53*1000000+SUM(W53,AO53)*10000+SUM(Q53,AI53)*100+SUM(K53,AC53)+0.003&gt;AT53*1000000+SUM(V53,AN53)*10000+SUM(P53,AH53)*100+SUM(J53,AB53)+0.004,1,0)+IF(AV53*1000000+SUM(X53,AP53)*10000+SUM(R53,AJ53)*100+SUM(L53,AD53)+0.002&gt;AT53*1000000+SUM(V53,AN53)*10000+SUM(P53,AH53)*100+SUM(J53,AB53)+0.004,1,0)+IF(AW53*1000000+SUM(Y53,AQ53)*10000+SUM(S53,AK53)*100+SUM(M53,AE53)+0.001&gt;AT53*1000000+SUM(V53,AN53)*10000+SUM(P53,AH53)*100+SUM(J53,AB53)+0.004,1,0)=2,"A",IF(IF(AR53*1000000+SUM(T53,AL53)*10000+SUM(N53,AF53)*100+SUM(H53,Z53)+0.006&gt;AU53*1000000+SUM(W53,AO53)*10000+SUM(Q53,AI53)*100+SUM(K53,AC53)+0.003,1,0)+IF(AS53*1000000+SUM(U53,AM53)*10000+SUM(O53,AG53)*100+SUM(I53,AA53)+0.005&gt;AU53*1000000+SUM(W53,AO53)*10000+SUM(Q53,AI53)*100+SUM(K53,AC53)+0.003,1,0)+IF(AT53*1000000+SUM(V53,AN53)*10000+SUM(P53,AH53)*100+SUM(J53,AB53)+0.004&gt;AU53*1000000+SUM(W53,AO53)*10000+SUM(Q53,AI53)*100+SUM(K53,AC53)+0.003,1,0)+IF(AV53*1000000+SUM(X53,AP53)*10000+SUM(R53,AJ53)*100+SUM(L53,AD53)+0.002&gt;AU53*1000000+SUM(W53,AO53)*10000+SUM(Q53,AI53)*100+SUM(K53,AC53)+0.003,1,0)+IF(AW53*1000000+SUM(Y53,AQ53)*10000+SUM(S53,AK53)*100+SUM(M53,AE53)+0.001&gt;AU53*1000000+SUM(W53,AO53)*10000+SUM(Q53,AI53)*100+SUM(K53,AC53)+0.003,1,0)=2,"S",IF(IF(AR53*1000000+SUM(T53,AL53)*10000+SUM(N53,AF53)*100+SUM(H53,Z53)+0.006&gt;AV53*1000000+SUM(X53,AP53)*10000+SUM(R53,AJ53)*100+SUM(L53,AD53)+0.002,1,0)+IF(AS53*1000000+SUM(U53,AM53)*10000+SUM(O53,AG53)*100+SUM(I53,AA53)+0.005&gt;AV53*1000000+SUM(X53,AP53)*10000+SUM(R53,AJ53)*100+SUM(L53,AD53)+0.002,1,0)+IF(AT53*1000000+SUM(V53,AN53)*10000+SUM(P53,AH53)*100+SUM(J53,AB53)+0.004&gt;AV53*1000000+SUM(X53,AP53)*10000+SUM(R53,AJ53)*100+SUM(L53,AD53)+0.002,1,0)+IF(AU53*1000000+SUM(W53,AO53)*10000+SUM(Q53,AI53)*100+SUM(K53,AC53)+0.003&gt;AV53*1000000+SUM(X53,AP53)*10000+SUM(R53,AJ53)*100+SUM(L53,AD53)+0.002,1,0)+IF(AW53*1000000+SUM(Y53,AQ53)*10000+SUM(S53,AK53)*100+SUM(M53,AE53)+0.001&gt;AV53*1000000+SUM(X53,AP53)*10000+SUM(R53,AJ53)*100+SUM(L53,AD53)+0.002,1,0)=2,"E",IF(IF(AR53*1000000+SUM(T53,AL53)*10000+SUM(N53,AF53)*100+SUM(H53,Z53)+0.006&gt;AW53*1000000+SUM(Y53,AQ53)*10000+SUM(S53,AK53)*100+SUM(M53,AE53)+0.001,1,0)+IF(AS53*1000000+SUM(U53,AM53)*10000+SUM(O53,AG53)*100+SUM(I53,AA53)+0.005&gt;AW53*1000000+SUM(Y53,AQ53)*10000+SUM(S53,AK53)*100+SUM(M53,AE53)+0.001,1,0)+IF(AT53*1000000+SUM(V53,AN53)*10000+SUM(P53,AH53)*100+SUM(J53,AB53)+0.004&gt;AW53*1000000+SUM(Y53,AQ53)*10000+SUM(S53,AK53)*100+SUM(M53,AE53)+0.001,1,0)+IF(AU53*1000000+SUM(W53,AO53)*10000+SUM(Q53,AI53)*100+SUM(K53,AC53)+0.003&gt;AW53*1000000+SUM(Y53,AQ53)*10000+SUM(S53,AK53)*100+SUM(M53,AE53)+0.001,1,0)+IF(AV53*1000000+SUM(X53,AP53)*10000+SUM(R53,AJ53)*100+SUM(L53,AD53)+0.002&gt;AW53*1000000+SUM(Y53,AQ53)*10000+SUM(S53,AK53)*100+SUM(M53,AE53)+0.001,1,0)=2,"C","")))))))</x:f>
      </x:c>
      <x:c r="AY53" s="27" t="str">
        <x:f>IF(C53="","",IF(LEFT(AX53,1)="R","นักปฏิบัติ",IF(LEFT(AX53,1)="I","นักคิดวิเคราะห์",IF(LEFT(AX53,1)="A","นักสร้างสรรค์",IF(LEFT(AX53,1)="S","ผู้เข้าใจผู้คน",IF(LEFT(AX53,1)="E","ผู้นำการเปลี่ยนแปลง","ผู้จัดระบบ"))))))</x:f>
      </x:c>
    </x:row>
    <x:row r="54">
      <x:c r="A54" s="27"/>
      <x:c r="B54" s="28"/>
      <x:c r="C54" s="27"/>
      <x:c r="D54" s="27"/>
      <x:c r="E54" s="27"/>
      <x:c r="F54" s="27"/>
      <x:c r="G54" s="27"/>
      <x:c r="H54" s="27"/>
      <x:c r="I54" s="27"/>
      <x:c r="J54" s="27"/>
      <x:c r="K54" s="27"/>
      <x:c r="L54" s="27"/>
      <x:c r="M54" s="27"/>
      <x:c r="N54" s="27"/>
      <x:c r="O54" s="27"/>
      <x:c r="P54" s="27"/>
      <x:c r="Q54" s="27"/>
      <x:c r="R54" s="27"/>
      <x:c r="S54" s="27"/>
      <x:c r="T54" s="27"/>
      <x:c r="U54" s="27"/>
      <x:c r="V54" s="27"/>
      <x:c r="W54" s="27"/>
      <x:c r="X54" s="27"/>
      <x:c r="Y54" s="27"/>
      <x:c r="Z54" s="27"/>
      <x:c r="AA54" s="27"/>
      <x:c r="AB54" s="27"/>
      <x:c r="AC54" s="27"/>
      <x:c r="AD54" s="27"/>
      <x:c r="AE54" s="27"/>
      <x:c r="AF54" s="27"/>
      <x:c r="AG54" s="27"/>
      <x:c r="AH54" s="27"/>
      <x:c r="AI54" s="27"/>
      <x:c r="AJ54" s="27"/>
      <x:c r="AK54" s="27"/>
      <x:c r="AL54" s="27"/>
      <x:c r="AM54" s="27"/>
      <x:c r="AN54" s="27"/>
      <x:c r="AO54" s="27"/>
      <x:c r="AP54" s="27"/>
      <x:c r="AQ54" s="27"/>
      <x:c r="AR54" s="27" t="str">
        <x:f>IF(C54="","",SUM(H54,N54,T54,Z54,AF54,AL54))</x:f>
      </x:c>
      <x:c r="AS54" s="27" t="str">
        <x:f>IF(C54="","",SUM(I54,O54,U54,AA54,AG54,AM54))</x:f>
      </x:c>
      <x:c r="AT54" s="27" t="str">
        <x:f>IF(C54="","",SUM(J54,P54,V54,AB54,AH54,AN54))</x:f>
      </x:c>
      <x:c r="AU54" s="27" t="str">
        <x:f>IF(C54="","",SUM(K54,Q54,W54,AC54,AI54,AO54))</x:f>
      </x:c>
      <x:c r="AV54" s="27" t="str">
        <x:f>IF(C54="","",SUM(L54,R54,X54,AD54,AJ54,AP54))</x:f>
      </x:c>
      <x:c r="AW54" s="27" t="str">
        <x:f>IF(C54="","",SUM(M54,S54,Y54,AE54,AK54,AQ54))</x:f>
      </x:c>
      <x:c r="AX54" s="27" t="str">
        <x:f>IF(C54="","",IF(IF(AS54*1000000+SUM(U54,AM54)*10000+SUM(O54,AG54)*100+SUM(I54,AA54)+0.005&gt;AR54*1000000+SUM(T54,AL54)*10000+SUM(N54,AF54)*100+SUM(H54,Z54)+0.006,1,0)+IF(AT54*1000000+SUM(V54,AN54)*10000+SUM(P54,AH54)*100+SUM(J54,AB54)+0.004&gt;AR54*1000000+SUM(T54,AL54)*10000+SUM(N54,AF54)*100+SUM(H54,Z54)+0.006,1,0)+IF(AU54*1000000+SUM(W54,AO54)*10000+SUM(Q54,AI54)*100+SUM(K54,AC54)+0.003&gt;AR54*1000000+SUM(T54,AL54)*10000+SUM(N54,AF54)*100+SUM(H54,Z54)+0.006,1,0)+IF(AV54*1000000+SUM(X54,AP54)*10000+SUM(R54,AJ54)*100+SUM(L54,AD54)+0.002&gt;AR54*1000000+SUM(T54,AL54)*10000+SUM(N54,AF54)*100+SUM(H54,Z54)+0.006,1,0)+IF(AW54*1000000+SUM(Y54,AQ54)*10000+SUM(S54,AK54)*100+SUM(M54,AE54)+0.001&gt;AR54*1000000+SUM(T54,AL54)*10000+SUM(N54,AF54)*100+SUM(H54,Z54)+0.006,1,0)=0,"R",IF(IF(AR54*1000000+SUM(T54,AL54)*10000+SUM(N54,AF54)*100+SUM(H54,Z54)+0.006&gt;AS54*1000000+SUM(U54,AM54)*10000+SUM(O54,AG54)*100+SUM(I54,AA54)+0.005,1,0)+IF(AT54*1000000+SUM(V54,AN54)*10000+SUM(P54,AH54)*100+SUM(J54,AB54)+0.004&gt;AS54*1000000+SUM(U54,AM54)*10000+SUM(O54,AG54)*100+SUM(I54,AA54)+0.005,1,0)+IF(AU54*1000000+SUM(W54,AO54)*10000+SUM(Q54,AI54)*100+SUM(K54,AC54)+0.003&gt;AS54*1000000+SUM(U54,AM54)*10000+SUM(O54,AG54)*100+SUM(I54,AA54)+0.005,1,0)+IF(AV54*1000000+SUM(X54,AP54)*10000+SUM(R54,AJ54)*100+SUM(L54,AD54)+0.002&gt;AS54*1000000+SUM(U54,AM54)*10000+SUM(O54,AG54)*100+SUM(I54,AA54)+0.005,1,0)+IF(AW54*1000000+SUM(Y54,AQ54)*10000+SUM(S54,AK54)*100+SUM(M54,AE54)+0.001&gt;AS54*1000000+SUM(U54,AM54)*10000+SUM(O54,AG54)*100+SUM(I54,AA54)+0.005,1,0)=0,"I",IF(IF(AR54*1000000+SUM(T54,AL54)*10000+SUM(N54,AF54)*100+SUM(H54,Z54)+0.006&gt;AT54*1000000+SUM(V54,AN54)*10000+SUM(P54,AH54)*100+SUM(J54,AB54)+0.004,1,0)+IF(AS54*1000000+SUM(U54,AM54)*10000+SUM(O54,AG54)*100+SUM(I54,AA54)+0.005&gt;AT54*1000000+SUM(V54,AN54)*10000+SUM(P54,AH54)*100+SUM(J54,AB54)+0.004,1,0)+IF(AU54*1000000+SUM(W54,AO54)*10000+SUM(Q54,AI54)*100+SUM(K54,AC54)+0.003&gt;AT54*1000000+SUM(V54,AN54)*10000+SUM(P54,AH54)*100+SUM(J54,AB54)+0.004,1,0)+IF(AV54*1000000+SUM(X54,AP54)*10000+SUM(R54,AJ54)*100+SUM(L54,AD54)+0.002&gt;AT54*1000000+SUM(V54,AN54)*10000+SUM(P54,AH54)*100+SUM(J54,AB54)+0.004,1,0)+IF(AW54*1000000+SUM(Y54,AQ54)*10000+SUM(S54,AK54)*100+SUM(M54,AE54)+0.001&gt;AT54*1000000+SUM(V54,AN54)*10000+SUM(P54,AH54)*100+SUM(J54,AB54)+0.004,1,0)=0,"A",IF(IF(AR54*1000000+SUM(T54,AL54)*10000+SUM(N54,AF54)*100+SUM(H54,Z54)+0.006&gt;AU54*1000000+SUM(W54,AO54)*10000+SUM(Q54,AI54)*100+SUM(K54,AC54)+0.003,1,0)+IF(AS54*1000000+SUM(U54,AM54)*10000+SUM(O54,AG54)*100+SUM(I54,AA54)+0.005&gt;AU54*1000000+SUM(W54,AO54)*10000+SUM(Q54,AI54)*100+SUM(K54,AC54)+0.003,1,0)+IF(AT54*1000000+SUM(V54,AN54)*10000+SUM(P54,AH54)*100+SUM(J54,AB54)+0.004&gt;AU54*1000000+SUM(W54,AO54)*10000+SUM(Q54,AI54)*100+SUM(K54,AC54)+0.003,1,0)+IF(AV54*1000000+SUM(X54,AP54)*10000+SUM(R54,AJ54)*100+SUM(L54,AD54)+0.002&gt;AU54*1000000+SUM(W54,AO54)*10000+SUM(Q54,AI54)*100+SUM(K54,AC54)+0.003,1,0)+IF(AW54*1000000+SUM(Y54,AQ54)*10000+SUM(S54,AK54)*100+SUM(M54,AE54)+0.001&gt;AU54*1000000+SUM(W54,AO54)*10000+SUM(Q54,AI54)*100+SUM(K54,AC54)+0.003,1,0)=0,"S",IF(IF(AR54*1000000+SUM(T54,AL54)*10000+SUM(N54,AF54)*100+SUM(H54,Z54)+0.006&gt;AV54*1000000+SUM(X54,AP54)*10000+SUM(R54,AJ54)*100+SUM(L54,AD54)+0.002,1,0)+IF(AS54*1000000+SUM(U54,AM54)*10000+SUM(O54,AG54)*100+SUM(I54,AA54)+0.005&gt;AV54*1000000+SUM(X54,AP54)*10000+SUM(R54,AJ54)*100+SUM(L54,AD54)+0.002,1,0)+IF(AT54*1000000+SUM(V54,AN54)*10000+SUM(P54,AH54)*100+SUM(J54,AB54)+0.004&gt;AV54*1000000+SUM(X54,AP54)*10000+SUM(R54,AJ54)*100+SUM(L54,AD54)+0.002,1,0)+IF(AU54*1000000+SUM(W54,AO54)*10000+SUM(Q54,AI54)*100+SUM(K54,AC54)+0.003&gt;AV54*1000000+SUM(X54,AP54)*10000+SUM(R54,AJ54)*100+SUM(L54,AD54)+0.002,1,0)+IF(AW54*1000000+SUM(Y54,AQ54)*10000+SUM(S54,AK54)*100+SUM(M54,AE54)+0.001&gt;AV54*1000000+SUM(X54,AP54)*10000+SUM(R54,AJ54)*100+SUM(L54,AD54)+0.002,1,0)=0,"E",IF(IF(AR54*1000000+SUM(T54,AL54)*10000+SUM(N54,AF54)*100+SUM(H54,Z54)+0.006&gt;AW54*1000000+SUM(Y54,AQ54)*10000+SUM(S54,AK54)*100+SUM(M54,AE54)+0.001,1,0)+IF(AS54*1000000+SUM(U54,AM54)*10000+SUM(O54,AG54)*100+SUM(I54,AA54)+0.005&gt;AW54*1000000+SUM(Y54,AQ54)*10000+SUM(S54,AK54)*100+SUM(M54,AE54)+0.001,1,0)+IF(AT54*1000000+SUM(V54,AN54)*10000+SUM(P54,AH54)*100+SUM(J54,AB54)+0.004&gt;AW54*1000000+SUM(Y54,AQ54)*10000+SUM(S54,AK54)*100+SUM(M54,AE54)+0.001,1,0)+IF(AU54*1000000+SUM(W54,AO54)*10000+SUM(Q54,AI54)*100+SUM(K54,AC54)+0.003&gt;AW54*1000000+SUM(Y54,AQ54)*10000+SUM(S54,AK54)*100+SUM(M54,AE54)+0.001,1,0)+IF(AV54*1000000+SUM(X54,AP54)*10000+SUM(R54,AJ54)*100+SUM(L54,AD54)+0.002&gt;AW54*1000000+SUM(Y54,AQ54)*10000+SUM(S54,AK54)*100+SUM(M54,AE54)+0.001,1,0)=0,"C",""))))))&amp;IF(IF(AS54*1000000+SUM(U54,AM54)*10000+SUM(O54,AG54)*100+SUM(I54,AA54)+0.005&gt;AR54*1000000+SUM(T54,AL54)*10000+SUM(N54,AF54)*100+SUM(H54,Z54)+0.006,1,0)+IF(AT54*1000000+SUM(V54,AN54)*10000+SUM(P54,AH54)*100+SUM(J54,AB54)+0.004&gt;AR54*1000000+SUM(T54,AL54)*10000+SUM(N54,AF54)*100+SUM(H54,Z54)+0.006,1,0)+IF(AU54*1000000+SUM(W54,AO54)*10000+SUM(Q54,AI54)*100+SUM(K54,AC54)+0.003&gt;AR54*1000000+SUM(T54,AL54)*10000+SUM(N54,AF54)*100+SUM(H54,Z54)+0.006,1,0)+IF(AV54*1000000+SUM(X54,AP54)*10000+SUM(R54,AJ54)*100+SUM(L54,AD54)+0.002&gt;AR54*1000000+SUM(T54,AL54)*10000+SUM(N54,AF54)*100+SUM(H54,Z54)+0.006,1,0)+IF(AW54*1000000+SUM(Y54,AQ54)*10000+SUM(S54,AK54)*100+SUM(M54,AE54)+0.001&gt;AR54*1000000+SUM(T54,AL54)*10000+SUM(N54,AF54)*100+SUM(H54,Z54)+0.006,1,0)=1,"R",IF(IF(AR54*1000000+SUM(T54,AL54)*10000+SUM(N54,AF54)*100+SUM(H54,Z54)+0.006&gt;AS54*1000000+SUM(U54,AM54)*10000+SUM(O54,AG54)*100+SUM(I54,AA54)+0.005,1,0)+IF(AT54*1000000+SUM(V54,AN54)*10000+SUM(P54,AH54)*100+SUM(J54,AB54)+0.004&gt;AS54*1000000+SUM(U54,AM54)*10000+SUM(O54,AG54)*100+SUM(I54,AA54)+0.005,1,0)+IF(AU54*1000000+SUM(W54,AO54)*10000+SUM(Q54,AI54)*100+SUM(K54,AC54)+0.003&gt;AS54*1000000+SUM(U54,AM54)*10000+SUM(O54,AG54)*100+SUM(I54,AA54)+0.005,1,0)+IF(AV54*1000000+SUM(X54,AP54)*10000+SUM(R54,AJ54)*100+SUM(L54,AD54)+0.002&gt;AS54*1000000+SUM(U54,AM54)*10000+SUM(O54,AG54)*100+SUM(I54,AA54)+0.005,1,0)+IF(AW54*1000000+SUM(Y54,AQ54)*10000+SUM(S54,AK54)*100+SUM(M54,AE54)+0.001&gt;AS54*1000000+SUM(U54,AM54)*10000+SUM(O54,AG54)*100+SUM(I54,AA54)+0.005,1,0)=1,"I",IF(IF(AR54*1000000+SUM(T54,AL54)*10000+SUM(N54,AF54)*100+SUM(H54,Z54)+0.006&gt;AT54*1000000+SUM(V54,AN54)*10000+SUM(P54,AH54)*100+SUM(J54,AB54)+0.004,1,0)+IF(AS54*1000000+SUM(U54,AM54)*10000+SUM(O54,AG54)*100+SUM(I54,AA54)+0.005&gt;AT54*1000000+SUM(V54,AN54)*10000+SUM(P54,AH54)*100+SUM(J54,AB54)+0.004,1,0)+IF(AU54*1000000+SUM(W54,AO54)*10000+SUM(Q54,AI54)*100+SUM(K54,AC54)+0.003&gt;AT54*1000000+SUM(V54,AN54)*10000+SUM(P54,AH54)*100+SUM(J54,AB54)+0.004,1,0)+IF(AV54*1000000+SUM(X54,AP54)*10000+SUM(R54,AJ54)*100+SUM(L54,AD54)+0.002&gt;AT54*1000000+SUM(V54,AN54)*10000+SUM(P54,AH54)*100+SUM(J54,AB54)+0.004,1,0)+IF(AW54*1000000+SUM(Y54,AQ54)*10000+SUM(S54,AK54)*100+SUM(M54,AE54)+0.001&gt;AT54*1000000+SUM(V54,AN54)*10000+SUM(P54,AH54)*100+SUM(J54,AB54)+0.004,1,0)=1,"A",IF(IF(AR54*1000000+SUM(T54,AL54)*10000+SUM(N54,AF54)*100+SUM(H54,Z54)+0.006&gt;AU54*1000000+SUM(W54,AO54)*10000+SUM(Q54,AI54)*100+SUM(K54,AC54)+0.003,1,0)+IF(AS54*1000000+SUM(U54,AM54)*10000+SUM(O54,AG54)*100+SUM(I54,AA54)+0.005&gt;AU54*1000000+SUM(W54,AO54)*10000+SUM(Q54,AI54)*100+SUM(K54,AC54)+0.003,1,0)+IF(AT54*1000000+SUM(V54,AN54)*10000+SUM(P54,AH54)*100+SUM(J54,AB54)+0.004&gt;AU54*1000000+SUM(W54,AO54)*10000+SUM(Q54,AI54)*100+SUM(K54,AC54)+0.003,1,0)+IF(AV54*1000000+SUM(X54,AP54)*10000+SUM(R54,AJ54)*100+SUM(L54,AD54)+0.002&gt;AU54*1000000+SUM(W54,AO54)*10000+SUM(Q54,AI54)*100+SUM(K54,AC54)+0.003,1,0)+IF(AW54*1000000+SUM(Y54,AQ54)*10000+SUM(S54,AK54)*100+SUM(M54,AE54)+0.001&gt;AU54*1000000+SUM(W54,AO54)*10000+SUM(Q54,AI54)*100+SUM(K54,AC54)+0.003,1,0)=1,"S",IF(IF(AR54*1000000+SUM(T54,AL54)*10000+SUM(N54,AF54)*100+SUM(H54,Z54)+0.006&gt;AV54*1000000+SUM(X54,AP54)*10000+SUM(R54,AJ54)*100+SUM(L54,AD54)+0.002,1,0)+IF(AS54*1000000+SUM(U54,AM54)*10000+SUM(O54,AG54)*100+SUM(I54,AA54)+0.005&gt;AV54*1000000+SUM(X54,AP54)*10000+SUM(R54,AJ54)*100+SUM(L54,AD54)+0.002,1,0)+IF(AT54*1000000+SUM(V54,AN54)*10000+SUM(P54,AH54)*100+SUM(J54,AB54)+0.004&gt;AV54*1000000+SUM(X54,AP54)*10000+SUM(R54,AJ54)*100+SUM(L54,AD54)+0.002,1,0)+IF(AU54*1000000+SUM(W54,AO54)*10000+SUM(Q54,AI54)*100+SUM(K54,AC54)+0.003&gt;AV54*1000000+SUM(X54,AP54)*10000+SUM(R54,AJ54)*100+SUM(L54,AD54)+0.002,1,0)+IF(AW54*1000000+SUM(Y54,AQ54)*10000+SUM(S54,AK54)*100+SUM(M54,AE54)+0.001&gt;AV54*1000000+SUM(X54,AP54)*10000+SUM(R54,AJ54)*100+SUM(L54,AD54)+0.002,1,0)=1,"E",IF(IF(AR54*1000000+SUM(T54,AL54)*10000+SUM(N54,AF54)*100+SUM(H54,Z54)+0.006&gt;AW54*1000000+SUM(Y54,AQ54)*10000+SUM(S54,AK54)*100+SUM(M54,AE54)+0.001,1,0)+IF(AS54*1000000+SUM(U54,AM54)*10000+SUM(O54,AG54)*100+SUM(I54,AA54)+0.005&gt;AW54*1000000+SUM(Y54,AQ54)*10000+SUM(S54,AK54)*100+SUM(M54,AE54)+0.001,1,0)+IF(AT54*1000000+SUM(V54,AN54)*10000+SUM(P54,AH54)*100+SUM(J54,AB54)+0.004&gt;AW54*1000000+SUM(Y54,AQ54)*10000+SUM(S54,AK54)*100+SUM(M54,AE54)+0.001,1,0)+IF(AU54*1000000+SUM(W54,AO54)*10000+SUM(Q54,AI54)*100+SUM(K54,AC54)+0.003&gt;AW54*1000000+SUM(Y54,AQ54)*10000+SUM(S54,AK54)*100+SUM(M54,AE54)+0.001,1,0)+IF(AV54*1000000+SUM(X54,AP54)*10000+SUM(R54,AJ54)*100+SUM(L54,AD54)+0.002&gt;AW54*1000000+SUM(Y54,AQ54)*10000+SUM(S54,AK54)*100+SUM(M54,AE54)+0.001,1,0)=1,"C",""))))))&amp;IF(IF(AS54*1000000+SUM(U54,AM54)*10000+SUM(O54,AG54)*100+SUM(I54,AA54)+0.005&gt;AR54*1000000+SUM(T54,AL54)*10000+SUM(N54,AF54)*100+SUM(H54,Z54)+0.006,1,0)+IF(AT54*1000000+SUM(V54,AN54)*10000+SUM(P54,AH54)*100+SUM(J54,AB54)+0.004&gt;AR54*1000000+SUM(T54,AL54)*10000+SUM(N54,AF54)*100+SUM(H54,Z54)+0.006,1,0)+IF(AU54*1000000+SUM(W54,AO54)*10000+SUM(Q54,AI54)*100+SUM(K54,AC54)+0.003&gt;AR54*1000000+SUM(T54,AL54)*10000+SUM(N54,AF54)*100+SUM(H54,Z54)+0.006,1,0)+IF(AV54*1000000+SUM(X54,AP54)*10000+SUM(R54,AJ54)*100+SUM(L54,AD54)+0.002&gt;AR54*1000000+SUM(T54,AL54)*10000+SUM(N54,AF54)*100+SUM(H54,Z54)+0.006,1,0)+IF(AW54*1000000+SUM(Y54,AQ54)*10000+SUM(S54,AK54)*100+SUM(M54,AE54)+0.001&gt;AR54*1000000+SUM(T54,AL54)*10000+SUM(N54,AF54)*100+SUM(H54,Z54)+0.006,1,0)=2,"R",IF(IF(AR54*1000000+SUM(T54,AL54)*10000+SUM(N54,AF54)*100+SUM(H54,Z54)+0.006&gt;AS54*1000000+SUM(U54,AM54)*10000+SUM(O54,AG54)*100+SUM(I54,AA54)+0.005,1,0)+IF(AT54*1000000+SUM(V54,AN54)*10000+SUM(P54,AH54)*100+SUM(J54,AB54)+0.004&gt;AS54*1000000+SUM(U54,AM54)*10000+SUM(O54,AG54)*100+SUM(I54,AA54)+0.005,1,0)+IF(AU54*1000000+SUM(W54,AO54)*10000+SUM(Q54,AI54)*100+SUM(K54,AC54)+0.003&gt;AS54*1000000+SUM(U54,AM54)*10000+SUM(O54,AG54)*100+SUM(I54,AA54)+0.005,1,0)+IF(AV54*1000000+SUM(X54,AP54)*10000+SUM(R54,AJ54)*100+SUM(L54,AD54)+0.002&gt;AS54*1000000+SUM(U54,AM54)*10000+SUM(O54,AG54)*100+SUM(I54,AA54)+0.005,1,0)+IF(AW54*1000000+SUM(Y54,AQ54)*10000+SUM(S54,AK54)*100+SUM(M54,AE54)+0.001&gt;AS54*1000000+SUM(U54,AM54)*10000+SUM(O54,AG54)*100+SUM(I54,AA54)+0.005,1,0)=2,"I",IF(IF(AR54*1000000+SUM(T54,AL54)*10000+SUM(N54,AF54)*100+SUM(H54,Z54)+0.006&gt;AT54*1000000+SUM(V54,AN54)*10000+SUM(P54,AH54)*100+SUM(J54,AB54)+0.004,1,0)+IF(AS54*1000000+SUM(U54,AM54)*10000+SUM(O54,AG54)*100+SUM(I54,AA54)+0.005&gt;AT54*1000000+SUM(V54,AN54)*10000+SUM(P54,AH54)*100+SUM(J54,AB54)+0.004,1,0)+IF(AU54*1000000+SUM(W54,AO54)*10000+SUM(Q54,AI54)*100+SUM(K54,AC54)+0.003&gt;AT54*1000000+SUM(V54,AN54)*10000+SUM(P54,AH54)*100+SUM(J54,AB54)+0.004,1,0)+IF(AV54*1000000+SUM(X54,AP54)*10000+SUM(R54,AJ54)*100+SUM(L54,AD54)+0.002&gt;AT54*1000000+SUM(V54,AN54)*10000+SUM(P54,AH54)*100+SUM(J54,AB54)+0.004,1,0)+IF(AW54*1000000+SUM(Y54,AQ54)*10000+SUM(S54,AK54)*100+SUM(M54,AE54)+0.001&gt;AT54*1000000+SUM(V54,AN54)*10000+SUM(P54,AH54)*100+SUM(J54,AB54)+0.004,1,0)=2,"A",IF(IF(AR54*1000000+SUM(T54,AL54)*10000+SUM(N54,AF54)*100+SUM(H54,Z54)+0.006&gt;AU54*1000000+SUM(W54,AO54)*10000+SUM(Q54,AI54)*100+SUM(K54,AC54)+0.003,1,0)+IF(AS54*1000000+SUM(U54,AM54)*10000+SUM(O54,AG54)*100+SUM(I54,AA54)+0.005&gt;AU54*1000000+SUM(W54,AO54)*10000+SUM(Q54,AI54)*100+SUM(K54,AC54)+0.003,1,0)+IF(AT54*1000000+SUM(V54,AN54)*10000+SUM(P54,AH54)*100+SUM(J54,AB54)+0.004&gt;AU54*1000000+SUM(W54,AO54)*10000+SUM(Q54,AI54)*100+SUM(K54,AC54)+0.003,1,0)+IF(AV54*1000000+SUM(X54,AP54)*10000+SUM(R54,AJ54)*100+SUM(L54,AD54)+0.002&gt;AU54*1000000+SUM(W54,AO54)*10000+SUM(Q54,AI54)*100+SUM(K54,AC54)+0.003,1,0)+IF(AW54*1000000+SUM(Y54,AQ54)*10000+SUM(S54,AK54)*100+SUM(M54,AE54)+0.001&gt;AU54*1000000+SUM(W54,AO54)*10000+SUM(Q54,AI54)*100+SUM(K54,AC54)+0.003,1,0)=2,"S",IF(IF(AR54*1000000+SUM(T54,AL54)*10000+SUM(N54,AF54)*100+SUM(H54,Z54)+0.006&gt;AV54*1000000+SUM(X54,AP54)*10000+SUM(R54,AJ54)*100+SUM(L54,AD54)+0.002,1,0)+IF(AS54*1000000+SUM(U54,AM54)*10000+SUM(O54,AG54)*100+SUM(I54,AA54)+0.005&gt;AV54*1000000+SUM(X54,AP54)*10000+SUM(R54,AJ54)*100+SUM(L54,AD54)+0.002,1,0)+IF(AT54*1000000+SUM(V54,AN54)*10000+SUM(P54,AH54)*100+SUM(J54,AB54)+0.004&gt;AV54*1000000+SUM(X54,AP54)*10000+SUM(R54,AJ54)*100+SUM(L54,AD54)+0.002,1,0)+IF(AU54*1000000+SUM(W54,AO54)*10000+SUM(Q54,AI54)*100+SUM(K54,AC54)+0.003&gt;AV54*1000000+SUM(X54,AP54)*10000+SUM(R54,AJ54)*100+SUM(L54,AD54)+0.002,1,0)+IF(AW54*1000000+SUM(Y54,AQ54)*10000+SUM(S54,AK54)*100+SUM(M54,AE54)+0.001&gt;AV54*1000000+SUM(X54,AP54)*10000+SUM(R54,AJ54)*100+SUM(L54,AD54)+0.002,1,0)=2,"E",IF(IF(AR54*1000000+SUM(T54,AL54)*10000+SUM(N54,AF54)*100+SUM(H54,Z54)+0.006&gt;AW54*1000000+SUM(Y54,AQ54)*10000+SUM(S54,AK54)*100+SUM(M54,AE54)+0.001,1,0)+IF(AS54*1000000+SUM(U54,AM54)*10000+SUM(O54,AG54)*100+SUM(I54,AA54)+0.005&gt;AW54*1000000+SUM(Y54,AQ54)*10000+SUM(S54,AK54)*100+SUM(M54,AE54)+0.001,1,0)+IF(AT54*1000000+SUM(V54,AN54)*10000+SUM(P54,AH54)*100+SUM(J54,AB54)+0.004&gt;AW54*1000000+SUM(Y54,AQ54)*10000+SUM(S54,AK54)*100+SUM(M54,AE54)+0.001,1,0)+IF(AU54*1000000+SUM(W54,AO54)*10000+SUM(Q54,AI54)*100+SUM(K54,AC54)+0.003&gt;AW54*1000000+SUM(Y54,AQ54)*10000+SUM(S54,AK54)*100+SUM(M54,AE54)+0.001,1,0)+IF(AV54*1000000+SUM(X54,AP54)*10000+SUM(R54,AJ54)*100+SUM(L54,AD54)+0.002&gt;AW54*1000000+SUM(Y54,AQ54)*10000+SUM(S54,AK54)*100+SUM(M54,AE54)+0.001,1,0)=2,"C","")))))))</x:f>
      </x:c>
      <x:c r="AY54" s="27" t="str">
        <x:f>IF(C54="","",IF(LEFT(AX54,1)="R","นักปฏิบัติ",IF(LEFT(AX54,1)="I","นักคิดวิเคราะห์",IF(LEFT(AX54,1)="A","นักสร้างสรรค์",IF(LEFT(AX54,1)="S","ผู้เข้าใจผู้คน",IF(LEFT(AX54,1)="E","ผู้นำการเปลี่ยนแปลง","ผู้จัดระบบ"))))))</x:f>
      </x:c>
    </x:row>
    <x:row r="55">
      <x:c r="A55" s="27"/>
      <x:c r="B55" s="28"/>
      <x:c r="C55" s="27"/>
      <x:c r="D55" s="27"/>
      <x:c r="E55" s="27"/>
      <x:c r="F55" s="27"/>
      <x:c r="G55" s="27"/>
      <x:c r="H55" s="27"/>
      <x:c r="I55" s="27"/>
      <x:c r="J55" s="27"/>
      <x:c r="K55" s="27"/>
      <x:c r="L55" s="27"/>
      <x:c r="M55" s="27"/>
      <x:c r="N55" s="27"/>
      <x:c r="O55" s="27"/>
      <x:c r="P55" s="27"/>
      <x:c r="Q55" s="27"/>
      <x:c r="R55" s="27"/>
      <x:c r="S55" s="27"/>
      <x:c r="T55" s="27"/>
      <x:c r="U55" s="27"/>
      <x:c r="V55" s="27"/>
      <x:c r="W55" s="27"/>
      <x:c r="X55" s="27"/>
      <x:c r="Y55" s="27"/>
      <x:c r="Z55" s="27"/>
      <x:c r="AA55" s="27"/>
      <x:c r="AB55" s="27"/>
      <x:c r="AC55" s="27"/>
      <x:c r="AD55" s="27"/>
      <x:c r="AE55" s="27"/>
      <x:c r="AF55" s="27"/>
      <x:c r="AG55" s="27"/>
      <x:c r="AH55" s="27"/>
      <x:c r="AI55" s="27"/>
      <x:c r="AJ55" s="27"/>
      <x:c r="AK55" s="27"/>
      <x:c r="AL55" s="27"/>
      <x:c r="AM55" s="27"/>
      <x:c r="AN55" s="27"/>
      <x:c r="AO55" s="27"/>
      <x:c r="AP55" s="27"/>
      <x:c r="AQ55" s="27"/>
      <x:c r="AR55" s="27" t="str">
        <x:f>IF(C55="","",SUM(H55,N55,T55,Z55,AF55,AL55))</x:f>
      </x:c>
      <x:c r="AS55" s="27" t="str">
        <x:f>IF(C55="","",SUM(I55,O55,U55,AA55,AG55,AM55))</x:f>
      </x:c>
      <x:c r="AT55" s="27" t="str">
        <x:f>IF(C55="","",SUM(J55,P55,V55,AB55,AH55,AN55))</x:f>
      </x:c>
      <x:c r="AU55" s="27" t="str">
        <x:f>IF(C55="","",SUM(K55,Q55,W55,AC55,AI55,AO55))</x:f>
      </x:c>
      <x:c r="AV55" s="27" t="str">
        <x:f>IF(C55="","",SUM(L55,R55,X55,AD55,AJ55,AP55))</x:f>
      </x:c>
      <x:c r="AW55" s="27" t="str">
        <x:f>IF(C55="","",SUM(M55,S55,Y55,AE55,AK55,AQ55))</x:f>
      </x:c>
      <x:c r="AX55" s="27" t="str">
        <x:f>IF(C55="","",IF(IF(AS55*1000000+SUM(U55,AM55)*10000+SUM(O55,AG55)*100+SUM(I55,AA55)+0.005&gt;AR55*1000000+SUM(T55,AL55)*10000+SUM(N55,AF55)*100+SUM(H55,Z55)+0.006,1,0)+IF(AT55*1000000+SUM(V55,AN55)*10000+SUM(P55,AH55)*100+SUM(J55,AB55)+0.004&gt;AR55*1000000+SUM(T55,AL55)*10000+SUM(N55,AF55)*100+SUM(H55,Z55)+0.006,1,0)+IF(AU55*1000000+SUM(W55,AO55)*10000+SUM(Q55,AI55)*100+SUM(K55,AC55)+0.003&gt;AR55*1000000+SUM(T55,AL55)*10000+SUM(N55,AF55)*100+SUM(H55,Z55)+0.006,1,0)+IF(AV55*1000000+SUM(X55,AP55)*10000+SUM(R55,AJ55)*100+SUM(L55,AD55)+0.002&gt;AR55*1000000+SUM(T55,AL55)*10000+SUM(N55,AF55)*100+SUM(H55,Z55)+0.006,1,0)+IF(AW55*1000000+SUM(Y55,AQ55)*10000+SUM(S55,AK55)*100+SUM(M55,AE55)+0.001&gt;AR55*1000000+SUM(T55,AL55)*10000+SUM(N55,AF55)*100+SUM(H55,Z55)+0.006,1,0)=0,"R",IF(IF(AR55*1000000+SUM(T55,AL55)*10000+SUM(N55,AF55)*100+SUM(H55,Z55)+0.006&gt;AS55*1000000+SUM(U55,AM55)*10000+SUM(O55,AG55)*100+SUM(I55,AA55)+0.005,1,0)+IF(AT55*1000000+SUM(V55,AN55)*10000+SUM(P55,AH55)*100+SUM(J55,AB55)+0.004&gt;AS55*1000000+SUM(U55,AM55)*10000+SUM(O55,AG55)*100+SUM(I55,AA55)+0.005,1,0)+IF(AU55*1000000+SUM(W55,AO55)*10000+SUM(Q55,AI55)*100+SUM(K55,AC55)+0.003&gt;AS55*1000000+SUM(U55,AM55)*10000+SUM(O55,AG55)*100+SUM(I55,AA55)+0.005,1,0)+IF(AV55*1000000+SUM(X55,AP55)*10000+SUM(R55,AJ55)*100+SUM(L55,AD55)+0.002&gt;AS55*1000000+SUM(U55,AM55)*10000+SUM(O55,AG55)*100+SUM(I55,AA55)+0.005,1,0)+IF(AW55*1000000+SUM(Y55,AQ55)*10000+SUM(S55,AK55)*100+SUM(M55,AE55)+0.001&gt;AS55*1000000+SUM(U55,AM55)*10000+SUM(O55,AG55)*100+SUM(I55,AA55)+0.005,1,0)=0,"I",IF(IF(AR55*1000000+SUM(T55,AL55)*10000+SUM(N55,AF55)*100+SUM(H55,Z55)+0.006&gt;AT55*1000000+SUM(V55,AN55)*10000+SUM(P55,AH55)*100+SUM(J55,AB55)+0.004,1,0)+IF(AS55*1000000+SUM(U55,AM55)*10000+SUM(O55,AG55)*100+SUM(I55,AA55)+0.005&gt;AT55*1000000+SUM(V55,AN55)*10000+SUM(P55,AH55)*100+SUM(J55,AB55)+0.004,1,0)+IF(AU55*1000000+SUM(W55,AO55)*10000+SUM(Q55,AI55)*100+SUM(K55,AC55)+0.003&gt;AT55*1000000+SUM(V55,AN55)*10000+SUM(P55,AH55)*100+SUM(J55,AB55)+0.004,1,0)+IF(AV55*1000000+SUM(X55,AP55)*10000+SUM(R55,AJ55)*100+SUM(L55,AD55)+0.002&gt;AT55*1000000+SUM(V55,AN55)*10000+SUM(P55,AH55)*100+SUM(J55,AB55)+0.004,1,0)+IF(AW55*1000000+SUM(Y55,AQ55)*10000+SUM(S55,AK55)*100+SUM(M55,AE55)+0.001&gt;AT55*1000000+SUM(V55,AN55)*10000+SUM(P55,AH55)*100+SUM(J55,AB55)+0.004,1,0)=0,"A",IF(IF(AR55*1000000+SUM(T55,AL55)*10000+SUM(N55,AF55)*100+SUM(H55,Z55)+0.006&gt;AU55*1000000+SUM(W55,AO55)*10000+SUM(Q55,AI55)*100+SUM(K55,AC55)+0.003,1,0)+IF(AS55*1000000+SUM(U55,AM55)*10000+SUM(O55,AG55)*100+SUM(I55,AA55)+0.005&gt;AU55*1000000+SUM(W55,AO55)*10000+SUM(Q55,AI55)*100+SUM(K55,AC55)+0.003,1,0)+IF(AT55*1000000+SUM(V55,AN55)*10000+SUM(P55,AH55)*100+SUM(J55,AB55)+0.004&gt;AU55*1000000+SUM(W55,AO55)*10000+SUM(Q55,AI55)*100+SUM(K55,AC55)+0.003,1,0)+IF(AV55*1000000+SUM(X55,AP55)*10000+SUM(R55,AJ55)*100+SUM(L55,AD55)+0.002&gt;AU55*1000000+SUM(W55,AO55)*10000+SUM(Q55,AI55)*100+SUM(K55,AC55)+0.003,1,0)+IF(AW55*1000000+SUM(Y55,AQ55)*10000+SUM(S55,AK55)*100+SUM(M55,AE55)+0.001&gt;AU55*1000000+SUM(W55,AO55)*10000+SUM(Q55,AI55)*100+SUM(K55,AC55)+0.003,1,0)=0,"S",IF(IF(AR55*1000000+SUM(T55,AL55)*10000+SUM(N55,AF55)*100+SUM(H55,Z55)+0.006&gt;AV55*1000000+SUM(X55,AP55)*10000+SUM(R55,AJ55)*100+SUM(L55,AD55)+0.002,1,0)+IF(AS55*1000000+SUM(U55,AM55)*10000+SUM(O55,AG55)*100+SUM(I55,AA55)+0.005&gt;AV55*1000000+SUM(X55,AP55)*10000+SUM(R55,AJ55)*100+SUM(L55,AD55)+0.002,1,0)+IF(AT55*1000000+SUM(V55,AN55)*10000+SUM(P55,AH55)*100+SUM(J55,AB55)+0.004&gt;AV55*1000000+SUM(X55,AP55)*10000+SUM(R55,AJ55)*100+SUM(L55,AD55)+0.002,1,0)+IF(AU55*1000000+SUM(W55,AO55)*10000+SUM(Q55,AI55)*100+SUM(K55,AC55)+0.003&gt;AV55*1000000+SUM(X55,AP55)*10000+SUM(R55,AJ55)*100+SUM(L55,AD55)+0.002,1,0)+IF(AW55*1000000+SUM(Y55,AQ55)*10000+SUM(S55,AK55)*100+SUM(M55,AE55)+0.001&gt;AV55*1000000+SUM(X55,AP55)*10000+SUM(R55,AJ55)*100+SUM(L55,AD55)+0.002,1,0)=0,"E",IF(IF(AR55*1000000+SUM(T55,AL55)*10000+SUM(N55,AF55)*100+SUM(H55,Z55)+0.006&gt;AW55*1000000+SUM(Y55,AQ55)*10000+SUM(S55,AK55)*100+SUM(M55,AE55)+0.001,1,0)+IF(AS55*1000000+SUM(U55,AM55)*10000+SUM(O55,AG55)*100+SUM(I55,AA55)+0.005&gt;AW55*1000000+SUM(Y55,AQ55)*10000+SUM(S55,AK55)*100+SUM(M55,AE55)+0.001,1,0)+IF(AT55*1000000+SUM(V55,AN55)*10000+SUM(P55,AH55)*100+SUM(J55,AB55)+0.004&gt;AW55*1000000+SUM(Y55,AQ55)*10000+SUM(S55,AK55)*100+SUM(M55,AE55)+0.001,1,0)+IF(AU55*1000000+SUM(W55,AO55)*10000+SUM(Q55,AI55)*100+SUM(K55,AC55)+0.003&gt;AW55*1000000+SUM(Y55,AQ55)*10000+SUM(S55,AK55)*100+SUM(M55,AE55)+0.001,1,0)+IF(AV55*1000000+SUM(X55,AP55)*10000+SUM(R55,AJ55)*100+SUM(L55,AD55)+0.002&gt;AW55*1000000+SUM(Y55,AQ55)*10000+SUM(S55,AK55)*100+SUM(M55,AE55)+0.001,1,0)=0,"C",""))))))&amp;IF(IF(AS55*1000000+SUM(U55,AM55)*10000+SUM(O55,AG55)*100+SUM(I55,AA55)+0.005&gt;AR55*1000000+SUM(T55,AL55)*10000+SUM(N55,AF55)*100+SUM(H55,Z55)+0.006,1,0)+IF(AT55*1000000+SUM(V55,AN55)*10000+SUM(P55,AH55)*100+SUM(J55,AB55)+0.004&gt;AR55*1000000+SUM(T55,AL55)*10000+SUM(N55,AF55)*100+SUM(H55,Z55)+0.006,1,0)+IF(AU55*1000000+SUM(W55,AO55)*10000+SUM(Q55,AI55)*100+SUM(K55,AC55)+0.003&gt;AR55*1000000+SUM(T55,AL55)*10000+SUM(N55,AF55)*100+SUM(H55,Z55)+0.006,1,0)+IF(AV55*1000000+SUM(X55,AP55)*10000+SUM(R55,AJ55)*100+SUM(L55,AD55)+0.002&gt;AR55*1000000+SUM(T55,AL55)*10000+SUM(N55,AF55)*100+SUM(H55,Z55)+0.006,1,0)+IF(AW55*1000000+SUM(Y55,AQ55)*10000+SUM(S55,AK55)*100+SUM(M55,AE55)+0.001&gt;AR55*1000000+SUM(T55,AL55)*10000+SUM(N55,AF55)*100+SUM(H55,Z55)+0.006,1,0)=1,"R",IF(IF(AR55*1000000+SUM(T55,AL55)*10000+SUM(N55,AF55)*100+SUM(H55,Z55)+0.006&gt;AS55*1000000+SUM(U55,AM55)*10000+SUM(O55,AG55)*100+SUM(I55,AA55)+0.005,1,0)+IF(AT55*1000000+SUM(V55,AN55)*10000+SUM(P55,AH55)*100+SUM(J55,AB55)+0.004&gt;AS55*1000000+SUM(U55,AM55)*10000+SUM(O55,AG55)*100+SUM(I55,AA55)+0.005,1,0)+IF(AU55*1000000+SUM(W55,AO55)*10000+SUM(Q55,AI55)*100+SUM(K55,AC55)+0.003&gt;AS55*1000000+SUM(U55,AM55)*10000+SUM(O55,AG55)*100+SUM(I55,AA55)+0.005,1,0)+IF(AV55*1000000+SUM(X55,AP55)*10000+SUM(R55,AJ55)*100+SUM(L55,AD55)+0.002&gt;AS55*1000000+SUM(U55,AM55)*10000+SUM(O55,AG55)*100+SUM(I55,AA55)+0.005,1,0)+IF(AW55*1000000+SUM(Y55,AQ55)*10000+SUM(S55,AK55)*100+SUM(M55,AE55)+0.001&gt;AS55*1000000+SUM(U55,AM55)*10000+SUM(O55,AG55)*100+SUM(I55,AA55)+0.005,1,0)=1,"I",IF(IF(AR55*1000000+SUM(T55,AL55)*10000+SUM(N55,AF55)*100+SUM(H55,Z55)+0.006&gt;AT55*1000000+SUM(V55,AN55)*10000+SUM(P55,AH55)*100+SUM(J55,AB55)+0.004,1,0)+IF(AS55*1000000+SUM(U55,AM55)*10000+SUM(O55,AG55)*100+SUM(I55,AA55)+0.005&gt;AT55*1000000+SUM(V55,AN55)*10000+SUM(P55,AH55)*100+SUM(J55,AB55)+0.004,1,0)+IF(AU55*1000000+SUM(W55,AO55)*10000+SUM(Q55,AI55)*100+SUM(K55,AC55)+0.003&gt;AT55*1000000+SUM(V55,AN55)*10000+SUM(P55,AH55)*100+SUM(J55,AB55)+0.004,1,0)+IF(AV55*1000000+SUM(X55,AP55)*10000+SUM(R55,AJ55)*100+SUM(L55,AD55)+0.002&gt;AT55*1000000+SUM(V55,AN55)*10000+SUM(P55,AH55)*100+SUM(J55,AB55)+0.004,1,0)+IF(AW55*1000000+SUM(Y55,AQ55)*10000+SUM(S55,AK55)*100+SUM(M55,AE55)+0.001&gt;AT55*1000000+SUM(V55,AN55)*10000+SUM(P55,AH55)*100+SUM(J55,AB55)+0.004,1,0)=1,"A",IF(IF(AR55*1000000+SUM(T55,AL55)*10000+SUM(N55,AF55)*100+SUM(H55,Z55)+0.006&gt;AU55*1000000+SUM(W55,AO55)*10000+SUM(Q55,AI55)*100+SUM(K55,AC55)+0.003,1,0)+IF(AS55*1000000+SUM(U55,AM55)*10000+SUM(O55,AG55)*100+SUM(I55,AA55)+0.005&gt;AU55*1000000+SUM(W55,AO55)*10000+SUM(Q55,AI55)*100+SUM(K55,AC55)+0.003,1,0)+IF(AT55*1000000+SUM(V55,AN55)*10000+SUM(P55,AH55)*100+SUM(J55,AB55)+0.004&gt;AU55*1000000+SUM(W55,AO55)*10000+SUM(Q55,AI55)*100+SUM(K55,AC55)+0.003,1,0)+IF(AV55*1000000+SUM(X55,AP55)*10000+SUM(R55,AJ55)*100+SUM(L55,AD55)+0.002&gt;AU55*1000000+SUM(W55,AO55)*10000+SUM(Q55,AI55)*100+SUM(K55,AC55)+0.003,1,0)+IF(AW55*1000000+SUM(Y55,AQ55)*10000+SUM(S55,AK55)*100+SUM(M55,AE55)+0.001&gt;AU55*1000000+SUM(W55,AO55)*10000+SUM(Q55,AI55)*100+SUM(K55,AC55)+0.003,1,0)=1,"S",IF(IF(AR55*1000000+SUM(T55,AL55)*10000+SUM(N55,AF55)*100+SUM(H55,Z55)+0.006&gt;AV55*1000000+SUM(X55,AP55)*10000+SUM(R55,AJ55)*100+SUM(L55,AD55)+0.002,1,0)+IF(AS55*1000000+SUM(U55,AM55)*10000+SUM(O55,AG55)*100+SUM(I55,AA55)+0.005&gt;AV55*1000000+SUM(X55,AP55)*10000+SUM(R55,AJ55)*100+SUM(L55,AD55)+0.002,1,0)+IF(AT55*1000000+SUM(V55,AN55)*10000+SUM(P55,AH55)*100+SUM(J55,AB55)+0.004&gt;AV55*1000000+SUM(X55,AP55)*10000+SUM(R55,AJ55)*100+SUM(L55,AD55)+0.002,1,0)+IF(AU55*1000000+SUM(W55,AO55)*10000+SUM(Q55,AI55)*100+SUM(K55,AC55)+0.003&gt;AV55*1000000+SUM(X55,AP55)*10000+SUM(R55,AJ55)*100+SUM(L55,AD55)+0.002,1,0)+IF(AW55*1000000+SUM(Y55,AQ55)*10000+SUM(S55,AK55)*100+SUM(M55,AE55)+0.001&gt;AV55*1000000+SUM(X55,AP55)*10000+SUM(R55,AJ55)*100+SUM(L55,AD55)+0.002,1,0)=1,"E",IF(IF(AR55*1000000+SUM(T55,AL55)*10000+SUM(N55,AF55)*100+SUM(H55,Z55)+0.006&gt;AW55*1000000+SUM(Y55,AQ55)*10000+SUM(S55,AK55)*100+SUM(M55,AE55)+0.001,1,0)+IF(AS55*1000000+SUM(U55,AM55)*10000+SUM(O55,AG55)*100+SUM(I55,AA55)+0.005&gt;AW55*1000000+SUM(Y55,AQ55)*10000+SUM(S55,AK55)*100+SUM(M55,AE55)+0.001,1,0)+IF(AT55*1000000+SUM(V55,AN55)*10000+SUM(P55,AH55)*100+SUM(J55,AB55)+0.004&gt;AW55*1000000+SUM(Y55,AQ55)*10000+SUM(S55,AK55)*100+SUM(M55,AE55)+0.001,1,0)+IF(AU55*1000000+SUM(W55,AO55)*10000+SUM(Q55,AI55)*100+SUM(K55,AC55)+0.003&gt;AW55*1000000+SUM(Y55,AQ55)*10000+SUM(S55,AK55)*100+SUM(M55,AE55)+0.001,1,0)+IF(AV55*1000000+SUM(X55,AP55)*10000+SUM(R55,AJ55)*100+SUM(L55,AD55)+0.002&gt;AW55*1000000+SUM(Y55,AQ55)*10000+SUM(S55,AK55)*100+SUM(M55,AE55)+0.001,1,0)=1,"C",""))))))&amp;IF(IF(AS55*1000000+SUM(U55,AM55)*10000+SUM(O55,AG55)*100+SUM(I55,AA55)+0.005&gt;AR55*1000000+SUM(T55,AL55)*10000+SUM(N55,AF55)*100+SUM(H55,Z55)+0.006,1,0)+IF(AT55*1000000+SUM(V55,AN55)*10000+SUM(P55,AH55)*100+SUM(J55,AB55)+0.004&gt;AR55*1000000+SUM(T55,AL55)*10000+SUM(N55,AF55)*100+SUM(H55,Z55)+0.006,1,0)+IF(AU55*1000000+SUM(W55,AO55)*10000+SUM(Q55,AI55)*100+SUM(K55,AC55)+0.003&gt;AR55*1000000+SUM(T55,AL55)*10000+SUM(N55,AF55)*100+SUM(H55,Z55)+0.006,1,0)+IF(AV55*1000000+SUM(X55,AP55)*10000+SUM(R55,AJ55)*100+SUM(L55,AD55)+0.002&gt;AR55*1000000+SUM(T55,AL55)*10000+SUM(N55,AF55)*100+SUM(H55,Z55)+0.006,1,0)+IF(AW55*1000000+SUM(Y55,AQ55)*10000+SUM(S55,AK55)*100+SUM(M55,AE55)+0.001&gt;AR55*1000000+SUM(T55,AL55)*10000+SUM(N55,AF55)*100+SUM(H55,Z55)+0.006,1,0)=2,"R",IF(IF(AR55*1000000+SUM(T55,AL55)*10000+SUM(N55,AF55)*100+SUM(H55,Z55)+0.006&gt;AS55*1000000+SUM(U55,AM55)*10000+SUM(O55,AG55)*100+SUM(I55,AA55)+0.005,1,0)+IF(AT55*1000000+SUM(V55,AN55)*10000+SUM(P55,AH55)*100+SUM(J55,AB55)+0.004&gt;AS55*1000000+SUM(U55,AM55)*10000+SUM(O55,AG55)*100+SUM(I55,AA55)+0.005,1,0)+IF(AU55*1000000+SUM(W55,AO55)*10000+SUM(Q55,AI55)*100+SUM(K55,AC55)+0.003&gt;AS55*1000000+SUM(U55,AM55)*10000+SUM(O55,AG55)*100+SUM(I55,AA55)+0.005,1,0)+IF(AV55*1000000+SUM(X55,AP55)*10000+SUM(R55,AJ55)*100+SUM(L55,AD55)+0.002&gt;AS55*1000000+SUM(U55,AM55)*10000+SUM(O55,AG55)*100+SUM(I55,AA55)+0.005,1,0)+IF(AW55*1000000+SUM(Y55,AQ55)*10000+SUM(S55,AK55)*100+SUM(M55,AE55)+0.001&gt;AS55*1000000+SUM(U55,AM55)*10000+SUM(O55,AG55)*100+SUM(I55,AA55)+0.005,1,0)=2,"I",IF(IF(AR55*1000000+SUM(T55,AL55)*10000+SUM(N55,AF55)*100+SUM(H55,Z55)+0.006&gt;AT55*1000000+SUM(V55,AN55)*10000+SUM(P55,AH55)*100+SUM(J55,AB55)+0.004,1,0)+IF(AS55*1000000+SUM(U55,AM55)*10000+SUM(O55,AG55)*100+SUM(I55,AA55)+0.005&gt;AT55*1000000+SUM(V55,AN55)*10000+SUM(P55,AH55)*100+SUM(J55,AB55)+0.004,1,0)+IF(AU55*1000000+SUM(W55,AO55)*10000+SUM(Q55,AI55)*100+SUM(K55,AC55)+0.003&gt;AT55*1000000+SUM(V55,AN55)*10000+SUM(P55,AH55)*100+SUM(J55,AB55)+0.004,1,0)+IF(AV55*1000000+SUM(X55,AP55)*10000+SUM(R55,AJ55)*100+SUM(L55,AD55)+0.002&gt;AT55*1000000+SUM(V55,AN55)*10000+SUM(P55,AH55)*100+SUM(J55,AB55)+0.004,1,0)+IF(AW55*1000000+SUM(Y55,AQ55)*10000+SUM(S55,AK55)*100+SUM(M55,AE55)+0.001&gt;AT55*1000000+SUM(V55,AN55)*10000+SUM(P55,AH55)*100+SUM(J55,AB55)+0.004,1,0)=2,"A",IF(IF(AR55*1000000+SUM(T55,AL55)*10000+SUM(N55,AF55)*100+SUM(H55,Z55)+0.006&gt;AU55*1000000+SUM(W55,AO55)*10000+SUM(Q55,AI55)*100+SUM(K55,AC55)+0.003,1,0)+IF(AS55*1000000+SUM(U55,AM55)*10000+SUM(O55,AG55)*100+SUM(I55,AA55)+0.005&gt;AU55*1000000+SUM(W55,AO55)*10000+SUM(Q55,AI55)*100+SUM(K55,AC55)+0.003,1,0)+IF(AT55*1000000+SUM(V55,AN55)*10000+SUM(P55,AH55)*100+SUM(J55,AB55)+0.004&gt;AU55*1000000+SUM(W55,AO55)*10000+SUM(Q55,AI55)*100+SUM(K55,AC55)+0.003,1,0)+IF(AV55*1000000+SUM(X55,AP55)*10000+SUM(R55,AJ55)*100+SUM(L55,AD55)+0.002&gt;AU55*1000000+SUM(W55,AO55)*10000+SUM(Q55,AI55)*100+SUM(K55,AC55)+0.003,1,0)+IF(AW55*1000000+SUM(Y55,AQ55)*10000+SUM(S55,AK55)*100+SUM(M55,AE55)+0.001&gt;AU55*1000000+SUM(W55,AO55)*10000+SUM(Q55,AI55)*100+SUM(K55,AC55)+0.003,1,0)=2,"S",IF(IF(AR55*1000000+SUM(T55,AL55)*10000+SUM(N55,AF55)*100+SUM(H55,Z55)+0.006&gt;AV55*1000000+SUM(X55,AP55)*10000+SUM(R55,AJ55)*100+SUM(L55,AD55)+0.002,1,0)+IF(AS55*1000000+SUM(U55,AM55)*10000+SUM(O55,AG55)*100+SUM(I55,AA55)+0.005&gt;AV55*1000000+SUM(X55,AP55)*10000+SUM(R55,AJ55)*100+SUM(L55,AD55)+0.002,1,0)+IF(AT55*1000000+SUM(V55,AN55)*10000+SUM(P55,AH55)*100+SUM(J55,AB55)+0.004&gt;AV55*1000000+SUM(X55,AP55)*10000+SUM(R55,AJ55)*100+SUM(L55,AD55)+0.002,1,0)+IF(AU55*1000000+SUM(W55,AO55)*10000+SUM(Q55,AI55)*100+SUM(K55,AC55)+0.003&gt;AV55*1000000+SUM(X55,AP55)*10000+SUM(R55,AJ55)*100+SUM(L55,AD55)+0.002,1,0)+IF(AW55*1000000+SUM(Y55,AQ55)*10000+SUM(S55,AK55)*100+SUM(M55,AE55)+0.001&gt;AV55*1000000+SUM(X55,AP55)*10000+SUM(R55,AJ55)*100+SUM(L55,AD55)+0.002,1,0)=2,"E",IF(IF(AR55*1000000+SUM(T55,AL55)*10000+SUM(N55,AF55)*100+SUM(H55,Z55)+0.006&gt;AW55*1000000+SUM(Y55,AQ55)*10000+SUM(S55,AK55)*100+SUM(M55,AE55)+0.001,1,0)+IF(AS55*1000000+SUM(U55,AM55)*10000+SUM(O55,AG55)*100+SUM(I55,AA55)+0.005&gt;AW55*1000000+SUM(Y55,AQ55)*10000+SUM(S55,AK55)*100+SUM(M55,AE55)+0.001,1,0)+IF(AT55*1000000+SUM(V55,AN55)*10000+SUM(P55,AH55)*100+SUM(J55,AB55)+0.004&gt;AW55*1000000+SUM(Y55,AQ55)*10000+SUM(S55,AK55)*100+SUM(M55,AE55)+0.001,1,0)+IF(AU55*1000000+SUM(W55,AO55)*10000+SUM(Q55,AI55)*100+SUM(K55,AC55)+0.003&gt;AW55*1000000+SUM(Y55,AQ55)*10000+SUM(S55,AK55)*100+SUM(M55,AE55)+0.001,1,0)+IF(AV55*1000000+SUM(X55,AP55)*10000+SUM(R55,AJ55)*100+SUM(L55,AD55)+0.002&gt;AW55*1000000+SUM(Y55,AQ55)*10000+SUM(S55,AK55)*100+SUM(M55,AE55)+0.001,1,0)=2,"C","")))))))</x:f>
      </x:c>
      <x:c r="AY55" s="27" t="str">
        <x:f>IF(C55="","",IF(LEFT(AX55,1)="R","นักปฏิบัติ",IF(LEFT(AX55,1)="I","นักคิดวิเคราะห์",IF(LEFT(AX55,1)="A","นักสร้างสรรค์",IF(LEFT(AX55,1)="S","ผู้เข้าใจผู้คน",IF(LEFT(AX55,1)="E","ผู้นำการเปลี่ยนแปลง","ผู้จัดระบบ"))))))</x:f>
      </x:c>
    </x:row>
    <x:row r="56">
      <x:c r="A56" s="27"/>
      <x:c r="B56" s="28"/>
      <x:c r="C56" s="27"/>
      <x:c r="D56" s="27"/>
      <x:c r="E56" s="27"/>
      <x:c r="F56" s="27"/>
      <x:c r="G56" s="27"/>
      <x:c r="H56" s="27"/>
      <x:c r="I56" s="27"/>
      <x:c r="J56" s="27"/>
      <x:c r="K56" s="27"/>
      <x:c r="L56" s="27"/>
      <x:c r="M56" s="27"/>
      <x:c r="N56" s="27"/>
      <x:c r="O56" s="27"/>
      <x:c r="P56" s="27"/>
      <x:c r="Q56" s="27"/>
      <x:c r="R56" s="27"/>
      <x:c r="S56" s="27"/>
      <x:c r="T56" s="27"/>
      <x:c r="U56" s="27"/>
      <x:c r="V56" s="27"/>
      <x:c r="W56" s="27"/>
      <x:c r="X56" s="27"/>
      <x:c r="Y56" s="27"/>
      <x:c r="Z56" s="27"/>
      <x:c r="AA56" s="27"/>
      <x:c r="AB56" s="27"/>
      <x:c r="AC56" s="27"/>
      <x:c r="AD56" s="27"/>
      <x:c r="AE56" s="27"/>
      <x:c r="AF56" s="27"/>
      <x:c r="AG56" s="27"/>
      <x:c r="AH56" s="27"/>
      <x:c r="AI56" s="27"/>
      <x:c r="AJ56" s="27"/>
      <x:c r="AK56" s="27"/>
      <x:c r="AL56" s="27"/>
      <x:c r="AM56" s="27"/>
      <x:c r="AN56" s="27"/>
      <x:c r="AO56" s="27"/>
      <x:c r="AP56" s="27"/>
      <x:c r="AQ56" s="27"/>
      <x:c r="AR56" s="27" t="str">
        <x:f>IF(C56="","",SUM(H56,N56,T56,Z56,AF56,AL56))</x:f>
      </x:c>
      <x:c r="AS56" s="27" t="str">
        <x:f>IF(C56="","",SUM(I56,O56,U56,AA56,AG56,AM56))</x:f>
      </x:c>
      <x:c r="AT56" s="27" t="str">
        <x:f>IF(C56="","",SUM(J56,P56,V56,AB56,AH56,AN56))</x:f>
      </x:c>
      <x:c r="AU56" s="27" t="str">
        <x:f>IF(C56="","",SUM(K56,Q56,W56,AC56,AI56,AO56))</x:f>
      </x:c>
      <x:c r="AV56" s="27" t="str">
        <x:f>IF(C56="","",SUM(L56,R56,X56,AD56,AJ56,AP56))</x:f>
      </x:c>
      <x:c r="AW56" s="27" t="str">
        <x:f>IF(C56="","",SUM(M56,S56,Y56,AE56,AK56,AQ56))</x:f>
      </x:c>
      <x:c r="AX56" s="27" t="str">
        <x:f>IF(C56="","",IF(IF(AS56*1000000+SUM(U56,AM56)*10000+SUM(O56,AG56)*100+SUM(I56,AA56)+0.005&gt;AR56*1000000+SUM(T56,AL56)*10000+SUM(N56,AF56)*100+SUM(H56,Z56)+0.006,1,0)+IF(AT56*1000000+SUM(V56,AN56)*10000+SUM(P56,AH56)*100+SUM(J56,AB56)+0.004&gt;AR56*1000000+SUM(T56,AL56)*10000+SUM(N56,AF56)*100+SUM(H56,Z56)+0.006,1,0)+IF(AU56*1000000+SUM(W56,AO56)*10000+SUM(Q56,AI56)*100+SUM(K56,AC56)+0.003&gt;AR56*1000000+SUM(T56,AL56)*10000+SUM(N56,AF56)*100+SUM(H56,Z56)+0.006,1,0)+IF(AV56*1000000+SUM(X56,AP56)*10000+SUM(R56,AJ56)*100+SUM(L56,AD56)+0.002&gt;AR56*1000000+SUM(T56,AL56)*10000+SUM(N56,AF56)*100+SUM(H56,Z56)+0.006,1,0)+IF(AW56*1000000+SUM(Y56,AQ56)*10000+SUM(S56,AK56)*100+SUM(M56,AE56)+0.001&gt;AR56*1000000+SUM(T56,AL56)*10000+SUM(N56,AF56)*100+SUM(H56,Z56)+0.006,1,0)=0,"R",IF(IF(AR56*1000000+SUM(T56,AL56)*10000+SUM(N56,AF56)*100+SUM(H56,Z56)+0.006&gt;AS56*1000000+SUM(U56,AM56)*10000+SUM(O56,AG56)*100+SUM(I56,AA56)+0.005,1,0)+IF(AT56*1000000+SUM(V56,AN56)*10000+SUM(P56,AH56)*100+SUM(J56,AB56)+0.004&gt;AS56*1000000+SUM(U56,AM56)*10000+SUM(O56,AG56)*100+SUM(I56,AA56)+0.005,1,0)+IF(AU56*1000000+SUM(W56,AO56)*10000+SUM(Q56,AI56)*100+SUM(K56,AC56)+0.003&gt;AS56*1000000+SUM(U56,AM56)*10000+SUM(O56,AG56)*100+SUM(I56,AA56)+0.005,1,0)+IF(AV56*1000000+SUM(X56,AP56)*10000+SUM(R56,AJ56)*100+SUM(L56,AD56)+0.002&gt;AS56*1000000+SUM(U56,AM56)*10000+SUM(O56,AG56)*100+SUM(I56,AA56)+0.005,1,0)+IF(AW56*1000000+SUM(Y56,AQ56)*10000+SUM(S56,AK56)*100+SUM(M56,AE56)+0.001&gt;AS56*1000000+SUM(U56,AM56)*10000+SUM(O56,AG56)*100+SUM(I56,AA56)+0.005,1,0)=0,"I",IF(IF(AR56*1000000+SUM(T56,AL56)*10000+SUM(N56,AF56)*100+SUM(H56,Z56)+0.006&gt;AT56*1000000+SUM(V56,AN56)*10000+SUM(P56,AH56)*100+SUM(J56,AB56)+0.004,1,0)+IF(AS56*1000000+SUM(U56,AM56)*10000+SUM(O56,AG56)*100+SUM(I56,AA56)+0.005&gt;AT56*1000000+SUM(V56,AN56)*10000+SUM(P56,AH56)*100+SUM(J56,AB56)+0.004,1,0)+IF(AU56*1000000+SUM(W56,AO56)*10000+SUM(Q56,AI56)*100+SUM(K56,AC56)+0.003&gt;AT56*1000000+SUM(V56,AN56)*10000+SUM(P56,AH56)*100+SUM(J56,AB56)+0.004,1,0)+IF(AV56*1000000+SUM(X56,AP56)*10000+SUM(R56,AJ56)*100+SUM(L56,AD56)+0.002&gt;AT56*1000000+SUM(V56,AN56)*10000+SUM(P56,AH56)*100+SUM(J56,AB56)+0.004,1,0)+IF(AW56*1000000+SUM(Y56,AQ56)*10000+SUM(S56,AK56)*100+SUM(M56,AE56)+0.001&gt;AT56*1000000+SUM(V56,AN56)*10000+SUM(P56,AH56)*100+SUM(J56,AB56)+0.004,1,0)=0,"A",IF(IF(AR56*1000000+SUM(T56,AL56)*10000+SUM(N56,AF56)*100+SUM(H56,Z56)+0.006&gt;AU56*1000000+SUM(W56,AO56)*10000+SUM(Q56,AI56)*100+SUM(K56,AC56)+0.003,1,0)+IF(AS56*1000000+SUM(U56,AM56)*10000+SUM(O56,AG56)*100+SUM(I56,AA56)+0.005&gt;AU56*1000000+SUM(W56,AO56)*10000+SUM(Q56,AI56)*100+SUM(K56,AC56)+0.003,1,0)+IF(AT56*1000000+SUM(V56,AN56)*10000+SUM(P56,AH56)*100+SUM(J56,AB56)+0.004&gt;AU56*1000000+SUM(W56,AO56)*10000+SUM(Q56,AI56)*100+SUM(K56,AC56)+0.003,1,0)+IF(AV56*1000000+SUM(X56,AP56)*10000+SUM(R56,AJ56)*100+SUM(L56,AD56)+0.002&gt;AU56*1000000+SUM(W56,AO56)*10000+SUM(Q56,AI56)*100+SUM(K56,AC56)+0.003,1,0)+IF(AW56*1000000+SUM(Y56,AQ56)*10000+SUM(S56,AK56)*100+SUM(M56,AE56)+0.001&gt;AU56*1000000+SUM(W56,AO56)*10000+SUM(Q56,AI56)*100+SUM(K56,AC56)+0.003,1,0)=0,"S",IF(IF(AR56*1000000+SUM(T56,AL56)*10000+SUM(N56,AF56)*100+SUM(H56,Z56)+0.006&gt;AV56*1000000+SUM(X56,AP56)*10000+SUM(R56,AJ56)*100+SUM(L56,AD56)+0.002,1,0)+IF(AS56*1000000+SUM(U56,AM56)*10000+SUM(O56,AG56)*100+SUM(I56,AA56)+0.005&gt;AV56*1000000+SUM(X56,AP56)*10000+SUM(R56,AJ56)*100+SUM(L56,AD56)+0.002,1,0)+IF(AT56*1000000+SUM(V56,AN56)*10000+SUM(P56,AH56)*100+SUM(J56,AB56)+0.004&gt;AV56*1000000+SUM(X56,AP56)*10000+SUM(R56,AJ56)*100+SUM(L56,AD56)+0.002,1,0)+IF(AU56*1000000+SUM(W56,AO56)*10000+SUM(Q56,AI56)*100+SUM(K56,AC56)+0.003&gt;AV56*1000000+SUM(X56,AP56)*10000+SUM(R56,AJ56)*100+SUM(L56,AD56)+0.002,1,0)+IF(AW56*1000000+SUM(Y56,AQ56)*10000+SUM(S56,AK56)*100+SUM(M56,AE56)+0.001&gt;AV56*1000000+SUM(X56,AP56)*10000+SUM(R56,AJ56)*100+SUM(L56,AD56)+0.002,1,0)=0,"E",IF(IF(AR56*1000000+SUM(T56,AL56)*10000+SUM(N56,AF56)*100+SUM(H56,Z56)+0.006&gt;AW56*1000000+SUM(Y56,AQ56)*10000+SUM(S56,AK56)*100+SUM(M56,AE56)+0.001,1,0)+IF(AS56*1000000+SUM(U56,AM56)*10000+SUM(O56,AG56)*100+SUM(I56,AA56)+0.005&gt;AW56*1000000+SUM(Y56,AQ56)*10000+SUM(S56,AK56)*100+SUM(M56,AE56)+0.001,1,0)+IF(AT56*1000000+SUM(V56,AN56)*10000+SUM(P56,AH56)*100+SUM(J56,AB56)+0.004&gt;AW56*1000000+SUM(Y56,AQ56)*10000+SUM(S56,AK56)*100+SUM(M56,AE56)+0.001,1,0)+IF(AU56*1000000+SUM(W56,AO56)*10000+SUM(Q56,AI56)*100+SUM(K56,AC56)+0.003&gt;AW56*1000000+SUM(Y56,AQ56)*10000+SUM(S56,AK56)*100+SUM(M56,AE56)+0.001,1,0)+IF(AV56*1000000+SUM(X56,AP56)*10000+SUM(R56,AJ56)*100+SUM(L56,AD56)+0.002&gt;AW56*1000000+SUM(Y56,AQ56)*10000+SUM(S56,AK56)*100+SUM(M56,AE56)+0.001,1,0)=0,"C",""))))))&amp;IF(IF(AS56*1000000+SUM(U56,AM56)*10000+SUM(O56,AG56)*100+SUM(I56,AA56)+0.005&gt;AR56*1000000+SUM(T56,AL56)*10000+SUM(N56,AF56)*100+SUM(H56,Z56)+0.006,1,0)+IF(AT56*1000000+SUM(V56,AN56)*10000+SUM(P56,AH56)*100+SUM(J56,AB56)+0.004&gt;AR56*1000000+SUM(T56,AL56)*10000+SUM(N56,AF56)*100+SUM(H56,Z56)+0.006,1,0)+IF(AU56*1000000+SUM(W56,AO56)*10000+SUM(Q56,AI56)*100+SUM(K56,AC56)+0.003&gt;AR56*1000000+SUM(T56,AL56)*10000+SUM(N56,AF56)*100+SUM(H56,Z56)+0.006,1,0)+IF(AV56*1000000+SUM(X56,AP56)*10000+SUM(R56,AJ56)*100+SUM(L56,AD56)+0.002&gt;AR56*1000000+SUM(T56,AL56)*10000+SUM(N56,AF56)*100+SUM(H56,Z56)+0.006,1,0)+IF(AW56*1000000+SUM(Y56,AQ56)*10000+SUM(S56,AK56)*100+SUM(M56,AE56)+0.001&gt;AR56*1000000+SUM(T56,AL56)*10000+SUM(N56,AF56)*100+SUM(H56,Z56)+0.006,1,0)=1,"R",IF(IF(AR56*1000000+SUM(T56,AL56)*10000+SUM(N56,AF56)*100+SUM(H56,Z56)+0.006&gt;AS56*1000000+SUM(U56,AM56)*10000+SUM(O56,AG56)*100+SUM(I56,AA56)+0.005,1,0)+IF(AT56*1000000+SUM(V56,AN56)*10000+SUM(P56,AH56)*100+SUM(J56,AB56)+0.004&gt;AS56*1000000+SUM(U56,AM56)*10000+SUM(O56,AG56)*100+SUM(I56,AA56)+0.005,1,0)+IF(AU56*1000000+SUM(W56,AO56)*10000+SUM(Q56,AI56)*100+SUM(K56,AC56)+0.003&gt;AS56*1000000+SUM(U56,AM56)*10000+SUM(O56,AG56)*100+SUM(I56,AA56)+0.005,1,0)+IF(AV56*1000000+SUM(X56,AP56)*10000+SUM(R56,AJ56)*100+SUM(L56,AD56)+0.002&gt;AS56*1000000+SUM(U56,AM56)*10000+SUM(O56,AG56)*100+SUM(I56,AA56)+0.005,1,0)+IF(AW56*1000000+SUM(Y56,AQ56)*10000+SUM(S56,AK56)*100+SUM(M56,AE56)+0.001&gt;AS56*1000000+SUM(U56,AM56)*10000+SUM(O56,AG56)*100+SUM(I56,AA56)+0.005,1,0)=1,"I",IF(IF(AR56*1000000+SUM(T56,AL56)*10000+SUM(N56,AF56)*100+SUM(H56,Z56)+0.006&gt;AT56*1000000+SUM(V56,AN56)*10000+SUM(P56,AH56)*100+SUM(J56,AB56)+0.004,1,0)+IF(AS56*1000000+SUM(U56,AM56)*10000+SUM(O56,AG56)*100+SUM(I56,AA56)+0.005&gt;AT56*1000000+SUM(V56,AN56)*10000+SUM(P56,AH56)*100+SUM(J56,AB56)+0.004,1,0)+IF(AU56*1000000+SUM(W56,AO56)*10000+SUM(Q56,AI56)*100+SUM(K56,AC56)+0.003&gt;AT56*1000000+SUM(V56,AN56)*10000+SUM(P56,AH56)*100+SUM(J56,AB56)+0.004,1,0)+IF(AV56*1000000+SUM(X56,AP56)*10000+SUM(R56,AJ56)*100+SUM(L56,AD56)+0.002&gt;AT56*1000000+SUM(V56,AN56)*10000+SUM(P56,AH56)*100+SUM(J56,AB56)+0.004,1,0)+IF(AW56*1000000+SUM(Y56,AQ56)*10000+SUM(S56,AK56)*100+SUM(M56,AE56)+0.001&gt;AT56*1000000+SUM(V56,AN56)*10000+SUM(P56,AH56)*100+SUM(J56,AB56)+0.004,1,0)=1,"A",IF(IF(AR56*1000000+SUM(T56,AL56)*10000+SUM(N56,AF56)*100+SUM(H56,Z56)+0.006&gt;AU56*1000000+SUM(W56,AO56)*10000+SUM(Q56,AI56)*100+SUM(K56,AC56)+0.003,1,0)+IF(AS56*1000000+SUM(U56,AM56)*10000+SUM(O56,AG56)*100+SUM(I56,AA56)+0.005&gt;AU56*1000000+SUM(W56,AO56)*10000+SUM(Q56,AI56)*100+SUM(K56,AC56)+0.003,1,0)+IF(AT56*1000000+SUM(V56,AN56)*10000+SUM(P56,AH56)*100+SUM(J56,AB56)+0.004&gt;AU56*1000000+SUM(W56,AO56)*10000+SUM(Q56,AI56)*100+SUM(K56,AC56)+0.003,1,0)+IF(AV56*1000000+SUM(X56,AP56)*10000+SUM(R56,AJ56)*100+SUM(L56,AD56)+0.002&gt;AU56*1000000+SUM(W56,AO56)*10000+SUM(Q56,AI56)*100+SUM(K56,AC56)+0.003,1,0)+IF(AW56*1000000+SUM(Y56,AQ56)*10000+SUM(S56,AK56)*100+SUM(M56,AE56)+0.001&gt;AU56*1000000+SUM(W56,AO56)*10000+SUM(Q56,AI56)*100+SUM(K56,AC56)+0.003,1,0)=1,"S",IF(IF(AR56*1000000+SUM(T56,AL56)*10000+SUM(N56,AF56)*100+SUM(H56,Z56)+0.006&gt;AV56*1000000+SUM(X56,AP56)*10000+SUM(R56,AJ56)*100+SUM(L56,AD56)+0.002,1,0)+IF(AS56*1000000+SUM(U56,AM56)*10000+SUM(O56,AG56)*100+SUM(I56,AA56)+0.005&gt;AV56*1000000+SUM(X56,AP56)*10000+SUM(R56,AJ56)*100+SUM(L56,AD56)+0.002,1,0)+IF(AT56*1000000+SUM(V56,AN56)*10000+SUM(P56,AH56)*100+SUM(J56,AB56)+0.004&gt;AV56*1000000+SUM(X56,AP56)*10000+SUM(R56,AJ56)*100+SUM(L56,AD56)+0.002,1,0)+IF(AU56*1000000+SUM(W56,AO56)*10000+SUM(Q56,AI56)*100+SUM(K56,AC56)+0.003&gt;AV56*1000000+SUM(X56,AP56)*10000+SUM(R56,AJ56)*100+SUM(L56,AD56)+0.002,1,0)+IF(AW56*1000000+SUM(Y56,AQ56)*10000+SUM(S56,AK56)*100+SUM(M56,AE56)+0.001&gt;AV56*1000000+SUM(X56,AP56)*10000+SUM(R56,AJ56)*100+SUM(L56,AD56)+0.002,1,0)=1,"E",IF(IF(AR56*1000000+SUM(T56,AL56)*10000+SUM(N56,AF56)*100+SUM(H56,Z56)+0.006&gt;AW56*1000000+SUM(Y56,AQ56)*10000+SUM(S56,AK56)*100+SUM(M56,AE56)+0.001,1,0)+IF(AS56*1000000+SUM(U56,AM56)*10000+SUM(O56,AG56)*100+SUM(I56,AA56)+0.005&gt;AW56*1000000+SUM(Y56,AQ56)*10000+SUM(S56,AK56)*100+SUM(M56,AE56)+0.001,1,0)+IF(AT56*1000000+SUM(V56,AN56)*10000+SUM(P56,AH56)*100+SUM(J56,AB56)+0.004&gt;AW56*1000000+SUM(Y56,AQ56)*10000+SUM(S56,AK56)*100+SUM(M56,AE56)+0.001,1,0)+IF(AU56*1000000+SUM(W56,AO56)*10000+SUM(Q56,AI56)*100+SUM(K56,AC56)+0.003&gt;AW56*1000000+SUM(Y56,AQ56)*10000+SUM(S56,AK56)*100+SUM(M56,AE56)+0.001,1,0)+IF(AV56*1000000+SUM(X56,AP56)*10000+SUM(R56,AJ56)*100+SUM(L56,AD56)+0.002&gt;AW56*1000000+SUM(Y56,AQ56)*10000+SUM(S56,AK56)*100+SUM(M56,AE56)+0.001,1,0)=1,"C",""))))))&amp;IF(IF(AS56*1000000+SUM(U56,AM56)*10000+SUM(O56,AG56)*100+SUM(I56,AA56)+0.005&gt;AR56*1000000+SUM(T56,AL56)*10000+SUM(N56,AF56)*100+SUM(H56,Z56)+0.006,1,0)+IF(AT56*1000000+SUM(V56,AN56)*10000+SUM(P56,AH56)*100+SUM(J56,AB56)+0.004&gt;AR56*1000000+SUM(T56,AL56)*10000+SUM(N56,AF56)*100+SUM(H56,Z56)+0.006,1,0)+IF(AU56*1000000+SUM(W56,AO56)*10000+SUM(Q56,AI56)*100+SUM(K56,AC56)+0.003&gt;AR56*1000000+SUM(T56,AL56)*10000+SUM(N56,AF56)*100+SUM(H56,Z56)+0.006,1,0)+IF(AV56*1000000+SUM(X56,AP56)*10000+SUM(R56,AJ56)*100+SUM(L56,AD56)+0.002&gt;AR56*1000000+SUM(T56,AL56)*10000+SUM(N56,AF56)*100+SUM(H56,Z56)+0.006,1,0)+IF(AW56*1000000+SUM(Y56,AQ56)*10000+SUM(S56,AK56)*100+SUM(M56,AE56)+0.001&gt;AR56*1000000+SUM(T56,AL56)*10000+SUM(N56,AF56)*100+SUM(H56,Z56)+0.006,1,0)=2,"R",IF(IF(AR56*1000000+SUM(T56,AL56)*10000+SUM(N56,AF56)*100+SUM(H56,Z56)+0.006&gt;AS56*1000000+SUM(U56,AM56)*10000+SUM(O56,AG56)*100+SUM(I56,AA56)+0.005,1,0)+IF(AT56*1000000+SUM(V56,AN56)*10000+SUM(P56,AH56)*100+SUM(J56,AB56)+0.004&gt;AS56*1000000+SUM(U56,AM56)*10000+SUM(O56,AG56)*100+SUM(I56,AA56)+0.005,1,0)+IF(AU56*1000000+SUM(W56,AO56)*10000+SUM(Q56,AI56)*100+SUM(K56,AC56)+0.003&gt;AS56*1000000+SUM(U56,AM56)*10000+SUM(O56,AG56)*100+SUM(I56,AA56)+0.005,1,0)+IF(AV56*1000000+SUM(X56,AP56)*10000+SUM(R56,AJ56)*100+SUM(L56,AD56)+0.002&gt;AS56*1000000+SUM(U56,AM56)*10000+SUM(O56,AG56)*100+SUM(I56,AA56)+0.005,1,0)+IF(AW56*1000000+SUM(Y56,AQ56)*10000+SUM(S56,AK56)*100+SUM(M56,AE56)+0.001&gt;AS56*1000000+SUM(U56,AM56)*10000+SUM(O56,AG56)*100+SUM(I56,AA56)+0.005,1,0)=2,"I",IF(IF(AR56*1000000+SUM(T56,AL56)*10000+SUM(N56,AF56)*100+SUM(H56,Z56)+0.006&gt;AT56*1000000+SUM(V56,AN56)*10000+SUM(P56,AH56)*100+SUM(J56,AB56)+0.004,1,0)+IF(AS56*1000000+SUM(U56,AM56)*10000+SUM(O56,AG56)*100+SUM(I56,AA56)+0.005&gt;AT56*1000000+SUM(V56,AN56)*10000+SUM(P56,AH56)*100+SUM(J56,AB56)+0.004,1,0)+IF(AU56*1000000+SUM(W56,AO56)*10000+SUM(Q56,AI56)*100+SUM(K56,AC56)+0.003&gt;AT56*1000000+SUM(V56,AN56)*10000+SUM(P56,AH56)*100+SUM(J56,AB56)+0.004,1,0)+IF(AV56*1000000+SUM(X56,AP56)*10000+SUM(R56,AJ56)*100+SUM(L56,AD56)+0.002&gt;AT56*1000000+SUM(V56,AN56)*10000+SUM(P56,AH56)*100+SUM(J56,AB56)+0.004,1,0)+IF(AW56*1000000+SUM(Y56,AQ56)*10000+SUM(S56,AK56)*100+SUM(M56,AE56)+0.001&gt;AT56*1000000+SUM(V56,AN56)*10000+SUM(P56,AH56)*100+SUM(J56,AB56)+0.004,1,0)=2,"A",IF(IF(AR56*1000000+SUM(T56,AL56)*10000+SUM(N56,AF56)*100+SUM(H56,Z56)+0.006&gt;AU56*1000000+SUM(W56,AO56)*10000+SUM(Q56,AI56)*100+SUM(K56,AC56)+0.003,1,0)+IF(AS56*1000000+SUM(U56,AM56)*10000+SUM(O56,AG56)*100+SUM(I56,AA56)+0.005&gt;AU56*1000000+SUM(W56,AO56)*10000+SUM(Q56,AI56)*100+SUM(K56,AC56)+0.003,1,0)+IF(AT56*1000000+SUM(V56,AN56)*10000+SUM(P56,AH56)*100+SUM(J56,AB56)+0.004&gt;AU56*1000000+SUM(W56,AO56)*10000+SUM(Q56,AI56)*100+SUM(K56,AC56)+0.003,1,0)+IF(AV56*1000000+SUM(X56,AP56)*10000+SUM(R56,AJ56)*100+SUM(L56,AD56)+0.002&gt;AU56*1000000+SUM(W56,AO56)*10000+SUM(Q56,AI56)*100+SUM(K56,AC56)+0.003,1,0)+IF(AW56*1000000+SUM(Y56,AQ56)*10000+SUM(S56,AK56)*100+SUM(M56,AE56)+0.001&gt;AU56*1000000+SUM(W56,AO56)*10000+SUM(Q56,AI56)*100+SUM(K56,AC56)+0.003,1,0)=2,"S",IF(IF(AR56*1000000+SUM(T56,AL56)*10000+SUM(N56,AF56)*100+SUM(H56,Z56)+0.006&gt;AV56*1000000+SUM(X56,AP56)*10000+SUM(R56,AJ56)*100+SUM(L56,AD56)+0.002,1,0)+IF(AS56*1000000+SUM(U56,AM56)*10000+SUM(O56,AG56)*100+SUM(I56,AA56)+0.005&gt;AV56*1000000+SUM(X56,AP56)*10000+SUM(R56,AJ56)*100+SUM(L56,AD56)+0.002,1,0)+IF(AT56*1000000+SUM(V56,AN56)*10000+SUM(P56,AH56)*100+SUM(J56,AB56)+0.004&gt;AV56*1000000+SUM(X56,AP56)*10000+SUM(R56,AJ56)*100+SUM(L56,AD56)+0.002,1,0)+IF(AU56*1000000+SUM(W56,AO56)*10000+SUM(Q56,AI56)*100+SUM(K56,AC56)+0.003&gt;AV56*1000000+SUM(X56,AP56)*10000+SUM(R56,AJ56)*100+SUM(L56,AD56)+0.002,1,0)+IF(AW56*1000000+SUM(Y56,AQ56)*10000+SUM(S56,AK56)*100+SUM(M56,AE56)+0.001&gt;AV56*1000000+SUM(X56,AP56)*10000+SUM(R56,AJ56)*100+SUM(L56,AD56)+0.002,1,0)=2,"E",IF(IF(AR56*1000000+SUM(T56,AL56)*10000+SUM(N56,AF56)*100+SUM(H56,Z56)+0.006&gt;AW56*1000000+SUM(Y56,AQ56)*10000+SUM(S56,AK56)*100+SUM(M56,AE56)+0.001,1,0)+IF(AS56*1000000+SUM(U56,AM56)*10000+SUM(O56,AG56)*100+SUM(I56,AA56)+0.005&gt;AW56*1000000+SUM(Y56,AQ56)*10000+SUM(S56,AK56)*100+SUM(M56,AE56)+0.001,1,0)+IF(AT56*1000000+SUM(V56,AN56)*10000+SUM(P56,AH56)*100+SUM(J56,AB56)+0.004&gt;AW56*1000000+SUM(Y56,AQ56)*10000+SUM(S56,AK56)*100+SUM(M56,AE56)+0.001,1,0)+IF(AU56*1000000+SUM(W56,AO56)*10000+SUM(Q56,AI56)*100+SUM(K56,AC56)+0.003&gt;AW56*1000000+SUM(Y56,AQ56)*10000+SUM(S56,AK56)*100+SUM(M56,AE56)+0.001,1,0)+IF(AV56*1000000+SUM(X56,AP56)*10000+SUM(R56,AJ56)*100+SUM(L56,AD56)+0.002&gt;AW56*1000000+SUM(Y56,AQ56)*10000+SUM(S56,AK56)*100+SUM(M56,AE56)+0.001,1,0)=2,"C","")))))))</x:f>
      </x:c>
      <x:c r="AY56" s="27" t="str">
        <x:f>IF(C56="","",IF(LEFT(AX56,1)="R","นักปฏิบัติ",IF(LEFT(AX56,1)="I","นักคิดวิเคราะห์",IF(LEFT(AX56,1)="A","นักสร้างสรรค์",IF(LEFT(AX56,1)="S","ผู้เข้าใจผู้คน",IF(LEFT(AX56,1)="E","ผู้นำการเปลี่ยนแปลง","ผู้จัดระบบ"))))))</x:f>
      </x:c>
    </x:row>
    <x:row r="57">
      <x:c r="A57" s="27"/>
      <x:c r="B57" s="28"/>
      <x:c r="C57" s="27"/>
      <x:c r="D57" s="27"/>
      <x:c r="E57" s="27"/>
      <x:c r="F57" s="27"/>
      <x:c r="G57" s="27"/>
      <x:c r="H57" s="27"/>
      <x:c r="I57" s="27"/>
      <x:c r="J57" s="27"/>
      <x:c r="K57" s="27"/>
      <x:c r="L57" s="27"/>
      <x:c r="M57" s="27"/>
      <x:c r="N57" s="27"/>
      <x:c r="O57" s="27"/>
      <x:c r="P57" s="27"/>
      <x:c r="Q57" s="27"/>
      <x:c r="R57" s="27"/>
      <x:c r="S57" s="27"/>
      <x:c r="T57" s="27"/>
      <x:c r="U57" s="27"/>
      <x:c r="V57" s="27"/>
      <x:c r="W57" s="27"/>
      <x:c r="X57" s="27"/>
      <x:c r="Y57" s="27"/>
      <x:c r="Z57" s="27"/>
      <x:c r="AA57" s="27"/>
      <x:c r="AB57" s="27"/>
      <x:c r="AC57" s="27"/>
      <x:c r="AD57" s="27"/>
      <x:c r="AE57" s="27"/>
      <x:c r="AF57" s="27"/>
      <x:c r="AG57" s="27"/>
      <x:c r="AH57" s="27"/>
      <x:c r="AI57" s="27"/>
      <x:c r="AJ57" s="27"/>
      <x:c r="AK57" s="27"/>
      <x:c r="AL57" s="27"/>
      <x:c r="AM57" s="27"/>
      <x:c r="AN57" s="27"/>
      <x:c r="AO57" s="27"/>
      <x:c r="AP57" s="27"/>
      <x:c r="AQ57" s="27"/>
      <x:c r="AR57" s="27" t="str">
        <x:f>IF(C57="","",SUM(H57,N57,T57,Z57,AF57,AL57))</x:f>
      </x:c>
      <x:c r="AS57" s="27" t="str">
        <x:f>IF(C57="","",SUM(I57,O57,U57,AA57,AG57,AM57))</x:f>
      </x:c>
      <x:c r="AT57" s="27" t="str">
        <x:f>IF(C57="","",SUM(J57,P57,V57,AB57,AH57,AN57))</x:f>
      </x:c>
      <x:c r="AU57" s="27" t="str">
        <x:f>IF(C57="","",SUM(K57,Q57,W57,AC57,AI57,AO57))</x:f>
      </x:c>
      <x:c r="AV57" s="27" t="str">
        <x:f>IF(C57="","",SUM(L57,R57,X57,AD57,AJ57,AP57))</x:f>
      </x:c>
      <x:c r="AW57" s="27" t="str">
        <x:f>IF(C57="","",SUM(M57,S57,Y57,AE57,AK57,AQ57))</x:f>
      </x:c>
      <x:c r="AX57" s="27" t="str">
        <x:f>IF(C57="","",IF(IF(AS57*1000000+SUM(U57,AM57)*10000+SUM(O57,AG57)*100+SUM(I57,AA57)+0.005&gt;AR57*1000000+SUM(T57,AL57)*10000+SUM(N57,AF57)*100+SUM(H57,Z57)+0.006,1,0)+IF(AT57*1000000+SUM(V57,AN57)*10000+SUM(P57,AH57)*100+SUM(J57,AB57)+0.004&gt;AR57*1000000+SUM(T57,AL57)*10000+SUM(N57,AF57)*100+SUM(H57,Z57)+0.006,1,0)+IF(AU57*1000000+SUM(W57,AO57)*10000+SUM(Q57,AI57)*100+SUM(K57,AC57)+0.003&gt;AR57*1000000+SUM(T57,AL57)*10000+SUM(N57,AF57)*100+SUM(H57,Z57)+0.006,1,0)+IF(AV57*1000000+SUM(X57,AP57)*10000+SUM(R57,AJ57)*100+SUM(L57,AD57)+0.002&gt;AR57*1000000+SUM(T57,AL57)*10000+SUM(N57,AF57)*100+SUM(H57,Z57)+0.006,1,0)+IF(AW57*1000000+SUM(Y57,AQ57)*10000+SUM(S57,AK57)*100+SUM(M57,AE57)+0.001&gt;AR57*1000000+SUM(T57,AL57)*10000+SUM(N57,AF57)*100+SUM(H57,Z57)+0.006,1,0)=0,"R",IF(IF(AR57*1000000+SUM(T57,AL57)*10000+SUM(N57,AF57)*100+SUM(H57,Z57)+0.006&gt;AS57*1000000+SUM(U57,AM57)*10000+SUM(O57,AG57)*100+SUM(I57,AA57)+0.005,1,0)+IF(AT57*1000000+SUM(V57,AN57)*10000+SUM(P57,AH57)*100+SUM(J57,AB57)+0.004&gt;AS57*1000000+SUM(U57,AM57)*10000+SUM(O57,AG57)*100+SUM(I57,AA57)+0.005,1,0)+IF(AU57*1000000+SUM(W57,AO57)*10000+SUM(Q57,AI57)*100+SUM(K57,AC57)+0.003&gt;AS57*1000000+SUM(U57,AM57)*10000+SUM(O57,AG57)*100+SUM(I57,AA57)+0.005,1,0)+IF(AV57*1000000+SUM(X57,AP57)*10000+SUM(R57,AJ57)*100+SUM(L57,AD57)+0.002&gt;AS57*1000000+SUM(U57,AM57)*10000+SUM(O57,AG57)*100+SUM(I57,AA57)+0.005,1,0)+IF(AW57*1000000+SUM(Y57,AQ57)*10000+SUM(S57,AK57)*100+SUM(M57,AE57)+0.001&gt;AS57*1000000+SUM(U57,AM57)*10000+SUM(O57,AG57)*100+SUM(I57,AA57)+0.005,1,0)=0,"I",IF(IF(AR57*1000000+SUM(T57,AL57)*10000+SUM(N57,AF57)*100+SUM(H57,Z57)+0.006&gt;AT57*1000000+SUM(V57,AN57)*10000+SUM(P57,AH57)*100+SUM(J57,AB57)+0.004,1,0)+IF(AS57*1000000+SUM(U57,AM57)*10000+SUM(O57,AG57)*100+SUM(I57,AA57)+0.005&gt;AT57*1000000+SUM(V57,AN57)*10000+SUM(P57,AH57)*100+SUM(J57,AB57)+0.004,1,0)+IF(AU57*1000000+SUM(W57,AO57)*10000+SUM(Q57,AI57)*100+SUM(K57,AC57)+0.003&gt;AT57*1000000+SUM(V57,AN57)*10000+SUM(P57,AH57)*100+SUM(J57,AB57)+0.004,1,0)+IF(AV57*1000000+SUM(X57,AP57)*10000+SUM(R57,AJ57)*100+SUM(L57,AD57)+0.002&gt;AT57*1000000+SUM(V57,AN57)*10000+SUM(P57,AH57)*100+SUM(J57,AB57)+0.004,1,0)+IF(AW57*1000000+SUM(Y57,AQ57)*10000+SUM(S57,AK57)*100+SUM(M57,AE57)+0.001&gt;AT57*1000000+SUM(V57,AN57)*10000+SUM(P57,AH57)*100+SUM(J57,AB57)+0.004,1,0)=0,"A",IF(IF(AR57*1000000+SUM(T57,AL57)*10000+SUM(N57,AF57)*100+SUM(H57,Z57)+0.006&gt;AU57*1000000+SUM(W57,AO57)*10000+SUM(Q57,AI57)*100+SUM(K57,AC57)+0.003,1,0)+IF(AS57*1000000+SUM(U57,AM57)*10000+SUM(O57,AG57)*100+SUM(I57,AA57)+0.005&gt;AU57*1000000+SUM(W57,AO57)*10000+SUM(Q57,AI57)*100+SUM(K57,AC57)+0.003,1,0)+IF(AT57*1000000+SUM(V57,AN57)*10000+SUM(P57,AH57)*100+SUM(J57,AB57)+0.004&gt;AU57*1000000+SUM(W57,AO57)*10000+SUM(Q57,AI57)*100+SUM(K57,AC57)+0.003,1,0)+IF(AV57*1000000+SUM(X57,AP57)*10000+SUM(R57,AJ57)*100+SUM(L57,AD57)+0.002&gt;AU57*1000000+SUM(W57,AO57)*10000+SUM(Q57,AI57)*100+SUM(K57,AC57)+0.003,1,0)+IF(AW57*1000000+SUM(Y57,AQ57)*10000+SUM(S57,AK57)*100+SUM(M57,AE57)+0.001&gt;AU57*1000000+SUM(W57,AO57)*10000+SUM(Q57,AI57)*100+SUM(K57,AC57)+0.003,1,0)=0,"S",IF(IF(AR57*1000000+SUM(T57,AL57)*10000+SUM(N57,AF57)*100+SUM(H57,Z57)+0.006&gt;AV57*1000000+SUM(X57,AP57)*10000+SUM(R57,AJ57)*100+SUM(L57,AD57)+0.002,1,0)+IF(AS57*1000000+SUM(U57,AM57)*10000+SUM(O57,AG57)*100+SUM(I57,AA57)+0.005&gt;AV57*1000000+SUM(X57,AP57)*10000+SUM(R57,AJ57)*100+SUM(L57,AD57)+0.002,1,0)+IF(AT57*1000000+SUM(V57,AN57)*10000+SUM(P57,AH57)*100+SUM(J57,AB57)+0.004&gt;AV57*1000000+SUM(X57,AP57)*10000+SUM(R57,AJ57)*100+SUM(L57,AD57)+0.002,1,0)+IF(AU57*1000000+SUM(W57,AO57)*10000+SUM(Q57,AI57)*100+SUM(K57,AC57)+0.003&gt;AV57*1000000+SUM(X57,AP57)*10000+SUM(R57,AJ57)*100+SUM(L57,AD57)+0.002,1,0)+IF(AW57*1000000+SUM(Y57,AQ57)*10000+SUM(S57,AK57)*100+SUM(M57,AE57)+0.001&gt;AV57*1000000+SUM(X57,AP57)*10000+SUM(R57,AJ57)*100+SUM(L57,AD57)+0.002,1,0)=0,"E",IF(IF(AR57*1000000+SUM(T57,AL57)*10000+SUM(N57,AF57)*100+SUM(H57,Z57)+0.006&gt;AW57*1000000+SUM(Y57,AQ57)*10000+SUM(S57,AK57)*100+SUM(M57,AE57)+0.001,1,0)+IF(AS57*1000000+SUM(U57,AM57)*10000+SUM(O57,AG57)*100+SUM(I57,AA57)+0.005&gt;AW57*1000000+SUM(Y57,AQ57)*10000+SUM(S57,AK57)*100+SUM(M57,AE57)+0.001,1,0)+IF(AT57*1000000+SUM(V57,AN57)*10000+SUM(P57,AH57)*100+SUM(J57,AB57)+0.004&gt;AW57*1000000+SUM(Y57,AQ57)*10000+SUM(S57,AK57)*100+SUM(M57,AE57)+0.001,1,0)+IF(AU57*1000000+SUM(W57,AO57)*10000+SUM(Q57,AI57)*100+SUM(K57,AC57)+0.003&gt;AW57*1000000+SUM(Y57,AQ57)*10000+SUM(S57,AK57)*100+SUM(M57,AE57)+0.001,1,0)+IF(AV57*1000000+SUM(X57,AP57)*10000+SUM(R57,AJ57)*100+SUM(L57,AD57)+0.002&gt;AW57*1000000+SUM(Y57,AQ57)*10000+SUM(S57,AK57)*100+SUM(M57,AE57)+0.001,1,0)=0,"C",""))))))&amp;IF(IF(AS57*1000000+SUM(U57,AM57)*10000+SUM(O57,AG57)*100+SUM(I57,AA57)+0.005&gt;AR57*1000000+SUM(T57,AL57)*10000+SUM(N57,AF57)*100+SUM(H57,Z57)+0.006,1,0)+IF(AT57*1000000+SUM(V57,AN57)*10000+SUM(P57,AH57)*100+SUM(J57,AB57)+0.004&gt;AR57*1000000+SUM(T57,AL57)*10000+SUM(N57,AF57)*100+SUM(H57,Z57)+0.006,1,0)+IF(AU57*1000000+SUM(W57,AO57)*10000+SUM(Q57,AI57)*100+SUM(K57,AC57)+0.003&gt;AR57*1000000+SUM(T57,AL57)*10000+SUM(N57,AF57)*100+SUM(H57,Z57)+0.006,1,0)+IF(AV57*1000000+SUM(X57,AP57)*10000+SUM(R57,AJ57)*100+SUM(L57,AD57)+0.002&gt;AR57*1000000+SUM(T57,AL57)*10000+SUM(N57,AF57)*100+SUM(H57,Z57)+0.006,1,0)+IF(AW57*1000000+SUM(Y57,AQ57)*10000+SUM(S57,AK57)*100+SUM(M57,AE57)+0.001&gt;AR57*1000000+SUM(T57,AL57)*10000+SUM(N57,AF57)*100+SUM(H57,Z57)+0.006,1,0)=1,"R",IF(IF(AR57*1000000+SUM(T57,AL57)*10000+SUM(N57,AF57)*100+SUM(H57,Z57)+0.006&gt;AS57*1000000+SUM(U57,AM57)*10000+SUM(O57,AG57)*100+SUM(I57,AA57)+0.005,1,0)+IF(AT57*1000000+SUM(V57,AN57)*10000+SUM(P57,AH57)*100+SUM(J57,AB57)+0.004&gt;AS57*1000000+SUM(U57,AM57)*10000+SUM(O57,AG57)*100+SUM(I57,AA57)+0.005,1,0)+IF(AU57*1000000+SUM(W57,AO57)*10000+SUM(Q57,AI57)*100+SUM(K57,AC57)+0.003&gt;AS57*1000000+SUM(U57,AM57)*10000+SUM(O57,AG57)*100+SUM(I57,AA57)+0.005,1,0)+IF(AV57*1000000+SUM(X57,AP57)*10000+SUM(R57,AJ57)*100+SUM(L57,AD57)+0.002&gt;AS57*1000000+SUM(U57,AM57)*10000+SUM(O57,AG57)*100+SUM(I57,AA57)+0.005,1,0)+IF(AW57*1000000+SUM(Y57,AQ57)*10000+SUM(S57,AK57)*100+SUM(M57,AE57)+0.001&gt;AS57*1000000+SUM(U57,AM57)*10000+SUM(O57,AG57)*100+SUM(I57,AA57)+0.005,1,0)=1,"I",IF(IF(AR57*1000000+SUM(T57,AL57)*10000+SUM(N57,AF57)*100+SUM(H57,Z57)+0.006&gt;AT57*1000000+SUM(V57,AN57)*10000+SUM(P57,AH57)*100+SUM(J57,AB57)+0.004,1,0)+IF(AS57*1000000+SUM(U57,AM57)*10000+SUM(O57,AG57)*100+SUM(I57,AA57)+0.005&gt;AT57*1000000+SUM(V57,AN57)*10000+SUM(P57,AH57)*100+SUM(J57,AB57)+0.004,1,0)+IF(AU57*1000000+SUM(W57,AO57)*10000+SUM(Q57,AI57)*100+SUM(K57,AC57)+0.003&gt;AT57*1000000+SUM(V57,AN57)*10000+SUM(P57,AH57)*100+SUM(J57,AB57)+0.004,1,0)+IF(AV57*1000000+SUM(X57,AP57)*10000+SUM(R57,AJ57)*100+SUM(L57,AD57)+0.002&gt;AT57*1000000+SUM(V57,AN57)*10000+SUM(P57,AH57)*100+SUM(J57,AB57)+0.004,1,0)+IF(AW57*1000000+SUM(Y57,AQ57)*10000+SUM(S57,AK57)*100+SUM(M57,AE57)+0.001&gt;AT57*1000000+SUM(V57,AN57)*10000+SUM(P57,AH57)*100+SUM(J57,AB57)+0.004,1,0)=1,"A",IF(IF(AR57*1000000+SUM(T57,AL57)*10000+SUM(N57,AF57)*100+SUM(H57,Z57)+0.006&gt;AU57*1000000+SUM(W57,AO57)*10000+SUM(Q57,AI57)*100+SUM(K57,AC57)+0.003,1,0)+IF(AS57*1000000+SUM(U57,AM57)*10000+SUM(O57,AG57)*100+SUM(I57,AA57)+0.005&gt;AU57*1000000+SUM(W57,AO57)*10000+SUM(Q57,AI57)*100+SUM(K57,AC57)+0.003,1,0)+IF(AT57*1000000+SUM(V57,AN57)*10000+SUM(P57,AH57)*100+SUM(J57,AB57)+0.004&gt;AU57*1000000+SUM(W57,AO57)*10000+SUM(Q57,AI57)*100+SUM(K57,AC57)+0.003,1,0)+IF(AV57*1000000+SUM(X57,AP57)*10000+SUM(R57,AJ57)*100+SUM(L57,AD57)+0.002&gt;AU57*1000000+SUM(W57,AO57)*10000+SUM(Q57,AI57)*100+SUM(K57,AC57)+0.003,1,0)+IF(AW57*1000000+SUM(Y57,AQ57)*10000+SUM(S57,AK57)*100+SUM(M57,AE57)+0.001&gt;AU57*1000000+SUM(W57,AO57)*10000+SUM(Q57,AI57)*100+SUM(K57,AC57)+0.003,1,0)=1,"S",IF(IF(AR57*1000000+SUM(T57,AL57)*10000+SUM(N57,AF57)*100+SUM(H57,Z57)+0.006&gt;AV57*1000000+SUM(X57,AP57)*10000+SUM(R57,AJ57)*100+SUM(L57,AD57)+0.002,1,0)+IF(AS57*1000000+SUM(U57,AM57)*10000+SUM(O57,AG57)*100+SUM(I57,AA57)+0.005&gt;AV57*1000000+SUM(X57,AP57)*10000+SUM(R57,AJ57)*100+SUM(L57,AD57)+0.002,1,0)+IF(AT57*1000000+SUM(V57,AN57)*10000+SUM(P57,AH57)*100+SUM(J57,AB57)+0.004&gt;AV57*1000000+SUM(X57,AP57)*10000+SUM(R57,AJ57)*100+SUM(L57,AD57)+0.002,1,0)+IF(AU57*1000000+SUM(W57,AO57)*10000+SUM(Q57,AI57)*100+SUM(K57,AC57)+0.003&gt;AV57*1000000+SUM(X57,AP57)*10000+SUM(R57,AJ57)*100+SUM(L57,AD57)+0.002,1,0)+IF(AW57*1000000+SUM(Y57,AQ57)*10000+SUM(S57,AK57)*100+SUM(M57,AE57)+0.001&gt;AV57*1000000+SUM(X57,AP57)*10000+SUM(R57,AJ57)*100+SUM(L57,AD57)+0.002,1,0)=1,"E",IF(IF(AR57*1000000+SUM(T57,AL57)*10000+SUM(N57,AF57)*100+SUM(H57,Z57)+0.006&gt;AW57*1000000+SUM(Y57,AQ57)*10000+SUM(S57,AK57)*100+SUM(M57,AE57)+0.001,1,0)+IF(AS57*1000000+SUM(U57,AM57)*10000+SUM(O57,AG57)*100+SUM(I57,AA57)+0.005&gt;AW57*1000000+SUM(Y57,AQ57)*10000+SUM(S57,AK57)*100+SUM(M57,AE57)+0.001,1,0)+IF(AT57*1000000+SUM(V57,AN57)*10000+SUM(P57,AH57)*100+SUM(J57,AB57)+0.004&gt;AW57*1000000+SUM(Y57,AQ57)*10000+SUM(S57,AK57)*100+SUM(M57,AE57)+0.001,1,0)+IF(AU57*1000000+SUM(W57,AO57)*10000+SUM(Q57,AI57)*100+SUM(K57,AC57)+0.003&gt;AW57*1000000+SUM(Y57,AQ57)*10000+SUM(S57,AK57)*100+SUM(M57,AE57)+0.001,1,0)+IF(AV57*1000000+SUM(X57,AP57)*10000+SUM(R57,AJ57)*100+SUM(L57,AD57)+0.002&gt;AW57*1000000+SUM(Y57,AQ57)*10000+SUM(S57,AK57)*100+SUM(M57,AE57)+0.001,1,0)=1,"C",""))))))&amp;IF(IF(AS57*1000000+SUM(U57,AM57)*10000+SUM(O57,AG57)*100+SUM(I57,AA57)+0.005&gt;AR57*1000000+SUM(T57,AL57)*10000+SUM(N57,AF57)*100+SUM(H57,Z57)+0.006,1,0)+IF(AT57*1000000+SUM(V57,AN57)*10000+SUM(P57,AH57)*100+SUM(J57,AB57)+0.004&gt;AR57*1000000+SUM(T57,AL57)*10000+SUM(N57,AF57)*100+SUM(H57,Z57)+0.006,1,0)+IF(AU57*1000000+SUM(W57,AO57)*10000+SUM(Q57,AI57)*100+SUM(K57,AC57)+0.003&gt;AR57*1000000+SUM(T57,AL57)*10000+SUM(N57,AF57)*100+SUM(H57,Z57)+0.006,1,0)+IF(AV57*1000000+SUM(X57,AP57)*10000+SUM(R57,AJ57)*100+SUM(L57,AD57)+0.002&gt;AR57*1000000+SUM(T57,AL57)*10000+SUM(N57,AF57)*100+SUM(H57,Z57)+0.006,1,0)+IF(AW57*1000000+SUM(Y57,AQ57)*10000+SUM(S57,AK57)*100+SUM(M57,AE57)+0.001&gt;AR57*1000000+SUM(T57,AL57)*10000+SUM(N57,AF57)*100+SUM(H57,Z57)+0.006,1,0)=2,"R",IF(IF(AR57*1000000+SUM(T57,AL57)*10000+SUM(N57,AF57)*100+SUM(H57,Z57)+0.006&gt;AS57*1000000+SUM(U57,AM57)*10000+SUM(O57,AG57)*100+SUM(I57,AA57)+0.005,1,0)+IF(AT57*1000000+SUM(V57,AN57)*10000+SUM(P57,AH57)*100+SUM(J57,AB57)+0.004&gt;AS57*1000000+SUM(U57,AM57)*10000+SUM(O57,AG57)*100+SUM(I57,AA57)+0.005,1,0)+IF(AU57*1000000+SUM(W57,AO57)*10000+SUM(Q57,AI57)*100+SUM(K57,AC57)+0.003&gt;AS57*1000000+SUM(U57,AM57)*10000+SUM(O57,AG57)*100+SUM(I57,AA57)+0.005,1,0)+IF(AV57*1000000+SUM(X57,AP57)*10000+SUM(R57,AJ57)*100+SUM(L57,AD57)+0.002&gt;AS57*1000000+SUM(U57,AM57)*10000+SUM(O57,AG57)*100+SUM(I57,AA57)+0.005,1,0)+IF(AW57*1000000+SUM(Y57,AQ57)*10000+SUM(S57,AK57)*100+SUM(M57,AE57)+0.001&gt;AS57*1000000+SUM(U57,AM57)*10000+SUM(O57,AG57)*100+SUM(I57,AA57)+0.005,1,0)=2,"I",IF(IF(AR57*1000000+SUM(T57,AL57)*10000+SUM(N57,AF57)*100+SUM(H57,Z57)+0.006&gt;AT57*1000000+SUM(V57,AN57)*10000+SUM(P57,AH57)*100+SUM(J57,AB57)+0.004,1,0)+IF(AS57*1000000+SUM(U57,AM57)*10000+SUM(O57,AG57)*100+SUM(I57,AA57)+0.005&gt;AT57*1000000+SUM(V57,AN57)*10000+SUM(P57,AH57)*100+SUM(J57,AB57)+0.004,1,0)+IF(AU57*1000000+SUM(W57,AO57)*10000+SUM(Q57,AI57)*100+SUM(K57,AC57)+0.003&gt;AT57*1000000+SUM(V57,AN57)*10000+SUM(P57,AH57)*100+SUM(J57,AB57)+0.004,1,0)+IF(AV57*1000000+SUM(X57,AP57)*10000+SUM(R57,AJ57)*100+SUM(L57,AD57)+0.002&gt;AT57*1000000+SUM(V57,AN57)*10000+SUM(P57,AH57)*100+SUM(J57,AB57)+0.004,1,0)+IF(AW57*1000000+SUM(Y57,AQ57)*10000+SUM(S57,AK57)*100+SUM(M57,AE57)+0.001&gt;AT57*1000000+SUM(V57,AN57)*10000+SUM(P57,AH57)*100+SUM(J57,AB57)+0.004,1,0)=2,"A",IF(IF(AR57*1000000+SUM(T57,AL57)*10000+SUM(N57,AF57)*100+SUM(H57,Z57)+0.006&gt;AU57*1000000+SUM(W57,AO57)*10000+SUM(Q57,AI57)*100+SUM(K57,AC57)+0.003,1,0)+IF(AS57*1000000+SUM(U57,AM57)*10000+SUM(O57,AG57)*100+SUM(I57,AA57)+0.005&gt;AU57*1000000+SUM(W57,AO57)*10000+SUM(Q57,AI57)*100+SUM(K57,AC57)+0.003,1,0)+IF(AT57*1000000+SUM(V57,AN57)*10000+SUM(P57,AH57)*100+SUM(J57,AB57)+0.004&gt;AU57*1000000+SUM(W57,AO57)*10000+SUM(Q57,AI57)*100+SUM(K57,AC57)+0.003,1,0)+IF(AV57*1000000+SUM(X57,AP57)*10000+SUM(R57,AJ57)*100+SUM(L57,AD57)+0.002&gt;AU57*1000000+SUM(W57,AO57)*10000+SUM(Q57,AI57)*100+SUM(K57,AC57)+0.003,1,0)+IF(AW57*1000000+SUM(Y57,AQ57)*10000+SUM(S57,AK57)*100+SUM(M57,AE57)+0.001&gt;AU57*1000000+SUM(W57,AO57)*10000+SUM(Q57,AI57)*100+SUM(K57,AC57)+0.003,1,0)=2,"S",IF(IF(AR57*1000000+SUM(T57,AL57)*10000+SUM(N57,AF57)*100+SUM(H57,Z57)+0.006&gt;AV57*1000000+SUM(X57,AP57)*10000+SUM(R57,AJ57)*100+SUM(L57,AD57)+0.002,1,0)+IF(AS57*1000000+SUM(U57,AM57)*10000+SUM(O57,AG57)*100+SUM(I57,AA57)+0.005&gt;AV57*1000000+SUM(X57,AP57)*10000+SUM(R57,AJ57)*100+SUM(L57,AD57)+0.002,1,0)+IF(AT57*1000000+SUM(V57,AN57)*10000+SUM(P57,AH57)*100+SUM(J57,AB57)+0.004&gt;AV57*1000000+SUM(X57,AP57)*10000+SUM(R57,AJ57)*100+SUM(L57,AD57)+0.002,1,0)+IF(AU57*1000000+SUM(W57,AO57)*10000+SUM(Q57,AI57)*100+SUM(K57,AC57)+0.003&gt;AV57*1000000+SUM(X57,AP57)*10000+SUM(R57,AJ57)*100+SUM(L57,AD57)+0.002,1,0)+IF(AW57*1000000+SUM(Y57,AQ57)*10000+SUM(S57,AK57)*100+SUM(M57,AE57)+0.001&gt;AV57*1000000+SUM(X57,AP57)*10000+SUM(R57,AJ57)*100+SUM(L57,AD57)+0.002,1,0)=2,"E",IF(IF(AR57*1000000+SUM(T57,AL57)*10000+SUM(N57,AF57)*100+SUM(H57,Z57)+0.006&gt;AW57*1000000+SUM(Y57,AQ57)*10000+SUM(S57,AK57)*100+SUM(M57,AE57)+0.001,1,0)+IF(AS57*1000000+SUM(U57,AM57)*10000+SUM(O57,AG57)*100+SUM(I57,AA57)+0.005&gt;AW57*1000000+SUM(Y57,AQ57)*10000+SUM(S57,AK57)*100+SUM(M57,AE57)+0.001,1,0)+IF(AT57*1000000+SUM(V57,AN57)*10000+SUM(P57,AH57)*100+SUM(J57,AB57)+0.004&gt;AW57*1000000+SUM(Y57,AQ57)*10000+SUM(S57,AK57)*100+SUM(M57,AE57)+0.001,1,0)+IF(AU57*1000000+SUM(W57,AO57)*10000+SUM(Q57,AI57)*100+SUM(K57,AC57)+0.003&gt;AW57*1000000+SUM(Y57,AQ57)*10000+SUM(S57,AK57)*100+SUM(M57,AE57)+0.001,1,0)+IF(AV57*1000000+SUM(X57,AP57)*10000+SUM(R57,AJ57)*100+SUM(L57,AD57)+0.002&gt;AW57*1000000+SUM(Y57,AQ57)*10000+SUM(S57,AK57)*100+SUM(M57,AE57)+0.001,1,0)=2,"C","")))))))</x:f>
      </x:c>
      <x:c r="AY57" s="27" t="str">
        <x:f>IF(C57="","",IF(LEFT(AX57,1)="R","นักปฏิบัติ",IF(LEFT(AX57,1)="I","นักคิดวิเคราะห์",IF(LEFT(AX57,1)="A","นักสร้างสรรค์",IF(LEFT(AX57,1)="S","ผู้เข้าใจผู้คน",IF(LEFT(AX57,1)="E","ผู้นำการเปลี่ยนแปลง","ผู้จัดระบบ"))))))</x:f>
      </x:c>
    </x:row>
    <x:row r="58">
      <x:c r="A58" s="27"/>
      <x:c r="B58" s="28"/>
      <x:c r="C58" s="27"/>
      <x:c r="D58" s="27"/>
      <x:c r="E58" s="27"/>
      <x:c r="F58" s="27"/>
      <x:c r="G58" s="27"/>
      <x:c r="H58" s="27"/>
      <x:c r="I58" s="27"/>
      <x:c r="J58" s="27"/>
      <x:c r="K58" s="27"/>
      <x:c r="L58" s="27"/>
      <x:c r="M58" s="27"/>
      <x:c r="N58" s="27"/>
      <x:c r="O58" s="27"/>
      <x:c r="P58" s="27"/>
      <x:c r="Q58" s="27"/>
      <x:c r="R58" s="27"/>
      <x:c r="S58" s="27"/>
      <x:c r="T58" s="27"/>
      <x:c r="U58" s="27"/>
      <x:c r="V58" s="27"/>
      <x:c r="W58" s="27"/>
      <x:c r="X58" s="27"/>
      <x:c r="Y58" s="27"/>
      <x:c r="Z58" s="27"/>
      <x:c r="AA58" s="27"/>
      <x:c r="AB58" s="27"/>
      <x:c r="AC58" s="27"/>
      <x:c r="AD58" s="27"/>
      <x:c r="AE58" s="27"/>
      <x:c r="AF58" s="27"/>
      <x:c r="AG58" s="27"/>
      <x:c r="AH58" s="27"/>
      <x:c r="AI58" s="27"/>
      <x:c r="AJ58" s="27"/>
      <x:c r="AK58" s="27"/>
      <x:c r="AL58" s="27"/>
      <x:c r="AM58" s="27"/>
      <x:c r="AN58" s="27"/>
      <x:c r="AO58" s="27"/>
      <x:c r="AP58" s="27"/>
      <x:c r="AQ58" s="27"/>
      <x:c r="AR58" s="27" t="str">
        <x:f>IF(C58="","",SUM(H58,N58,T58,Z58,AF58,AL58))</x:f>
      </x:c>
      <x:c r="AS58" s="27" t="str">
        <x:f>IF(C58="","",SUM(I58,O58,U58,AA58,AG58,AM58))</x:f>
      </x:c>
      <x:c r="AT58" s="27" t="str">
        <x:f>IF(C58="","",SUM(J58,P58,V58,AB58,AH58,AN58))</x:f>
      </x:c>
      <x:c r="AU58" s="27" t="str">
        <x:f>IF(C58="","",SUM(K58,Q58,W58,AC58,AI58,AO58))</x:f>
      </x:c>
      <x:c r="AV58" s="27" t="str">
        <x:f>IF(C58="","",SUM(L58,R58,X58,AD58,AJ58,AP58))</x:f>
      </x:c>
      <x:c r="AW58" s="27" t="str">
        <x:f>IF(C58="","",SUM(M58,S58,Y58,AE58,AK58,AQ58))</x:f>
      </x:c>
      <x:c r="AX58" s="27" t="str">
        <x:f>IF(C58="","",IF(IF(AS58*1000000+SUM(U58,AM58)*10000+SUM(O58,AG58)*100+SUM(I58,AA58)+0.005&gt;AR58*1000000+SUM(T58,AL58)*10000+SUM(N58,AF58)*100+SUM(H58,Z58)+0.006,1,0)+IF(AT58*1000000+SUM(V58,AN58)*10000+SUM(P58,AH58)*100+SUM(J58,AB58)+0.004&gt;AR58*1000000+SUM(T58,AL58)*10000+SUM(N58,AF58)*100+SUM(H58,Z58)+0.006,1,0)+IF(AU58*1000000+SUM(W58,AO58)*10000+SUM(Q58,AI58)*100+SUM(K58,AC58)+0.003&gt;AR58*1000000+SUM(T58,AL58)*10000+SUM(N58,AF58)*100+SUM(H58,Z58)+0.006,1,0)+IF(AV58*1000000+SUM(X58,AP58)*10000+SUM(R58,AJ58)*100+SUM(L58,AD58)+0.002&gt;AR58*1000000+SUM(T58,AL58)*10000+SUM(N58,AF58)*100+SUM(H58,Z58)+0.006,1,0)+IF(AW58*1000000+SUM(Y58,AQ58)*10000+SUM(S58,AK58)*100+SUM(M58,AE58)+0.001&gt;AR58*1000000+SUM(T58,AL58)*10000+SUM(N58,AF58)*100+SUM(H58,Z58)+0.006,1,0)=0,"R",IF(IF(AR58*1000000+SUM(T58,AL58)*10000+SUM(N58,AF58)*100+SUM(H58,Z58)+0.006&gt;AS58*1000000+SUM(U58,AM58)*10000+SUM(O58,AG58)*100+SUM(I58,AA58)+0.005,1,0)+IF(AT58*1000000+SUM(V58,AN58)*10000+SUM(P58,AH58)*100+SUM(J58,AB58)+0.004&gt;AS58*1000000+SUM(U58,AM58)*10000+SUM(O58,AG58)*100+SUM(I58,AA58)+0.005,1,0)+IF(AU58*1000000+SUM(W58,AO58)*10000+SUM(Q58,AI58)*100+SUM(K58,AC58)+0.003&gt;AS58*1000000+SUM(U58,AM58)*10000+SUM(O58,AG58)*100+SUM(I58,AA58)+0.005,1,0)+IF(AV58*1000000+SUM(X58,AP58)*10000+SUM(R58,AJ58)*100+SUM(L58,AD58)+0.002&gt;AS58*1000000+SUM(U58,AM58)*10000+SUM(O58,AG58)*100+SUM(I58,AA58)+0.005,1,0)+IF(AW58*1000000+SUM(Y58,AQ58)*10000+SUM(S58,AK58)*100+SUM(M58,AE58)+0.001&gt;AS58*1000000+SUM(U58,AM58)*10000+SUM(O58,AG58)*100+SUM(I58,AA58)+0.005,1,0)=0,"I",IF(IF(AR58*1000000+SUM(T58,AL58)*10000+SUM(N58,AF58)*100+SUM(H58,Z58)+0.006&gt;AT58*1000000+SUM(V58,AN58)*10000+SUM(P58,AH58)*100+SUM(J58,AB58)+0.004,1,0)+IF(AS58*1000000+SUM(U58,AM58)*10000+SUM(O58,AG58)*100+SUM(I58,AA58)+0.005&gt;AT58*1000000+SUM(V58,AN58)*10000+SUM(P58,AH58)*100+SUM(J58,AB58)+0.004,1,0)+IF(AU58*1000000+SUM(W58,AO58)*10000+SUM(Q58,AI58)*100+SUM(K58,AC58)+0.003&gt;AT58*1000000+SUM(V58,AN58)*10000+SUM(P58,AH58)*100+SUM(J58,AB58)+0.004,1,0)+IF(AV58*1000000+SUM(X58,AP58)*10000+SUM(R58,AJ58)*100+SUM(L58,AD58)+0.002&gt;AT58*1000000+SUM(V58,AN58)*10000+SUM(P58,AH58)*100+SUM(J58,AB58)+0.004,1,0)+IF(AW58*1000000+SUM(Y58,AQ58)*10000+SUM(S58,AK58)*100+SUM(M58,AE58)+0.001&gt;AT58*1000000+SUM(V58,AN58)*10000+SUM(P58,AH58)*100+SUM(J58,AB58)+0.004,1,0)=0,"A",IF(IF(AR58*1000000+SUM(T58,AL58)*10000+SUM(N58,AF58)*100+SUM(H58,Z58)+0.006&gt;AU58*1000000+SUM(W58,AO58)*10000+SUM(Q58,AI58)*100+SUM(K58,AC58)+0.003,1,0)+IF(AS58*1000000+SUM(U58,AM58)*10000+SUM(O58,AG58)*100+SUM(I58,AA58)+0.005&gt;AU58*1000000+SUM(W58,AO58)*10000+SUM(Q58,AI58)*100+SUM(K58,AC58)+0.003,1,0)+IF(AT58*1000000+SUM(V58,AN58)*10000+SUM(P58,AH58)*100+SUM(J58,AB58)+0.004&gt;AU58*1000000+SUM(W58,AO58)*10000+SUM(Q58,AI58)*100+SUM(K58,AC58)+0.003,1,0)+IF(AV58*1000000+SUM(X58,AP58)*10000+SUM(R58,AJ58)*100+SUM(L58,AD58)+0.002&gt;AU58*1000000+SUM(W58,AO58)*10000+SUM(Q58,AI58)*100+SUM(K58,AC58)+0.003,1,0)+IF(AW58*1000000+SUM(Y58,AQ58)*10000+SUM(S58,AK58)*100+SUM(M58,AE58)+0.001&gt;AU58*1000000+SUM(W58,AO58)*10000+SUM(Q58,AI58)*100+SUM(K58,AC58)+0.003,1,0)=0,"S",IF(IF(AR58*1000000+SUM(T58,AL58)*10000+SUM(N58,AF58)*100+SUM(H58,Z58)+0.006&gt;AV58*1000000+SUM(X58,AP58)*10000+SUM(R58,AJ58)*100+SUM(L58,AD58)+0.002,1,0)+IF(AS58*1000000+SUM(U58,AM58)*10000+SUM(O58,AG58)*100+SUM(I58,AA58)+0.005&gt;AV58*1000000+SUM(X58,AP58)*10000+SUM(R58,AJ58)*100+SUM(L58,AD58)+0.002,1,0)+IF(AT58*1000000+SUM(V58,AN58)*10000+SUM(P58,AH58)*100+SUM(J58,AB58)+0.004&gt;AV58*1000000+SUM(X58,AP58)*10000+SUM(R58,AJ58)*100+SUM(L58,AD58)+0.002,1,0)+IF(AU58*1000000+SUM(W58,AO58)*10000+SUM(Q58,AI58)*100+SUM(K58,AC58)+0.003&gt;AV58*1000000+SUM(X58,AP58)*10000+SUM(R58,AJ58)*100+SUM(L58,AD58)+0.002,1,0)+IF(AW58*1000000+SUM(Y58,AQ58)*10000+SUM(S58,AK58)*100+SUM(M58,AE58)+0.001&gt;AV58*1000000+SUM(X58,AP58)*10000+SUM(R58,AJ58)*100+SUM(L58,AD58)+0.002,1,0)=0,"E",IF(IF(AR58*1000000+SUM(T58,AL58)*10000+SUM(N58,AF58)*100+SUM(H58,Z58)+0.006&gt;AW58*1000000+SUM(Y58,AQ58)*10000+SUM(S58,AK58)*100+SUM(M58,AE58)+0.001,1,0)+IF(AS58*1000000+SUM(U58,AM58)*10000+SUM(O58,AG58)*100+SUM(I58,AA58)+0.005&gt;AW58*1000000+SUM(Y58,AQ58)*10000+SUM(S58,AK58)*100+SUM(M58,AE58)+0.001,1,0)+IF(AT58*1000000+SUM(V58,AN58)*10000+SUM(P58,AH58)*100+SUM(J58,AB58)+0.004&gt;AW58*1000000+SUM(Y58,AQ58)*10000+SUM(S58,AK58)*100+SUM(M58,AE58)+0.001,1,0)+IF(AU58*1000000+SUM(W58,AO58)*10000+SUM(Q58,AI58)*100+SUM(K58,AC58)+0.003&gt;AW58*1000000+SUM(Y58,AQ58)*10000+SUM(S58,AK58)*100+SUM(M58,AE58)+0.001,1,0)+IF(AV58*1000000+SUM(X58,AP58)*10000+SUM(R58,AJ58)*100+SUM(L58,AD58)+0.002&gt;AW58*1000000+SUM(Y58,AQ58)*10000+SUM(S58,AK58)*100+SUM(M58,AE58)+0.001,1,0)=0,"C",""))))))&amp;IF(IF(AS58*1000000+SUM(U58,AM58)*10000+SUM(O58,AG58)*100+SUM(I58,AA58)+0.005&gt;AR58*1000000+SUM(T58,AL58)*10000+SUM(N58,AF58)*100+SUM(H58,Z58)+0.006,1,0)+IF(AT58*1000000+SUM(V58,AN58)*10000+SUM(P58,AH58)*100+SUM(J58,AB58)+0.004&gt;AR58*1000000+SUM(T58,AL58)*10000+SUM(N58,AF58)*100+SUM(H58,Z58)+0.006,1,0)+IF(AU58*1000000+SUM(W58,AO58)*10000+SUM(Q58,AI58)*100+SUM(K58,AC58)+0.003&gt;AR58*1000000+SUM(T58,AL58)*10000+SUM(N58,AF58)*100+SUM(H58,Z58)+0.006,1,0)+IF(AV58*1000000+SUM(X58,AP58)*10000+SUM(R58,AJ58)*100+SUM(L58,AD58)+0.002&gt;AR58*1000000+SUM(T58,AL58)*10000+SUM(N58,AF58)*100+SUM(H58,Z58)+0.006,1,0)+IF(AW58*1000000+SUM(Y58,AQ58)*10000+SUM(S58,AK58)*100+SUM(M58,AE58)+0.001&gt;AR58*1000000+SUM(T58,AL58)*10000+SUM(N58,AF58)*100+SUM(H58,Z58)+0.006,1,0)=1,"R",IF(IF(AR58*1000000+SUM(T58,AL58)*10000+SUM(N58,AF58)*100+SUM(H58,Z58)+0.006&gt;AS58*1000000+SUM(U58,AM58)*10000+SUM(O58,AG58)*100+SUM(I58,AA58)+0.005,1,0)+IF(AT58*1000000+SUM(V58,AN58)*10000+SUM(P58,AH58)*100+SUM(J58,AB58)+0.004&gt;AS58*1000000+SUM(U58,AM58)*10000+SUM(O58,AG58)*100+SUM(I58,AA58)+0.005,1,0)+IF(AU58*1000000+SUM(W58,AO58)*10000+SUM(Q58,AI58)*100+SUM(K58,AC58)+0.003&gt;AS58*1000000+SUM(U58,AM58)*10000+SUM(O58,AG58)*100+SUM(I58,AA58)+0.005,1,0)+IF(AV58*1000000+SUM(X58,AP58)*10000+SUM(R58,AJ58)*100+SUM(L58,AD58)+0.002&gt;AS58*1000000+SUM(U58,AM58)*10000+SUM(O58,AG58)*100+SUM(I58,AA58)+0.005,1,0)+IF(AW58*1000000+SUM(Y58,AQ58)*10000+SUM(S58,AK58)*100+SUM(M58,AE58)+0.001&gt;AS58*1000000+SUM(U58,AM58)*10000+SUM(O58,AG58)*100+SUM(I58,AA58)+0.005,1,0)=1,"I",IF(IF(AR58*1000000+SUM(T58,AL58)*10000+SUM(N58,AF58)*100+SUM(H58,Z58)+0.006&gt;AT58*1000000+SUM(V58,AN58)*10000+SUM(P58,AH58)*100+SUM(J58,AB58)+0.004,1,0)+IF(AS58*1000000+SUM(U58,AM58)*10000+SUM(O58,AG58)*100+SUM(I58,AA58)+0.005&gt;AT58*1000000+SUM(V58,AN58)*10000+SUM(P58,AH58)*100+SUM(J58,AB58)+0.004,1,0)+IF(AU58*1000000+SUM(W58,AO58)*10000+SUM(Q58,AI58)*100+SUM(K58,AC58)+0.003&gt;AT58*1000000+SUM(V58,AN58)*10000+SUM(P58,AH58)*100+SUM(J58,AB58)+0.004,1,0)+IF(AV58*1000000+SUM(X58,AP58)*10000+SUM(R58,AJ58)*100+SUM(L58,AD58)+0.002&gt;AT58*1000000+SUM(V58,AN58)*10000+SUM(P58,AH58)*100+SUM(J58,AB58)+0.004,1,0)+IF(AW58*1000000+SUM(Y58,AQ58)*10000+SUM(S58,AK58)*100+SUM(M58,AE58)+0.001&gt;AT58*1000000+SUM(V58,AN58)*10000+SUM(P58,AH58)*100+SUM(J58,AB58)+0.004,1,0)=1,"A",IF(IF(AR58*1000000+SUM(T58,AL58)*10000+SUM(N58,AF58)*100+SUM(H58,Z58)+0.006&gt;AU58*1000000+SUM(W58,AO58)*10000+SUM(Q58,AI58)*100+SUM(K58,AC58)+0.003,1,0)+IF(AS58*1000000+SUM(U58,AM58)*10000+SUM(O58,AG58)*100+SUM(I58,AA58)+0.005&gt;AU58*1000000+SUM(W58,AO58)*10000+SUM(Q58,AI58)*100+SUM(K58,AC58)+0.003,1,0)+IF(AT58*1000000+SUM(V58,AN58)*10000+SUM(P58,AH58)*100+SUM(J58,AB58)+0.004&gt;AU58*1000000+SUM(W58,AO58)*10000+SUM(Q58,AI58)*100+SUM(K58,AC58)+0.003,1,0)+IF(AV58*1000000+SUM(X58,AP58)*10000+SUM(R58,AJ58)*100+SUM(L58,AD58)+0.002&gt;AU58*1000000+SUM(W58,AO58)*10000+SUM(Q58,AI58)*100+SUM(K58,AC58)+0.003,1,0)+IF(AW58*1000000+SUM(Y58,AQ58)*10000+SUM(S58,AK58)*100+SUM(M58,AE58)+0.001&gt;AU58*1000000+SUM(W58,AO58)*10000+SUM(Q58,AI58)*100+SUM(K58,AC58)+0.003,1,0)=1,"S",IF(IF(AR58*1000000+SUM(T58,AL58)*10000+SUM(N58,AF58)*100+SUM(H58,Z58)+0.006&gt;AV58*1000000+SUM(X58,AP58)*10000+SUM(R58,AJ58)*100+SUM(L58,AD58)+0.002,1,0)+IF(AS58*1000000+SUM(U58,AM58)*10000+SUM(O58,AG58)*100+SUM(I58,AA58)+0.005&gt;AV58*1000000+SUM(X58,AP58)*10000+SUM(R58,AJ58)*100+SUM(L58,AD58)+0.002,1,0)+IF(AT58*1000000+SUM(V58,AN58)*10000+SUM(P58,AH58)*100+SUM(J58,AB58)+0.004&gt;AV58*1000000+SUM(X58,AP58)*10000+SUM(R58,AJ58)*100+SUM(L58,AD58)+0.002,1,0)+IF(AU58*1000000+SUM(W58,AO58)*10000+SUM(Q58,AI58)*100+SUM(K58,AC58)+0.003&gt;AV58*1000000+SUM(X58,AP58)*10000+SUM(R58,AJ58)*100+SUM(L58,AD58)+0.002,1,0)+IF(AW58*1000000+SUM(Y58,AQ58)*10000+SUM(S58,AK58)*100+SUM(M58,AE58)+0.001&gt;AV58*1000000+SUM(X58,AP58)*10000+SUM(R58,AJ58)*100+SUM(L58,AD58)+0.002,1,0)=1,"E",IF(IF(AR58*1000000+SUM(T58,AL58)*10000+SUM(N58,AF58)*100+SUM(H58,Z58)+0.006&gt;AW58*1000000+SUM(Y58,AQ58)*10000+SUM(S58,AK58)*100+SUM(M58,AE58)+0.001,1,0)+IF(AS58*1000000+SUM(U58,AM58)*10000+SUM(O58,AG58)*100+SUM(I58,AA58)+0.005&gt;AW58*1000000+SUM(Y58,AQ58)*10000+SUM(S58,AK58)*100+SUM(M58,AE58)+0.001,1,0)+IF(AT58*1000000+SUM(V58,AN58)*10000+SUM(P58,AH58)*100+SUM(J58,AB58)+0.004&gt;AW58*1000000+SUM(Y58,AQ58)*10000+SUM(S58,AK58)*100+SUM(M58,AE58)+0.001,1,0)+IF(AU58*1000000+SUM(W58,AO58)*10000+SUM(Q58,AI58)*100+SUM(K58,AC58)+0.003&gt;AW58*1000000+SUM(Y58,AQ58)*10000+SUM(S58,AK58)*100+SUM(M58,AE58)+0.001,1,0)+IF(AV58*1000000+SUM(X58,AP58)*10000+SUM(R58,AJ58)*100+SUM(L58,AD58)+0.002&gt;AW58*1000000+SUM(Y58,AQ58)*10000+SUM(S58,AK58)*100+SUM(M58,AE58)+0.001,1,0)=1,"C",""))))))&amp;IF(IF(AS58*1000000+SUM(U58,AM58)*10000+SUM(O58,AG58)*100+SUM(I58,AA58)+0.005&gt;AR58*1000000+SUM(T58,AL58)*10000+SUM(N58,AF58)*100+SUM(H58,Z58)+0.006,1,0)+IF(AT58*1000000+SUM(V58,AN58)*10000+SUM(P58,AH58)*100+SUM(J58,AB58)+0.004&gt;AR58*1000000+SUM(T58,AL58)*10000+SUM(N58,AF58)*100+SUM(H58,Z58)+0.006,1,0)+IF(AU58*1000000+SUM(W58,AO58)*10000+SUM(Q58,AI58)*100+SUM(K58,AC58)+0.003&gt;AR58*1000000+SUM(T58,AL58)*10000+SUM(N58,AF58)*100+SUM(H58,Z58)+0.006,1,0)+IF(AV58*1000000+SUM(X58,AP58)*10000+SUM(R58,AJ58)*100+SUM(L58,AD58)+0.002&gt;AR58*1000000+SUM(T58,AL58)*10000+SUM(N58,AF58)*100+SUM(H58,Z58)+0.006,1,0)+IF(AW58*1000000+SUM(Y58,AQ58)*10000+SUM(S58,AK58)*100+SUM(M58,AE58)+0.001&gt;AR58*1000000+SUM(T58,AL58)*10000+SUM(N58,AF58)*100+SUM(H58,Z58)+0.006,1,0)=2,"R",IF(IF(AR58*1000000+SUM(T58,AL58)*10000+SUM(N58,AF58)*100+SUM(H58,Z58)+0.006&gt;AS58*1000000+SUM(U58,AM58)*10000+SUM(O58,AG58)*100+SUM(I58,AA58)+0.005,1,0)+IF(AT58*1000000+SUM(V58,AN58)*10000+SUM(P58,AH58)*100+SUM(J58,AB58)+0.004&gt;AS58*1000000+SUM(U58,AM58)*10000+SUM(O58,AG58)*100+SUM(I58,AA58)+0.005,1,0)+IF(AU58*1000000+SUM(W58,AO58)*10000+SUM(Q58,AI58)*100+SUM(K58,AC58)+0.003&gt;AS58*1000000+SUM(U58,AM58)*10000+SUM(O58,AG58)*100+SUM(I58,AA58)+0.005,1,0)+IF(AV58*1000000+SUM(X58,AP58)*10000+SUM(R58,AJ58)*100+SUM(L58,AD58)+0.002&gt;AS58*1000000+SUM(U58,AM58)*10000+SUM(O58,AG58)*100+SUM(I58,AA58)+0.005,1,0)+IF(AW58*1000000+SUM(Y58,AQ58)*10000+SUM(S58,AK58)*100+SUM(M58,AE58)+0.001&gt;AS58*1000000+SUM(U58,AM58)*10000+SUM(O58,AG58)*100+SUM(I58,AA58)+0.005,1,0)=2,"I",IF(IF(AR58*1000000+SUM(T58,AL58)*10000+SUM(N58,AF58)*100+SUM(H58,Z58)+0.006&gt;AT58*1000000+SUM(V58,AN58)*10000+SUM(P58,AH58)*100+SUM(J58,AB58)+0.004,1,0)+IF(AS58*1000000+SUM(U58,AM58)*10000+SUM(O58,AG58)*100+SUM(I58,AA58)+0.005&gt;AT58*1000000+SUM(V58,AN58)*10000+SUM(P58,AH58)*100+SUM(J58,AB58)+0.004,1,0)+IF(AU58*1000000+SUM(W58,AO58)*10000+SUM(Q58,AI58)*100+SUM(K58,AC58)+0.003&gt;AT58*1000000+SUM(V58,AN58)*10000+SUM(P58,AH58)*100+SUM(J58,AB58)+0.004,1,0)+IF(AV58*1000000+SUM(X58,AP58)*10000+SUM(R58,AJ58)*100+SUM(L58,AD58)+0.002&gt;AT58*1000000+SUM(V58,AN58)*10000+SUM(P58,AH58)*100+SUM(J58,AB58)+0.004,1,0)+IF(AW58*1000000+SUM(Y58,AQ58)*10000+SUM(S58,AK58)*100+SUM(M58,AE58)+0.001&gt;AT58*1000000+SUM(V58,AN58)*10000+SUM(P58,AH58)*100+SUM(J58,AB58)+0.004,1,0)=2,"A",IF(IF(AR58*1000000+SUM(T58,AL58)*10000+SUM(N58,AF58)*100+SUM(H58,Z58)+0.006&gt;AU58*1000000+SUM(W58,AO58)*10000+SUM(Q58,AI58)*100+SUM(K58,AC58)+0.003,1,0)+IF(AS58*1000000+SUM(U58,AM58)*10000+SUM(O58,AG58)*100+SUM(I58,AA58)+0.005&gt;AU58*1000000+SUM(W58,AO58)*10000+SUM(Q58,AI58)*100+SUM(K58,AC58)+0.003,1,0)+IF(AT58*1000000+SUM(V58,AN58)*10000+SUM(P58,AH58)*100+SUM(J58,AB58)+0.004&gt;AU58*1000000+SUM(W58,AO58)*10000+SUM(Q58,AI58)*100+SUM(K58,AC58)+0.003,1,0)+IF(AV58*1000000+SUM(X58,AP58)*10000+SUM(R58,AJ58)*100+SUM(L58,AD58)+0.002&gt;AU58*1000000+SUM(W58,AO58)*10000+SUM(Q58,AI58)*100+SUM(K58,AC58)+0.003,1,0)+IF(AW58*1000000+SUM(Y58,AQ58)*10000+SUM(S58,AK58)*100+SUM(M58,AE58)+0.001&gt;AU58*1000000+SUM(W58,AO58)*10000+SUM(Q58,AI58)*100+SUM(K58,AC58)+0.003,1,0)=2,"S",IF(IF(AR58*1000000+SUM(T58,AL58)*10000+SUM(N58,AF58)*100+SUM(H58,Z58)+0.006&gt;AV58*1000000+SUM(X58,AP58)*10000+SUM(R58,AJ58)*100+SUM(L58,AD58)+0.002,1,0)+IF(AS58*1000000+SUM(U58,AM58)*10000+SUM(O58,AG58)*100+SUM(I58,AA58)+0.005&gt;AV58*1000000+SUM(X58,AP58)*10000+SUM(R58,AJ58)*100+SUM(L58,AD58)+0.002,1,0)+IF(AT58*1000000+SUM(V58,AN58)*10000+SUM(P58,AH58)*100+SUM(J58,AB58)+0.004&gt;AV58*1000000+SUM(X58,AP58)*10000+SUM(R58,AJ58)*100+SUM(L58,AD58)+0.002,1,0)+IF(AU58*1000000+SUM(W58,AO58)*10000+SUM(Q58,AI58)*100+SUM(K58,AC58)+0.003&gt;AV58*1000000+SUM(X58,AP58)*10000+SUM(R58,AJ58)*100+SUM(L58,AD58)+0.002,1,0)+IF(AW58*1000000+SUM(Y58,AQ58)*10000+SUM(S58,AK58)*100+SUM(M58,AE58)+0.001&gt;AV58*1000000+SUM(X58,AP58)*10000+SUM(R58,AJ58)*100+SUM(L58,AD58)+0.002,1,0)=2,"E",IF(IF(AR58*1000000+SUM(T58,AL58)*10000+SUM(N58,AF58)*100+SUM(H58,Z58)+0.006&gt;AW58*1000000+SUM(Y58,AQ58)*10000+SUM(S58,AK58)*100+SUM(M58,AE58)+0.001,1,0)+IF(AS58*1000000+SUM(U58,AM58)*10000+SUM(O58,AG58)*100+SUM(I58,AA58)+0.005&gt;AW58*1000000+SUM(Y58,AQ58)*10000+SUM(S58,AK58)*100+SUM(M58,AE58)+0.001,1,0)+IF(AT58*1000000+SUM(V58,AN58)*10000+SUM(P58,AH58)*100+SUM(J58,AB58)+0.004&gt;AW58*1000000+SUM(Y58,AQ58)*10000+SUM(S58,AK58)*100+SUM(M58,AE58)+0.001,1,0)+IF(AU58*1000000+SUM(W58,AO58)*10000+SUM(Q58,AI58)*100+SUM(K58,AC58)+0.003&gt;AW58*1000000+SUM(Y58,AQ58)*10000+SUM(S58,AK58)*100+SUM(M58,AE58)+0.001,1,0)+IF(AV58*1000000+SUM(X58,AP58)*10000+SUM(R58,AJ58)*100+SUM(L58,AD58)+0.002&gt;AW58*1000000+SUM(Y58,AQ58)*10000+SUM(S58,AK58)*100+SUM(M58,AE58)+0.001,1,0)=2,"C","")))))))</x:f>
      </x:c>
      <x:c r="AY58" s="27" t="str">
        <x:f>IF(C58="","",IF(LEFT(AX58,1)="R","นักปฏิบัติ",IF(LEFT(AX58,1)="I","นักคิดวิเคราะห์",IF(LEFT(AX58,1)="A","นักสร้างสรรค์",IF(LEFT(AX58,1)="S","ผู้เข้าใจผู้คน",IF(LEFT(AX58,1)="E","ผู้นำการเปลี่ยนแปลง","ผู้จัดระบบ"))))))</x:f>
      </x:c>
    </x:row>
    <x:row r="59">
      <x:c r="A59" s="27"/>
      <x:c r="B59" s="28"/>
      <x:c r="C59" s="27"/>
      <x:c r="D59" s="27"/>
      <x:c r="E59" s="27"/>
      <x:c r="F59" s="27"/>
      <x:c r="G59" s="27"/>
      <x:c r="H59" s="27"/>
      <x:c r="I59" s="27"/>
      <x:c r="J59" s="27"/>
      <x:c r="K59" s="27"/>
      <x:c r="L59" s="27"/>
      <x:c r="M59" s="27"/>
      <x:c r="N59" s="27"/>
      <x:c r="O59" s="27"/>
      <x:c r="P59" s="27"/>
      <x:c r="Q59" s="27"/>
      <x:c r="R59" s="27"/>
      <x:c r="S59" s="27"/>
      <x:c r="T59" s="27"/>
      <x:c r="U59" s="27"/>
      <x:c r="V59" s="27"/>
      <x:c r="W59" s="27"/>
      <x:c r="X59" s="27"/>
      <x:c r="Y59" s="27"/>
      <x:c r="Z59" s="27"/>
      <x:c r="AA59" s="27"/>
      <x:c r="AB59" s="27"/>
      <x:c r="AC59" s="27"/>
      <x:c r="AD59" s="27"/>
      <x:c r="AE59" s="27"/>
      <x:c r="AF59" s="27"/>
      <x:c r="AG59" s="27"/>
      <x:c r="AH59" s="27"/>
      <x:c r="AI59" s="27"/>
      <x:c r="AJ59" s="27"/>
      <x:c r="AK59" s="27"/>
      <x:c r="AL59" s="27"/>
      <x:c r="AM59" s="27"/>
      <x:c r="AN59" s="27"/>
      <x:c r="AO59" s="27"/>
      <x:c r="AP59" s="27"/>
      <x:c r="AQ59" s="27"/>
      <x:c r="AR59" s="27" t="str">
        <x:f>IF(C59="","",SUM(H59,N59,T59,Z59,AF59,AL59))</x:f>
      </x:c>
      <x:c r="AS59" s="27" t="str">
        <x:f>IF(C59="","",SUM(I59,O59,U59,AA59,AG59,AM59))</x:f>
      </x:c>
      <x:c r="AT59" s="27" t="str">
        <x:f>IF(C59="","",SUM(J59,P59,V59,AB59,AH59,AN59))</x:f>
      </x:c>
      <x:c r="AU59" s="27" t="str">
        <x:f>IF(C59="","",SUM(K59,Q59,W59,AC59,AI59,AO59))</x:f>
      </x:c>
      <x:c r="AV59" s="27" t="str">
        <x:f>IF(C59="","",SUM(L59,R59,X59,AD59,AJ59,AP59))</x:f>
      </x:c>
      <x:c r="AW59" s="27" t="str">
        <x:f>IF(C59="","",SUM(M59,S59,Y59,AE59,AK59,AQ59))</x:f>
      </x:c>
      <x:c r="AX59" s="27" t="str">
        <x:f>IF(C59="","",IF(IF(AS59*1000000+SUM(U59,AM59)*10000+SUM(O59,AG59)*100+SUM(I59,AA59)+0.005&gt;AR59*1000000+SUM(T59,AL59)*10000+SUM(N59,AF59)*100+SUM(H59,Z59)+0.006,1,0)+IF(AT59*1000000+SUM(V59,AN59)*10000+SUM(P59,AH59)*100+SUM(J59,AB59)+0.004&gt;AR59*1000000+SUM(T59,AL59)*10000+SUM(N59,AF59)*100+SUM(H59,Z59)+0.006,1,0)+IF(AU59*1000000+SUM(W59,AO59)*10000+SUM(Q59,AI59)*100+SUM(K59,AC59)+0.003&gt;AR59*1000000+SUM(T59,AL59)*10000+SUM(N59,AF59)*100+SUM(H59,Z59)+0.006,1,0)+IF(AV59*1000000+SUM(X59,AP59)*10000+SUM(R59,AJ59)*100+SUM(L59,AD59)+0.002&gt;AR59*1000000+SUM(T59,AL59)*10000+SUM(N59,AF59)*100+SUM(H59,Z59)+0.006,1,0)+IF(AW59*1000000+SUM(Y59,AQ59)*10000+SUM(S59,AK59)*100+SUM(M59,AE59)+0.001&gt;AR59*1000000+SUM(T59,AL59)*10000+SUM(N59,AF59)*100+SUM(H59,Z59)+0.006,1,0)=0,"R",IF(IF(AR59*1000000+SUM(T59,AL59)*10000+SUM(N59,AF59)*100+SUM(H59,Z59)+0.006&gt;AS59*1000000+SUM(U59,AM59)*10000+SUM(O59,AG59)*100+SUM(I59,AA59)+0.005,1,0)+IF(AT59*1000000+SUM(V59,AN59)*10000+SUM(P59,AH59)*100+SUM(J59,AB59)+0.004&gt;AS59*1000000+SUM(U59,AM59)*10000+SUM(O59,AG59)*100+SUM(I59,AA59)+0.005,1,0)+IF(AU59*1000000+SUM(W59,AO59)*10000+SUM(Q59,AI59)*100+SUM(K59,AC59)+0.003&gt;AS59*1000000+SUM(U59,AM59)*10000+SUM(O59,AG59)*100+SUM(I59,AA59)+0.005,1,0)+IF(AV59*1000000+SUM(X59,AP59)*10000+SUM(R59,AJ59)*100+SUM(L59,AD59)+0.002&gt;AS59*1000000+SUM(U59,AM59)*10000+SUM(O59,AG59)*100+SUM(I59,AA59)+0.005,1,0)+IF(AW59*1000000+SUM(Y59,AQ59)*10000+SUM(S59,AK59)*100+SUM(M59,AE59)+0.001&gt;AS59*1000000+SUM(U59,AM59)*10000+SUM(O59,AG59)*100+SUM(I59,AA59)+0.005,1,0)=0,"I",IF(IF(AR59*1000000+SUM(T59,AL59)*10000+SUM(N59,AF59)*100+SUM(H59,Z59)+0.006&gt;AT59*1000000+SUM(V59,AN59)*10000+SUM(P59,AH59)*100+SUM(J59,AB59)+0.004,1,0)+IF(AS59*1000000+SUM(U59,AM59)*10000+SUM(O59,AG59)*100+SUM(I59,AA59)+0.005&gt;AT59*1000000+SUM(V59,AN59)*10000+SUM(P59,AH59)*100+SUM(J59,AB59)+0.004,1,0)+IF(AU59*1000000+SUM(W59,AO59)*10000+SUM(Q59,AI59)*100+SUM(K59,AC59)+0.003&gt;AT59*1000000+SUM(V59,AN59)*10000+SUM(P59,AH59)*100+SUM(J59,AB59)+0.004,1,0)+IF(AV59*1000000+SUM(X59,AP59)*10000+SUM(R59,AJ59)*100+SUM(L59,AD59)+0.002&gt;AT59*1000000+SUM(V59,AN59)*10000+SUM(P59,AH59)*100+SUM(J59,AB59)+0.004,1,0)+IF(AW59*1000000+SUM(Y59,AQ59)*10000+SUM(S59,AK59)*100+SUM(M59,AE59)+0.001&gt;AT59*1000000+SUM(V59,AN59)*10000+SUM(P59,AH59)*100+SUM(J59,AB59)+0.004,1,0)=0,"A",IF(IF(AR59*1000000+SUM(T59,AL59)*10000+SUM(N59,AF59)*100+SUM(H59,Z59)+0.006&gt;AU59*1000000+SUM(W59,AO59)*10000+SUM(Q59,AI59)*100+SUM(K59,AC59)+0.003,1,0)+IF(AS59*1000000+SUM(U59,AM59)*10000+SUM(O59,AG59)*100+SUM(I59,AA59)+0.005&gt;AU59*1000000+SUM(W59,AO59)*10000+SUM(Q59,AI59)*100+SUM(K59,AC59)+0.003,1,0)+IF(AT59*1000000+SUM(V59,AN59)*10000+SUM(P59,AH59)*100+SUM(J59,AB59)+0.004&gt;AU59*1000000+SUM(W59,AO59)*10000+SUM(Q59,AI59)*100+SUM(K59,AC59)+0.003,1,0)+IF(AV59*1000000+SUM(X59,AP59)*10000+SUM(R59,AJ59)*100+SUM(L59,AD59)+0.002&gt;AU59*1000000+SUM(W59,AO59)*10000+SUM(Q59,AI59)*100+SUM(K59,AC59)+0.003,1,0)+IF(AW59*1000000+SUM(Y59,AQ59)*10000+SUM(S59,AK59)*100+SUM(M59,AE59)+0.001&gt;AU59*1000000+SUM(W59,AO59)*10000+SUM(Q59,AI59)*100+SUM(K59,AC59)+0.003,1,0)=0,"S",IF(IF(AR59*1000000+SUM(T59,AL59)*10000+SUM(N59,AF59)*100+SUM(H59,Z59)+0.006&gt;AV59*1000000+SUM(X59,AP59)*10000+SUM(R59,AJ59)*100+SUM(L59,AD59)+0.002,1,0)+IF(AS59*1000000+SUM(U59,AM59)*10000+SUM(O59,AG59)*100+SUM(I59,AA59)+0.005&gt;AV59*1000000+SUM(X59,AP59)*10000+SUM(R59,AJ59)*100+SUM(L59,AD59)+0.002,1,0)+IF(AT59*1000000+SUM(V59,AN59)*10000+SUM(P59,AH59)*100+SUM(J59,AB59)+0.004&gt;AV59*1000000+SUM(X59,AP59)*10000+SUM(R59,AJ59)*100+SUM(L59,AD59)+0.002,1,0)+IF(AU59*1000000+SUM(W59,AO59)*10000+SUM(Q59,AI59)*100+SUM(K59,AC59)+0.003&gt;AV59*1000000+SUM(X59,AP59)*10000+SUM(R59,AJ59)*100+SUM(L59,AD59)+0.002,1,0)+IF(AW59*1000000+SUM(Y59,AQ59)*10000+SUM(S59,AK59)*100+SUM(M59,AE59)+0.001&gt;AV59*1000000+SUM(X59,AP59)*10000+SUM(R59,AJ59)*100+SUM(L59,AD59)+0.002,1,0)=0,"E",IF(IF(AR59*1000000+SUM(T59,AL59)*10000+SUM(N59,AF59)*100+SUM(H59,Z59)+0.006&gt;AW59*1000000+SUM(Y59,AQ59)*10000+SUM(S59,AK59)*100+SUM(M59,AE59)+0.001,1,0)+IF(AS59*1000000+SUM(U59,AM59)*10000+SUM(O59,AG59)*100+SUM(I59,AA59)+0.005&gt;AW59*1000000+SUM(Y59,AQ59)*10000+SUM(S59,AK59)*100+SUM(M59,AE59)+0.001,1,0)+IF(AT59*1000000+SUM(V59,AN59)*10000+SUM(P59,AH59)*100+SUM(J59,AB59)+0.004&gt;AW59*1000000+SUM(Y59,AQ59)*10000+SUM(S59,AK59)*100+SUM(M59,AE59)+0.001,1,0)+IF(AU59*1000000+SUM(W59,AO59)*10000+SUM(Q59,AI59)*100+SUM(K59,AC59)+0.003&gt;AW59*1000000+SUM(Y59,AQ59)*10000+SUM(S59,AK59)*100+SUM(M59,AE59)+0.001,1,0)+IF(AV59*1000000+SUM(X59,AP59)*10000+SUM(R59,AJ59)*100+SUM(L59,AD59)+0.002&gt;AW59*1000000+SUM(Y59,AQ59)*10000+SUM(S59,AK59)*100+SUM(M59,AE59)+0.001,1,0)=0,"C",""))))))&amp;IF(IF(AS59*1000000+SUM(U59,AM59)*10000+SUM(O59,AG59)*100+SUM(I59,AA59)+0.005&gt;AR59*1000000+SUM(T59,AL59)*10000+SUM(N59,AF59)*100+SUM(H59,Z59)+0.006,1,0)+IF(AT59*1000000+SUM(V59,AN59)*10000+SUM(P59,AH59)*100+SUM(J59,AB59)+0.004&gt;AR59*1000000+SUM(T59,AL59)*10000+SUM(N59,AF59)*100+SUM(H59,Z59)+0.006,1,0)+IF(AU59*1000000+SUM(W59,AO59)*10000+SUM(Q59,AI59)*100+SUM(K59,AC59)+0.003&gt;AR59*1000000+SUM(T59,AL59)*10000+SUM(N59,AF59)*100+SUM(H59,Z59)+0.006,1,0)+IF(AV59*1000000+SUM(X59,AP59)*10000+SUM(R59,AJ59)*100+SUM(L59,AD59)+0.002&gt;AR59*1000000+SUM(T59,AL59)*10000+SUM(N59,AF59)*100+SUM(H59,Z59)+0.006,1,0)+IF(AW59*1000000+SUM(Y59,AQ59)*10000+SUM(S59,AK59)*100+SUM(M59,AE59)+0.001&gt;AR59*1000000+SUM(T59,AL59)*10000+SUM(N59,AF59)*100+SUM(H59,Z59)+0.006,1,0)=1,"R",IF(IF(AR59*1000000+SUM(T59,AL59)*10000+SUM(N59,AF59)*100+SUM(H59,Z59)+0.006&gt;AS59*1000000+SUM(U59,AM59)*10000+SUM(O59,AG59)*100+SUM(I59,AA59)+0.005,1,0)+IF(AT59*1000000+SUM(V59,AN59)*10000+SUM(P59,AH59)*100+SUM(J59,AB59)+0.004&gt;AS59*1000000+SUM(U59,AM59)*10000+SUM(O59,AG59)*100+SUM(I59,AA59)+0.005,1,0)+IF(AU59*1000000+SUM(W59,AO59)*10000+SUM(Q59,AI59)*100+SUM(K59,AC59)+0.003&gt;AS59*1000000+SUM(U59,AM59)*10000+SUM(O59,AG59)*100+SUM(I59,AA59)+0.005,1,0)+IF(AV59*1000000+SUM(X59,AP59)*10000+SUM(R59,AJ59)*100+SUM(L59,AD59)+0.002&gt;AS59*1000000+SUM(U59,AM59)*10000+SUM(O59,AG59)*100+SUM(I59,AA59)+0.005,1,0)+IF(AW59*1000000+SUM(Y59,AQ59)*10000+SUM(S59,AK59)*100+SUM(M59,AE59)+0.001&gt;AS59*1000000+SUM(U59,AM59)*10000+SUM(O59,AG59)*100+SUM(I59,AA59)+0.005,1,0)=1,"I",IF(IF(AR59*1000000+SUM(T59,AL59)*10000+SUM(N59,AF59)*100+SUM(H59,Z59)+0.006&gt;AT59*1000000+SUM(V59,AN59)*10000+SUM(P59,AH59)*100+SUM(J59,AB59)+0.004,1,0)+IF(AS59*1000000+SUM(U59,AM59)*10000+SUM(O59,AG59)*100+SUM(I59,AA59)+0.005&gt;AT59*1000000+SUM(V59,AN59)*10000+SUM(P59,AH59)*100+SUM(J59,AB59)+0.004,1,0)+IF(AU59*1000000+SUM(W59,AO59)*10000+SUM(Q59,AI59)*100+SUM(K59,AC59)+0.003&gt;AT59*1000000+SUM(V59,AN59)*10000+SUM(P59,AH59)*100+SUM(J59,AB59)+0.004,1,0)+IF(AV59*1000000+SUM(X59,AP59)*10000+SUM(R59,AJ59)*100+SUM(L59,AD59)+0.002&gt;AT59*1000000+SUM(V59,AN59)*10000+SUM(P59,AH59)*100+SUM(J59,AB59)+0.004,1,0)+IF(AW59*1000000+SUM(Y59,AQ59)*10000+SUM(S59,AK59)*100+SUM(M59,AE59)+0.001&gt;AT59*1000000+SUM(V59,AN59)*10000+SUM(P59,AH59)*100+SUM(J59,AB59)+0.004,1,0)=1,"A",IF(IF(AR59*1000000+SUM(T59,AL59)*10000+SUM(N59,AF59)*100+SUM(H59,Z59)+0.006&gt;AU59*1000000+SUM(W59,AO59)*10000+SUM(Q59,AI59)*100+SUM(K59,AC59)+0.003,1,0)+IF(AS59*1000000+SUM(U59,AM59)*10000+SUM(O59,AG59)*100+SUM(I59,AA59)+0.005&gt;AU59*1000000+SUM(W59,AO59)*10000+SUM(Q59,AI59)*100+SUM(K59,AC59)+0.003,1,0)+IF(AT59*1000000+SUM(V59,AN59)*10000+SUM(P59,AH59)*100+SUM(J59,AB59)+0.004&gt;AU59*1000000+SUM(W59,AO59)*10000+SUM(Q59,AI59)*100+SUM(K59,AC59)+0.003,1,0)+IF(AV59*1000000+SUM(X59,AP59)*10000+SUM(R59,AJ59)*100+SUM(L59,AD59)+0.002&gt;AU59*1000000+SUM(W59,AO59)*10000+SUM(Q59,AI59)*100+SUM(K59,AC59)+0.003,1,0)+IF(AW59*1000000+SUM(Y59,AQ59)*10000+SUM(S59,AK59)*100+SUM(M59,AE59)+0.001&gt;AU59*1000000+SUM(W59,AO59)*10000+SUM(Q59,AI59)*100+SUM(K59,AC59)+0.003,1,0)=1,"S",IF(IF(AR59*1000000+SUM(T59,AL59)*10000+SUM(N59,AF59)*100+SUM(H59,Z59)+0.006&gt;AV59*1000000+SUM(X59,AP59)*10000+SUM(R59,AJ59)*100+SUM(L59,AD59)+0.002,1,0)+IF(AS59*1000000+SUM(U59,AM59)*10000+SUM(O59,AG59)*100+SUM(I59,AA59)+0.005&gt;AV59*1000000+SUM(X59,AP59)*10000+SUM(R59,AJ59)*100+SUM(L59,AD59)+0.002,1,0)+IF(AT59*1000000+SUM(V59,AN59)*10000+SUM(P59,AH59)*100+SUM(J59,AB59)+0.004&gt;AV59*1000000+SUM(X59,AP59)*10000+SUM(R59,AJ59)*100+SUM(L59,AD59)+0.002,1,0)+IF(AU59*1000000+SUM(W59,AO59)*10000+SUM(Q59,AI59)*100+SUM(K59,AC59)+0.003&gt;AV59*1000000+SUM(X59,AP59)*10000+SUM(R59,AJ59)*100+SUM(L59,AD59)+0.002,1,0)+IF(AW59*1000000+SUM(Y59,AQ59)*10000+SUM(S59,AK59)*100+SUM(M59,AE59)+0.001&gt;AV59*1000000+SUM(X59,AP59)*10000+SUM(R59,AJ59)*100+SUM(L59,AD59)+0.002,1,0)=1,"E",IF(IF(AR59*1000000+SUM(T59,AL59)*10000+SUM(N59,AF59)*100+SUM(H59,Z59)+0.006&gt;AW59*1000000+SUM(Y59,AQ59)*10000+SUM(S59,AK59)*100+SUM(M59,AE59)+0.001,1,0)+IF(AS59*1000000+SUM(U59,AM59)*10000+SUM(O59,AG59)*100+SUM(I59,AA59)+0.005&gt;AW59*1000000+SUM(Y59,AQ59)*10000+SUM(S59,AK59)*100+SUM(M59,AE59)+0.001,1,0)+IF(AT59*1000000+SUM(V59,AN59)*10000+SUM(P59,AH59)*100+SUM(J59,AB59)+0.004&gt;AW59*1000000+SUM(Y59,AQ59)*10000+SUM(S59,AK59)*100+SUM(M59,AE59)+0.001,1,0)+IF(AU59*1000000+SUM(W59,AO59)*10000+SUM(Q59,AI59)*100+SUM(K59,AC59)+0.003&gt;AW59*1000000+SUM(Y59,AQ59)*10000+SUM(S59,AK59)*100+SUM(M59,AE59)+0.001,1,0)+IF(AV59*1000000+SUM(X59,AP59)*10000+SUM(R59,AJ59)*100+SUM(L59,AD59)+0.002&gt;AW59*1000000+SUM(Y59,AQ59)*10000+SUM(S59,AK59)*100+SUM(M59,AE59)+0.001,1,0)=1,"C",""))))))&amp;IF(IF(AS59*1000000+SUM(U59,AM59)*10000+SUM(O59,AG59)*100+SUM(I59,AA59)+0.005&gt;AR59*1000000+SUM(T59,AL59)*10000+SUM(N59,AF59)*100+SUM(H59,Z59)+0.006,1,0)+IF(AT59*1000000+SUM(V59,AN59)*10000+SUM(P59,AH59)*100+SUM(J59,AB59)+0.004&gt;AR59*1000000+SUM(T59,AL59)*10000+SUM(N59,AF59)*100+SUM(H59,Z59)+0.006,1,0)+IF(AU59*1000000+SUM(W59,AO59)*10000+SUM(Q59,AI59)*100+SUM(K59,AC59)+0.003&gt;AR59*1000000+SUM(T59,AL59)*10000+SUM(N59,AF59)*100+SUM(H59,Z59)+0.006,1,0)+IF(AV59*1000000+SUM(X59,AP59)*10000+SUM(R59,AJ59)*100+SUM(L59,AD59)+0.002&gt;AR59*1000000+SUM(T59,AL59)*10000+SUM(N59,AF59)*100+SUM(H59,Z59)+0.006,1,0)+IF(AW59*1000000+SUM(Y59,AQ59)*10000+SUM(S59,AK59)*100+SUM(M59,AE59)+0.001&gt;AR59*1000000+SUM(T59,AL59)*10000+SUM(N59,AF59)*100+SUM(H59,Z59)+0.006,1,0)=2,"R",IF(IF(AR59*1000000+SUM(T59,AL59)*10000+SUM(N59,AF59)*100+SUM(H59,Z59)+0.006&gt;AS59*1000000+SUM(U59,AM59)*10000+SUM(O59,AG59)*100+SUM(I59,AA59)+0.005,1,0)+IF(AT59*1000000+SUM(V59,AN59)*10000+SUM(P59,AH59)*100+SUM(J59,AB59)+0.004&gt;AS59*1000000+SUM(U59,AM59)*10000+SUM(O59,AG59)*100+SUM(I59,AA59)+0.005,1,0)+IF(AU59*1000000+SUM(W59,AO59)*10000+SUM(Q59,AI59)*100+SUM(K59,AC59)+0.003&gt;AS59*1000000+SUM(U59,AM59)*10000+SUM(O59,AG59)*100+SUM(I59,AA59)+0.005,1,0)+IF(AV59*1000000+SUM(X59,AP59)*10000+SUM(R59,AJ59)*100+SUM(L59,AD59)+0.002&gt;AS59*1000000+SUM(U59,AM59)*10000+SUM(O59,AG59)*100+SUM(I59,AA59)+0.005,1,0)+IF(AW59*1000000+SUM(Y59,AQ59)*10000+SUM(S59,AK59)*100+SUM(M59,AE59)+0.001&gt;AS59*1000000+SUM(U59,AM59)*10000+SUM(O59,AG59)*100+SUM(I59,AA59)+0.005,1,0)=2,"I",IF(IF(AR59*1000000+SUM(T59,AL59)*10000+SUM(N59,AF59)*100+SUM(H59,Z59)+0.006&gt;AT59*1000000+SUM(V59,AN59)*10000+SUM(P59,AH59)*100+SUM(J59,AB59)+0.004,1,0)+IF(AS59*1000000+SUM(U59,AM59)*10000+SUM(O59,AG59)*100+SUM(I59,AA59)+0.005&gt;AT59*1000000+SUM(V59,AN59)*10000+SUM(P59,AH59)*100+SUM(J59,AB59)+0.004,1,0)+IF(AU59*1000000+SUM(W59,AO59)*10000+SUM(Q59,AI59)*100+SUM(K59,AC59)+0.003&gt;AT59*1000000+SUM(V59,AN59)*10000+SUM(P59,AH59)*100+SUM(J59,AB59)+0.004,1,0)+IF(AV59*1000000+SUM(X59,AP59)*10000+SUM(R59,AJ59)*100+SUM(L59,AD59)+0.002&gt;AT59*1000000+SUM(V59,AN59)*10000+SUM(P59,AH59)*100+SUM(J59,AB59)+0.004,1,0)+IF(AW59*1000000+SUM(Y59,AQ59)*10000+SUM(S59,AK59)*100+SUM(M59,AE59)+0.001&gt;AT59*1000000+SUM(V59,AN59)*10000+SUM(P59,AH59)*100+SUM(J59,AB59)+0.004,1,0)=2,"A",IF(IF(AR59*1000000+SUM(T59,AL59)*10000+SUM(N59,AF59)*100+SUM(H59,Z59)+0.006&gt;AU59*1000000+SUM(W59,AO59)*10000+SUM(Q59,AI59)*100+SUM(K59,AC59)+0.003,1,0)+IF(AS59*1000000+SUM(U59,AM59)*10000+SUM(O59,AG59)*100+SUM(I59,AA59)+0.005&gt;AU59*1000000+SUM(W59,AO59)*10000+SUM(Q59,AI59)*100+SUM(K59,AC59)+0.003,1,0)+IF(AT59*1000000+SUM(V59,AN59)*10000+SUM(P59,AH59)*100+SUM(J59,AB59)+0.004&gt;AU59*1000000+SUM(W59,AO59)*10000+SUM(Q59,AI59)*100+SUM(K59,AC59)+0.003,1,0)+IF(AV59*1000000+SUM(X59,AP59)*10000+SUM(R59,AJ59)*100+SUM(L59,AD59)+0.002&gt;AU59*1000000+SUM(W59,AO59)*10000+SUM(Q59,AI59)*100+SUM(K59,AC59)+0.003,1,0)+IF(AW59*1000000+SUM(Y59,AQ59)*10000+SUM(S59,AK59)*100+SUM(M59,AE59)+0.001&gt;AU59*1000000+SUM(W59,AO59)*10000+SUM(Q59,AI59)*100+SUM(K59,AC59)+0.003,1,0)=2,"S",IF(IF(AR59*1000000+SUM(T59,AL59)*10000+SUM(N59,AF59)*100+SUM(H59,Z59)+0.006&gt;AV59*1000000+SUM(X59,AP59)*10000+SUM(R59,AJ59)*100+SUM(L59,AD59)+0.002,1,0)+IF(AS59*1000000+SUM(U59,AM59)*10000+SUM(O59,AG59)*100+SUM(I59,AA59)+0.005&gt;AV59*1000000+SUM(X59,AP59)*10000+SUM(R59,AJ59)*100+SUM(L59,AD59)+0.002,1,0)+IF(AT59*1000000+SUM(V59,AN59)*10000+SUM(P59,AH59)*100+SUM(J59,AB59)+0.004&gt;AV59*1000000+SUM(X59,AP59)*10000+SUM(R59,AJ59)*100+SUM(L59,AD59)+0.002,1,0)+IF(AU59*1000000+SUM(W59,AO59)*10000+SUM(Q59,AI59)*100+SUM(K59,AC59)+0.003&gt;AV59*1000000+SUM(X59,AP59)*10000+SUM(R59,AJ59)*100+SUM(L59,AD59)+0.002,1,0)+IF(AW59*1000000+SUM(Y59,AQ59)*10000+SUM(S59,AK59)*100+SUM(M59,AE59)+0.001&gt;AV59*1000000+SUM(X59,AP59)*10000+SUM(R59,AJ59)*100+SUM(L59,AD59)+0.002,1,0)=2,"E",IF(IF(AR59*1000000+SUM(T59,AL59)*10000+SUM(N59,AF59)*100+SUM(H59,Z59)+0.006&gt;AW59*1000000+SUM(Y59,AQ59)*10000+SUM(S59,AK59)*100+SUM(M59,AE59)+0.001,1,0)+IF(AS59*1000000+SUM(U59,AM59)*10000+SUM(O59,AG59)*100+SUM(I59,AA59)+0.005&gt;AW59*1000000+SUM(Y59,AQ59)*10000+SUM(S59,AK59)*100+SUM(M59,AE59)+0.001,1,0)+IF(AT59*1000000+SUM(V59,AN59)*10000+SUM(P59,AH59)*100+SUM(J59,AB59)+0.004&gt;AW59*1000000+SUM(Y59,AQ59)*10000+SUM(S59,AK59)*100+SUM(M59,AE59)+0.001,1,0)+IF(AU59*1000000+SUM(W59,AO59)*10000+SUM(Q59,AI59)*100+SUM(K59,AC59)+0.003&gt;AW59*1000000+SUM(Y59,AQ59)*10000+SUM(S59,AK59)*100+SUM(M59,AE59)+0.001,1,0)+IF(AV59*1000000+SUM(X59,AP59)*10000+SUM(R59,AJ59)*100+SUM(L59,AD59)+0.002&gt;AW59*1000000+SUM(Y59,AQ59)*10000+SUM(S59,AK59)*100+SUM(M59,AE59)+0.001,1,0)=2,"C","")))))))</x:f>
      </x:c>
      <x:c r="AY59" s="27" t="str">
        <x:f>IF(C59="","",IF(LEFT(AX59,1)="R","นักปฏิบัติ",IF(LEFT(AX59,1)="I","นักคิดวิเคราะห์",IF(LEFT(AX59,1)="A","นักสร้างสรรค์",IF(LEFT(AX59,1)="S","ผู้เข้าใจผู้คน",IF(LEFT(AX59,1)="E","ผู้นำการเปลี่ยนแปลง","ผู้จัดระบบ"))))))</x:f>
      </x:c>
    </x:row>
    <x:row r="60">
      <x:c r="A60" s="27"/>
      <x:c r="B60" s="28"/>
      <x:c r="C60" s="27"/>
      <x:c r="D60" s="27"/>
      <x:c r="E60" s="27"/>
      <x:c r="F60" s="27"/>
      <x:c r="G60" s="27"/>
      <x:c r="H60" s="27"/>
      <x:c r="I60" s="27"/>
      <x:c r="J60" s="27"/>
      <x:c r="K60" s="27"/>
      <x:c r="L60" s="27"/>
      <x:c r="M60" s="27"/>
      <x:c r="N60" s="27"/>
      <x:c r="O60" s="27"/>
      <x:c r="P60" s="27"/>
      <x:c r="Q60" s="27"/>
      <x:c r="R60" s="27"/>
      <x:c r="S60" s="27"/>
      <x:c r="T60" s="27"/>
      <x:c r="U60" s="27"/>
      <x:c r="V60" s="27"/>
      <x:c r="W60" s="27"/>
      <x:c r="X60" s="27"/>
      <x:c r="Y60" s="27"/>
      <x:c r="Z60" s="27"/>
      <x:c r="AA60" s="27"/>
      <x:c r="AB60" s="27"/>
      <x:c r="AC60" s="27"/>
      <x:c r="AD60" s="27"/>
      <x:c r="AE60" s="27"/>
      <x:c r="AF60" s="27"/>
      <x:c r="AG60" s="27"/>
      <x:c r="AH60" s="27"/>
      <x:c r="AI60" s="27"/>
      <x:c r="AJ60" s="27"/>
      <x:c r="AK60" s="27"/>
      <x:c r="AL60" s="27"/>
      <x:c r="AM60" s="27"/>
      <x:c r="AN60" s="27"/>
      <x:c r="AO60" s="27"/>
      <x:c r="AP60" s="27"/>
      <x:c r="AQ60" s="27"/>
      <x:c r="AR60" s="27" t="str">
        <x:f>IF(C60="","",SUM(H60,N60,T60,Z60,AF60,AL60))</x:f>
      </x:c>
      <x:c r="AS60" s="27" t="str">
        <x:f>IF(C60="","",SUM(I60,O60,U60,AA60,AG60,AM60))</x:f>
      </x:c>
      <x:c r="AT60" s="27" t="str">
        <x:f>IF(C60="","",SUM(J60,P60,V60,AB60,AH60,AN60))</x:f>
      </x:c>
      <x:c r="AU60" s="27" t="str">
        <x:f>IF(C60="","",SUM(K60,Q60,W60,AC60,AI60,AO60))</x:f>
      </x:c>
      <x:c r="AV60" s="27" t="str">
        <x:f>IF(C60="","",SUM(L60,R60,X60,AD60,AJ60,AP60))</x:f>
      </x:c>
      <x:c r="AW60" s="27" t="str">
        <x:f>IF(C60="","",SUM(M60,S60,Y60,AE60,AK60,AQ60))</x:f>
      </x:c>
      <x:c r="AX60" s="27" t="str">
        <x:f>IF(C60="","",IF(IF(AS60*1000000+SUM(U60,AM60)*10000+SUM(O60,AG60)*100+SUM(I60,AA60)+0.005&gt;AR60*1000000+SUM(T60,AL60)*10000+SUM(N60,AF60)*100+SUM(H60,Z60)+0.006,1,0)+IF(AT60*1000000+SUM(V60,AN60)*10000+SUM(P60,AH60)*100+SUM(J60,AB60)+0.004&gt;AR60*1000000+SUM(T60,AL60)*10000+SUM(N60,AF60)*100+SUM(H60,Z60)+0.006,1,0)+IF(AU60*1000000+SUM(W60,AO60)*10000+SUM(Q60,AI60)*100+SUM(K60,AC60)+0.003&gt;AR60*1000000+SUM(T60,AL60)*10000+SUM(N60,AF60)*100+SUM(H60,Z60)+0.006,1,0)+IF(AV60*1000000+SUM(X60,AP60)*10000+SUM(R60,AJ60)*100+SUM(L60,AD60)+0.002&gt;AR60*1000000+SUM(T60,AL60)*10000+SUM(N60,AF60)*100+SUM(H60,Z60)+0.006,1,0)+IF(AW60*1000000+SUM(Y60,AQ60)*10000+SUM(S60,AK60)*100+SUM(M60,AE60)+0.001&gt;AR60*1000000+SUM(T60,AL60)*10000+SUM(N60,AF60)*100+SUM(H60,Z60)+0.006,1,0)=0,"R",IF(IF(AR60*1000000+SUM(T60,AL60)*10000+SUM(N60,AF60)*100+SUM(H60,Z60)+0.006&gt;AS60*1000000+SUM(U60,AM60)*10000+SUM(O60,AG60)*100+SUM(I60,AA60)+0.005,1,0)+IF(AT60*1000000+SUM(V60,AN60)*10000+SUM(P60,AH60)*100+SUM(J60,AB60)+0.004&gt;AS60*1000000+SUM(U60,AM60)*10000+SUM(O60,AG60)*100+SUM(I60,AA60)+0.005,1,0)+IF(AU60*1000000+SUM(W60,AO60)*10000+SUM(Q60,AI60)*100+SUM(K60,AC60)+0.003&gt;AS60*1000000+SUM(U60,AM60)*10000+SUM(O60,AG60)*100+SUM(I60,AA60)+0.005,1,0)+IF(AV60*1000000+SUM(X60,AP60)*10000+SUM(R60,AJ60)*100+SUM(L60,AD60)+0.002&gt;AS60*1000000+SUM(U60,AM60)*10000+SUM(O60,AG60)*100+SUM(I60,AA60)+0.005,1,0)+IF(AW60*1000000+SUM(Y60,AQ60)*10000+SUM(S60,AK60)*100+SUM(M60,AE60)+0.001&gt;AS60*1000000+SUM(U60,AM60)*10000+SUM(O60,AG60)*100+SUM(I60,AA60)+0.005,1,0)=0,"I",IF(IF(AR60*1000000+SUM(T60,AL60)*10000+SUM(N60,AF60)*100+SUM(H60,Z60)+0.006&gt;AT60*1000000+SUM(V60,AN60)*10000+SUM(P60,AH60)*100+SUM(J60,AB60)+0.004,1,0)+IF(AS60*1000000+SUM(U60,AM60)*10000+SUM(O60,AG60)*100+SUM(I60,AA60)+0.005&gt;AT60*1000000+SUM(V60,AN60)*10000+SUM(P60,AH60)*100+SUM(J60,AB60)+0.004,1,0)+IF(AU60*1000000+SUM(W60,AO60)*10000+SUM(Q60,AI60)*100+SUM(K60,AC60)+0.003&gt;AT60*1000000+SUM(V60,AN60)*10000+SUM(P60,AH60)*100+SUM(J60,AB60)+0.004,1,0)+IF(AV60*1000000+SUM(X60,AP60)*10000+SUM(R60,AJ60)*100+SUM(L60,AD60)+0.002&gt;AT60*1000000+SUM(V60,AN60)*10000+SUM(P60,AH60)*100+SUM(J60,AB60)+0.004,1,0)+IF(AW60*1000000+SUM(Y60,AQ60)*10000+SUM(S60,AK60)*100+SUM(M60,AE60)+0.001&gt;AT60*1000000+SUM(V60,AN60)*10000+SUM(P60,AH60)*100+SUM(J60,AB60)+0.004,1,0)=0,"A",IF(IF(AR60*1000000+SUM(T60,AL60)*10000+SUM(N60,AF60)*100+SUM(H60,Z60)+0.006&gt;AU60*1000000+SUM(W60,AO60)*10000+SUM(Q60,AI60)*100+SUM(K60,AC60)+0.003,1,0)+IF(AS60*1000000+SUM(U60,AM60)*10000+SUM(O60,AG60)*100+SUM(I60,AA60)+0.005&gt;AU60*1000000+SUM(W60,AO60)*10000+SUM(Q60,AI60)*100+SUM(K60,AC60)+0.003,1,0)+IF(AT60*1000000+SUM(V60,AN60)*10000+SUM(P60,AH60)*100+SUM(J60,AB60)+0.004&gt;AU60*1000000+SUM(W60,AO60)*10000+SUM(Q60,AI60)*100+SUM(K60,AC60)+0.003,1,0)+IF(AV60*1000000+SUM(X60,AP60)*10000+SUM(R60,AJ60)*100+SUM(L60,AD60)+0.002&gt;AU60*1000000+SUM(W60,AO60)*10000+SUM(Q60,AI60)*100+SUM(K60,AC60)+0.003,1,0)+IF(AW60*1000000+SUM(Y60,AQ60)*10000+SUM(S60,AK60)*100+SUM(M60,AE60)+0.001&gt;AU60*1000000+SUM(W60,AO60)*10000+SUM(Q60,AI60)*100+SUM(K60,AC60)+0.003,1,0)=0,"S",IF(IF(AR60*1000000+SUM(T60,AL60)*10000+SUM(N60,AF60)*100+SUM(H60,Z60)+0.006&gt;AV60*1000000+SUM(X60,AP60)*10000+SUM(R60,AJ60)*100+SUM(L60,AD60)+0.002,1,0)+IF(AS60*1000000+SUM(U60,AM60)*10000+SUM(O60,AG60)*100+SUM(I60,AA60)+0.005&gt;AV60*1000000+SUM(X60,AP60)*10000+SUM(R60,AJ60)*100+SUM(L60,AD60)+0.002,1,0)+IF(AT60*1000000+SUM(V60,AN60)*10000+SUM(P60,AH60)*100+SUM(J60,AB60)+0.004&gt;AV60*1000000+SUM(X60,AP60)*10000+SUM(R60,AJ60)*100+SUM(L60,AD60)+0.002,1,0)+IF(AU60*1000000+SUM(W60,AO60)*10000+SUM(Q60,AI60)*100+SUM(K60,AC60)+0.003&gt;AV60*1000000+SUM(X60,AP60)*10000+SUM(R60,AJ60)*100+SUM(L60,AD60)+0.002,1,0)+IF(AW60*1000000+SUM(Y60,AQ60)*10000+SUM(S60,AK60)*100+SUM(M60,AE60)+0.001&gt;AV60*1000000+SUM(X60,AP60)*10000+SUM(R60,AJ60)*100+SUM(L60,AD60)+0.002,1,0)=0,"E",IF(IF(AR60*1000000+SUM(T60,AL60)*10000+SUM(N60,AF60)*100+SUM(H60,Z60)+0.006&gt;AW60*1000000+SUM(Y60,AQ60)*10000+SUM(S60,AK60)*100+SUM(M60,AE60)+0.001,1,0)+IF(AS60*1000000+SUM(U60,AM60)*10000+SUM(O60,AG60)*100+SUM(I60,AA60)+0.005&gt;AW60*1000000+SUM(Y60,AQ60)*10000+SUM(S60,AK60)*100+SUM(M60,AE60)+0.001,1,0)+IF(AT60*1000000+SUM(V60,AN60)*10000+SUM(P60,AH60)*100+SUM(J60,AB60)+0.004&gt;AW60*1000000+SUM(Y60,AQ60)*10000+SUM(S60,AK60)*100+SUM(M60,AE60)+0.001,1,0)+IF(AU60*1000000+SUM(W60,AO60)*10000+SUM(Q60,AI60)*100+SUM(K60,AC60)+0.003&gt;AW60*1000000+SUM(Y60,AQ60)*10000+SUM(S60,AK60)*100+SUM(M60,AE60)+0.001,1,0)+IF(AV60*1000000+SUM(X60,AP60)*10000+SUM(R60,AJ60)*100+SUM(L60,AD60)+0.002&gt;AW60*1000000+SUM(Y60,AQ60)*10000+SUM(S60,AK60)*100+SUM(M60,AE60)+0.001,1,0)=0,"C",""))))))&amp;IF(IF(AS60*1000000+SUM(U60,AM60)*10000+SUM(O60,AG60)*100+SUM(I60,AA60)+0.005&gt;AR60*1000000+SUM(T60,AL60)*10000+SUM(N60,AF60)*100+SUM(H60,Z60)+0.006,1,0)+IF(AT60*1000000+SUM(V60,AN60)*10000+SUM(P60,AH60)*100+SUM(J60,AB60)+0.004&gt;AR60*1000000+SUM(T60,AL60)*10000+SUM(N60,AF60)*100+SUM(H60,Z60)+0.006,1,0)+IF(AU60*1000000+SUM(W60,AO60)*10000+SUM(Q60,AI60)*100+SUM(K60,AC60)+0.003&gt;AR60*1000000+SUM(T60,AL60)*10000+SUM(N60,AF60)*100+SUM(H60,Z60)+0.006,1,0)+IF(AV60*1000000+SUM(X60,AP60)*10000+SUM(R60,AJ60)*100+SUM(L60,AD60)+0.002&gt;AR60*1000000+SUM(T60,AL60)*10000+SUM(N60,AF60)*100+SUM(H60,Z60)+0.006,1,0)+IF(AW60*1000000+SUM(Y60,AQ60)*10000+SUM(S60,AK60)*100+SUM(M60,AE60)+0.001&gt;AR60*1000000+SUM(T60,AL60)*10000+SUM(N60,AF60)*100+SUM(H60,Z60)+0.006,1,0)=1,"R",IF(IF(AR60*1000000+SUM(T60,AL60)*10000+SUM(N60,AF60)*100+SUM(H60,Z60)+0.006&gt;AS60*1000000+SUM(U60,AM60)*10000+SUM(O60,AG60)*100+SUM(I60,AA60)+0.005,1,0)+IF(AT60*1000000+SUM(V60,AN60)*10000+SUM(P60,AH60)*100+SUM(J60,AB60)+0.004&gt;AS60*1000000+SUM(U60,AM60)*10000+SUM(O60,AG60)*100+SUM(I60,AA60)+0.005,1,0)+IF(AU60*1000000+SUM(W60,AO60)*10000+SUM(Q60,AI60)*100+SUM(K60,AC60)+0.003&gt;AS60*1000000+SUM(U60,AM60)*10000+SUM(O60,AG60)*100+SUM(I60,AA60)+0.005,1,0)+IF(AV60*1000000+SUM(X60,AP60)*10000+SUM(R60,AJ60)*100+SUM(L60,AD60)+0.002&gt;AS60*1000000+SUM(U60,AM60)*10000+SUM(O60,AG60)*100+SUM(I60,AA60)+0.005,1,0)+IF(AW60*1000000+SUM(Y60,AQ60)*10000+SUM(S60,AK60)*100+SUM(M60,AE60)+0.001&gt;AS60*1000000+SUM(U60,AM60)*10000+SUM(O60,AG60)*100+SUM(I60,AA60)+0.005,1,0)=1,"I",IF(IF(AR60*1000000+SUM(T60,AL60)*10000+SUM(N60,AF60)*100+SUM(H60,Z60)+0.006&gt;AT60*1000000+SUM(V60,AN60)*10000+SUM(P60,AH60)*100+SUM(J60,AB60)+0.004,1,0)+IF(AS60*1000000+SUM(U60,AM60)*10000+SUM(O60,AG60)*100+SUM(I60,AA60)+0.005&gt;AT60*1000000+SUM(V60,AN60)*10000+SUM(P60,AH60)*100+SUM(J60,AB60)+0.004,1,0)+IF(AU60*1000000+SUM(W60,AO60)*10000+SUM(Q60,AI60)*100+SUM(K60,AC60)+0.003&gt;AT60*1000000+SUM(V60,AN60)*10000+SUM(P60,AH60)*100+SUM(J60,AB60)+0.004,1,0)+IF(AV60*1000000+SUM(X60,AP60)*10000+SUM(R60,AJ60)*100+SUM(L60,AD60)+0.002&gt;AT60*1000000+SUM(V60,AN60)*10000+SUM(P60,AH60)*100+SUM(J60,AB60)+0.004,1,0)+IF(AW60*1000000+SUM(Y60,AQ60)*10000+SUM(S60,AK60)*100+SUM(M60,AE60)+0.001&gt;AT60*1000000+SUM(V60,AN60)*10000+SUM(P60,AH60)*100+SUM(J60,AB60)+0.004,1,0)=1,"A",IF(IF(AR60*1000000+SUM(T60,AL60)*10000+SUM(N60,AF60)*100+SUM(H60,Z60)+0.006&gt;AU60*1000000+SUM(W60,AO60)*10000+SUM(Q60,AI60)*100+SUM(K60,AC60)+0.003,1,0)+IF(AS60*1000000+SUM(U60,AM60)*10000+SUM(O60,AG60)*100+SUM(I60,AA60)+0.005&gt;AU60*1000000+SUM(W60,AO60)*10000+SUM(Q60,AI60)*100+SUM(K60,AC60)+0.003,1,0)+IF(AT60*1000000+SUM(V60,AN60)*10000+SUM(P60,AH60)*100+SUM(J60,AB60)+0.004&gt;AU60*1000000+SUM(W60,AO60)*10000+SUM(Q60,AI60)*100+SUM(K60,AC60)+0.003,1,0)+IF(AV60*1000000+SUM(X60,AP60)*10000+SUM(R60,AJ60)*100+SUM(L60,AD60)+0.002&gt;AU60*1000000+SUM(W60,AO60)*10000+SUM(Q60,AI60)*100+SUM(K60,AC60)+0.003,1,0)+IF(AW60*1000000+SUM(Y60,AQ60)*10000+SUM(S60,AK60)*100+SUM(M60,AE60)+0.001&gt;AU60*1000000+SUM(W60,AO60)*10000+SUM(Q60,AI60)*100+SUM(K60,AC60)+0.003,1,0)=1,"S",IF(IF(AR60*1000000+SUM(T60,AL60)*10000+SUM(N60,AF60)*100+SUM(H60,Z60)+0.006&gt;AV60*1000000+SUM(X60,AP60)*10000+SUM(R60,AJ60)*100+SUM(L60,AD60)+0.002,1,0)+IF(AS60*1000000+SUM(U60,AM60)*10000+SUM(O60,AG60)*100+SUM(I60,AA60)+0.005&gt;AV60*1000000+SUM(X60,AP60)*10000+SUM(R60,AJ60)*100+SUM(L60,AD60)+0.002,1,0)+IF(AT60*1000000+SUM(V60,AN60)*10000+SUM(P60,AH60)*100+SUM(J60,AB60)+0.004&gt;AV60*1000000+SUM(X60,AP60)*10000+SUM(R60,AJ60)*100+SUM(L60,AD60)+0.002,1,0)+IF(AU60*1000000+SUM(W60,AO60)*10000+SUM(Q60,AI60)*100+SUM(K60,AC60)+0.003&gt;AV60*1000000+SUM(X60,AP60)*10000+SUM(R60,AJ60)*100+SUM(L60,AD60)+0.002,1,0)+IF(AW60*1000000+SUM(Y60,AQ60)*10000+SUM(S60,AK60)*100+SUM(M60,AE60)+0.001&gt;AV60*1000000+SUM(X60,AP60)*10000+SUM(R60,AJ60)*100+SUM(L60,AD60)+0.002,1,0)=1,"E",IF(IF(AR60*1000000+SUM(T60,AL60)*10000+SUM(N60,AF60)*100+SUM(H60,Z60)+0.006&gt;AW60*1000000+SUM(Y60,AQ60)*10000+SUM(S60,AK60)*100+SUM(M60,AE60)+0.001,1,0)+IF(AS60*1000000+SUM(U60,AM60)*10000+SUM(O60,AG60)*100+SUM(I60,AA60)+0.005&gt;AW60*1000000+SUM(Y60,AQ60)*10000+SUM(S60,AK60)*100+SUM(M60,AE60)+0.001,1,0)+IF(AT60*1000000+SUM(V60,AN60)*10000+SUM(P60,AH60)*100+SUM(J60,AB60)+0.004&gt;AW60*1000000+SUM(Y60,AQ60)*10000+SUM(S60,AK60)*100+SUM(M60,AE60)+0.001,1,0)+IF(AU60*1000000+SUM(W60,AO60)*10000+SUM(Q60,AI60)*100+SUM(K60,AC60)+0.003&gt;AW60*1000000+SUM(Y60,AQ60)*10000+SUM(S60,AK60)*100+SUM(M60,AE60)+0.001,1,0)+IF(AV60*1000000+SUM(X60,AP60)*10000+SUM(R60,AJ60)*100+SUM(L60,AD60)+0.002&gt;AW60*1000000+SUM(Y60,AQ60)*10000+SUM(S60,AK60)*100+SUM(M60,AE60)+0.001,1,0)=1,"C",""))))))&amp;IF(IF(AS60*1000000+SUM(U60,AM60)*10000+SUM(O60,AG60)*100+SUM(I60,AA60)+0.005&gt;AR60*1000000+SUM(T60,AL60)*10000+SUM(N60,AF60)*100+SUM(H60,Z60)+0.006,1,0)+IF(AT60*1000000+SUM(V60,AN60)*10000+SUM(P60,AH60)*100+SUM(J60,AB60)+0.004&gt;AR60*1000000+SUM(T60,AL60)*10000+SUM(N60,AF60)*100+SUM(H60,Z60)+0.006,1,0)+IF(AU60*1000000+SUM(W60,AO60)*10000+SUM(Q60,AI60)*100+SUM(K60,AC60)+0.003&gt;AR60*1000000+SUM(T60,AL60)*10000+SUM(N60,AF60)*100+SUM(H60,Z60)+0.006,1,0)+IF(AV60*1000000+SUM(X60,AP60)*10000+SUM(R60,AJ60)*100+SUM(L60,AD60)+0.002&gt;AR60*1000000+SUM(T60,AL60)*10000+SUM(N60,AF60)*100+SUM(H60,Z60)+0.006,1,0)+IF(AW60*1000000+SUM(Y60,AQ60)*10000+SUM(S60,AK60)*100+SUM(M60,AE60)+0.001&gt;AR60*1000000+SUM(T60,AL60)*10000+SUM(N60,AF60)*100+SUM(H60,Z60)+0.006,1,0)=2,"R",IF(IF(AR60*1000000+SUM(T60,AL60)*10000+SUM(N60,AF60)*100+SUM(H60,Z60)+0.006&gt;AS60*1000000+SUM(U60,AM60)*10000+SUM(O60,AG60)*100+SUM(I60,AA60)+0.005,1,0)+IF(AT60*1000000+SUM(V60,AN60)*10000+SUM(P60,AH60)*100+SUM(J60,AB60)+0.004&gt;AS60*1000000+SUM(U60,AM60)*10000+SUM(O60,AG60)*100+SUM(I60,AA60)+0.005,1,0)+IF(AU60*1000000+SUM(W60,AO60)*10000+SUM(Q60,AI60)*100+SUM(K60,AC60)+0.003&gt;AS60*1000000+SUM(U60,AM60)*10000+SUM(O60,AG60)*100+SUM(I60,AA60)+0.005,1,0)+IF(AV60*1000000+SUM(X60,AP60)*10000+SUM(R60,AJ60)*100+SUM(L60,AD60)+0.002&gt;AS60*1000000+SUM(U60,AM60)*10000+SUM(O60,AG60)*100+SUM(I60,AA60)+0.005,1,0)+IF(AW60*1000000+SUM(Y60,AQ60)*10000+SUM(S60,AK60)*100+SUM(M60,AE60)+0.001&gt;AS60*1000000+SUM(U60,AM60)*10000+SUM(O60,AG60)*100+SUM(I60,AA60)+0.005,1,0)=2,"I",IF(IF(AR60*1000000+SUM(T60,AL60)*10000+SUM(N60,AF60)*100+SUM(H60,Z60)+0.006&gt;AT60*1000000+SUM(V60,AN60)*10000+SUM(P60,AH60)*100+SUM(J60,AB60)+0.004,1,0)+IF(AS60*1000000+SUM(U60,AM60)*10000+SUM(O60,AG60)*100+SUM(I60,AA60)+0.005&gt;AT60*1000000+SUM(V60,AN60)*10000+SUM(P60,AH60)*100+SUM(J60,AB60)+0.004,1,0)+IF(AU60*1000000+SUM(W60,AO60)*10000+SUM(Q60,AI60)*100+SUM(K60,AC60)+0.003&gt;AT60*1000000+SUM(V60,AN60)*10000+SUM(P60,AH60)*100+SUM(J60,AB60)+0.004,1,0)+IF(AV60*1000000+SUM(X60,AP60)*10000+SUM(R60,AJ60)*100+SUM(L60,AD60)+0.002&gt;AT60*1000000+SUM(V60,AN60)*10000+SUM(P60,AH60)*100+SUM(J60,AB60)+0.004,1,0)+IF(AW60*1000000+SUM(Y60,AQ60)*10000+SUM(S60,AK60)*100+SUM(M60,AE60)+0.001&gt;AT60*1000000+SUM(V60,AN60)*10000+SUM(P60,AH60)*100+SUM(J60,AB60)+0.004,1,0)=2,"A",IF(IF(AR60*1000000+SUM(T60,AL60)*10000+SUM(N60,AF60)*100+SUM(H60,Z60)+0.006&gt;AU60*1000000+SUM(W60,AO60)*10000+SUM(Q60,AI60)*100+SUM(K60,AC60)+0.003,1,0)+IF(AS60*1000000+SUM(U60,AM60)*10000+SUM(O60,AG60)*100+SUM(I60,AA60)+0.005&gt;AU60*1000000+SUM(W60,AO60)*10000+SUM(Q60,AI60)*100+SUM(K60,AC60)+0.003,1,0)+IF(AT60*1000000+SUM(V60,AN60)*10000+SUM(P60,AH60)*100+SUM(J60,AB60)+0.004&gt;AU60*1000000+SUM(W60,AO60)*10000+SUM(Q60,AI60)*100+SUM(K60,AC60)+0.003,1,0)+IF(AV60*1000000+SUM(X60,AP60)*10000+SUM(R60,AJ60)*100+SUM(L60,AD60)+0.002&gt;AU60*1000000+SUM(W60,AO60)*10000+SUM(Q60,AI60)*100+SUM(K60,AC60)+0.003,1,0)+IF(AW60*1000000+SUM(Y60,AQ60)*10000+SUM(S60,AK60)*100+SUM(M60,AE60)+0.001&gt;AU60*1000000+SUM(W60,AO60)*10000+SUM(Q60,AI60)*100+SUM(K60,AC60)+0.003,1,0)=2,"S",IF(IF(AR60*1000000+SUM(T60,AL60)*10000+SUM(N60,AF60)*100+SUM(H60,Z60)+0.006&gt;AV60*1000000+SUM(X60,AP60)*10000+SUM(R60,AJ60)*100+SUM(L60,AD60)+0.002,1,0)+IF(AS60*1000000+SUM(U60,AM60)*10000+SUM(O60,AG60)*100+SUM(I60,AA60)+0.005&gt;AV60*1000000+SUM(X60,AP60)*10000+SUM(R60,AJ60)*100+SUM(L60,AD60)+0.002,1,0)+IF(AT60*1000000+SUM(V60,AN60)*10000+SUM(P60,AH60)*100+SUM(J60,AB60)+0.004&gt;AV60*1000000+SUM(X60,AP60)*10000+SUM(R60,AJ60)*100+SUM(L60,AD60)+0.002,1,0)+IF(AU60*1000000+SUM(W60,AO60)*10000+SUM(Q60,AI60)*100+SUM(K60,AC60)+0.003&gt;AV60*1000000+SUM(X60,AP60)*10000+SUM(R60,AJ60)*100+SUM(L60,AD60)+0.002,1,0)+IF(AW60*1000000+SUM(Y60,AQ60)*10000+SUM(S60,AK60)*100+SUM(M60,AE60)+0.001&gt;AV60*1000000+SUM(X60,AP60)*10000+SUM(R60,AJ60)*100+SUM(L60,AD60)+0.002,1,0)=2,"E",IF(IF(AR60*1000000+SUM(T60,AL60)*10000+SUM(N60,AF60)*100+SUM(H60,Z60)+0.006&gt;AW60*1000000+SUM(Y60,AQ60)*10000+SUM(S60,AK60)*100+SUM(M60,AE60)+0.001,1,0)+IF(AS60*1000000+SUM(U60,AM60)*10000+SUM(O60,AG60)*100+SUM(I60,AA60)+0.005&gt;AW60*1000000+SUM(Y60,AQ60)*10000+SUM(S60,AK60)*100+SUM(M60,AE60)+0.001,1,0)+IF(AT60*1000000+SUM(V60,AN60)*10000+SUM(P60,AH60)*100+SUM(J60,AB60)+0.004&gt;AW60*1000000+SUM(Y60,AQ60)*10000+SUM(S60,AK60)*100+SUM(M60,AE60)+0.001,1,0)+IF(AU60*1000000+SUM(W60,AO60)*10000+SUM(Q60,AI60)*100+SUM(K60,AC60)+0.003&gt;AW60*1000000+SUM(Y60,AQ60)*10000+SUM(S60,AK60)*100+SUM(M60,AE60)+0.001,1,0)+IF(AV60*1000000+SUM(X60,AP60)*10000+SUM(R60,AJ60)*100+SUM(L60,AD60)+0.002&gt;AW60*1000000+SUM(Y60,AQ60)*10000+SUM(S60,AK60)*100+SUM(M60,AE60)+0.001,1,0)=2,"C","")))))))</x:f>
      </x:c>
      <x:c r="AY60" s="27" t="str">
        <x:f>IF(C60="","",IF(LEFT(AX60,1)="R","นักปฏิบัติ",IF(LEFT(AX60,1)="I","นักคิดวิเคราะห์",IF(LEFT(AX60,1)="A","นักสร้างสรรค์",IF(LEFT(AX60,1)="S","ผู้เข้าใจผู้คน",IF(LEFT(AX60,1)="E","ผู้นำการเปลี่ยนแปลง","ผู้จัดระบบ"))))))</x:f>
      </x:c>
    </x:row>
    <x:row r="61">
      <x:c r="A61" s="27"/>
      <x:c r="B61" s="28"/>
      <x:c r="C61" s="27"/>
      <x:c r="D61" s="27"/>
      <x:c r="E61" s="27"/>
      <x:c r="F61" s="27"/>
      <x:c r="G61" s="27"/>
      <x:c r="H61" s="27"/>
      <x:c r="I61" s="27"/>
      <x:c r="J61" s="27"/>
      <x:c r="K61" s="27"/>
      <x:c r="L61" s="27"/>
      <x:c r="M61" s="27"/>
      <x:c r="N61" s="27"/>
      <x:c r="O61" s="27"/>
      <x:c r="P61" s="27"/>
      <x:c r="Q61" s="27"/>
      <x:c r="R61" s="27"/>
      <x:c r="S61" s="27"/>
      <x:c r="T61" s="27"/>
      <x:c r="U61" s="27"/>
      <x:c r="V61" s="27"/>
      <x:c r="W61" s="27"/>
      <x:c r="X61" s="27"/>
      <x:c r="Y61" s="27"/>
      <x:c r="Z61" s="27"/>
      <x:c r="AA61" s="27"/>
      <x:c r="AB61" s="27"/>
      <x:c r="AC61" s="27"/>
      <x:c r="AD61" s="27"/>
      <x:c r="AE61" s="27"/>
      <x:c r="AF61" s="27"/>
      <x:c r="AG61" s="27"/>
      <x:c r="AH61" s="27"/>
      <x:c r="AI61" s="27"/>
      <x:c r="AJ61" s="27"/>
      <x:c r="AK61" s="27"/>
      <x:c r="AL61" s="27"/>
      <x:c r="AM61" s="27"/>
      <x:c r="AN61" s="27"/>
      <x:c r="AO61" s="27"/>
      <x:c r="AP61" s="27"/>
      <x:c r="AQ61" s="27"/>
      <x:c r="AR61" s="27" t="str">
        <x:f>IF(C61="","",SUM(H61,N61,T61,Z61,AF61,AL61))</x:f>
      </x:c>
      <x:c r="AS61" s="27" t="str">
        <x:f>IF(C61="","",SUM(I61,O61,U61,AA61,AG61,AM61))</x:f>
      </x:c>
      <x:c r="AT61" s="27" t="str">
        <x:f>IF(C61="","",SUM(J61,P61,V61,AB61,AH61,AN61))</x:f>
      </x:c>
      <x:c r="AU61" s="27" t="str">
        <x:f>IF(C61="","",SUM(K61,Q61,W61,AC61,AI61,AO61))</x:f>
      </x:c>
      <x:c r="AV61" s="27" t="str">
        <x:f>IF(C61="","",SUM(L61,R61,X61,AD61,AJ61,AP61))</x:f>
      </x:c>
      <x:c r="AW61" s="27" t="str">
        <x:f>IF(C61="","",SUM(M61,S61,Y61,AE61,AK61,AQ61))</x:f>
      </x:c>
      <x:c r="AX61" s="27" t="str">
        <x:f>IF(C61="","",IF(IF(AS61*1000000+SUM(U61,AM61)*10000+SUM(O61,AG61)*100+SUM(I61,AA61)+0.005&gt;AR61*1000000+SUM(T61,AL61)*10000+SUM(N61,AF61)*100+SUM(H61,Z61)+0.006,1,0)+IF(AT61*1000000+SUM(V61,AN61)*10000+SUM(P61,AH61)*100+SUM(J61,AB61)+0.004&gt;AR61*1000000+SUM(T61,AL61)*10000+SUM(N61,AF61)*100+SUM(H61,Z61)+0.006,1,0)+IF(AU61*1000000+SUM(W61,AO61)*10000+SUM(Q61,AI61)*100+SUM(K61,AC61)+0.003&gt;AR61*1000000+SUM(T61,AL61)*10000+SUM(N61,AF61)*100+SUM(H61,Z61)+0.006,1,0)+IF(AV61*1000000+SUM(X61,AP61)*10000+SUM(R61,AJ61)*100+SUM(L61,AD61)+0.002&gt;AR61*1000000+SUM(T61,AL61)*10000+SUM(N61,AF61)*100+SUM(H61,Z61)+0.006,1,0)+IF(AW61*1000000+SUM(Y61,AQ61)*10000+SUM(S61,AK61)*100+SUM(M61,AE61)+0.001&gt;AR61*1000000+SUM(T61,AL61)*10000+SUM(N61,AF61)*100+SUM(H61,Z61)+0.006,1,0)=0,"R",IF(IF(AR61*1000000+SUM(T61,AL61)*10000+SUM(N61,AF61)*100+SUM(H61,Z61)+0.006&gt;AS61*1000000+SUM(U61,AM61)*10000+SUM(O61,AG61)*100+SUM(I61,AA61)+0.005,1,0)+IF(AT61*1000000+SUM(V61,AN61)*10000+SUM(P61,AH61)*100+SUM(J61,AB61)+0.004&gt;AS61*1000000+SUM(U61,AM61)*10000+SUM(O61,AG61)*100+SUM(I61,AA61)+0.005,1,0)+IF(AU61*1000000+SUM(W61,AO61)*10000+SUM(Q61,AI61)*100+SUM(K61,AC61)+0.003&gt;AS61*1000000+SUM(U61,AM61)*10000+SUM(O61,AG61)*100+SUM(I61,AA61)+0.005,1,0)+IF(AV61*1000000+SUM(X61,AP61)*10000+SUM(R61,AJ61)*100+SUM(L61,AD61)+0.002&gt;AS61*1000000+SUM(U61,AM61)*10000+SUM(O61,AG61)*100+SUM(I61,AA61)+0.005,1,0)+IF(AW61*1000000+SUM(Y61,AQ61)*10000+SUM(S61,AK61)*100+SUM(M61,AE61)+0.001&gt;AS61*1000000+SUM(U61,AM61)*10000+SUM(O61,AG61)*100+SUM(I61,AA61)+0.005,1,0)=0,"I",IF(IF(AR61*1000000+SUM(T61,AL61)*10000+SUM(N61,AF61)*100+SUM(H61,Z61)+0.006&gt;AT61*1000000+SUM(V61,AN61)*10000+SUM(P61,AH61)*100+SUM(J61,AB61)+0.004,1,0)+IF(AS61*1000000+SUM(U61,AM61)*10000+SUM(O61,AG61)*100+SUM(I61,AA61)+0.005&gt;AT61*1000000+SUM(V61,AN61)*10000+SUM(P61,AH61)*100+SUM(J61,AB61)+0.004,1,0)+IF(AU61*1000000+SUM(W61,AO61)*10000+SUM(Q61,AI61)*100+SUM(K61,AC61)+0.003&gt;AT61*1000000+SUM(V61,AN61)*10000+SUM(P61,AH61)*100+SUM(J61,AB61)+0.004,1,0)+IF(AV61*1000000+SUM(X61,AP61)*10000+SUM(R61,AJ61)*100+SUM(L61,AD61)+0.002&gt;AT61*1000000+SUM(V61,AN61)*10000+SUM(P61,AH61)*100+SUM(J61,AB61)+0.004,1,0)+IF(AW61*1000000+SUM(Y61,AQ61)*10000+SUM(S61,AK61)*100+SUM(M61,AE61)+0.001&gt;AT61*1000000+SUM(V61,AN61)*10000+SUM(P61,AH61)*100+SUM(J61,AB61)+0.004,1,0)=0,"A",IF(IF(AR61*1000000+SUM(T61,AL61)*10000+SUM(N61,AF61)*100+SUM(H61,Z61)+0.006&gt;AU61*1000000+SUM(W61,AO61)*10000+SUM(Q61,AI61)*100+SUM(K61,AC61)+0.003,1,0)+IF(AS61*1000000+SUM(U61,AM61)*10000+SUM(O61,AG61)*100+SUM(I61,AA61)+0.005&gt;AU61*1000000+SUM(W61,AO61)*10000+SUM(Q61,AI61)*100+SUM(K61,AC61)+0.003,1,0)+IF(AT61*1000000+SUM(V61,AN61)*10000+SUM(P61,AH61)*100+SUM(J61,AB61)+0.004&gt;AU61*1000000+SUM(W61,AO61)*10000+SUM(Q61,AI61)*100+SUM(K61,AC61)+0.003,1,0)+IF(AV61*1000000+SUM(X61,AP61)*10000+SUM(R61,AJ61)*100+SUM(L61,AD61)+0.002&gt;AU61*1000000+SUM(W61,AO61)*10000+SUM(Q61,AI61)*100+SUM(K61,AC61)+0.003,1,0)+IF(AW61*1000000+SUM(Y61,AQ61)*10000+SUM(S61,AK61)*100+SUM(M61,AE61)+0.001&gt;AU61*1000000+SUM(W61,AO61)*10000+SUM(Q61,AI61)*100+SUM(K61,AC61)+0.003,1,0)=0,"S",IF(IF(AR61*1000000+SUM(T61,AL61)*10000+SUM(N61,AF61)*100+SUM(H61,Z61)+0.006&gt;AV61*1000000+SUM(X61,AP61)*10000+SUM(R61,AJ61)*100+SUM(L61,AD61)+0.002,1,0)+IF(AS61*1000000+SUM(U61,AM61)*10000+SUM(O61,AG61)*100+SUM(I61,AA61)+0.005&gt;AV61*1000000+SUM(X61,AP61)*10000+SUM(R61,AJ61)*100+SUM(L61,AD61)+0.002,1,0)+IF(AT61*1000000+SUM(V61,AN61)*10000+SUM(P61,AH61)*100+SUM(J61,AB61)+0.004&gt;AV61*1000000+SUM(X61,AP61)*10000+SUM(R61,AJ61)*100+SUM(L61,AD61)+0.002,1,0)+IF(AU61*1000000+SUM(W61,AO61)*10000+SUM(Q61,AI61)*100+SUM(K61,AC61)+0.003&gt;AV61*1000000+SUM(X61,AP61)*10000+SUM(R61,AJ61)*100+SUM(L61,AD61)+0.002,1,0)+IF(AW61*1000000+SUM(Y61,AQ61)*10000+SUM(S61,AK61)*100+SUM(M61,AE61)+0.001&gt;AV61*1000000+SUM(X61,AP61)*10000+SUM(R61,AJ61)*100+SUM(L61,AD61)+0.002,1,0)=0,"E",IF(IF(AR61*1000000+SUM(T61,AL61)*10000+SUM(N61,AF61)*100+SUM(H61,Z61)+0.006&gt;AW61*1000000+SUM(Y61,AQ61)*10000+SUM(S61,AK61)*100+SUM(M61,AE61)+0.001,1,0)+IF(AS61*1000000+SUM(U61,AM61)*10000+SUM(O61,AG61)*100+SUM(I61,AA61)+0.005&gt;AW61*1000000+SUM(Y61,AQ61)*10000+SUM(S61,AK61)*100+SUM(M61,AE61)+0.001,1,0)+IF(AT61*1000000+SUM(V61,AN61)*10000+SUM(P61,AH61)*100+SUM(J61,AB61)+0.004&gt;AW61*1000000+SUM(Y61,AQ61)*10000+SUM(S61,AK61)*100+SUM(M61,AE61)+0.001,1,0)+IF(AU61*1000000+SUM(W61,AO61)*10000+SUM(Q61,AI61)*100+SUM(K61,AC61)+0.003&gt;AW61*1000000+SUM(Y61,AQ61)*10000+SUM(S61,AK61)*100+SUM(M61,AE61)+0.001,1,0)+IF(AV61*1000000+SUM(X61,AP61)*10000+SUM(R61,AJ61)*100+SUM(L61,AD61)+0.002&gt;AW61*1000000+SUM(Y61,AQ61)*10000+SUM(S61,AK61)*100+SUM(M61,AE61)+0.001,1,0)=0,"C",""))))))&amp;IF(IF(AS61*1000000+SUM(U61,AM61)*10000+SUM(O61,AG61)*100+SUM(I61,AA61)+0.005&gt;AR61*1000000+SUM(T61,AL61)*10000+SUM(N61,AF61)*100+SUM(H61,Z61)+0.006,1,0)+IF(AT61*1000000+SUM(V61,AN61)*10000+SUM(P61,AH61)*100+SUM(J61,AB61)+0.004&gt;AR61*1000000+SUM(T61,AL61)*10000+SUM(N61,AF61)*100+SUM(H61,Z61)+0.006,1,0)+IF(AU61*1000000+SUM(W61,AO61)*10000+SUM(Q61,AI61)*100+SUM(K61,AC61)+0.003&gt;AR61*1000000+SUM(T61,AL61)*10000+SUM(N61,AF61)*100+SUM(H61,Z61)+0.006,1,0)+IF(AV61*1000000+SUM(X61,AP61)*10000+SUM(R61,AJ61)*100+SUM(L61,AD61)+0.002&gt;AR61*1000000+SUM(T61,AL61)*10000+SUM(N61,AF61)*100+SUM(H61,Z61)+0.006,1,0)+IF(AW61*1000000+SUM(Y61,AQ61)*10000+SUM(S61,AK61)*100+SUM(M61,AE61)+0.001&gt;AR61*1000000+SUM(T61,AL61)*10000+SUM(N61,AF61)*100+SUM(H61,Z61)+0.006,1,0)=1,"R",IF(IF(AR61*1000000+SUM(T61,AL61)*10000+SUM(N61,AF61)*100+SUM(H61,Z61)+0.006&gt;AS61*1000000+SUM(U61,AM61)*10000+SUM(O61,AG61)*100+SUM(I61,AA61)+0.005,1,0)+IF(AT61*1000000+SUM(V61,AN61)*10000+SUM(P61,AH61)*100+SUM(J61,AB61)+0.004&gt;AS61*1000000+SUM(U61,AM61)*10000+SUM(O61,AG61)*100+SUM(I61,AA61)+0.005,1,0)+IF(AU61*1000000+SUM(W61,AO61)*10000+SUM(Q61,AI61)*100+SUM(K61,AC61)+0.003&gt;AS61*1000000+SUM(U61,AM61)*10000+SUM(O61,AG61)*100+SUM(I61,AA61)+0.005,1,0)+IF(AV61*1000000+SUM(X61,AP61)*10000+SUM(R61,AJ61)*100+SUM(L61,AD61)+0.002&gt;AS61*1000000+SUM(U61,AM61)*10000+SUM(O61,AG61)*100+SUM(I61,AA61)+0.005,1,0)+IF(AW61*1000000+SUM(Y61,AQ61)*10000+SUM(S61,AK61)*100+SUM(M61,AE61)+0.001&gt;AS61*1000000+SUM(U61,AM61)*10000+SUM(O61,AG61)*100+SUM(I61,AA61)+0.005,1,0)=1,"I",IF(IF(AR61*1000000+SUM(T61,AL61)*10000+SUM(N61,AF61)*100+SUM(H61,Z61)+0.006&gt;AT61*1000000+SUM(V61,AN61)*10000+SUM(P61,AH61)*100+SUM(J61,AB61)+0.004,1,0)+IF(AS61*1000000+SUM(U61,AM61)*10000+SUM(O61,AG61)*100+SUM(I61,AA61)+0.005&gt;AT61*1000000+SUM(V61,AN61)*10000+SUM(P61,AH61)*100+SUM(J61,AB61)+0.004,1,0)+IF(AU61*1000000+SUM(W61,AO61)*10000+SUM(Q61,AI61)*100+SUM(K61,AC61)+0.003&gt;AT61*1000000+SUM(V61,AN61)*10000+SUM(P61,AH61)*100+SUM(J61,AB61)+0.004,1,0)+IF(AV61*1000000+SUM(X61,AP61)*10000+SUM(R61,AJ61)*100+SUM(L61,AD61)+0.002&gt;AT61*1000000+SUM(V61,AN61)*10000+SUM(P61,AH61)*100+SUM(J61,AB61)+0.004,1,0)+IF(AW61*1000000+SUM(Y61,AQ61)*10000+SUM(S61,AK61)*100+SUM(M61,AE61)+0.001&gt;AT61*1000000+SUM(V61,AN61)*10000+SUM(P61,AH61)*100+SUM(J61,AB61)+0.004,1,0)=1,"A",IF(IF(AR61*1000000+SUM(T61,AL61)*10000+SUM(N61,AF61)*100+SUM(H61,Z61)+0.006&gt;AU61*1000000+SUM(W61,AO61)*10000+SUM(Q61,AI61)*100+SUM(K61,AC61)+0.003,1,0)+IF(AS61*1000000+SUM(U61,AM61)*10000+SUM(O61,AG61)*100+SUM(I61,AA61)+0.005&gt;AU61*1000000+SUM(W61,AO61)*10000+SUM(Q61,AI61)*100+SUM(K61,AC61)+0.003,1,0)+IF(AT61*1000000+SUM(V61,AN61)*10000+SUM(P61,AH61)*100+SUM(J61,AB61)+0.004&gt;AU61*1000000+SUM(W61,AO61)*10000+SUM(Q61,AI61)*100+SUM(K61,AC61)+0.003,1,0)+IF(AV61*1000000+SUM(X61,AP61)*10000+SUM(R61,AJ61)*100+SUM(L61,AD61)+0.002&gt;AU61*1000000+SUM(W61,AO61)*10000+SUM(Q61,AI61)*100+SUM(K61,AC61)+0.003,1,0)+IF(AW61*1000000+SUM(Y61,AQ61)*10000+SUM(S61,AK61)*100+SUM(M61,AE61)+0.001&gt;AU61*1000000+SUM(W61,AO61)*10000+SUM(Q61,AI61)*100+SUM(K61,AC61)+0.003,1,0)=1,"S",IF(IF(AR61*1000000+SUM(T61,AL61)*10000+SUM(N61,AF61)*100+SUM(H61,Z61)+0.006&gt;AV61*1000000+SUM(X61,AP61)*10000+SUM(R61,AJ61)*100+SUM(L61,AD61)+0.002,1,0)+IF(AS61*1000000+SUM(U61,AM61)*10000+SUM(O61,AG61)*100+SUM(I61,AA61)+0.005&gt;AV61*1000000+SUM(X61,AP61)*10000+SUM(R61,AJ61)*100+SUM(L61,AD61)+0.002,1,0)+IF(AT61*1000000+SUM(V61,AN61)*10000+SUM(P61,AH61)*100+SUM(J61,AB61)+0.004&gt;AV61*1000000+SUM(X61,AP61)*10000+SUM(R61,AJ61)*100+SUM(L61,AD61)+0.002,1,0)+IF(AU61*1000000+SUM(W61,AO61)*10000+SUM(Q61,AI61)*100+SUM(K61,AC61)+0.003&gt;AV61*1000000+SUM(X61,AP61)*10000+SUM(R61,AJ61)*100+SUM(L61,AD61)+0.002,1,0)+IF(AW61*1000000+SUM(Y61,AQ61)*10000+SUM(S61,AK61)*100+SUM(M61,AE61)+0.001&gt;AV61*1000000+SUM(X61,AP61)*10000+SUM(R61,AJ61)*100+SUM(L61,AD61)+0.002,1,0)=1,"E",IF(IF(AR61*1000000+SUM(T61,AL61)*10000+SUM(N61,AF61)*100+SUM(H61,Z61)+0.006&gt;AW61*1000000+SUM(Y61,AQ61)*10000+SUM(S61,AK61)*100+SUM(M61,AE61)+0.001,1,0)+IF(AS61*1000000+SUM(U61,AM61)*10000+SUM(O61,AG61)*100+SUM(I61,AA61)+0.005&gt;AW61*1000000+SUM(Y61,AQ61)*10000+SUM(S61,AK61)*100+SUM(M61,AE61)+0.001,1,0)+IF(AT61*1000000+SUM(V61,AN61)*10000+SUM(P61,AH61)*100+SUM(J61,AB61)+0.004&gt;AW61*1000000+SUM(Y61,AQ61)*10000+SUM(S61,AK61)*100+SUM(M61,AE61)+0.001,1,0)+IF(AU61*1000000+SUM(W61,AO61)*10000+SUM(Q61,AI61)*100+SUM(K61,AC61)+0.003&gt;AW61*1000000+SUM(Y61,AQ61)*10000+SUM(S61,AK61)*100+SUM(M61,AE61)+0.001,1,0)+IF(AV61*1000000+SUM(X61,AP61)*10000+SUM(R61,AJ61)*100+SUM(L61,AD61)+0.002&gt;AW61*1000000+SUM(Y61,AQ61)*10000+SUM(S61,AK61)*100+SUM(M61,AE61)+0.001,1,0)=1,"C",""))))))&amp;IF(IF(AS61*1000000+SUM(U61,AM61)*10000+SUM(O61,AG61)*100+SUM(I61,AA61)+0.005&gt;AR61*1000000+SUM(T61,AL61)*10000+SUM(N61,AF61)*100+SUM(H61,Z61)+0.006,1,0)+IF(AT61*1000000+SUM(V61,AN61)*10000+SUM(P61,AH61)*100+SUM(J61,AB61)+0.004&gt;AR61*1000000+SUM(T61,AL61)*10000+SUM(N61,AF61)*100+SUM(H61,Z61)+0.006,1,0)+IF(AU61*1000000+SUM(W61,AO61)*10000+SUM(Q61,AI61)*100+SUM(K61,AC61)+0.003&gt;AR61*1000000+SUM(T61,AL61)*10000+SUM(N61,AF61)*100+SUM(H61,Z61)+0.006,1,0)+IF(AV61*1000000+SUM(X61,AP61)*10000+SUM(R61,AJ61)*100+SUM(L61,AD61)+0.002&gt;AR61*1000000+SUM(T61,AL61)*10000+SUM(N61,AF61)*100+SUM(H61,Z61)+0.006,1,0)+IF(AW61*1000000+SUM(Y61,AQ61)*10000+SUM(S61,AK61)*100+SUM(M61,AE61)+0.001&gt;AR61*1000000+SUM(T61,AL61)*10000+SUM(N61,AF61)*100+SUM(H61,Z61)+0.006,1,0)=2,"R",IF(IF(AR61*1000000+SUM(T61,AL61)*10000+SUM(N61,AF61)*100+SUM(H61,Z61)+0.006&gt;AS61*1000000+SUM(U61,AM61)*10000+SUM(O61,AG61)*100+SUM(I61,AA61)+0.005,1,0)+IF(AT61*1000000+SUM(V61,AN61)*10000+SUM(P61,AH61)*100+SUM(J61,AB61)+0.004&gt;AS61*1000000+SUM(U61,AM61)*10000+SUM(O61,AG61)*100+SUM(I61,AA61)+0.005,1,0)+IF(AU61*1000000+SUM(W61,AO61)*10000+SUM(Q61,AI61)*100+SUM(K61,AC61)+0.003&gt;AS61*1000000+SUM(U61,AM61)*10000+SUM(O61,AG61)*100+SUM(I61,AA61)+0.005,1,0)+IF(AV61*1000000+SUM(X61,AP61)*10000+SUM(R61,AJ61)*100+SUM(L61,AD61)+0.002&gt;AS61*1000000+SUM(U61,AM61)*10000+SUM(O61,AG61)*100+SUM(I61,AA61)+0.005,1,0)+IF(AW61*1000000+SUM(Y61,AQ61)*10000+SUM(S61,AK61)*100+SUM(M61,AE61)+0.001&gt;AS61*1000000+SUM(U61,AM61)*10000+SUM(O61,AG61)*100+SUM(I61,AA61)+0.005,1,0)=2,"I",IF(IF(AR61*1000000+SUM(T61,AL61)*10000+SUM(N61,AF61)*100+SUM(H61,Z61)+0.006&gt;AT61*1000000+SUM(V61,AN61)*10000+SUM(P61,AH61)*100+SUM(J61,AB61)+0.004,1,0)+IF(AS61*1000000+SUM(U61,AM61)*10000+SUM(O61,AG61)*100+SUM(I61,AA61)+0.005&gt;AT61*1000000+SUM(V61,AN61)*10000+SUM(P61,AH61)*100+SUM(J61,AB61)+0.004,1,0)+IF(AU61*1000000+SUM(W61,AO61)*10000+SUM(Q61,AI61)*100+SUM(K61,AC61)+0.003&gt;AT61*1000000+SUM(V61,AN61)*10000+SUM(P61,AH61)*100+SUM(J61,AB61)+0.004,1,0)+IF(AV61*1000000+SUM(X61,AP61)*10000+SUM(R61,AJ61)*100+SUM(L61,AD61)+0.002&gt;AT61*1000000+SUM(V61,AN61)*10000+SUM(P61,AH61)*100+SUM(J61,AB61)+0.004,1,0)+IF(AW61*1000000+SUM(Y61,AQ61)*10000+SUM(S61,AK61)*100+SUM(M61,AE61)+0.001&gt;AT61*1000000+SUM(V61,AN61)*10000+SUM(P61,AH61)*100+SUM(J61,AB61)+0.004,1,0)=2,"A",IF(IF(AR61*1000000+SUM(T61,AL61)*10000+SUM(N61,AF61)*100+SUM(H61,Z61)+0.006&gt;AU61*1000000+SUM(W61,AO61)*10000+SUM(Q61,AI61)*100+SUM(K61,AC61)+0.003,1,0)+IF(AS61*1000000+SUM(U61,AM61)*10000+SUM(O61,AG61)*100+SUM(I61,AA61)+0.005&gt;AU61*1000000+SUM(W61,AO61)*10000+SUM(Q61,AI61)*100+SUM(K61,AC61)+0.003,1,0)+IF(AT61*1000000+SUM(V61,AN61)*10000+SUM(P61,AH61)*100+SUM(J61,AB61)+0.004&gt;AU61*1000000+SUM(W61,AO61)*10000+SUM(Q61,AI61)*100+SUM(K61,AC61)+0.003,1,0)+IF(AV61*1000000+SUM(X61,AP61)*10000+SUM(R61,AJ61)*100+SUM(L61,AD61)+0.002&gt;AU61*1000000+SUM(W61,AO61)*10000+SUM(Q61,AI61)*100+SUM(K61,AC61)+0.003,1,0)+IF(AW61*1000000+SUM(Y61,AQ61)*10000+SUM(S61,AK61)*100+SUM(M61,AE61)+0.001&gt;AU61*1000000+SUM(W61,AO61)*10000+SUM(Q61,AI61)*100+SUM(K61,AC61)+0.003,1,0)=2,"S",IF(IF(AR61*1000000+SUM(T61,AL61)*10000+SUM(N61,AF61)*100+SUM(H61,Z61)+0.006&gt;AV61*1000000+SUM(X61,AP61)*10000+SUM(R61,AJ61)*100+SUM(L61,AD61)+0.002,1,0)+IF(AS61*1000000+SUM(U61,AM61)*10000+SUM(O61,AG61)*100+SUM(I61,AA61)+0.005&gt;AV61*1000000+SUM(X61,AP61)*10000+SUM(R61,AJ61)*100+SUM(L61,AD61)+0.002,1,0)+IF(AT61*1000000+SUM(V61,AN61)*10000+SUM(P61,AH61)*100+SUM(J61,AB61)+0.004&gt;AV61*1000000+SUM(X61,AP61)*10000+SUM(R61,AJ61)*100+SUM(L61,AD61)+0.002,1,0)+IF(AU61*1000000+SUM(W61,AO61)*10000+SUM(Q61,AI61)*100+SUM(K61,AC61)+0.003&gt;AV61*1000000+SUM(X61,AP61)*10000+SUM(R61,AJ61)*100+SUM(L61,AD61)+0.002,1,0)+IF(AW61*1000000+SUM(Y61,AQ61)*10000+SUM(S61,AK61)*100+SUM(M61,AE61)+0.001&gt;AV61*1000000+SUM(X61,AP61)*10000+SUM(R61,AJ61)*100+SUM(L61,AD61)+0.002,1,0)=2,"E",IF(IF(AR61*1000000+SUM(T61,AL61)*10000+SUM(N61,AF61)*100+SUM(H61,Z61)+0.006&gt;AW61*1000000+SUM(Y61,AQ61)*10000+SUM(S61,AK61)*100+SUM(M61,AE61)+0.001,1,0)+IF(AS61*1000000+SUM(U61,AM61)*10000+SUM(O61,AG61)*100+SUM(I61,AA61)+0.005&gt;AW61*1000000+SUM(Y61,AQ61)*10000+SUM(S61,AK61)*100+SUM(M61,AE61)+0.001,1,0)+IF(AT61*1000000+SUM(V61,AN61)*10000+SUM(P61,AH61)*100+SUM(J61,AB61)+0.004&gt;AW61*1000000+SUM(Y61,AQ61)*10000+SUM(S61,AK61)*100+SUM(M61,AE61)+0.001,1,0)+IF(AU61*1000000+SUM(W61,AO61)*10000+SUM(Q61,AI61)*100+SUM(K61,AC61)+0.003&gt;AW61*1000000+SUM(Y61,AQ61)*10000+SUM(S61,AK61)*100+SUM(M61,AE61)+0.001,1,0)+IF(AV61*1000000+SUM(X61,AP61)*10000+SUM(R61,AJ61)*100+SUM(L61,AD61)+0.002&gt;AW61*1000000+SUM(Y61,AQ61)*10000+SUM(S61,AK61)*100+SUM(M61,AE61)+0.001,1,0)=2,"C","")))))))</x:f>
      </x:c>
      <x:c r="AY61" s="27" t="str">
        <x:f>IF(C61="","",IF(LEFT(AX61,1)="R","นักปฏิบัติ",IF(LEFT(AX61,1)="I","นักคิดวิเคราะห์",IF(LEFT(AX61,1)="A","นักสร้างสรรค์",IF(LEFT(AX61,1)="S","ผู้เข้าใจผู้คน",IF(LEFT(AX61,1)="E","ผู้นำการเปลี่ยนแปลง","ผู้จัดระบบ"))))))</x:f>
      </x:c>
    </x:row>
    <x:row r="62">
      <x:c r="A62" s="27"/>
      <x:c r="B62" s="28"/>
      <x:c r="C62" s="27"/>
      <x:c r="D62" s="27"/>
      <x:c r="E62" s="27"/>
      <x:c r="F62" s="27"/>
      <x:c r="G62" s="27"/>
      <x:c r="H62" s="27"/>
      <x:c r="I62" s="27"/>
      <x:c r="J62" s="27"/>
      <x:c r="K62" s="27"/>
      <x:c r="L62" s="27"/>
      <x:c r="M62" s="27"/>
      <x:c r="N62" s="27"/>
      <x:c r="O62" s="27"/>
      <x:c r="P62" s="27"/>
      <x:c r="Q62" s="27"/>
      <x:c r="R62" s="27"/>
      <x:c r="S62" s="27"/>
      <x:c r="T62" s="27"/>
      <x:c r="U62" s="27"/>
      <x:c r="V62" s="27"/>
      <x:c r="W62" s="27"/>
      <x:c r="X62" s="27"/>
      <x:c r="Y62" s="27"/>
      <x:c r="Z62" s="27"/>
      <x:c r="AA62" s="27"/>
      <x:c r="AB62" s="27"/>
      <x:c r="AC62" s="27"/>
      <x:c r="AD62" s="27"/>
      <x:c r="AE62" s="27"/>
      <x:c r="AF62" s="27"/>
      <x:c r="AG62" s="27"/>
      <x:c r="AH62" s="27"/>
      <x:c r="AI62" s="27"/>
      <x:c r="AJ62" s="27"/>
      <x:c r="AK62" s="27"/>
      <x:c r="AL62" s="27"/>
      <x:c r="AM62" s="27"/>
      <x:c r="AN62" s="27"/>
      <x:c r="AO62" s="27"/>
      <x:c r="AP62" s="27"/>
      <x:c r="AQ62" s="27"/>
      <x:c r="AR62" s="27" t="str">
        <x:f>IF(C62="","",SUM(H62,N62,T62,Z62,AF62,AL62))</x:f>
      </x:c>
      <x:c r="AS62" s="27" t="str">
        <x:f>IF(C62="","",SUM(I62,O62,U62,AA62,AG62,AM62))</x:f>
      </x:c>
      <x:c r="AT62" s="27" t="str">
        <x:f>IF(C62="","",SUM(J62,P62,V62,AB62,AH62,AN62))</x:f>
      </x:c>
      <x:c r="AU62" s="27" t="str">
        <x:f>IF(C62="","",SUM(K62,Q62,W62,AC62,AI62,AO62))</x:f>
      </x:c>
      <x:c r="AV62" s="27" t="str">
        <x:f>IF(C62="","",SUM(L62,R62,X62,AD62,AJ62,AP62))</x:f>
      </x:c>
      <x:c r="AW62" s="27" t="str">
        <x:f>IF(C62="","",SUM(M62,S62,Y62,AE62,AK62,AQ62))</x:f>
      </x:c>
      <x:c r="AX62" s="27" t="str">
        <x:f>IF(C62="","",IF(IF(AS62*1000000+SUM(U62,AM62)*10000+SUM(O62,AG62)*100+SUM(I62,AA62)+0.005&gt;AR62*1000000+SUM(T62,AL62)*10000+SUM(N62,AF62)*100+SUM(H62,Z62)+0.006,1,0)+IF(AT62*1000000+SUM(V62,AN62)*10000+SUM(P62,AH62)*100+SUM(J62,AB62)+0.004&gt;AR62*1000000+SUM(T62,AL62)*10000+SUM(N62,AF62)*100+SUM(H62,Z62)+0.006,1,0)+IF(AU62*1000000+SUM(W62,AO62)*10000+SUM(Q62,AI62)*100+SUM(K62,AC62)+0.003&gt;AR62*1000000+SUM(T62,AL62)*10000+SUM(N62,AF62)*100+SUM(H62,Z62)+0.006,1,0)+IF(AV62*1000000+SUM(X62,AP62)*10000+SUM(R62,AJ62)*100+SUM(L62,AD62)+0.002&gt;AR62*1000000+SUM(T62,AL62)*10000+SUM(N62,AF62)*100+SUM(H62,Z62)+0.006,1,0)+IF(AW62*1000000+SUM(Y62,AQ62)*10000+SUM(S62,AK62)*100+SUM(M62,AE62)+0.001&gt;AR62*1000000+SUM(T62,AL62)*10000+SUM(N62,AF62)*100+SUM(H62,Z62)+0.006,1,0)=0,"R",IF(IF(AR62*1000000+SUM(T62,AL62)*10000+SUM(N62,AF62)*100+SUM(H62,Z62)+0.006&gt;AS62*1000000+SUM(U62,AM62)*10000+SUM(O62,AG62)*100+SUM(I62,AA62)+0.005,1,0)+IF(AT62*1000000+SUM(V62,AN62)*10000+SUM(P62,AH62)*100+SUM(J62,AB62)+0.004&gt;AS62*1000000+SUM(U62,AM62)*10000+SUM(O62,AG62)*100+SUM(I62,AA62)+0.005,1,0)+IF(AU62*1000000+SUM(W62,AO62)*10000+SUM(Q62,AI62)*100+SUM(K62,AC62)+0.003&gt;AS62*1000000+SUM(U62,AM62)*10000+SUM(O62,AG62)*100+SUM(I62,AA62)+0.005,1,0)+IF(AV62*1000000+SUM(X62,AP62)*10000+SUM(R62,AJ62)*100+SUM(L62,AD62)+0.002&gt;AS62*1000000+SUM(U62,AM62)*10000+SUM(O62,AG62)*100+SUM(I62,AA62)+0.005,1,0)+IF(AW62*1000000+SUM(Y62,AQ62)*10000+SUM(S62,AK62)*100+SUM(M62,AE62)+0.001&gt;AS62*1000000+SUM(U62,AM62)*10000+SUM(O62,AG62)*100+SUM(I62,AA62)+0.005,1,0)=0,"I",IF(IF(AR62*1000000+SUM(T62,AL62)*10000+SUM(N62,AF62)*100+SUM(H62,Z62)+0.006&gt;AT62*1000000+SUM(V62,AN62)*10000+SUM(P62,AH62)*100+SUM(J62,AB62)+0.004,1,0)+IF(AS62*1000000+SUM(U62,AM62)*10000+SUM(O62,AG62)*100+SUM(I62,AA62)+0.005&gt;AT62*1000000+SUM(V62,AN62)*10000+SUM(P62,AH62)*100+SUM(J62,AB62)+0.004,1,0)+IF(AU62*1000000+SUM(W62,AO62)*10000+SUM(Q62,AI62)*100+SUM(K62,AC62)+0.003&gt;AT62*1000000+SUM(V62,AN62)*10000+SUM(P62,AH62)*100+SUM(J62,AB62)+0.004,1,0)+IF(AV62*1000000+SUM(X62,AP62)*10000+SUM(R62,AJ62)*100+SUM(L62,AD62)+0.002&gt;AT62*1000000+SUM(V62,AN62)*10000+SUM(P62,AH62)*100+SUM(J62,AB62)+0.004,1,0)+IF(AW62*1000000+SUM(Y62,AQ62)*10000+SUM(S62,AK62)*100+SUM(M62,AE62)+0.001&gt;AT62*1000000+SUM(V62,AN62)*10000+SUM(P62,AH62)*100+SUM(J62,AB62)+0.004,1,0)=0,"A",IF(IF(AR62*1000000+SUM(T62,AL62)*10000+SUM(N62,AF62)*100+SUM(H62,Z62)+0.006&gt;AU62*1000000+SUM(W62,AO62)*10000+SUM(Q62,AI62)*100+SUM(K62,AC62)+0.003,1,0)+IF(AS62*1000000+SUM(U62,AM62)*10000+SUM(O62,AG62)*100+SUM(I62,AA62)+0.005&gt;AU62*1000000+SUM(W62,AO62)*10000+SUM(Q62,AI62)*100+SUM(K62,AC62)+0.003,1,0)+IF(AT62*1000000+SUM(V62,AN62)*10000+SUM(P62,AH62)*100+SUM(J62,AB62)+0.004&gt;AU62*1000000+SUM(W62,AO62)*10000+SUM(Q62,AI62)*100+SUM(K62,AC62)+0.003,1,0)+IF(AV62*1000000+SUM(X62,AP62)*10000+SUM(R62,AJ62)*100+SUM(L62,AD62)+0.002&gt;AU62*1000000+SUM(W62,AO62)*10000+SUM(Q62,AI62)*100+SUM(K62,AC62)+0.003,1,0)+IF(AW62*1000000+SUM(Y62,AQ62)*10000+SUM(S62,AK62)*100+SUM(M62,AE62)+0.001&gt;AU62*1000000+SUM(W62,AO62)*10000+SUM(Q62,AI62)*100+SUM(K62,AC62)+0.003,1,0)=0,"S",IF(IF(AR62*1000000+SUM(T62,AL62)*10000+SUM(N62,AF62)*100+SUM(H62,Z62)+0.006&gt;AV62*1000000+SUM(X62,AP62)*10000+SUM(R62,AJ62)*100+SUM(L62,AD62)+0.002,1,0)+IF(AS62*1000000+SUM(U62,AM62)*10000+SUM(O62,AG62)*100+SUM(I62,AA62)+0.005&gt;AV62*1000000+SUM(X62,AP62)*10000+SUM(R62,AJ62)*100+SUM(L62,AD62)+0.002,1,0)+IF(AT62*1000000+SUM(V62,AN62)*10000+SUM(P62,AH62)*100+SUM(J62,AB62)+0.004&gt;AV62*1000000+SUM(X62,AP62)*10000+SUM(R62,AJ62)*100+SUM(L62,AD62)+0.002,1,0)+IF(AU62*1000000+SUM(W62,AO62)*10000+SUM(Q62,AI62)*100+SUM(K62,AC62)+0.003&gt;AV62*1000000+SUM(X62,AP62)*10000+SUM(R62,AJ62)*100+SUM(L62,AD62)+0.002,1,0)+IF(AW62*1000000+SUM(Y62,AQ62)*10000+SUM(S62,AK62)*100+SUM(M62,AE62)+0.001&gt;AV62*1000000+SUM(X62,AP62)*10000+SUM(R62,AJ62)*100+SUM(L62,AD62)+0.002,1,0)=0,"E",IF(IF(AR62*1000000+SUM(T62,AL62)*10000+SUM(N62,AF62)*100+SUM(H62,Z62)+0.006&gt;AW62*1000000+SUM(Y62,AQ62)*10000+SUM(S62,AK62)*100+SUM(M62,AE62)+0.001,1,0)+IF(AS62*1000000+SUM(U62,AM62)*10000+SUM(O62,AG62)*100+SUM(I62,AA62)+0.005&gt;AW62*1000000+SUM(Y62,AQ62)*10000+SUM(S62,AK62)*100+SUM(M62,AE62)+0.001,1,0)+IF(AT62*1000000+SUM(V62,AN62)*10000+SUM(P62,AH62)*100+SUM(J62,AB62)+0.004&gt;AW62*1000000+SUM(Y62,AQ62)*10000+SUM(S62,AK62)*100+SUM(M62,AE62)+0.001,1,0)+IF(AU62*1000000+SUM(W62,AO62)*10000+SUM(Q62,AI62)*100+SUM(K62,AC62)+0.003&gt;AW62*1000000+SUM(Y62,AQ62)*10000+SUM(S62,AK62)*100+SUM(M62,AE62)+0.001,1,0)+IF(AV62*1000000+SUM(X62,AP62)*10000+SUM(R62,AJ62)*100+SUM(L62,AD62)+0.002&gt;AW62*1000000+SUM(Y62,AQ62)*10000+SUM(S62,AK62)*100+SUM(M62,AE62)+0.001,1,0)=0,"C",""))))))&amp;IF(IF(AS62*1000000+SUM(U62,AM62)*10000+SUM(O62,AG62)*100+SUM(I62,AA62)+0.005&gt;AR62*1000000+SUM(T62,AL62)*10000+SUM(N62,AF62)*100+SUM(H62,Z62)+0.006,1,0)+IF(AT62*1000000+SUM(V62,AN62)*10000+SUM(P62,AH62)*100+SUM(J62,AB62)+0.004&gt;AR62*1000000+SUM(T62,AL62)*10000+SUM(N62,AF62)*100+SUM(H62,Z62)+0.006,1,0)+IF(AU62*1000000+SUM(W62,AO62)*10000+SUM(Q62,AI62)*100+SUM(K62,AC62)+0.003&gt;AR62*1000000+SUM(T62,AL62)*10000+SUM(N62,AF62)*100+SUM(H62,Z62)+0.006,1,0)+IF(AV62*1000000+SUM(X62,AP62)*10000+SUM(R62,AJ62)*100+SUM(L62,AD62)+0.002&gt;AR62*1000000+SUM(T62,AL62)*10000+SUM(N62,AF62)*100+SUM(H62,Z62)+0.006,1,0)+IF(AW62*1000000+SUM(Y62,AQ62)*10000+SUM(S62,AK62)*100+SUM(M62,AE62)+0.001&gt;AR62*1000000+SUM(T62,AL62)*10000+SUM(N62,AF62)*100+SUM(H62,Z62)+0.006,1,0)=1,"R",IF(IF(AR62*1000000+SUM(T62,AL62)*10000+SUM(N62,AF62)*100+SUM(H62,Z62)+0.006&gt;AS62*1000000+SUM(U62,AM62)*10000+SUM(O62,AG62)*100+SUM(I62,AA62)+0.005,1,0)+IF(AT62*1000000+SUM(V62,AN62)*10000+SUM(P62,AH62)*100+SUM(J62,AB62)+0.004&gt;AS62*1000000+SUM(U62,AM62)*10000+SUM(O62,AG62)*100+SUM(I62,AA62)+0.005,1,0)+IF(AU62*1000000+SUM(W62,AO62)*10000+SUM(Q62,AI62)*100+SUM(K62,AC62)+0.003&gt;AS62*1000000+SUM(U62,AM62)*10000+SUM(O62,AG62)*100+SUM(I62,AA62)+0.005,1,0)+IF(AV62*1000000+SUM(X62,AP62)*10000+SUM(R62,AJ62)*100+SUM(L62,AD62)+0.002&gt;AS62*1000000+SUM(U62,AM62)*10000+SUM(O62,AG62)*100+SUM(I62,AA62)+0.005,1,0)+IF(AW62*1000000+SUM(Y62,AQ62)*10000+SUM(S62,AK62)*100+SUM(M62,AE62)+0.001&gt;AS62*1000000+SUM(U62,AM62)*10000+SUM(O62,AG62)*100+SUM(I62,AA62)+0.005,1,0)=1,"I",IF(IF(AR62*1000000+SUM(T62,AL62)*10000+SUM(N62,AF62)*100+SUM(H62,Z62)+0.006&gt;AT62*1000000+SUM(V62,AN62)*10000+SUM(P62,AH62)*100+SUM(J62,AB62)+0.004,1,0)+IF(AS62*1000000+SUM(U62,AM62)*10000+SUM(O62,AG62)*100+SUM(I62,AA62)+0.005&gt;AT62*1000000+SUM(V62,AN62)*10000+SUM(P62,AH62)*100+SUM(J62,AB62)+0.004,1,0)+IF(AU62*1000000+SUM(W62,AO62)*10000+SUM(Q62,AI62)*100+SUM(K62,AC62)+0.003&gt;AT62*1000000+SUM(V62,AN62)*10000+SUM(P62,AH62)*100+SUM(J62,AB62)+0.004,1,0)+IF(AV62*1000000+SUM(X62,AP62)*10000+SUM(R62,AJ62)*100+SUM(L62,AD62)+0.002&gt;AT62*1000000+SUM(V62,AN62)*10000+SUM(P62,AH62)*100+SUM(J62,AB62)+0.004,1,0)+IF(AW62*1000000+SUM(Y62,AQ62)*10000+SUM(S62,AK62)*100+SUM(M62,AE62)+0.001&gt;AT62*1000000+SUM(V62,AN62)*10000+SUM(P62,AH62)*100+SUM(J62,AB62)+0.004,1,0)=1,"A",IF(IF(AR62*1000000+SUM(T62,AL62)*10000+SUM(N62,AF62)*100+SUM(H62,Z62)+0.006&gt;AU62*1000000+SUM(W62,AO62)*10000+SUM(Q62,AI62)*100+SUM(K62,AC62)+0.003,1,0)+IF(AS62*1000000+SUM(U62,AM62)*10000+SUM(O62,AG62)*100+SUM(I62,AA62)+0.005&gt;AU62*1000000+SUM(W62,AO62)*10000+SUM(Q62,AI62)*100+SUM(K62,AC62)+0.003,1,0)+IF(AT62*1000000+SUM(V62,AN62)*10000+SUM(P62,AH62)*100+SUM(J62,AB62)+0.004&gt;AU62*1000000+SUM(W62,AO62)*10000+SUM(Q62,AI62)*100+SUM(K62,AC62)+0.003,1,0)+IF(AV62*1000000+SUM(X62,AP62)*10000+SUM(R62,AJ62)*100+SUM(L62,AD62)+0.002&gt;AU62*1000000+SUM(W62,AO62)*10000+SUM(Q62,AI62)*100+SUM(K62,AC62)+0.003,1,0)+IF(AW62*1000000+SUM(Y62,AQ62)*10000+SUM(S62,AK62)*100+SUM(M62,AE62)+0.001&gt;AU62*1000000+SUM(W62,AO62)*10000+SUM(Q62,AI62)*100+SUM(K62,AC62)+0.003,1,0)=1,"S",IF(IF(AR62*1000000+SUM(T62,AL62)*10000+SUM(N62,AF62)*100+SUM(H62,Z62)+0.006&gt;AV62*1000000+SUM(X62,AP62)*10000+SUM(R62,AJ62)*100+SUM(L62,AD62)+0.002,1,0)+IF(AS62*1000000+SUM(U62,AM62)*10000+SUM(O62,AG62)*100+SUM(I62,AA62)+0.005&gt;AV62*1000000+SUM(X62,AP62)*10000+SUM(R62,AJ62)*100+SUM(L62,AD62)+0.002,1,0)+IF(AT62*1000000+SUM(V62,AN62)*10000+SUM(P62,AH62)*100+SUM(J62,AB62)+0.004&gt;AV62*1000000+SUM(X62,AP62)*10000+SUM(R62,AJ62)*100+SUM(L62,AD62)+0.002,1,0)+IF(AU62*1000000+SUM(W62,AO62)*10000+SUM(Q62,AI62)*100+SUM(K62,AC62)+0.003&gt;AV62*1000000+SUM(X62,AP62)*10000+SUM(R62,AJ62)*100+SUM(L62,AD62)+0.002,1,0)+IF(AW62*1000000+SUM(Y62,AQ62)*10000+SUM(S62,AK62)*100+SUM(M62,AE62)+0.001&gt;AV62*1000000+SUM(X62,AP62)*10000+SUM(R62,AJ62)*100+SUM(L62,AD62)+0.002,1,0)=1,"E",IF(IF(AR62*1000000+SUM(T62,AL62)*10000+SUM(N62,AF62)*100+SUM(H62,Z62)+0.006&gt;AW62*1000000+SUM(Y62,AQ62)*10000+SUM(S62,AK62)*100+SUM(M62,AE62)+0.001,1,0)+IF(AS62*1000000+SUM(U62,AM62)*10000+SUM(O62,AG62)*100+SUM(I62,AA62)+0.005&gt;AW62*1000000+SUM(Y62,AQ62)*10000+SUM(S62,AK62)*100+SUM(M62,AE62)+0.001,1,0)+IF(AT62*1000000+SUM(V62,AN62)*10000+SUM(P62,AH62)*100+SUM(J62,AB62)+0.004&gt;AW62*1000000+SUM(Y62,AQ62)*10000+SUM(S62,AK62)*100+SUM(M62,AE62)+0.001,1,0)+IF(AU62*1000000+SUM(W62,AO62)*10000+SUM(Q62,AI62)*100+SUM(K62,AC62)+0.003&gt;AW62*1000000+SUM(Y62,AQ62)*10000+SUM(S62,AK62)*100+SUM(M62,AE62)+0.001,1,0)+IF(AV62*1000000+SUM(X62,AP62)*10000+SUM(R62,AJ62)*100+SUM(L62,AD62)+0.002&gt;AW62*1000000+SUM(Y62,AQ62)*10000+SUM(S62,AK62)*100+SUM(M62,AE62)+0.001,1,0)=1,"C",""))))))&amp;IF(IF(AS62*1000000+SUM(U62,AM62)*10000+SUM(O62,AG62)*100+SUM(I62,AA62)+0.005&gt;AR62*1000000+SUM(T62,AL62)*10000+SUM(N62,AF62)*100+SUM(H62,Z62)+0.006,1,0)+IF(AT62*1000000+SUM(V62,AN62)*10000+SUM(P62,AH62)*100+SUM(J62,AB62)+0.004&gt;AR62*1000000+SUM(T62,AL62)*10000+SUM(N62,AF62)*100+SUM(H62,Z62)+0.006,1,0)+IF(AU62*1000000+SUM(W62,AO62)*10000+SUM(Q62,AI62)*100+SUM(K62,AC62)+0.003&gt;AR62*1000000+SUM(T62,AL62)*10000+SUM(N62,AF62)*100+SUM(H62,Z62)+0.006,1,0)+IF(AV62*1000000+SUM(X62,AP62)*10000+SUM(R62,AJ62)*100+SUM(L62,AD62)+0.002&gt;AR62*1000000+SUM(T62,AL62)*10000+SUM(N62,AF62)*100+SUM(H62,Z62)+0.006,1,0)+IF(AW62*1000000+SUM(Y62,AQ62)*10000+SUM(S62,AK62)*100+SUM(M62,AE62)+0.001&gt;AR62*1000000+SUM(T62,AL62)*10000+SUM(N62,AF62)*100+SUM(H62,Z62)+0.006,1,0)=2,"R",IF(IF(AR62*1000000+SUM(T62,AL62)*10000+SUM(N62,AF62)*100+SUM(H62,Z62)+0.006&gt;AS62*1000000+SUM(U62,AM62)*10000+SUM(O62,AG62)*100+SUM(I62,AA62)+0.005,1,0)+IF(AT62*1000000+SUM(V62,AN62)*10000+SUM(P62,AH62)*100+SUM(J62,AB62)+0.004&gt;AS62*1000000+SUM(U62,AM62)*10000+SUM(O62,AG62)*100+SUM(I62,AA62)+0.005,1,0)+IF(AU62*1000000+SUM(W62,AO62)*10000+SUM(Q62,AI62)*100+SUM(K62,AC62)+0.003&gt;AS62*1000000+SUM(U62,AM62)*10000+SUM(O62,AG62)*100+SUM(I62,AA62)+0.005,1,0)+IF(AV62*1000000+SUM(X62,AP62)*10000+SUM(R62,AJ62)*100+SUM(L62,AD62)+0.002&gt;AS62*1000000+SUM(U62,AM62)*10000+SUM(O62,AG62)*100+SUM(I62,AA62)+0.005,1,0)+IF(AW62*1000000+SUM(Y62,AQ62)*10000+SUM(S62,AK62)*100+SUM(M62,AE62)+0.001&gt;AS62*1000000+SUM(U62,AM62)*10000+SUM(O62,AG62)*100+SUM(I62,AA62)+0.005,1,0)=2,"I",IF(IF(AR62*1000000+SUM(T62,AL62)*10000+SUM(N62,AF62)*100+SUM(H62,Z62)+0.006&gt;AT62*1000000+SUM(V62,AN62)*10000+SUM(P62,AH62)*100+SUM(J62,AB62)+0.004,1,0)+IF(AS62*1000000+SUM(U62,AM62)*10000+SUM(O62,AG62)*100+SUM(I62,AA62)+0.005&gt;AT62*1000000+SUM(V62,AN62)*10000+SUM(P62,AH62)*100+SUM(J62,AB62)+0.004,1,0)+IF(AU62*1000000+SUM(W62,AO62)*10000+SUM(Q62,AI62)*100+SUM(K62,AC62)+0.003&gt;AT62*1000000+SUM(V62,AN62)*10000+SUM(P62,AH62)*100+SUM(J62,AB62)+0.004,1,0)+IF(AV62*1000000+SUM(X62,AP62)*10000+SUM(R62,AJ62)*100+SUM(L62,AD62)+0.002&gt;AT62*1000000+SUM(V62,AN62)*10000+SUM(P62,AH62)*100+SUM(J62,AB62)+0.004,1,0)+IF(AW62*1000000+SUM(Y62,AQ62)*10000+SUM(S62,AK62)*100+SUM(M62,AE62)+0.001&gt;AT62*1000000+SUM(V62,AN62)*10000+SUM(P62,AH62)*100+SUM(J62,AB62)+0.004,1,0)=2,"A",IF(IF(AR62*1000000+SUM(T62,AL62)*10000+SUM(N62,AF62)*100+SUM(H62,Z62)+0.006&gt;AU62*1000000+SUM(W62,AO62)*10000+SUM(Q62,AI62)*100+SUM(K62,AC62)+0.003,1,0)+IF(AS62*1000000+SUM(U62,AM62)*10000+SUM(O62,AG62)*100+SUM(I62,AA62)+0.005&gt;AU62*1000000+SUM(W62,AO62)*10000+SUM(Q62,AI62)*100+SUM(K62,AC62)+0.003,1,0)+IF(AT62*1000000+SUM(V62,AN62)*10000+SUM(P62,AH62)*100+SUM(J62,AB62)+0.004&gt;AU62*1000000+SUM(W62,AO62)*10000+SUM(Q62,AI62)*100+SUM(K62,AC62)+0.003,1,0)+IF(AV62*1000000+SUM(X62,AP62)*10000+SUM(R62,AJ62)*100+SUM(L62,AD62)+0.002&gt;AU62*1000000+SUM(W62,AO62)*10000+SUM(Q62,AI62)*100+SUM(K62,AC62)+0.003,1,0)+IF(AW62*1000000+SUM(Y62,AQ62)*10000+SUM(S62,AK62)*100+SUM(M62,AE62)+0.001&gt;AU62*1000000+SUM(W62,AO62)*10000+SUM(Q62,AI62)*100+SUM(K62,AC62)+0.003,1,0)=2,"S",IF(IF(AR62*1000000+SUM(T62,AL62)*10000+SUM(N62,AF62)*100+SUM(H62,Z62)+0.006&gt;AV62*1000000+SUM(X62,AP62)*10000+SUM(R62,AJ62)*100+SUM(L62,AD62)+0.002,1,0)+IF(AS62*1000000+SUM(U62,AM62)*10000+SUM(O62,AG62)*100+SUM(I62,AA62)+0.005&gt;AV62*1000000+SUM(X62,AP62)*10000+SUM(R62,AJ62)*100+SUM(L62,AD62)+0.002,1,0)+IF(AT62*1000000+SUM(V62,AN62)*10000+SUM(P62,AH62)*100+SUM(J62,AB62)+0.004&gt;AV62*1000000+SUM(X62,AP62)*10000+SUM(R62,AJ62)*100+SUM(L62,AD62)+0.002,1,0)+IF(AU62*1000000+SUM(W62,AO62)*10000+SUM(Q62,AI62)*100+SUM(K62,AC62)+0.003&gt;AV62*1000000+SUM(X62,AP62)*10000+SUM(R62,AJ62)*100+SUM(L62,AD62)+0.002,1,0)+IF(AW62*1000000+SUM(Y62,AQ62)*10000+SUM(S62,AK62)*100+SUM(M62,AE62)+0.001&gt;AV62*1000000+SUM(X62,AP62)*10000+SUM(R62,AJ62)*100+SUM(L62,AD62)+0.002,1,0)=2,"E",IF(IF(AR62*1000000+SUM(T62,AL62)*10000+SUM(N62,AF62)*100+SUM(H62,Z62)+0.006&gt;AW62*1000000+SUM(Y62,AQ62)*10000+SUM(S62,AK62)*100+SUM(M62,AE62)+0.001,1,0)+IF(AS62*1000000+SUM(U62,AM62)*10000+SUM(O62,AG62)*100+SUM(I62,AA62)+0.005&gt;AW62*1000000+SUM(Y62,AQ62)*10000+SUM(S62,AK62)*100+SUM(M62,AE62)+0.001,1,0)+IF(AT62*1000000+SUM(V62,AN62)*10000+SUM(P62,AH62)*100+SUM(J62,AB62)+0.004&gt;AW62*1000000+SUM(Y62,AQ62)*10000+SUM(S62,AK62)*100+SUM(M62,AE62)+0.001,1,0)+IF(AU62*1000000+SUM(W62,AO62)*10000+SUM(Q62,AI62)*100+SUM(K62,AC62)+0.003&gt;AW62*1000000+SUM(Y62,AQ62)*10000+SUM(S62,AK62)*100+SUM(M62,AE62)+0.001,1,0)+IF(AV62*1000000+SUM(X62,AP62)*10000+SUM(R62,AJ62)*100+SUM(L62,AD62)+0.002&gt;AW62*1000000+SUM(Y62,AQ62)*10000+SUM(S62,AK62)*100+SUM(M62,AE62)+0.001,1,0)=2,"C","")))))))</x:f>
      </x:c>
      <x:c r="AY62" s="27" t="str">
        <x:f>IF(C62="","",IF(LEFT(AX62,1)="R","นักปฏิบัติ",IF(LEFT(AX62,1)="I","นักคิดวิเคราะห์",IF(LEFT(AX62,1)="A","นักสร้างสรรค์",IF(LEFT(AX62,1)="S","ผู้เข้าใจผู้คน",IF(LEFT(AX62,1)="E","ผู้นำการเปลี่ยนแปลง","ผู้จัดระบบ"))))))</x:f>
      </x:c>
    </x:row>
    <x:row r="63">
      <x:c r="A63" s="27"/>
      <x:c r="B63" s="28"/>
      <x:c r="C63" s="27"/>
      <x:c r="D63" s="27"/>
      <x:c r="E63" s="27"/>
      <x:c r="F63" s="27"/>
      <x:c r="G63" s="27"/>
      <x:c r="H63" s="27"/>
      <x:c r="I63" s="27"/>
      <x:c r="J63" s="27"/>
      <x:c r="K63" s="27"/>
      <x:c r="L63" s="27"/>
      <x:c r="M63" s="27"/>
      <x:c r="N63" s="27"/>
      <x:c r="O63" s="27"/>
      <x:c r="P63" s="27"/>
      <x:c r="Q63" s="27"/>
      <x:c r="R63" s="27"/>
      <x:c r="S63" s="27"/>
      <x:c r="T63" s="27"/>
      <x:c r="U63" s="27"/>
      <x:c r="V63" s="27"/>
      <x:c r="W63" s="27"/>
      <x:c r="X63" s="27"/>
      <x:c r="Y63" s="27"/>
      <x:c r="Z63" s="27"/>
      <x:c r="AA63" s="27"/>
      <x:c r="AB63" s="27"/>
      <x:c r="AC63" s="27"/>
      <x:c r="AD63" s="27"/>
      <x:c r="AE63" s="27"/>
      <x:c r="AF63" s="27"/>
      <x:c r="AG63" s="27"/>
      <x:c r="AH63" s="27"/>
      <x:c r="AI63" s="27"/>
      <x:c r="AJ63" s="27"/>
      <x:c r="AK63" s="27"/>
      <x:c r="AL63" s="27"/>
      <x:c r="AM63" s="27"/>
      <x:c r="AN63" s="27"/>
      <x:c r="AO63" s="27"/>
      <x:c r="AP63" s="27"/>
      <x:c r="AQ63" s="27"/>
      <x:c r="AR63" s="27" t="str">
        <x:f>IF(C63="","",SUM(H63,N63,T63,Z63,AF63,AL63))</x:f>
      </x:c>
      <x:c r="AS63" s="27" t="str">
        <x:f>IF(C63="","",SUM(I63,O63,U63,AA63,AG63,AM63))</x:f>
      </x:c>
      <x:c r="AT63" s="27" t="str">
        <x:f>IF(C63="","",SUM(J63,P63,V63,AB63,AH63,AN63))</x:f>
      </x:c>
      <x:c r="AU63" s="27" t="str">
        <x:f>IF(C63="","",SUM(K63,Q63,W63,AC63,AI63,AO63))</x:f>
      </x:c>
      <x:c r="AV63" s="27" t="str">
        <x:f>IF(C63="","",SUM(L63,R63,X63,AD63,AJ63,AP63))</x:f>
      </x:c>
      <x:c r="AW63" s="27" t="str">
        <x:f>IF(C63="","",SUM(M63,S63,Y63,AE63,AK63,AQ63))</x:f>
      </x:c>
      <x:c r="AX63" s="27" t="str">
        <x:f>IF(C63="","",IF(IF(AS63*1000000+SUM(U63,AM63)*10000+SUM(O63,AG63)*100+SUM(I63,AA63)+0.005&gt;AR63*1000000+SUM(T63,AL63)*10000+SUM(N63,AF63)*100+SUM(H63,Z63)+0.006,1,0)+IF(AT63*1000000+SUM(V63,AN63)*10000+SUM(P63,AH63)*100+SUM(J63,AB63)+0.004&gt;AR63*1000000+SUM(T63,AL63)*10000+SUM(N63,AF63)*100+SUM(H63,Z63)+0.006,1,0)+IF(AU63*1000000+SUM(W63,AO63)*10000+SUM(Q63,AI63)*100+SUM(K63,AC63)+0.003&gt;AR63*1000000+SUM(T63,AL63)*10000+SUM(N63,AF63)*100+SUM(H63,Z63)+0.006,1,0)+IF(AV63*1000000+SUM(X63,AP63)*10000+SUM(R63,AJ63)*100+SUM(L63,AD63)+0.002&gt;AR63*1000000+SUM(T63,AL63)*10000+SUM(N63,AF63)*100+SUM(H63,Z63)+0.006,1,0)+IF(AW63*1000000+SUM(Y63,AQ63)*10000+SUM(S63,AK63)*100+SUM(M63,AE63)+0.001&gt;AR63*1000000+SUM(T63,AL63)*10000+SUM(N63,AF63)*100+SUM(H63,Z63)+0.006,1,0)=0,"R",IF(IF(AR63*1000000+SUM(T63,AL63)*10000+SUM(N63,AF63)*100+SUM(H63,Z63)+0.006&gt;AS63*1000000+SUM(U63,AM63)*10000+SUM(O63,AG63)*100+SUM(I63,AA63)+0.005,1,0)+IF(AT63*1000000+SUM(V63,AN63)*10000+SUM(P63,AH63)*100+SUM(J63,AB63)+0.004&gt;AS63*1000000+SUM(U63,AM63)*10000+SUM(O63,AG63)*100+SUM(I63,AA63)+0.005,1,0)+IF(AU63*1000000+SUM(W63,AO63)*10000+SUM(Q63,AI63)*100+SUM(K63,AC63)+0.003&gt;AS63*1000000+SUM(U63,AM63)*10000+SUM(O63,AG63)*100+SUM(I63,AA63)+0.005,1,0)+IF(AV63*1000000+SUM(X63,AP63)*10000+SUM(R63,AJ63)*100+SUM(L63,AD63)+0.002&gt;AS63*1000000+SUM(U63,AM63)*10000+SUM(O63,AG63)*100+SUM(I63,AA63)+0.005,1,0)+IF(AW63*1000000+SUM(Y63,AQ63)*10000+SUM(S63,AK63)*100+SUM(M63,AE63)+0.001&gt;AS63*1000000+SUM(U63,AM63)*10000+SUM(O63,AG63)*100+SUM(I63,AA63)+0.005,1,0)=0,"I",IF(IF(AR63*1000000+SUM(T63,AL63)*10000+SUM(N63,AF63)*100+SUM(H63,Z63)+0.006&gt;AT63*1000000+SUM(V63,AN63)*10000+SUM(P63,AH63)*100+SUM(J63,AB63)+0.004,1,0)+IF(AS63*1000000+SUM(U63,AM63)*10000+SUM(O63,AG63)*100+SUM(I63,AA63)+0.005&gt;AT63*1000000+SUM(V63,AN63)*10000+SUM(P63,AH63)*100+SUM(J63,AB63)+0.004,1,0)+IF(AU63*1000000+SUM(W63,AO63)*10000+SUM(Q63,AI63)*100+SUM(K63,AC63)+0.003&gt;AT63*1000000+SUM(V63,AN63)*10000+SUM(P63,AH63)*100+SUM(J63,AB63)+0.004,1,0)+IF(AV63*1000000+SUM(X63,AP63)*10000+SUM(R63,AJ63)*100+SUM(L63,AD63)+0.002&gt;AT63*1000000+SUM(V63,AN63)*10000+SUM(P63,AH63)*100+SUM(J63,AB63)+0.004,1,0)+IF(AW63*1000000+SUM(Y63,AQ63)*10000+SUM(S63,AK63)*100+SUM(M63,AE63)+0.001&gt;AT63*1000000+SUM(V63,AN63)*10000+SUM(P63,AH63)*100+SUM(J63,AB63)+0.004,1,0)=0,"A",IF(IF(AR63*1000000+SUM(T63,AL63)*10000+SUM(N63,AF63)*100+SUM(H63,Z63)+0.006&gt;AU63*1000000+SUM(W63,AO63)*10000+SUM(Q63,AI63)*100+SUM(K63,AC63)+0.003,1,0)+IF(AS63*1000000+SUM(U63,AM63)*10000+SUM(O63,AG63)*100+SUM(I63,AA63)+0.005&gt;AU63*1000000+SUM(W63,AO63)*10000+SUM(Q63,AI63)*100+SUM(K63,AC63)+0.003,1,0)+IF(AT63*1000000+SUM(V63,AN63)*10000+SUM(P63,AH63)*100+SUM(J63,AB63)+0.004&gt;AU63*1000000+SUM(W63,AO63)*10000+SUM(Q63,AI63)*100+SUM(K63,AC63)+0.003,1,0)+IF(AV63*1000000+SUM(X63,AP63)*10000+SUM(R63,AJ63)*100+SUM(L63,AD63)+0.002&gt;AU63*1000000+SUM(W63,AO63)*10000+SUM(Q63,AI63)*100+SUM(K63,AC63)+0.003,1,0)+IF(AW63*1000000+SUM(Y63,AQ63)*10000+SUM(S63,AK63)*100+SUM(M63,AE63)+0.001&gt;AU63*1000000+SUM(W63,AO63)*10000+SUM(Q63,AI63)*100+SUM(K63,AC63)+0.003,1,0)=0,"S",IF(IF(AR63*1000000+SUM(T63,AL63)*10000+SUM(N63,AF63)*100+SUM(H63,Z63)+0.006&gt;AV63*1000000+SUM(X63,AP63)*10000+SUM(R63,AJ63)*100+SUM(L63,AD63)+0.002,1,0)+IF(AS63*1000000+SUM(U63,AM63)*10000+SUM(O63,AG63)*100+SUM(I63,AA63)+0.005&gt;AV63*1000000+SUM(X63,AP63)*10000+SUM(R63,AJ63)*100+SUM(L63,AD63)+0.002,1,0)+IF(AT63*1000000+SUM(V63,AN63)*10000+SUM(P63,AH63)*100+SUM(J63,AB63)+0.004&gt;AV63*1000000+SUM(X63,AP63)*10000+SUM(R63,AJ63)*100+SUM(L63,AD63)+0.002,1,0)+IF(AU63*1000000+SUM(W63,AO63)*10000+SUM(Q63,AI63)*100+SUM(K63,AC63)+0.003&gt;AV63*1000000+SUM(X63,AP63)*10000+SUM(R63,AJ63)*100+SUM(L63,AD63)+0.002,1,0)+IF(AW63*1000000+SUM(Y63,AQ63)*10000+SUM(S63,AK63)*100+SUM(M63,AE63)+0.001&gt;AV63*1000000+SUM(X63,AP63)*10000+SUM(R63,AJ63)*100+SUM(L63,AD63)+0.002,1,0)=0,"E",IF(IF(AR63*1000000+SUM(T63,AL63)*10000+SUM(N63,AF63)*100+SUM(H63,Z63)+0.006&gt;AW63*1000000+SUM(Y63,AQ63)*10000+SUM(S63,AK63)*100+SUM(M63,AE63)+0.001,1,0)+IF(AS63*1000000+SUM(U63,AM63)*10000+SUM(O63,AG63)*100+SUM(I63,AA63)+0.005&gt;AW63*1000000+SUM(Y63,AQ63)*10000+SUM(S63,AK63)*100+SUM(M63,AE63)+0.001,1,0)+IF(AT63*1000000+SUM(V63,AN63)*10000+SUM(P63,AH63)*100+SUM(J63,AB63)+0.004&gt;AW63*1000000+SUM(Y63,AQ63)*10000+SUM(S63,AK63)*100+SUM(M63,AE63)+0.001,1,0)+IF(AU63*1000000+SUM(W63,AO63)*10000+SUM(Q63,AI63)*100+SUM(K63,AC63)+0.003&gt;AW63*1000000+SUM(Y63,AQ63)*10000+SUM(S63,AK63)*100+SUM(M63,AE63)+0.001,1,0)+IF(AV63*1000000+SUM(X63,AP63)*10000+SUM(R63,AJ63)*100+SUM(L63,AD63)+0.002&gt;AW63*1000000+SUM(Y63,AQ63)*10000+SUM(S63,AK63)*100+SUM(M63,AE63)+0.001,1,0)=0,"C",""))))))&amp;IF(IF(AS63*1000000+SUM(U63,AM63)*10000+SUM(O63,AG63)*100+SUM(I63,AA63)+0.005&gt;AR63*1000000+SUM(T63,AL63)*10000+SUM(N63,AF63)*100+SUM(H63,Z63)+0.006,1,0)+IF(AT63*1000000+SUM(V63,AN63)*10000+SUM(P63,AH63)*100+SUM(J63,AB63)+0.004&gt;AR63*1000000+SUM(T63,AL63)*10000+SUM(N63,AF63)*100+SUM(H63,Z63)+0.006,1,0)+IF(AU63*1000000+SUM(W63,AO63)*10000+SUM(Q63,AI63)*100+SUM(K63,AC63)+0.003&gt;AR63*1000000+SUM(T63,AL63)*10000+SUM(N63,AF63)*100+SUM(H63,Z63)+0.006,1,0)+IF(AV63*1000000+SUM(X63,AP63)*10000+SUM(R63,AJ63)*100+SUM(L63,AD63)+0.002&gt;AR63*1000000+SUM(T63,AL63)*10000+SUM(N63,AF63)*100+SUM(H63,Z63)+0.006,1,0)+IF(AW63*1000000+SUM(Y63,AQ63)*10000+SUM(S63,AK63)*100+SUM(M63,AE63)+0.001&gt;AR63*1000000+SUM(T63,AL63)*10000+SUM(N63,AF63)*100+SUM(H63,Z63)+0.006,1,0)=1,"R",IF(IF(AR63*1000000+SUM(T63,AL63)*10000+SUM(N63,AF63)*100+SUM(H63,Z63)+0.006&gt;AS63*1000000+SUM(U63,AM63)*10000+SUM(O63,AG63)*100+SUM(I63,AA63)+0.005,1,0)+IF(AT63*1000000+SUM(V63,AN63)*10000+SUM(P63,AH63)*100+SUM(J63,AB63)+0.004&gt;AS63*1000000+SUM(U63,AM63)*10000+SUM(O63,AG63)*100+SUM(I63,AA63)+0.005,1,0)+IF(AU63*1000000+SUM(W63,AO63)*10000+SUM(Q63,AI63)*100+SUM(K63,AC63)+0.003&gt;AS63*1000000+SUM(U63,AM63)*10000+SUM(O63,AG63)*100+SUM(I63,AA63)+0.005,1,0)+IF(AV63*1000000+SUM(X63,AP63)*10000+SUM(R63,AJ63)*100+SUM(L63,AD63)+0.002&gt;AS63*1000000+SUM(U63,AM63)*10000+SUM(O63,AG63)*100+SUM(I63,AA63)+0.005,1,0)+IF(AW63*1000000+SUM(Y63,AQ63)*10000+SUM(S63,AK63)*100+SUM(M63,AE63)+0.001&gt;AS63*1000000+SUM(U63,AM63)*10000+SUM(O63,AG63)*100+SUM(I63,AA63)+0.005,1,0)=1,"I",IF(IF(AR63*1000000+SUM(T63,AL63)*10000+SUM(N63,AF63)*100+SUM(H63,Z63)+0.006&gt;AT63*1000000+SUM(V63,AN63)*10000+SUM(P63,AH63)*100+SUM(J63,AB63)+0.004,1,0)+IF(AS63*1000000+SUM(U63,AM63)*10000+SUM(O63,AG63)*100+SUM(I63,AA63)+0.005&gt;AT63*1000000+SUM(V63,AN63)*10000+SUM(P63,AH63)*100+SUM(J63,AB63)+0.004,1,0)+IF(AU63*1000000+SUM(W63,AO63)*10000+SUM(Q63,AI63)*100+SUM(K63,AC63)+0.003&gt;AT63*1000000+SUM(V63,AN63)*10000+SUM(P63,AH63)*100+SUM(J63,AB63)+0.004,1,0)+IF(AV63*1000000+SUM(X63,AP63)*10000+SUM(R63,AJ63)*100+SUM(L63,AD63)+0.002&gt;AT63*1000000+SUM(V63,AN63)*10000+SUM(P63,AH63)*100+SUM(J63,AB63)+0.004,1,0)+IF(AW63*1000000+SUM(Y63,AQ63)*10000+SUM(S63,AK63)*100+SUM(M63,AE63)+0.001&gt;AT63*1000000+SUM(V63,AN63)*10000+SUM(P63,AH63)*100+SUM(J63,AB63)+0.004,1,0)=1,"A",IF(IF(AR63*1000000+SUM(T63,AL63)*10000+SUM(N63,AF63)*100+SUM(H63,Z63)+0.006&gt;AU63*1000000+SUM(W63,AO63)*10000+SUM(Q63,AI63)*100+SUM(K63,AC63)+0.003,1,0)+IF(AS63*1000000+SUM(U63,AM63)*10000+SUM(O63,AG63)*100+SUM(I63,AA63)+0.005&gt;AU63*1000000+SUM(W63,AO63)*10000+SUM(Q63,AI63)*100+SUM(K63,AC63)+0.003,1,0)+IF(AT63*1000000+SUM(V63,AN63)*10000+SUM(P63,AH63)*100+SUM(J63,AB63)+0.004&gt;AU63*1000000+SUM(W63,AO63)*10000+SUM(Q63,AI63)*100+SUM(K63,AC63)+0.003,1,0)+IF(AV63*1000000+SUM(X63,AP63)*10000+SUM(R63,AJ63)*100+SUM(L63,AD63)+0.002&gt;AU63*1000000+SUM(W63,AO63)*10000+SUM(Q63,AI63)*100+SUM(K63,AC63)+0.003,1,0)+IF(AW63*1000000+SUM(Y63,AQ63)*10000+SUM(S63,AK63)*100+SUM(M63,AE63)+0.001&gt;AU63*1000000+SUM(W63,AO63)*10000+SUM(Q63,AI63)*100+SUM(K63,AC63)+0.003,1,0)=1,"S",IF(IF(AR63*1000000+SUM(T63,AL63)*10000+SUM(N63,AF63)*100+SUM(H63,Z63)+0.006&gt;AV63*1000000+SUM(X63,AP63)*10000+SUM(R63,AJ63)*100+SUM(L63,AD63)+0.002,1,0)+IF(AS63*1000000+SUM(U63,AM63)*10000+SUM(O63,AG63)*100+SUM(I63,AA63)+0.005&gt;AV63*1000000+SUM(X63,AP63)*10000+SUM(R63,AJ63)*100+SUM(L63,AD63)+0.002,1,0)+IF(AT63*1000000+SUM(V63,AN63)*10000+SUM(P63,AH63)*100+SUM(J63,AB63)+0.004&gt;AV63*1000000+SUM(X63,AP63)*10000+SUM(R63,AJ63)*100+SUM(L63,AD63)+0.002,1,0)+IF(AU63*1000000+SUM(W63,AO63)*10000+SUM(Q63,AI63)*100+SUM(K63,AC63)+0.003&gt;AV63*1000000+SUM(X63,AP63)*10000+SUM(R63,AJ63)*100+SUM(L63,AD63)+0.002,1,0)+IF(AW63*1000000+SUM(Y63,AQ63)*10000+SUM(S63,AK63)*100+SUM(M63,AE63)+0.001&gt;AV63*1000000+SUM(X63,AP63)*10000+SUM(R63,AJ63)*100+SUM(L63,AD63)+0.002,1,0)=1,"E",IF(IF(AR63*1000000+SUM(T63,AL63)*10000+SUM(N63,AF63)*100+SUM(H63,Z63)+0.006&gt;AW63*1000000+SUM(Y63,AQ63)*10000+SUM(S63,AK63)*100+SUM(M63,AE63)+0.001,1,0)+IF(AS63*1000000+SUM(U63,AM63)*10000+SUM(O63,AG63)*100+SUM(I63,AA63)+0.005&gt;AW63*1000000+SUM(Y63,AQ63)*10000+SUM(S63,AK63)*100+SUM(M63,AE63)+0.001,1,0)+IF(AT63*1000000+SUM(V63,AN63)*10000+SUM(P63,AH63)*100+SUM(J63,AB63)+0.004&gt;AW63*1000000+SUM(Y63,AQ63)*10000+SUM(S63,AK63)*100+SUM(M63,AE63)+0.001,1,0)+IF(AU63*1000000+SUM(W63,AO63)*10000+SUM(Q63,AI63)*100+SUM(K63,AC63)+0.003&gt;AW63*1000000+SUM(Y63,AQ63)*10000+SUM(S63,AK63)*100+SUM(M63,AE63)+0.001,1,0)+IF(AV63*1000000+SUM(X63,AP63)*10000+SUM(R63,AJ63)*100+SUM(L63,AD63)+0.002&gt;AW63*1000000+SUM(Y63,AQ63)*10000+SUM(S63,AK63)*100+SUM(M63,AE63)+0.001,1,0)=1,"C",""))))))&amp;IF(IF(AS63*1000000+SUM(U63,AM63)*10000+SUM(O63,AG63)*100+SUM(I63,AA63)+0.005&gt;AR63*1000000+SUM(T63,AL63)*10000+SUM(N63,AF63)*100+SUM(H63,Z63)+0.006,1,0)+IF(AT63*1000000+SUM(V63,AN63)*10000+SUM(P63,AH63)*100+SUM(J63,AB63)+0.004&gt;AR63*1000000+SUM(T63,AL63)*10000+SUM(N63,AF63)*100+SUM(H63,Z63)+0.006,1,0)+IF(AU63*1000000+SUM(W63,AO63)*10000+SUM(Q63,AI63)*100+SUM(K63,AC63)+0.003&gt;AR63*1000000+SUM(T63,AL63)*10000+SUM(N63,AF63)*100+SUM(H63,Z63)+0.006,1,0)+IF(AV63*1000000+SUM(X63,AP63)*10000+SUM(R63,AJ63)*100+SUM(L63,AD63)+0.002&gt;AR63*1000000+SUM(T63,AL63)*10000+SUM(N63,AF63)*100+SUM(H63,Z63)+0.006,1,0)+IF(AW63*1000000+SUM(Y63,AQ63)*10000+SUM(S63,AK63)*100+SUM(M63,AE63)+0.001&gt;AR63*1000000+SUM(T63,AL63)*10000+SUM(N63,AF63)*100+SUM(H63,Z63)+0.006,1,0)=2,"R",IF(IF(AR63*1000000+SUM(T63,AL63)*10000+SUM(N63,AF63)*100+SUM(H63,Z63)+0.006&gt;AS63*1000000+SUM(U63,AM63)*10000+SUM(O63,AG63)*100+SUM(I63,AA63)+0.005,1,0)+IF(AT63*1000000+SUM(V63,AN63)*10000+SUM(P63,AH63)*100+SUM(J63,AB63)+0.004&gt;AS63*1000000+SUM(U63,AM63)*10000+SUM(O63,AG63)*100+SUM(I63,AA63)+0.005,1,0)+IF(AU63*1000000+SUM(W63,AO63)*10000+SUM(Q63,AI63)*100+SUM(K63,AC63)+0.003&gt;AS63*1000000+SUM(U63,AM63)*10000+SUM(O63,AG63)*100+SUM(I63,AA63)+0.005,1,0)+IF(AV63*1000000+SUM(X63,AP63)*10000+SUM(R63,AJ63)*100+SUM(L63,AD63)+0.002&gt;AS63*1000000+SUM(U63,AM63)*10000+SUM(O63,AG63)*100+SUM(I63,AA63)+0.005,1,0)+IF(AW63*1000000+SUM(Y63,AQ63)*10000+SUM(S63,AK63)*100+SUM(M63,AE63)+0.001&gt;AS63*1000000+SUM(U63,AM63)*10000+SUM(O63,AG63)*100+SUM(I63,AA63)+0.005,1,0)=2,"I",IF(IF(AR63*1000000+SUM(T63,AL63)*10000+SUM(N63,AF63)*100+SUM(H63,Z63)+0.006&gt;AT63*1000000+SUM(V63,AN63)*10000+SUM(P63,AH63)*100+SUM(J63,AB63)+0.004,1,0)+IF(AS63*1000000+SUM(U63,AM63)*10000+SUM(O63,AG63)*100+SUM(I63,AA63)+0.005&gt;AT63*1000000+SUM(V63,AN63)*10000+SUM(P63,AH63)*100+SUM(J63,AB63)+0.004,1,0)+IF(AU63*1000000+SUM(W63,AO63)*10000+SUM(Q63,AI63)*100+SUM(K63,AC63)+0.003&gt;AT63*1000000+SUM(V63,AN63)*10000+SUM(P63,AH63)*100+SUM(J63,AB63)+0.004,1,0)+IF(AV63*1000000+SUM(X63,AP63)*10000+SUM(R63,AJ63)*100+SUM(L63,AD63)+0.002&gt;AT63*1000000+SUM(V63,AN63)*10000+SUM(P63,AH63)*100+SUM(J63,AB63)+0.004,1,0)+IF(AW63*1000000+SUM(Y63,AQ63)*10000+SUM(S63,AK63)*100+SUM(M63,AE63)+0.001&gt;AT63*1000000+SUM(V63,AN63)*10000+SUM(P63,AH63)*100+SUM(J63,AB63)+0.004,1,0)=2,"A",IF(IF(AR63*1000000+SUM(T63,AL63)*10000+SUM(N63,AF63)*100+SUM(H63,Z63)+0.006&gt;AU63*1000000+SUM(W63,AO63)*10000+SUM(Q63,AI63)*100+SUM(K63,AC63)+0.003,1,0)+IF(AS63*1000000+SUM(U63,AM63)*10000+SUM(O63,AG63)*100+SUM(I63,AA63)+0.005&gt;AU63*1000000+SUM(W63,AO63)*10000+SUM(Q63,AI63)*100+SUM(K63,AC63)+0.003,1,0)+IF(AT63*1000000+SUM(V63,AN63)*10000+SUM(P63,AH63)*100+SUM(J63,AB63)+0.004&gt;AU63*1000000+SUM(W63,AO63)*10000+SUM(Q63,AI63)*100+SUM(K63,AC63)+0.003,1,0)+IF(AV63*1000000+SUM(X63,AP63)*10000+SUM(R63,AJ63)*100+SUM(L63,AD63)+0.002&gt;AU63*1000000+SUM(W63,AO63)*10000+SUM(Q63,AI63)*100+SUM(K63,AC63)+0.003,1,0)+IF(AW63*1000000+SUM(Y63,AQ63)*10000+SUM(S63,AK63)*100+SUM(M63,AE63)+0.001&gt;AU63*1000000+SUM(W63,AO63)*10000+SUM(Q63,AI63)*100+SUM(K63,AC63)+0.003,1,0)=2,"S",IF(IF(AR63*1000000+SUM(T63,AL63)*10000+SUM(N63,AF63)*100+SUM(H63,Z63)+0.006&gt;AV63*1000000+SUM(X63,AP63)*10000+SUM(R63,AJ63)*100+SUM(L63,AD63)+0.002,1,0)+IF(AS63*1000000+SUM(U63,AM63)*10000+SUM(O63,AG63)*100+SUM(I63,AA63)+0.005&gt;AV63*1000000+SUM(X63,AP63)*10000+SUM(R63,AJ63)*100+SUM(L63,AD63)+0.002,1,0)+IF(AT63*1000000+SUM(V63,AN63)*10000+SUM(P63,AH63)*100+SUM(J63,AB63)+0.004&gt;AV63*1000000+SUM(X63,AP63)*10000+SUM(R63,AJ63)*100+SUM(L63,AD63)+0.002,1,0)+IF(AU63*1000000+SUM(W63,AO63)*10000+SUM(Q63,AI63)*100+SUM(K63,AC63)+0.003&gt;AV63*1000000+SUM(X63,AP63)*10000+SUM(R63,AJ63)*100+SUM(L63,AD63)+0.002,1,0)+IF(AW63*1000000+SUM(Y63,AQ63)*10000+SUM(S63,AK63)*100+SUM(M63,AE63)+0.001&gt;AV63*1000000+SUM(X63,AP63)*10000+SUM(R63,AJ63)*100+SUM(L63,AD63)+0.002,1,0)=2,"E",IF(IF(AR63*1000000+SUM(T63,AL63)*10000+SUM(N63,AF63)*100+SUM(H63,Z63)+0.006&gt;AW63*1000000+SUM(Y63,AQ63)*10000+SUM(S63,AK63)*100+SUM(M63,AE63)+0.001,1,0)+IF(AS63*1000000+SUM(U63,AM63)*10000+SUM(O63,AG63)*100+SUM(I63,AA63)+0.005&gt;AW63*1000000+SUM(Y63,AQ63)*10000+SUM(S63,AK63)*100+SUM(M63,AE63)+0.001,1,0)+IF(AT63*1000000+SUM(V63,AN63)*10000+SUM(P63,AH63)*100+SUM(J63,AB63)+0.004&gt;AW63*1000000+SUM(Y63,AQ63)*10000+SUM(S63,AK63)*100+SUM(M63,AE63)+0.001,1,0)+IF(AU63*1000000+SUM(W63,AO63)*10000+SUM(Q63,AI63)*100+SUM(K63,AC63)+0.003&gt;AW63*1000000+SUM(Y63,AQ63)*10000+SUM(S63,AK63)*100+SUM(M63,AE63)+0.001,1,0)+IF(AV63*1000000+SUM(X63,AP63)*10000+SUM(R63,AJ63)*100+SUM(L63,AD63)+0.002&gt;AW63*1000000+SUM(Y63,AQ63)*10000+SUM(S63,AK63)*100+SUM(M63,AE63)+0.001,1,0)=2,"C","")))))))</x:f>
      </x:c>
      <x:c r="AY63" s="27" t="str">
        <x:f>IF(C63="","",IF(LEFT(AX63,1)="R","นักปฏิบัติ",IF(LEFT(AX63,1)="I","นักคิดวิเคราะห์",IF(LEFT(AX63,1)="A","นักสร้างสรรค์",IF(LEFT(AX63,1)="S","ผู้เข้าใจผู้คน",IF(LEFT(AX63,1)="E","ผู้นำการเปลี่ยนแปลง","ผู้จัดระบบ"))))))</x:f>
      </x:c>
    </x:row>
    <x:row r="64">
      <x:c r="A64" s="27"/>
      <x:c r="B64" s="28"/>
      <x:c r="C64" s="27"/>
      <x:c r="D64" s="27"/>
      <x:c r="E64" s="27"/>
      <x:c r="F64" s="27"/>
      <x:c r="G64" s="27"/>
      <x:c r="H64" s="27"/>
      <x:c r="I64" s="27"/>
      <x:c r="J64" s="27"/>
      <x:c r="K64" s="27"/>
      <x:c r="L64" s="27"/>
      <x:c r="M64" s="27"/>
      <x:c r="N64" s="27"/>
      <x:c r="O64" s="27"/>
      <x:c r="P64" s="27"/>
      <x:c r="Q64" s="27"/>
      <x:c r="R64" s="27"/>
      <x:c r="S64" s="27"/>
      <x:c r="T64" s="27"/>
      <x:c r="U64" s="27"/>
      <x:c r="V64" s="27"/>
      <x:c r="W64" s="27"/>
      <x:c r="X64" s="27"/>
      <x:c r="Y64" s="27"/>
      <x:c r="Z64" s="27"/>
      <x:c r="AA64" s="27"/>
      <x:c r="AB64" s="27"/>
      <x:c r="AC64" s="27"/>
      <x:c r="AD64" s="27"/>
      <x:c r="AE64" s="27"/>
      <x:c r="AF64" s="27"/>
      <x:c r="AG64" s="27"/>
      <x:c r="AH64" s="27"/>
      <x:c r="AI64" s="27"/>
      <x:c r="AJ64" s="27"/>
      <x:c r="AK64" s="27"/>
      <x:c r="AL64" s="27"/>
      <x:c r="AM64" s="27"/>
      <x:c r="AN64" s="27"/>
      <x:c r="AO64" s="27"/>
      <x:c r="AP64" s="27"/>
      <x:c r="AQ64" s="27"/>
      <x:c r="AR64" s="27" t="str">
        <x:f>IF(C64="","",SUM(H64,N64,T64,Z64,AF64,AL64))</x:f>
      </x:c>
      <x:c r="AS64" s="27" t="str">
        <x:f>IF(C64="","",SUM(I64,O64,U64,AA64,AG64,AM64))</x:f>
      </x:c>
      <x:c r="AT64" s="27" t="str">
        <x:f>IF(C64="","",SUM(J64,P64,V64,AB64,AH64,AN64))</x:f>
      </x:c>
      <x:c r="AU64" s="27" t="str">
        <x:f>IF(C64="","",SUM(K64,Q64,W64,AC64,AI64,AO64))</x:f>
      </x:c>
      <x:c r="AV64" s="27" t="str">
        <x:f>IF(C64="","",SUM(L64,R64,X64,AD64,AJ64,AP64))</x:f>
      </x:c>
      <x:c r="AW64" s="27" t="str">
        <x:f>IF(C64="","",SUM(M64,S64,Y64,AE64,AK64,AQ64))</x:f>
      </x:c>
      <x:c r="AX64" s="27" t="str">
        <x:f>IF(C64="","",IF(IF(AS64*1000000+SUM(U64,AM64)*10000+SUM(O64,AG64)*100+SUM(I64,AA64)+0.005&gt;AR64*1000000+SUM(T64,AL64)*10000+SUM(N64,AF64)*100+SUM(H64,Z64)+0.006,1,0)+IF(AT64*1000000+SUM(V64,AN64)*10000+SUM(P64,AH64)*100+SUM(J64,AB64)+0.004&gt;AR64*1000000+SUM(T64,AL64)*10000+SUM(N64,AF64)*100+SUM(H64,Z64)+0.006,1,0)+IF(AU64*1000000+SUM(W64,AO64)*10000+SUM(Q64,AI64)*100+SUM(K64,AC64)+0.003&gt;AR64*1000000+SUM(T64,AL64)*10000+SUM(N64,AF64)*100+SUM(H64,Z64)+0.006,1,0)+IF(AV64*1000000+SUM(X64,AP64)*10000+SUM(R64,AJ64)*100+SUM(L64,AD64)+0.002&gt;AR64*1000000+SUM(T64,AL64)*10000+SUM(N64,AF64)*100+SUM(H64,Z64)+0.006,1,0)+IF(AW64*1000000+SUM(Y64,AQ64)*10000+SUM(S64,AK64)*100+SUM(M64,AE64)+0.001&gt;AR64*1000000+SUM(T64,AL64)*10000+SUM(N64,AF64)*100+SUM(H64,Z64)+0.006,1,0)=0,"R",IF(IF(AR64*1000000+SUM(T64,AL64)*10000+SUM(N64,AF64)*100+SUM(H64,Z64)+0.006&gt;AS64*1000000+SUM(U64,AM64)*10000+SUM(O64,AG64)*100+SUM(I64,AA64)+0.005,1,0)+IF(AT64*1000000+SUM(V64,AN64)*10000+SUM(P64,AH64)*100+SUM(J64,AB64)+0.004&gt;AS64*1000000+SUM(U64,AM64)*10000+SUM(O64,AG64)*100+SUM(I64,AA64)+0.005,1,0)+IF(AU64*1000000+SUM(W64,AO64)*10000+SUM(Q64,AI64)*100+SUM(K64,AC64)+0.003&gt;AS64*1000000+SUM(U64,AM64)*10000+SUM(O64,AG64)*100+SUM(I64,AA64)+0.005,1,0)+IF(AV64*1000000+SUM(X64,AP64)*10000+SUM(R64,AJ64)*100+SUM(L64,AD64)+0.002&gt;AS64*1000000+SUM(U64,AM64)*10000+SUM(O64,AG64)*100+SUM(I64,AA64)+0.005,1,0)+IF(AW64*1000000+SUM(Y64,AQ64)*10000+SUM(S64,AK64)*100+SUM(M64,AE64)+0.001&gt;AS64*1000000+SUM(U64,AM64)*10000+SUM(O64,AG64)*100+SUM(I64,AA64)+0.005,1,0)=0,"I",IF(IF(AR64*1000000+SUM(T64,AL64)*10000+SUM(N64,AF64)*100+SUM(H64,Z64)+0.006&gt;AT64*1000000+SUM(V64,AN64)*10000+SUM(P64,AH64)*100+SUM(J64,AB64)+0.004,1,0)+IF(AS64*1000000+SUM(U64,AM64)*10000+SUM(O64,AG64)*100+SUM(I64,AA64)+0.005&gt;AT64*1000000+SUM(V64,AN64)*10000+SUM(P64,AH64)*100+SUM(J64,AB64)+0.004,1,0)+IF(AU64*1000000+SUM(W64,AO64)*10000+SUM(Q64,AI64)*100+SUM(K64,AC64)+0.003&gt;AT64*1000000+SUM(V64,AN64)*10000+SUM(P64,AH64)*100+SUM(J64,AB64)+0.004,1,0)+IF(AV64*1000000+SUM(X64,AP64)*10000+SUM(R64,AJ64)*100+SUM(L64,AD64)+0.002&gt;AT64*1000000+SUM(V64,AN64)*10000+SUM(P64,AH64)*100+SUM(J64,AB64)+0.004,1,0)+IF(AW64*1000000+SUM(Y64,AQ64)*10000+SUM(S64,AK64)*100+SUM(M64,AE64)+0.001&gt;AT64*1000000+SUM(V64,AN64)*10000+SUM(P64,AH64)*100+SUM(J64,AB64)+0.004,1,0)=0,"A",IF(IF(AR64*1000000+SUM(T64,AL64)*10000+SUM(N64,AF64)*100+SUM(H64,Z64)+0.006&gt;AU64*1000000+SUM(W64,AO64)*10000+SUM(Q64,AI64)*100+SUM(K64,AC64)+0.003,1,0)+IF(AS64*1000000+SUM(U64,AM64)*10000+SUM(O64,AG64)*100+SUM(I64,AA64)+0.005&gt;AU64*1000000+SUM(W64,AO64)*10000+SUM(Q64,AI64)*100+SUM(K64,AC64)+0.003,1,0)+IF(AT64*1000000+SUM(V64,AN64)*10000+SUM(P64,AH64)*100+SUM(J64,AB64)+0.004&gt;AU64*1000000+SUM(W64,AO64)*10000+SUM(Q64,AI64)*100+SUM(K64,AC64)+0.003,1,0)+IF(AV64*1000000+SUM(X64,AP64)*10000+SUM(R64,AJ64)*100+SUM(L64,AD64)+0.002&gt;AU64*1000000+SUM(W64,AO64)*10000+SUM(Q64,AI64)*100+SUM(K64,AC64)+0.003,1,0)+IF(AW64*1000000+SUM(Y64,AQ64)*10000+SUM(S64,AK64)*100+SUM(M64,AE64)+0.001&gt;AU64*1000000+SUM(W64,AO64)*10000+SUM(Q64,AI64)*100+SUM(K64,AC64)+0.003,1,0)=0,"S",IF(IF(AR64*1000000+SUM(T64,AL64)*10000+SUM(N64,AF64)*100+SUM(H64,Z64)+0.006&gt;AV64*1000000+SUM(X64,AP64)*10000+SUM(R64,AJ64)*100+SUM(L64,AD64)+0.002,1,0)+IF(AS64*1000000+SUM(U64,AM64)*10000+SUM(O64,AG64)*100+SUM(I64,AA64)+0.005&gt;AV64*1000000+SUM(X64,AP64)*10000+SUM(R64,AJ64)*100+SUM(L64,AD64)+0.002,1,0)+IF(AT64*1000000+SUM(V64,AN64)*10000+SUM(P64,AH64)*100+SUM(J64,AB64)+0.004&gt;AV64*1000000+SUM(X64,AP64)*10000+SUM(R64,AJ64)*100+SUM(L64,AD64)+0.002,1,0)+IF(AU64*1000000+SUM(W64,AO64)*10000+SUM(Q64,AI64)*100+SUM(K64,AC64)+0.003&gt;AV64*1000000+SUM(X64,AP64)*10000+SUM(R64,AJ64)*100+SUM(L64,AD64)+0.002,1,0)+IF(AW64*1000000+SUM(Y64,AQ64)*10000+SUM(S64,AK64)*100+SUM(M64,AE64)+0.001&gt;AV64*1000000+SUM(X64,AP64)*10000+SUM(R64,AJ64)*100+SUM(L64,AD64)+0.002,1,0)=0,"E",IF(IF(AR64*1000000+SUM(T64,AL64)*10000+SUM(N64,AF64)*100+SUM(H64,Z64)+0.006&gt;AW64*1000000+SUM(Y64,AQ64)*10000+SUM(S64,AK64)*100+SUM(M64,AE64)+0.001,1,0)+IF(AS64*1000000+SUM(U64,AM64)*10000+SUM(O64,AG64)*100+SUM(I64,AA64)+0.005&gt;AW64*1000000+SUM(Y64,AQ64)*10000+SUM(S64,AK64)*100+SUM(M64,AE64)+0.001,1,0)+IF(AT64*1000000+SUM(V64,AN64)*10000+SUM(P64,AH64)*100+SUM(J64,AB64)+0.004&gt;AW64*1000000+SUM(Y64,AQ64)*10000+SUM(S64,AK64)*100+SUM(M64,AE64)+0.001,1,0)+IF(AU64*1000000+SUM(W64,AO64)*10000+SUM(Q64,AI64)*100+SUM(K64,AC64)+0.003&gt;AW64*1000000+SUM(Y64,AQ64)*10000+SUM(S64,AK64)*100+SUM(M64,AE64)+0.001,1,0)+IF(AV64*1000000+SUM(X64,AP64)*10000+SUM(R64,AJ64)*100+SUM(L64,AD64)+0.002&gt;AW64*1000000+SUM(Y64,AQ64)*10000+SUM(S64,AK64)*100+SUM(M64,AE64)+0.001,1,0)=0,"C",""))))))&amp;IF(IF(AS64*1000000+SUM(U64,AM64)*10000+SUM(O64,AG64)*100+SUM(I64,AA64)+0.005&gt;AR64*1000000+SUM(T64,AL64)*10000+SUM(N64,AF64)*100+SUM(H64,Z64)+0.006,1,0)+IF(AT64*1000000+SUM(V64,AN64)*10000+SUM(P64,AH64)*100+SUM(J64,AB64)+0.004&gt;AR64*1000000+SUM(T64,AL64)*10000+SUM(N64,AF64)*100+SUM(H64,Z64)+0.006,1,0)+IF(AU64*1000000+SUM(W64,AO64)*10000+SUM(Q64,AI64)*100+SUM(K64,AC64)+0.003&gt;AR64*1000000+SUM(T64,AL64)*10000+SUM(N64,AF64)*100+SUM(H64,Z64)+0.006,1,0)+IF(AV64*1000000+SUM(X64,AP64)*10000+SUM(R64,AJ64)*100+SUM(L64,AD64)+0.002&gt;AR64*1000000+SUM(T64,AL64)*10000+SUM(N64,AF64)*100+SUM(H64,Z64)+0.006,1,0)+IF(AW64*1000000+SUM(Y64,AQ64)*10000+SUM(S64,AK64)*100+SUM(M64,AE64)+0.001&gt;AR64*1000000+SUM(T64,AL64)*10000+SUM(N64,AF64)*100+SUM(H64,Z64)+0.006,1,0)=1,"R",IF(IF(AR64*1000000+SUM(T64,AL64)*10000+SUM(N64,AF64)*100+SUM(H64,Z64)+0.006&gt;AS64*1000000+SUM(U64,AM64)*10000+SUM(O64,AG64)*100+SUM(I64,AA64)+0.005,1,0)+IF(AT64*1000000+SUM(V64,AN64)*10000+SUM(P64,AH64)*100+SUM(J64,AB64)+0.004&gt;AS64*1000000+SUM(U64,AM64)*10000+SUM(O64,AG64)*100+SUM(I64,AA64)+0.005,1,0)+IF(AU64*1000000+SUM(W64,AO64)*10000+SUM(Q64,AI64)*100+SUM(K64,AC64)+0.003&gt;AS64*1000000+SUM(U64,AM64)*10000+SUM(O64,AG64)*100+SUM(I64,AA64)+0.005,1,0)+IF(AV64*1000000+SUM(X64,AP64)*10000+SUM(R64,AJ64)*100+SUM(L64,AD64)+0.002&gt;AS64*1000000+SUM(U64,AM64)*10000+SUM(O64,AG64)*100+SUM(I64,AA64)+0.005,1,0)+IF(AW64*1000000+SUM(Y64,AQ64)*10000+SUM(S64,AK64)*100+SUM(M64,AE64)+0.001&gt;AS64*1000000+SUM(U64,AM64)*10000+SUM(O64,AG64)*100+SUM(I64,AA64)+0.005,1,0)=1,"I",IF(IF(AR64*1000000+SUM(T64,AL64)*10000+SUM(N64,AF64)*100+SUM(H64,Z64)+0.006&gt;AT64*1000000+SUM(V64,AN64)*10000+SUM(P64,AH64)*100+SUM(J64,AB64)+0.004,1,0)+IF(AS64*1000000+SUM(U64,AM64)*10000+SUM(O64,AG64)*100+SUM(I64,AA64)+0.005&gt;AT64*1000000+SUM(V64,AN64)*10000+SUM(P64,AH64)*100+SUM(J64,AB64)+0.004,1,0)+IF(AU64*1000000+SUM(W64,AO64)*10000+SUM(Q64,AI64)*100+SUM(K64,AC64)+0.003&gt;AT64*1000000+SUM(V64,AN64)*10000+SUM(P64,AH64)*100+SUM(J64,AB64)+0.004,1,0)+IF(AV64*1000000+SUM(X64,AP64)*10000+SUM(R64,AJ64)*100+SUM(L64,AD64)+0.002&gt;AT64*1000000+SUM(V64,AN64)*10000+SUM(P64,AH64)*100+SUM(J64,AB64)+0.004,1,0)+IF(AW64*1000000+SUM(Y64,AQ64)*10000+SUM(S64,AK64)*100+SUM(M64,AE64)+0.001&gt;AT64*1000000+SUM(V64,AN64)*10000+SUM(P64,AH64)*100+SUM(J64,AB64)+0.004,1,0)=1,"A",IF(IF(AR64*1000000+SUM(T64,AL64)*10000+SUM(N64,AF64)*100+SUM(H64,Z64)+0.006&gt;AU64*1000000+SUM(W64,AO64)*10000+SUM(Q64,AI64)*100+SUM(K64,AC64)+0.003,1,0)+IF(AS64*1000000+SUM(U64,AM64)*10000+SUM(O64,AG64)*100+SUM(I64,AA64)+0.005&gt;AU64*1000000+SUM(W64,AO64)*10000+SUM(Q64,AI64)*100+SUM(K64,AC64)+0.003,1,0)+IF(AT64*1000000+SUM(V64,AN64)*10000+SUM(P64,AH64)*100+SUM(J64,AB64)+0.004&gt;AU64*1000000+SUM(W64,AO64)*10000+SUM(Q64,AI64)*100+SUM(K64,AC64)+0.003,1,0)+IF(AV64*1000000+SUM(X64,AP64)*10000+SUM(R64,AJ64)*100+SUM(L64,AD64)+0.002&gt;AU64*1000000+SUM(W64,AO64)*10000+SUM(Q64,AI64)*100+SUM(K64,AC64)+0.003,1,0)+IF(AW64*1000000+SUM(Y64,AQ64)*10000+SUM(S64,AK64)*100+SUM(M64,AE64)+0.001&gt;AU64*1000000+SUM(W64,AO64)*10000+SUM(Q64,AI64)*100+SUM(K64,AC64)+0.003,1,0)=1,"S",IF(IF(AR64*1000000+SUM(T64,AL64)*10000+SUM(N64,AF64)*100+SUM(H64,Z64)+0.006&gt;AV64*1000000+SUM(X64,AP64)*10000+SUM(R64,AJ64)*100+SUM(L64,AD64)+0.002,1,0)+IF(AS64*1000000+SUM(U64,AM64)*10000+SUM(O64,AG64)*100+SUM(I64,AA64)+0.005&gt;AV64*1000000+SUM(X64,AP64)*10000+SUM(R64,AJ64)*100+SUM(L64,AD64)+0.002,1,0)+IF(AT64*1000000+SUM(V64,AN64)*10000+SUM(P64,AH64)*100+SUM(J64,AB64)+0.004&gt;AV64*1000000+SUM(X64,AP64)*10000+SUM(R64,AJ64)*100+SUM(L64,AD64)+0.002,1,0)+IF(AU64*1000000+SUM(W64,AO64)*10000+SUM(Q64,AI64)*100+SUM(K64,AC64)+0.003&gt;AV64*1000000+SUM(X64,AP64)*10000+SUM(R64,AJ64)*100+SUM(L64,AD64)+0.002,1,0)+IF(AW64*1000000+SUM(Y64,AQ64)*10000+SUM(S64,AK64)*100+SUM(M64,AE64)+0.001&gt;AV64*1000000+SUM(X64,AP64)*10000+SUM(R64,AJ64)*100+SUM(L64,AD64)+0.002,1,0)=1,"E",IF(IF(AR64*1000000+SUM(T64,AL64)*10000+SUM(N64,AF64)*100+SUM(H64,Z64)+0.006&gt;AW64*1000000+SUM(Y64,AQ64)*10000+SUM(S64,AK64)*100+SUM(M64,AE64)+0.001,1,0)+IF(AS64*1000000+SUM(U64,AM64)*10000+SUM(O64,AG64)*100+SUM(I64,AA64)+0.005&gt;AW64*1000000+SUM(Y64,AQ64)*10000+SUM(S64,AK64)*100+SUM(M64,AE64)+0.001,1,0)+IF(AT64*1000000+SUM(V64,AN64)*10000+SUM(P64,AH64)*100+SUM(J64,AB64)+0.004&gt;AW64*1000000+SUM(Y64,AQ64)*10000+SUM(S64,AK64)*100+SUM(M64,AE64)+0.001,1,0)+IF(AU64*1000000+SUM(W64,AO64)*10000+SUM(Q64,AI64)*100+SUM(K64,AC64)+0.003&gt;AW64*1000000+SUM(Y64,AQ64)*10000+SUM(S64,AK64)*100+SUM(M64,AE64)+0.001,1,0)+IF(AV64*1000000+SUM(X64,AP64)*10000+SUM(R64,AJ64)*100+SUM(L64,AD64)+0.002&gt;AW64*1000000+SUM(Y64,AQ64)*10000+SUM(S64,AK64)*100+SUM(M64,AE64)+0.001,1,0)=1,"C",""))))))&amp;IF(IF(AS64*1000000+SUM(U64,AM64)*10000+SUM(O64,AG64)*100+SUM(I64,AA64)+0.005&gt;AR64*1000000+SUM(T64,AL64)*10000+SUM(N64,AF64)*100+SUM(H64,Z64)+0.006,1,0)+IF(AT64*1000000+SUM(V64,AN64)*10000+SUM(P64,AH64)*100+SUM(J64,AB64)+0.004&gt;AR64*1000000+SUM(T64,AL64)*10000+SUM(N64,AF64)*100+SUM(H64,Z64)+0.006,1,0)+IF(AU64*1000000+SUM(W64,AO64)*10000+SUM(Q64,AI64)*100+SUM(K64,AC64)+0.003&gt;AR64*1000000+SUM(T64,AL64)*10000+SUM(N64,AF64)*100+SUM(H64,Z64)+0.006,1,0)+IF(AV64*1000000+SUM(X64,AP64)*10000+SUM(R64,AJ64)*100+SUM(L64,AD64)+0.002&gt;AR64*1000000+SUM(T64,AL64)*10000+SUM(N64,AF64)*100+SUM(H64,Z64)+0.006,1,0)+IF(AW64*1000000+SUM(Y64,AQ64)*10000+SUM(S64,AK64)*100+SUM(M64,AE64)+0.001&gt;AR64*1000000+SUM(T64,AL64)*10000+SUM(N64,AF64)*100+SUM(H64,Z64)+0.006,1,0)=2,"R",IF(IF(AR64*1000000+SUM(T64,AL64)*10000+SUM(N64,AF64)*100+SUM(H64,Z64)+0.006&gt;AS64*1000000+SUM(U64,AM64)*10000+SUM(O64,AG64)*100+SUM(I64,AA64)+0.005,1,0)+IF(AT64*1000000+SUM(V64,AN64)*10000+SUM(P64,AH64)*100+SUM(J64,AB64)+0.004&gt;AS64*1000000+SUM(U64,AM64)*10000+SUM(O64,AG64)*100+SUM(I64,AA64)+0.005,1,0)+IF(AU64*1000000+SUM(W64,AO64)*10000+SUM(Q64,AI64)*100+SUM(K64,AC64)+0.003&gt;AS64*1000000+SUM(U64,AM64)*10000+SUM(O64,AG64)*100+SUM(I64,AA64)+0.005,1,0)+IF(AV64*1000000+SUM(X64,AP64)*10000+SUM(R64,AJ64)*100+SUM(L64,AD64)+0.002&gt;AS64*1000000+SUM(U64,AM64)*10000+SUM(O64,AG64)*100+SUM(I64,AA64)+0.005,1,0)+IF(AW64*1000000+SUM(Y64,AQ64)*10000+SUM(S64,AK64)*100+SUM(M64,AE64)+0.001&gt;AS64*1000000+SUM(U64,AM64)*10000+SUM(O64,AG64)*100+SUM(I64,AA64)+0.005,1,0)=2,"I",IF(IF(AR64*1000000+SUM(T64,AL64)*10000+SUM(N64,AF64)*100+SUM(H64,Z64)+0.006&gt;AT64*1000000+SUM(V64,AN64)*10000+SUM(P64,AH64)*100+SUM(J64,AB64)+0.004,1,0)+IF(AS64*1000000+SUM(U64,AM64)*10000+SUM(O64,AG64)*100+SUM(I64,AA64)+0.005&gt;AT64*1000000+SUM(V64,AN64)*10000+SUM(P64,AH64)*100+SUM(J64,AB64)+0.004,1,0)+IF(AU64*1000000+SUM(W64,AO64)*10000+SUM(Q64,AI64)*100+SUM(K64,AC64)+0.003&gt;AT64*1000000+SUM(V64,AN64)*10000+SUM(P64,AH64)*100+SUM(J64,AB64)+0.004,1,0)+IF(AV64*1000000+SUM(X64,AP64)*10000+SUM(R64,AJ64)*100+SUM(L64,AD64)+0.002&gt;AT64*1000000+SUM(V64,AN64)*10000+SUM(P64,AH64)*100+SUM(J64,AB64)+0.004,1,0)+IF(AW64*1000000+SUM(Y64,AQ64)*10000+SUM(S64,AK64)*100+SUM(M64,AE64)+0.001&gt;AT64*1000000+SUM(V64,AN64)*10000+SUM(P64,AH64)*100+SUM(J64,AB64)+0.004,1,0)=2,"A",IF(IF(AR64*1000000+SUM(T64,AL64)*10000+SUM(N64,AF64)*100+SUM(H64,Z64)+0.006&gt;AU64*1000000+SUM(W64,AO64)*10000+SUM(Q64,AI64)*100+SUM(K64,AC64)+0.003,1,0)+IF(AS64*1000000+SUM(U64,AM64)*10000+SUM(O64,AG64)*100+SUM(I64,AA64)+0.005&gt;AU64*1000000+SUM(W64,AO64)*10000+SUM(Q64,AI64)*100+SUM(K64,AC64)+0.003,1,0)+IF(AT64*1000000+SUM(V64,AN64)*10000+SUM(P64,AH64)*100+SUM(J64,AB64)+0.004&gt;AU64*1000000+SUM(W64,AO64)*10000+SUM(Q64,AI64)*100+SUM(K64,AC64)+0.003,1,0)+IF(AV64*1000000+SUM(X64,AP64)*10000+SUM(R64,AJ64)*100+SUM(L64,AD64)+0.002&gt;AU64*1000000+SUM(W64,AO64)*10000+SUM(Q64,AI64)*100+SUM(K64,AC64)+0.003,1,0)+IF(AW64*1000000+SUM(Y64,AQ64)*10000+SUM(S64,AK64)*100+SUM(M64,AE64)+0.001&gt;AU64*1000000+SUM(W64,AO64)*10000+SUM(Q64,AI64)*100+SUM(K64,AC64)+0.003,1,0)=2,"S",IF(IF(AR64*1000000+SUM(T64,AL64)*10000+SUM(N64,AF64)*100+SUM(H64,Z64)+0.006&gt;AV64*1000000+SUM(X64,AP64)*10000+SUM(R64,AJ64)*100+SUM(L64,AD64)+0.002,1,0)+IF(AS64*1000000+SUM(U64,AM64)*10000+SUM(O64,AG64)*100+SUM(I64,AA64)+0.005&gt;AV64*1000000+SUM(X64,AP64)*10000+SUM(R64,AJ64)*100+SUM(L64,AD64)+0.002,1,0)+IF(AT64*1000000+SUM(V64,AN64)*10000+SUM(P64,AH64)*100+SUM(J64,AB64)+0.004&gt;AV64*1000000+SUM(X64,AP64)*10000+SUM(R64,AJ64)*100+SUM(L64,AD64)+0.002,1,0)+IF(AU64*1000000+SUM(W64,AO64)*10000+SUM(Q64,AI64)*100+SUM(K64,AC64)+0.003&gt;AV64*1000000+SUM(X64,AP64)*10000+SUM(R64,AJ64)*100+SUM(L64,AD64)+0.002,1,0)+IF(AW64*1000000+SUM(Y64,AQ64)*10000+SUM(S64,AK64)*100+SUM(M64,AE64)+0.001&gt;AV64*1000000+SUM(X64,AP64)*10000+SUM(R64,AJ64)*100+SUM(L64,AD64)+0.002,1,0)=2,"E",IF(IF(AR64*1000000+SUM(T64,AL64)*10000+SUM(N64,AF64)*100+SUM(H64,Z64)+0.006&gt;AW64*1000000+SUM(Y64,AQ64)*10000+SUM(S64,AK64)*100+SUM(M64,AE64)+0.001,1,0)+IF(AS64*1000000+SUM(U64,AM64)*10000+SUM(O64,AG64)*100+SUM(I64,AA64)+0.005&gt;AW64*1000000+SUM(Y64,AQ64)*10000+SUM(S64,AK64)*100+SUM(M64,AE64)+0.001,1,0)+IF(AT64*1000000+SUM(V64,AN64)*10000+SUM(P64,AH64)*100+SUM(J64,AB64)+0.004&gt;AW64*1000000+SUM(Y64,AQ64)*10000+SUM(S64,AK64)*100+SUM(M64,AE64)+0.001,1,0)+IF(AU64*1000000+SUM(W64,AO64)*10000+SUM(Q64,AI64)*100+SUM(K64,AC64)+0.003&gt;AW64*1000000+SUM(Y64,AQ64)*10000+SUM(S64,AK64)*100+SUM(M64,AE64)+0.001,1,0)+IF(AV64*1000000+SUM(X64,AP64)*10000+SUM(R64,AJ64)*100+SUM(L64,AD64)+0.002&gt;AW64*1000000+SUM(Y64,AQ64)*10000+SUM(S64,AK64)*100+SUM(M64,AE64)+0.001,1,0)=2,"C","")))))))</x:f>
      </x:c>
      <x:c r="AY64" s="27" t="str">
        <x:f>IF(C64="","",IF(LEFT(AX64,1)="R","นักปฏิบัติ",IF(LEFT(AX64,1)="I","นักคิดวิเคราะห์",IF(LEFT(AX64,1)="A","นักสร้างสรรค์",IF(LEFT(AX64,1)="S","ผู้เข้าใจผู้คน",IF(LEFT(AX64,1)="E","ผู้นำการเปลี่ยนแปลง","ผู้จัดระบบ"))))))</x:f>
      </x:c>
    </x:row>
    <x:row r="65">
      <x:c r="A65" s="27"/>
      <x:c r="B65" s="28"/>
      <x:c r="C65" s="27"/>
      <x:c r="D65" s="27"/>
      <x:c r="E65" s="27"/>
      <x:c r="F65" s="27"/>
      <x:c r="G65" s="27"/>
      <x:c r="H65" s="27"/>
      <x:c r="I65" s="27"/>
      <x:c r="J65" s="27"/>
      <x:c r="K65" s="27"/>
      <x:c r="L65" s="27"/>
      <x:c r="M65" s="27"/>
      <x:c r="N65" s="27"/>
      <x:c r="O65" s="27"/>
      <x:c r="P65" s="27"/>
      <x:c r="Q65" s="27"/>
      <x:c r="R65" s="27"/>
      <x:c r="S65" s="27"/>
      <x:c r="T65" s="27"/>
      <x:c r="U65" s="27"/>
      <x:c r="V65" s="27"/>
      <x:c r="W65" s="27"/>
      <x:c r="X65" s="27"/>
      <x:c r="Y65" s="27"/>
      <x:c r="Z65" s="27"/>
      <x:c r="AA65" s="27"/>
      <x:c r="AB65" s="27"/>
      <x:c r="AC65" s="27"/>
      <x:c r="AD65" s="27"/>
      <x:c r="AE65" s="27"/>
      <x:c r="AF65" s="27"/>
      <x:c r="AG65" s="27"/>
      <x:c r="AH65" s="27"/>
      <x:c r="AI65" s="27"/>
      <x:c r="AJ65" s="27"/>
      <x:c r="AK65" s="27"/>
      <x:c r="AL65" s="27"/>
      <x:c r="AM65" s="27"/>
      <x:c r="AN65" s="27"/>
      <x:c r="AO65" s="27"/>
      <x:c r="AP65" s="27"/>
      <x:c r="AQ65" s="27"/>
      <x:c r="AR65" s="27" t="str">
        <x:f>IF(C65="","",SUM(H65,N65,T65,Z65,AF65,AL65))</x:f>
      </x:c>
      <x:c r="AS65" s="27" t="str">
        <x:f>IF(C65="","",SUM(I65,O65,U65,AA65,AG65,AM65))</x:f>
      </x:c>
      <x:c r="AT65" s="27" t="str">
        <x:f>IF(C65="","",SUM(J65,P65,V65,AB65,AH65,AN65))</x:f>
      </x:c>
      <x:c r="AU65" s="27" t="str">
        <x:f>IF(C65="","",SUM(K65,Q65,W65,AC65,AI65,AO65))</x:f>
      </x:c>
      <x:c r="AV65" s="27" t="str">
        <x:f>IF(C65="","",SUM(L65,R65,X65,AD65,AJ65,AP65))</x:f>
      </x:c>
      <x:c r="AW65" s="27" t="str">
        <x:f>IF(C65="","",SUM(M65,S65,Y65,AE65,AK65,AQ65))</x:f>
      </x:c>
      <x:c r="AX65" s="27" t="str">
        <x:f>IF(C65="","",IF(IF(AS65*1000000+SUM(U65,AM65)*10000+SUM(O65,AG65)*100+SUM(I65,AA65)+0.005&gt;AR65*1000000+SUM(T65,AL65)*10000+SUM(N65,AF65)*100+SUM(H65,Z65)+0.006,1,0)+IF(AT65*1000000+SUM(V65,AN65)*10000+SUM(P65,AH65)*100+SUM(J65,AB65)+0.004&gt;AR65*1000000+SUM(T65,AL65)*10000+SUM(N65,AF65)*100+SUM(H65,Z65)+0.006,1,0)+IF(AU65*1000000+SUM(W65,AO65)*10000+SUM(Q65,AI65)*100+SUM(K65,AC65)+0.003&gt;AR65*1000000+SUM(T65,AL65)*10000+SUM(N65,AF65)*100+SUM(H65,Z65)+0.006,1,0)+IF(AV65*1000000+SUM(X65,AP65)*10000+SUM(R65,AJ65)*100+SUM(L65,AD65)+0.002&gt;AR65*1000000+SUM(T65,AL65)*10000+SUM(N65,AF65)*100+SUM(H65,Z65)+0.006,1,0)+IF(AW65*1000000+SUM(Y65,AQ65)*10000+SUM(S65,AK65)*100+SUM(M65,AE65)+0.001&gt;AR65*1000000+SUM(T65,AL65)*10000+SUM(N65,AF65)*100+SUM(H65,Z65)+0.006,1,0)=0,"R",IF(IF(AR65*1000000+SUM(T65,AL65)*10000+SUM(N65,AF65)*100+SUM(H65,Z65)+0.006&gt;AS65*1000000+SUM(U65,AM65)*10000+SUM(O65,AG65)*100+SUM(I65,AA65)+0.005,1,0)+IF(AT65*1000000+SUM(V65,AN65)*10000+SUM(P65,AH65)*100+SUM(J65,AB65)+0.004&gt;AS65*1000000+SUM(U65,AM65)*10000+SUM(O65,AG65)*100+SUM(I65,AA65)+0.005,1,0)+IF(AU65*1000000+SUM(W65,AO65)*10000+SUM(Q65,AI65)*100+SUM(K65,AC65)+0.003&gt;AS65*1000000+SUM(U65,AM65)*10000+SUM(O65,AG65)*100+SUM(I65,AA65)+0.005,1,0)+IF(AV65*1000000+SUM(X65,AP65)*10000+SUM(R65,AJ65)*100+SUM(L65,AD65)+0.002&gt;AS65*1000000+SUM(U65,AM65)*10000+SUM(O65,AG65)*100+SUM(I65,AA65)+0.005,1,0)+IF(AW65*1000000+SUM(Y65,AQ65)*10000+SUM(S65,AK65)*100+SUM(M65,AE65)+0.001&gt;AS65*1000000+SUM(U65,AM65)*10000+SUM(O65,AG65)*100+SUM(I65,AA65)+0.005,1,0)=0,"I",IF(IF(AR65*1000000+SUM(T65,AL65)*10000+SUM(N65,AF65)*100+SUM(H65,Z65)+0.006&gt;AT65*1000000+SUM(V65,AN65)*10000+SUM(P65,AH65)*100+SUM(J65,AB65)+0.004,1,0)+IF(AS65*1000000+SUM(U65,AM65)*10000+SUM(O65,AG65)*100+SUM(I65,AA65)+0.005&gt;AT65*1000000+SUM(V65,AN65)*10000+SUM(P65,AH65)*100+SUM(J65,AB65)+0.004,1,0)+IF(AU65*1000000+SUM(W65,AO65)*10000+SUM(Q65,AI65)*100+SUM(K65,AC65)+0.003&gt;AT65*1000000+SUM(V65,AN65)*10000+SUM(P65,AH65)*100+SUM(J65,AB65)+0.004,1,0)+IF(AV65*1000000+SUM(X65,AP65)*10000+SUM(R65,AJ65)*100+SUM(L65,AD65)+0.002&gt;AT65*1000000+SUM(V65,AN65)*10000+SUM(P65,AH65)*100+SUM(J65,AB65)+0.004,1,0)+IF(AW65*1000000+SUM(Y65,AQ65)*10000+SUM(S65,AK65)*100+SUM(M65,AE65)+0.001&gt;AT65*1000000+SUM(V65,AN65)*10000+SUM(P65,AH65)*100+SUM(J65,AB65)+0.004,1,0)=0,"A",IF(IF(AR65*1000000+SUM(T65,AL65)*10000+SUM(N65,AF65)*100+SUM(H65,Z65)+0.006&gt;AU65*1000000+SUM(W65,AO65)*10000+SUM(Q65,AI65)*100+SUM(K65,AC65)+0.003,1,0)+IF(AS65*1000000+SUM(U65,AM65)*10000+SUM(O65,AG65)*100+SUM(I65,AA65)+0.005&gt;AU65*1000000+SUM(W65,AO65)*10000+SUM(Q65,AI65)*100+SUM(K65,AC65)+0.003,1,0)+IF(AT65*1000000+SUM(V65,AN65)*10000+SUM(P65,AH65)*100+SUM(J65,AB65)+0.004&gt;AU65*1000000+SUM(W65,AO65)*10000+SUM(Q65,AI65)*100+SUM(K65,AC65)+0.003,1,0)+IF(AV65*1000000+SUM(X65,AP65)*10000+SUM(R65,AJ65)*100+SUM(L65,AD65)+0.002&gt;AU65*1000000+SUM(W65,AO65)*10000+SUM(Q65,AI65)*100+SUM(K65,AC65)+0.003,1,0)+IF(AW65*1000000+SUM(Y65,AQ65)*10000+SUM(S65,AK65)*100+SUM(M65,AE65)+0.001&gt;AU65*1000000+SUM(W65,AO65)*10000+SUM(Q65,AI65)*100+SUM(K65,AC65)+0.003,1,0)=0,"S",IF(IF(AR65*1000000+SUM(T65,AL65)*10000+SUM(N65,AF65)*100+SUM(H65,Z65)+0.006&gt;AV65*1000000+SUM(X65,AP65)*10000+SUM(R65,AJ65)*100+SUM(L65,AD65)+0.002,1,0)+IF(AS65*1000000+SUM(U65,AM65)*10000+SUM(O65,AG65)*100+SUM(I65,AA65)+0.005&gt;AV65*1000000+SUM(X65,AP65)*10000+SUM(R65,AJ65)*100+SUM(L65,AD65)+0.002,1,0)+IF(AT65*1000000+SUM(V65,AN65)*10000+SUM(P65,AH65)*100+SUM(J65,AB65)+0.004&gt;AV65*1000000+SUM(X65,AP65)*10000+SUM(R65,AJ65)*100+SUM(L65,AD65)+0.002,1,0)+IF(AU65*1000000+SUM(W65,AO65)*10000+SUM(Q65,AI65)*100+SUM(K65,AC65)+0.003&gt;AV65*1000000+SUM(X65,AP65)*10000+SUM(R65,AJ65)*100+SUM(L65,AD65)+0.002,1,0)+IF(AW65*1000000+SUM(Y65,AQ65)*10000+SUM(S65,AK65)*100+SUM(M65,AE65)+0.001&gt;AV65*1000000+SUM(X65,AP65)*10000+SUM(R65,AJ65)*100+SUM(L65,AD65)+0.002,1,0)=0,"E",IF(IF(AR65*1000000+SUM(T65,AL65)*10000+SUM(N65,AF65)*100+SUM(H65,Z65)+0.006&gt;AW65*1000000+SUM(Y65,AQ65)*10000+SUM(S65,AK65)*100+SUM(M65,AE65)+0.001,1,0)+IF(AS65*1000000+SUM(U65,AM65)*10000+SUM(O65,AG65)*100+SUM(I65,AA65)+0.005&gt;AW65*1000000+SUM(Y65,AQ65)*10000+SUM(S65,AK65)*100+SUM(M65,AE65)+0.001,1,0)+IF(AT65*1000000+SUM(V65,AN65)*10000+SUM(P65,AH65)*100+SUM(J65,AB65)+0.004&gt;AW65*1000000+SUM(Y65,AQ65)*10000+SUM(S65,AK65)*100+SUM(M65,AE65)+0.001,1,0)+IF(AU65*1000000+SUM(W65,AO65)*10000+SUM(Q65,AI65)*100+SUM(K65,AC65)+0.003&gt;AW65*1000000+SUM(Y65,AQ65)*10000+SUM(S65,AK65)*100+SUM(M65,AE65)+0.001,1,0)+IF(AV65*1000000+SUM(X65,AP65)*10000+SUM(R65,AJ65)*100+SUM(L65,AD65)+0.002&gt;AW65*1000000+SUM(Y65,AQ65)*10000+SUM(S65,AK65)*100+SUM(M65,AE65)+0.001,1,0)=0,"C",""))))))&amp;IF(IF(AS65*1000000+SUM(U65,AM65)*10000+SUM(O65,AG65)*100+SUM(I65,AA65)+0.005&gt;AR65*1000000+SUM(T65,AL65)*10000+SUM(N65,AF65)*100+SUM(H65,Z65)+0.006,1,0)+IF(AT65*1000000+SUM(V65,AN65)*10000+SUM(P65,AH65)*100+SUM(J65,AB65)+0.004&gt;AR65*1000000+SUM(T65,AL65)*10000+SUM(N65,AF65)*100+SUM(H65,Z65)+0.006,1,0)+IF(AU65*1000000+SUM(W65,AO65)*10000+SUM(Q65,AI65)*100+SUM(K65,AC65)+0.003&gt;AR65*1000000+SUM(T65,AL65)*10000+SUM(N65,AF65)*100+SUM(H65,Z65)+0.006,1,0)+IF(AV65*1000000+SUM(X65,AP65)*10000+SUM(R65,AJ65)*100+SUM(L65,AD65)+0.002&gt;AR65*1000000+SUM(T65,AL65)*10000+SUM(N65,AF65)*100+SUM(H65,Z65)+0.006,1,0)+IF(AW65*1000000+SUM(Y65,AQ65)*10000+SUM(S65,AK65)*100+SUM(M65,AE65)+0.001&gt;AR65*1000000+SUM(T65,AL65)*10000+SUM(N65,AF65)*100+SUM(H65,Z65)+0.006,1,0)=1,"R",IF(IF(AR65*1000000+SUM(T65,AL65)*10000+SUM(N65,AF65)*100+SUM(H65,Z65)+0.006&gt;AS65*1000000+SUM(U65,AM65)*10000+SUM(O65,AG65)*100+SUM(I65,AA65)+0.005,1,0)+IF(AT65*1000000+SUM(V65,AN65)*10000+SUM(P65,AH65)*100+SUM(J65,AB65)+0.004&gt;AS65*1000000+SUM(U65,AM65)*10000+SUM(O65,AG65)*100+SUM(I65,AA65)+0.005,1,0)+IF(AU65*1000000+SUM(W65,AO65)*10000+SUM(Q65,AI65)*100+SUM(K65,AC65)+0.003&gt;AS65*1000000+SUM(U65,AM65)*10000+SUM(O65,AG65)*100+SUM(I65,AA65)+0.005,1,0)+IF(AV65*1000000+SUM(X65,AP65)*10000+SUM(R65,AJ65)*100+SUM(L65,AD65)+0.002&gt;AS65*1000000+SUM(U65,AM65)*10000+SUM(O65,AG65)*100+SUM(I65,AA65)+0.005,1,0)+IF(AW65*1000000+SUM(Y65,AQ65)*10000+SUM(S65,AK65)*100+SUM(M65,AE65)+0.001&gt;AS65*1000000+SUM(U65,AM65)*10000+SUM(O65,AG65)*100+SUM(I65,AA65)+0.005,1,0)=1,"I",IF(IF(AR65*1000000+SUM(T65,AL65)*10000+SUM(N65,AF65)*100+SUM(H65,Z65)+0.006&gt;AT65*1000000+SUM(V65,AN65)*10000+SUM(P65,AH65)*100+SUM(J65,AB65)+0.004,1,0)+IF(AS65*1000000+SUM(U65,AM65)*10000+SUM(O65,AG65)*100+SUM(I65,AA65)+0.005&gt;AT65*1000000+SUM(V65,AN65)*10000+SUM(P65,AH65)*100+SUM(J65,AB65)+0.004,1,0)+IF(AU65*1000000+SUM(W65,AO65)*10000+SUM(Q65,AI65)*100+SUM(K65,AC65)+0.003&gt;AT65*1000000+SUM(V65,AN65)*10000+SUM(P65,AH65)*100+SUM(J65,AB65)+0.004,1,0)+IF(AV65*1000000+SUM(X65,AP65)*10000+SUM(R65,AJ65)*100+SUM(L65,AD65)+0.002&gt;AT65*1000000+SUM(V65,AN65)*10000+SUM(P65,AH65)*100+SUM(J65,AB65)+0.004,1,0)+IF(AW65*1000000+SUM(Y65,AQ65)*10000+SUM(S65,AK65)*100+SUM(M65,AE65)+0.001&gt;AT65*1000000+SUM(V65,AN65)*10000+SUM(P65,AH65)*100+SUM(J65,AB65)+0.004,1,0)=1,"A",IF(IF(AR65*1000000+SUM(T65,AL65)*10000+SUM(N65,AF65)*100+SUM(H65,Z65)+0.006&gt;AU65*1000000+SUM(W65,AO65)*10000+SUM(Q65,AI65)*100+SUM(K65,AC65)+0.003,1,0)+IF(AS65*1000000+SUM(U65,AM65)*10000+SUM(O65,AG65)*100+SUM(I65,AA65)+0.005&gt;AU65*1000000+SUM(W65,AO65)*10000+SUM(Q65,AI65)*100+SUM(K65,AC65)+0.003,1,0)+IF(AT65*1000000+SUM(V65,AN65)*10000+SUM(P65,AH65)*100+SUM(J65,AB65)+0.004&gt;AU65*1000000+SUM(W65,AO65)*10000+SUM(Q65,AI65)*100+SUM(K65,AC65)+0.003,1,0)+IF(AV65*1000000+SUM(X65,AP65)*10000+SUM(R65,AJ65)*100+SUM(L65,AD65)+0.002&gt;AU65*1000000+SUM(W65,AO65)*10000+SUM(Q65,AI65)*100+SUM(K65,AC65)+0.003,1,0)+IF(AW65*1000000+SUM(Y65,AQ65)*10000+SUM(S65,AK65)*100+SUM(M65,AE65)+0.001&gt;AU65*1000000+SUM(W65,AO65)*10000+SUM(Q65,AI65)*100+SUM(K65,AC65)+0.003,1,0)=1,"S",IF(IF(AR65*1000000+SUM(T65,AL65)*10000+SUM(N65,AF65)*100+SUM(H65,Z65)+0.006&gt;AV65*1000000+SUM(X65,AP65)*10000+SUM(R65,AJ65)*100+SUM(L65,AD65)+0.002,1,0)+IF(AS65*1000000+SUM(U65,AM65)*10000+SUM(O65,AG65)*100+SUM(I65,AA65)+0.005&gt;AV65*1000000+SUM(X65,AP65)*10000+SUM(R65,AJ65)*100+SUM(L65,AD65)+0.002,1,0)+IF(AT65*1000000+SUM(V65,AN65)*10000+SUM(P65,AH65)*100+SUM(J65,AB65)+0.004&gt;AV65*1000000+SUM(X65,AP65)*10000+SUM(R65,AJ65)*100+SUM(L65,AD65)+0.002,1,0)+IF(AU65*1000000+SUM(W65,AO65)*10000+SUM(Q65,AI65)*100+SUM(K65,AC65)+0.003&gt;AV65*1000000+SUM(X65,AP65)*10000+SUM(R65,AJ65)*100+SUM(L65,AD65)+0.002,1,0)+IF(AW65*1000000+SUM(Y65,AQ65)*10000+SUM(S65,AK65)*100+SUM(M65,AE65)+0.001&gt;AV65*1000000+SUM(X65,AP65)*10000+SUM(R65,AJ65)*100+SUM(L65,AD65)+0.002,1,0)=1,"E",IF(IF(AR65*1000000+SUM(T65,AL65)*10000+SUM(N65,AF65)*100+SUM(H65,Z65)+0.006&gt;AW65*1000000+SUM(Y65,AQ65)*10000+SUM(S65,AK65)*100+SUM(M65,AE65)+0.001,1,0)+IF(AS65*1000000+SUM(U65,AM65)*10000+SUM(O65,AG65)*100+SUM(I65,AA65)+0.005&gt;AW65*1000000+SUM(Y65,AQ65)*10000+SUM(S65,AK65)*100+SUM(M65,AE65)+0.001,1,0)+IF(AT65*1000000+SUM(V65,AN65)*10000+SUM(P65,AH65)*100+SUM(J65,AB65)+0.004&gt;AW65*1000000+SUM(Y65,AQ65)*10000+SUM(S65,AK65)*100+SUM(M65,AE65)+0.001,1,0)+IF(AU65*1000000+SUM(W65,AO65)*10000+SUM(Q65,AI65)*100+SUM(K65,AC65)+0.003&gt;AW65*1000000+SUM(Y65,AQ65)*10000+SUM(S65,AK65)*100+SUM(M65,AE65)+0.001,1,0)+IF(AV65*1000000+SUM(X65,AP65)*10000+SUM(R65,AJ65)*100+SUM(L65,AD65)+0.002&gt;AW65*1000000+SUM(Y65,AQ65)*10000+SUM(S65,AK65)*100+SUM(M65,AE65)+0.001,1,0)=1,"C",""))))))&amp;IF(IF(AS65*1000000+SUM(U65,AM65)*10000+SUM(O65,AG65)*100+SUM(I65,AA65)+0.005&gt;AR65*1000000+SUM(T65,AL65)*10000+SUM(N65,AF65)*100+SUM(H65,Z65)+0.006,1,0)+IF(AT65*1000000+SUM(V65,AN65)*10000+SUM(P65,AH65)*100+SUM(J65,AB65)+0.004&gt;AR65*1000000+SUM(T65,AL65)*10000+SUM(N65,AF65)*100+SUM(H65,Z65)+0.006,1,0)+IF(AU65*1000000+SUM(W65,AO65)*10000+SUM(Q65,AI65)*100+SUM(K65,AC65)+0.003&gt;AR65*1000000+SUM(T65,AL65)*10000+SUM(N65,AF65)*100+SUM(H65,Z65)+0.006,1,0)+IF(AV65*1000000+SUM(X65,AP65)*10000+SUM(R65,AJ65)*100+SUM(L65,AD65)+0.002&gt;AR65*1000000+SUM(T65,AL65)*10000+SUM(N65,AF65)*100+SUM(H65,Z65)+0.006,1,0)+IF(AW65*1000000+SUM(Y65,AQ65)*10000+SUM(S65,AK65)*100+SUM(M65,AE65)+0.001&gt;AR65*1000000+SUM(T65,AL65)*10000+SUM(N65,AF65)*100+SUM(H65,Z65)+0.006,1,0)=2,"R",IF(IF(AR65*1000000+SUM(T65,AL65)*10000+SUM(N65,AF65)*100+SUM(H65,Z65)+0.006&gt;AS65*1000000+SUM(U65,AM65)*10000+SUM(O65,AG65)*100+SUM(I65,AA65)+0.005,1,0)+IF(AT65*1000000+SUM(V65,AN65)*10000+SUM(P65,AH65)*100+SUM(J65,AB65)+0.004&gt;AS65*1000000+SUM(U65,AM65)*10000+SUM(O65,AG65)*100+SUM(I65,AA65)+0.005,1,0)+IF(AU65*1000000+SUM(W65,AO65)*10000+SUM(Q65,AI65)*100+SUM(K65,AC65)+0.003&gt;AS65*1000000+SUM(U65,AM65)*10000+SUM(O65,AG65)*100+SUM(I65,AA65)+0.005,1,0)+IF(AV65*1000000+SUM(X65,AP65)*10000+SUM(R65,AJ65)*100+SUM(L65,AD65)+0.002&gt;AS65*1000000+SUM(U65,AM65)*10000+SUM(O65,AG65)*100+SUM(I65,AA65)+0.005,1,0)+IF(AW65*1000000+SUM(Y65,AQ65)*10000+SUM(S65,AK65)*100+SUM(M65,AE65)+0.001&gt;AS65*1000000+SUM(U65,AM65)*10000+SUM(O65,AG65)*100+SUM(I65,AA65)+0.005,1,0)=2,"I",IF(IF(AR65*1000000+SUM(T65,AL65)*10000+SUM(N65,AF65)*100+SUM(H65,Z65)+0.006&gt;AT65*1000000+SUM(V65,AN65)*10000+SUM(P65,AH65)*100+SUM(J65,AB65)+0.004,1,0)+IF(AS65*1000000+SUM(U65,AM65)*10000+SUM(O65,AG65)*100+SUM(I65,AA65)+0.005&gt;AT65*1000000+SUM(V65,AN65)*10000+SUM(P65,AH65)*100+SUM(J65,AB65)+0.004,1,0)+IF(AU65*1000000+SUM(W65,AO65)*10000+SUM(Q65,AI65)*100+SUM(K65,AC65)+0.003&gt;AT65*1000000+SUM(V65,AN65)*10000+SUM(P65,AH65)*100+SUM(J65,AB65)+0.004,1,0)+IF(AV65*1000000+SUM(X65,AP65)*10000+SUM(R65,AJ65)*100+SUM(L65,AD65)+0.002&gt;AT65*1000000+SUM(V65,AN65)*10000+SUM(P65,AH65)*100+SUM(J65,AB65)+0.004,1,0)+IF(AW65*1000000+SUM(Y65,AQ65)*10000+SUM(S65,AK65)*100+SUM(M65,AE65)+0.001&gt;AT65*1000000+SUM(V65,AN65)*10000+SUM(P65,AH65)*100+SUM(J65,AB65)+0.004,1,0)=2,"A",IF(IF(AR65*1000000+SUM(T65,AL65)*10000+SUM(N65,AF65)*100+SUM(H65,Z65)+0.006&gt;AU65*1000000+SUM(W65,AO65)*10000+SUM(Q65,AI65)*100+SUM(K65,AC65)+0.003,1,0)+IF(AS65*1000000+SUM(U65,AM65)*10000+SUM(O65,AG65)*100+SUM(I65,AA65)+0.005&gt;AU65*1000000+SUM(W65,AO65)*10000+SUM(Q65,AI65)*100+SUM(K65,AC65)+0.003,1,0)+IF(AT65*1000000+SUM(V65,AN65)*10000+SUM(P65,AH65)*100+SUM(J65,AB65)+0.004&gt;AU65*1000000+SUM(W65,AO65)*10000+SUM(Q65,AI65)*100+SUM(K65,AC65)+0.003,1,0)+IF(AV65*1000000+SUM(X65,AP65)*10000+SUM(R65,AJ65)*100+SUM(L65,AD65)+0.002&gt;AU65*1000000+SUM(W65,AO65)*10000+SUM(Q65,AI65)*100+SUM(K65,AC65)+0.003,1,0)+IF(AW65*1000000+SUM(Y65,AQ65)*10000+SUM(S65,AK65)*100+SUM(M65,AE65)+0.001&gt;AU65*1000000+SUM(W65,AO65)*10000+SUM(Q65,AI65)*100+SUM(K65,AC65)+0.003,1,0)=2,"S",IF(IF(AR65*1000000+SUM(T65,AL65)*10000+SUM(N65,AF65)*100+SUM(H65,Z65)+0.006&gt;AV65*1000000+SUM(X65,AP65)*10000+SUM(R65,AJ65)*100+SUM(L65,AD65)+0.002,1,0)+IF(AS65*1000000+SUM(U65,AM65)*10000+SUM(O65,AG65)*100+SUM(I65,AA65)+0.005&gt;AV65*1000000+SUM(X65,AP65)*10000+SUM(R65,AJ65)*100+SUM(L65,AD65)+0.002,1,0)+IF(AT65*1000000+SUM(V65,AN65)*10000+SUM(P65,AH65)*100+SUM(J65,AB65)+0.004&gt;AV65*1000000+SUM(X65,AP65)*10000+SUM(R65,AJ65)*100+SUM(L65,AD65)+0.002,1,0)+IF(AU65*1000000+SUM(W65,AO65)*10000+SUM(Q65,AI65)*100+SUM(K65,AC65)+0.003&gt;AV65*1000000+SUM(X65,AP65)*10000+SUM(R65,AJ65)*100+SUM(L65,AD65)+0.002,1,0)+IF(AW65*1000000+SUM(Y65,AQ65)*10000+SUM(S65,AK65)*100+SUM(M65,AE65)+0.001&gt;AV65*1000000+SUM(X65,AP65)*10000+SUM(R65,AJ65)*100+SUM(L65,AD65)+0.002,1,0)=2,"E",IF(IF(AR65*1000000+SUM(T65,AL65)*10000+SUM(N65,AF65)*100+SUM(H65,Z65)+0.006&gt;AW65*1000000+SUM(Y65,AQ65)*10000+SUM(S65,AK65)*100+SUM(M65,AE65)+0.001,1,0)+IF(AS65*1000000+SUM(U65,AM65)*10000+SUM(O65,AG65)*100+SUM(I65,AA65)+0.005&gt;AW65*1000000+SUM(Y65,AQ65)*10000+SUM(S65,AK65)*100+SUM(M65,AE65)+0.001,1,0)+IF(AT65*1000000+SUM(V65,AN65)*10000+SUM(P65,AH65)*100+SUM(J65,AB65)+0.004&gt;AW65*1000000+SUM(Y65,AQ65)*10000+SUM(S65,AK65)*100+SUM(M65,AE65)+0.001,1,0)+IF(AU65*1000000+SUM(W65,AO65)*10000+SUM(Q65,AI65)*100+SUM(K65,AC65)+0.003&gt;AW65*1000000+SUM(Y65,AQ65)*10000+SUM(S65,AK65)*100+SUM(M65,AE65)+0.001,1,0)+IF(AV65*1000000+SUM(X65,AP65)*10000+SUM(R65,AJ65)*100+SUM(L65,AD65)+0.002&gt;AW65*1000000+SUM(Y65,AQ65)*10000+SUM(S65,AK65)*100+SUM(M65,AE65)+0.001,1,0)=2,"C","")))))))</x:f>
      </x:c>
      <x:c r="AY65" s="27" t="str">
        <x:f>IF(C65="","",IF(LEFT(AX65,1)="R","นักปฏิบัติ",IF(LEFT(AX65,1)="I","นักคิดวิเคราะห์",IF(LEFT(AX65,1)="A","นักสร้างสรรค์",IF(LEFT(AX65,1)="S","ผู้เข้าใจผู้คน",IF(LEFT(AX65,1)="E","ผู้นำการเปลี่ยนแปลง","ผู้จัดระบบ"))))))</x:f>
      </x:c>
    </x:row>
    <x:row r="66">
      <x:c r="A66" s="27"/>
      <x:c r="B66" s="28"/>
      <x:c r="C66" s="27"/>
      <x:c r="D66" s="27"/>
      <x:c r="E66" s="27"/>
      <x:c r="F66" s="27"/>
      <x:c r="G66" s="27"/>
      <x:c r="H66" s="27"/>
      <x:c r="I66" s="27"/>
      <x:c r="J66" s="27"/>
      <x:c r="K66" s="27"/>
      <x:c r="L66" s="27"/>
      <x:c r="M66" s="27"/>
      <x:c r="N66" s="27"/>
      <x:c r="O66" s="27"/>
      <x:c r="P66" s="27"/>
      <x:c r="Q66" s="27"/>
      <x:c r="R66" s="27"/>
      <x:c r="S66" s="27"/>
      <x:c r="T66" s="27"/>
      <x:c r="U66" s="27"/>
      <x:c r="V66" s="27"/>
      <x:c r="W66" s="27"/>
      <x:c r="X66" s="27"/>
      <x:c r="Y66" s="27"/>
      <x:c r="Z66" s="27"/>
      <x:c r="AA66" s="27"/>
      <x:c r="AB66" s="27"/>
      <x:c r="AC66" s="27"/>
      <x:c r="AD66" s="27"/>
      <x:c r="AE66" s="27"/>
      <x:c r="AF66" s="27"/>
      <x:c r="AG66" s="27"/>
      <x:c r="AH66" s="27"/>
      <x:c r="AI66" s="27"/>
      <x:c r="AJ66" s="27"/>
      <x:c r="AK66" s="27"/>
      <x:c r="AL66" s="27"/>
      <x:c r="AM66" s="27"/>
      <x:c r="AN66" s="27"/>
      <x:c r="AO66" s="27"/>
      <x:c r="AP66" s="27"/>
      <x:c r="AQ66" s="27"/>
      <x:c r="AR66" s="27" t="str">
        <x:f>IF(C66="","",SUM(H66,N66,T66,Z66,AF66,AL66))</x:f>
      </x:c>
      <x:c r="AS66" s="27" t="str">
        <x:f>IF(C66="","",SUM(I66,O66,U66,AA66,AG66,AM66))</x:f>
      </x:c>
      <x:c r="AT66" s="27" t="str">
        <x:f>IF(C66="","",SUM(J66,P66,V66,AB66,AH66,AN66))</x:f>
      </x:c>
      <x:c r="AU66" s="27" t="str">
        <x:f>IF(C66="","",SUM(K66,Q66,W66,AC66,AI66,AO66))</x:f>
      </x:c>
      <x:c r="AV66" s="27" t="str">
        <x:f>IF(C66="","",SUM(L66,R66,X66,AD66,AJ66,AP66))</x:f>
      </x:c>
      <x:c r="AW66" s="27" t="str">
        <x:f>IF(C66="","",SUM(M66,S66,Y66,AE66,AK66,AQ66))</x:f>
      </x:c>
      <x:c r="AX66" s="27" t="str">
        <x:f>IF(C66="","",IF(IF(AS66*1000000+SUM(U66,AM66)*10000+SUM(O66,AG66)*100+SUM(I66,AA66)+0.005&gt;AR66*1000000+SUM(T66,AL66)*10000+SUM(N66,AF66)*100+SUM(H66,Z66)+0.006,1,0)+IF(AT66*1000000+SUM(V66,AN66)*10000+SUM(P66,AH66)*100+SUM(J66,AB66)+0.004&gt;AR66*1000000+SUM(T66,AL66)*10000+SUM(N66,AF66)*100+SUM(H66,Z66)+0.006,1,0)+IF(AU66*1000000+SUM(W66,AO66)*10000+SUM(Q66,AI66)*100+SUM(K66,AC66)+0.003&gt;AR66*1000000+SUM(T66,AL66)*10000+SUM(N66,AF66)*100+SUM(H66,Z66)+0.006,1,0)+IF(AV66*1000000+SUM(X66,AP66)*10000+SUM(R66,AJ66)*100+SUM(L66,AD66)+0.002&gt;AR66*1000000+SUM(T66,AL66)*10000+SUM(N66,AF66)*100+SUM(H66,Z66)+0.006,1,0)+IF(AW66*1000000+SUM(Y66,AQ66)*10000+SUM(S66,AK66)*100+SUM(M66,AE66)+0.001&gt;AR66*1000000+SUM(T66,AL66)*10000+SUM(N66,AF66)*100+SUM(H66,Z66)+0.006,1,0)=0,"R",IF(IF(AR66*1000000+SUM(T66,AL66)*10000+SUM(N66,AF66)*100+SUM(H66,Z66)+0.006&gt;AS66*1000000+SUM(U66,AM66)*10000+SUM(O66,AG66)*100+SUM(I66,AA66)+0.005,1,0)+IF(AT66*1000000+SUM(V66,AN66)*10000+SUM(P66,AH66)*100+SUM(J66,AB66)+0.004&gt;AS66*1000000+SUM(U66,AM66)*10000+SUM(O66,AG66)*100+SUM(I66,AA66)+0.005,1,0)+IF(AU66*1000000+SUM(W66,AO66)*10000+SUM(Q66,AI66)*100+SUM(K66,AC66)+0.003&gt;AS66*1000000+SUM(U66,AM66)*10000+SUM(O66,AG66)*100+SUM(I66,AA66)+0.005,1,0)+IF(AV66*1000000+SUM(X66,AP66)*10000+SUM(R66,AJ66)*100+SUM(L66,AD66)+0.002&gt;AS66*1000000+SUM(U66,AM66)*10000+SUM(O66,AG66)*100+SUM(I66,AA66)+0.005,1,0)+IF(AW66*1000000+SUM(Y66,AQ66)*10000+SUM(S66,AK66)*100+SUM(M66,AE66)+0.001&gt;AS66*1000000+SUM(U66,AM66)*10000+SUM(O66,AG66)*100+SUM(I66,AA66)+0.005,1,0)=0,"I",IF(IF(AR66*1000000+SUM(T66,AL66)*10000+SUM(N66,AF66)*100+SUM(H66,Z66)+0.006&gt;AT66*1000000+SUM(V66,AN66)*10000+SUM(P66,AH66)*100+SUM(J66,AB66)+0.004,1,0)+IF(AS66*1000000+SUM(U66,AM66)*10000+SUM(O66,AG66)*100+SUM(I66,AA66)+0.005&gt;AT66*1000000+SUM(V66,AN66)*10000+SUM(P66,AH66)*100+SUM(J66,AB66)+0.004,1,0)+IF(AU66*1000000+SUM(W66,AO66)*10000+SUM(Q66,AI66)*100+SUM(K66,AC66)+0.003&gt;AT66*1000000+SUM(V66,AN66)*10000+SUM(P66,AH66)*100+SUM(J66,AB66)+0.004,1,0)+IF(AV66*1000000+SUM(X66,AP66)*10000+SUM(R66,AJ66)*100+SUM(L66,AD66)+0.002&gt;AT66*1000000+SUM(V66,AN66)*10000+SUM(P66,AH66)*100+SUM(J66,AB66)+0.004,1,0)+IF(AW66*1000000+SUM(Y66,AQ66)*10000+SUM(S66,AK66)*100+SUM(M66,AE66)+0.001&gt;AT66*1000000+SUM(V66,AN66)*10000+SUM(P66,AH66)*100+SUM(J66,AB66)+0.004,1,0)=0,"A",IF(IF(AR66*1000000+SUM(T66,AL66)*10000+SUM(N66,AF66)*100+SUM(H66,Z66)+0.006&gt;AU66*1000000+SUM(W66,AO66)*10000+SUM(Q66,AI66)*100+SUM(K66,AC66)+0.003,1,0)+IF(AS66*1000000+SUM(U66,AM66)*10000+SUM(O66,AG66)*100+SUM(I66,AA66)+0.005&gt;AU66*1000000+SUM(W66,AO66)*10000+SUM(Q66,AI66)*100+SUM(K66,AC66)+0.003,1,0)+IF(AT66*1000000+SUM(V66,AN66)*10000+SUM(P66,AH66)*100+SUM(J66,AB66)+0.004&gt;AU66*1000000+SUM(W66,AO66)*10000+SUM(Q66,AI66)*100+SUM(K66,AC66)+0.003,1,0)+IF(AV66*1000000+SUM(X66,AP66)*10000+SUM(R66,AJ66)*100+SUM(L66,AD66)+0.002&gt;AU66*1000000+SUM(W66,AO66)*10000+SUM(Q66,AI66)*100+SUM(K66,AC66)+0.003,1,0)+IF(AW66*1000000+SUM(Y66,AQ66)*10000+SUM(S66,AK66)*100+SUM(M66,AE66)+0.001&gt;AU66*1000000+SUM(W66,AO66)*10000+SUM(Q66,AI66)*100+SUM(K66,AC66)+0.003,1,0)=0,"S",IF(IF(AR66*1000000+SUM(T66,AL66)*10000+SUM(N66,AF66)*100+SUM(H66,Z66)+0.006&gt;AV66*1000000+SUM(X66,AP66)*10000+SUM(R66,AJ66)*100+SUM(L66,AD66)+0.002,1,0)+IF(AS66*1000000+SUM(U66,AM66)*10000+SUM(O66,AG66)*100+SUM(I66,AA66)+0.005&gt;AV66*1000000+SUM(X66,AP66)*10000+SUM(R66,AJ66)*100+SUM(L66,AD66)+0.002,1,0)+IF(AT66*1000000+SUM(V66,AN66)*10000+SUM(P66,AH66)*100+SUM(J66,AB66)+0.004&gt;AV66*1000000+SUM(X66,AP66)*10000+SUM(R66,AJ66)*100+SUM(L66,AD66)+0.002,1,0)+IF(AU66*1000000+SUM(W66,AO66)*10000+SUM(Q66,AI66)*100+SUM(K66,AC66)+0.003&gt;AV66*1000000+SUM(X66,AP66)*10000+SUM(R66,AJ66)*100+SUM(L66,AD66)+0.002,1,0)+IF(AW66*1000000+SUM(Y66,AQ66)*10000+SUM(S66,AK66)*100+SUM(M66,AE66)+0.001&gt;AV66*1000000+SUM(X66,AP66)*10000+SUM(R66,AJ66)*100+SUM(L66,AD66)+0.002,1,0)=0,"E",IF(IF(AR66*1000000+SUM(T66,AL66)*10000+SUM(N66,AF66)*100+SUM(H66,Z66)+0.006&gt;AW66*1000000+SUM(Y66,AQ66)*10000+SUM(S66,AK66)*100+SUM(M66,AE66)+0.001,1,0)+IF(AS66*1000000+SUM(U66,AM66)*10000+SUM(O66,AG66)*100+SUM(I66,AA66)+0.005&gt;AW66*1000000+SUM(Y66,AQ66)*10000+SUM(S66,AK66)*100+SUM(M66,AE66)+0.001,1,0)+IF(AT66*1000000+SUM(V66,AN66)*10000+SUM(P66,AH66)*100+SUM(J66,AB66)+0.004&gt;AW66*1000000+SUM(Y66,AQ66)*10000+SUM(S66,AK66)*100+SUM(M66,AE66)+0.001,1,0)+IF(AU66*1000000+SUM(W66,AO66)*10000+SUM(Q66,AI66)*100+SUM(K66,AC66)+0.003&gt;AW66*1000000+SUM(Y66,AQ66)*10000+SUM(S66,AK66)*100+SUM(M66,AE66)+0.001,1,0)+IF(AV66*1000000+SUM(X66,AP66)*10000+SUM(R66,AJ66)*100+SUM(L66,AD66)+0.002&gt;AW66*1000000+SUM(Y66,AQ66)*10000+SUM(S66,AK66)*100+SUM(M66,AE66)+0.001,1,0)=0,"C",""))))))&amp;IF(IF(AS66*1000000+SUM(U66,AM66)*10000+SUM(O66,AG66)*100+SUM(I66,AA66)+0.005&gt;AR66*1000000+SUM(T66,AL66)*10000+SUM(N66,AF66)*100+SUM(H66,Z66)+0.006,1,0)+IF(AT66*1000000+SUM(V66,AN66)*10000+SUM(P66,AH66)*100+SUM(J66,AB66)+0.004&gt;AR66*1000000+SUM(T66,AL66)*10000+SUM(N66,AF66)*100+SUM(H66,Z66)+0.006,1,0)+IF(AU66*1000000+SUM(W66,AO66)*10000+SUM(Q66,AI66)*100+SUM(K66,AC66)+0.003&gt;AR66*1000000+SUM(T66,AL66)*10000+SUM(N66,AF66)*100+SUM(H66,Z66)+0.006,1,0)+IF(AV66*1000000+SUM(X66,AP66)*10000+SUM(R66,AJ66)*100+SUM(L66,AD66)+0.002&gt;AR66*1000000+SUM(T66,AL66)*10000+SUM(N66,AF66)*100+SUM(H66,Z66)+0.006,1,0)+IF(AW66*1000000+SUM(Y66,AQ66)*10000+SUM(S66,AK66)*100+SUM(M66,AE66)+0.001&gt;AR66*1000000+SUM(T66,AL66)*10000+SUM(N66,AF66)*100+SUM(H66,Z66)+0.006,1,0)=1,"R",IF(IF(AR66*1000000+SUM(T66,AL66)*10000+SUM(N66,AF66)*100+SUM(H66,Z66)+0.006&gt;AS66*1000000+SUM(U66,AM66)*10000+SUM(O66,AG66)*100+SUM(I66,AA66)+0.005,1,0)+IF(AT66*1000000+SUM(V66,AN66)*10000+SUM(P66,AH66)*100+SUM(J66,AB66)+0.004&gt;AS66*1000000+SUM(U66,AM66)*10000+SUM(O66,AG66)*100+SUM(I66,AA66)+0.005,1,0)+IF(AU66*1000000+SUM(W66,AO66)*10000+SUM(Q66,AI66)*100+SUM(K66,AC66)+0.003&gt;AS66*1000000+SUM(U66,AM66)*10000+SUM(O66,AG66)*100+SUM(I66,AA66)+0.005,1,0)+IF(AV66*1000000+SUM(X66,AP66)*10000+SUM(R66,AJ66)*100+SUM(L66,AD66)+0.002&gt;AS66*1000000+SUM(U66,AM66)*10000+SUM(O66,AG66)*100+SUM(I66,AA66)+0.005,1,0)+IF(AW66*1000000+SUM(Y66,AQ66)*10000+SUM(S66,AK66)*100+SUM(M66,AE66)+0.001&gt;AS66*1000000+SUM(U66,AM66)*10000+SUM(O66,AG66)*100+SUM(I66,AA66)+0.005,1,0)=1,"I",IF(IF(AR66*1000000+SUM(T66,AL66)*10000+SUM(N66,AF66)*100+SUM(H66,Z66)+0.006&gt;AT66*1000000+SUM(V66,AN66)*10000+SUM(P66,AH66)*100+SUM(J66,AB66)+0.004,1,0)+IF(AS66*1000000+SUM(U66,AM66)*10000+SUM(O66,AG66)*100+SUM(I66,AA66)+0.005&gt;AT66*1000000+SUM(V66,AN66)*10000+SUM(P66,AH66)*100+SUM(J66,AB66)+0.004,1,0)+IF(AU66*1000000+SUM(W66,AO66)*10000+SUM(Q66,AI66)*100+SUM(K66,AC66)+0.003&gt;AT66*1000000+SUM(V66,AN66)*10000+SUM(P66,AH66)*100+SUM(J66,AB66)+0.004,1,0)+IF(AV66*1000000+SUM(X66,AP66)*10000+SUM(R66,AJ66)*100+SUM(L66,AD66)+0.002&gt;AT66*1000000+SUM(V66,AN66)*10000+SUM(P66,AH66)*100+SUM(J66,AB66)+0.004,1,0)+IF(AW66*1000000+SUM(Y66,AQ66)*10000+SUM(S66,AK66)*100+SUM(M66,AE66)+0.001&gt;AT66*1000000+SUM(V66,AN66)*10000+SUM(P66,AH66)*100+SUM(J66,AB66)+0.004,1,0)=1,"A",IF(IF(AR66*1000000+SUM(T66,AL66)*10000+SUM(N66,AF66)*100+SUM(H66,Z66)+0.006&gt;AU66*1000000+SUM(W66,AO66)*10000+SUM(Q66,AI66)*100+SUM(K66,AC66)+0.003,1,0)+IF(AS66*1000000+SUM(U66,AM66)*10000+SUM(O66,AG66)*100+SUM(I66,AA66)+0.005&gt;AU66*1000000+SUM(W66,AO66)*10000+SUM(Q66,AI66)*100+SUM(K66,AC66)+0.003,1,0)+IF(AT66*1000000+SUM(V66,AN66)*10000+SUM(P66,AH66)*100+SUM(J66,AB66)+0.004&gt;AU66*1000000+SUM(W66,AO66)*10000+SUM(Q66,AI66)*100+SUM(K66,AC66)+0.003,1,0)+IF(AV66*1000000+SUM(X66,AP66)*10000+SUM(R66,AJ66)*100+SUM(L66,AD66)+0.002&gt;AU66*1000000+SUM(W66,AO66)*10000+SUM(Q66,AI66)*100+SUM(K66,AC66)+0.003,1,0)+IF(AW66*1000000+SUM(Y66,AQ66)*10000+SUM(S66,AK66)*100+SUM(M66,AE66)+0.001&gt;AU66*1000000+SUM(W66,AO66)*10000+SUM(Q66,AI66)*100+SUM(K66,AC66)+0.003,1,0)=1,"S",IF(IF(AR66*1000000+SUM(T66,AL66)*10000+SUM(N66,AF66)*100+SUM(H66,Z66)+0.006&gt;AV66*1000000+SUM(X66,AP66)*10000+SUM(R66,AJ66)*100+SUM(L66,AD66)+0.002,1,0)+IF(AS66*1000000+SUM(U66,AM66)*10000+SUM(O66,AG66)*100+SUM(I66,AA66)+0.005&gt;AV66*1000000+SUM(X66,AP66)*10000+SUM(R66,AJ66)*100+SUM(L66,AD66)+0.002,1,0)+IF(AT66*1000000+SUM(V66,AN66)*10000+SUM(P66,AH66)*100+SUM(J66,AB66)+0.004&gt;AV66*1000000+SUM(X66,AP66)*10000+SUM(R66,AJ66)*100+SUM(L66,AD66)+0.002,1,0)+IF(AU66*1000000+SUM(W66,AO66)*10000+SUM(Q66,AI66)*100+SUM(K66,AC66)+0.003&gt;AV66*1000000+SUM(X66,AP66)*10000+SUM(R66,AJ66)*100+SUM(L66,AD66)+0.002,1,0)+IF(AW66*1000000+SUM(Y66,AQ66)*10000+SUM(S66,AK66)*100+SUM(M66,AE66)+0.001&gt;AV66*1000000+SUM(X66,AP66)*10000+SUM(R66,AJ66)*100+SUM(L66,AD66)+0.002,1,0)=1,"E",IF(IF(AR66*1000000+SUM(T66,AL66)*10000+SUM(N66,AF66)*100+SUM(H66,Z66)+0.006&gt;AW66*1000000+SUM(Y66,AQ66)*10000+SUM(S66,AK66)*100+SUM(M66,AE66)+0.001,1,0)+IF(AS66*1000000+SUM(U66,AM66)*10000+SUM(O66,AG66)*100+SUM(I66,AA66)+0.005&gt;AW66*1000000+SUM(Y66,AQ66)*10000+SUM(S66,AK66)*100+SUM(M66,AE66)+0.001,1,0)+IF(AT66*1000000+SUM(V66,AN66)*10000+SUM(P66,AH66)*100+SUM(J66,AB66)+0.004&gt;AW66*1000000+SUM(Y66,AQ66)*10000+SUM(S66,AK66)*100+SUM(M66,AE66)+0.001,1,0)+IF(AU66*1000000+SUM(W66,AO66)*10000+SUM(Q66,AI66)*100+SUM(K66,AC66)+0.003&gt;AW66*1000000+SUM(Y66,AQ66)*10000+SUM(S66,AK66)*100+SUM(M66,AE66)+0.001,1,0)+IF(AV66*1000000+SUM(X66,AP66)*10000+SUM(R66,AJ66)*100+SUM(L66,AD66)+0.002&gt;AW66*1000000+SUM(Y66,AQ66)*10000+SUM(S66,AK66)*100+SUM(M66,AE66)+0.001,1,0)=1,"C",""))))))&amp;IF(IF(AS66*1000000+SUM(U66,AM66)*10000+SUM(O66,AG66)*100+SUM(I66,AA66)+0.005&gt;AR66*1000000+SUM(T66,AL66)*10000+SUM(N66,AF66)*100+SUM(H66,Z66)+0.006,1,0)+IF(AT66*1000000+SUM(V66,AN66)*10000+SUM(P66,AH66)*100+SUM(J66,AB66)+0.004&gt;AR66*1000000+SUM(T66,AL66)*10000+SUM(N66,AF66)*100+SUM(H66,Z66)+0.006,1,0)+IF(AU66*1000000+SUM(W66,AO66)*10000+SUM(Q66,AI66)*100+SUM(K66,AC66)+0.003&gt;AR66*1000000+SUM(T66,AL66)*10000+SUM(N66,AF66)*100+SUM(H66,Z66)+0.006,1,0)+IF(AV66*1000000+SUM(X66,AP66)*10000+SUM(R66,AJ66)*100+SUM(L66,AD66)+0.002&gt;AR66*1000000+SUM(T66,AL66)*10000+SUM(N66,AF66)*100+SUM(H66,Z66)+0.006,1,0)+IF(AW66*1000000+SUM(Y66,AQ66)*10000+SUM(S66,AK66)*100+SUM(M66,AE66)+0.001&gt;AR66*1000000+SUM(T66,AL66)*10000+SUM(N66,AF66)*100+SUM(H66,Z66)+0.006,1,0)=2,"R",IF(IF(AR66*1000000+SUM(T66,AL66)*10000+SUM(N66,AF66)*100+SUM(H66,Z66)+0.006&gt;AS66*1000000+SUM(U66,AM66)*10000+SUM(O66,AG66)*100+SUM(I66,AA66)+0.005,1,0)+IF(AT66*1000000+SUM(V66,AN66)*10000+SUM(P66,AH66)*100+SUM(J66,AB66)+0.004&gt;AS66*1000000+SUM(U66,AM66)*10000+SUM(O66,AG66)*100+SUM(I66,AA66)+0.005,1,0)+IF(AU66*1000000+SUM(W66,AO66)*10000+SUM(Q66,AI66)*100+SUM(K66,AC66)+0.003&gt;AS66*1000000+SUM(U66,AM66)*10000+SUM(O66,AG66)*100+SUM(I66,AA66)+0.005,1,0)+IF(AV66*1000000+SUM(X66,AP66)*10000+SUM(R66,AJ66)*100+SUM(L66,AD66)+0.002&gt;AS66*1000000+SUM(U66,AM66)*10000+SUM(O66,AG66)*100+SUM(I66,AA66)+0.005,1,0)+IF(AW66*1000000+SUM(Y66,AQ66)*10000+SUM(S66,AK66)*100+SUM(M66,AE66)+0.001&gt;AS66*1000000+SUM(U66,AM66)*10000+SUM(O66,AG66)*100+SUM(I66,AA66)+0.005,1,0)=2,"I",IF(IF(AR66*1000000+SUM(T66,AL66)*10000+SUM(N66,AF66)*100+SUM(H66,Z66)+0.006&gt;AT66*1000000+SUM(V66,AN66)*10000+SUM(P66,AH66)*100+SUM(J66,AB66)+0.004,1,0)+IF(AS66*1000000+SUM(U66,AM66)*10000+SUM(O66,AG66)*100+SUM(I66,AA66)+0.005&gt;AT66*1000000+SUM(V66,AN66)*10000+SUM(P66,AH66)*100+SUM(J66,AB66)+0.004,1,0)+IF(AU66*1000000+SUM(W66,AO66)*10000+SUM(Q66,AI66)*100+SUM(K66,AC66)+0.003&gt;AT66*1000000+SUM(V66,AN66)*10000+SUM(P66,AH66)*100+SUM(J66,AB66)+0.004,1,0)+IF(AV66*1000000+SUM(X66,AP66)*10000+SUM(R66,AJ66)*100+SUM(L66,AD66)+0.002&gt;AT66*1000000+SUM(V66,AN66)*10000+SUM(P66,AH66)*100+SUM(J66,AB66)+0.004,1,0)+IF(AW66*1000000+SUM(Y66,AQ66)*10000+SUM(S66,AK66)*100+SUM(M66,AE66)+0.001&gt;AT66*1000000+SUM(V66,AN66)*10000+SUM(P66,AH66)*100+SUM(J66,AB66)+0.004,1,0)=2,"A",IF(IF(AR66*1000000+SUM(T66,AL66)*10000+SUM(N66,AF66)*100+SUM(H66,Z66)+0.006&gt;AU66*1000000+SUM(W66,AO66)*10000+SUM(Q66,AI66)*100+SUM(K66,AC66)+0.003,1,0)+IF(AS66*1000000+SUM(U66,AM66)*10000+SUM(O66,AG66)*100+SUM(I66,AA66)+0.005&gt;AU66*1000000+SUM(W66,AO66)*10000+SUM(Q66,AI66)*100+SUM(K66,AC66)+0.003,1,0)+IF(AT66*1000000+SUM(V66,AN66)*10000+SUM(P66,AH66)*100+SUM(J66,AB66)+0.004&gt;AU66*1000000+SUM(W66,AO66)*10000+SUM(Q66,AI66)*100+SUM(K66,AC66)+0.003,1,0)+IF(AV66*1000000+SUM(X66,AP66)*10000+SUM(R66,AJ66)*100+SUM(L66,AD66)+0.002&gt;AU66*1000000+SUM(W66,AO66)*10000+SUM(Q66,AI66)*100+SUM(K66,AC66)+0.003,1,0)+IF(AW66*1000000+SUM(Y66,AQ66)*10000+SUM(S66,AK66)*100+SUM(M66,AE66)+0.001&gt;AU66*1000000+SUM(W66,AO66)*10000+SUM(Q66,AI66)*100+SUM(K66,AC66)+0.003,1,0)=2,"S",IF(IF(AR66*1000000+SUM(T66,AL66)*10000+SUM(N66,AF66)*100+SUM(H66,Z66)+0.006&gt;AV66*1000000+SUM(X66,AP66)*10000+SUM(R66,AJ66)*100+SUM(L66,AD66)+0.002,1,0)+IF(AS66*1000000+SUM(U66,AM66)*10000+SUM(O66,AG66)*100+SUM(I66,AA66)+0.005&gt;AV66*1000000+SUM(X66,AP66)*10000+SUM(R66,AJ66)*100+SUM(L66,AD66)+0.002,1,0)+IF(AT66*1000000+SUM(V66,AN66)*10000+SUM(P66,AH66)*100+SUM(J66,AB66)+0.004&gt;AV66*1000000+SUM(X66,AP66)*10000+SUM(R66,AJ66)*100+SUM(L66,AD66)+0.002,1,0)+IF(AU66*1000000+SUM(W66,AO66)*10000+SUM(Q66,AI66)*100+SUM(K66,AC66)+0.003&gt;AV66*1000000+SUM(X66,AP66)*10000+SUM(R66,AJ66)*100+SUM(L66,AD66)+0.002,1,0)+IF(AW66*1000000+SUM(Y66,AQ66)*10000+SUM(S66,AK66)*100+SUM(M66,AE66)+0.001&gt;AV66*1000000+SUM(X66,AP66)*10000+SUM(R66,AJ66)*100+SUM(L66,AD66)+0.002,1,0)=2,"E",IF(IF(AR66*1000000+SUM(T66,AL66)*10000+SUM(N66,AF66)*100+SUM(H66,Z66)+0.006&gt;AW66*1000000+SUM(Y66,AQ66)*10000+SUM(S66,AK66)*100+SUM(M66,AE66)+0.001,1,0)+IF(AS66*1000000+SUM(U66,AM66)*10000+SUM(O66,AG66)*100+SUM(I66,AA66)+0.005&gt;AW66*1000000+SUM(Y66,AQ66)*10000+SUM(S66,AK66)*100+SUM(M66,AE66)+0.001,1,0)+IF(AT66*1000000+SUM(V66,AN66)*10000+SUM(P66,AH66)*100+SUM(J66,AB66)+0.004&gt;AW66*1000000+SUM(Y66,AQ66)*10000+SUM(S66,AK66)*100+SUM(M66,AE66)+0.001,1,0)+IF(AU66*1000000+SUM(W66,AO66)*10000+SUM(Q66,AI66)*100+SUM(K66,AC66)+0.003&gt;AW66*1000000+SUM(Y66,AQ66)*10000+SUM(S66,AK66)*100+SUM(M66,AE66)+0.001,1,0)+IF(AV66*1000000+SUM(X66,AP66)*10000+SUM(R66,AJ66)*100+SUM(L66,AD66)+0.002&gt;AW66*1000000+SUM(Y66,AQ66)*10000+SUM(S66,AK66)*100+SUM(M66,AE66)+0.001,1,0)=2,"C","")))))))</x:f>
      </x:c>
      <x:c r="AY66" s="27" t="str">
        <x:f>IF(C66="","",IF(LEFT(AX66,1)="R","นักปฏิบัติ",IF(LEFT(AX66,1)="I","นักคิดวิเคราะห์",IF(LEFT(AX66,1)="A","นักสร้างสรรค์",IF(LEFT(AX66,1)="S","ผู้เข้าใจผู้คน",IF(LEFT(AX66,1)="E","ผู้นำการเปลี่ยนแปลง","ผู้จัดระบบ"))))))</x:f>
      </x:c>
    </x:row>
    <x:row r="67">
      <x:c r="A67" s="27"/>
      <x:c r="B67" s="28"/>
      <x:c r="C67" s="27"/>
      <x:c r="D67" s="27"/>
      <x:c r="E67" s="27"/>
      <x:c r="F67" s="27"/>
      <x:c r="G67" s="27"/>
      <x:c r="H67" s="27"/>
      <x:c r="I67" s="27"/>
      <x:c r="J67" s="27"/>
      <x:c r="K67" s="27"/>
      <x:c r="L67" s="27"/>
      <x:c r="M67" s="27"/>
      <x:c r="N67" s="27"/>
      <x:c r="O67" s="27"/>
      <x:c r="P67" s="27"/>
      <x:c r="Q67" s="27"/>
      <x:c r="R67" s="27"/>
      <x:c r="S67" s="27"/>
      <x:c r="T67" s="27"/>
      <x:c r="U67" s="27"/>
      <x:c r="V67" s="27"/>
      <x:c r="W67" s="27"/>
      <x:c r="X67" s="27"/>
      <x:c r="Y67" s="27"/>
      <x:c r="Z67" s="27"/>
      <x:c r="AA67" s="27"/>
      <x:c r="AB67" s="27"/>
      <x:c r="AC67" s="27"/>
      <x:c r="AD67" s="27"/>
      <x:c r="AE67" s="27"/>
      <x:c r="AF67" s="27"/>
      <x:c r="AG67" s="27"/>
      <x:c r="AH67" s="27"/>
      <x:c r="AI67" s="27"/>
      <x:c r="AJ67" s="27"/>
      <x:c r="AK67" s="27"/>
      <x:c r="AL67" s="27"/>
      <x:c r="AM67" s="27"/>
      <x:c r="AN67" s="27"/>
      <x:c r="AO67" s="27"/>
      <x:c r="AP67" s="27"/>
      <x:c r="AQ67" s="27"/>
      <x:c r="AR67" s="27" t="str">
        <x:f>IF(C67="","",SUM(H67,N67,T67,Z67,AF67,AL67))</x:f>
      </x:c>
      <x:c r="AS67" s="27" t="str">
        <x:f>IF(C67="","",SUM(I67,O67,U67,AA67,AG67,AM67))</x:f>
      </x:c>
      <x:c r="AT67" s="27" t="str">
        <x:f>IF(C67="","",SUM(J67,P67,V67,AB67,AH67,AN67))</x:f>
      </x:c>
      <x:c r="AU67" s="27" t="str">
        <x:f>IF(C67="","",SUM(K67,Q67,W67,AC67,AI67,AO67))</x:f>
      </x:c>
      <x:c r="AV67" s="27" t="str">
        <x:f>IF(C67="","",SUM(L67,R67,X67,AD67,AJ67,AP67))</x:f>
      </x:c>
      <x:c r="AW67" s="27" t="str">
        <x:f>IF(C67="","",SUM(M67,S67,Y67,AE67,AK67,AQ67))</x:f>
      </x:c>
      <x:c r="AX67" s="27" t="str">
        <x:f>IF(C67="","",IF(IF(AS67*1000000+SUM(U67,AM67)*10000+SUM(O67,AG67)*100+SUM(I67,AA67)+0.005&gt;AR67*1000000+SUM(T67,AL67)*10000+SUM(N67,AF67)*100+SUM(H67,Z67)+0.006,1,0)+IF(AT67*1000000+SUM(V67,AN67)*10000+SUM(P67,AH67)*100+SUM(J67,AB67)+0.004&gt;AR67*1000000+SUM(T67,AL67)*10000+SUM(N67,AF67)*100+SUM(H67,Z67)+0.006,1,0)+IF(AU67*1000000+SUM(W67,AO67)*10000+SUM(Q67,AI67)*100+SUM(K67,AC67)+0.003&gt;AR67*1000000+SUM(T67,AL67)*10000+SUM(N67,AF67)*100+SUM(H67,Z67)+0.006,1,0)+IF(AV67*1000000+SUM(X67,AP67)*10000+SUM(R67,AJ67)*100+SUM(L67,AD67)+0.002&gt;AR67*1000000+SUM(T67,AL67)*10000+SUM(N67,AF67)*100+SUM(H67,Z67)+0.006,1,0)+IF(AW67*1000000+SUM(Y67,AQ67)*10000+SUM(S67,AK67)*100+SUM(M67,AE67)+0.001&gt;AR67*1000000+SUM(T67,AL67)*10000+SUM(N67,AF67)*100+SUM(H67,Z67)+0.006,1,0)=0,"R",IF(IF(AR67*1000000+SUM(T67,AL67)*10000+SUM(N67,AF67)*100+SUM(H67,Z67)+0.006&gt;AS67*1000000+SUM(U67,AM67)*10000+SUM(O67,AG67)*100+SUM(I67,AA67)+0.005,1,0)+IF(AT67*1000000+SUM(V67,AN67)*10000+SUM(P67,AH67)*100+SUM(J67,AB67)+0.004&gt;AS67*1000000+SUM(U67,AM67)*10000+SUM(O67,AG67)*100+SUM(I67,AA67)+0.005,1,0)+IF(AU67*1000000+SUM(W67,AO67)*10000+SUM(Q67,AI67)*100+SUM(K67,AC67)+0.003&gt;AS67*1000000+SUM(U67,AM67)*10000+SUM(O67,AG67)*100+SUM(I67,AA67)+0.005,1,0)+IF(AV67*1000000+SUM(X67,AP67)*10000+SUM(R67,AJ67)*100+SUM(L67,AD67)+0.002&gt;AS67*1000000+SUM(U67,AM67)*10000+SUM(O67,AG67)*100+SUM(I67,AA67)+0.005,1,0)+IF(AW67*1000000+SUM(Y67,AQ67)*10000+SUM(S67,AK67)*100+SUM(M67,AE67)+0.001&gt;AS67*1000000+SUM(U67,AM67)*10000+SUM(O67,AG67)*100+SUM(I67,AA67)+0.005,1,0)=0,"I",IF(IF(AR67*1000000+SUM(T67,AL67)*10000+SUM(N67,AF67)*100+SUM(H67,Z67)+0.006&gt;AT67*1000000+SUM(V67,AN67)*10000+SUM(P67,AH67)*100+SUM(J67,AB67)+0.004,1,0)+IF(AS67*1000000+SUM(U67,AM67)*10000+SUM(O67,AG67)*100+SUM(I67,AA67)+0.005&gt;AT67*1000000+SUM(V67,AN67)*10000+SUM(P67,AH67)*100+SUM(J67,AB67)+0.004,1,0)+IF(AU67*1000000+SUM(W67,AO67)*10000+SUM(Q67,AI67)*100+SUM(K67,AC67)+0.003&gt;AT67*1000000+SUM(V67,AN67)*10000+SUM(P67,AH67)*100+SUM(J67,AB67)+0.004,1,0)+IF(AV67*1000000+SUM(X67,AP67)*10000+SUM(R67,AJ67)*100+SUM(L67,AD67)+0.002&gt;AT67*1000000+SUM(V67,AN67)*10000+SUM(P67,AH67)*100+SUM(J67,AB67)+0.004,1,0)+IF(AW67*1000000+SUM(Y67,AQ67)*10000+SUM(S67,AK67)*100+SUM(M67,AE67)+0.001&gt;AT67*1000000+SUM(V67,AN67)*10000+SUM(P67,AH67)*100+SUM(J67,AB67)+0.004,1,0)=0,"A",IF(IF(AR67*1000000+SUM(T67,AL67)*10000+SUM(N67,AF67)*100+SUM(H67,Z67)+0.006&gt;AU67*1000000+SUM(W67,AO67)*10000+SUM(Q67,AI67)*100+SUM(K67,AC67)+0.003,1,0)+IF(AS67*1000000+SUM(U67,AM67)*10000+SUM(O67,AG67)*100+SUM(I67,AA67)+0.005&gt;AU67*1000000+SUM(W67,AO67)*10000+SUM(Q67,AI67)*100+SUM(K67,AC67)+0.003,1,0)+IF(AT67*1000000+SUM(V67,AN67)*10000+SUM(P67,AH67)*100+SUM(J67,AB67)+0.004&gt;AU67*1000000+SUM(W67,AO67)*10000+SUM(Q67,AI67)*100+SUM(K67,AC67)+0.003,1,0)+IF(AV67*1000000+SUM(X67,AP67)*10000+SUM(R67,AJ67)*100+SUM(L67,AD67)+0.002&gt;AU67*1000000+SUM(W67,AO67)*10000+SUM(Q67,AI67)*100+SUM(K67,AC67)+0.003,1,0)+IF(AW67*1000000+SUM(Y67,AQ67)*10000+SUM(S67,AK67)*100+SUM(M67,AE67)+0.001&gt;AU67*1000000+SUM(W67,AO67)*10000+SUM(Q67,AI67)*100+SUM(K67,AC67)+0.003,1,0)=0,"S",IF(IF(AR67*1000000+SUM(T67,AL67)*10000+SUM(N67,AF67)*100+SUM(H67,Z67)+0.006&gt;AV67*1000000+SUM(X67,AP67)*10000+SUM(R67,AJ67)*100+SUM(L67,AD67)+0.002,1,0)+IF(AS67*1000000+SUM(U67,AM67)*10000+SUM(O67,AG67)*100+SUM(I67,AA67)+0.005&gt;AV67*1000000+SUM(X67,AP67)*10000+SUM(R67,AJ67)*100+SUM(L67,AD67)+0.002,1,0)+IF(AT67*1000000+SUM(V67,AN67)*10000+SUM(P67,AH67)*100+SUM(J67,AB67)+0.004&gt;AV67*1000000+SUM(X67,AP67)*10000+SUM(R67,AJ67)*100+SUM(L67,AD67)+0.002,1,0)+IF(AU67*1000000+SUM(W67,AO67)*10000+SUM(Q67,AI67)*100+SUM(K67,AC67)+0.003&gt;AV67*1000000+SUM(X67,AP67)*10000+SUM(R67,AJ67)*100+SUM(L67,AD67)+0.002,1,0)+IF(AW67*1000000+SUM(Y67,AQ67)*10000+SUM(S67,AK67)*100+SUM(M67,AE67)+0.001&gt;AV67*1000000+SUM(X67,AP67)*10000+SUM(R67,AJ67)*100+SUM(L67,AD67)+0.002,1,0)=0,"E",IF(IF(AR67*1000000+SUM(T67,AL67)*10000+SUM(N67,AF67)*100+SUM(H67,Z67)+0.006&gt;AW67*1000000+SUM(Y67,AQ67)*10000+SUM(S67,AK67)*100+SUM(M67,AE67)+0.001,1,0)+IF(AS67*1000000+SUM(U67,AM67)*10000+SUM(O67,AG67)*100+SUM(I67,AA67)+0.005&gt;AW67*1000000+SUM(Y67,AQ67)*10000+SUM(S67,AK67)*100+SUM(M67,AE67)+0.001,1,0)+IF(AT67*1000000+SUM(V67,AN67)*10000+SUM(P67,AH67)*100+SUM(J67,AB67)+0.004&gt;AW67*1000000+SUM(Y67,AQ67)*10000+SUM(S67,AK67)*100+SUM(M67,AE67)+0.001,1,0)+IF(AU67*1000000+SUM(W67,AO67)*10000+SUM(Q67,AI67)*100+SUM(K67,AC67)+0.003&gt;AW67*1000000+SUM(Y67,AQ67)*10000+SUM(S67,AK67)*100+SUM(M67,AE67)+0.001,1,0)+IF(AV67*1000000+SUM(X67,AP67)*10000+SUM(R67,AJ67)*100+SUM(L67,AD67)+0.002&gt;AW67*1000000+SUM(Y67,AQ67)*10000+SUM(S67,AK67)*100+SUM(M67,AE67)+0.001,1,0)=0,"C",""))))))&amp;IF(IF(AS67*1000000+SUM(U67,AM67)*10000+SUM(O67,AG67)*100+SUM(I67,AA67)+0.005&gt;AR67*1000000+SUM(T67,AL67)*10000+SUM(N67,AF67)*100+SUM(H67,Z67)+0.006,1,0)+IF(AT67*1000000+SUM(V67,AN67)*10000+SUM(P67,AH67)*100+SUM(J67,AB67)+0.004&gt;AR67*1000000+SUM(T67,AL67)*10000+SUM(N67,AF67)*100+SUM(H67,Z67)+0.006,1,0)+IF(AU67*1000000+SUM(W67,AO67)*10000+SUM(Q67,AI67)*100+SUM(K67,AC67)+0.003&gt;AR67*1000000+SUM(T67,AL67)*10000+SUM(N67,AF67)*100+SUM(H67,Z67)+0.006,1,0)+IF(AV67*1000000+SUM(X67,AP67)*10000+SUM(R67,AJ67)*100+SUM(L67,AD67)+0.002&gt;AR67*1000000+SUM(T67,AL67)*10000+SUM(N67,AF67)*100+SUM(H67,Z67)+0.006,1,0)+IF(AW67*1000000+SUM(Y67,AQ67)*10000+SUM(S67,AK67)*100+SUM(M67,AE67)+0.001&gt;AR67*1000000+SUM(T67,AL67)*10000+SUM(N67,AF67)*100+SUM(H67,Z67)+0.006,1,0)=1,"R",IF(IF(AR67*1000000+SUM(T67,AL67)*10000+SUM(N67,AF67)*100+SUM(H67,Z67)+0.006&gt;AS67*1000000+SUM(U67,AM67)*10000+SUM(O67,AG67)*100+SUM(I67,AA67)+0.005,1,0)+IF(AT67*1000000+SUM(V67,AN67)*10000+SUM(P67,AH67)*100+SUM(J67,AB67)+0.004&gt;AS67*1000000+SUM(U67,AM67)*10000+SUM(O67,AG67)*100+SUM(I67,AA67)+0.005,1,0)+IF(AU67*1000000+SUM(W67,AO67)*10000+SUM(Q67,AI67)*100+SUM(K67,AC67)+0.003&gt;AS67*1000000+SUM(U67,AM67)*10000+SUM(O67,AG67)*100+SUM(I67,AA67)+0.005,1,0)+IF(AV67*1000000+SUM(X67,AP67)*10000+SUM(R67,AJ67)*100+SUM(L67,AD67)+0.002&gt;AS67*1000000+SUM(U67,AM67)*10000+SUM(O67,AG67)*100+SUM(I67,AA67)+0.005,1,0)+IF(AW67*1000000+SUM(Y67,AQ67)*10000+SUM(S67,AK67)*100+SUM(M67,AE67)+0.001&gt;AS67*1000000+SUM(U67,AM67)*10000+SUM(O67,AG67)*100+SUM(I67,AA67)+0.005,1,0)=1,"I",IF(IF(AR67*1000000+SUM(T67,AL67)*10000+SUM(N67,AF67)*100+SUM(H67,Z67)+0.006&gt;AT67*1000000+SUM(V67,AN67)*10000+SUM(P67,AH67)*100+SUM(J67,AB67)+0.004,1,0)+IF(AS67*1000000+SUM(U67,AM67)*10000+SUM(O67,AG67)*100+SUM(I67,AA67)+0.005&gt;AT67*1000000+SUM(V67,AN67)*10000+SUM(P67,AH67)*100+SUM(J67,AB67)+0.004,1,0)+IF(AU67*1000000+SUM(W67,AO67)*10000+SUM(Q67,AI67)*100+SUM(K67,AC67)+0.003&gt;AT67*1000000+SUM(V67,AN67)*10000+SUM(P67,AH67)*100+SUM(J67,AB67)+0.004,1,0)+IF(AV67*1000000+SUM(X67,AP67)*10000+SUM(R67,AJ67)*100+SUM(L67,AD67)+0.002&gt;AT67*1000000+SUM(V67,AN67)*10000+SUM(P67,AH67)*100+SUM(J67,AB67)+0.004,1,0)+IF(AW67*1000000+SUM(Y67,AQ67)*10000+SUM(S67,AK67)*100+SUM(M67,AE67)+0.001&gt;AT67*1000000+SUM(V67,AN67)*10000+SUM(P67,AH67)*100+SUM(J67,AB67)+0.004,1,0)=1,"A",IF(IF(AR67*1000000+SUM(T67,AL67)*10000+SUM(N67,AF67)*100+SUM(H67,Z67)+0.006&gt;AU67*1000000+SUM(W67,AO67)*10000+SUM(Q67,AI67)*100+SUM(K67,AC67)+0.003,1,0)+IF(AS67*1000000+SUM(U67,AM67)*10000+SUM(O67,AG67)*100+SUM(I67,AA67)+0.005&gt;AU67*1000000+SUM(W67,AO67)*10000+SUM(Q67,AI67)*100+SUM(K67,AC67)+0.003,1,0)+IF(AT67*1000000+SUM(V67,AN67)*10000+SUM(P67,AH67)*100+SUM(J67,AB67)+0.004&gt;AU67*1000000+SUM(W67,AO67)*10000+SUM(Q67,AI67)*100+SUM(K67,AC67)+0.003,1,0)+IF(AV67*1000000+SUM(X67,AP67)*10000+SUM(R67,AJ67)*100+SUM(L67,AD67)+0.002&gt;AU67*1000000+SUM(W67,AO67)*10000+SUM(Q67,AI67)*100+SUM(K67,AC67)+0.003,1,0)+IF(AW67*1000000+SUM(Y67,AQ67)*10000+SUM(S67,AK67)*100+SUM(M67,AE67)+0.001&gt;AU67*1000000+SUM(W67,AO67)*10000+SUM(Q67,AI67)*100+SUM(K67,AC67)+0.003,1,0)=1,"S",IF(IF(AR67*1000000+SUM(T67,AL67)*10000+SUM(N67,AF67)*100+SUM(H67,Z67)+0.006&gt;AV67*1000000+SUM(X67,AP67)*10000+SUM(R67,AJ67)*100+SUM(L67,AD67)+0.002,1,0)+IF(AS67*1000000+SUM(U67,AM67)*10000+SUM(O67,AG67)*100+SUM(I67,AA67)+0.005&gt;AV67*1000000+SUM(X67,AP67)*10000+SUM(R67,AJ67)*100+SUM(L67,AD67)+0.002,1,0)+IF(AT67*1000000+SUM(V67,AN67)*10000+SUM(P67,AH67)*100+SUM(J67,AB67)+0.004&gt;AV67*1000000+SUM(X67,AP67)*10000+SUM(R67,AJ67)*100+SUM(L67,AD67)+0.002,1,0)+IF(AU67*1000000+SUM(W67,AO67)*10000+SUM(Q67,AI67)*100+SUM(K67,AC67)+0.003&gt;AV67*1000000+SUM(X67,AP67)*10000+SUM(R67,AJ67)*100+SUM(L67,AD67)+0.002,1,0)+IF(AW67*1000000+SUM(Y67,AQ67)*10000+SUM(S67,AK67)*100+SUM(M67,AE67)+0.001&gt;AV67*1000000+SUM(X67,AP67)*10000+SUM(R67,AJ67)*100+SUM(L67,AD67)+0.002,1,0)=1,"E",IF(IF(AR67*1000000+SUM(T67,AL67)*10000+SUM(N67,AF67)*100+SUM(H67,Z67)+0.006&gt;AW67*1000000+SUM(Y67,AQ67)*10000+SUM(S67,AK67)*100+SUM(M67,AE67)+0.001,1,0)+IF(AS67*1000000+SUM(U67,AM67)*10000+SUM(O67,AG67)*100+SUM(I67,AA67)+0.005&gt;AW67*1000000+SUM(Y67,AQ67)*10000+SUM(S67,AK67)*100+SUM(M67,AE67)+0.001,1,0)+IF(AT67*1000000+SUM(V67,AN67)*10000+SUM(P67,AH67)*100+SUM(J67,AB67)+0.004&gt;AW67*1000000+SUM(Y67,AQ67)*10000+SUM(S67,AK67)*100+SUM(M67,AE67)+0.001,1,0)+IF(AU67*1000000+SUM(W67,AO67)*10000+SUM(Q67,AI67)*100+SUM(K67,AC67)+0.003&gt;AW67*1000000+SUM(Y67,AQ67)*10000+SUM(S67,AK67)*100+SUM(M67,AE67)+0.001,1,0)+IF(AV67*1000000+SUM(X67,AP67)*10000+SUM(R67,AJ67)*100+SUM(L67,AD67)+0.002&gt;AW67*1000000+SUM(Y67,AQ67)*10000+SUM(S67,AK67)*100+SUM(M67,AE67)+0.001,1,0)=1,"C",""))))))&amp;IF(IF(AS67*1000000+SUM(U67,AM67)*10000+SUM(O67,AG67)*100+SUM(I67,AA67)+0.005&gt;AR67*1000000+SUM(T67,AL67)*10000+SUM(N67,AF67)*100+SUM(H67,Z67)+0.006,1,0)+IF(AT67*1000000+SUM(V67,AN67)*10000+SUM(P67,AH67)*100+SUM(J67,AB67)+0.004&gt;AR67*1000000+SUM(T67,AL67)*10000+SUM(N67,AF67)*100+SUM(H67,Z67)+0.006,1,0)+IF(AU67*1000000+SUM(W67,AO67)*10000+SUM(Q67,AI67)*100+SUM(K67,AC67)+0.003&gt;AR67*1000000+SUM(T67,AL67)*10000+SUM(N67,AF67)*100+SUM(H67,Z67)+0.006,1,0)+IF(AV67*1000000+SUM(X67,AP67)*10000+SUM(R67,AJ67)*100+SUM(L67,AD67)+0.002&gt;AR67*1000000+SUM(T67,AL67)*10000+SUM(N67,AF67)*100+SUM(H67,Z67)+0.006,1,0)+IF(AW67*1000000+SUM(Y67,AQ67)*10000+SUM(S67,AK67)*100+SUM(M67,AE67)+0.001&gt;AR67*1000000+SUM(T67,AL67)*10000+SUM(N67,AF67)*100+SUM(H67,Z67)+0.006,1,0)=2,"R",IF(IF(AR67*1000000+SUM(T67,AL67)*10000+SUM(N67,AF67)*100+SUM(H67,Z67)+0.006&gt;AS67*1000000+SUM(U67,AM67)*10000+SUM(O67,AG67)*100+SUM(I67,AA67)+0.005,1,0)+IF(AT67*1000000+SUM(V67,AN67)*10000+SUM(P67,AH67)*100+SUM(J67,AB67)+0.004&gt;AS67*1000000+SUM(U67,AM67)*10000+SUM(O67,AG67)*100+SUM(I67,AA67)+0.005,1,0)+IF(AU67*1000000+SUM(W67,AO67)*10000+SUM(Q67,AI67)*100+SUM(K67,AC67)+0.003&gt;AS67*1000000+SUM(U67,AM67)*10000+SUM(O67,AG67)*100+SUM(I67,AA67)+0.005,1,0)+IF(AV67*1000000+SUM(X67,AP67)*10000+SUM(R67,AJ67)*100+SUM(L67,AD67)+0.002&gt;AS67*1000000+SUM(U67,AM67)*10000+SUM(O67,AG67)*100+SUM(I67,AA67)+0.005,1,0)+IF(AW67*1000000+SUM(Y67,AQ67)*10000+SUM(S67,AK67)*100+SUM(M67,AE67)+0.001&gt;AS67*1000000+SUM(U67,AM67)*10000+SUM(O67,AG67)*100+SUM(I67,AA67)+0.005,1,0)=2,"I",IF(IF(AR67*1000000+SUM(T67,AL67)*10000+SUM(N67,AF67)*100+SUM(H67,Z67)+0.006&gt;AT67*1000000+SUM(V67,AN67)*10000+SUM(P67,AH67)*100+SUM(J67,AB67)+0.004,1,0)+IF(AS67*1000000+SUM(U67,AM67)*10000+SUM(O67,AG67)*100+SUM(I67,AA67)+0.005&gt;AT67*1000000+SUM(V67,AN67)*10000+SUM(P67,AH67)*100+SUM(J67,AB67)+0.004,1,0)+IF(AU67*1000000+SUM(W67,AO67)*10000+SUM(Q67,AI67)*100+SUM(K67,AC67)+0.003&gt;AT67*1000000+SUM(V67,AN67)*10000+SUM(P67,AH67)*100+SUM(J67,AB67)+0.004,1,0)+IF(AV67*1000000+SUM(X67,AP67)*10000+SUM(R67,AJ67)*100+SUM(L67,AD67)+0.002&gt;AT67*1000000+SUM(V67,AN67)*10000+SUM(P67,AH67)*100+SUM(J67,AB67)+0.004,1,0)+IF(AW67*1000000+SUM(Y67,AQ67)*10000+SUM(S67,AK67)*100+SUM(M67,AE67)+0.001&gt;AT67*1000000+SUM(V67,AN67)*10000+SUM(P67,AH67)*100+SUM(J67,AB67)+0.004,1,0)=2,"A",IF(IF(AR67*1000000+SUM(T67,AL67)*10000+SUM(N67,AF67)*100+SUM(H67,Z67)+0.006&gt;AU67*1000000+SUM(W67,AO67)*10000+SUM(Q67,AI67)*100+SUM(K67,AC67)+0.003,1,0)+IF(AS67*1000000+SUM(U67,AM67)*10000+SUM(O67,AG67)*100+SUM(I67,AA67)+0.005&gt;AU67*1000000+SUM(W67,AO67)*10000+SUM(Q67,AI67)*100+SUM(K67,AC67)+0.003,1,0)+IF(AT67*1000000+SUM(V67,AN67)*10000+SUM(P67,AH67)*100+SUM(J67,AB67)+0.004&gt;AU67*1000000+SUM(W67,AO67)*10000+SUM(Q67,AI67)*100+SUM(K67,AC67)+0.003,1,0)+IF(AV67*1000000+SUM(X67,AP67)*10000+SUM(R67,AJ67)*100+SUM(L67,AD67)+0.002&gt;AU67*1000000+SUM(W67,AO67)*10000+SUM(Q67,AI67)*100+SUM(K67,AC67)+0.003,1,0)+IF(AW67*1000000+SUM(Y67,AQ67)*10000+SUM(S67,AK67)*100+SUM(M67,AE67)+0.001&gt;AU67*1000000+SUM(W67,AO67)*10000+SUM(Q67,AI67)*100+SUM(K67,AC67)+0.003,1,0)=2,"S",IF(IF(AR67*1000000+SUM(T67,AL67)*10000+SUM(N67,AF67)*100+SUM(H67,Z67)+0.006&gt;AV67*1000000+SUM(X67,AP67)*10000+SUM(R67,AJ67)*100+SUM(L67,AD67)+0.002,1,0)+IF(AS67*1000000+SUM(U67,AM67)*10000+SUM(O67,AG67)*100+SUM(I67,AA67)+0.005&gt;AV67*1000000+SUM(X67,AP67)*10000+SUM(R67,AJ67)*100+SUM(L67,AD67)+0.002,1,0)+IF(AT67*1000000+SUM(V67,AN67)*10000+SUM(P67,AH67)*100+SUM(J67,AB67)+0.004&gt;AV67*1000000+SUM(X67,AP67)*10000+SUM(R67,AJ67)*100+SUM(L67,AD67)+0.002,1,0)+IF(AU67*1000000+SUM(W67,AO67)*10000+SUM(Q67,AI67)*100+SUM(K67,AC67)+0.003&gt;AV67*1000000+SUM(X67,AP67)*10000+SUM(R67,AJ67)*100+SUM(L67,AD67)+0.002,1,0)+IF(AW67*1000000+SUM(Y67,AQ67)*10000+SUM(S67,AK67)*100+SUM(M67,AE67)+0.001&gt;AV67*1000000+SUM(X67,AP67)*10000+SUM(R67,AJ67)*100+SUM(L67,AD67)+0.002,1,0)=2,"E",IF(IF(AR67*1000000+SUM(T67,AL67)*10000+SUM(N67,AF67)*100+SUM(H67,Z67)+0.006&gt;AW67*1000000+SUM(Y67,AQ67)*10000+SUM(S67,AK67)*100+SUM(M67,AE67)+0.001,1,0)+IF(AS67*1000000+SUM(U67,AM67)*10000+SUM(O67,AG67)*100+SUM(I67,AA67)+0.005&gt;AW67*1000000+SUM(Y67,AQ67)*10000+SUM(S67,AK67)*100+SUM(M67,AE67)+0.001,1,0)+IF(AT67*1000000+SUM(V67,AN67)*10000+SUM(P67,AH67)*100+SUM(J67,AB67)+0.004&gt;AW67*1000000+SUM(Y67,AQ67)*10000+SUM(S67,AK67)*100+SUM(M67,AE67)+0.001,1,0)+IF(AU67*1000000+SUM(W67,AO67)*10000+SUM(Q67,AI67)*100+SUM(K67,AC67)+0.003&gt;AW67*1000000+SUM(Y67,AQ67)*10000+SUM(S67,AK67)*100+SUM(M67,AE67)+0.001,1,0)+IF(AV67*1000000+SUM(X67,AP67)*10000+SUM(R67,AJ67)*100+SUM(L67,AD67)+0.002&gt;AW67*1000000+SUM(Y67,AQ67)*10000+SUM(S67,AK67)*100+SUM(M67,AE67)+0.001,1,0)=2,"C","")))))))</x:f>
      </x:c>
      <x:c r="AY67" s="27" t="str">
        <x:f>IF(C67="","",IF(LEFT(AX67,1)="R","นักปฏิบัติ",IF(LEFT(AX67,1)="I","นักคิดวิเคราะห์",IF(LEFT(AX67,1)="A","นักสร้างสรรค์",IF(LEFT(AX67,1)="S","ผู้เข้าใจผู้คน",IF(LEFT(AX67,1)="E","ผู้นำการเปลี่ยนแปลง","ผู้จัดระบบ"))))))</x:f>
      </x:c>
    </x:row>
    <x:row r="68">
      <x:c r="A68" s="27"/>
      <x:c r="B68" s="28"/>
      <x:c r="C68" s="27"/>
      <x:c r="D68" s="27"/>
      <x:c r="E68" s="27"/>
      <x:c r="F68" s="27"/>
      <x:c r="G68" s="27"/>
      <x:c r="H68" s="27"/>
      <x:c r="I68" s="27"/>
      <x:c r="J68" s="27"/>
      <x:c r="K68" s="27"/>
      <x:c r="L68" s="27"/>
      <x:c r="M68" s="27"/>
      <x:c r="N68" s="27"/>
      <x:c r="O68" s="27"/>
      <x:c r="P68" s="27"/>
      <x:c r="Q68" s="27"/>
      <x:c r="R68" s="27"/>
      <x:c r="S68" s="27"/>
      <x:c r="T68" s="27"/>
      <x:c r="U68" s="27"/>
      <x:c r="V68" s="27"/>
      <x:c r="W68" s="27"/>
      <x:c r="X68" s="27"/>
      <x:c r="Y68" s="27"/>
      <x:c r="Z68" s="27"/>
      <x:c r="AA68" s="27"/>
      <x:c r="AB68" s="27"/>
      <x:c r="AC68" s="27"/>
      <x:c r="AD68" s="27"/>
      <x:c r="AE68" s="27"/>
      <x:c r="AF68" s="27"/>
      <x:c r="AG68" s="27"/>
      <x:c r="AH68" s="27"/>
      <x:c r="AI68" s="27"/>
      <x:c r="AJ68" s="27"/>
      <x:c r="AK68" s="27"/>
      <x:c r="AL68" s="27"/>
      <x:c r="AM68" s="27"/>
      <x:c r="AN68" s="27"/>
      <x:c r="AO68" s="27"/>
      <x:c r="AP68" s="27"/>
      <x:c r="AQ68" s="27"/>
      <x:c r="AR68" s="27" t="str">
        <x:f>IF(C68="","",SUM(H68,N68,T68,Z68,AF68,AL68))</x:f>
      </x:c>
      <x:c r="AS68" s="27" t="str">
        <x:f>IF(C68="","",SUM(I68,O68,U68,AA68,AG68,AM68))</x:f>
      </x:c>
      <x:c r="AT68" s="27" t="str">
        <x:f>IF(C68="","",SUM(J68,P68,V68,AB68,AH68,AN68))</x:f>
      </x:c>
      <x:c r="AU68" s="27" t="str">
        <x:f>IF(C68="","",SUM(K68,Q68,W68,AC68,AI68,AO68))</x:f>
      </x:c>
      <x:c r="AV68" s="27" t="str">
        <x:f>IF(C68="","",SUM(L68,R68,X68,AD68,AJ68,AP68))</x:f>
      </x:c>
      <x:c r="AW68" s="27" t="str">
        <x:f>IF(C68="","",SUM(M68,S68,Y68,AE68,AK68,AQ68))</x:f>
      </x:c>
      <x:c r="AX68" s="27" t="str">
        <x:f>IF(C68="","",IF(IF(AS68*1000000+SUM(U68,AM68)*10000+SUM(O68,AG68)*100+SUM(I68,AA68)+0.005&gt;AR68*1000000+SUM(T68,AL68)*10000+SUM(N68,AF68)*100+SUM(H68,Z68)+0.006,1,0)+IF(AT68*1000000+SUM(V68,AN68)*10000+SUM(P68,AH68)*100+SUM(J68,AB68)+0.004&gt;AR68*1000000+SUM(T68,AL68)*10000+SUM(N68,AF68)*100+SUM(H68,Z68)+0.006,1,0)+IF(AU68*1000000+SUM(W68,AO68)*10000+SUM(Q68,AI68)*100+SUM(K68,AC68)+0.003&gt;AR68*1000000+SUM(T68,AL68)*10000+SUM(N68,AF68)*100+SUM(H68,Z68)+0.006,1,0)+IF(AV68*1000000+SUM(X68,AP68)*10000+SUM(R68,AJ68)*100+SUM(L68,AD68)+0.002&gt;AR68*1000000+SUM(T68,AL68)*10000+SUM(N68,AF68)*100+SUM(H68,Z68)+0.006,1,0)+IF(AW68*1000000+SUM(Y68,AQ68)*10000+SUM(S68,AK68)*100+SUM(M68,AE68)+0.001&gt;AR68*1000000+SUM(T68,AL68)*10000+SUM(N68,AF68)*100+SUM(H68,Z68)+0.006,1,0)=0,"R",IF(IF(AR68*1000000+SUM(T68,AL68)*10000+SUM(N68,AF68)*100+SUM(H68,Z68)+0.006&gt;AS68*1000000+SUM(U68,AM68)*10000+SUM(O68,AG68)*100+SUM(I68,AA68)+0.005,1,0)+IF(AT68*1000000+SUM(V68,AN68)*10000+SUM(P68,AH68)*100+SUM(J68,AB68)+0.004&gt;AS68*1000000+SUM(U68,AM68)*10000+SUM(O68,AG68)*100+SUM(I68,AA68)+0.005,1,0)+IF(AU68*1000000+SUM(W68,AO68)*10000+SUM(Q68,AI68)*100+SUM(K68,AC68)+0.003&gt;AS68*1000000+SUM(U68,AM68)*10000+SUM(O68,AG68)*100+SUM(I68,AA68)+0.005,1,0)+IF(AV68*1000000+SUM(X68,AP68)*10000+SUM(R68,AJ68)*100+SUM(L68,AD68)+0.002&gt;AS68*1000000+SUM(U68,AM68)*10000+SUM(O68,AG68)*100+SUM(I68,AA68)+0.005,1,0)+IF(AW68*1000000+SUM(Y68,AQ68)*10000+SUM(S68,AK68)*100+SUM(M68,AE68)+0.001&gt;AS68*1000000+SUM(U68,AM68)*10000+SUM(O68,AG68)*100+SUM(I68,AA68)+0.005,1,0)=0,"I",IF(IF(AR68*1000000+SUM(T68,AL68)*10000+SUM(N68,AF68)*100+SUM(H68,Z68)+0.006&gt;AT68*1000000+SUM(V68,AN68)*10000+SUM(P68,AH68)*100+SUM(J68,AB68)+0.004,1,0)+IF(AS68*1000000+SUM(U68,AM68)*10000+SUM(O68,AG68)*100+SUM(I68,AA68)+0.005&gt;AT68*1000000+SUM(V68,AN68)*10000+SUM(P68,AH68)*100+SUM(J68,AB68)+0.004,1,0)+IF(AU68*1000000+SUM(W68,AO68)*10000+SUM(Q68,AI68)*100+SUM(K68,AC68)+0.003&gt;AT68*1000000+SUM(V68,AN68)*10000+SUM(P68,AH68)*100+SUM(J68,AB68)+0.004,1,0)+IF(AV68*1000000+SUM(X68,AP68)*10000+SUM(R68,AJ68)*100+SUM(L68,AD68)+0.002&gt;AT68*1000000+SUM(V68,AN68)*10000+SUM(P68,AH68)*100+SUM(J68,AB68)+0.004,1,0)+IF(AW68*1000000+SUM(Y68,AQ68)*10000+SUM(S68,AK68)*100+SUM(M68,AE68)+0.001&gt;AT68*1000000+SUM(V68,AN68)*10000+SUM(P68,AH68)*100+SUM(J68,AB68)+0.004,1,0)=0,"A",IF(IF(AR68*1000000+SUM(T68,AL68)*10000+SUM(N68,AF68)*100+SUM(H68,Z68)+0.006&gt;AU68*1000000+SUM(W68,AO68)*10000+SUM(Q68,AI68)*100+SUM(K68,AC68)+0.003,1,0)+IF(AS68*1000000+SUM(U68,AM68)*10000+SUM(O68,AG68)*100+SUM(I68,AA68)+0.005&gt;AU68*1000000+SUM(W68,AO68)*10000+SUM(Q68,AI68)*100+SUM(K68,AC68)+0.003,1,0)+IF(AT68*1000000+SUM(V68,AN68)*10000+SUM(P68,AH68)*100+SUM(J68,AB68)+0.004&gt;AU68*1000000+SUM(W68,AO68)*10000+SUM(Q68,AI68)*100+SUM(K68,AC68)+0.003,1,0)+IF(AV68*1000000+SUM(X68,AP68)*10000+SUM(R68,AJ68)*100+SUM(L68,AD68)+0.002&gt;AU68*1000000+SUM(W68,AO68)*10000+SUM(Q68,AI68)*100+SUM(K68,AC68)+0.003,1,0)+IF(AW68*1000000+SUM(Y68,AQ68)*10000+SUM(S68,AK68)*100+SUM(M68,AE68)+0.001&gt;AU68*1000000+SUM(W68,AO68)*10000+SUM(Q68,AI68)*100+SUM(K68,AC68)+0.003,1,0)=0,"S",IF(IF(AR68*1000000+SUM(T68,AL68)*10000+SUM(N68,AF68)*100+SUM(H68,Z68)+0.006&gt;AV68*1000000+SUM(X68,AP68)*10000+SUM(R68,AJ68)*100+SUM(L68,AD68)+0.002,1,0)+IF(AS68*1000000+SUM(U68,AM68)*10000+SUM(O68,AG68)*100+SUM(I68,AA68)+0.005&gt;AV68*1000000+SUM(X68,AP68)*10000+SUM(R68,AJ68)*100+SUM(L68,AD68)+0.002,1,0)+IF(AT68*1000000+SUM(V68,AN68)*10000+SUM(P68,AH68)*100+SUM(J68,AB68)+0.004&gt;AV68*1000000+SUM(X68,AP68)*10000+SUM(R68,AJ68)*100+SUM(L68,AD68)+0.002,1,0)+IF(AU68*1000000+SUM(W68,AO68)*10000+SUM(Q68,AI68)*100+SUM(K68,AC68)+0.003&gt;AV68*1000000+SUM(X68,AP68)*10000+SUM(R68,AJ68)*100+SUM(L68,AD68)+0.002,1,0)+IF(AW68*1000000+SUM(Y68,AQ68)*10000+SUM(S68,AK68)*100+SUM(M68,AE68)+0.001&gt;AV68*1000000+SUM(X68,AP68)*10000+SUM(R68,AJ68)*100+SUM(L68,AD68)+0.002,1,0)=0,"E",IF(IF(AR68*1000000+SUM(T68,AL68)*10000+SUM(N68,AF68)*100+SUM(H68,Z68)+0.006&gt;AW68*1000000+SUM(Y68,AQ68)*10000+SUM(S68,AK68)*100+SUM(M68,AE68)+0.001,1,0)+IF(AS68*1000000+SUM(U68,AM68)*10000+SUM(O68,AG68)*100+SUM(I68,AA68)+0.005&gt;AW68*1000000+SUM(Y68,AQ68)*10000+SUM(S68,AK68)*100+SUM(M68,AE68)+0.001,1,0)+IF(AT68*1000000+SUM(V68,AN68)*10000+SUM(P68,AH68)*100+SUM(J68,AB68)+0.004&gt;AW68*1000000+SUM(Y68,AQ68)*10000+SUM(S68,AK68)*100+SUM(M68,AE68)+0.001,1,0)+IF(AU68*1000000+SUM(W68,AO68)*10000+SUM(Q68,AI68)*100+SUM(K68,AC68)+0.003&gt;AW68*1000000+SUM(Y68,AQ68)*10000+SUM(S68,AK68)*100+SUM(M68,AE68)+0.001,1,0)+IF(AV68*1000000+SUM(X68,AP68)*10000+SUM(R68,AJ68)*100+SUM(L68,AD68)+0.002&gt;AW68*1000000+SUM(Y68,AQ68)*10000+SUM(S68,AK68)*100+SUM(M68,AE68)+0.001,1,0)=0,"C",""))))))&amp;IF(IF(AS68*1000000+SUM(U68,AM68)*10000+SUM(O68,AG68)*100+SUM(I68,AA68)+0.005&gt;AR68*1000000+SUM(T68,AL68)*10000+SUM(N68,AF68)*100+SUM(H68,Z68)+0.006,1,0)+IF(AT68*1000000+SUM(V68,AN68)*10000+SUM(P68,AH68)*100+SUM(J68,AB68)+0.004&gt;AR68*1000000+SUM(T68,AL68)*10000+SUM(N68,AF68)*100+SUM(H68,Z68)+0.006,1,0)+IF(AU68*1000000+SUM(W68,AO68)*10000+SUM(Q68,AI68)*100+SUM(K68,AC68)+0.003&gt;AR68*1000000+SUM(T68,AL68)*10000+SUM(N68,AF68)*100+SUM(H68,Z68)+0.006,1,0)+IF(AV68*1000000+SUM(X68,AP68)*10000+SUM(R68,AJ68)*100+SUM(L68,AD68)+0.002&gt;AR68*1000000+SUM(T68,AL68)*10000+SUM(N68,AF68)*100+SUM(H68,Z68)+0.006,1,0)+IF(AW68*1000000+SUM(Y68,AQ68)*10000+SUM(S68,AK68)*100+SUM(M68,AE68)+0.001&gt;AR68*1000000+SUM(T68,AL68)*10000+SUM(N68,AF68)*100+SUM(H68,Z68)+0.006,1,0)=1,"R",IF(IF(AR68*1000000+SUM(T68,AL68)*10000+SUM(N68,AF68)*100+SUM(H68,Z68)+0.006&gt;AS68*1000000+SUM(U68,AM68)*10000+SUM(O68,AG68)*100+SUM(I68,AA68)+0.005,1,0)+IF(AT68*1000000+SUM(V68,AN68)*10000+SUM(P68,AH68)*100+SUM(J68,AB68)+0.004&gt;AS68*1000000+SUM(U68,AM68)*10000+SUM(O68,AG68)*100+SUM(I68,AA68)+0.005,1,0)+IF(AU68*1000000+SUM(W68,AO68)*10000+SUM(Q68,AI68)*100+SUM(K68,AC68)+0.003&gt;AS68*1000000+SUM(U68,AM68)*10000+SUM(O68,AG68)*100+SUM(I68,AA68)+0.005,1,0)+IF(AV68*1000000+SUM(X68,AP68)*10000+SUM(R68,AJ68)*100+SUM(L68,AD68)+0.002&gt;AS68*1000000+SUM(U68,AM68)*10000+SUM(O68,AG68)*100+SUM(I68,AA68)+0.005,1,0)+IF(AW68*1000000+SUM(Y68,AQ68)*10000+SUM(S68,AK68)*100+SUM(M68,AE68)+0.001&gt;AS68*1000000+SUM(U68,AM68)*10000+SUM(O68,AG68)*100+SUM(I68,AA68)+0.005,1,0)=1,"I",IF(IF(AR68*1000000+SUM(T68,AL68)*10000+SUM(N68,AF68)*100+SUM(H68,Z68)+0.006&gt;AT68*1000000+SUM(V68,AN68)*10000+SUM(P68,AH68)*100+SUM(J68,AB68)+0.004,1,0)+IF(AS68*1000000+SUM(U68,AM68)*10000+SUM(O68,AG68)*100+SUM(I68,AA68)+0.005&gt;AT68*1000000+SUM(V68,AN68)*10000+SUM(P68,AH68)*100+SUM(J68,AB68)+0.004,1,0)+IF(AU68*1000000+SUM(W68,AO68)*10000+SUM(Q68,AI68)*100+SUM(K68,AC68)+0.003&gt;AT68*1000000+SUM(V68,AN68)*10000+SUM(P68,AH68)*100+SUM(J68,AB68)+0.004,1,0)+IF(AV68*1000000+SUM(X68,AP68)*10000+SUM(R68,AJ68)*100+SUM(L68,AD68)+0.002&gt;AT68*1000000+SUM(V68,AN68)*10000+SUM(P68,AH68)*100+SUM(J68,AB68)+0.004,1,0)+IF(AW68*1000000+SUM(Y68,AQ68)*10000+SUM(S68,AK68)*100+SUM(M68,AE68)+0.001&gt;AT68*1000000+SUM(V68,AN68)*10000+SUM(P68,AH68)*100+SUM(J68,AB68)+0.004,1,0)=1,"A",IF(IF(AR68*1000000+SUM(T68,AL68)*10000+SUM(N68,AF68)*100+SUM(H68,Z68)+0.006&gt;AU68*1000000+SUM(W68,AO68)*10000+SUM(Q68,AI68)*100+SUM(K68,AC68)+0.003,1,0)+IF(AS68*1000000+SUM(U68,AM68)*10000+SUM(O68,AG68)*100+SUM(I68,AA68)+0.005&gt;AU68*1000000+SUM(W68,AO68)*10000+SUM(Q68,AI68)*100+SUM(K68,AC68)+0.003,1,0)+IF(AT68*1000000+SUM(V68,AN68)*10000+SUM(P68,AH68)*100+SUM(J68,AB68)+0.004&gt;AU68*1000000+SUM(W68,AO68)*10000+SUM(Q68,AI68)*100+SUM(K68,AC68)+0.003,1,0)+IF(AV68*1000000+SUM(X68,AP68)*10000+SUM(R68,AJ68)*100+SUM(L68,AD68)+0.002&gt;AU68*1000000+SUM(W68,AO68)*10000+SUM(Q68,AI68)*100+SUM(K68,AC68)+0.003,1,0)+IF(AW68*1000000+SUM(Y68,AQ68)*10000+SUM(S68,AK68)*100+SUM(M68,AE68)+0.001&gt;AU68*1000000+SUM(W68,AO68)*10000+SUM(Q68,AI68)*100+SUM(K68,AC68)+0.003,1,0)=1,"S",IF(IF(AR68*1000000+SUM(T68,AL68)*10000+SUM(N68,AF68)*100+SUM(H68,Z68)+0.006&gt;AV68*1000000+SUM(X68,AP68)*10000+SUM(R68,AJ68)*100+SUM(L68,AD68)+0.002,1,0)+IF(AS68*1000000+SUM(U68,AM68)*10000+SUM(O68,AG68)*100+SUM(I68,AA68)+0.005&gt;AV68*1000000+SUM(X68,AP68)*10000+SUM(R68,AJ68)*100+SUM(L68,AD68)+0.002,1,0)+IF(AT68*1000000+SUM(V68,AN68)*10000+SUM(P68,AH68)*100+SUM(J68,AB68)+0.004&gt;AV68*1000000+SUM(X68,AP68)*10000+SUM(R68,AJ68)*100+SUM(L68,AD68)+0.002,1,0)+IF(AU68*1000000+SUM(W68,AO68)*10000+SUM(Q68,AI68)*100+SUM(K68,AC68)+0.003&gt;AV68*1000000+SUM(X68,AP68)*10000+SUM(R68,AJ68)*100+SUM(L68,AD68)+0.002,1,0)+IF(AW68*1000000+SUM(Y68,AQ68)*10000+SUM(S68,AK68)*100+SUM(M68,AE68)+0.001&gt;AV68*1000000+SUM(X68,AP68)*10000+SUM(R68,AJ68)*100+SUM(L68,AD68)+0.002,1,0)=1,"E",IF(IF(AR68*1000000+SUM(T68,AL68)*10000+SUM(N68,AF68)*100+SUM(H68,Z68)+0.006&gt;AW68*1000000+SUM(Y68,AQ68)*10000+SUM(S68,AK68)*100+SUM(M68,AE68)+0.001,1,0)+IF(AS68*1000000+SUM(U68,AM68)*10000+SUM(O68,AG68)*100+SUM(I68,AA68)+0.005&gt;AW68*1000000+SUM(Y68,AQ68)*10000+SUM(S68,AK68)*100+SUM(M68,AE68)+0.001,1,0)+IF(AT68*1000000+SUM(V68,AN68)*10000+SUM(P68,AH68)*100+SUM(J68,AB68)+0.004&gt;AW68*1000000+SUM(Y68,AQ68)*10000+SUM(S68,AK68)*100+SUM(M68,AE68)+0.001,1,0)+IF(AU68*1000000+SUM(W68,AO68)*10000+SUM(Q68,AI68)*100+SUM(K68,AC68)+0.003&gt;AW68*1000000+SUM(Y68,AQ68)*10000+SUM(S68,AK68)*100+SUM(M68,AE68)+0.001,1,0)+IF(AV68*1000000+SUM(X68,AP68)*10000+SUM(R68,AJ68)*100+SUM(L68,AD68)+0.002&gt;AW68*1000000+SUM(Y68,AQ68)*10000+SUM(S68,AK68)*100+SUM(M68,AE68)+0.001,1,0)=1,"C",""))))))&amp;IF(IF(AS68*1000000+SUM(U68,AM68)*10000+SUM(O68,AG68)*100+SUM(I68,AA68)+0.005&gt;AR68*1000000+SUM(T68,AL68)*10000+SUM(N68,AF68)*100+SUM(H68,Z68)+0.006,1,0)+IF(AT68*1000000+SUM(V68,AN68)*10000+SUM(P68,AH68)*100+SUM(J68,AB68)+0.004&gt;AR68*1000000+SUM(T68,AL68)*10000+SUM(N68,AF68)*100+SUM(H68,Z68)+0.006,1,0)+IF(AU68*1000000+SUM(W68,AO68)*10000+SUM(Q68,AI68)*100+SUM(K68,AC68)+0.003&gt;AR68*1000000+SUM(T68,AL68)*10000+SUM(N68,AF68)*100+SUM(H68,Z68)+0.006,1,0)+IF(AV68*1000000+SUM(X68,AP68)*10000+SUM(R68,AJ68)*100+SUM(L68,AD68)+0.002&gt;AR68*1000000+SUM(T68,AL68)*10000+SUM(N68,AF68)*100+SUM(H68,Z68)+0.006,1,0)+IF(AW68*1000000+SUM(Y68,AQ68)*10000+SUM(S68,AK68)*100+SUM(M68,AE68)+0.001&gt;AR68*1000000+SUM(T68,AL68)*10000+SUM(N68,AF68)*100+SUM(H68,Z68)+0.006,1,0)=2,"R",IF(IF(AR68*1000000+SUM(T68,AL68)*10000+SUM(N68,AF68)*100+SUM(H68,Z68)+0.006&gt;AS68*1000000+SUM(U68,AM68)*10000+SUM(O68,AG68)*100+SUM(I68,AA68)+0.005,1,0)+IF(AT68*1000000+SUM(V68,AN68)*10000+SUM(P68,AH68)*100+SUM(J68,AB68)+0.004&gt;AS68*1000000+SUM(U68,AM68)*10000+SUM(O68,AG68)*100+SUM(I68,AA68)+0.005,1,0)+IF(AU68*1000000+SUM(W68,AO68)*10000+SUM(Q68,AI68)*100+SUM(K68,AC68)+0.003&gt;AS68*1000000+SUM(U68,AM68)*10000+SUM(O68,AG68)*100+SUM(I68,AA68)+0.005,1,0)+IF(AV68*1000000+SUM(X68,AP68)*10000+SUM(R68,AJ68)*100+SUM(L68,AD68)+0.002&gt;AS68*1000000+SUM(U68,AM68)*10000+SUM(O68,AG68)*100+SUM(I68,AA68)+0.005,1,0)+IF(AW68*1000000+SUM(Y68,AQ68)*10000+SUM(S68,AK68)*100+SUM(M68,AE68)+0.001&gt;AS68*1000000+SUM(U68,AM68)*10000+SUM(O68,AG68)*100+SUM(I68,AA68)+0.005,1,0)=2,"I",IF(IF(AR68*1000000+SUM(T68,AL68)*10000+SUM(N68,AF68)*100+SUM(H68,Z68)+0.006&gt;AT68*1000000+SUM(V68,AN68)*10000+SUM(P68,AH68)*100+SUM(J68,AB68)+0.004,1,0)+IF(AS68*1000000+SUM(U68,AM68)*10000+SUM(O68,AG68)*100+SUM(I68,AA68)+0.005&gt;AT68*1000000+SUM(V68,AN68)*10000+SUM(P68,AH68)*100+SUM(J68,AB68)+0.004,1,0)+IF(AU68*1000000+SUM(W68,AO68)*10000+SUM(Q68,AI68)*100+SUM(K68,AC68)+0.003&gt;AT68*1000000+SUM(V68,AN68)*10000+SUM(P68,AH68)*100+SUM(J68,AB68)+0.004,1,0)+IF(AV68*1000000+SUM(X68,AP68)*10000+SUM(R68,AJ68)*100+SUM(L68,AD68)+0.002&gt;AT68*1000000+SUM(V68,AN68)*10000+SUM(P68,AH68)*100+SUM(J68,AB68)+0.004,1,0)+IF(AW68*1000000+SUM(Y68,AQ68)*10000+SUM(S68,AK68)*100+SUM(M68,AE68)+0.001&gt;AT68*1000000+SUM(V68,AN68)*10000+SUM(P68,AH68)*100+SUM(J68,AB68)+0.004,1,0)=2,"A",IF(IF(AR68*1000000+SUM(T68,AL68)*10000+SUM(N68,AF68)*100+SUM(H68,Z68)+0.006&gt;AU68*1000000+SUM(W68,AO68)*10000+SUM(Q68,AI68)*100+SUM(K68,AC68)+0.003,1,0)+IF(AS68*1000000+SUM(U68,AM68)*10000+SUM(O68,AG68)*100+SUM(I68,AA68)+0.005&gt;AU68*1000000+SUM(W68,AO68)*10000+SUM(Q68,AI68)*100+SUM(K68,AC68)+0.003,1,0)+IF(AT68*1000000+SUM(V68,AN68)*10000+SUM(P68,AH68)*100+SUM(J68,AB68)+0.004&gt;AU68*1000000+SUM(W68,AO68)*10000+SUM(Q68,AI68)*100+SUM(K68,AC68)+0.003,1,0)+IF(AV68*1000000+SUM(X68,AP68)*10000+SUM(R68,AJ68)*100+SUM(L68,AD68)+0.002&gt;AU68*1000000+SUM(W68,AO68)*10000+SUM(Q68,AI68)*100+SUM(K68,AC68)+0.003,1,0)+IF(AW68*1000000+SUM(Y68,AQ68)*10000+SUM(S68,AK68)*100+SUM(M68,AE68)+0.001&gt;AU68*1000000+SUM(W68,AO68)*10000+SUM(Q68,AI68)*100+SUM(K68,AC68)+0.003,1,0)=2,"S",IF(IF(AR68*1000000+SUM(T68,AL68)*10000+SUM(N68,AF68)*100+SUM(H68,Z68)+0.006&gt;AV68*1000000+SUM(X68,AP68)*10000+SUM(R68,AJ68)*100+SUM(L68,AD68)+0.002,1,0)+IF(AS68*1000000+SUM(U68,AM68)*10000+SUM(O68,AG68)*100+SUM(I68,AA68)+0.005&gt;AV68*1000000+SUM(X68,AP68)*10000+SUM(R68,AJ68)*100+SUM(L68,AD68)+0.002,1,0)+IF(AT68*1000000+SUM(V68,AN68)*10000+SUM(P68,AH68)*100+SUM(J68,AB68)+0.004&gt;AV68*1000000+SUM(X68,AP68)*10000+SUM(R68,AJ68)*100+SUM(L68,AD68)+0.002,1,0)+IF(AU68*1000000+SUM(W68,AO68)*10000+SUM(Q68,AI68)*100+SUM(K68,AC68)+0.003&gt;AV68*1000000+SUM(X68,AP68)*10000+SUM(R68,AJ68)*100+SUM(L68,AD68)+0.002,1,0)+IF(AW68*1000000+SUM(Y68,AQ68)*10000+SUM(S68,AK68)*100+SUM(M68,AE68)+0.001&gt;AV68*1000000+SUM(X68,AP68)*10000+SUM(R68,AJ68)*100+SUM(L68,AD68)+0.002,1,0)=2,"E",IF(IF(AR68*1000000+SUM(T68,AL68)*10000+SUM(N68,AF68)*100+SUM(H68,Z68)+0.006&gt;AW68*1000000+SUM(Y68,AQ68)*10000+SUM(S68,AK68)*100+SUM(M68,AE68)+0.001,1,0)+IF(AS68*1000000+SUM(U68,AM68)*10000+SUM(O68,AG68)*100+SUM(I68,AA68)+0.005&gt;AW68*1000000+SUM(Y68,AQ68)*10000+SUM(S68,AK68)*100+SUM(M68,AE68)+0.001,1,0)+IF(AT68*1000000+SUM(V68,AN68)*10000+SUM(P68,AH68)*100+SUM(J68,AB68)+0.004&gt;AW68*1000000+SUM(Y68,AQ68)*10000+SUM(S68,AK68)*100+SUM(M68,AE68)+0.001,1,0)+IF(AU68*1000000+SUM(W68,AO68)*10000+SUM(Q68,AI68)*100+SUM(K68,AC68)+0.003&gt;AW68*1000000+SUM(Y68,AQ68)*10000+SUM(S68,AK68)*100+SUM(M68,AE68)+0.001,1,0)+IF(AV68*1000000+SUM(X68,AP68)*10000+SUM(R68,AJ68)*100+SUM(L68,AD68)+0.002&gt;AW68*1000000+SUM(Y68,AQ68)*10000+SUM(S68,AK68)*100+SUM(M68,AE68)+0.001,1,0)=2,"C","")))))))</x:f>
      </x:c>
      <x:c r="AY68" s="27" t="str">
        <x:f>IF(C68="","",IF(LEFT(AX68,1)="R","นักปฏิบัติ",IF(LEFT(AX68,1)="I","นักคิดวิเคราะห์",IF(LEFT(AX68,1)="A","นักสร้างสรรค์",IF(LEFT(AX68,1)="S","ผู้เข้าใจผู้คน",IF(LEFT(AX68,1)="E","ผู้นำการเปลี่ยนแปลง","ผู้จัดระบบ"))))))</x:f>
      </x:c>
    </x:row>
    <x:row r="69">
      <x:c r="A69" s="27"/>
      <x:c r="B69" s="28"/>
      <x:c r="C69" s="27"/>
      <x:c r="D69" s="27"/>
      <x:c r="E69" s="27"/>
      <x:c r="F69" s="27"/>
      <x:c r="G69" s="27"/>
      <x:c r="H69" s="27"/>
      <x:c r="I69" s="27"/>
      <x:c r="J69" s="27"/>
      <x:c r="K69" s="27"/>
      <x:c r="L69" s="27"/>
      <x:c r="M69" s="27"/>
      <x:c r="N69" s="27"/>
      <x:c r="O69" s="27"/>
      <x:c r="P69" s="27"/>
      <x:c r="Q69" s="27"/>
      <x:c r="R69" s="27"/>
      <x:c r="S69" s="27"/>
      <x:c r="T69" s="27"/>
      <x:c r="U69" s="27"/>
      <x:c r="V69" s="27"/>
      <x:c r="W69" s="27"/>
      <x:c r="X69" s="27"/>
      <x:c r="Y69" s="27"/>
      <x:c r="Z69" s="27"/>
      <x:c r="AA69" s="27"/>
      <x:c r="AB69" s="27"/>
      <x:c r="AC69" s="27"/>
      <x:c r="AD69" s="27"/>
      <x:c r="AE69" s="27"/>
      <x:c r="AF69" s="27"/>
      <x:c r="AG69" s="27"/>
      <x:c r="AH69" s="27"/>
      <x:c r="AI69" s="27"/>
      <x:c r="AJ69" s="27"/>
      <x:c r="AK69" s="27"/>
      <x:c r="AL69" s="27"/>
      <x:c r="AM69" s="27"/>
      <x:c r="AN69" s="27"/>
      <x:c r="AO69" s="27"/>
      <x:c r="AP69" s="27"/>
      <x:c r="AQ69" s="27"/>
      <x:c r="AR69" s="27" t="str">
        <x:f>IF(C69="","",SUM(H69,N69,T69,Z69,AF69,AL69))</x:f>
      </x:c>
      <x:c r="AS69" s="27" t="str">
        <x:f>IF(C69="","",SUM(I69,O69,U69,AA69,AG69,AM69))</x:f>
      </x:c>
      <x:c r="AT69" s="27" t="str">
        <x:f>IF(C69="","",SUM(J69,P69,V69,AB69,AH69,AN69))</x:f>
      </x:c>
      <x:c r="AU69" s="27" t="str">
        <x:f>IF(C69="","",SUM(K69,Q69,W69,AC69,AI69,AO69))</x:f>
      </x:c>
      <x:c r="AV69" s="27" t="str">
        <x:f>IF(C69="","",SUM(L69,R69,X69,AD69,AJ69,AP69))</x:f>
      </x:c>
      <x:c r="AW69" s="27" t="str">
        <x:f>IF(C69="","",SUM(M69,S69,Y69,AE69,AK69,AQ69))</x:f>
      </x:c>
      <x:c r="AX69" s="27" t="str">
        <x:f>IF(C69="","",IF(IF(AS69*1000000+SUM(U69,AM69)*10000+SUM(O69,AG69)*100+SUM(I69,AA69)+0.005&gt;AR69*1000000+SUM(T69,AL69)*10000+SUM(N69,AF69)*100+SUM(H69,Z69)+0.006,1,0)+IF(AT69*1000000+SUM(V69,AN69)*10000+SUM(P69,AH69)*100+SUM(J69,AB69)+0.004&gt;AR69*1000000+SUM(T69,AL69)*10000+SUM(N69,AF69)*100+SUM(H69,Z69)+0.006,1,0)+IF(AU69*1000000+SUM(W69,AO69)*10000+SUM(Q69,AI69)*100+SUM(K69,AC69)+0.003&gt;AR69*1000000+SUM(T69,AL69)*10000+SUM(N69,AF69)*100+SUM(H69,Z69)+0.006,1,0)+IF(AV69*1000000+SUM(X69,AP69)*10000+SUM(R69,AJ69)*100+SUM(L69,AD69)+0.002&gt;AR69*1000000+SUM(T69,AL69)*10000+SUM(N69,AF69)*100+SUM(H69,Z69)+0.006,1,0)+IF(AW69*1000000+SUM(Y69,AQ69)*10000+SUM(S69,AK69)*100+SUM(M69,AE69)+0.001&gt;AR69*1000000+SUM(T69,AL69)*10000+SUM(N69,AF69)*100+SUM(H69,Z69)+0.006,1,0)=0,"R",IF(IF(AR69*1000000+SUM(T69,AL69)*10000+SUM(N69,AF69)*100+SUM(H69,Z69)+0.006&gt;AS69*1000000+SUM(U69,AM69)*10000+SUM(O69,AG69)*100+SUM(I69,AA69)+0.005,1,0)+IF(AT69*1000000+SUM(V69,AN69)*10000+SUM(P69,AH69)*100+SUM(J69,AB69)+0.004&gt;AS69*1000000+SUM(U69,AM69)*10000+SUM(O69,AG69)*100+SUM(I69,AA69)+0.005,1,0)+IF(AU69*1000000+SUM(W69,AO69)*10000+SUM(Q69,AI69)*100+SUM(K69,AC69)+0.003&gt;AS69*1000000+SUM(U69,AM69)*10000+SUM(O69,AG69)*100+SUM(I69,AA69)+0.005,1,0)+IF(AV69*1000000+SUM(X69,AP69)*10000+SUM(R69,AJ69)*100+SUM(L69,AD69)+0.002&gt;AS69*1000000+SUM(U69,AM69)*10000+SUM(O69,AG69)*100+SUM(I69,AA69)+0.005,1,0)+IF(AW69*1000000+SUM(Y69,AQ69)*10000+SUM(S69,AK69)*100+SUM(M69,AE69)+0.001&gt;AS69*1000000+SUM(U69,AM69)*10000+SUM(O69,AG69)*100+SUM(I69,AA69)+0.005,1,0)=0,"I",IF(IF(AR69*1000000+SUM(T69,AL69)*10000+SUM(N69,AF69)*100+SUM(H69,Z69)+0.006&gt;AT69*1000000+SUM(V69,AN69)*10000+SUM(P69,AH69)*100+SUM(J69,AB69)+0.004,1,0)+IF(AS69*1000000+SUM(U69,AM69)*10000+SUM(O69,AG69)*100+SUM(I69,AA69)+0.005&gt;AT69*1000000+SUM(V69,AN69)*10000+SUM(P69,AH69)*100+SUM(J69,AB69)+0.004,1,0)+IF(AU69*1000000+SUM(W69,AO69)*10000+SUM(Q69,AI69)*100+SUM(K69,AC69)+0.003&gt;AT69*1000000+SUM(V69,AN69)*10000+SUM(P69,AH69)*100+SUM(J69,AB69)+0.004,1,0)+IF(AV69*1000000+SUM(X69,AP69)*10000+SUM(R69,AJ69)*100+SUM(L69,AD69)+0.002&gt;AT69*1000000+SUM(V69,AN69)*10000+SUM(P69,AH69)*100+SUM(J69,AB69)+0.004,1,0)+IF(AW69*1000000+SUM(Y69,AQ69)*10000+SUM(S69,AK69)*100+SUM(M69,AE69)+0.001&gt;AT69*1000000+SUM(V69,AN69)*10000+SUM(P69,AH69)*100+SUM(J69,AB69)+0.004,1,0)=0,"A",IF(IF(AR69*1000000+SUM(T69,AL69)*10000+SUM(N69,AF69)*100+SUM(H69,Z69)+0.006&gt;AU69*1000000+SUM(W69,AO69)*10000+SUM(Q69,AI69)*100+SUM(K69,AC69)+0.003,1,0)+IF(AS69*1000000+SUM(U69,AM69)*10000+SUM(O69,AG69)*100+SUM(I69,AA69)+0.005&gt;AU69*1000000+SUM(W69,AO69)*10000+SUM(Q69,AI69)*100+SUM(K69,AC69)+0.003,1,0)+IF(AT69*1000000+SUM(V69,AN69)*10000+SUM(P69,AH69)*100+SUM(J69,AB69)+0.004&gt;AU69*1000000+SUM(W69,AO69)*10000+SUM(Q69,AI69)*100+SUM(K69,AC69)+0.003,1,0)+IF(AV69*1000000+SUM(X69,AP69)*10000+SUM(R69,AJ69)*100+SUM(L69,AD69)+0.002&gt;AU69*1000000+SUM(W69,AO69)*10000+SUM(Q69,AI69)*100+SUM(K69,AC69)+0.003,1,0)+IF(AW69*1000000+SUM(Y69,AQ69)*10000+SUM(S69,AK69)*100+SUM(M69,AE69)+0.001&gt;AU69*1000000+SUM(W69,AO69)*10000+SUM(Q69,AI69)*100+SUM(K69,AC69)+0.003,1,0)=0,"S",IF(IF(AR69*1000000+SUM(T69,AL69)*10000+SUM(N69,AF69)*100+SUM(H69,Z69)+0.006&gt;AV69*1000000+SUM(X69,AP69)*10000+SUM(R69,AJ69)*100+SUM(L69,AD69)+0.002,1,0)+IF(AS69*1000000+SUM(U69,AM69)*10000+SUM(O69,AG69)*100+SUM(I69,AA69)+0.005&gt;AV69*1000000+SUM(X69,AP69)*10000+SUM(R69,AJ69)*100+SUM(L69,AD69)+0.002,1,0)+IF(AT69*1000000+SUM(V69,AN69)*10000+SUM(P69,AH69)*100+SUM(J69,AB69)+0.004&gt;AV69*1000000+SUM(X69,AP69)*10000+SUM(R69,AJ69)*100+SUM(L69,AD69)+0.002,1,0)+IF(AU69*1000000+SUM(W69,AO69)*10000+SUM(Q69,AI69)*100+SUM(K69,AC69)+0.003&gt;AV69*1000000+SUM(X69,AP69)*10000+SUM(R69,AJ69)*100+SUM(L69,AD69)+0.002,1,0)+IF(AW69*1000000+SUM(Y69,AQ69)*10000+SUM(S69,AK69)*100+SUM(M69,AE69)+0.001&gt;AV69*1000000+SUM(X69,AP69)*10000+SUM(R69,AJ69)*100+SUM(L69,AD69)+0.002,1,0)=0,"E",IF(IF(AR69*1000000+SUM(T69,AL69)*10000+SUM(N69,AF69)*100+SUM(H69,Z69)+0.006&gt;AW69*1000000+SUM(Y69,AQ69)*10000+SUM(S69,AK69)*100+SUM(M69,AE69)+0.001,1,0)+IF(AS69*1000000+SUM(U69,AM69)*10000+SUM(O69,AG69)*100+SUM(I69,AA69)+0.005&gt;AW69*1000000+SUM(Y69,AQ69)*10000+SUM(S69,AK69)*100+SUM(M69,AE69)+0.001,1,0)+IF(AT69*1000000+SUM(V69,AN69)*10000+SUM(P69,AH69)*100+SUM(J69,AB69)+0.004&gt;AW69*1000000+SUM(Y69,AQ69)*10000+SUM(S69,AK69)*100+SUM(M69,AE69)+0.001,1,0)+IF(AU69*1000000+SUM(W69,AO69)*10000+SUM(Q69,AI69)*100+SUM(K69,AC69)+0.003&gt;AW69*1000000+SUM(Y69,AQ69)*10000+SUM(S69,AK69)*100+SUM(M69,AE69)+0.001,1,0)+IF(AV69*1000000+SUM(X69,AP69)*10000+SUM(R69,AJ69)*100+SUM(L69,AD69)+0.002&gt;AW69*1000000+SUM(Y69,AQ69)*10000+SUM(S69,AK69)*100+SUM(M69,AE69)+0.001,1,0)=0,"C",""))))))&amp;IF(IF(AS69*1000000+SUM(U69,AM69)*10000+SUM(O69,AG69)*100+SUM(I69,AA69)+0.005&gt;AR69*1000000+SUM(T69,AL69)*10000+SUM(N69,AF69)*100+SUM(H69,Z69)+0.006,1,0)+IF(AT69*1000000+SUM(V69,AN69)*10000+SUM(P69,AH69)*100+SUM(J69,AB69)+0.004&gt;AR69*1000000+SUM(T69,AL69)*10000+SUM(N69,AF69)*100+SUM(H69,Z69)+0.006,1,0)+IF(AU69*1000000+SUM(W69,AO69)*10000+SUM(Q69,AI69)*100+SUM(K69,AC69)+0.003&gt;AR69*1000000+SUM(T69,AL69)*10000+SUM(N69,AF69)*100+SUM(H69,Z69)+0.006,1,0)+IF(AV69*1000000+SUM(X69,AP69)*10000+SUM(R69,AJ69)*100+SUM(L69,AD69)+0.002&gt;AR69*1000000+SUM(T69,AL69)*10000+SUM(N69,AF69)*100+SUM(H69,Z69)+0.006,1,0)+IF(AW69*1000000+SUM(Y69,AQ69)*10000+SUM(S69,AK69)*100+SUM(M69,AE69)+0.001&gt;AR69*1000000+SUM(T69,AL69)*10000+SUM(N69,AF69)*100+SUM(H69,Z69)+0.006,1,0)=1,"R",IF(IF(AR69*1000000+SUM(T69,AL69)*10000+SUM(N69,AF69)*100+SUM(H69,Z69)+0.006&gt;AS69*1000000+SUM(U69,AM69)*10000+SUM(O69,AG69)*100+SUM(I69,AA69)+0.005,1,0)+IF(AT69*1000000+SUM(V69,AN69)*10000+SUM(P69,AH69)*100+SUM(J69,AB69)+0.004&gt;AS69*1000000+SUM(U69,AM69)*10000+SUM(O69,AG69)*100+SUM(I69,AA69)+0.005,1,0)+IF(AU69*1000000+SUM(W69,AO69)*10000+SUM(Q69,AI69)*100+SUM(K69,AC69)+0.003&gt;AS69*1000000+SUM(U69,AM69)*10000+SUM(O69,AG69)*100+SUM(I69,AA69)+0.005,1,0)+IF(AV69*1000000+SUM(X69,AP69)*10000+SUM(R69,AJ69)*100+SUM(L69,AD69)+0.002&gt;AS69*1000000+SUM(U69,AM69)*10000+SUM(O69,AG69)*100+SUM(I69,AA69)+0.005,1,0)+IF(AW69*1000000+SUM(Y69,AQ69)*10000+SUM(S69,AK69)*100+SUM(M69,AE69)+0.001&gt;AS69*1000000+SUM(U69,AM69)*10000+SUM(O69,AG69)*100+SUM(I69,AA69)+0.005,1,0)=1,"I",IF(IF(AR69*1000000+SUM(T69,AL69)*10000+SUM(N69,AF69)*100+SUM(H69,Z69)+0.006&gt;AT69*1000000+SUM(V69,AN69)*10000+SUM(P69,AH69)*100+SUM(J69,AB69)+0.004,1,0)+IF(AS69*1000000+SUM(U69,AM69)*10000+SUM(O69,AG69)*100+SUM(I69,AA69)+0.005&gt;AT69*1000000+SUM(V69,AN69)*10000+SUM(P69,AH69)*100+SUM(J69,AB69)+0.004,1,0)+IF(AU69*1000000+SUM(W69,AO69)*10000+SUM(Q69,AI69)*100+SUM(K69,AC69)+0.003&gt;AT69*1000000+SUM(V69,AN69)*10000+SUM(P69,AH69)*100+SUM(J69,AB69)+0.004,1,0)+IF(AV69*1000000+SUM(X69,AP69)*10000+SUM(R69,AJ69)*100+SUM(L69,AD69)+0.002&gt;AT69*1000000+SUM(V69,AN69)*10000+SUM(P69,AH69)*100+SUM(J69,AB69)+0.004,1,0)+IF(AW69*1000000+SUM(Y69,AQ69)*10000+SUM(S69,AK69)*100+SUM(M69,AE69)+0.001&gt;AT69*1000000+SUM(V69,AN69)*10000+SUM(P69,AH69)*100+SUM(J69,AB69)+0.004,1,0)=1,"A",IF(IF(AR69*1000000+SUM(T69,AL69)*10000+SUM(N69,AF69)*100+SUM(H69,Z69)+0.006&gt;AU69*1000000+SUM(W69,AO69)*10000+SUM(Q69,AI69)*100+SUM(K69,AC69)+0.003,1,0)+IF(AS69*1000000+SUM(U69,AM69)*10000+SUM(O69,AG69)*100+SUM(I69,AA69)+0.005&gt;AU69*1000000+SUM(W69,AO69)*10000+SUM(Q69,AI69)*100+SUM(K69,AC69)+0.003,1,0)+IF(AT69*1000000+SUM(V69,AN69)*10000+SUM(P69,AH69)*100+SUM(J69,AB69)+0.004&gt;AU69*1000000+SUM(W69,AO69)*10000+SUM(Q69,AI69)*100+SUM(K69,AC69)+0.003,1,0)+IF(AV69*1000000+SUM(X69,AP69)*10000+SUM(R69,AJ69)*100+SUM(L69,AD69)+0.002&gt;AU69*1000000+SUM(W69,AO69)*10000+SUM(Q69,AI69)*100+SUM(K69,AC69)+0.003,1,0)+IF(AW69*1000000+SUM(Y69,AQ69)*10000+SUM(S69,AK69)*100+SUM(M69,AE69)+0.001&gt;AU69*1000000+SUM(W69,AO69)*10000+SUM(Q69,AI69)*100+SUM(K69,AC69)+0.003,1,0)=1,"S",IF(IF(AR69*1000000+SUM(T69,AL69)*10000+SUM(N69,AF69)*100+SUM(H69,Z69)+0.006&gt;AV69*1000000+SUM(X69,AP69)*10000+SUM(R69,AJ69)*100+SUM(L69,AD69)+0.002,1,0)+IF(AS69*1000000+SUM(U69,AM69)*10000+SUM(O69,AG69)*100+SUM(I69,AA69)+0.005&gt;AV69*1000000+SUM(X69,AP69)*10000+SUM(R69,AJ69)*100+SUM(L69,AD69)+0.002,1,0)+IF(AT69*1000000+SUM(V69,AN69)*10000+SUM(P69,AH69)*100+SUM(J69,AB69)+0.004&gt;AV69*1000000+SUM(X69,AP69)*10000+SUM(R69,AJ69)*100+SUM(L69,AD69)+0.002,1,0)+IF(AU69*1000000+SUM(W69,AO69)*10000+SUM(Q69,AI69)*100+SUM(K69,AC69)+0.003&gt;AV69*1000000+SUM(X69,AP69)*10000+SUM(R69,AJ69)*100+SUM(L69,AD69)+0.002,1,0)+IF(AW69*1000000+SUM(Y69,AQ69)*10000+SUM(S69,AK69)*100+SUM(M69,AE69)+0.001&gt;AV69*1000000+SUM(X69,AP69)*10000+SUM(R69,AJ69)*100+SUM(L69,AD69)+0.002,1,0)=1,"E",IF(IF(AR69*1000000+SUM(T69,AL69)*10000+SUM(N69,AF69)*100+SUM(H69,Z69)+0.006&gt;AW69*1000000+SUM(Y69,AQ69)*10000+SUM(S69,AK69)*100+SUM(M69,AE69)+0.001,1,0)+IF(AS69*1000000+SUM(U69,AM69)*10000+SUM(O69,AG69)*100+SUM(I69,AA69)+0.005&gt;AW69*1000000+SUM(Y69,AQ69)*10000+SUM(S69,AK69)*100+SUM(M69,AE69)+0.001,1,0)+IF(AT69*1000000+SUM(V69,AN69)*10000+SUM(P69,AH69)*100+SUM(J69,AB69)+0.004&gt;AW69*1000000+SUM(Y69,AQ69)*10000+SUM(S69,AK69)*100+SUM(M69,AE69)+0.001,1,0)+IF(AU69*1000000+SUM(W69,AO69)*10000+SUM(Q69,AI69)*100+SUM(K69,AC69)+0.003&gt;AW69*1000000+SUM(Y69,AQ69)*10000+SUM(S69,AK69)*100+SUM(M69,AE69)+0.001,1,0)+IF(AV69*1000000+SUM(X69,AP69)*10000+SUM(R69,AJ69)*100+SUM(L69,AD69)+0.002&gt;AW69*1000000+SUM(Y69,AQ69)*10000+SUM(S69,AK69)*100+SUM(M69,AE69)+0.001,1,0)=1,"C",""))))))&amp;IF(IF(AS69*1000000+SUM(U69,AM69)*10000+SUM(O69,AG69)*100+SUM(I69,AA69)+0.005&gt;AR69*1000000+SUM(T69,AL69)*10000+SUM(N69,AF69)*100+SUM(H69,Z69)+0.006,1,0)+IF(AT69*1000000+SUM(V69,AN69)*10000+SUM(P69,AH69)*100+SUM(J69,AB69)+0.004&gt;AR69*1000000+SUM(T69,AL69)*10000+SUM(N69,AF69)*100+SUM(H69,Z69)+0.006,1,0)+IF(AU69*1000000+SUM(W69,AO69)*10000+SUM(Q69,AI69)*100+SUM(K69,AC69)+0.003&gt;AR69*1000000+SUM(T69,AL69)*10000+SUM(N69,AF69)*100+SUM(H69,Z69)+0.006,1,0)+IF(AV69*1000000+SUM(X69,AP69)*10000+SUM(R69,AJ69)*100+SUM(L69,AD69)+0.002&gt;AR69*1000000+SUM(T69,AL69)*10000+SUM(N69,AF69)*100+SUM(H69,Z69)+0.006,1,0)+IF(AW69*1000000+SUM(Y69,AQ69)*10000+SUM(S69,AK69)*100+SUM(M69,AE69)+0.001&gt;AR69*1000000+SUM(T69,AL69)*10000+SUM(N69,AF69)*100+SUM(H69,Z69)+0.006,1,0)=2,"R",IF(IF(AR69*1000000+SUM(T69,AL69)*10000+SUM(N69,AF69)*100+SUM(H69,Z69)+0.006&gt;AS69*1000000+SUM(U69,AM69)*10000+SUM(O69,AG69)*100+SUM(I69,AA69)+0.005,1,0)+IF(AT69*1000000+SUM(V69,AN69)*10000+SUM(P69,AH69)*100+SUM(J69,AB69)+0.004&gt;AS69*1000000+SUM(U69,AM69)*10000+SUM(O69,AG69)*100+SUM(I69,AA69)+0.005,1,0)+IF(AU69*1000000+SUM(W69,AO69)*10000+SUM(Q69,AI69)*100+SUM(K69,AC69)+0.003&gt;AS69*1000000+SUM(U69,AM69)*10000+SUM(O69,AG69)*100+SUM(I69,AA69)+0.005,1,0)+IF(AV69*1000000+SUM(X69,AP69)*10000+SUM(R69,AJ69)*100+SUM(L69,AD69)+0.002&gt;AS69*1000000+SUM(U69,AM69)*10000+SUM(O69,AG69)*100+SUM(I69,AA69)+0.005,1,0)+IF(AW69*1000000+SUM(Y69,AQ69)*10000+SUM(S69,AK69)*100+SUM(M69,AE69)+0.001&gt;AS69*1000000+SUM(U69,AM69)*10000+SUM(O69,AG69)*100+SUM(I69,AA69)+0.005,1,0)=2,"I",IF(IF(AR69*1000000+SUM(T69,AL69)*10000+SUM(N69,AF69)*100+SUM(H69,Z69)+0.006&gt;AT69*1000000+SUM(V69,AN69)*10000+SUM(P69,AH69)*100+SUM(J69,AB69)+0.004,1,0)+IF(AS69*1000000+SUM(U69,AM69)*10000+SUM(O69,AG69)*100+SUM(I69,AA69)+0.005&gt;AT69*1000000+SUM(V69,AN69)*10000+SUM(P69,AH69)*100+SUM(J69,AB69)+0.004,1,0)+IF(AU69*1000000+SUM(W69,AO69)*10000+SUM(Q69,AI69)*100+SUM(K69,AC69)+0.003&gt;AT69*1000000+SUM(V69,AN69)*10000+SUM(P69,AH69)*100+SUM(J69,AB69)+0.004,1,0)+IF(AV69*1000000+SUM(X69,AP69)*10000+SUM(R69,AJ69)*100+SUM(L69,AD69)+0.002&gt;AT69*1000000+SUM(V69,AN69)*10000+SUM(P69,AH69)*100+SUM(J69,AB69)+0.004,1,0)+IF(AW69*1000000+SUM(Y69,AQ69)*10000+SUM(S69,AK69)*100+SUM(M69,AE69)+0.001&gt;AT69*1000000+SUM(V69,AN69)*10000+SUM(P69,AH69)*100+SUM(J69,AB69)+0.004,1,0)=2,"A",IF(IF(AR69*1000000+SUM(T69,AL69)*10000+SUM(N69,AF69)*100+SUM(H69,Z69)+0.006&gt;AU69*1000000+SUM(W69,AO69)*10000+SUM(Q69,AI69)*100+SUM(K69,AC69)+0.003,1,0)+IF(AS69*1000000+SUM(U69,AM69)*10000+SUM(O69,AG69)*100+SUM(I69,AA69)+0.005&gt;AU69*1000000+SUM(W69,AO69)*10000+SUM(Q69,AI69)*100+SUM(K69,AC69)+0.003,1,0)+IF(AT69*1000000+SUM(V69,AN69)*10000+SUM(P69,AH69)*100+SUM(J69,AB69)+0.004&gt;AU69*1000000+SUM(W69,AO69)*10000+SUM(Q69,AI69)*100+SUM(K69,AC69)+0.003,1,0)+IF(AV69*1000000+SUM(X69,AP69)*10000+SUM(R69,AJ69)*100+SUM(L69,AD69)+0.002&gt;AU69*1000000+SUM(W69,AO69)*10000+SUM(Q69,AI69)*100+SUM(K69,AC69)+0.003,1,0)+IF(AW69*1000000+SUM(Y69,AQ69)*10000+SUM(S69,AK69)*100+SUM(M69,AE69)+0.001&gt;AU69*1000000+SUM(W69,AO69)*10000+SUM(Q69,AI69)*100+SUM(K69,AC69)+0.003,1,0)=2,"S",IF(IF(AR69*1000000+SUM(T69,AL69)*10000+SUM(N69,AF69)*100+SUM(H69,Z69)+0.006&gt;AV69*1000000+SUM(X69,AP69)*10000+SUM(R69,AJ69)*100+SUM(L69,AD69)+0.002,1,0)+IF(AS69*1000000+SUM(U69,AM69)*10000+SUM(O69,AG69)*100+SUM(I69,AA69)+0.005&gt;AV69*1000000+SUM(X69,AP69)*10000+SUM(R69,AJ69)*100+SUM(L69,AD69)+0.002,1,0)+IF(AT69*1000000+SUM(V69,AN69)*10000+SUM(P69,AH69)*100+SUM(J69,AB69)+0.004&gt;AV69*1000000+SUM(X69,AP69)*10000+SUM(R69,AJ69)*100+SUM(L69,AD69)+0.002,1,0)+IF(AU69*1000000+SUM(W69,AO69)*10000+SUM(Q69,AI69)*100+SUM(K69,AC69)+0.003&gt;AV69*1000000+SUM(X69,AP69)*10000+SUM(R69,AJ69)*100+SUM(L69,AD69)+0.002,1,0)+IF(AW69*1000000+SUM(Y69,AQ69)*10000+SUM(S69,AK69)*100+SUM(M69,AE69)+0.001&gt;AV69*1000000+SUM(X69,AP69)*10000+SUM(R69,AJ69)*100+SUM(L69,AD69)+0.002,1,0)=2,"E",IF(IF(AR69*1000000+SUM(T69,AL69)*10000+SUM(N69,AF69)*100+SUM(H69,Z69)+0.006&gt;AW69*1000000+SUM(Y69,AQ69)*10000+SUM(S69,AK69)*100+SUM(M69,AE69)+0.001,1,0)+IF(AS69*1000000+SUM(U69,AM69)*10000+SUM(O69,AG69)*100+SUM(I69,AA69)+0.005&gt;AW69*1000000+SUM(Y69,AQ69)*10000+SUM(S69,AK69)*100+SUM(M69,AE69)+0.001,1,0)+IF(AT69*1000000+SUM(V69,AN69)*10000+SUM(P69,AH69)*100+SUM(J69,AB69)+0.004&gt;AW69*1000000+SUM(Y69,AQ69)*10000+SUM(S69,AK69)*100+SUM(M69,AE69)+0.001,1,0)+IF(AU69*1000000+SUM(W69,AO69)*10000+SUM(Q69,AI69)*100+SUM(K69,AC69)+0.003&gt;AW69*1000000+SUM(Y69,AQ69)*10000+SUM(S69,AK69)*100+SUM(M69,AE69)+0.001,1,0)+IF(AV69*1000000+SUM(X69,AP69)*10000+SUM(R69,AJ69)*100+SUM(L69,AD69)+0.002&gt;AW69*1000000+SUM(Y69,AQ69)*10000+SUM(S69,AK69)*100+SUM(M69,AE69)+0.001,1,0)=2,"C","")))))))</x:f>
      </x:c>
      <x:c r="AY69" s="27" t="str">
        <x:f>IF(C69="","",IF(LEFT(AX69,1)="R","นักปฏิบัติ",IF(LEFT(AX69,1)="I","นักคิดวิเคราะห์",IF(LEFT(AX69,1)="A","นักสร้างสรรค์",IF(LEFT(AX69,1)="S","ผู้เข้าใจผู้คน",IF(LEFT(AX69,1)="E","ผู้นำการเปลี่ยนแปลง","ผู้จัดระบบ"))))))</x:f>
      </x:c>
    </x:row>
    <x:row r="70">
      <x:c r="A70" s="27"/>
      <x:c r="B70" s="28"/>
      <x:c r="C70" s="27"/>
      <x:c r="D70" s="27"/>
      <x:c r="E70" s="27"/>
      <x:c r="F70" s="27"/>
      <x:c r="G70" s="27"/>
      <x:c r="H70" s="27"/>
      <x:c r="I70" s="27"/>
      <x:c r="J70" s="27"/>
      <x:c r="K70" s="27"/>
      <x:c r="L70" s="27"/>
      <x:c r="M70" s="27"/>
      <x:c r="N70" s="27"/>
      <x:c r="O70" s="27"/>
      <x:c r="P70" s="27"/>
      <x:c r="Q70" s="27"/>
      <x:c r="R70" s="27"/>
      <x:c r="S70" s="27"/>
      <x:c r="T70" s="27"/>
      <x:c r="U70" s="27"/>
      <x:c r="V70" s="27"/>
      <x:c r="W70" s="27"/>
      <x:c r="X70" s="27"/>
      <x:c r="Y70" s="27"/>
      <x:c r="Z70" s="27"/>
      <x:c r="AA70" s="27"/>
      <x:c r="AB70" s="27"/>
      <x:c r="AC70" s="27"/>
      <x:c r="AD70" s="27"/>
      <x:c r="AE70" s="27"/>
      <x:c r="AF70" s="27"/>
      <x:c r="AG70" s="27"/>
      <x:c r="AH70" s="27"/>
      <x:c r="AI70" s="27"/>
      <x:c r="AJ70" s="27"/>
      <x:c r="AK70" s="27"/>
      <x:c r="AL70" s="27"/>
      <x:c r="AM70" s="27"/>
      <x:c r="AN70" s="27"/>
      <x:c r="AO70" s="27"/>
      <x:c r="AP70" s="27"/>
      <x:c r="AQ70" s="27"/>
      <x:c r="AR70" s="27" t="str">
        <x:f>IF(C70="","",SUM(H70,N70,T70,Z70,AF70,AL70))</x:f>
      </x:c>
      <x:c r="AS70" s="27" t="str">
        <x:f>IF(C70="","",SUM(I70,O70,U70,AA70,AG70,AM70))</x:f>
      </x:c>
      <x:c r="AT70" s="27" t="str">
        <x:f>IF(C70="","",SUM(J70,P70,V70,AB70,AH70,AN70))</x:f>
      </x:c>
      <x:c r="AU70" s="27" t="str">
        <x:f>IF(C70="","",SUM(K70,Q70,W70,AC70,AI70,AO70))</x:f>
      </x:c>
      <x:c r="AV70" s="27" t="str">
        <x:f>IF(C70="","",SUM(L70,R70,X70,AD70,AJ70,AP70))</x:f>
      </x:c>
      <x:c r="AW70" s="27" t="str">
        <x:f>IF(C70="","",SUM(M70,S70,Y70,AE70,AK70,AQ70))</x:f>
      </x:c>
      <x:c r="AX70" s="27" t="str">
        <x:f>IF(C70="","",IF(IF(AS70*1000000+SUM(U70,AM70)*10000+SUM(O70,AG70)*100+SUM(I70,AA70)+0.005&gt;AR70*1000000+SUM(T70,AL70)*10000+SUM(N70,AF70)*100+SUM(H70,Z70)+0.006,1,0)+IF(AT70*1000000+SUM(V70,AN70)*10000+SUM(P70,AH70)*100+SUM(J70,AB70)+0.004&gt;AR70*1000000+SUM(T70,AL70)*10000+SUM(N70,AF70)*100+SUM(H70,Z70)+0.006,1,0)+IF(AU70*1000000+SUM(W70,AO70)*10000+SUM(Q70,AI70)*100+SUM(K70,AC70)+0.003&gt;AR70*1000000+SUM(T70,AL70)*10000+SUM(N70,AF70)*100+SUM(H70,Z70)+0.006,1,0)+IF(AV70*1000000+SUM(X70,AP70)*10000+SUM(R70,AJ70)*100+SUM(L70,AD70)+0.002&gt;AR70*1000000+SUM(T70,AL70)*10000+SUM(N70,AF70)*100+SUM(H70,Z70)+0.006,1,0)+IF(AW70*1000000+SUM(Y70,AQ70)*10000+SUM(S70,AK70)*100+SUM(M70,AE70)+0.001&gt;AR70*1000000+SUM(T70,AL70)*10000+SUM(N70,AF70)*100+SUM(H70,Z70)+0.006,1,0)=0,"R",IF(IF(AR70*1000000+SUM(T70,AL70)*10000+SUM(N70,AF70)*100+SUM(H70,Z70)+0.006&gt;AS70*1000000+SUM(U70,AM70)*10000+SUM(O70,AG70)*100+SUM(I70,AA70)+0.005,1,0)+IF(AT70*1000000+SUM(V70,AN70)*10000+SUM(P70,AH70)*100+SUM(J70,AB70)+0.004&gt;AS70*1000000+SUM(U70,AM70)*10000+SUM(O70,AG70)*100+SUM(I70,AA70)+0.005,1,0)+IF(AU70*1000000+SUM(W70,AO70)*10000+SUM(Q70,AI70)*100+SUM(K70,AC70)+0.003&gt;AS70*1000000+SUM(U70,AM70)*10000+SUM(O70,AG70)*100+SUM(I70,AA70)+0.005,1,0)+IF(AV70*1000000+SUM(X70,AP70)*10000+SUM(R70,AJ70)*100+SUM(L70,AD70)+0.002&gt;AS70*1000000+SUM(U70,AM70)*10000+SUM(O70,AG70)*100+SUM(I70,AA70)+0.005,1,0)+IF(AW70*1000000+SUM(Y70,AQ70)*10000+SUM(S70,AK70)*100+SUM(M70,AE70)+0.001&gt;AS70*1000000+SUM(U70,AM70)*10000+SUM(O70,AG70)*100+SUM(I70,AA70)+0.005,1,0)=0,"I",IF(IF(AR70*1000000+SUM(T70,AL70)*10000+SUM(N70,AF70)*100+SUM(H70,Z70)+0.006&gt;AT70*1000000+SUM(V70,AN70)*10000+SUM(P70,AH70)*100+SUM(J70,AB70)+0.004,1,0)+IF(AS70*1000000+SUM(U70,AM70)*10000+SUM(O70,AG70)*100+SUM(I70,AA70)+0.005&gt;AT70*1000000+SUM(V70,AN70)*10000+SUM(P70,AH70)*100+SUM(J70,AB70)+0.004,1,0)+IF(AU70*1000000+SUM(W70,AO70)*10000+SUM(Q70,AI70)*100+SUM(K70,AC70)+0.003&gt;AT70*1000000+SUM(V70,AN70)*10000+SUM(P70,AH70)*100+SUM(J70,AB70)+0.004,1,0)+IF(AV70*1000000+SUM(X70,AP70)*10000+SUM(R70,AJ70)*100+SUM(L70,AD70)+0.002&gt;AT70*1000000+SUM(V70,AN70)*10000+SUM(P70,AH70)*100+SUM(J70,AB70)+0.004,1,0)+IF(AW70*1000000+SUM(Y70,AQ70)*10000+SUM(S70,AK70)*100+SUM(M70,AE70)+0.001&gt;AT70*1000000+SUM(V70,AN70)*10000+SUM(P70,AH70)*100+SUM(J70,AB70)+0.004,1,0)=0,"A",IF(IF(AR70*1000000+SUM(T70,AL70)*10000+SUM(N70,AF70)*100+SUM(H70,Z70)+0.006&gt;AU70*1000000+SUM(W70,AO70)*10000+SUM(Q70,AI70)*100+SUM(K70,AC70)+0.003,1,0)+IF(AS70*1000000+SUM(U70,AM70)*10000+SUM(O70,AG70)*100+SUM(I70,AA70)+0.005&gt;AU70*1000000+SUM(W70,AO70)*10000+SUM(Q70,AI70)*100+SUM(K70,AC70)+0.003,1,0)+IF(AT70*1000000+SUM(V70,AN70)*10000+SUM(P70,AH70)*100+SUM(J70,AB70)+0.004&gt;AU70*1000000+SUM(W70,AO70)*10000+SUM(Q70,AI70)*100+SUM(K70,AC70)+0.003,1,0)+IF(AV70*1000000+SUM(X70,AP70)*10000+SUM(R70,AJ70)*100+SUM(L70,AD70)+0.002&gt;AU70*1000000+SUM(W70,AO70)*10000+SUM(Q70,AI70)*100+SUM(K70,AC70)+0.003,1,0)+IF(AW70*1000000+SUM(Y70,AQ70)*10000+SUM(S70,AK70)*100+SUM(M70,AE70)+0.001&gt;AU70*1000000+SUM(W70,AO70)*10000+SUM(Q70,AI70)*100+SUM(K70,AC70)+0.003,1,0)=0,"S",IF(IF(AR70*1000000+SUM(T70,AL70)*10000+SUM(N70,AF70)*100+SUM(H70,Z70)+0.006&gt;AV70*1000000+SUM(X70,AP70)*10000+SUM(R70,AJ70)*100+SUM(L70,AD70)+0.002,1,0)+IF(AS70*1000000+SUM(U70,AM70)*10000+SUM(O70,AG70)*100+SUM(I70,AA70)+0.005&gt;AV70*1000000+SUM(X70,AP70)*10000+SUM(R70,AJ70)*100+SUM(L70,AD70)+0.002,1,0)+IF(AT70*1000000+SUM(V70,AN70)*10000+SUM(P70,AH70)*100+SUM(J70,AB70)+0.004&gt;AV70*1000000+SUM(X70,AP70)*10000+SUM(R70,AJ70)*100+SUM(L70,AD70)+0.002,1,0)+IF(AU70*1000000+SUM(W70,AO70)*10000+SUM(Q70,AI70)*100+SUM(K70,AC70)+0.003&gt;AV70*1000000+SUM(X70,AP70)*10000+SUM(R70,AJ70)*100+SUM(L70,AD70)+0.002,1,0)+IF(AW70*1000000+SUM(Y70,AQ70)*10000+SUM(S70,AK70)*100+SUM(M70,AE70)+0.001&gt;AV70*1000000+SUM(X70,AP70)*10000+SUM(R70,AJ70)*100+SUM(L70,AD70)+0.002,1,0)=0,"E",IF(IF(AR70*1000000+SUM(T70,AL70)*10000+SUM(N70,AF70)*100+SUM(H70,Z70)+0.006&gt;AW70*1000000+SUM(Y70,AQ70)*10000+SUM(S70,AK70)*100+SUM(M70,AE70)+0.001,1,0)+IF(AS70*1000000+SUM(U70,AM70)*10000+SUM(O70,AG70)*100+SUM(I70,AA70)+0.005&gt;AW70*1000000+SUM(Y70,AQ70)*10000+SUM(S70,AK70)*100+SUM(M70,AE70)+0.001,1,0)+IF(AT70*1000000+SUM(V70,AN70)*10000+SUM(P70,AH70)*100+SUM(J70,AB70)+0.004&gt;AW70*1000000+SUM(Y70,AQ70)*10000+SUM(S70,AK70)*100+SUM(M70,AE70)+0.001,1,0)+IF(AU70*1000000+SUM(W70,AO70)*10000+SUM(Q70,AI70)*100+SUM(K70,AC70)+0.003&gt;AW70*1000000+SUM(Y70,AQ70)*10000+SUM(S70,AK70)*100+SUM(M70,AE70)+0.001,1,0)+IF(AV70*1000000+SUM(X70,AP70)*10000+SUM(R70,AJ70)*100+SUM(L70,AD70)+0.002&gt;AW70*1000000+SUM(Y70,AQ70)*10000+SUM(S70,AK70)*100+SUM(M70,AE70)+0.001,1,0)=0,"C",""))))))&amp;IF(IF(AS70*1000000+SUM(U70,AM70)*10000+SUM(O70,AG70)*100+SUM(I70,AA70)+0.005&gt;AR70*1000000+SUM(T70,AL70)*10000+SUM(N70,AF70)*100+SUM(H70,Z70)+0.006,1,0)+IF(AT70*1000000+SUM(V70,AN70)*10000+SUM(P70,AH70)*100+SUM(J70,AB70)+0.004&gt;AR70*1000000+SUM(T70,AL70)*10000+SUM(N70,AF70)*100+SUM(H70,Z70)+0.006,1,0)+IF(AU70*1000000+SUM(W70,AO70)*10000+SUM(Q70,AI70)*100+SUM(K70,AC70)+0.003&gt;AR70*1000000+SUM(T70,AL70)*10000+SUM(N70,AF70)*100+SUM(H70,Z70)+0.006,1,0)+IF(AV70*1000000+SUM(X70,AP70)*10000+SUM(R70,AJ70)*100+SUM(L70,AD70)+0.002&gt;AR70*1000000+SUM(T70,AL70)*10000+SUM(N70,AF70)*100+SUM(H70,Z70)+0.006,1,0)+IF(AW70*1000000+SUM(Y70,AQ70)*10000+SUM(S70,AK70)*100+SUM(M70,AE70)+0.001&gt;AR70*1000000+SUM(T70,AL70)*10000+SUM(N70,AF70)*100+SUM(H70,Z70)+0.006,1,0)=1,"R",IF(IF(AR70*1000000+SUM(T70,AL70)*10000+SUM(N70,AF70)*100+SUM(H70,Z70)+0.006&gt;AS70*1000000+SUM(U70,AM70)*10000+SUM(O70,AG70)*100+SUM(I70,AA70)+0.005,1,0)+IF(AT70*1000000+SUM(V70,AN70)*10000+SUM(P70,AH70)*100+SUM(J70,AB70)+0.004&gt;AS70*1000000+SUM(U70,AM70)*10000+SUM(O70,AG70)*100+SUM(I70,AA70)+0.005,1,0)+IF(AU70*1000000+SUM(W70,AO70)*10000+SUM(Q70,AI70)*100+SUM(K70,AC70)+0.003&gt;AS70*1000000+SUM(U70,AM70)*10000+SUM(O70,AG70)*100+SUM(I70,AA70)+0.005,1,0)+IF(AV70*1000000+SUM(X70,AP70)*10000+SUM(R70,AJ70)*100+SUM(L70,AD70)+0.002&gt;AS70*1000000+SUM(U70,AM70)*10000+SUM(O70,AG70)*100+SUM(I70,AA70)+0.005,1,0)+IF(AW70*1000000+SUM(Y70,AQ70)*10000+SUM(S70,AK70)*100+SUM(M70,AE70)+0.001&gt;AS70*1000000+SUM(U70,AM70)*10000+SUM(O70,AG70)*100+SUM(I70,AA70)+0.005,1,0)=1,"I",IF(IF(AR70*1000000+SUM(T70,AL70)*10000+SUM(N70,AF70)*100+SUM(H70,Z70)+0.006&gt;AT70*1000000+SUM(V70,AN70)*10000+SUM(P70,AH70)*100+SUM(J70,AB70)+0.004,1,0)+IF(AS70*1000000+SUM(U70,AM70)*10000+SUM(O70,AG70)*100+SUM(I70,AA70)+0.005&gt;AT70*1000000+SUM(V70,AN70)*10000+SUM(P70,AH70)*100+SUM(J70,AB70)+0.004,1,0)+IF(AU70*1000000+SUM(W70,AO70)*10000+SUM(Q70,AI70)*100+SUM(K70,AC70)+0.003&gt;AT70*1000000+SUM(V70,AN70)*10000+SUM(P70,AH70)*100+SUM(J70,AB70)+0.004,1,0)+IF(AV70*1000000+SUM(X70,AP70)*10000+SUM(R70,AJ70)*100+SUM(L70,AD70)+0.002&gt;AT70*1000000+SUM(V70,AN70)*10000+SUM(P70,AH70)*100+SUM(J70,AB70)+0.004,1,0)+IF(AW70*1000000+SUM(Y70,AQ70)*10000+SUM(S70,AK70)*100+SUM(M70,AE70)+0.001&gt;AT70*1000000+SUM(V70,AN70)*10000+SUM(P70,AH70)*100+SUM(J70,AB70)+0.004,1,0)=1,"A",IF(IF(AR70*1000000+SUM(T70,AL70)*10000+SUM(N70,AF70)*100+SUM(H70,Z70)+0.006&gt;AU70*1000000+SUM(W70,AO70)*10000+SUM(Q70,AI70)*100+SUM(K70,AC70)+0.003,1,0)+IF(AS70*1000000+SUM(U70,AM70)*10000+SUM(O70,AG70)*100+SUM(I70,AA70)+0.005&gt;AU70*1000000+SUM(W70,AO70)*10000+SUM(Q70,AI70)*100+SUM(K70,AC70)+0.003,1,0)+IF(AT70*1000000+SUM(V70,AN70)*10000+SUM(P70,AH70)*100+SUM(J70,AB70)+0.004&gt;AU70*1000000+SUM(W70,AO70)*10000+SUM(Q70,AI70)*100+SUM(K70,AC70)+0.003,1,0)+IF(AV70*1000000+SUM(X70,AP70)*10000+SUM(R70,AJ70)*100+SUM(L70,AD70)+0.002&gt;AU70*1000000+SUM(W70,AO70)*10000+SUM(Q70,AI70)*100+SUM(K70,AC70)+0.003,1,0)+IF(AW70*1000000+SUM(Y70,AQ70)*10000+SUM(S70,AK70)*100+SUM(M70,AE70)+0.001&gt;AU70*1000000+SUM(W70,AO70)*10000+SUM(Q70,AI70)*100+SUM(K70,AC70)+0.003,1,0)=1,"S",IF(IF(AR70*1000000+SUM(T70,AL70)*10000+SUM(N70,AF70)*100+SUM(H70,Z70)+0.006&gt;AV70*1000000+SUM(X70,AP70)*10000+SUM(R70,AJ70)*100+SUM(L70,AD70)+0.002,1,0)+IF(AS70*1000000+SUM(U70,AM70)*10000+SUM(O70,AG70)*100+SUM(I70,AA70)+0.005&gt;AV70*1000000+SUM(X70,AP70)*10000+SUM(R70,AJ70)*100+SUM(L70,AD70)+0.002,1,0)+IF(AT70*1000000+SUM(V70,AN70)*10000+SUM(P70,AH70)*100+SUM(J70,AB70)+0.004&gt;AV70*1000000+SUM(X70,AP70)*10000+SUM(R70,AJ70)*100+SUM(L70,AD70)+0.002,1,0)+IF(AU70*1000000+SUM(W70,AO70)*10000+SUM(Q70,AI70)*100+SUM(K70,AC70)+0.003&gt;AV70*1000000+SUM(X70,AP70)*10000+SUM(R70,AJ70)*100+SUM(L70,AD70)+0.002,1,0)+IF(AW70*1000000+SUM(Y70,AQ70)*10000+SUM(S70,AK70)*100+SUM(M70,AE70)+0.001&gt;AV70*1000000+SUM(X70,AP70)*10000+SUM(R70,AJ70)*100+SUM(L70,AD70)+0.002,1,0)=1,"E",IF(IF(AR70*1000000+SUM(T70,AL70)*10000+SUM(N70,AF70)*100+SUM(H70,Z70)+0.006&gt;AW70*1000000+SUM(Y70,AQ70)*10000+SUM(S70,AK70)*100+SUM(M70,AE70)+0.001,1,0)+IF(AS70*1000000+SUM(U70,AM70)*10000+SUM(O70,AG70)*100+SUM(I70,AA70)+0.005&gt;AW70*1000000+SUM(Y70,AQ70)*10000+SUM(S70,AK70)*100+SUM(M70,AE70)+0.001,1,0)+IF(AT70*1000000+SUM(V70,AN70)*10000+SUM(P70,AH70)*100+SUM(J70,AB70)+0.004&gt;AW70*1000000+SUM(Y70,AQ70)*10000+SUM(S70,AK70)*100+SUM(M70,AE70)+0.001,1,0)+IF(AU70*1000000+SUM(W70,AO70)*10000+SUM(Q70,AI70)*100+SUM(K70,AC70)+0.003&gt;AW70*1000000+SUM(Y70,AQ70)*10000+SUM(S70,AK70)*100+SUM(M70,AE70)+0.001,1,0)+IF(AV70*1000000+SUM(X70,AP70)*10000+SUM(R70,AJ70)*100+SUM(L70,AD70)+0.002&gt;AW70*1000000+SUM(Y70,AQ70)*10000+SUM(S70,AK70)*100+SUM(M70,AE70)+0.001,1,0)=1,"C",""))))))&amp;IF(IF(AS70*1000000+SUM(U70,AM70)*10000+SUM(O70,AG70)*100+SUM(I70,AA70)+0.005&gt;AR70*1000000+SUM(T70,AL70)*10000+SUM(N70,AF70)*100+SUM(H70,Z70)+0.006,1,0)+IF(AT70*1000000+SUM(V70,AN70)*10000+SUM(P70,AH70)*100+SUM(J70,AB70)+0.004&gt;AR70*1000000+SUM(T70,AL70)*10000+SUM(N70,AF70)*100+SUM(H70,Z70)+0.006,1,0)+IF(AU70*1000000+SUM(W70,AO70)*10000+SUM(Q70,AI70)*100+SUM(K70,AC70)+0.003&gt;AR70*1000000+SUM(T70,AL70)*10000+SUM(N70,AF70)*100+SUM(H70,Z70)+0.006,1,0)+IF(AV70*1000000+SUM(X70,AP70)*10000+SUM(R70,AJ70)*100+SUM(L70,AD70)+0.002&gt;AR70*1000000+SUM(T70,AL70)*10000+SUM(N70,AF70)*100+SUM(H70,Z70)+0.006,1,0)+IF(AW70*1000000+SUM(Y70,AQ70)*10000+SUM(S70,AK70)*100+SUM(M70,AE70)+0.001&gt;AR70*1000000+SUM(T70,AL70)*10000+SUM(N70,AF70)*100+SUM(H70,Z70)+0.006,1,0)=2,"R",IF(IF(AR70*1000000+SUM(T70,AL70)*10000+SUM(N70,AF70)*100+SUM(H70,Z70)+0.006&gt;AS70*1000000+SUM(U70,AM70)*10000+SUM(O70,AG70)*100+SUM(I70,AA70)+0.005,1,0)+IF(AT70*1000000+SUM(V70,AN70)*10000+SUM(P70,AH70)*100+SUM(J70,AB70)+0.004&gt;AS70*1000000+SUM(U70,AM70)*10000+SUM(O70,AG70)*100+SUM(I70,AA70)+0.005,1,0)+IF(AU70*1000000+SUM(W70,AO70)*10000+SUM(Q70,AI70)*100+SUM(K70,AC70)+0.003&gt;AS70*1000000+SUM(U70,AM70)*10000+SUM(O70,AG70)*100+SUM(I70,AA70)+0.005,1,0)+IF(AV70*1000000+SUM(X70,AP70)*10000+SUM(R70,AJ70)*100+SUM(L70,AD70)+0.002&gt;AS70*1000000+SUM(U70,AM70)*10000+SUM(O70,AG70)*100+SUM(I70,AA70)+0.005,1,0)+IF(AW70*1000000+SUM(Y70,AQ70)*10000+SUM(S70,AK70)*100+SUM(M70,AE70)+0.001&gt;AS70*1000000+SUM(U70,AM70)*10000+SUM(O70,AG70)*100+SUM(I70,AA70)+0.005,1,0)=2,"I",IF(IF(AR70*1000000+SUM(T70,AL70)*10000+SUM(N70,AF70)*100+SUM(H70,Z70)+0.006&gt;AT70*1000000+SUM(V70,AN70)*10000+SUM(P70,AH70)*100+SUM(J70,AB70)+0.004,1,0)+IF(AS70*1000000+SUM(U70,AM70)*10000+SUM(O70,AG70)*100+SUM(I70,AA70)+0.005&gt;AT70*1000000+SUM(V70,AN70)*10000+SUM(P70,AH70)*100+SUM(J70,AB70)+0.004,1,0)+IF(AU70*1000000+SUM(W70,AO70)*10000+SUM(Q70,AI70)*100+SUM(K70,AC70)+0.003&gt;AT70*1000000+SUM(V70,AN70)*10000+SUM(P70,AH70)*100+SUM(J70,AB70)+0.004,1,0)+IF(AV70*1000000+SUM(X70,AP70)*10000+SUM(R70,AJ70)*100+SUM(L70,AD70)+0.002&gt;AT70*1000000+SUM(V70,AN70)*10000+SUM(P70,AH70)*100+SUM(J70,AB70)+0.004,1,0)+IF(AW70*1000000+SUM(Y70,AQ70)*10000+SUM(S70,AK70)*100+SUM(M70,AE70)+0.001&gt;AT70*1000000+SUM(V70,AN70)*10000+SUM(P70,AH70)*100+SUM(J70,AB70)+0.004,1,0)=2,"A",IF(IF(AR70*1000000+SUM(T70,AL70)*10000+SUM(N70,AF70)*100+SUM(H70,Z70)+0.006&gt;AU70*1000000+SUM(W70,AO70)*10000+SUM(Q70,AI70)*100+SUM(K70,AC70)+0.003,1,0)+IF(AS70*1000000+SUM(U70,AM70)*10000+SUM(O70,AG70)*100+SUM(I70,AA70)+0.005&gt;AU70*1000000+SUM(W70,AO70)*10000+SUM(Q70,AI70)*100+SUM(K70,AC70)+0.003,1,0)+IF(AT70*1000000+SUM(V70,AN70)*10000+SUM(P70,AH70)*100+SUM(J70,AB70)+0.004&gt;AU70*1000000+SUM(W70,AO70)*10000+SUM(Q70,AI70)*100+SUM(K70,AC70)+0.003,1,0)+IF(AV70*1000000+SUM(X70,AP70)*10000+SUM(R70,AJ70)*100+SUM(L70,AD70)+0.002&gt;AU70*1000000+SUM(W70,AO70)*10000+SUM(Q70,AI70)*100+SUM(K70,AC70)+0.003,1,0)+IF(AW70*1000000+SUM(Y70,AQ70)*10000+SUM(S70,AK70)*100+SUM(M70,AE70)+0.001&gt;AU70*1000000+SUM(W70,AO70)*10000+SUM(Q70,AI70)*100+SUM(K70,AC70)+0.003,1,0)=2,"S",IF(IF(AR70*1000000+SUM(T70,AL70)*10000+SUM(N70,AF70)*100+SUM(H70,Z70)+0.006&gt;AV70*1000000+SUM(X70,AP70)*10000+SUM(R70,AJ70)*100+SUM(L70,AD70)+0.002,1,0)+IF(AS70*1000000+SUM(U70,AM70)*10000+SUM(O70,AG70)*100+SUM(I70,AA70)+0.005&gt;AV70*1000000+SUM(X70,AP70)*10000+SUM(R70,AJ70)*100+SUM(L70,AD70)+0.002,1,0)+IF(AT70*1000000+SUM(V70,AN70)*10000+SUM(P70,AH70)*100+SUM(J70,AB70)+0.004&gt;AV70*1000000+SUM(X70,AP70)*10000+SUM(R70,AJ70)*100+SUM(L70,AD70)+0.002,1,0)+IF(AU70*1000000+SUM(W70,AO70)*10000+SUM(Q70,AI70)*100+SUM(K70,AC70)+0.003&gt;AV70*1000000+SUM(X70,AP70)*10000+SUM(R70,AJ70)*100+SUM(L70,AD70)+0.002,1,0)+IF(AW70*1000000+SUM(Y70,AQ70)*10000+SUM(S70,AK70)*100+SUM(M70,AE70)+0.001&gt;AV70*1000000+SUM(X70,AP70)*10000+SUM(R70,AJ70)*100+SUM(L70,AD70)+0.002,1,0)=2,"E",IF(IF(AR70*1000000+SUM(T70,AL70)*10000+SUM(N70,AF70)*100+SUM(H70,Z70)+0.006&gt;AW70*1000000+SUM(Y70,AQ70)*10000+SUM(S70,AK70)*100+SUM(M70,AE70)+0.001,1,0)+IF(AS70*1000000+SUM(U70,AM70)*10000+SUM(O70,AG70)*100+SUM(I70,AA70)+0.005&gt;AW70*1000000+SUM(Y70,AQ70)*10000+SUM(S70,AK70)*100+SUM(M70,AE70)+0.001,1,0)+IF(AT70*1000000+SUM(V70,AN70)*10000+SUM(P70,AH70)*100+SUM(J70,AB70)+0.004&gt;AW70*1000000+SUM(Y70,AQ70)*10000+SUM(S70,AK70)*100+SUM(M70,AE70)+0.001,1,0)+IF(AU70*1000000+SUM(W70,AO70)*10000+SUM(Q70,AI70)*100+SUM(K70,AC70)+0.003&gt;AW70*1000000+SUM(Y70,AQ70)*10000+SUM(S70,AK70)*100+SUM(M70,AE70)+0.001,1,0)+IF(AV70*1000000+SUM(X70,AP70)*10000+SUM(R70,AJ70)*100+SUM(L70,AD70)+0.002&gt;AW70*1000000+SUM(Y70,AQ70)*10000+SUM(S70,AK70)*100+SUM(M70,AE70)+0.001,1,0)=2,"C","")))))))</x:f>
      </x:c>
      <x:c r="AY70" s="27" t="str">
        <x:f>IF(C70="","",IF(LEFT(AX70,1)="R","นักปฏิบัติ",IF(LEFT(AX70,1)="I","นักคิดวิเคราะห์",IF(LEFT(AX70,1)="A","นักสร้างสรรค์",IF(LEFT(AX70,1)="S","ผู้เข้าใจผู้คน",IF(LEFT(AX70,1)="E","ผู้นำการเปลี่ยนแปลง","ผู้จัดระบบ"))))))</x:f>
      </x:c>
    </x:row>
    <x:row r="71">
      <x:c r="A71" s="27"/>
      <x:c r="B71" s="28"/>
      <x:c r="C71" s="27"/>
      <x:c r="D71" s="27"/>
      <x:c r="E71" s="27"/>
      <x:c r="F71" s="27"/>
      <x:c r="G71" s="27"/>
      <x:c r="H71" s="27"/>
      <x:c r="I71" s="27"/>
      <x:c r="J71" s="27"/>
      <x:c r="K71" s="27"/>
      <x:c r="L71" s="27"/>
      <x:c r="M71" s="27"/>
      <x:c r="N71" s="27"/>
      <x:c r="O71" s="27"/>
      <x:c r="P71" s="27"/>
      <x:c r="Q71" s="27"/>
      <x:c r="R71" s="27"/>
      <x:c r="S71" s="27"/>
      <x:c r="T71" s="27"/>
      <x:c r="U71" s="27"/>
      <x:c r="V71" s="27"/>
      <x:c r="W71" s="27"/>
      <x:c r="X71" s="27"/>
      <x:c r="Y71" s="27"/>
      <x:c r="Z71" s="27"/>
      <x:c r="AA71" s="27"/>
      <x:c r="AB71" s="27"/>
      <x:c r="AC71" s="27"/>
      <x:c r="AD71" s="27"/>
      <x:c r="AE71" s="27"/>
      <x:c r="AF71" s="27"/>
      <x:c r="AG71" s="27"/>
      <x:c r="AH71" s="27"/>
      <x:c r="AI71" s="27"/>
      <x:c r="AJ71" s="27"/>
      <x:c r="AK71" s="27"/>
      <x:c r="AL71" s="27"/>
      <x:c r="AM71" s="27"/>
      <x:c r="AN71" s="27"/>
      <x:c r="AO71" s="27"/>
      <x:c r="AP71" s="27"/>
      <x:c r="AQ71" s="27"/>
      <x:c r="AR71" s="27" t="str">
        <x:f>IF(C71="","",SUM(H71,N71,T71,Z71,AF71,AL71))</x:f>
      </x:c>
      <x:c r="AS71" s="27" t="str">
        <x:f>IF(C71="","",SUM(I71,O71,U71,AA71,AG71,AM71))</x:f>
      </x:c>
      <x:c r="AT71" s="27" t="str">
        <x:f>IF(C71="","",SUM(J71,P71,V71,AB71,AH71,AN71))</x:f>
      </x:c>
      <x:c r="AU71" s="27" t="str">
        <x:f>IF(C71="","",SUM(K71,Q71,W71,AC71,AI71,AO71))</x:f>
      </x:c>
      <x:c r="AV71" s="27" t="str">
        <x:f>IF(C71="","",SUM(L71,R71,X71,AD71,AJ71,AP71))</x:f>
      </x:c>
      <x:c r="AW71" s="27" t="str">
        <x:f>IF(C71="","",SUM(M71,S71,Y71,AE71,AK71,AQ71))</x:f>
      </x:c>
      <x:c r="AX71" s="27" t="str">
        <x:f>IF(C71="","",IF(IF(AS71*1000000+SUM(U71,AM71)*10000+SUM(O71,AG71)*100+SUM(I71,AA71)+0.005&gt;AR71*1000000+SUM(T71,AL71)*10000+SUM(N71,AF71)*100+SUM(H71,Z71)+0.006,1,0)+IF(AT71*1000000+SUM(V71,AN71)*10000+SUM(P71,AH71)*100+SUM(J71,AB71)+0.004&gt;AR71*1000000+SUM(T71,AL71)*10000+SUM(N71,AF71)*100+SUM(H71,Z71)+0.006,1,0)+IF(AU71*1000000+SUM(W71,AO71)*10000+SUM(Q71,AI71)*100+SUM(K71,AC71)+0.003&gt;AR71*1000000+SUM(T71,AL71)*10000+SUM(N71,AF71)*100+SUM(H71,Z71)+0.006,1,0)+IF(AV71*1000000+SUM(X71,AP71)*10000+SUM(R71,AJ71)*100+SUM(L71,AD71)+0.002&gt;AR71*1000000+SUM(T71,AL71)*10000+SUM(N71,AF71)*100+SUM(H71,Z71)+0.006,1,0)+IF(AW71*1000000+SUM(Y71,AQ71)*10000+SUM(S71,AK71)*100+SUM(M71,AE71)+0.001&gt;AR71*1000000+SUM(T71,AL71)*10000+SUM(N71,AF71)*100+SUM(H71,Z71)+0.006,1,0)=0,"R",IF(IF(AR71*1000000+SUM(T71,AL71)*10000+SUM(N71,AF71)*100+SUM(H71,Z71)+0.006&gt;AS71*1000000+SUM(U71,AM71)*10000+SUM(O71,AG71)*100+SUM(I71,AA71)+0.005,1,0)+IF(AT71*1000000+SUM(V71,AN71)*10000+SUM(P71,AH71)*100+SUM(J71,AB71)+0.004&gt;AS71*1000000+SUM(U71,AM71)*10000+SUM(O71,AG71)*100+SUM(I71,AA71)+0.005,1,0)+IF(AU71*1000000+SUM(W71,AO71)*10000+SUM(Q71,AI71)*100+SUM(K71,AC71)+0.003&gt;AS71*1000000+SUM(U71,AM71)*10000+SUM(O71,AG71)*100+SUM(I71,AA71)+0.005,1,0)+IF(AV71*1000000+SUM(X71,AP71)*10000+SUM(R71,AJ71)*100+SUM(L71,AD71)+0.002&gt;AS71*1000000+SUM(U71,AM71)*10000+SUM(O71,AG71)*100+SUM(I71,AA71)+0.005,1,0)+IF(AW71*1000000+SUM(Y71,AQ71)*10000+SUM(S71,AK71)*100+SUM(M71,AE71)+0.001&gt;AS71*1000000+SUM(U71,AM71)*10000+SUM(O71,AG71)*100+SUM(I71,AA71)+0.005,1,0)=0,"I",IF(IF(AR71*1000000+SUM(T71,AL71)*10000+SUM(N71,AF71)*100+SUM(H71,Z71)+0.006&gt;AT71*1000000+SUM(V71,AN71)*10000+SUM(P71,AH71)*100+SUM(J71,AB71)+0.004,1,0)+IF(AS71*1000000+SUM(U71,AM71)*10000+SUM(O71,AG71)*100+SUM(I71,AA71)+0.005&gt;AT71*1000000+SUM(V71,AN71)*10000+SUM(P71,AH71)*100+SUM(J71,AB71)+0.004,1,0)+IF(AU71*1000000+SUM(W71,AO71)*10000+SUM(Q71,AI71)*100+SUM(K71,AC71)+0.003&gt;AT71*1000000+SUM(V71,AN71)*10000+SUM(P71,AH71)*100+SUM(J71,AB71)+0.004,1,0)+IF(AV71*1000000+SUM(X71,AP71)*10000+SUM(R71,AJ71)*100+SUM(L71,AD71)+0.002&gt;AT71*1000000+SUM(V71,AN71)*10000+SUM(P71,AH71)*100+SUM(J71,AB71)+0.004,1,0)+IF(AW71*1000000+SUM(Y71,AQ71)*10000+SUM(S71,AK71)*100+SUM(M71,AE71)+0.001&gt;AT71*1000000+SUM(V71,AN71)*10000+SUM(P71,AH71)*100+SUM(J71,AB71)+0.004,1,0)=0,"A",IF(IF(AR71*1000000+SUM(T71,AL71)*10000+SUM(N71,AF71)*100+SUM(H71,Z71)+0.006&gt;AU71*1000000+SUM(W71,AO71)*10000+SUM(Q71,AI71)*100+SUM(K71,AC71)+0.003,1,0)+IF(AS71*1000000+SUM(U71,AM71)*10000+SUM(O71,AG71)*100+SUM(I71,AA71)+0.005&gt;AU71*1000000+SUM(W71,AO71)*10000+SUM(Q71,AI71)*100+SUM(K71,AC71)+0.003,1,0)+IF(AT71*1000000+SUM(V71,AN71)*10000+SUM(P71,AH71)*100+SUM(J71,AB71)+0.004&gt;AU71*1000000+SUM(W71,AO71)*10000+SUM(Q71,AI71)*100+SUM(K71,AC71)+0.003,1,0)+IF(AV71*1000000+SUM(X71,AP71)*10000+SUM(R71,AJ71)*100+SUM(L71,AD71)+0.002&gt;AU71*1000000+SUM(W71,AO71)*10000+SUM(Q71,AI71)*100+SUM(K71,AC71)+0.003,1,0)+IF(AW71*1000000+SUM(Y71,AQ71)*10000+SUM(S71,AK71)*100+SUM(M71,AE71)+0.001&gt;AU71*1000000+SUM(W71,AO71)*10000+SUM(Q71,AI71)*100+SUM(K71,AC71)+0.003,1,0)=0,"S",IF(IF(AR71*1000000+SUM(T71,AL71)*10000+SUM(N71,AF71)*100+SUM(H71,Z71)+0.006&gt;AV71*1000000+SUM(X71,AP71)*10000+SUM(R71,AJ71)*100+SUM(L71,AD71)+0.002,1,0)+IF(AS71*1000000+SUM(U71,AM71)*10000+SUM(O71,AG71)*100+SUM(I71,AA71)+0.005&gt;AV71*1000000+SUM(X71,AP71)*10000+SUM(R71,AJ71)*100+SUM(L71,AD71)+0.002,1,0)+IF(AT71*1000000+SUM(V71,AN71)*10000+SUM(P71,AH71)*100+SUM(J71,AB71)+0.004&gt;AV71*1000000+SUM(X71,AP71)*10000+SUM(R71,AJ71)*100+SUM(L71,AD71)+0.002,1,0)+IF(AU71*1000000+SUM(W71,AO71)*10000+SUM(Q71,AI71)*100+SUM(K71,AC71)+0.003&gt;AV71*1000000+SUM(X71,AP71)*10000+SUM(R71,AJ71)*100+SUM(L71,AD71)+0.002,1,0)+IF(AW71*1000000+SUM(Y71,AQ71)*10000+SUM(S71,AK71)*100+SUM(M71,AE71)+0.001&gt;AV71*1000000+SUM(X71,AP71)*10000+SUM(R71,AJ71)*100+SUM(L71,AD71)+0.002,1,0)=0,"E",IF(IF(AR71*1000000+SUM(T71,AL71)*10000+SUM(N71,AF71)*100+SUM(H71,Z71)+0.006&gt;AW71*1000000+SUM(Y71,AQ71)*10000+SUM(S71,AK71)*100+SUM(M71,AE71)+0.001,1,0)+IF(AS71*1000000+SUM(U71,AM71)*10000+SUM(O71,AG71)*100+SUM(I71,AA71)+0.005&gt;AW71*1000000+SUM(Y71,AQ71)*10000+SUM(S71,AK71)*100+SUM(M71,AE71)+0.001,1,0)+IF(AT71*1000000+SUM(V71,AN71)*10000+SUM(P71,AH71)*100+SUM(J71,AB71)+0.004&gt;AW71*1000000+SUM(Y71,AQ71)*10000+SUM(S71,AK71)*100+SUM(M71,AE71)+0.001,1,0)+IF(AU71*1000000+SUM(W71,AO71)*10000+SUM(Q71,AI71)*100+SUM(K71,AC71)+0.003&gt;AW71*1000000+SUM(Y71,AQ71)*10000+SUM(S71,AK71)*100+SUM(M71,AE71)+0.001,1,0)+IF(AV71*1000000+SUM(X71,AP71)*10000+SUM(R71,AJ71)*100+SUM(L71,AD71)+0.002&gt;AW71*1000000+SUM(Y71,AQ71)*10000+SUM(S71,AK71)*100+SUM(M71,AE71)+0.001,1,0)=0,"C",""))))))&amp;IF(IF(AS71*1000000+SUM(U71,AM71)*10000+SUM(O71,AG71)*100+SUM(I71,AA71)+0.005&gt;AR71*1000000+SUM(T71,AL71)*10000+SUM(N71,AF71)*100+SUM(H71,Z71)+0.006,1,0)+IF(AT71*1000000+SUM(V71,AN71)*10000+SUM(P71,AH71)*100+SUM(J71,AB71)+0.004&gt;AR71*1000000+SUM(T71,AL71)*10000+SUM(N71,AF71)*100+SUM(H71,Z71)+0.006,1,0)+IF(AU71*1000000+SUM(W71,AO71)*10000+SUM(Q71,AI71)*100+SUM(K71,AC71)+0.003&gt;AR71*1000000+SUM(T71,AL71)*10000+SUM(N71,AF71)*100+SUM(H71,Z71)+0.006,1,0)+IF(AV71*1000000+SUM(X71,AP71)*10000+SUM(R71,AJ71)*100+SUM(L71,AD71)+0.002&gt;AR71*1000000+SUM(T71,AL71)*10000+SUM(N71,AF71)*100+SUM(H71,Z71)+0.006,1,0)+IF(AW71*1000000+SUM(Y71,AQ71)*10000+SUM(S71,AK71)*100+SUM(M71,AE71)+0.001&gt;AR71*1000000+SUM(T71,AL71)*10000+SUM(N71,AF71)*100+SUM(H71,Z71)+0.006,1,0)=1,"R",IF(IF(AR71*1000000+SUM(T71,AL71)*10000+SUM(N71,AF71)*100+SUM(H71,Z71)+0.006&gt;AS71*1000000+SUM(U71,AM71)*10000+SUM(O71,AG71)*100+SUM(I71,AA71)+0.005,1,0)+IF(AT71*1000000+SUM(V71,AN71)*10000+SUM(P71,AH71)*100+SUM(J71,AB71)+0.004&gt;AS71*1000000+SUM(U71,AM71)*10000+SUM(O71,AG71)*100+SUM(I71,AA71)+0.005,1,0)+IF(AU71*1000000+SUM(W71,AO71)*10000+SUM(Q71,AI71)*100+SUM(K71,AC71)+0.003&gt;AS71*1000000+SUM(U71,AM71)*10000+SUM(O71,AG71)*100+SUM(I71,AA71)+0.005,1,0)+IF(AV71*1000000+SUM(X71,AP71)*10000+SUM(R71,AJ71)*100+SUM(L71,AD71)+0.002&gt;AS71*1000000+SUM(U71,AM71)*10000+SUM(O71,AG71)*100+SUM(I71,AA71)+0.005,1,0)+IF(AW71*1000000+SUM(Y71,AQ71)*10000+SUM(S71,AK71)*100+SUM(M71,AE71)+0.001&gt;AS71*1000000+SUM(U71,AM71)*10000+SUM(O71,AG71)*100+SUM(I71,AA71)+0.005,1,0)=1,"I",IF(IF(AR71*1000000+SUM(T71,AL71)*10000+SUM(N71,AF71)*100+SUM(H71,Z71)+0.006&gt;AT71*1000000+SUM(V71,AN71)*10000+SUM(P71,AH71)*100+SUM(J71,AB71)+0.004,1,0)+IF(AS71*1000000+SUM(U71,AM71)*10000+SUM(O71,AG71)*100+SUM(I71,AA71)+0.005&gt;AT71*1000000+SUM(V71,AN71)*10000+SUM(P71,AH71)*100+SUM(J71,AB71)+0.004,1,0)+IF(AU71*1000000+SUM(W71,AO71)*10000+SUM(Q71,AI71)*100+SUM(K71,AC71)+0.003&gt;AT71*1000000+SUM(V71,AN71)*10000+SUM(P71,AH71)*100+SUM(J71,AB71)+0.004,1,0)+IF(AV71*1000000+SUM(X71,AP71)*10000+SUM(R71,AJ71)*100+SUM(L71,AD71)+0.002&gt;AT71*1000000+SUM(V71,AN71)*10000+SUM(P71,AH71)*100+SUM(J71,AB71)+0.004,1,0)+IF(AW71*1000000+SUM(Y71,AQ71)*10000+SUM(S71,AK71)*100+SUM(M71,AE71)+0.001&gt;AT71*1000000+SUM(V71,AN71)*10000+SUM(P71,AH71)*100+SUM(J71,AB71)+0.004,1,0)=1,"A",IF(IF(AR71*1000000+SUM(T71,AL71)*10000+SUM(N71,AF71)*100+SUM(H71,Z71)+0.006&gt;AU71*1000000+SUM(W71,AO71)*10000+SUM(Q71,AI71)*100+SUM(K71,AC71)+0.003,1,0)+IF(AS71*1000000+SUM(U71,AM71)*10000+SUM(O71,AG71)*100+SUM(I71,AA71)+0.005&gt;AU71*1000000+SUM(W71,AO71)*10000+SUM(Q71,AI71)*100+SUM(K71,AC71)+0.003,1,0)+IF(AT71*1000000+SUM(V71,AN71)*10000+SUM(P71,AH71)*100+SUM(J71,AB71)+0.004&gt;AU71*1000000+SUM(W71,AO71)*10000+SUM(Q71,AI71)*100+SUM(K71,AC71)+0.003,1,0)+IF(AV71*1000000+SUM(X71,AP71)*10000+SUM(R71,AJ71)*100+SUM(L71,AD71)+0.002&gt;AU71*1000000+SUM(W71,AO71)*10000+SUM(Q71,AI71)*100+SUM(K71,AC71)+0.003,1,0)+IF(AW71*1000000+SUM(Y71,AQ71)*10000+SUM(S71,AK71)*100+SUM(M71,AE71)+0.001&gt;AU71*1000000+SUM(W71,AO71)*10000+SUM(Q71,AI71)*100+SUM(K71,AC71)+0.003,1,0)=1,"S",IF(IF(AR71*1000000+SUM(T71,AL71)*10000+SUM(N71,AF71)*100+SUM(H71,Z71)+0.006&gt;AV71*1000000+SUM(X71,AP71)*10000+SUM(R71,AJ71)*100+SUM(L71,AD71)+0.002,1,0)+IF(AS71*1000000+SUM(U71,AM71)*10000+SUM(O71,AG71)*100+SUM(I71,AA71)+0.005&gt;AV71*1000000+SUM(X71,AP71)*10000+SUM(R71,AJ71)*100+SUM(L71,AD71)+0.002,1,0)+IF(AT71*1000000+SUM(V71,AN71)*10000+SUM(P71,AH71)*100+SUM(J71,AB71)+0.004&gt;AV71*1000000+SUM(X71,AP71)*10000+SUM(R71,AJ71)*100+SUM(L71,AD71)+0.002,1,0)+IF(AU71*1000000+SUM(W71,AO71)*10000+SUM(Q71,AI71)*100+SUM(K71,AC71)+0.003&gt;AV71*1000000+SUM(X71,AP71)*10000+SUM(R71,AJ71)*100+SUM(L71,AD71)+0.002,1,0)+IF(AW71*1000000+SUM(Y71,AQ71)*10000+SUM(S71,AK71)*100+SUM(M71,AE71)+0.001&gt;AV71*1000000+SUM(X71,AP71)*10000+SUM(R71,AJ71)*100+SUM(L71,AD71)+0.002,1,0)=1,"E",IF(IF(AR71*1000000+SUM(T71,AL71)*10000+SUM(N71,AF71)*100+SUM(H71,Z71)+0.006&gt;AW71*1000000+SUM(Y71,AQ71)*10000+SUM(S71,AK71)*100+SUM(M71,AE71)+0.001,1,0)+IF(AS71*1000000+SUM(U71,AM71)*10000+SUM(O71,AG71)*100+SUM(I71,AA71)+0.005&gt;AW71*1000000+SUM(Y71,AQ71)*10000+SUM(S71,AK71)*100+SUM(M71,AE71)+0.001,1,0)+IF(AT71*1000000+SUM(V71,AN71)*10000+SUM(P71,AH71)*100+SUM(J71,AB71)+0.004&gt;AW71*1000000+SUM(Y71,AQ71)*10000+SUM(S71,AK71)*100+SUM(M71,AE71)+0.001,1,0)+IF(AU71*1000000+SUM(W71,AO71)*10000+SUM(Q71,AI71)*100+SUM(K71,AC71)+0.003&gt;AW71*1000000+SUM(Y71,AQ71)*10000+SUM(S71,AK71)*100+SUM(M71,AE71)+0.001,1,0)+IF(AV71*1000000+SUM(X71,AP71)*10000+SUM(R71,AJ71)*100+SUM(L71,AD71)+0.002&gt;AW71*1000000+SUM(Y71,AQ71)*10000+SUM(S71,AK71)*100+SUM(M71,AE71)+0.001,1,0)=1,"C",""))))))&amp;IF(IF(AS71*1000000+SUM(U71,AM71)*10000+SUM(O71,AG71)*100+SUM(I71,AA71)+0.005&gt;AR71*1000000+SUM(T71,AL71)*10000+SUM(N71,AF71)*100+SUM(H71,Z71)+0.006,1,0)+IF(AT71*1000000+SUM(V71,AN71)*10000+SUM(P71,AH71)*100+SUM(J71,AB71)+0.004&gt;AR71*1000000+SUM(T71,AL71)*10000+SUM(N71,AF71)*100+SUM(H71,Z71)+0.006,1,0)+IF(AU71*1000000+SUM(W71,AO71)*10000+SUM(Q71,AI71)*100+SUM(K71,AC71)+0.003&gt;AR71*1000000+SUM(T71,AL71)*10000+SUM(N71,AF71)*100+SUM(H71,Z71)+0.006,1,0)+IF(AV71*1000000+SUM(X71,AP71)*10000+SUM(R71,AJ71)*100+SUM(L71,AD71)+0.002&gt;AR71*1000000+SUM(T71,AL71)*10000+SUM(N71,AF71)*100+SUM(H71,Z71)+0.006,1,0)+IF(AW71*1000000+SUM(Y71,AQ71)*10000+SUM(S71,AK71)*100+SUM(M71,AE71)+0.001&gt;AR71*1000000+SUM(T71,AL71)*10000+SUM(N71,AF71)*100+SUM(H71,Z71)+0.006,1,0)=2,"R",IF(IF(AR71*1000000+SUM(T71,AL71)*10000+SUM(N71,AF71)*100+SUM(H71,Z71)+0.006&gt;AS71*1000000+SUM(U71,AM71)*10000+SUM(O71,AG71)*100+SUM(I71,AA71)+0.005,1,0)+IF(AT71*1000000+SUM(V71,AN71)*10000+SUM(P71,AH71)*100+SUM(J71,AB71)+0.004&gt;AS71*1000000+SUM(U71,AM71)*10000+SUM(O71,AG71)*100+SUM(I71,AA71)+0.005,1,0)+IF(AU71*1000000+SUM(W71,AO71)*10000+SUM(Q71,AI71)*100+SUM(K71,AC71)+0.003&gt;AS71*1000000+SUM(U71,AM71)*10000+SUM(O71,AG71)*100+SUM(I71,AA71)+0.005,1,0)+IF(AV71*1000000+SUM(X71,AP71)*10000+SUM(R71,AJ71)*100+SUM(L71,AD71)+0.002&gt;AS71*1000000+SUM(U71,AM71)*10000+SUM(O71,AG71)*100+SUM(I71,AA71)+0.005,1,0)+IF(AW71*1000000+SUM(Y71,AQ71)*10000+SUM(S71,AK71)*100+SUM(M71,AE71)+0.001&gt;AS71*1000000+SUM(U71,AM71)*10000+SUM(O71,AG71)*100+SUM(I71,AA71)+0.005,1,0)=2,"I",IF(IF(AR71*1000000+SUM(T71,AL71)*10000+SUM(N71,AF71)*100+SUM(H71,Z71)+0.006&gt;AT71*1000000+SUM(V71,AN71)*10000+SUM(P71,AH71)*100+SUM(J71,AB71)+0.004,1,0)+IF(AS71*1000000+SUM(U71,AM71)*10000+SUM(O71,AG71)*100+SUM(I71,AA71)+0.005&gt;AT71*1000000+SUM(V71,AN71)*10000+SUM(P71,AH71)*100+SUM(J71,AB71)+0.004,1,0)+IF(AU71*1000000+SUM(W71,AO71)*10000+SUM(Q71,AI71)*100+SUM(K71,AC71)+0.003&gt;AT71*1000000+SUM(V71,AN71)*10000+SUM(P71,AH71)*100+SUM(J71,AB71)+0.004,1,0)+IF(AV71*1000000+SUM(X71,AP71)*10000+SUM(R71,AJ71)*100+SUM(L71,AD71)+0.002&gt;AT71*1000000+SUM(V71,AN71)*10000+SUM(P71,AH71)*100+SUM(J71,AB71)+0.004,1,0)+IF(AW71*1000000+SUM(Y71,AQ71)*10000+SUM(S71,AK71)*100+SUM(M71,AE71)+0.001&gt;AT71*1000000+SUM(V71,AN71)*10000+SUM(P71,AH71)*100+SUM(J71,AB71)+0.004,1,0)=2,"A",IF(IF(AR71*1000000+SUM(T71,AL71)*10000+SUM(N71,AF71)*100+SUM(H71,Z71)+0.006&gt;AU71*1000000+SUM(W71,AO71)*10000+SUM(Q71,AI71)*100+SUM(K71,AC71)+0.003,1,0)+IF(AS71*1000000+SUM(U71,AM71)*10000+SUM(O71,AG71)*100+SUM(I71,AA71)+0.005&gt;AU71*1000000+SUM(W71,AO71)*10000+SUM(Q71,AI71)*100+SUM(K71,AC71)+0.003,1,0)+IF(AT71*1000000+SUM(V71,AN71)*10000+SUM(P71,AH71)*100+SUM(J71,AB71)+0.004&gt;AU71*1000000+SUM(W71,AO71)*10000+SUM(Q71,AI71)*100+SUM(K71,AC71)+0.003,1,0)+IF(AV71*1000000+SUM(X71,AP71)*10000+SUM(R71,AJ71)*100+SUM(L71,AD71)+0.002&gt;AU71*1000000+SUM(W71,AO71)*10000+SUM(Q71,AI71)*100+SUM(K71,AC71)+0.003,1,0)+IF(AW71*1000000+SUM(Y71,AQ71)*10000+SUM(S71,AK71)*100+SUM(M71,AE71)+0.001&gt;AU71*1000000+SUM(W71,AO71)*10000+SUM(Q71,AI71)*100+SUM(K71,AC71)+0.003,1,0)=2,"S",IF(IF(AR71*1000000+SUM(T71,AL71)*10000+SUM(N71,AF71)*100+SUM(H71,Z71)+0.006&gt;AV71*1000000+SUM(X71,AP71)*10000+SUM(R71,AJ71)*100+SUM(L71,AD71)+0.002,1,0)+IF(AS71*1000000+SUM(U71,AM71)*10000+SUM(O71,AG71)*100+SUM(I71,AA71)+0.005&gt;AV71*1000000+SUM(X71,AP71)*10000+SUM(R71,AJ71)*100+SUM(L71,AD71)+0.002,1,0)+IF(AT71*1000000+SUM(V71,AN71)*10000+SUM(P71,AH71)*100+SUM(J71,AB71)+0.004&gt;AV71*1000000+SUM(X71,AP71)*10000+SUM(R71,AJ71)*100+SUM(L71,AD71)+0.002,1,0)+IF(AU71*1000000+SUM(W71,AO71)*10000+SUM(Q71,AI71)*100+SUM(K71,AC71)+0.003&gt;AV71*1000000+SUM(X71,AP71)*10000+SUM(R71,AJ71)*100+SUM(L71,AD71)+0.002,1,0)+IF(AW71*1000000+SUM(Y71,AQ71)*10000+SUM(S71,AK71)*100+SUM(M71,AE71)+0.001&gt;AV71*1000000+SUM(X71,AP71)*10000+SUM(R71,AJ71)*100+SUM(L71,AD71)+0.002,1,0)=2,"E",IF(IF(AR71*1000000+SUM(T71,AL71)*10000+SUM(N71,AF71)*100+SUM(H71,Z71)+0.006&gt;AW71*1000000+SUM(Y71,AQ71)*10000+SUM(S71,AK71)*100+SUM(M71,AE71)+0.001,1,0)+IF(AS71*1000000+SUM(U71,AM71)*10000+SUM(O71,AG71)*100+SUM(I71,AA71)+0.005&gt;AW71*1000000+SUM(Y71,AQ71)*10000+SUM(S71,AK71)*100+SUM(M71,AE71)+0.001,1,0)+IF(AT71*1000000+SUM(V71,AN71)*10000+SUM(P71,AH71)*100+SUM(J71,AB71)+0.004&gt;AW71*1000000+SUM(Y71,AQ71)*10000+SUM(S71,AK71)*100+SUM(M71,AE71)+0.001,1,0)+IF(AU71*1000000+SUM(W71,AO71)*10000+SUM(Q71,AI71)*100+SUM(K71,AC71)+0.003&gt;AW71*1000000+SUM(Y71,AQ71)*10000+SUM(S71,AK71)*100+SUM(M71,AE71)+0.001,1,0)+IF(AV71*1000000+SUM(X71,AP71)*10000+SUM(R71,AJ71)*100+SUM(L71,AD71)+0.002&gt;AW71*1000000+SUM(Y71,AQ71)*10000+SUM(S71,AK71)*100+SUM(M71,AE71)+0.001,1,0)=2,"C","")))))))</x:f>
      </x:c>
      <x:c r="AY71" s="27" t="str">
        <x:f>IF(C71="","",IF(LEFT(AX71,1)="R","นักปฏิบัติ",IF(LEFT(AX71,1)="I","นักคิดวิเคราะห์",IF(LEFT(AX71,1)="A","นักสร้างสรรค์",IF(LEFT(AX71,1)="S","ผู้เข้าใจผู้คน",IF(LEFT(AX71,1)="E","ผู้นำการเปลี่ยนแปลง","ผู้จัดระบบ"))))))</x:f>
      </x:c>
    </x:row>
    <x:row r="72">
      <x:c r="A72" s="27"/>
      <x:c r="B72" s="28"/>
      <x:c r="C72" s="27"/>
      <x:c r="D72" s="27"/>
      <x:c r="E72" s="27"/>
      <x:c r="F72" s="27"/>
      <x:c r="G72" s="27"/>
      <x:c r="H72" s="27"/>
      <x:c r="I72" s="27"/>
      <x:c r="J72" s="27"/>
      <x:c r="K72" s="27"/>
      <x:c r="L72" s="27"/>
      <x:c r="M72" s="27"/>
      <x:c r="N72" s="27"/>
      <x:c r="O72" s="27"/>
      <x:c r="P72" s="27"/>
      <x:c r="Q72" s="27"/>
      <x:c r="R72" s="27"/>
      <x:c r="S72" s="27"/>
      <x:c r="T72" s="27"/>
      <x:c r="U72" s="27"/>
      <x:c r="V72" s="27"/>
      <x:c r="W72" s="27"/>
      <x:c r="X72" s="27"/>
      <x:c r="Y72" s="27"/>
      <x:c r="Z72" s="27"/>
      <x:c r="AA72" s="27"/>
      <x:c r="AB72" s="27"/>
      <x:c r="AC72" s="27"/>
      <x:c r="AD72" s="27"/>
      <x:c r="AE72" s="27"/>
      <x:c r="AF72" s="27"/>
      <x:c r="AG72" s="27"/>
      <x:c r="AH72" s="27"/>
      <x:c r="AI72" s="27"/>
      <x:c r="AJ72" s="27"/>
      <x:c r="AK72" s="27"/>
      <x:c r="AL72" s="27"/>
      <x:c r="AM72" s="27"/>
      <x:c r="AN72" s="27"/>
      <x:c r="AO72" s="27"/>
      <x:c r="AP72" s="27"/>
      <x:c r="AQ72" s="27"/>
      <x:c r="AR72" s="27" t="str">
        <x:f>IF(C72="","",SUM(H72,N72,T72,Z72,AF72,AL72))</x:f>
      </x:c>
      <x:c r="AS72" s="27" t="str">
        <x:f>IF(C72="","",SUM(I72,O72,U72,AA72,AG72,AM72))</x:f>
      </x:c>
      <x:c r="AT72" s="27" t="str">
        <x:f>IF(C72="","",SUM(J72,P72,V72,AB72,AH72,AN72))</x:f>
      </x:c>
      <x:c r="AU72" s="27" t="str">
        <x:f>IF(C72="","",SUM(K72,Q72,W72,AC72,AI72,AO72))</x:f>
      </x:c>
      <x:c r="AV72" s="27" t="str">
        <x:f>IF(C72="","",SUM(L72,R72,X72,AD72,AJ72,AP72))</x:f>
      </x:c>
      <x:c r="AW72" s="27" t="str">
        <x:f>IF(C72="","",SUM(M72,S72,Y72,AE72,AK72,AQ72))</x:f>
      </x:c>
      <x:c r="AX72" s="27" t="str">
        <x:f>IF(C72="","",IF(IF(AS72*1000000+SUM(U72,AM72)*10000+SUM(O72,AG72)*100+SUM(I72,AA72)+0.005&gt;AR72*1000000+SUM(T72,AL72)*10000+SUM(N72,AF72)*100+SUM(H72,Z72)+0.006,1,0)+IF(AT72*1000000+SUM(V72,AN72)*10000+SUM(P72,AH72)*100+SUM(J72,AB72)+0.004&gt;AR72*1000000+SUM(T72,AL72)*10000+SUM(N72,AF72)*100+SUM(H72,Z72)+0.006,1,0)+IF(AU72*1000000+SUM(W72,AO72)*10000+SUM(Q72,AI72)*100+SUM(K72,AC72)+0.003&gt;AR72*1000000+SUM(T72,AL72)*10000+SUM(N72,AF72)*100+SUM(H72,Z72)+0.006,1,0)+IF(AV72*1000000+SUM(X72,AP72)*10000+SUM(R72,AJ72)*100+SUM(L72,AD72)+0.002&gt;AR72*1000000+SUM(T72,AL72)*10000+SUM(N72,AF72)*100+SUM(H72,Z72)+0.006,1,0)+IF(AW72*1000000+SUM(Y72,AQ72)*10000+SUM(S72,AK72)*100+SUM(M72,AE72)+0.001&gt;AR72*1000000+SUM(T72,AL72)*10000+SUM(N72,AF72)*100+SUM(H72,Z72)+0.006,1,0)=0,"R",IF(IF(AR72*1000000+SUM(T72,AL72)*10000+SUM(N72,AF72)*100+SUM(H72,Z72)+0.006&gt;AS72*1000000+SUM(U72,AM72)*10000+SUM(O72,AG72)*100+SUM(I72,AA72)+0.005,1,0)+IF(AT72*1000000+SUM(V72,AN72)*10000+SUM(P72,AH72)*100+SUM(J72,AB72)+0.004&gt;AS72*1000000+SUM(U72,AM72)*10000+SUM(O72,AG72)*100+SUM(I72,AA72)+0.005,1,0)+IF(AU72*1000000+SUM(W72,AO72)*10000+SUM(Q72,AI72)*100+SUM(K72,AC72)+0.003&gt;AS72*1000000+SUM(U72,AM72)*10000+SUM(O72,AG72)*100+SUM(I72,AA72)+0.005,1,0)+IF(AV72*1000000+SUM(X72,AP72)*10000+SUM(R72,AJ72)*100+SUM(L72,AD72)+0.002&gt;AS72*1000000+SUM(U72,AM72)*10000+SUM(O72,AG72)*100+SUM(I72,AA72)+0.005,1,0)+IF(AW72*1000000+SUM(Y72,AQ72)*10000+SUM(S72,AK72)*100+SUM(M72,AE72)+0.001&gt;AS72*1000000+SUM(U72,AM72)*10000+SUM(O72,AG72)*100+SUM(I72,AA72)+0.005,1,0)=0,"I",IF(IF(AR72*1000000+SUM(T72,AL72)*10000+SUM(N72,AF72)*100+SUM(H72,Z72)+0.006&gt;AT72*1000000+SUM(V72,AN72)*10000+SUM(P72,AH72)*100+SUM(J72,AB72)+0.004,1,0)+IF(AS72*1000000+SUM(U72,AM72)*10000+SUM(O72,AG72)*100+SUM(I72,AA72)+0.005&gt;AT72*1000000+SUM(V72,AN72)*10000+SUM(P72,AH72)*100+SUM(J72,AB72)+0.004,1,0)+IF(AU72*1000000+SUM(W72,AO72)*10000+SUM(Q72,AI72)*100+SUM(K72,AC72)+0.003&gt;AT72*1000000+SUM(V72,AN72)*10000+SUM(P72,AH72)*100+SUM(J72,AB72)+0.004,1,0)+IF(AV72*1000000+SUM(X72,AP72)*10000+SUM(R72,AJ72)*100+SUM(L72,AD72)+0.002&gt;AT72*1000000+SUM(V72,AN72)*10000+SUM(P72,AH72)*100+SUM(J72,AB72)+0.004,1,0)+IF(AW72*1000000+SUM(Y72,AQ72)*10000+SUM(S72,AK72)*100+SUM(M72,AE72)+0.001&gt;AT72*1000000+SUM(V72,AN72)*10000+SUM(P72,AH72)*100+SUM(J72,AB72)+0.004,1,0)=0,"A",IF(IF(AR72*1000000+SUM(T72,AL72)*10000+SUM(N72,AF72)*100+SUM(H72,Z72)+0.006&gt;AU72*1000000+SUM(W72,AO72)*10000+SUM(Q72,AI72)*100+SUM(K72,AC72)+0.003,1,0)+IF(AS72*1000000+SUM(U72,AM72)*10000+SUM(O72,AG72)*100+SUM(I72,AA72)+0.005&gt;AU72*1000000+SUM(W72,AO72)*10000+SUM(Q72,AI72)*100+SUM(K72,AC72)+0.003,1,0)+IF(AT72*1000000+SUM(V72,AN72)*10000+SUM(P72,AH72)*100+SUM(J72,AB72)+0.004&gt;AU72*1000000+SUM(W72,AO72)*10000+SUM(Q72,AI72)*100+SUM(K72,AC72)+0.003,1,0)+IF(AV72*1000000+SUM(X72,AP72)*10000+SUM(R72,AJ72)*100+SUM(L72,AD72)+0.002&gt;AU72*1000000+SUM(W72,AO72)*10000+SUM(Q72,AI72)*100+SUM(K72,AC72)+0.003,1,0)+IF(AW72*1000000+SUM(Y72,AQ72)*10000+SUM(S72,AK72)*100+SUM(M72,AE72)+0.001&gt;AU72*1000000+SUM(W72,AO72)*10000+SUM(Q72,AI72)*100+SUM(K72,AC72)+0.003,1,0)=0,"S",IF(IF(AR72*1000000+SUM(T72,AL72)*10000+SUM(N72,AF72)*100+SUM(H72,Z72)+0.006&gt;AV72*1000000+SUM(X72,AP72)*10000+SUM(R72,AJ72)*100+SUM(L72,AD72)+0.002,1,0)+IF(AS72*1000000+SUM(U72,AM72)*10000+SUM(O72,AG72)*100+SUM(I72,AA72)+0.005&gt;AV72*1000000+SUM(X72,AP72)*10000+SUM(R72,AJ72)*100+SUM(L72,AD72)+0.002,1,0)+IF(AT72*1000000+SUM(V72,AN72)*10000+SUM(P72,AH72)*100+SUM(J72,AB72)+0.004&gt;AV72*1000000+SUM(X72,AP72)*10000+SUM(R72,AJ72)*100+SUM(L72,AD72)+0.002,1,0)+IF(AU72*1000000+SUM(W72,AO72)*10000+SUM(Q72,AI72)*100+SUM(K72,AC72)+0.003&gt;AV72*1000000+SUM(X72,AP72)*10000+SUM(R72,AJ72)*100+SUM(L72,AD72)+0.002,1,0)+IF(AW72*1000000+SUM(Y72,AQ72)*10000+SUM(S72,AK72)*100+SUM(M72,AE72)+0.001&gt;AV72*1000000+SUM(X72,AP72)*10000+SUM(R72,AJ72)*100+SUM(L72,AD72)+0.002,1,0)=0,"E",IF(IF(AR72*1000000+SUM(T72,AL72)*10000+SUM(N72,AF72)*100+SUM(H72,Z72)+0.006&gt;AW72*1000000+SUM(Y72,AQ72)*10000+SUM(S72,AK72)*100+SUM(M72,AE72)+0.001,1,0)+IF(AS72*1000000+SUM(U72,AM72)*10000+SUM(O72,AG72)*100+SUM(I72,AA72)+0.005&gt;AW72*1000000+SUM(Y72,AQ72)*10000+SUM(S72,AK72)*100+SUM(M72,AE72)+0.001,1,0)+IF(AT72*1000000+SUM(V72,AN72)*10000+SUM(P72,AH72)*100+SUM(J72,AB72)+0.004&gt;AW72*1000000+SUM(Y72,AQ72)*10000+SUM(S72,AK72)*100+SUM(M72,AE72)+0.001,1,0)+IF(AU72*1000000+SUM(W72,AO72)*10000+SUM(Q72,AI72)*100+SUM(K72,AC72)+0.003&gt;AW72*1000000+SUM(Y72,AQ72)*10000+SUM(S72,AK72)*100+SUM(M72,AE72)+0.001,1,0)+IF(AV72*1000000+SUM(X72,AP72)*10000+SUM(R72,AJ72)*100+SUM(L72,AD72)+0.002&gt;AW72*1000000+SUM(Y72,AQ72)*10000+SUM(S72,AK72)*100+SUM(M72,AE72)+0.001,1,0)=0,"C",""))))))&amp;IF(IF(AS72*1000000+SUM(U72,AM72)*10000+SUM(O72,AG72)*100+SUM(I72,AA72)+0.005&gt;AR72*1000000+SUM(T72,AL72)*10000+SUM(N72,AF72)*100+SUM(H72,Z72)+0.006,1,0)+IF(AT72*1000000+SUM(V72,AN72)*10000+SUM(P72,AH72)*100+SUM(J72,AB72)+0.004&gt;AR72*1000000+SUM(T72,AL72)*10000+SUM(N72,AF72)*100+SUM(H72,Z72)+0.006,1,0)+IF(AU72*1000000+SUM(W72,AO72)*10000+SUM(Q72,AI72)*100+SUM(K72,AC72)+0.003&gt;AR72*1000000+SUM(T72,AL72)*10000+SUM(N72,AF72)*100+SUM(H72,Z72)+0.006,1,0)+IF(AV72*1000000+SUM(X72,AP72)*10000+SUM(R72,AJ72)*100+SUM(L72,AD72)+0.002&gt;AR72*1000000+SUM(T72,AL72)*10000+SUM(N72,AF72)*100+SUM(H72,Z72)+0.006,1,0)+IF(AW72*1000000+SUM(Y72,AQ72)*10000+SUM(S72,AK72)*100+SUM(M72,AE72)+0.001&gt;AR72*1000000+SUM(T72,AL72)*10000+SUM(N72,AF72)*100+SUM(H72,Z72)+0.006,1,0)=1,"R",IF(IF(AR72*1000000+SUM(T72,AL72)*10000+SUM(N72,AF72)*100+SUM(H72,Z72)+0.006&gt;AS72*1000000+SUM(U72,AM72)*10000+SUM(O72,AG72)*100+SUM(I72,AA72)+0.005,1,0)+IF(AT72*1000000+SUM(V72,AN72)*10000+SUM(P72,AH72)*100+SUM(J72,AB72)+0.004&gt;AS72*1000000+SUM(U72,AM72)*10000+SUM(O72,AG72)*100+SUM(I72,AA72)+0.005,1,0)+IF(AU72*1000000+SUM(W72,AO72)*10000+SUM(Q72,AI72)*100+SUM(K72,AC72)+0.003&gt;AS72*1000000+SUM(U72,AM72)*10000+SUM(O72,AG72)*100+SUM(I72,AA72)+0.005,1,0)+IF(AV72*1000000+SUM(X72,AP72)*10000+SUM(R72,AJ72)*100+SUM(L72,AD72)+0.002&gt;AS72*1000000+SUM(U72,AM72)*10000+SUM(O72,AG72)*100+SUM(I72,AA72)+0.005,1,0)+IF(AW72*1000000+SUM(Y72,AQ72)*10000+SUM(S72,AK72)*100+SUM(M72,AE72)+0.001&gt;AS72*1000000+SUM(U72,AM72)*10000+SUM(O72,AG72)*100+SUM(I72,AA72)+0.005,1,0)=1,"I",IF(IF(AR72*1000000+SUM(T72,AL72)*10000+SUM(N72,AF72)*100+SUM(H72,Z72)+0.006&gt;AT72*1000000+SUM(V72,AN72)*10000+SUM(P72,AH72)*100+SUM(J72,AB72)+0.004,1,0)+IF(AS72*1000000+SUM(U72,AM72)*10000+SUM(O72,AG72)*100+SUM(I72,AA72)+0.005&gt;AT72*1000000+SUM(V72,AN72)*10000+SUM(P72,AH72)*100+SUM(J72,AB72)+0.004,1,0)+IF(AU72*1000000+SUM(W72,AO72)*10000+SUM(Q72,AI72)*100+SUM(K72,AC72)+0.003&gt;AT72*1000000+SUM(V72,AN72)*10000+SUM(P72,AH72)*100+SUM(J72,AB72)+0.004,1,0)+IF(AV72*1000000+SUM(X72,AP72)*10000+SUM(R72,AJ72)*100+SUM(L72,AD72)+0.002&gt;AT72*1000000+SUM(V72,AN72)*10000+SUM(P72,AH72)*100+SUM(J72,AB72)+0.004,1,0)+IF(AW72*1000000+SUM(Y72,AQ72)*10000+SUM(S72,AK72)*100+SUM(M72,AE72)+0.001&gt;AT72*1000000+SUM(V72,AN72)*10000+SUM(P72,AH72)*100+SUM(J72,AB72)+0.004,1,0)=1,"A",IF(IF(AR72*1000000+SUM(T72,AL72)*10000+SUM(N72,AF72)*100+SUM(H72,Z72)+0.006&gt;AU72*1000000+SUM(W72,AO72)*10000+SUM(Q72,AI72)*100+SUM(K72,AC72)+0.003,1,0)+IF(AS72*1000000+SUM(U72,AM72)*10000+SUM(O72,AG72)*100+SUM(I72,AA72)+0.005&gt;AU72*1000000+SUM(W72,AO72)*10000+SUM(Q72,AI72)*100+SUM(K72,AC72)+0.003,1,0)+IF(AT72*1000000+SUM(V72,AN72)*10000+SUM(P72,AH72)*100+SUM(J72,AB72)+0.004&gt;AU72*1000000+SUM(W72,AO72)*10000+SUM(Q72,AI72)*100+SUM(K72,AC72)+0.003,1,0)+IF(AV72*1000000+SUM(X72,AP72)*10000+SUM(R72,AJ72)*100+SUM(L72,AD72)+0.002&gt;AU72*1000000+SUM(W72,AO72)*10000+SUM(Q72,AI72)*100+SUM(K72,AC72)+0.003,1,0)+IF(AW72*1000000+SUM(Y72,AQ72)*10000+SUM(S72,AK72)*100+SUM(M72,AE72)+0.001&gt;AU72*1000000+SUM(W72,AO72)*10000+SUM(Q72,AI72)*100+SUM(K72,AC72)+0.003,1,0)=1,"S",IF(IF(AR72*1000000+SUM(T72,AL72)*10000+SUM(N72,AF72)*100+SUM(H72,Z72)+0.006&gt;AV72*1000000+SUM(X72,AP72)*10000+SUM(R72,AJ72)*100+SUM(L72,AD72)+0.002,1,0)+IF(AS72*1000000+SUM(U72,AM72)*10000+SUM(O72,AG72)*100+SUM(I72,AA72)+0.005&gt;AV72*1000000+SUM(X72,AP72)*10000+SUM(R72,AJ72)*100+SUM(L72,AD72)+0.002,1,0)+IF(AT72*1000000+SUM(V72,AN72)*10000+SUM(P72,AH72)*100+SUM(J72,AB72)+0.004&gt;AV72*1000000+SUM(X72,AP72)*10000+SUM(R72,AJ72)*100+SUM(L72,AD72)+0.002,1,0)+IF(AU72*1000000+SUM(W72,AO72)*10000+SUM(Q72,AI72)*100+SUM(K72,AC72)+0.003&gt;AV72*1000000+SUM(X72,AP72)*10000+SUM(R72,AJ72)*100+SUM(L72,AD72)+0.002,1,0)+IF(AW72*1000000+SUM(Y72,AQ72)*10000+SUM(S72,AK72)*100+SUM(M72,AE72)+0.001&gt;AV72*1000000+SUM(X72,AP72)*10000+SUM(R72,AJ72)*100+SUM(L72,AD72)+0.002,1,0)=1,"E",IF(IF(AR72*1000000+SUM(T72,AL72)*10000+SUM(N72,AF72)*100+SUM(H72,Z72)+0.006&gt;AW72*1000000+SUM(Y72,AQ72)*10000+SUM(S72,AK72)*100+SUM(M72,AE72)+0.001,1,0)+IF(AS72*1000000+SUM(U72,AM72)*10000+SUM(O72,AG72)*100+SUM(I72,AA72)+0.005&gt;AW72*1000000+SUM(Y72,AQ72)*10000+SUM(S72,AK72)*100+SUM(M72,AE72)+0.001,1,0)+IF(AT72*1000000+SUM(V72,AN72)*10000+SUM(P72,AH72)*100+SUM(J72,AB72)+0.004&gt;AW72*1000000+SUM(Y72,AQ72)*10000+SUM(S72,AK72)*100+SUM(M72,AE72)+0.001,1,0)+IF(AU72*1000000+SUM(W72,AO72)*10000+SUM(Q72,AI72)*100+SUM(K72,AC72)+0.003&gt;AW72*1000000+SUM(Y72,AQ72)*10000+SUM(S72,AK72)*100+SUM(M72,AE72)+0.001,1,0)+IF(AV72*1000000+SUM(X72,AP72)*10000+SUM(R72,AJ72)*100+SUM(L72,AD72)+0.002&gt;AW72*1000000+SUM(Y72,AQ72)*10000+SUM(S72,AK72)*100+SUM(M72,AE72)+0.001,1,0)=1,"C",""))))))&amp;IF(IF(AS72*1000000+SUM(U72,AM72)*10000+SUM(O72,AG72)*100+SUM(I72,AA72)+0.005&gt;AR72*1000000+SUM(T72,AL72)*10000+SUM(N72,AF72)*100+SUM(H72,Z72)+0.006,1,0)+IF(AT72*1000000+SUM(V72,AN72)*10000+SUM(P72,AH72)*100+SUM(J72,AB72)+0.004&gt;AR72*1000000+SUM(T72,AL72)*10000+SUM(N72,AF72)*100+SUM(H72,Z72)+0.006,1,0)+IF(AU72*1000000+SUM(W72,AO72)*10000+SUM(Q72,AI72)*100+SUM(K72,AC72)+0.003&gt;AR72*1000000+SUM(T72,AL72)*10000+SUM(N72,AF72)*100+SUM(H72,Z72)+0.006,1,0)+IF(AV72*1000000+SUM(X72,AP72)*10000+SUM(R72,AJ72)*100+SUM(L72,AD72)+0.002&gt;AR72*1000000+SUM(T72,AL72)*10000+SUM(N72,AF72)*100+SUM(H72,Z72)+0.006,1,0)+IF(AW72*1000000+SUM(Y72,AQ72)*10000+SUM(S72,AK72)*100+SUM(M72,AE72)+0.001&gt;AR72*1000000+SUM(T72,AL72)*10000+SUM(N72,AF72)*100+SUM(H72,Z72)+0.006,1,0)=2,"R",IF(IF(AR72*1000000+SUM(T72,AL72)*10000+SUM(N72,AF72)*100+SUM(H72,Z72)+0.006&gt;AS72*1000000+SUM(U72,AM72)*10000+SUM(O72,AG72)*100+SUM(I72,AA72)+0.005,1,0)+IF(AT72*1000000+SUM(V72,AN72)*10000+SUM(P72,AH72)*100+SUM(J72,AB72)+0.004&gt;AS72*1000000+SUM(U72,AM72)*10000+SUM(O72,AG72)*100+SUM(I72,AA72)+0.005,1,0)+IF(AU72*1000000+SUM(W72,AO72)*10000+SUM(Q72,AI72)*100+SUM(K72,AC72)+0.003&gt;AS72*1000000+SUM(U72,AM72)*10000+SUM(O72,AG72)*100+SUM(I72,AA72)+0.005,1,0)+IF(AV72*1000000+SUM(X72,AP72)*10000+SUM(R72,AJ72)*100+SUM(L72,AD72)+0.002&gt;AS72*1000000+SUM(U72,AM72)*10000+SUM(O72,AG72)*100+SUM(I72,AA72)+0.005,1,0)+IF(AW72*1000000+SUM(Y72,AQ72)*10000+SUM(S72,AK72)*100+SUM(M72,AE72)+0.001&gt;AS72*1000000+SUM(U72,AM72)*10000+SUM(O72,AG72)*100+SUM(I72,AA72)+0.005,1,0)=2,"I",IF(IF(AR72*1000000+SUM(T72,AL72)*10000+SUM(N72,AF72)*100+SUM(H72,Z72)+0.006&gt;AT72*1000000+SUM(V72,AN72)*10000+SUM(P72,AH72)*100+SUM(J72,AB72)+0.004,1,0)+IF(AS72*1000000+SUM(U72,AM72)*10000+SUM(O72,AG72)*100+SUM(I72,AA72)+0.005&gt;AT72*1000000+SUM(V72,AN72)*10000+SUM(P72,AH72)*100+SUM(J72,AB72)+0.004,1,0)+IF(AU72*1000000+SUM(W72,AO72)*10000+SUM(Q72,AI72)*100+SUM(K72,AC72)+0.003&gt;AT72*1000000+SUM(V72,AN72)*10000+SUM(P72,AH72)*100+SUM(J72,AB72)+0.004,1,0)+IF(AV72*1000000+SUM(X72,AP72)*10000+SUM(R72,AJ72)*100+SUM(L72,AD72)+0.002&gt;AT72*1000000+SUM(V72,AN72)*10000+SUM(P72,AH72)*100+SUM(J72,AB72)+0.004,1,0)+IF(AW72*1000000+SUM(Y72,AQ72)*10000+SUM(S72,AK72)*100+SUM(M72,AE72)+0.001&gt;AT72*1000000+SUM(V72,AN72)*10000+SUM(P72,AH72)*100+SUM(J72,AB72)+0.004,1,0)=2,"A",IF(IF(AR72*1000000+SUM(T72,AL72)*10000+SUM(N72,AF72)*100+SUM(H72,Z72)+0.006&gt;AU72*1000000+SUM(W72,AO72)*10000+SUM(Q72,AI72)*100+SUM(K72,AC72)+0.003,1,0)+IF(AS72*1000000+SUM(U72,AM72)*10000+SUM(O72,AG72)*100+SUM(I72,AA72)+0.005&gt;AU72*1000000+SUM(W72,AO72)*10000+SUM(Q72,AI72)*100+SUM(K72,AC72)+0.003,1,0)+IF(AT72*1000000+SUM(V72,AN72)*10000+SUM(P72,AH72)*100+SUM(J72,AB72)+0.004&gt;AU72*1000000+SUM(W72,AO72)*10000+SUM(Q72,AI72)*100+SUM(K72,AC72)+0.003,1,0)+IF(AV72*1000000+SUM(X72,AP72)*10000+SUM(R72,AJ72)*100+SUM(L72,AD72)+0.002&gt;AU72*1000000+SUM(W72,AO72)*10000+SUM(Q72,AI72)*100+SUM(K72,AC72)+0.003,1,0)+IF(AW72*1000000+SUM(Y72,AQ72)*10000+SUM(S72,AK72)*100+SUM(M72,AE72)+0.001&gt;AU72*1000000+SUM(W72,AO72)*10000+SUM(Q72,AI72)*100+SUM(K72,AC72)+0.003,1,0)=2,"S",IF(IF(AR72*1000000+SUM(T72,AL72)*10000+SUM(N72,AF72)*100+SUM(H72,Z72)+0.006&gt;AV72*1000000+SUM(X72,AP72)*10000+SUM(R72,AJ72)*100+SUM(L72,AD72)+0.002,1,0)+IF(AS72*1000000+SUM(U72,AM72)*10000+SUM(O72,AG72)*100+SUM(I72,AA72)+0.005&gt;AV72*1000000+SUM(X72,AP72)*10000+SUM(R72,AJ72)*100+SUM(L72,AD72)+0.002,1,0)+IF(AT72*1000000+SUM(V72,AN72)*10000+SUM(P72,AH72)*100+SUM(J72,AB72)+0.004&gt;AV72*1000000+SUM(X72,AP72)*10000+SUM(R72,AJ72)*100+SUM(L72,AD72)+0.002,1,0)+IF(AU72*1000000+SUM(W72,AO72)*10000+SUM(Q72,AI72)*100+SUM(K72,AC72)+0.003&gt;AV72*1000000+SUM(X72,AP72)*10000+SUM(R72,AJ72)*100+SUM(L72,AD72)+0.002,1,0)+IF(AW72*1000000+SUM(Y72,AQ72)*10000+SUM(S72,AK72)*100+SUM(M72,AE72)+0.001&gt;AV72*1000000+SUM(X72,AP72)*10000+SUM(R72,AJ72)*100+SUM(L72,AD72)+0.002,1,0)=2,"E",IF(IF(AR72*1000000+SUM(T72,AL72)*10000+SUM(N72,AF72)*100+SUM(H72,Z72)+0.006&gt;AW72*1000000+SUM(Y72,AQ72)*10000+SUM(S72,AK72)*100+SUM(M72,AE72)+0.001,1,0)+IF(AS72*1000000+SUM(U72,AM72)*10000+SUM(O72,AG72)*100+SUM(I72,AA72)+0.005&gt;AW72*1000000+SUM(Y72,AQ72)*10000+SUM(S72,AK72)*100+SUM(M72,AE72)+0.001,1,0)+IF(AT72*1000000+SUM(V72,AN72)*10000+SUM(P72,AH72)*100+SUM(J72,AB72)+0.004&gt;AW72*1000000+SUM(Y72,AQ72)*10000+SUM(S72,AK72)*100+SUM(M72,AE72)+0.001,1,0)+IF(AU72*1000000+SUM(W72,AO72)*10000+SUM(Q72,AI72)*100+SUM(K72,AC72)+0.003&gt;AW72*1000000+SUM(Y72,AQ72)*10000+SUM(S72,AK72)*100+SUM(M72,AE72)+0.001,1,0)+IF(AV72*1000000+SUM(X72,AP72)*10000+SUM(R72,AJ72)*100+SUM(L72,AD72)+0.002&gt;AW72*1000000+SUM(Y72,AQ72)*10000+SUM(S72,AK72)*100+SUM(M72,AE72)+0.001,1,0)=2,"C","")))))))</x:f>
      </x:c>
      <x:c r="AY72" s="27" t="str">
        <x:f>IF(C72="","",IF(LEFT(AX72,1)="R","นักปฏิบัติ",IF(LEFT(AX72,1)="I","นักคิดวิเคราะห์",IF(LEFT(AX72,1)="A","นักสร้างสรรค์",IF(LEFT(AX72,1)="S","ผู้เข้าใจผู้คน",IF(LEFT(AX72,1)="E","ผู้นำการเปลี่ยนแปลง","ผู้จัดระบบ"))))))</x:f>
      </x:c>
    </x:row>
    <x:row r="73">
      <x:c r="A73" s="27"/>
      <x:c r="B73" s="28"/>
      <x:c r="C73" s="27"/>
      <x:c r="D73" s="27"/>
      <x:c r="E73" s="27"/>
      <x:c r="F73" s="27"/>
      <x:c r="G73" s="27"/>
      <x:c r="H73" s="27"/>
      <x:c r="I73" s="27"/>
      <x:c r="J73" s="27"/>
      <x:c r="K73" s="27"/>
      <x:c r="L73" s="27"/>
      <x:c r="M73" s="27"/>
      <x:c r="N73" s="27"/>
      <x:c r="O73" s="27"/>
      <x:c r="P73" s="27"/>
      <x:c r="Q73" s="27"/>
      <x:c r="R73" s="27"/>
      <x:c r="S73" s="27"/>
      <x:c r="T73" s="27"/>
      <x:c r="U73" s="27"/>
      <x:c r="V73" s="27"/>
      <x:c r="W73" s="27"/>
      <x:c r="X73" s="27"/>
      <x:c r="Y73" s="27"/>
      <x:c r="Z73" s="27"/>
      <x:c r="AA73" s="27"/>
      <x:c r="AB73" s="27"/>
      <x:c r="AC73" s="27"/>
      <x:c r="AD73" s="27"/>
      <x:c r="AE73" s="27"/>
      <x:c r="AF73" s="27"/>
      <x:c r="AG73" s="27"/>
      <x:c r="AH73" s="27"/>
      <x:c r="AI73" s="27"/>
      <x:c r="AJ73" s="27"/>
      <x:c r="AK73" s="27"/>
      <x:c r="AL73" s="27"/>
      <x:c r="AM73" s="27"/>
      <x:c r="AN73" s="27"/>
      <x:c r="AO73" s="27"/>
      <x:c r="AP73" s="27"/>
      <x:c r="AQ73" s="27"/>
      <x:c r="AR73" s="27" t="str">
        <x:f>IF(C73="","",SUM(H73,N73,T73,Z73,AF73,AL73))</x:f>
      </x:c>
      <x:c r="AS73" s="27" t="str">
        <x:f>IF(C73="","",SUM(I73,O73,U73,AA73,AG73,AM73))</x:f>
      </x:c>
      <x:c r="AT73" s="27" t="str">
        <x:f>IF(C73="","",SUM(J73,P73,V73,AB73,AH73,AN73))</x:f>
      </x:c>
      <x:c r="AU73" s="27" t="str">
        <x:f>IF(C73="","",SUM(K73,Q73,W73,AC73,AI73,AO73))</x:f>
      </x:c>
      <x:c r="AV73" s="27" t="str">
        <x:f>IF(C73="","",SUM(L73,R73,X73,AD73,AJ73,AP73))</x:f>
      </x:c>
      <x:c r="AW73" s="27" t="str">
        <x:f>IF(C73="","",SUM(M73,S73,Y73,AE73,AK73,AQ73))</x:f>
      </x:c>
      <x:c r="AX73" s="27" t="str">
        <x:f>IF(C73="","",IF(IF(AS73*1000000+SUM(U73,AM73)*10000+SUM(O73,AG73)*100+SUM(I73,AA73)+0.005&gt;AR73*1000000+SUM(T73,AL73)*10000+SUM(N73,AF73)*100+SUM(H73,Z73)+0.006,1,0)+IF(AT73*1000000+SUM(V73,AN73)*10000+SUM(P73,AH73)*100+SUM(J73,AB73)+0.004&gt;AR73*1000000+SUM(T73,AL73)*10000+SUM(N73,AF73)*100+SUM(H73,Z73)+0.006,1,0)+IF(AU73*1000000+SUM(W73,AO73)*10000+SUM(Q73,AI73)*100+SUM(K73,AC73)+0.003&gt;AR73*1000000+SUM(T73,AL73)*10000+SUM(N73,AF73)*100+SUM(H73,Z73)+0.006,1,0)+IF(AV73*1000000+SUM(X73,AP73)*10000+SUM(R73,AJ73)*100+SUM(L73,AD73)+0.002&gt;AR73*1000000+SUM(T73,AL73)*10000+SUM(N73,AF73)*100+SUM(H73,Z73)+0.006,1,0)+IF(AW73*1000000+SUM(Y73,AQ73)*10000+SUM(S73,AK73)*100+SUM(M73,AE73)+0.001&gt;AR73*1000000+SUM(T73,AL73)*10000+SUM(N73,AF73)*100+SUM(H73,Z73)+0.006,1,0)=0,"R",IF(IF(AR73*1000000+SUM(T73,AL73)*10000+SUM(N73,AF73)*100+SUM(H73,Z73)+0.006&gt;AS73*1000000+SUM(U73,AM73)*10000+SUM(O73,AG73)*100+SUM(I73,AA73)+0.005,1,0)+IF(AT73*1000000+SUM(V73,AN73)*10000+SUM(P73,AH73)*100+SUM(J73,AB73)+0.004&gt;AS73*1000000+SUM(U73,AM73)*10000+SUM(O73,AG73)*100+SUM(I73,AA73)+0.005,1,0)+IF(AU73*1000000+SUM(W73,AO73)*10000+SUM(Q73,AI73)*100+SUM(K73,AC73)+0.003&gt;AS73*1000000+SUM(U73,AM73)*10000+SUM(O73,AG73)*100+SUM(I73,AA73)+0.005,1,0)+IF(AV73*1000000+SUM(X73,AP73)*10000+SUM(R73,AJ73)*100+SUM(L73,AD73)+0.002&gt;AS73*1000000+SUM(U73,AM73)*10000+SUM(O73,AG73)*100+SUM(I73,AA73)+0.005,1,0)+IF(AW73*1000000+SUM(Y73,AQ73)*10000+SUM(S73,AK73)*100+SUM(M73,AE73)+0.001&gt;AS73*1000000+SUM(U73,AM73)*10000+SUM(O73,AG73)*100+SUM(I73,AA73)+0.005,1,0)=0,"I",IF(IF(AR73*1000000+SUM(T73,AL73)*10000+SUM(N73,AF73)*100+SUM(H73,Z73)+0.006&gt;AT73*1000000+SUM(V73,AN73)*10000+SUM(P73,AH73)*100+SUM(J73,AB73)+0.004,1,0)+IF(AS73*1000000+SUM(U73,AM73)*10000+SUM(O73,AG73)*100+SUM(I73,AA73)+0.005&gt;AT73*1000000+SUM(V73,AN73)*10000+SUM(P73,AH73)*100+SUM(J73,AB73)+0.004,1,0)+IF(AU73*1000000+SUM(W73,AO73)*10000+SUM(Q73,AI73)*100+SUM(K73,AC73)+0.003&gt;AT73*1000000+SUM(V73,AN73)*10000+SUM(P73,AH73)*100+SUM(J73,AB73)+0.004,1,0)+IF(AV73*1000000+SUM(X73,AP73)*10000+SUM(R73,AJ73)*100+SUM(L73,AD73)+0.002&gt;AT73*1000000+SUM(V73,AN73)*10000+SUM(P73,AH73)*100+SUM(J73,AB73)+0.004,1,0)+IF(AW73*1000000+SUM(Y73,AQ73)*10000+SUM(S73,AK73)*100+SUM(M73,AE73)+0.001&gt;AT73*1000000+SUM(V73,AN73)*10000+SUM(P73,AH73)*100+SUM(J73,AB73)+0.004,1,0)=0,"A",IF(IF(AR73*1000000+SUM(T73,AL73)*10000+SUM(N73,AF73)*100+SUM(H73,Z73)+0.006&gt;AU73*1000000+SUM(W73,AO73)*10000+SUM(Q73,AI73)*100+SUM(K73,AC73)+0.003,1,0)+IF(AS73*1000000+SUM(U73,AM73)*10000+SUM(O73,AG73)*100+SUM(I73,AA73)+0.005&gt;AU73*1000000+SUM(W73,AO73)*10000+SUM(Q73,AI73)*100+SUM(K73,AC73)+0.003,1,0)+IF(AT73*1000000+SUM(V73,AN73)*10000+SUM(P73,AH73)*100+SUM(J73,AB73)+0.004&gt;AU73*1000000+SUM(W73,AO73)*10000+SUM(Q73,AI73)*100+SUM(K73,AC73)+0.003,1,0)+IF(AV73*1000000+SUM(X73,AP73)*10000+SUM(R73,AJ73)*100+SUM(L73,AD73)+0.002&gt;AU73*1000000+SUM(W73,AO73)*10000+SUM(Q73,AI73)*100+SUM(K73,AC73)+0.003,1,0)+IF(AW73*1000000+SUM(Y73,AQ73)*10000+SUM(S73,AK73)*100+SUM(M73,AE73)+0.001&gt;AU73*1000000+SUM(W73,AO73)*10000+SUM(Q73,AI73)*100+SUM(K73,AC73)+0.003,1,0)=0,"S",IF(IF(AR73*1000000+SUM(T73,AL73)*10000+SUM(N73,AF73)*100+SUM(H73,Z73)+0.006&gt;AV73*1000000+SUM(X73,AP73)*10000+SUM(R73,AJ73)*100+SUM(L73,AD73)+0.002,1,0)+IF(AS73*1000000+SUM(U73,AM73)*10000+SUM(O73,AG73)*100+SUM(I73,AA73)+0.005&gt;AV73*1000000+SUM(X73,AP73)*10000+SUM(R73,AJ73)*100+SUM(L73,AD73)+0.002,1,0)+IF(AT73*1000000+SUM(V73,AN73)*10000+SUM(P73,AH73)*100+SUM(J73,AB73)+0.004&gt;AV73*1000000+SUM(X73,AP73)*10000+SUM(R73,AJ73)*100+SUM(L73,AD73)+0.002,1,0)+IF(AU73*1000000+SUM(W73,AO73)*10000+SUM(Q73,AI73)*100+SUM(K73,AC73)+0.003&gt;AV73*1000000+SUM(X73,AP73)*10000+SUM(R73,AJ73)*100+SUM(L73,AD73)+0.002,1,0)+IF(AW73*1000000+SUM(Y73,AQ73)*10000+SUM(S73,AK73)*100+SUM(M73,AE73)+0.001&gt;AV73*1000000+SUM(X73,AP73)*10000+SUM(R73,AJ73)*100+SUM(L73,AD73)+0.002,1,0)=0,"E",IF(IF(AR73*1000000+SUM(T73,AL73)*10000+SUM(N73,AF73)*100+SUM(H73,Z73)+0.006&gt;AW73*1000000+SUM(Y73,AQ73)*10000+SUM(S73,AK73)*100+SUM(M73,AE73)+0.001,1,0)+IF(AS73*1000000+SUM(U73,AM73)*10000+SUM(O73,AG73)*100+SUM(I73,AA73)+0.005&gt;AW73*1000000+SUM(Y73,AQ73)*10000+SUM(S73,AK73)*100+SUM(M73,AE73)+0.001,1,0)+IF(AT73*1000000+SUM(V73,AN73)*10000+SUM(P73,AH73)*100+SUM(J73,AB73)+0.004&gt;AW73*1000000+SUM(Y73,AQ73)*10000+SUM(S73,AK73)*100+SUM(M73,AE73)+0.001,1,0)+IF(AU73*1000000+SUM(W73,AO73)*10000+SUM(Q73,AI73)*100+SUM(K73,AC73)+0.003&gt;AW73*1000000+SUM(Y73,AQ73)*10000+SUM(S73,AK73)*100+SUM(M73,AE73)+0.001,1,0)+IF(AV73*1000000+SUM(X73,AP73)*10000+SUM(R73,AJ73)*100+SUM(L73,AD73)+0.002&gt;AW73*1000000+SUM(Y73,AQ73)*10000+SUM(S73,AK73)*100+SUM(M73,AE73)+0.001,1,0)=0,"C",""))))))&amp;IF(IF(AS73*1000000+SUM(U73,AM73)*10000+SUM(O73,AG73)*100+SUM(I73,AA73)+0.005&gt;AR73*1000000+SUM(T73,AL73)*10000+SUM(N73,AF73)*100+SUM(H73,Z73)+0.006,1,0)+IF(AT73*1000000+SUM(V73,AN73)*10000+SUM(P73,AH73)*100+SUM(J73,AB73)+0.004&gt;AR73*1000000+SUM(T73,AL73)*10000+SUM(N73,AF73)*100+SUM(H73,Z73)+0.006,1,0)+IF(AU73*1000000+SUM(W73,AO73)*10000+SUM(Q73,AI73)*100+SUM(K73,AC73)+0.003&gt;AR73*1000000+SUM(T73,AL73)*10000+SUM(N73,AF73)*100+SUM(H73,Z73)+0.006,1,0)+IF(AV73*1000000+SUM(X73,AP73)*10000+SUM(R73,AJ73)*100+SUM(L73,AD73)+0.002&gt;AR73*1000000+SUM(T73,AL73)*10000+SUM(N73,AF73)*100+SUM(H73,Z73)+0.006,1,0)+IF(AW73*1000000+SUM(Y73,AQ73)*10000+SUM(S73,AK73)*100+SUM(M73,AE73)+0.001&gt;AR73*1000000+SUM(T73,AL73)*10000+SUM(N73,AF73)*100+SUM(H73,Z73)+0.006,1,0)=1,"R",IF(IF(AR73*1000000+SUM(T73,AL73)*10000+SUM(N73,AF73)*100+SUM(H73,Z73)+0.006&gt;AS73*1000000+SUM(U73,AM73)*10000+SUM(O73,AG73)*100+SUM(I73,AA73)+0.005,1,0)+IF(AT73*1000000+SUM(V73,AN73)*10000+SUM(P73,AH73)*100+SUM(J73,AB73)+0.004&gt;AS73*1000000+SUM(U73,AM73)*10000+SUM(O73,AG73)*100+SUM(I73,AA73)+0.005,1,0)+IF(AU73*1000000+SUM(W73,AO73)*10000+SUM(Q73,AI73)*100+SUM(K73,AC73)+0.003&gt;AS73*1000000+SUM(U73,AM73)*10000+SUM(O73,AG73)*100+SUM(I73,AA73)+0.005,1,0)+IF(AV73*1000000+SUM(X73,AP73)*10000+SUM(R73,AJ73)*100+SUM(L73,AD73)+0.002&gt;AS73*1000000+SUM(U73,AM73)*10000+SUM(O73,AG73)*100+SUM(I73,AA73)+0.005,1,0)+IF(AW73*1000000+SUM(Y73,AQ73)*10000+SUM(S73,AK73)*100+SUM(M73,AE73)+0.001&gt;AS73*1000000+SUM(U73,AM73)*10000+SUM(O73,AG73)*100+SUM(I73,AA73)+0.005,1,0)=1,"I",IF(IF(AR73*1000000+SUM(T73,AL73)*10000+SUM(N73,AF73)*100+SUM(H73,Z73)+0.006&gt;AT73*1000000+SUM(V73,AN73)*10000+SUM(P73,AH73)*100+SUM(J73,AB73)+0.004,1,0)+IF(AS73*1000000+SUM(U73,AM73)*10000+SUM(O73,AG73)*100+SUM(I73,AA73)+0.005&gt;AT73*1000000+SUM(V73,AN73)*10000+SUM(P73,AH73)*100+SUM(J73,AB73)+0.004,1,0)+IF(AU73*1000000+SUM(W73,AO73)*10000+SUM(Q73,AI73)*100+SUM(K73,AC73)+0.003&gt;AT73*1000000+SUM(V73,AN73)*10000+SUM(P73,AH73)*100+SUM(J73,AB73)+0.004,1,0)+IF(AV73*1000000+SUM(X73,AP73)*10000+SUM(R73,AJ73)*100+SUM(L73,AD73)+0.002&gt;AT73*1000000+SUM(V73,AN73)*10000+SUM(P73,AH73)*100+SUM(J73,AB73)+0.004,1,0)+IF(AW73*1000000+SUM(Y73,AQ73)*10000+SUM(S73,AK73)*100+SUM(M73,AE73)+0.001&gt;AT73*1000000+SUM(V73,AN73)*10000+SUM(P73,AH73)*100+SUM(J73,AB73)+0.004,1,0)=1,"A",IF(IF(AR73*1000000+SUM(T73,AL73)*10000+SUM(N73,AF73)*100+SUM(H73,Z73)+0.006&gt;AU73*1000000+SUM(W73,AO73)*10000+SUM(Q73,AI73)*100+SUM(K73,AC73)+0.003,1,0)+IF(AS73*1000000+SUM(U73,AM73)*10000+SUM(O73,AG73)*100+SUM(I73,AA73)+0.005&gt;AU73*1000000+SUM(W73,AO73)*10000+SUM(Q73,AI73)*100+SUM(K73,AC73)+0.003,1,0)+IF(AT73*1000000+SUM(V73,AN73)*10000+SUM(P73,AH73)*100+SUM(J73,AB73)+0.004&gt;AU73*1000000+SUM(W73,AO73)*10000+SUM(Q73,AI73)*100+SUM(K73,AC73)+0.003,1,0)+IF(AV73*1000000+SUM(X73,AP73)*10000+SUM(R73,AJ73)*100+SUM(L73,AD73)+0.002&gt;AU73*1000000+SUM(W73,AO73)*10000+SUM(Q73,AI73)*100+SUM(K73,AC73)+0.003,1,0)+IF(AW73*1000000+SUM(Y73,AQ73)*10000+SUM(S73,AK73)*100+SUM(M73,AE73)+0.001&gt;AU73*1000000+SUM(W73,AO73)*10000+SUM(Q73,AI73)*100+SUM(K73,AC73)+0.003,1,0)=1,"S",IF(IF(AR73*1000000+SUM(T73,AL73)*10000+SUM(N73,AF73)*100+SUM(H73,Z73)+0.006&gt;AV73*1000000+SUM(X73,AP73)*10000+SUM(R73,AJ73)*100+SUM(L73,AD73)+0.002,1,0)+IF(AS73*1000000+SUM(U73,AM73)*10000+SUM(O73,AG73)*100+SUM(I73,AA73)+0.005&gt;AV73*1000000+SUM(X73,AP73)*10000+SUM(R73,AJ73)*100+SUM(L73,AD73)+0.002,1,0)+IF(AT73*1000000+SUM(V73,AN73)*10000+SUM(P73,AH73)*100+SUM(J73,AB73)+0.004&gt;AV73*1000000+SUM(X73,AP73)*10000+SUM(R73,AJ73)*100+SUM(L73,AD73)+0.002,1,0)+IF(AU73*1000000+SUM(W73,AO73)*10000+SUM(Q73,AI73)*100+SUM(K73,AC73)+0.003&gt;AV73*1000000+SUM(X73,AP73)*10000+SUM(R73,AJ73)*100+SUM(L73,AD73)+0.002,1,0)+IF(AW73*1000000+SUM(Y73,AQ73)*10000+SUM(S73,AK73)*100+SUM(M73,AE73)+0.001&gt;AV73*1000000+SUM(X73,AP73)*10000+SUM(R73,AJ73)*100+SUM(L73,AD73)+0.002,1,0)=1,"E",IF(IF(AR73*1000000+SUM(T73,AL73)*10000+SUM(N73,AF73)*100+SUM(H73,Z73)+0.006&gt;AW73*1000000+SUM(Y73,AQ73)*10000+SUM(S73,AK73)*100+SUM(M73,AE73)+0.001,1,0)+IF(AS73*1000000+SUM(U73,AM73)*10000+SUM(O73,AG73)*100+SUM(I73,AA73)+0.005&gt;AW73*1000000+SUM(Y73,AQ73)*10000+SUM(S73,AK73)*100+SUM(M73,AE73)+0.001,1,0)+IF(AT73*1000000+SUM(V73,AN73)*10000+SUM(P73,AH73)*100+SUM(J73,AB73)+0.004&gt;AW73*1000000+SUM(Y73,AQ73)*10000+SUM(S73,AK73)*100+SUM(M73,AE73)+0.001,1,0)+IF(AU73*1000000+SUM(W73,AO73)*10000+SUM(Q73,AI73)*100+SUM(K73,AC73)+0.003&gt;AW73*1000000+SUM(Y73,AQ73)*10000+SUM(S73,AK73)*100+SUM(M73,AE73)+0.001,1,0)+IF(AV73*1000000+SUM(X73,AP73)*10000+SUM(R73,AJ73)*100+SUM(L73,AD73)+0.002&gt;AW73*1000000+SUM(Y73,AQ73)*10000+SUM(S73,AK73)*100+SUM(M73,AE73)+0.001,1,0)=1,"C",""))))))&amp;IF(IF(AS73*1000000+SUM(U73,AM73)*10000+SUM(O73,AG73)*100+SUM(I73,AA73)+0.005&gt;AR73*1000000+SUM(T73,AL73)*10000+SUM(N73,AF73)*100+SUM(H73,Z73)+0.006,1,0)+IF(AT73*1000000+SUM(V73,AN73)*10000+SUM(P73,AH73)*100+SUM(J73,AB73)+0.004&gt;AR73*1000000+SUM(T73,AL73)*10000+SUM(N73,AF73)*100+SUM(H73,Z73)+0.006,1,0)+IF(AU73*1000000+SUM(W73,AO73)*10000+SUM(Q73,AI73)*100+SUM(K73,AC73)+0.003&gt;AR73*1000000+SUM(T73,AL73)*10000+SUM(N73,AF73)*100+SUM(H73,Z73)+0.006,1,0)+IF(AV73*1000000+SUM(X73,AP73)*10000+SUM(R73,AJ73)*100+SUM(L73,AD73)+0.002&gt;AR73*1000000+SUM(T73,AL73)*10000+SUM(N73,AF73)*100+SUM(H73,Z73)+0.006,1,0)+IF(AW73*1000000+SUM(Y73,AQ73)*10000+SUM(S73,AK73)*100+SUM(M73,AE73)+0.001&gt;AR73*1000000+SUM(T73,AL73)*10000+SUM(N73,AF73)*100+SUM(H73,Z73)+0.006,1,0)=2,"R",IF(IF(AR73*1000000+SUM(T73,AL73)*10000+SUM(N73,AF73)*100+SUM(H73,Z73)+0.006&gt;AS73*1000000+SUM(U73,AM73)*10000+SUM(O73,AG73)*100+SUM(I73,AA73)+0.005,1,0)+IF(AT73*1000000+SUM(V73,AN73)*10000+SUM(P73,AH73)*100+SUM(J73,AB73)+0.004&gt;AS73*1000000+SUM(U73,AM73)*10000+SUM(O73,AG73)*100+SUM(I73,AA73)+0.005,1,0)+IF(AU73*1000000+SUM(W73,AO73)*10000+SUM(Q73,AI73)*100+SUM(K73,AC73)+0.003&gt;AS73*1000000+SUM(U73,AM73)*10000+SUM(O73,AG73)*100+SUM(I73,AA73)+0.005,1,0)+IF(AV73*1000000+SUM(X73,AP73)*10000+SUM(R73,AJ73)*100+SUM(L73,AD73)+0.002&gt;AS73*1000000+SUM(U73,AM73)*10000+SUM(O73,AG73)*100+SUM(I73,AA73)+0.005,1,0)+IF(AW73*1000000+SUM(Y73,AQ73)*10000+SUM(S73,AK73)*100+SUM(M73,AE73)+0.001&gt;AS73*1000000+SUM(U73,AM73)*10000+SUM(O73,AG73)*100+SUM(I73,AA73)+0.005,1,0)=2,"I",IF(IF(AR73*1000000+SUM(T73,AL73)*10000+SUM(N73,AF73)*100+SUM(H73,Z73)+0.006&gt;AT73*1000000+SUM(V73,AN73)*10000+SUM(P73,AH73)*100+SUM(J73,AB73)+0.004,1,0)+IF(AS73*1000000+SUM(U73,AM73)*10000+SUM(O73,AG73)*100+SUM(I73,AA73)+0.005&gt;AT73*1000000+SUM(V73,AN73)*10000+SUM(P73,AH73)*100+SUM(J73,AB73)+0.004,1,0)+IF(AU73*1000000+SUM(W73,AO73)*10000+SUM(Q73,AI73)*100+SUM(K73,AC73)+0.003&gt;AT73*1000000+SUM(V73,AN73)*10000+SUM(P73,AH73)*100+SUM(J73,AB73)+0.004,1,0)+IF(AV73*1000000+SUM(X73,AP73)*10000+SUM(R73,AJ73)*100+SUM(L73,AD73)+0.002&gt;AT73*1000000+SUM(V73,AN73)*10000+SUM(P73,AH73)*100+SUM(J73,AB73)+0.004,1,0)+IF(AW73*1000000+SUM(Y73,AQ73)*10000+SUM(S73,AK73)*100+SUM(M73,AE73)+0.001&gt;AT73*1000000+SUM(V73,AN73)*10000+SUM(P73,AH73)*100+SUM(J73,AB73)+0.004,1,0)=2,"A",IF(IF(AR73*1000000+SUM(T73,AL73)*10000+SUM(N73,AF73)*100+SUM(H73,Z73)+0.006&gt;AU73*1000000+SUM(W73,AO73)*10000+SUM(Q73,AI73)*100+SUM(K73,AC73)+0.003,1,0)+IF(AS73*1000000+SUM(U73,AM73)*10000+SUM(O73,AG73)*100+SUM(I73,AA73)+0.005&gt;AU73*1000000+SUM(W73,AO73)*10000+SUM(Q73,AI73)*100+SUM(K73,AC73)+0.003,1,0)+IF(AT73*1000000+SUM(V73,AN73)*10000+SUM(P73,AH73)*100+SUM(J73,AB73)+0.004&gt;AU73*1000000+SUM(W73,AO73)*10000+SUM(Q73,AI73)*100+SUM(K73,AC73)+0.003,1,0)+IF(AV73*1000000+SUM(X73,AP73)*10000+SUM(R73,AJ73)*100+SUM(L73,AD73)+0.002&gt;AU73*1000000+SUM(W73,AO73)*10000+SUM(Q73,AI73)*100+SUM(K73,AC73)+0.003,1,0)+IF(AW73*1000000+SUM(Y73,AQ73)*10000+SUM(S73,AK73)*100+SUM(M73,AE73)+0.001&gt;AU73*1000000+SUM(W73,AO73)*10000+SUM(Q73,AI73)*100+SUM(K73,AC73)+0.003,1,0)=2,"S",IF(IF(AR73*1000000+SUM(T73,AL73)*10000+SUM(N73,AF73)*100+SUM(H73,Z73)+0.006&gt;AV73*1000000+SUM(X73,AP73)*10000+SUM(R73,AJ73)*100+SUM(L73,AD73)+0.002,1,0)+IF(AS73*1000000+SUM(U73,AM73)*10000+SUM(O73,AG73)*100+SUM(I73,AA73)+0.005&gt;AV73*1000000+SUM(X73,AP73)*10000+SUM(R73,AJ73)*100+SUM(L73,AD73)+0.002,1,0)+IF(AT73*1000000+SUM(V73,AN73)*10000+SUM(P73,AH73)*100+SUM(J73,AB73)+0.004&gt;AV73*1000000+SUM(X73,AP73)*10000+SUM(R73,AJ73)*100+SUM(L73,AD73)+0.002,1,0)+IF(AU73*1000000+SUM(W73,AO73)*10000+SUM(Q73,AI73)*100+SUM(K73,AC73)+0.003&gt;AV73*1000000+SUM(X73,AP73)*10000+SUM(R73,AJ73)*100+SUM(L73,AD73)+0.002,1,0)+IF(AW73*1000000+SUM(Y73,AQ73)*10000+SUM(S73,AK73)*100+SUM(M73,AE73)+0.001&gt;AV73*1000000+SUM(X73,AP73)*10000+SUM(R73,AJ73)*100+SUM(L73,AD73)+0.002,1,0)=2,"E",IF(IF(AR73*1000000+SUM(T73,AL73)*10000+SUM(N73,AF73)*100+SUM(H73,Z73)+0.006&gt;AW73*1000000+SUM(Y73,AQ73)*10000+SUM(S73,AK73)*100+SUM(M73,AE73)+0.001,1,0)+IF(AS73*1000000+SUM(U73,AM73)*10000+SUM(O73,AG73)*100+SUM(I73,AA73)+0.005&gt;AW73*1000000+SUM(Y73,AQ73)*10000+SUM(S73,AK73)*100+SUM(M73,AE73)+0.001,1,0)+IF(AT73*1000000+SUM(V73,AN73)*10000+SUM(P73,AH73)*100+SUM(J73,AB73)+0.004&gt;AW73*1000000+SUM(Y73,AQ73)*10000+SUM(S73,AK73)*100+SUM(M73,AE73)+0.001,1,0)+IF(AU73*1000000+SUM(W73,AO73)*10000+SUM(Q73,AI73)*100+SUM(K73,AC73)+0.003&gt;AW73*1000000+SUM(Y73,AQ73)*10000+SUM(S73,AK73)*100+SUM(M73,AE73)+0.001,1,0)+IF(AV73*1000000+SUM(X73,AP73)*10000+SUM(R73,AJ73)*100+SUM(L73,AD73)+0.002&gt;AW73*1000000+SUM(Y73,AQ73)*10000+SUM(S73,AK73)*100+SUM(M73,AE73)+0.001,1,0)=2,"C","")))))))</x:f>
      </x:c>
      <x:c r="AY73" s="27" t="str">
        <x:f>IF(C73="","",IF(LEFT(AX73,1)="R","นักปฏิบัติ",IF(LEFT(AX73,1)="I","นักคิดวิเคราะห์",IF(LEFT(AX73,1)="A","นักสร้างสรรค์",IF(LEFT(AX73,1)="S","ผู้เข้าใจผู้คน",IF(LEFT(AX73,1)="E","ผู้นำการเปลี่ยนแปลง","ผู้จัดระบบ"))))))</x:f>
      </x:c>
    </x:row>
    <x:row r="74">
      <x:c r="A74" s="27"/>
      <x:c r="B74" s="28"/>
      <x:c r="C74" s="27"/>
      <x:c r="D74" s="27"/>
      <x:c r="E74" s="27"/>
      <x:c r="F74" s="27"/>
      <x:c r="G74" s="27"/>
      <x:c r="H74" s="27"/>
      <x:c r="I74" s="27"/>
      <x:c r="J74" s="27"/>
      <x:c r="K74" s="27"/>
      <x:c r="L74" s="27"/>
      <x:c r="M74" s="27"/>
      <x:c r="N74" s="27"/>
      <x:c r="O74" s="27"/>
      <x:c r="P74" s="27"/>
      <x:c r="Q74" s="27"/>
      <x:c r="R74" s="27"/>
      <x:c r="S74" s="27"/>
      <x:c r="T74" s="27"/>
      <x:c r="U74" s="27"/>
      <x:c r="V74" s="27"/>
      <x:c r="W74" s="27"/>
      <x:c r="X74" s="27"/>
      <x:c r="Y74" s="27"/>
      <x:c r="Z74" s="27"/>
      <x:c r="AA74" s="27"/>
      <x:c r="AB74" s="27"/>
      <x:c r="AC74" s="27"/>
      <x:c r="AD74" s="27"/>
      <x:c r="AE74" s="27"/>
      <x:c r="AF74" s="27"/>
      <x:c r="AG74" s="27"/>
      <x:c r="AH74" s="27"/>
      <x:c r="AI74" s="27"/>
      <x:c r="AJ74" s="27"/>
      <x:c r="AK74" s="27"/>
      <x:c r="AL74" s="27"/>
      <x:c r="AM74" s="27"/>
      <x:c r="AN74" s="27"/>
      <x:c r="AO74" s="27"/>
      <x:c r="AP74" s="27"/>
      <x:c r="AQ74" s="27"/>
      <x:c r="AR74" s="27" t="str">
        <x:f>IF(C74="","",SUM(H74,N74,T74,Z74,AF74,AL74))</x:f>
      </x:c>
      <x:c r="AS74" s="27" t="str">
        <x:f>IF(C74="","",SUM(I74,O74,U74,AA74,AG74,AM74))</x:f>
      </x:c>
      <x:c r="AT74" s="27" t="str">
        <x:f>IF(C74="","",SUM(J74,P74,V74,AB74,AH74,AN74))</x:f>
      </x:c>
      <x:c r="AU74" s="27" t="str">
        <x:f>IF(C74="","",SUM(K74,Q74,W74,AC74,AI74,AO74))</x:f>
      </x:c>
      <x:c r="AV74" s="27" t="str">
        <x:f>IF(C74="","",SUM(L74,R74,X74,AD74,AJ74,AP74))</x:f>
      </x:c>
      <x:c r="AW74" s="27" t="str">
        <x:f>IF(C74="","",SUM(M74,S74,Y74,AE74,AK74,AQ74))</x:f>
      </x:c>
      <x:c r="AX74" s="27" t="str">
        <x:f>IF(C74="","",IF(IF(AS74*1000000+SUM(U74,AM74)*10000+SUM(O74,AG74)*100+SUM(I74,AA74)+0.005&gt;AR74*1000000+SUM(T74,AL74)*10000+SUM(N74,AF74)*100+SUM(H74,Z74)+0.006,1,0)+IF(AT74*1000000+SUM(V74,AN74)*10000+SUM(P74,AH74)*100+SUM(J74,AB74)+0.004&gt;AR74*1000000+SUM(T74,AL74)*10000+SUM(N74,AF74)*100+SUM(H74,Z74)+0.006,1,0)+IF(AU74*1000000+SUM(W74,AO74)*10000+SUM(Q74,AI74)*100+SUM(K74,AC74)+0.003&gt;AR74*1000000+SUM(T74,AL74)*10000+SUM(N74,AF74)*100+SUM(H74,Z74)+0.006,1,0)+IF(AV74*1000000+SUM(X74,AP74)*10000+SUM(R74,AJ74)*100+SUM(L74,AD74)+0.002&gt;AR74*1000000+SUM(T74,AL74)*10000+SUM(N74,AF74)*100+SUM(H74,Z74)+0.006,1,0)+IF(AW74*1000000+SUM(Y74,AQ74)*10000+SUM(S74,AK74)*100+SUM(M74,AE74)+0.001&gt;AR74*1000000+SUM(T74,AL74)*10000+SUM(N74,AF74)*100+SUM(H74,Z74)+0.006,1,0)=0,"R",IF(IF(AR74*1000000+SUM(T74,AL74)*10000+SUM(N74,AF74)*100+SUM(H74,Z74)+0.006&gt;AS74*1000000+SUM(U74,AM74)*10000+SUM(O74,AG74)*100+SUM(I74,AA74)+0.005,1,0)+IF(AT74*1000000+SUM(V74,AN74)*10000+SUM(P74,AH74)*100+SUM(J74,AB74)+0.004&gt;AS74*1000000+SUM(U74,AM74)*10000+SUM(O74,AG74)*100+SUM(I74,AA74)+0.005,1,0)+IF(AU74*1000000+SUM(W74,AO74)*10000+SUM(Q74,AI74)*100+SUM(K74,AC74)+0.003&gt;AS74*1000000+SUM(U74,AM74)*10000+SUM(O74,AG74)*100+SUM(I74,AA74)+0.005,1,0)+IF(AV74*1000000+SUM(X74,AP74)*10000+SUM(R74,AJ74)*100+SUM(L74,AD74)+0.002&gt;AS74*1000000+SUM(U74,AM74)*10000+SUM(O74,AG74)*100+SUM(I74,AA74)+0.005,1,0)+IF(AW74*1000000+SUM(Y74,AQ74)*10000+SUM(S74,AK74)*100+SUM(M74,AE74)+0.001&gt;AS74*1000000+SUM(U74,AM74)*10000+SUM(O74,AG74)*100+SUM(I74,AA74)+0.005,1,0)=0,"I",IF(IF(AR74*1000000+SUM(T74,AL74)*10000+SUM(N74,AF74)*100+SUM(H74,Z74)+0.006&gt;AT74*1000000+SUM(V74,AN74)*10000+SUM(P74,AH74)*100+SUM(J74,AB74)+0.004,1,0)+IF(AS74*1000000+SUM(U74,AM74)*10000+SUM(O74,AG74)*100+SUM(I74,AA74)+0.005&gt;AT74*1000000+SUM(V74,AN74)*10000+SUM(P74,AH74)*100+SUM(J74,AB74)+0.004,1,0)+IF(AU74*1000000+SUM(W74,AO74)*10000+SUM(Q74,AI74)*100+SUM(K74,AC74)+0.003&gt;AT74*1000000+SUM(V74,AN74)*10000+SUM(P74,AH74)*100+SUM(J74,AB74)+0.004,1,0)+IF(AV74*1000000+SUM(X74,AP74)*10000+SUM(R74,AJ74)*100+SUM(L74,AD74)+0.002&gt;AT74*1000000+SUM(V74,AN74)*10000+SUM(P74,AH74)*100+SUM(J74,AB74)+0.004,1,0)+IF(AW74*1000000+SUM(Y74,AQ74)*10000+SUM(S74,AK74)*100+SUM(M74,AE74)+0.001&gt;AT74*1000000+SUM(V74,AN74)*10000+SUM(P74,AH74)*100+SUM(J74,AB74)+0.004,1,0)=0,"A",IF(IF(AR74*1000000+SUM(T74,AL74)*10000+SUM(N74,AF74)*100+SUM(H74,Z74)+0.006&gt;AU74*1000000+SUM(W74,AO74)*10000+SUM(Q74,AI74)*100+SUM(K74,AC74)+0.003,1,0)+IF(AS74*1000000+SUM(U74,AM74)*10000+SUM(O74,AG74)*100+SUM(I74,AA74)+0.005&gt;AU74*1000000+SUM(W74,AO74)*10000+SUM(Q74,AI74)*100+SUM(K74,AC74)+0.003,1,0)+IF(AT74*1000000+SUM(V74,AN74)*10000+SUM(P74,AH74)*100+SUM(J74,AB74)+0.004&gt;AU74*1000000+SUM(W74,AO74)*10000+SUM(Q74,AI74)*100+SUM(K74,AC74)+0.003,1,0)+IF(AV74*1000000+SUM(X74,AP74)*10000+SUM(R74,AJ74)*100+SUM(L74,AD74)+0.002&gt;AU74*1000000+SUM(W74,AO74)*10000+SUM(Q74,AI74)*100+SUM(K74,AC74)+0.003,1,0)+IF(AW74*1000000+SUM(Y74,AQ74)*10000+SUM(S74,AK74)*100+SUM(M74,AE74)+0.001&gt;AU74*1000000+SUM(W74,AO74)*10000+SUM(Q74,AI74)*100+SUM(K74,AC74)+0.003,1,0)=0,"S",IF(IF(AR74*1000000+SUM(T74,AL74)*10000+SUM(N74,AF74)*100+SUM(H74,Z74)+0.006&gt;AV74*1000000+SUM(X74,AP74)*10000+SUM(R74,AJ74)*100+SUM(L74,AD74)+0.002,1,0)+IF(AS74*1000000+SUM(U74,AM74)*10000+SUM(O74,AG74)*100+SUM(I74,AA74)+0.005&gt;AV74*1000000+SUM(X74,AP74)*10000+SUM(R74,AJ74)*100+SUM(L74,AD74)+0.002,1,0)+IF(AT74*1000000+SUM(V74,AN74)*10000+SUM(P74,AH74)*100+SUM(J74,AB74)+0.004&gt;AV74*1000000+SUM(X74,AP74)*10000+SUM(R74,AJ74)*100+SUM(L74,AD74)+0.002,1,0)+IF(AU74*1000000+SUM(W74,AO74)*10000+SUM(Q74,AI74)*100+SUM(K74,AC74)+0.003&gt;AV74*1000000+SUM(X74,AP74)*10000+SUM(R74,AJ74)*100+SUM(L74,AD74)+0.002,1,0)+IF(AW74*1000000+SUM(Y74,AQ74)*10000+SUM(S74,AK74)*100+SUM(M74,AE74)+0.001&gt;AV74*1000000+SUM(X74,AP74)*10000+SUM(R74,AJ74)*100+SUM(L74,AD74)+0.002,1,0)=0,"E",IF(IF(AR74*1000000+SUM(T74,AL74)*10000+SUM(N74,AF74)*100+SUM(H74,Z74)+0.006&gt;AW74*1000000+SUM(Y74,AQ74)*10000+SUM(S74,AK74)*100+SUM(M74,AE74)+0.001,1,0)+IF(AS74*1000000+SUM(U74,AM74)*10000+SUM(O74,AG74)*100+SUM(I74,AA74)+0.005&gt;AW74*1000000+SUM(Y74,AQ74)*10000+SUM(S74,AK74)*100+SUM(M74,AE74)+0.001,1,0)+IF(AT74*1000000+SUM(V74,AN74)*10000+SUM(P74,AH74)*100+SUM(J74,AB74)+0.004&gt;AW74*1000000+SUM(Y74,AQ74)*10000+SUM(S74,AK74)*100+SUM(M74,AE74)+0.001,1,0)+IF(AU74*1000000+SUM(W74,AO74)*10000+SUM(Q74,AI74)*100+SUM(K74,AC74)+0.003&gt;AW74*1000000+SUM(Y74,AQ74)*10000+SUM(S74,AK74)*100+SUM(M74,AE74)+0.001,1,0)+IF(AV74*1000000+SUM(X74,AP74)*10000+SUM(R74,AJ74)*100+SUM(L74,AD74)+0.002&gt;AW74*1000000+SUM(Y74,AQ74)*10000+SUM(S74,AK74)*100+SUM(M74,AE74)+0.001,1,0)=0,"C",""))))))&amp;IF(IF(AS74*1000000+SUM(U74,AM74)*10000+SUM(O74,AG74)*100+SUM(I74,AA74)+0.005&gt;AR74*1000000+SUM(T74,AL74)*10000+SUM(N74,AF74)*100+SUM(H74,Z74)+0.006,1,0)+IF(AT74*1000000+SUM(V74,AN74)*10000+SUM(P74,AH74)*100+SUM(J74,AB74)+0.004&gt;AR74*1000000+SUM(T74,AL74)*10000+SUM(N74,AF74)*100+SUM(H74,Z74)+0.006,1,0)+IF(AU74*1000000+SUM(W74,AO74)*10000+SUM(Q74,AI74)*100+SUM(K74,AC74)+0.003&gt;AR74*1000000+SUM(T74,AL74)*10000+SUM(N74,AF74)*100+SUM(H74,Z74)+0.006,1,0)+IF(AV74*1000000+SUM(X74,AP74)*10000+SUM(R74,AJ74)*100+SUM(L74,AD74)+0.002&gt;AR74*1000000+SUM(T74,AL74)*10000+SUM(N74,AF74)*100+SUM(H74,Z74)+0.006,1,0)+IF(AW74*1000000+SUM(Y74,AQ74)*10000+SUM(S74,AK74)*100+SUM(M74,AE74)+0.001&gt;AR74*1000000+SUM(T74,AL74)*10000+SUM(N74,AF74)*100+SUM(H74,Z74)+0.006,1,0)=1,"R",IF(IF(AR74*1000000+SUM(T74,AL74)*10000+SUM(N74,AF74)*100+SUM(H74,Z74)+0.006&gt;AS74*1000000+SUM(U74,AM74)*10000+SUM(O74,AG74)*100+SUM(I74,AA74)+0.005,1,0)+IF(AT74*1000000+SUM(V74,AN74)*10000+SUM(P74,AH74)*100+SUM(J74,AB74)+0.004&gt;AS74*1000000+SUM(U74,AM74)*10000+SUM(O74,AG74)*100+SUM(I74,AA74)+0.005,1,0)+IF(AU74*1000000+SUM(W74,AO74)*10000+SUM(Q74,AI74)*100+SUM(K74,AC74)+0.003&gt;AS74*1000000+SUM(U74,AM74)*10000+SUM(O74,AG74)*100+SUM(I74,AA74)+0.005,1,0)+IF(AV74*1000000+SUM(X74,AP74)*10000+SUM(R74,AJ74)*100+SUM(L74,AD74)+0.002&gt;AS74*1000000+SUM(U74,AM74)*10000+SUM(O74,AG74)*100+SUM(I74,AA74)+0.005,1,0)+IF(AW74*1000000+SUM(Y74,AQ74)*10000+SUM(S74,AK74)*100+SUM(M74,AE74)+0.001&gt;AS74*1000000+SUM(U74,AM74)*10000+SUM(O74,AG74)*100+SUM(I74,AA74)+0.005,1,0)=1,"I",IF(IF(AR74*1000000+SUM(T74,AL74)*10000+SUM(N74,AF74)*100+SUM(H74,Z74)+0.006&gt;AT74*1000000+SUM(V74,AN74)*10000+SUM(P74,AH74)*100+SUM(J74,AB74)+0.004,1,0)+IF(AS74*1000000+SUM(U74,AM74)*10000+SUM(O74,AG74)*100+SUM(I74,AA74)+0.005&gt;AT74*1000000+SUM(V74,AN74)*10000+SUM(P74,AH74)*100+SUM(J74,AB74)+0.004,1,0)+IF(AU74*1000000+SUM(W74,AO74)*10000+SUM(Q74,AI74)*100+SUM(K74,AC74)+0.003&gt;AT74*1000000+SUM(V74,AN74)*10000+SUM(P74,AH74)*100+SUM(J74,AB74)+0.004,1,0)+IF(AV74*1000000+SUM(X74,AP74)*10000+SUM(R74,AJ74)*100+SUM(L74,AD74)+0.002&gt;AT74*1000000+SUM(V74,AN74)*10000+SUM(P74,AH74)*100+SUM(J74,AB74)+0.004,1,0)+IF(AW74*1000000+SUM(Y74,AQ74)*10000+SUM(S74,AK74)*100+SUM(M74,AE74)+0.001&gt;AT74*1000000+SUM(V74,AN74)*10000+SUM(P74,AH74)*100+SUM(J74,AB74)+0.004,1,0)=1,"A",IF(IF(AR74*1000000+SUM(T74,AL74)*10000+SUM(N74,AF74)*100+SUM(H74,Z74)+0.006&gt;AU74*1000000+SUM(W74,AO74)*10000+SUM(Q74,AI74)*100+SUM(K74,AC74)+0.003,1,0)+IF(AS74*1000000+SUM(U74,AM74)*10000+SUM(O74,AG74)*100+SUM(I74,AA74)+0.005&gt;AU74*1000000+SUM(W74,AO74)*10000+SUM(Q74,AI74)*100+SUM(K74,AC74)+0.003,1,0)+IF(AT74*1000000+SUM(V74,AN74)*10000+SUM(P74,AH74)*100+SUM(J74,AB74)+0.004&gt;AU74*1000000+SUM(W74,AO74)*10000+SUM(Q74,AI74)*100+SUM(K74,AC74)+0.003,1,0)+IF(AV74*1000000+SUM(X74,AP74)*10000+SUM(R74,AJ74)*100+SUM(L74,AD74)+0.002&gt;AU74*1000000+SUM(W74,AO74)*10000+SUM(Q74,AI74)*100+SUM(K74,AC74)+0.003,1,0)+IF(AW74*1000000+SUM(Y74,AQ74)*10000+SUM(S74,AK74)*100+SUM(M74,AE74)+0.001&gt;AU74*1000000+SUM(W74,AO74)*10000+SUM(Q74,AI74)*100+SUM(K74,AC74)+0.003,1,0)=1,"S",IF(IF(AR74*1000000+SUM(T74,AL74)*10000+SUM(N74,AF74)*100+SUM(H74,Z74)+0.006&gt;AV74*1000000+SUM(X74,AP74)*10000+SUM(R74,AJ74)*100+SUM(L74,AD74)+0.002,1,0)+IF(AS74*1000000+SUM(U74,AM74)*10000+SUM(O74,AG74)*100+SUM(I74,AA74)+0.005&gt;AV74*1000000+SUM(X74,AP74)*10000+SUM(R74,AJ74)*100+SUM(L74,AD74)+0.002,1,0)+IF(AT74*1000000+SUM(V74,AN74)*10000+SUM(P74,AH74)*100+SUM(J74,AB74)+0.004&gt;AV74*1000000+SUM(X74,AP74)*10000+SUM(R74,AJ74)*100+SUM(L74,AD74)+0.002,1,0)+IF(AU74*1000000+SUM(W74,AO74)*10000+SUM(Q74,AI74)*100+SUM(K74,AC74)+0.003&gt;AV74*1000000+SUM(X74,AP74)*10000+SUM(R74,AJ74)*100+SUM(L74,AD74)+0.002,1,0)+IF(AW74*1000000+SUM(Y74,AQ74)*10000+SUM(S74,AK74)*100+SUM(M74,AE74)+0.001&gt;AV74*1000000+SUM(X74,AP74)*10000+SUM(R74,AJ74)*100+SUM(L74,AD74)+0.002,1,0)=1,"E",IF(IF(AR74*1000000+SUM(T74,AL74)*10000+SUM(N74,AF74)*100+SUM(H74,Z74)+0.006&gt;AW74*1000000+SUM(Y74,AQ74)*10000+SUM(S74,AK74)*100+SUM(M74,AE74)+0.001,1,0)+IF(AS74*1000000+SUM(U74,AM74)*10000+SUM(O74,AG74)*100+SUM(I74,AA74)+0.005&gt;AW74*1000000+SUM(Y74,AQ74)*10000+SUM(S74,AK74)*100+SUM(M74,AE74)+0.001,1,0)+IF(AT74*1000000+SUM(V74,AN74)*10000+SUM(P74,AH74)*100+SUM(J74,AB74)+0.004&gt;AW74*1000000+SUM(Y74,AQ74)*10000+SUM(S74,AK74)*100+SUM(M74,AE74)+0.001,1,0)+IF(AU74*1000000+SUM(W74,AO74)*10000+SUM(Q74,AI74)*100+SUM(K74,AC74)+0.003&gt;AW74*1000000+SUM(Y74,AQ74)*10000+SUM(S74,AK74)*100+SUM(M74,AE74)+0.001,1,0)+IF(AV74*1000000+SUM(X74,AP74)*10000+SUM(R74,AJ74)*100+SUM(L74,AD74)+0.002&gt;AW74*1000000+SUM(Y74,AQ74)*10000+SUM(S74,AK74)*100+SUM(M74,AE74)+0.001,1,0)=1,"C",""))))))&amp;IF(IF(AS74*1000000+SUM(U74,AM74)*10000+SUM(O74,AG74)*100+SUM(I74,AA74)+0.005&gt;AR74*1000000+SUM(T74,AL74)*10000+SUM(N74,AF74)*100+SUM(H74,Z74)+0.006,1,0)+IF(AT74*1000000+SUM(V74,AN74)*10000+SUM(P74,AH74)*100+SUM(J74,AB74)+0.004&gt;AR74*1000000+SUM(T74,AL74)*10000+SUM(N74,AF74)*100+SUM(H74,Z74)+0.006,1,0)+IF(AU74*1000000+SUM(W74,AO74)*10000+SUM(Q74,AI74)*100+SUM(K74,AC74)+0.003&gt;AR74*1000000+SUM(T74,AL74)*10000+SUM(N74,AF74)*100+SUM(H74,Z74)+0.006,1,0)+IF(AV74*1000000+SUM(X74,AP74)*10000+SUM(R74,AJ74)*100+SUM(L74,AD74)+0.002&gt;AR74*1000000+SUM(T74,AL74)*10000+SUM(N74,AF74)*100+SUM(H74,Z74)+0.006,1,0)+IF(AW74*1000000+SUM(Y74,AQ74)*10000+SUM(S74,AK74)*100+SUM(M74,AE74)+0.001&gt;AR74*1000000+SUM(T74,AL74)*10000+SUM(N74,AF74)*100+SUM(H74,Z74)+0.006,1,0)=2,"R",IF(IF(AR74*1000000+SUM(T74,AL74)*10000+SUM(N74,AF74)*100+SUM(H74,Z74)+0.006&gt;AS74*1000000+SUM(U74,AM74)*10000+SUM(O74,AG74)*100+SUM(I74,AA74)+0.005,1,0)+IF(AT74*1000000+SUM(V74,AN74)*10000+SUM(P74,AH74)*100+SUM(J74,AB74)+0.004&gt;AS74*1000000+SUM(U74,AM74)*10000+SUM(O74,AG74)*100+SUM(I74,AA74)+0.005,1,0)+IF(AU74*1000000+SUM(W74,AO74)*10000+SUM(Q74,AI74)*100+SUM(K74,AC74)+0.003&gt;AS74*1000000+SUM(U74,AM74)*10000+SUM(O74,AG74)*100+SUM(I74,AA74)+0.005,1,0)+IF(AV74*1000000+SUM(X74,AP74)*10000+SUM(R74,AJ74)*100+SUM(L74,AD74)+0.002&gt;AS74*1000000+SUM(U74,AM74)*10000+SUM(O74,AG74)*100+SUM(I74,AA74)+0.005,1,0)+IF(AW74*1000000+SUM(Y74,AQ74)*10000+SUM(S74,AK74)*100+SUM(M74,AE74)+0.001&gt;AS74*1000000+SUM(U74,AM74)*10000+SUM(O74,AG74)*100+SUM(I74,AA74)+0.005,1,0)=2,"I",IF(IF(AR74*1000000+SUM(T74,AL74)*10000+SUM(N74,AF74)*100+SUM(H74,Z74)+0.006&gt;AT74*1000000+SUM(V74,AN74)*10000+SUM(P74,AH74)*100+SUM(J74,AB74)+0.004,1,0)+IF(AS74*1000000+SUM(U74,AM74)*10000+SUM(O74,AG74)*100+SUM(I74,AA74)+0.005&gt;AT74*1000000+SUM(V74,AN74)*10000+SUM(P74,AH74)*100+SUM(J74,AB74)+0.004,1,0)+IF(AU74*1000000+SUM(W74,AO74)*10000+SUM(Q74,AI74)*100+SUM(K74,AC74)+0.003&gt;AT74*1000000+SUM(V74,AN74)*10000+SUM(P74,AH74)*100+SUM(J74,AB74)+0.004,1,0)+IF(AV74*1000000+SUM(X74,AP74)*10000+SUM(R74,AJ74)*100+SUM(L74,AD74)+0.002&gt;AT74*1000000+SUM(V74,AN74)*10000+SUM(P74,AH74)*100+SUM(J74,AB74)+0.004,1,0)+IF(AW74*1000000+SUM(Y74,AQ74)*10000+SUM(S74,AK74)*100+SUM(M74,AE74)+0.001&gt;AT74*1000000+SUM(V74,AN74)*10000+SUM(P74,AH74)*100+SUM(J74,AB74)+0.004,1,0)=2,"A",IF(IF(AR74*1000000+SUM(T74,AL74)*10000+SUM(N74,AF74)*100+SUM(H74,Z74)+0.006&gt;AU74*1000000+SUM(W74,AO74)*10000+SUM(Q74,AI74)*100+SUM(K74,AC74)+0.003,1,0)+IF(AS74*1000000+SUM(U74,AM74)*10000+SUM(O74,AG74)*100+SUM(I74,AA74)+0.005&gt;AU74*1000000+SUM(W74,AO74)*10000+SUM(Q74,AI74)*100+SUM(K74,AC74)+0.003,1,0)+IF(AT74*1000000+SUM(V74,AN74)*10000+SUM(P74,AH74)*100+SUM(J74,AB74)+0.004&gt;AU74*1000000+SUM(W74,AO74)*10000+SUM(Q74,AI74)*100+SUM(K74,AC74)+0.003,1,0)+IF(AV74*1000000+SUM(X74,AP74)*10000+SUM(R74,AJ74)*100+SUM(L74,AD74)+0.002&gt;AU74*1000000+SUM(W74,AO74)*10000+SUM(Q74,AI74)*100+SUM(K74,AC74)+0.003,1,0)+IF(AW74*1000000+SUM(Y74,AQ74)*10000+SUM(S74,AK74)*100+SUM(M74,AE74)+0.001&gt;AU74*1000000+SUM(W74,AO74)*10000+SUM(Q74,AI74)*100+SUM(K74,AC74)+0.003,1,0)=2,"S",IF(IF(AR74*1000000+SUM(T74,AL74)*10000+SUM(N74,AF74)*100+SUM(H74,Z74)+0.006&gt;AV74*1000000+SUM(X74,AP74)*10000+SUM(R74,AJ74)*100+SUM(L74,AD74)+0.002,1,0)+IF(AS74*1000000+SUM(U74,AM74)*10000+SUM(O74,AG74)*100+SUM(I74,AA74)+0.005&gt;AV74*1000000+SUM(X74,AP74)*10000+SUM(R74,AJ74)*100+SUM(L74,AD74)+0.002,1,0)+IF(AT74*1000000+SUM(V74,AN74)*10000+SUM(P74,AH74)*100+SUM(J74,AB74)+0.004&gt;AV74*1000000+SUM(X74,AP74)*10000+SUM(R74,AJ74)*100+SUM(L74,AD74)+0.002,1,0)+IF(AU74*1000000+SUM(W74,AO74)*10000+SUM(Q74,AI74)*100+SUM(K74,AC74)+0.003&gt;AV74*1000000+SUM(X74,AP74)*10000+SUM(R74,AJ74)*100+SUM(L74,AD74)+0.002,1,0)+IF(AW74*1000000+SUM(Y74,AQ74)*10000+SUM(S74,AK74)*100+SUM(M74,AE74)+0.001&gt;AV74*1000000+SUM(X74,AP74)*10000+SUM(R74,AJ74)*100+SUM(L74,AD74)+0.002,1,0)=2,"E",IF(IF(AR74*1000000+SUM(T74,AL74)*10000+SUM(N74,AF74)*100+SUM(H74,Z74)+0.006&gt;AW74*1000000+SUM(Y74,AQ74)*10000+SUM(S74,AK74)*100+SUM(M74,AE74)+0.001,1,0)+IF(AS74*1000000+SUM(U74,AM74)*10000+SUM(O74,AG74)*100+SUM(I74,AA74)+0.005&gt;AW74*1000000+SUM(Y74,AQ74)*10000+SUM(S74,AK74)*100+SUM(M74,AE74)+0.001,1,0)+IF(AT74*1000000+SUM(V74,AN74)*10000+SUM(P74,AH74)*100+SUM(J74,AB74)+0.004&gt;AW74*1000000+SUM(Y74,AQ74)*10000+SUM(S74,AK74)*100+SUM(M74,AE74)+0.001,1,0)+IF(AU74*1000000+SUM(W74,AO74)*10000+SUM(Q74,AI74)*100+SUM(K74,AC74)+0.003&gt;AW74*1000000+SUM(Y74,AQ74)*10000+SUM(S74,AK74)*100+SUM(M74,AE74)+0.001,1,0)+IF(AV74*1000000+SUM(X74,AP74)*10000+SUM(R74,AJ74)*100+SUM(L74,AD74)+0.002&gt;AW74*1000000+SUM(Y74,AQ74)*10000+SUM(S74,AK74)*100+SUM(M74,AE74)+0.001,1,0)=2,"C","")))))))</x:f>
      </x:c>
      <x:c r="AY74" s="27" t="str">
        <x:f>IF(C74="","",IF(LEFT(AX74,1)="R","นักปฏิบัติ",IF(LEFT(AX74,1)="I","นักคิดวิเคราะห์",IF(LEFT(AX74,1)="A","นักสร้างสรรค์",IF(LEFT(AX74,1)="S","ผู้เข้าใจผู้คน",IF(LEFT(AX74,1)="E","ผู้นำการเปลี่ยนแปลง","ผู้จัดระบบ"))))))</x:f>
      </x:c>
    </x:row>
    <x:row r="75">
      <x:c r="A75" s="27"/>
      <x:c r="B75" s="28"/>
      <x:c r="C75" s="27"/>
      <x:c r="D75" s="27"/>
      <x:c r="E75" s="27"/>
      <x:c r="F75" s="27"/>
      <x:c r="G75" s="27"/>
      <x:c r="H75" s="27"/>
      <x:c r="I75" s="27"/>
      <x:c r="J75" s="27"/>
      <x:c r="K75" s="27"/>
      <x:c r="L75" s="27"/>
      <x:c r="M75" s="27"/>
      <x:c r="N75" s="27"/>
      <x:c r="O75" s="27"/>
      <x:c r="P75" s="27"/>
      <x:c r="Q75" s="27"/>
      <x:c r="R75" s="27"/>
      <x:c r="S75" s="27"/>
      <x:c r="T75" s="27"/>
      <x:c r="U75" s="27"/>
      <x:c r="V75" s="27"/>
      <x:c r="W75" s="27"/>
      <x:c r="X75" s="27"/>
      <x:c r="Y75" s="27"/>
      <x:c r="Z75" s="27"/>
      <x:c r="AA75" s="27"/>
      <x:c r="AB75" s="27"/>
      <x:c r="AC75" s="27"/>
      <x:c r="AD75" s="27"/>
      <x:c r="AE75" s="27"/>
      <x:c r="AF75" s="27"/>
      <x:c r="AG75" s="27"/>
      <x:c r="AH75" s="27"/>
      <x:c r="AI75" s="27"/>
      <x:c r="AJ75" s="27"/>
      <x:c r="AK75" s="27"/>
      <x:c r="AL75" s="27"/>
      <x:c r="AM75" s="27"/>
      <x:c r="AN75" s="27"/>
      <x:c r="AO75" s="27"/>
      <x:c r="AP75" s="27"/>
      <x:c r="AQ75" s="27"/>
      <x:c r="AR75" s="27" t="str">
        <x:f>IF(C75="","",SUM(H75,N75,T75,Z75,AF75,AL75))</x:f>
      </x:c>
      <x:c r="AS75" s="27" t="str">
        <x:f>IF(C75="","",SUM(I75,O75,U75,AA75,AG75,AM75))</x:f>
      </x:c>
      <x:c r="AT75" s="27" t="str">
        <x:f>IF(C75="","",SUM(J75,P75,V75,AB75,AH75,AN75))</x:f>
      </x:c>
      <x:c r="AU75" s="27" t="str">
        <x:f>IF(C75="","",SUM(K75,Q75,W75,AC75,AI75,AO75))</x:f>
      </x:c>
      <x:c r="AV75" s="27" t="str">
        <x:f>IF(C75="","",SUM(L75,R75,X75,AD75,AJ75,AP75))</x:f>
      </x:c>
      <x:c r="AW75" s="27" t="str">
        <x:f>IF(C75="","",SUM(M75,S75,Y75,AE75,AK75,AQ75))</x:f>
      </x:c>
      <x:c r="AX75" s="27" t="str">
        <x:f>IF(C75="","",IF(IF(AS75*1000000+SUM(U75,AM75)*10000+SUM(O75,AG75)*100+SUM(I75,AA75)+0.005&gt;AR75*1000000+SUM(T75,AL75)*10000+SUM(N75,AF75)*100+SUM(H75,Z75)+0.006,1,0)+IF(AT75*1000000+SUM(V75,AN75)*10000+SUM(P75,AH75)*100+SUM(J75,AB75)+0.004&gt;AR75*1000000+SUM(T75,AL75)*10000+SUM(N75,AF75)*100+SUM(H75,Z75)+0.006,1,0)+IF(AU75*1000000+SUM(W75,AO75)*10000+SUM(Q75,AI75)*100+SUM(K75,AC75)+0.003&gt;AR75*1000000+SUM(T75,AL75)*10000+SUM(N75,AF75)*100+SUM(H75,Z75)+0.006,1,0)+IF(AV75*1000000+SUM(X75,AP75)*10000+SUM(R75,AJ75)*100+SUM(L75,AD75)+0.002&gt;AR75*1000000+SUM(T75,AL75)*10000+SUM(N75,AF75)*100+SUM(H75,Z75)+0.006,1,0)+IF(AW75*1000000+SUM(Y75,AQ75)*10000+SUM(S75,AK75)*100+SUM(M75,AE75)+0.001&gt;AR75*1000000+SUM(T75,AL75)*10000+SUM(N75,AF75)*100+SUM(H75,Z75)+0.006,1,0)=0,"R",IF(IF(AR75*1000000+SUM(T75,AL75)*10000+SUM(N75,AF75)*100+SUM(H75,Z75)+0.006&gt;AS75*1000000+SUM(U75,AM75)*10000+SUM(O75,AG75)*100+SUM(I75,AA75)+0.005,1,0)+IF(AT75*1000000+SUM(V75,AN75)*10000+SUM(P75,AH75)*100+SUM(J75,AB75)+0.004&gt;AS75*1000000+SUM(U75,AM75)*10000+SUM(O75,AG75)*100+SUM(I75,AA75)+0.005,1,0)+IF(AU75*1000000+SUM(W75,AO75)*10000+SUM(Q75,AI75)*100+SUM(K75,AC75)+0.003&gt;AS75*1000000+SUM(U75,AM75)*10000+SUM(O75,AG75)*100+SUM(I75,AA75)+0.005,1,0)+IF(AV75*1000000+SUM(X75,AP75)*10000+SUM(R75,AJ75)*100+SUM(L75,AD75)+0.002&gt;AS75*1000000+SUM(U75,AM75)*10000+SUM(O75,AG75)*100+SUM(I75,AA75)+0.005,1,0)+IF(AW75*1000000+SUM(Y75,AQ75)*10000+SUM(S75,AK75)*100+SUM(M75,AE75)+0.001&gt;AS75*1000000+SUM(U75,AM75)*10000+SUM(O75,AG75)*100+SUM(I75,AA75)+0.005,1,0)=0,"I",IF(IF(AR75*1000000+SUM(T75,AL75)*10000+SUM(N75,AF75)*100+SUM(H75,Z75)+0.006&gt;AT75*1000000+SUM(V75,AN75)*10000+SUM(P75,AH75)*100+SUM(J75,AB75)+0.004,1,0)+IF(AS75*1000000+SUM(U75,AM75)*10000+SUM(O75,AG75)*100+SUM(I75,AA75)+0.005&gt;AT75*1000000+SUM(V75,AN75)*10000+SUM(P75,AH75)*100+SUM(J75,AB75)+0.004,1,0)+IF(AU75*1000000+SUM(W75,AO75)*10000+SUM(Q75,AI75)*100+SUM(K75,AC75)+0.003&gt;AT75*1000000+SUM(V75,AN75)*10000+SUM(P75,AH75)*100+SUM(J75,AB75)+0.004,1,0)+IF(AV75*1000000+SUM(X75,AP75)*10000+SUM(R75,AJ75)*100+SUM(L75,AD75)+0.002&gt;AT75*1000000+SUM(V75,AN75)*10000+SUM(P75,AH75)*100+SUM(J75,AB75)+0.004,1,0)+IF(AW75*1000000+SUM(Y75,AQ75)*10000+SUM(S75,AK75)*100+SUM(M75,AE75)+0.001&gt;AT75*1000000+SUM(V75,AN75)*10000+SUM(P75,AH75)*100+SUM(J75,AB75)+0.004,1,0)=0,"A",IF(IF(AR75*1000000+SUM(T75,AL75)*10000+SUM(N75,AF75)*100+SUM(H75,Z75)+0.006&gt;AU75*1000000+SUM(W75,AO75)*10000+SUM(Q75,AI75)*100+SUM(K75,AC75)+0.003,1,0)+IF(AS75*1000000+SUM(U75,AM75)*10000+SUM(O75,AG75)*100+SUM(I75,AA75)+0.005&gt;AU75*1000000+SUM(W75,AO75)*10000+SUM(Q75,AI75)*100+SUM(K75,AC75)+0.003,1,0)+IF(AT75*1000000+SUM(V75,AN75)*10000+SUM(P75,AH75)*100+SUM(J75,AB75)+0.004&gt;AU75*1000000+SUM(W75,AO75)*10000+SUM(Q75,AI75)*100+SUM(K75,AC75)+0.003,1,0)+IF(AV75*1000000+SUM(X75,AP75)*10000+SUM(R75,AJ75)*100+SUM(L75,AD75)+0.002&gt;AU75*1000000+SUM(W75,AO75)*10000+SUM(Q75,AI75)*100+SUM(K75,AC75)+0.003,1,0)+IF(AW75*1000000+SUM(Y75,AQ75)*10000+SUM(S75,AK75)*100+SUM(M75,AE75)+0.001&gt;AU75*1000000+SUM(W75,AO75)*10000+SUM(Q75,AI75)*100+SUM(K75,AC75)+0.003,1,0)=0,"S",IF(IF(AR75*1000000+SUM(T75,AL75)*10000+SUM(N75,AF75)*100+SUM(H75,Z75)+0.006&gt;AV75*1000000+SUM(X75,AP75)*10000+SUM(R75,AJ75)*100+SUM(L75,AD75)+0.002,1,0)+IF(AS75*1000000+SUM(U75,AM75)*10000+SUM(O75,AG75)*100+SUM(I75,AA75)+0.005&gt;AV75*1000000+SUM(X75,AP75)*10000+SUM(R75,AJ75)*100+SUM(L75,AD75)+0.002,1,0)+IF(AT75*1000000+SUM(V75,AN75)*10000+SUM(P75,AH75)*100+SUM(J75,AB75)+0.004&gt;AV75*1000000+SUM(X75,AP75)*10000+SUM(R75,AJ75)*100+SUM(L75,AD75)+0.002,1,0)+IF(AU75*1000000+SUM(W75,AO75)*10000+SUM(Q75,AI75)*100+SUM(K75,AC75)+0.003&gt;AV75*1000000+SUM(X75,AP75)*10000+SUM(R75,AJ75)*100+SUM(L75,AD75)+0.002,1,0)+IF(AW75*1000000+SUM(Y75,AQ75)*10000+SUM(S75,AK75)*100+SUM(M75,AE75)+0.001&gt;AV75*1000000+SUM(X75,AP75)*10000+SUM(R75,AJ75)*100+SUM(L75,AD75)+0.002,1,0)=0,"E",IF(IF(AR75*1000000+SUM(T75,AL75)*10000+SUM(N75,AF75)*100+SUM(H75,Z75)+0.006&gt;AW75*1000000+SUM(Y75,AQ75)*10000+SUM(S75,AK75)*100+SUM(M75,AE75)+0.001,1,0)+IF(AS75*1000000+SUM(U75,AM75)*10000+SUM(O75,AG75)*100+SUM(I75,AA75)+0.005&gt;AW75*1000000+SUM(Y75,AQ75)*10000+SUM(S75,AK75)*100+SUM(M75,AE75)+0.001,1,0)+IF(AT75*1000000+SUM(V75,AN75)*10000+SUM(P75,AH75)*100+SUM(J75,AB75)+0.004&gt;AW75*1000000+SUM(Y75,AQ75)*10000+SUM(S75,AK75)*100+SUM(M75,AE75)+0.001,1,0)+IF(AU75*1000000+SUM(W75,AO75)*10000+SUM(Q75,AI75)*100+SUM(K75,AC75)+0.003&gt;AW75*1000000+SUM(Y75,AQ75)*10000+SUM(S75,AK75)*100+SUM(M75,AE75)+0.001,1,0)+IF(AV75*1000000+SUM(X75,AP75)*10000+SUM(R75,AJ75)*100+SUM(L75,AD75)+0.002&gt;AW75*1000000+SUM(Y75,AQ75)*10000+SUM(S75,AK75)*100+SUM(M75,AE75)+0.001,1,0)=0,"C",""))))))&amp;IF(IF(AS75*1000000+SUM(U75,AM75)*10000+SUM(O75,AG75)*100+SUM(I75,AA75)+0.005&gt;AR75*1000000+SUM(T75,AL75)*10000+SUM(N75,AF75)*100+SUM(H75,Z75)+0.006,1,0)+IF(AT75*1000000+SUM(V75,AN75)*10000+SUM(P75,AH75)*100+SUM(J75,AB75)+0.004&gt;AR75*1000000+SUM(T75,AL75)*10000+SUM(N75,AF75)*100+SUM(H75,Z75)+0.006,1,0)+IF(AU75*1000000+SUM(W75,AO75)*10000+SUM(Q75,AI75)*100+SUM(K75,AC75)+0.003&gt;AR75*1000000+SUM(T75,AL75)*10000+SUM(N75,AF75)*100+SUM(H75,Z75)+0.006,1,0)+IF(AV75*1000000+SUM(X75,AP75)*10000+SUM(R75,AJ75)*100+SUM(L75,AD75)+0.002&gt;AR75*1000000+SUM(T75,AL75)*10000+SUM(N75,AF75)*100+SUM(H75,Z75)+0.006,1,0)+IF(AW75*1000000+SUM(Y75,AQ75)*10000+SUM(S75,AK75)*100+SUM(M75,AE75)+0.001&gt;AR75*1000000+SUM(T75,AL75)*10000+SUM(N75,AF75)*100+SUM(H75,Z75)+0.006,1,0)=1,"R",IF(IF(AR75*1000000+SUM(T75,AL75)*10000+SUM(N75,AF75)*100+SUM(H75,Z75)+0.006&gt;AS75*1000000+SUM(U75,AM75)*10000+SUM(O75,AG75)*100+SUM(I75,AA75)+0.005,1,0)+IF(AT75*1000000+SUM(V75,AN75)*10000+SUM(P75,AH75)*100+SUM(J75,AB75)+0.004&gt;AS75*1000000+SUM(U75,AM75)*10000+SUM(O75,AG75)*100+SUM(I75,AA75)+0.005,1,0)+IF(AU75*1000000+SUM(W75,AO75)*10000+SUM(Q75,AI75)*100+SUM(K75,AC75)+0.003&gt;AS75*1000000+SUM(U75,AM75)*10000+SUM(O75,AG75)*100+SUM(I75,AA75)+0.005,1,0)+IF(AV75*1000000+SUM(X75,AP75)*10000+SUM(R75,AJ75)*100+SUM(L75,AD75)+0.002&gt;AS75*1000000+SUM(U75,AM75)*10000+SUM(O75,AG75)*100+SUM(I75,AA75)+0.005,1,0)+IF(AW75*1000000+SUM(Y75,AQ75)*10000+SUM(S75,AK75)*100+SUM(M75,AE75)+0.001&gt;AS75*1000000+SUM(U75,AM75)*10000+SUM(O75,AG75)*100+SUM(I75,AA75)+0.005,1,0)=1,"I",IF(IF(AR75*1000000+SUM(T75,AL75)*10000+SUM(N75,AF75)*100+SUM(H75,Z75)+0.006&gt;AT75*1000000+SUM(V75,AN75)*10000+SUM(P75,AH75)*100+SUM(J75,AB75)+0.004,1,0)+IF(AS75*1000000+SUM(U75,AM75)*10000+SUM(O75,AG75)*100+SUM(I75,AA75)+0.005&gt;AT75*1000000+SUM(V75,AN75)*10000+SUM(P75,AH75)*100+SUM(J75,AB75)+0.004,1,0)+IF(AU75*1000000+SUM(W75,AO75)*10000+SUM(Q75,AI75)*100+SUM(K75,AC75)+0.003&gt;AT75*1000000+SUM(V75,AN75)*10000+SUM(P75,AH75)*100+SUM(J75,AB75)+0.004,1,0)+IF(AV75*1000000+SUM(X75,AP75)*10000+SUM(R75,AJ75)*100+SUM(L75,AD75)+0.002&gt;AT75*1000000+SUM(V75,AN75)*10000+SUM(P75,AH75)*100+SUM(J75,AB75)+0.004,1,0)+IF(AW75*1000000+SUM(Y75,AQ75)*10000+SUM(S75,AK75)*100+SUM(M75,AE75)+0.001&gt;AT75*1000000+SUM(V75,AN75)*10000+SUM(P75,AH75)*100+SUM(J75,AB75)+0.004,1,0)=1,"A",IF(IF(AR75*1000000+SUM(T75,AL75)*10000+SUM(N75,AF75)*100+SUM(H75,Z75)+0.006&gt;AU75*1000000+SUM(W75,AO75)*10000+SUM(Q75,AI75)*100+SUM(K75,AC75)+0.003,1,0)+IF(AS75*1000000+SUM(U75,AM75)*10000+SUM(O75,AG75)*100+SUM(I75,AA75)+0.005&gt;AU75*1000000+SUM(W75,AO75)*10000+SUM(Q75,AI75)*100+SUM(K75,AC75)+0.003,1,0)+IF(AT75*1000000+SUM(V75,AN75)*10000+SUM(P75,AH75)*100+SUM(J75,AB75)+0.004&gt;AU75*1000000+SUM(W75,AO75)*10000+SUM(Q75,AI75)*100+SUM(K75,AC75)+0.003,1,0)+IF(AV75*1000000+SUM(X75,AP75)*10000+SUM(R75,AJ75)*100+SUM(L75,AD75)+0.002&gt;AU75*1000000+SUM(W75,AO75)*10000+SUM(Q75,AI75)*100+SUM(K75,AC75)+0.003,1,0)+IF(AW75*1000000+SUM(Y75,AQ75)*10000+SUM(S75,AK75)*100+SUM(M75,AE75)+0.001&gt;AU75*1000000+SUM(W75,AO75)*10000+SUM(Q75,AI75)*100+SUM(K75,AC75)+0.003,1,0)=1,"S",IF(IF(AR75*1000000+SUM(T75,AL75)*10000+SUM(N75,AF75)*100+SUM(H75,Z75)+0.006&gt;AV75*1000000+SUM(X75,AP75)*10000+SUM(R75,AJ75)*100+SUM(L75,AD75)+0.002,1,0)+IF(AS75*1000000+SUM(U75,AM75)*10000+SUM(O75,AG75)*100+SUM(I75,AA75)+0.005&gt;AV75*1000000+SUM(X75,AP75)*10000+SUM(R75,AJ75)*100+SUM(L75,AD75)+0.002,1,0)+IF(AT75*1000000+SUM(V75,AN75)*10000+SUM(P75,AH75)*100+SUM(J75,AB75)+0.004&gt;AV75*1000000+SUM(X75,AP75)*10000+SUM(R75,AJ75)*100+SUM(L75,AD75)+0.002,1,0)+IF(AU75*1000000+SUM(W75,AO75)*10000+SUM(Q75,AI75)*100+SUM(K75,AC75)+0.003&gt;AV75*1000000+SUM(X75,AP75)*10000+SUM(R75,AJ75)*100+SUM(L75,AD75)+0.002,1,0)+IF(AW75*1000000+SUM(Y75,AQ75)*10000+SUM(S75,AK75)*100+SUM(M75,AE75)+0.001&gt;AV75*1000000+SUM(X75,AP75)*10000+SUM(R75,AJ75)*100+SUM(L75,AD75)+0.002,1,0)=1,"E",IF(IF(AR75*1000000+SUM(T75,AL75)*10000+SUM(N75,AF75)*100+SUM(H75,Z75)+0.006&gt;AW75*1000000+SUM(Y75,AQ75)*10000+SUM(S75,AK75)*100+SUM(M75,AE75)+0.001,1,0)+IF(AS75*1000000+SUM(U75,AM75)*10000+SUM(O75,AG75)*100+SUM(I75,AA75)+0.005&gt;AW75*1000000+SUM(Y75,AQ75)*10000+SUM(S75,AK75)*100+SUM(M75,AE75)+0.001,1,0)+IF(AT75*1000000+SUM(V75,AN75)*10000+SUM(P75,AH75)*100+SUM(J75,AB75)+0.004&gt;AW75*1000000+SUM(Y75,AQ75)*10000+SUM(S75,AK75)*100+SUM(M75,AE75)+0.001,1,0)+IF(AU75*1000000+SUM(W75,AO75)*10000+SUM(Q75,AI75)*100+SUM(K75,AC75)+0.003&gt;AW75*1000000+SUM(Y75,AQ75)*10000+SUM(S75,AK75)*100+SUM(M75,AE75)+0.001,1,0)+IF(AV75*1000000+SUM(X75,AP75)*10000+SUM(R75,AJ75)*100+SUM(L75,AD75)+0.002&gt;AW75*1000000+SUM(Y75,AQ75)*10000+SUM(S75,AK75)*100+SUM(M75,AE75)+0.001,1,0)=1,"C",""))))))&amp;IF(IF(AS75*1000000+SUM(U75,AM75)*10000+SUM(O75,AG75)*100+SUM(I75,AA75)+0.005&gt;AR75*1000000+SUM(T75,AL75)*10000+SUM(N75,AF75)*100+SUM(H75,Z75)+0.006,1,0)+IF(AT75*1000000+SUM(V75,AN75)*10000+SUM(P75,AH75)*100+SUM(J75,AB75)+0.004&gt;AR75*1000000+SUM(T75,AL75)*10000+SUM(N75,AF75)*100+SUM(H75,Z75)+0.006,1,0)+IF(AU75*1000000+SUM(W75,AO75)*10000+SUM(Q75,AI75)*100+SUM(K75,AC75)+0.003&gt;AR75*1000000+SUM(T75,AL75)*10000+SUM(N75,AF75)*100+SUM(H75,Z75)+0.006,1,0)+IF(AV75*1000000+SUM(X75,AP75)*10000+SUM(R75,AJ75)*100+SUM(L75,AD75)+0.002&gt;AR75*1000000+SUM(T75,AL75)*10000+SUM(N75,AF75)*100+SUM(H75,Z75)+0.006,1,0)+IF(AW75*1000000+SUM(Y75,AQ75)*10000+SUM(S75,AK75)*100+SUM(M75,AE75)+0.001&gt;AR75*1000000+SUM(T75,AL75)*10000+SUM(N75,AF75)*100+SUM(H75,Z75)+0.006,1,0)=2,"R",IF(IF(AR75*1000000+SUM(T75,AL75)*10000+SUM(N75,AF75)*100+SUM(H75,Z75)+0.006&gt;AS75*1000000+SUM(U75,AM75)*10000+SUM(O75,AG75)*100+SUM(I75,AA75)+0.005,1,0)+IF(AT75*1000000+SUM(V75,AN75)*10000+SUM(P75,AH75)*100+SUM(J75,AB75)+0.004&gt;AS75*1000000+SUM(U75,AM75)*10000+SUM(O75,AG75)*100+SUM(I75,AA75)+0.005,1,0)+IF(AU75*1000000+SUM(W75,AO75)*10000+SUM(Q75,AI75)*100+SUM(K75,AC75)+0.003&gt;AS75*1000000+SUM(U75,AM75)*10000+SUM(O75,AG75)*100+SUM(I75,AA75)+0.005,1,0)+IF(AV75*1000000+SUM(X75,AP75)*10000+SUM(R75,AJ75)*100+SUM(L75,AD75)+0.002&gt;AS75*1000000+SUM(U75,AM75)*10000+SUM(O75,AG75)*100+SUM(I75,AA75)+0.005,1,0)+IF(AW75*1000000+SUM(Y75,AQ75)*10000+SUM(S75,AK75)*100+SUM(M75,AE75)+0.001&gt;AS75*1000000+SUM(U75,AM75)*10000+SUM(O75,AG75)*100+SUM(I75,AA75)+0.005,1,0)=2,"I",IF(IF(AR75*1000000+SUM(T75,AL75)*10000+SUM(N75,AF75)*100+SUM(H75,Z75)+0.006&gt;AT75*1000000+SUM(V75,AN75)*10000+SUM(P75,AH75)*100+SUM(J75,AB75)+0.004,1,0)+IF(AS75*1000000+SUM(U75,AM75)*10000+SUM(O75,AG75)*100+SUM(I75,AA75)+0.005&gt;AT75*1000000+SUM(V75,AN75)*10000+SUM(P75,AH75)*100+SUM(J75,AB75)+0.004,1,0)+IF(AU75*1000000+SUM(W75,AO75)*10000+SUM(Q75,AI75)*100+SUM(K75,AC75)+0.003&gt;AT75*1000000+SUM(V75,AN75)*10000+SUM(P75,AH75)*100+SUM(J75,AB75)+0.004,1,0)+IF(AV75*1000000+SUM(X75,AP75)*10000+SUM(R75,AJ75)*100+SUM(L75,AD75)+0.002&gt;AT75*1000000+SUM(V75,AN75)*10000+SUM(P75,AH75)*100+SUM(J75,AB75)+0.004,1,0)+IF(AW75*1000000+SUM(Y75,AQ75)*10000+SUM(S75,AK75)*100+SUM(M75,AE75)+0.001&gt;AT75*1000000+SUM(V75,AN75)*10000+SUM(P75,AH75)*100+SUM(J75,AB75)+0.004,1,0)=2,"A",IF(IF(AR75*1000000+SUM(T75,AL75)*10000+SUM(N75,AF75)*100+SUM(H75,Z75)+0.006&gt;AU75*1000000+SUM(W75,AO75)*10000+SUM(Q75,AI75)*100+SUM(K75,AC75)+0.003,1,0)+IF(AS75*1000000+SUM(U75,AM75)*10000+SUM(O75,AG75)*100+SUM(I75,AA75)+0.005&gt;AU75*1000000+SUM(W75,AO75)*10000+SUM(Q75,AI75)*100+SUM(K75,AC75)+0.003,1,0)+IF(AT75*1000000+SUM(V75,AN75)*10000+SUM(P75,AH75)*100+SUM(J75,AB75)+0.004&gt;AU75*1000000+SUM(W75,AO75)*10000+SUM(Q75,AI75)*100+SUM(K75,AC75)+0.003,1,0)+IF(AV75*1000000+SUM(X75,AP75)*10000+SUM(R75,AJ75)*100+SUM(L75,AD75)+0.002&gt;AU75*1000000+SUM(W75,AO75)*10000+SUM(Q75,AI75)*100+SUM(K75,AC75)+0.003,1,0)+IF(AW75*1000000+SUM(Y75,AQ75)*10000+SUM(S75,AK75)*100+SUM(M75,AE75)+0.001&gt;AU75*1000000+SUM(W75,AO75)*10000+SUM(Q75,AI75)*100+SUM(K75,AC75)+0.003,1,0)=2,"S",IF(IF(AR75*1000000+SUM(T75,AL75)*10000+SUM(N75,AF75)*100+SUM(H75,Z75)+0.006&gt;AV75*1000000+SUM(X75,AP75)*10000+SUM(R75,AJ75)*100+SUM(L75,AD75)+0.002,1,0)+IF(AS75*1000000+SUM(U75,AM75)*10000+SUM(O75,AG75)*100+SUM(I75,AA75)+0.005&gt;AV75*1000000+SUM(X75,AP75)*10000+SUM(R75,AJ75)*100+SUM(L75,AD75)+0.002,1,0)+IF(AT75*1000000+SUM(V75,AN75)*10000+SUM(P75,AH75)*100+SUM(J75,AB75)+0.004&gt;AV75*1000000+SUM(X75,AP75)*10000+SUM(R75,AJ75)*100+SUM(L75,AD75)+0.002,1,0)+IF(AU75*1000000+SUM(W75,AO75)*10000+SUM(Q75,AI75)*100+SUM(K75,AC75)+0.003&gt;AV75*1000000+SUM(X75,AP75)*10000+SUM(R75,AJ75)*100+SUM(L75,AD75)+0.002,1,0)+IF(AW75*1000000+SUM(Y75,AQ75)*10000+SUM(S75,AK75)*100+SUM(M75,AE75)+0.001&gt;AV75*1000000+SUM(X75,AP75)*10000+SUM(R75,AJ75)*100+SUM(L75,AD75)+0.002,1,0)=2,"E",IF(IF(AR75*1000000+SUM(T75,AL75)*10000+SUM(N75,AF75)*100+SUM(H75,Z75)+0.006&gt;AW75*1000000+SUM(Y75,AQ75)*10000+SUM(S75,AK75)*100+SUM(M75,AE75)+0.001,1,0)+IF(AS75*1000000+SUM(U75,AM75)*10000+SUM(O75,AG75)*100+SUM(I75,AA75)+0.005&gt;AW75*1000000+SUM(Y75,AQ75)*10000+SUM(S75,AK75)*100+SUM(M75,AE75)+0.001,1,0)+IF(AT75*1000000+SUM(V75,AN75)*10000+SUM(P75,AH75)*100+SUM(J75,AB75)+0.004&gt;AW75*1000000+SUM(Y75,AQ75)*10000+SUM(S75,AK75)*100+SUM(M75,AE75)+0.001,1,0)+IF(AU75*1000000+SUM(W75,AO75)*10000+SUM(Q75,AI75)*100+SUM(K75,AC75)+0.003&gt;AW75*1000000+SUM(Y75,AQ75)*10000+SUM(S75,AK75)*100+SUM(M75,AE75)+0.001,1,0)+IF(AV75*1000000+SUM(X75,AP75)*10000+SUM(R75,AJ75)*100+SUM(L75,AD75)+0.002&gt;AW75*1000000+SUM(Y75,AQ75)*10000+SUM(S75,AK75)*100+SUM(M75,AE75)+0.001,1,0)=2,"C","")))))))</x:f>
      </x:c>
      <x:c r="AY75" s="27" t="str">
        <x:f>IF(C75="","",IF(LEFT(AX75,1)="R","นักปฏิบัติ",IF(LEFT(AX75,1)="I","นักคิดวิเคราะห์",IF(LEFT(AX75,1)="A","นักสร้างสรรค์",IF(LEFT(AX75,1)="S","ผู้เข้าใจผู้คน",IF(LEFT(AX75,1)="E","ผู้นำการเปลี่ยนแปลง","ผู้จัดระบบ"))))))</x:f>
      </x:c>
    </x:row>
    <x:row r="76">
      <x:c r="A76" s="27"/>
      <x:c r="B76" s="28"/>
      <x:c r="C76" s="27"/>
      <x:c r="D76" s="27"/>
      <x:c r="E76" s="27"/>
      <x:c r="F76" s="27"/>
      <x:c r="G76" s="27"/>
      <x:c r="H76" s="27"/>
      <x:c r="I76" s="27"/>
      <x:c r="J76" s="27"/>
      <x:c r="K76" s="27"/>
      <x:c r="L76" s="27"/>
      <x:c r="M76" s="27"/>
      <x:c r="N76" s="27"/>
      <x:c r="O76" s="27"/>
      <x:c r="P76" s="27"/>
      <x:c r="Q76" s="27"/>
      <x:c r="R76" s="27"/>
      <x:c r="S76" s="27"/>
      <x:c r="T76" s="27"/>
      <x:c r="U76" s="27"/>
      <x:c r="V76" s="27"/>
      <x:c r="W76" s="27"/>
      <x:c r="X76" s="27"/>
      <x:c r="Y76" s="27"/>
      <x:c r="Z76" s="27"/>
      <x:c r="AA76" s="27"/>
      <x:c r="AB76" s="27"/>
      <x:c r="AC76" s="27"/>
      <x:c r="AD76" s="27"/>
      <x:c r="AE76" s="27"/>
      <x:c r="AF76" s="27"/>
      <x:c r="AG76" s="27"/>
      <x:c r="AH76" s="27"/>
      <x:c r="AI76" s="27"/>
      <x:c r="AJ76" s="27"/>
      <x:c r="AK76" s="27"/>
      <x:c r="AL76" s="27"/>
      <x:c r="AM76" s="27"/>
      <x:c r="AN76" s="27"/>
      <x:c r="AO76" s="27"/>
      <x:c r="AP76" s="27"/>
      <x:c r="AQ76" s="27"/>
      <x:c r="AR76" s="27" t="str">
        <x:f>IF(C76="","",SUM(H76,N76,T76,Z76,AF76,AL76))</x:f>
      </x:c>
      <x:c r="AS76" s="27" t="str">
        <x:f>IF(C76="","",SUM(I76,O76,U76,AA76,AG76,AM76))</x:f>
      </x:c>
      <x:c r="AT76" s="27" t="str">
        <x:f>IF(C76="","",SUM(J76,P76,V76,AB76,AH76,AN76))</x:f>
      </x:c>
      <x:c r="AU76" s="27" t="str">
        <x:f>IF(C76="","",SUM(K76,Q76,W76,AC76,AI76,AO76))</x:f>
      </x:c>
      <x:c r="AV76" s="27" t="str">
        <x:f>IF(C76="","",SUM(L76,R76,X76,AD76,AJ76,AP76))</x:f>
      </x:c>
      <x:c r="AW76" s="27" t="str">
        <x:f>IF(C76="","",SUM(M76,S76,Y76,AE76,AK76,AQ76))</x:f>
      </x:c>
      <x:c r="AX76" s="27" t="str">
        <x:f>IF(C76="","",IF(IF(AS76*1000000+SUM(U76,AM76)*10000+SUM(O76,AG76)*100+SUM(I76,AA76)+0.005&gt;AR76*1000000+SUM(T76,AL76)*10000+SUM(N76,AF76)*100+SUM(H76,Z76)+0.006,1,0)+IF(AT76*1000000+SUM(V76,AN76)*10000+SUM(P76,AH76)*100+SUM(J76,AB76)+0.004&gt;AR76*1000000+SUM(T76,AL76)*10000+SUM(N76,AF76)*100+SUM(H76,Z76)+0.006,1,0)+IF(AU76*1000000+SUM(W76,AO76)*10000+SUM(Q76,AI76)*100+SUM(K76,AC76)+0.003&gt;AR76*1000000+SUM(T76,AL76)*10000+SUM(N76,AF76)*100+SUM(H76,Z76)+0.006,1,0)+IF(AV76*1000000+SUM(X76,AP76)*10000+SUM(R76,AJ76)*100+SUM(L76,AD76)+0.002&gt;AR76*1000000+SUM(T76,AL76)*10000+SUM(N76,AF76)*100+SUM(H76,Z76)+0.006,1,0)+IF(AW76*1000000+SUM(Y76,AQ76)*10000+SUM(S76,AK76)*100+SUM(M76,AE76)+0.001&gt;AR76*1000000+SUM(T76,AL76)*10000+SUM(N76,AF76)*100+SUM(H76,Z76)+0.006,1,0)=0,"R",IF(IF(AR76*1000000+SUM(T76,AL76)*10000+SUM(N76,AF76)*100+SUM(H76,Z76)+0.006&gt;AS76*1000000+SUM(U76,AM76)*10000+SUM(O76,AG76)*100+SUM(I76,AA76)+0.005,1,0)+IF(AT76*1000000+SUM(V76,AN76)*10000+SUM(P76,AH76)*100+SUM(J76,AB76)+0.004&gt;AS76*1000000+SUM(U76,AM76)*10000+SUM(O76,AG76)*100+SUM(I76,AA76)+0.005,1,0)+IF(AU76*1000000+SUM(W76,AO76)*10000+SUM(Q76,AI76)*100+SUM(K76,AC76)+0.003&gt;AS76*1000000+SUM(U76,AM76)*10000+SUM(O76,AG76)*100+SUM(I76,AA76)+0.005,1,0)+IF(AV76*1000000+SUM(X76,AP76)*10000+SUM(R76,AJ76)*100+SUM(L76,AD76)+0.002&gt;AS76*1000000+SUM(U76,AM76)*10000+SUM(O76,AG76)*100+SUM(I76,AA76)+0.005,1,0)+IF(AW76*1000000+SUM(Y76,AQ76)*10000+SUM(S76,AK76)*100+SUM(M76,AE76)+0.001&gt;AS76*1000000+SUM(U76,AM76)*10000+SUM(O76,AG76)*100+SUM(I76,AA76)+0.005,1,0)=0,"I",IF(IF(AR76*1000000+SUM(T76,AL76)*10000+SUM(N76,AF76)*100+SUM(H76,Z76)+0.006&gt;AT76*1000000+SUM(V76,AN76)*10000+SUM(P76,AH76)*100+SUM(J76,AB76)+0.004,1,0)+IF(AS76*1000000+SUM(U76,AM76)*10000+SUM(O76,AG76)*100+SUM(I76,AA76)+0.005&gt;AT76*1000000+SUM(V76,AN76)*10000+SUM(P76,AH76)*100+SUM(J76,AB76)+0.004,1,0)+IF(AU76*1000000+SUM(W76,AO76)*10000+SUM(Q76,AI76)*100+SUM(K76,AC76)+0.003&gt;AT76*1000000+SUM(V76,AN76)*10000+SUM(P76,AH76)*100+SUM(J76,AB76)+0.004,1,0)+IF(AV76*1000000+SUM(X76,AP76)*10000+SUM(R76,AJ76)*100+SUM(L76,AD76)+0.002&gt;AT76*1000000+SUM(V76,AN76)*10000+SUM(P76,AH76)*100+SUM(J76,AB76)+0.004,1,0)+IF(AW76*1000000+SUM(Y76,AQ76)*10000+SUM(S76,AK76)*100+SUM(M76,AE76)+0.001&gt;AT76*1000000+SUM(V76,AN76)*10000+SUM(P76,AH76)*100+SUM(J76,AB76)+0.004,1,0)=0,"A",IF(IF(AR76*1000000+SUM(T76,AL76)*10000+SUM(N76,AF76)*100+SUM(H76,Z76)+0.006&gt;AU76*1000000+SUM(W76,AO76)*10000+SUM(Q76,AI76)*100+SUM(K76,AC76)+0.003,1,0)+IF(AS76*1000000+SUM(U76,AM76)*10000+SUM(O76,AG76)*100+SUM(I76,AA76)+0.005&gt;AU76*1000000+SUM(W76,AO76)*10000+SUM(Q76,AI76)*100+SUM(K76,AC76)+0.003,1,0)+IF(AT76*1000000+SUM(V76,AN76)*10000+SUM(P76,AH76)*100+SUM(J76,AB76)+0.004&gt;AU76*1000000+SUM(W76,AO76)*10000+SUM(Q76,AI76)*100+SUM(K76,AC76)+0.003,1,0)+IF(AV76*1000000+SUM(X76,AP76)*10000+SUM(R76,AJ76)*100+SUM(L76,AD76)+0.002&gt;AU76*1000000+SUM(W76,AO76)*10000+SUM(Q76,AI76)*100+SUM(K76,AC76)+0.003,1,0)+IF(AW76*1000000+SUM(Y76,AQ76)*10000+SUM(S76,AK76)*100+SUM(M76,AE76)+0.001&gt;AU76*1000000+SUM(W76,AO76)*10000+SUM(Q76,AI76)*100+SUM(K76,AC76)+0.003,1,0)=0,"S",IF(IF(AR76*1000000+SUM(T76,AL76)*10000+SUM(N76,AF76)*100+SUM(H76,Z76)+0.006&gt;AV76*1000000+SUM(X76,AP76)*10000+SUM(R76,AJ76)*100+SUM(L76,AD76)+0.002,1,0)+IF(AS76*1000000+SUM(U76,AM76)*10000+SUM(O76,AG76)*100+SUM(I76,AA76)+0.005&gt;AV76*1000000+SUM(X76,AP76)*10000+SUM(R76,AJ76)*100+SUM(L76,AD76)+0.002,1,0)+IF(AT76*1000000+SUM(V76,AN76)*10000+SUM(P76,AH76)*100+SUM(J76,AB76)+0.004&gt;AV76*1000000+SUM(X76,AP76)*10000+SUM(R76,AJ76)*100+SUM(L76,AD76)+0.002,1,0)+IF(AU76*1000000+SUM(W76,AO76)*10000+SUM(Q76,AI76)*100+SUM(K76,AC76)+0.003&gt;AV76*1000000+SUM(X76,AP76)*10000+SUM(R76,AJ76)*100+SUM(L76,AD76)+0.002,1,0)+IF(AW76*1000000+SUM(Y76,AQ76)*10000+SUM(S76,AK76)*100+SUM(M76,AE76)+0.001&gt;AV76*1000000+SUM(X76,AP76)*10000+SUM(R76,AJ76)*100+SUM(L76,AD76)+0.002,1,0)=0,"E",IF(IF(AR76*1000000+SUM(T76,AL76)*10000+SUM(N76,AF76)*100+SUM(H76,Z76)+0.006&gt;AW76*1000000+SUM(Y76,AQ76)*10000+SUM(S76,AK76)*100+SUM(M76,AE76)+0.001,1,0)+IF(AS76*1000000+SUM(U76,AM76)*10000+SUM(O76,AG76)*100+SUM(I76,AA76)+0.005&gt;AW76*1000000+SUM(Y76,AQ76)*10000+SUM(S76,AK76)*100+SUM(M76,AE76)+0.001,1,0)+IF(AT76*1000000+SUM(V76,AN76)*10000+SUM(P76,AH76)*100+SUM(J76,AB76)+0.004&gt;AW76*1000000+SUM(Y76,AQ76)*10000+SUM(S76,AK76)*100+SUM(M76,AE76)+0.001,1,0)+IF(AU76*1000000+SUM(W76,AO76)*10000+SUM(Q76,AI76)*100+SUM(K76,AC76)+0.003&gt;AW76*1000000+SUM(Y76,AQ76)*10000+SUM(S76,AK76)*100+SUM(M76,AE76)+0.001,1,0)+IF(AV76*1000000+SUM(X76,AP76)*10000+SUM(R76,AJ76)*100+SUM(L76,AD76)+0.002&gt;AW76*1000000+SUM(Y76,AQ76)*10000+SUM(S76,AK76)*100+SUM(M76,AE76)+0.001,1,0)=0,"C",""))))))&amp;IF(IF(AS76*1000000+SUM(U76,AM76)*10000+SUM(O76,AG76)*100+SUM(I76,AA76)+0.005&gt;AR76*1000000+SUM(T76,AL76)*10000+SUM(N76,AF76)*100+SUM(H76,Z76)+0.006,1,0)+IF(AT76*1000000+SUM(V76,AN76)*10000+SUM(P76,AH76)*100+SUM(J76,AB76)+0.004&gt;AR76*1000000+SUM(T76,AL76)*10000+SUM(N76,AF76)*100+SUM(H76,Z76)+0.006,1,0)+IF(AU76*1000000+SUM(W76,AO76)*10000+SUM(Q76,AI76)*100+SUM(K76,AC76)+0.003&gt;AR76*1000000+SUM(T76,AL76)*10000+SUM(N76,AF76)*100+SUM(H76,Z76)+0.006,1,0)+IF(AV76*1000000+SUM(X76,AP76)*10000+SUM(R76,AJ76)*100+SUM(L76,AD76)+0.002&gt;AR76*1000000+SUM(T76,AL76)*10000+SUM(N76,AF76)*100+SUM(H76,Z76)+0.006,1,0)+IF(AW76*1000000+SUM(Y76,AQ76)*10000+SUM(S76,AK76)*100+SUM(M76,AE76)+0.001&gt;AR76*1000000+SUM(T76,AL76)*10000+SUM(N76,AF76)*100+SUM(H76,Z76)+0.006,1,0)=1,"R",IF(IF(AR76*1000000+SUM(T76,AL76)*10000+SUM(N76,AF76)*100+SUM(H76,Z76)+0.006&gt;AS76*1000000+SUM(U76,AM76)*10000+SUM(O76,AG76)*100+SUM(I76,AA76)+0.005,1,0)+IF(AT76*1000000+SUM(V76,AN76)*10000+SUM(P76,AH76)*100+SUM(J76,AB76)+0.004&gt;AS76*1000000+SUM(U76,AM76)*10000+SUM(O76,AG76)*100+SUM(I76,AA76)+0.005,1,0)+IF(AU76*1000000+SUM(W76,AO76)*10000+SUM(Q76,AI76)*100+SUM(K76,AC76)+0.003&gt;AS76*1000000+SUM(U76,AM76)*10000+SUM(O76,AG76)*100+SUM(I76,AA76)+0.005,1,0)+IF(AV76*1000000+SUM(X76,AP76)*10000+SUM(R76,AJ76)*100+SUM(L76,AD76)+0.002&gt;AS76*1000000+SUM(U76,AM76)*10000+SUM(O76,AG76)*100+SUM(I76,AA76)+0.005,1,0)+IF(AW76*1000000+SUM(Y76,AQ76)*10000+SUM(S76,AK76)*100+SUM(M76,AE76)+0.001&gt;AS76*1000000+SUM(U76,AM76)*10000+SUM(O76,AG76)*100+SUM(I76,AA76)+0.005,1,0)=1,"I",IF(IF(AR76*1000000+SUM(T76,AL76)*10000+SUM(N76,AF76)*100+SUM(H76,Z76)+0.006&gt;AT76*1000000+SUM(V76,AN76)*10000+SUM(P76,AH76)*100+SUM(J76,AB76)+0.004,1,0)+IF(AS76*1000000+SUM(U76,AM76)*10000+SUM(O76,AG76)*100+SUM(I76,AA76)+0.005&gt;AT76*1000000+SUM(V76,AN76)*10000+SUM(P76,AH76)*100+SUM(J76,AB76)+0.004,1,0)+IF(AU76*1000000+SUM(W76,AO76)*10000+SUM(Q76,AI76)*100+SUM(K76,AC76)+0.003&gt;AT76*1000000+SUM(V76,AN76)*10000+SUM(P76,AH76)*100+SUM(J76,AB76)+0.004,1,0)+IF(AV76*1000000+SUM(X76,AP76)*10000+SUM(R76,AJ76)*100+SUM(L76,AD76)+0.002&gt;AT76*1000000+SUM(V76,AN76)*10000+SUM(P76,AH76)*100+SUM(J76,AB76)+0.004,1,0)+IF(AW76*1000000+SUM(Y76,AQ76)*10000+SUM(S76,AK76)*100+SUM(M76,AE76)+0.001&gt;AT76*1000000+SUM(V76,AN76)*10000+SUM(P76,AH76)*100+SUM(J76,AB76)+0.004,1,0)=1,"A",IF(IF(AR76*1000000+SUM(T76,AL76)*10000+SUM(N76,AF76)*100+SUM(H76,Z76)+0.006&gt;AU76*1000000+SUM(W76,AO76)*10000+SUM(Q76,AI76)*100+SUM(K76,AC76)+0.003,1,0)+IF(AS76*1000000+SUM(U76,AM76)*10000+SUM(O76,AG76)*100+SUM(I76,AA76)+0.005&gt;AU76*1000000+SUM(W76,AO76)*10000+SUM(Q76,AI76)*100+SUM(K76,AC76)+0.003,1,0)+IF(AT76*1000000+SUM(V76,AN76)*10000+SUM(P76,AH76)*100+SUM(J76,AB76)+0.004&gt;AU76*1000000+SUM(W76,AO76)*10000+SUM(Q76,AI76)*100+SUM(K76,AC76)+0.003,1,0)+IF(AV76*1000000+SUM(X76,AP76)*10000+SUM(R76,AJ76)*100+SUM(L76,AD76)+0.002&gt;AU76*1000000+SUM(W76,AO76)*10000+SUM(Q76,AI76)*100+SUM(K76,AC76)+0.003,1,0)+IF(AW76*1000000+SUM(Y76,AQ76)*10000+SUM(S76,AK76)*100+SUM(M76,AE76)+0.001&gt;AU76*1000000+SUM(W76,AO76)*10000+SUM(Q76,AI76)*100+SUM(K76,AC76)+0.003,1,0)=1,"S",IF(IF(AR76*1000000+SUM(T76,AL76)*10000+SUM(N76,AF76)*100+SUM(H76,Z76)+0.006&gt;AV76*1000000+SUM(X76,AP76)*10000+SUM(R76,AJ76)*100+SUM(L76,AD76)+0.002,1,0)+IF(AS76*1000000+SUM(U76,AM76)*10000+SUM(O76,AG76)*100+SUM(I76,AA76)+0.005&gt;AV76*1000000+SUM(X76,AP76)*10000+SUM(R76,AJ76)*100+SUM(L76,AD76)+0.002,1,0)+IF(AT76*1000000+SUM(V76,AN76)*10000+SUM(P76,AH76)*100+SUM(J76,AB76)+0.004&gt;AV76*1000000+SUM(X76,AP76)*10000+SUM(R76,AJ76)*100+SUM(L76,AD76)+0.002,1,0)+IF(AU76*1000000+SUM(W76,AO76)*10000+SUM(Q76,AI76)*100+SUM(K76,AC76)+0.003&gt;AV76*1000000+SUM(X76,AP76)*10000+SUM(R76,AJ76)*100+SUM(L76,AD76)+0.002,1,0)+IF(AW76*1000000+SUM(Y76,AQ76)*10000+SUM(S76,AK76)*100+SUM(M76,AE76)+0.001&gt;AV76*1000000+SUM(X76,AP76)*10000+SUM(R76,AJ76)*100+SUM(L76,AD76)+0.002,1,0)=1,"E",IF(IF(AR76*1000000+SUM(T76,AL76)*10000+SUM(N76,AF76)*100+SUM(H76,Z76)+0.006&gt;AW76*1000000+SUM(Y76,AQ76)*10000+SUM(S76,AK76)*100+SUM(M76,AE76)+0.001,1,0)+IF(AS76*1000000+SUM(U76,AM76)*10000+SUM(O76,AG76)*100+SUM(I76,AA76)+0.005&gt;AW76*1000000+SUM(Y76,AQ76)*10000+SUM(S76,AK76)*100+SUM(M76,AE76)+0.001,1,0)+IF(AT76*1000000+SUM(V76,AN76)*10000+SUM(P76,AH76)*100+SUM(J76,AB76)+0.004&gt;AW76*1000000+SUM(Y76,AQ76)*10000+SUM(S76,AK76)*100+SUM(M76,AE76)+0.001,1,0)+IF(AU76*1000000+SUM(W76,AO76)*10000+SUM(Q76,AI76)*100+SUM(K76,AC76)+0.003&gt;AW76*1000000+SUM(Y76,AQ76)*10000+SUM(S76,AK76)*100+SUM(M76,AE76)+0.001,1,0)+IF(AV76*1000000+SUM(X76,AP76)*10000+SUM(R76,AJ76)*100+SUM(L76,AD76)+0.002&gt;AW76*1000000+SUM(Y76,AQ76)*10000+SUM(S76,AK76)*100+SUM(M76,AE76)+0.001,1,0)=1,"C",""))))))&amp;IF(IF(AS76*1000000+SUM(U76,AM76)*10000+SUM(O76,AG76)*100+SUM(I76,AA76)+0.005&gt;AR76*1000000+SUM(T76,AL76)*10000+SUM(N76,AF76)*100+SUM(H76,Z76)+0.006,1,0)+IF(AT76*1000000+SUM(V76,AN76)*10000+SUM(P76,AH76)*100+SUM(J76,AB76)+0.004&gt;AR76*1000000+SUM(T76,AL76)*10000+SUM(N76,AF76)*100+SUM(H76,Z76)+0.006,1,0)+IF(AU76*1000000+SUM(W76,AO76)*10000+SUM(Q76,AI76)*100+SUM(K76,AC76)+0.003&gt;AR76*1000000+SUM(T76,AL76)*10000+SUM(N76,AF76)*100+SUM(H76,Z76)+0.006,1,0)+IF(AV76*1000000+SUM(X76,AP76)*10000+SUM(R76,AJ76)*100+SUM(L76,AD76)+0.002&gt;AR76*1000000+SUM(T76,AL76)*10000+SUM(N76,AF76)*100+SUM(H76,Z76)+0.006,1,0)+IF(AW76*1000000+SUM(Y76,AQ76)*10000+SUM(S76,AK76)*100+SUM(M76,AE76)+0.001&gt;AR76*1000000+SUM(T76,AL76)*10000+SUM(N76,AF76)*100+SUM(H76,Z76)+0.006,1,0)=2,"R",IF(IF(AR76*1000000+SUM(T76,AL76)*10000+SUM(N76,AF76)*100+SUM(H76,Z76)+0.006&gt;AS76*1000000+SUM(U76,AM76)*10000+SUM(O76,AG76)*100+SUM(I76,AA76)+0.005,1,0)+IF(AT76*1000000+SUM(V76,AN76)*10000+SUM(P76,AH76)*100+SUM(J76,AB76)+0.004&gt;AS76*1000000+SUM(U76,AM76)*10000+SUM(O76,AG76)*100+SUM(I76,AA76)+0.005,1,0)+IF(AU76*1000000+SUM(W76,AO76)*10000+SUM(Q76,AI76)*100+SUM(K76,AC76)+0.003&gt;AS76*1000000+SUM(U76,AM76)*10000+SUM(O76,AG76)*100+SUM(I76,AA76)+0.005,1,0)+IF(AV76*1000000+SUM(X76,AP76)*10000+SUM(R76,AJ76)*100+SUM(L76,AD76)+0.002&gt;AS76*1000000+SUM(U76,AM76)*10000+SUM(O76,AG76)*100+SUM(I76,AA76)+0.005,1,0)+IF(AW76*1000000+SUM(Y76,AQ76)*10000+SUM(S76,AK76)*100+SUM(M76,AE76)+0.001&gt;AS76*1000000+SUM(U76,AM76)*10000+SUM(O76,AG76)*100+SUM(I76,AA76)+0.005,1,0)=2,"I",IF(IF(AR76*1000000+SUM(T76,AL76)*10000+SUM(N76,AF76)*100+SUM(H76,Z76)+0.006&gt;AT76*1000000+SUM(V76,AN76)*10000+SUM(P76,AH76)*100+SUM(J76,AB76)+0.004,1,0)+IF(AS76*1000000+SUM(U76,AM76)*10000+SUM(O76,AG76)*100+SUM(I76,AA76)+0.005&gt;AT76*1000000+SUM(V76,AN76)*10000+SUM(P76,AH76)*100+SUM(J76,AB76)+0.004,1,0)+IF(AU76*1000000+SUM(W76,AO76)*10000+SUM(Q76,AI76)*100+SUM(K76,AC76)+0.003&gt;AT76*1000000+SUM(V76,AN76)*10000+SUM(P76,AH76)*100+SUM(J76,AB76)+0.004,1,0)+IF(AV76*1000000+SUM(X76,AP76)*10000+SUM(R76,AJ76)*100+SUM(L76,AD76)+0.002&gt;AT76*1000000+SUM(V76,AN76)*10000+SUM(P76,AH76)*100+SUM(J76,AB76)+0.004,1,0)+IF(AW76*1000000+SUM(Y76,AQ76)*10000+SUM(S76,AK76)*100+SUM(M76,AE76)+0.001&gt;AT76*1000000+SUM(V76,AN76)*10000+SUM(P76,AH76)*100+SUM(J76,AB76)+0.004,1,0)=2,"A",IF(IF(AR76*1000000+SUM(T76,AL76)*10000+SUM(N76,AF76)*100+SUM(H76,Z76)+0.006&gt;AU76*1000000+SUM(W76,AO76)*10000+SUM(Q76,AI76)*100+SUM(K76,AC76)+0.003,1,0)+IF(AS76*1000000+SUM(U76,AM76)*10000+SUM(O76,AG76)*100+SUM(I76,AA76)+0.005&gt;AU76*1000000+SUM(W76,AO76)*10000+SUM(Q76,AI76)*100+SUM(K76,AC76)+0.003,1,0)+IF(AT76*1000000+SUM(V76,AN76)*10000+SUM(P76,AH76)*100+SUM(J76,AB76)+0.004&gt;AU76*1000000+SUM(W76,AO76)*10000+SUM(Q76,AI76)*100+SUM(K76,AC76)+0.003,1,0)+IF(AV76*1000000+SUM(X76,AP76)*10000+SUM(R76,AJ76)*100+SUM(L76,AD76)+0.002&gt;AU76*1000000+SUM(W76,AO76)*10000+SUM(Q76,AI76)*100+SUM(K76,AC76)+0.003,1,0)+IF(AW76*1000000+SUM(Y76,AQ76)*10000+SUM(S76,AK76)*100+SUM(M76,AE76)+0.001&gt;AU76*1000000+SUM(W76,AO76)*10000+SUM(Q76,AI76)*100+SUM(K76,AC76)+0.003,1,0)=2,"S",IF(IF(AR76*1000000+SUM(T76,AL76)*10000+SUM(N76,AF76)*100+SUM(H76,Z76)+0.006&gt;AV76*1000000+SUM(X76,AP76)*10000+SUM(R76,AJ76)*100+SUM(L76,AD76)+0.002,1,0)+IF(AS76*1000000+SUM(U76,AM76)*10000+SUM(O76,AG76)*100+SUM(I76,AA76)+0.005&gt;AV76*1000000+SUM(X76,AP76)*10000+SUM(R76,AJ76)*100+SUM(L76,AD76)+0.002,1,0)+IF(AT76*1000000+SUM(V76,AN76)*10000+SUM(P76,AH76)*100+SUM(J76,AB76)+0.004&gt;AV76*1000000+SUM(X76,AP76)*10000+SUM(R76,AJ76)*100+SUM(L76,AD76)+0.002,1,0)+IF(AU76*1000000+SUM(W76,AO76)*10000+SUM(Q76,AI76)*100+SUM(K76,AC76)+0.003&gt;AV76*1000000+SUM(X76,AP76)*10000+SUM(R76,AJ76)*100+SUM(L76,AD76)+0.002,1,0)+IF(AW76*1000000+SUM(Y76,AQ76)*10000+SUM(S76,AK76)*100+SUM(M76,AE76)+0.001&gt;AV76*1000000+SUM(X76,AP76)*10000+SUM(R76,AJ76)*100+SUM(L76,AD76)+0.002,1,0)=2,"E",IF(IF(AR76*1000000+SUM(T76,AL76)*10000+SUM(N76,AF76)*100+SUM(H76,Z76)+0.006&gt;AW76*1000000+SUM(Y76,AQ76)*10000+SUM(S76,AK76)*100+SUM(M76,AE76)+0.001,1,0)+IF(AS76*1000000+SUM(U76,AM76)*10000+SUM(O76,AG76)*100+SUM(I76,AA76)+0.005&gt;AW76*1000000+SUM(Y76,AQ76)*10000+SUM(S76,AK76)*100+SUM(M76,AE76)+0.001,1,0)+IF(AT76*1000000+SUM(V76,AN76)*10000+SUM(P76,AH76)*100+SUM(J76,AB76)+0.004&gt;AW76*1000000+SUM(Y76,AQ76)*10000+SUM(S76,AK76)*100+SUM(M76,AE76)+0.001,1,0)+IF(AU76*1000000+SUM(W76,AO76)*10000+SUM(Q76,AI76)*100+SUM(K76,AC76)+0.003&gt;AW76*1000000+SUM(Y76,AQ76)*10000+SUM(S76,AK76)*100+SUM(M76,AE76)+0.001,1,0)+IF(AV76*1000000+SUM(X76,AP76)*10000+SUM(R76,AJ76)*100+SUM(L76,AD76)+0.002&gt;AW76*1000000+SUM(Y76,AQ76)*10000+SUM(S76,AK76)*100+SUM(M76,AE76)+0.001,1,0)=2,"C","")))))))</x:f>
      </x:c>
      <x:c r="AY76" s="27" t="str">
        <x:f>IF(C76="","",IF(LEFT(AX76,1)="R","นักปฏิบัติ",IF(LEFT(AX76,1)="I","นักคิดวิเคราะห์",IF(LEFT(AX76,1)="A","นักสร้างสรรค์",IF(LEFT(AX76,1)="S","ผู้เข้าใจผู้คน",IF(LEFT(AX76,1)="E","ผู้นำการเปลี่ยนแปลง","ผู้จัดระบบ"))))))</x:f>
      </x:c>
    </x:row>
    <x:row r="77">
      <x:c r="A77" s="27"/>
      <x:c r="B77" s="28"/>
      <x:c r="C77" s="27"/>
      <x:c r="D77" s="27"/>
      <x:c r="E77" s="27"/>
      <x:c r="F77" s="27"/>
      <x:c r="G77" s="27"/>
      <x:c r="H77" s="27"/>
      <x:c r="I77" s="27"/>
      <x:c r="J77" s="27"/>
      <x:c r="K77" s="27"/>
      <x:c r="L77" s="27"/>
      <x:c r="M77" s="27"/>
      <x:c r="N77" s="27"/>
      <x:c r="O77" s="27"/>
      <x:c r="P77" s="27"/>
      <x:c r="Q77" s="27"/>
      <x:c r="R77" s="27"/>
      <x:c r="S77" s="27"/>
      <x:c r="T77" s="27"/>
      <x:c r="U77" s="27"/>
      <x:c r="V77" s="27"/>
      <x:c r="W77" s="27"/>
      <x:c r="X77" s="27"/>
      <x:c r="Y77" s="27"/>
      <x:c r="Z77" s="27"/>
      <x:c r="AA77" s="27"/>
      <x:c r="AB77" s="27"/>
      <x:c r="AC77" s="27"/>
      <x:c r="AD77" s="27"/>
      <x:c r="AE77" s="27"/>
      <x:c r="AF77" s="27"/>
      <x:c r="AG77" s="27"/>
      <x:c r="AH77" s="27"/>
      <x:c r="AI77" s="27"/>
      <x:c r="AJ77" s="27"/>
      <x:c r="AK77" s="27"/>
      <x:c r="AL77" s="27"/>
      <x:c r="AM77" s="27"/>
      <x:c r="AN77" s="27"/>
      <x:c r="AO77" s="27"/>
      <x:c r="AP77" s="27"/>
      <x:c r="AQ77" s="27"/>
      <x:c r="AR77" s="27" t="str">
        <x:f>IF(C77="","",SUM(H77,N77,T77,Z77,AF77,AL77))</x:f>
      </x:c>
      <x:c r="AS77" s="27" t="str">
        <x:f>IF(C77="","",SUM(I77,O77,U77,AA77,AG77,AM77))</x:f>
      </x:c>
      <x:c r="AT77" s="27" t="str">
        <x:f>IF(C77="","",SUM(J77,P77,V77,AB77,AH77,AN77))</x:f>
      </x:c>
      <x:c r="AU77" s="27" t="str">
        <x:f>IF(C77="","",SUM(K77,Q77,W77,AC77,AI77,AO77))</x:f>
      </x:c>
      <x:c r="AV77" s="27" t="str">
        <x:f>IF(C77="","",SUM(L77,R77,X77,AD77,AJ77,AP77))</x:f>
      </x:c>
      <x:c r="AW77" s="27" t="str">
        <x:f>IF(C77="","",SUM(M77,S77,Y77,AE77,AK77,AQ77))</x:f>
      </x:c>
      <x:c r="AX77" s="27" t="str">
        <x:f>IF(C77="","",IF(IF(AS77*1000000+SUM(U77,AM77)*10000+SUM(O77,AG77)*100+SUM(I77,AA77)+0.005&gt;AR77*1000000+SUM(T77,AL77)*10000+SUM(N77,AF77)*100+SUM(H77,Z77)+0.006,1,0)+IF(AT77*1000000+SUM(V77,AN77)*10000+SUM(P77,AH77)*100+SUM(J77,AB77)+0.004&gt;AR77*1000000+SUM(T77,AL77)*10000+SUM(N77,AF77)*100+SUM(H77,Z77)+0.006,1,0)+IF(AU77*1000000+SUM(W77,AO77)*10000+SUM(Q77,AI77)*100+SUM(K77,AC77)+0.003&gt;AR77*1000000+SUM(T77,AL77)*10000+SUM(N77,AF77)*100+SUM(H77,Z77)+0.006,1,0)+IF(AV77*1000000+SUM(X77,AP77)*10000+SUM(R77,AJ77)*100+SUM(L77,AD77)+0.002&gt;AR77*1000000+SUM(T77,AL77)*10000+SUM(N77,AF77)*100+SUM(H77,Z77)+0.006,1,0)+IF(AW77*1000000+SUM(Y77,AQ77)*10000+SUM(S77,AK77)*100+SUM(M77,AE77)+0.001&gt;AR77*1000000+SUM(T77,AL77)*10000+SUM(N77,AF77)*100+SUM(H77,Z77)+0.006,1,0)=0,"R",IF(IF(AR77*1000000+SUM(T77,AL77)*10000+SUM(N77,AF77)*100+SUM(H77,Z77)+0.006&gt;AS77*1000000+SUM(U77,AM77)*10000+SUM(O77,AG77)*100+SUM(I77,AA77)+0.005,1,0)+IF(AT77*1000000+SUM(V77,AN77)*10000+SUM(P77,AH77)*100+SUM(J77,AB77)+0.004&gt;AS77*1000000+SUM(U77,AM77)*10000+SUM(O77,AG77)*100+SUM(I77,AA77)+0.005,1,0)+IF(AU77*1000000+SUM(W77,AO77)*10000+SUM(Q77,AI77)*100+SUM(K77,AC77)+0.003&gt;AS77*1000000+SUM(U77,AM77)*10000+SUM(O77,AG77)*100+SUM(I77,AA77)+0.005,1,0)+IF(AV77*1000000+SUM(X77,AP77)*10000+SUM(R77,AJ77)*100+SUM(L77,AD77)+0.002&gt;AS77*1000000+SUM(U77,AM77)*10000+SUM(O77,AG77)*100+SUM(I77,AA77)+0.005,1,0)+IF(AW77*1000000+SUM(Y77,AQ77)*10000+SUM(S77,AK77)*100+SUM(M77,AE77)+0.001&gt;AS77*1000000+SUM(U77,AM77)*10000+SUM(O77,AG77)*100+SUM(I77,AA77)+0.005,1,0)=0,"I",IF(IF(AR77*1000000+SUM(T77,AL77)*10000+SUM(N77,AF77)*100+SUM(H77,Z77)+0.006&gt;AT77*1000000+SUM(V77,AN77)*10000+SUM(P77,AH77)*100+SUM(J77,AB77)+0.004,1,0)+IF(AS77*1000000+SUM(U77,AM77)*10000+SUM(O77,AG77)*100+SUM(I77,AA77)+0.005&gt;AT77*1000000+SUM(V77,AN77)*10000+SUM(P77,AH77)*100+SUM(J77,AB77)+0.004,1,0)+IF(AU77*1000000+SUM(W77,AO77)*10000+SUM(Q77,AI77)*100+SUM(K77,AC77)+0.003&gt;AT77*1000000+SUM(V77,AN77)*10000+SUM(P77,AH77)*100+SUM(J77,AB77)+0.004,1,0)+IF(AV77*1000000+SUM(X77,AP77)*10000+SUM(R77,AJ77)*100+SUM(L77,AD77)+0.002&gt;AT77*1000000+SUM(V77,AN77)*10000+SUM(P77,AH77)*100+SUM(J77,AB77)+0.004,1,0)+IF(AW77*1000000+SUM(Y77,AQ77)*10000+SUM(S77,AK77)*100+SUM(M77,AE77)+0.001&gt;AT77*1000000+SUM(V77,AN77)*10000+SUM(P77,AH77)*100+SUM(J77,AB77)+0.004,1,0)=0,"A",IF(IF(AR77*1000000+SUM(T77,AL77)*10000+SUM(N77,AF77)*100+SUM(H77,Z77)+0.006&gt;AU77*1000000+SUM(W77,AO77)*10000+SUM(Q77,AI77)*100+SUM(K77,AC77)+0.003,1,0)+IF(AS77*1000000+SUM(U77,AM77)*10000+SUM(O77,AG77)*100+SUM(I77,AA77)+0.005&gt;AU77*1000000+SUM(W77,AO77)*10000+SUM(Q77,AI77)*100+SUM(K77,AC77)+0.003,1,0)+IF(AT77*1000000+SUM(V77,AN77)*10000+SUM(P77,AH77)*100+SUM(J77,AB77)+0.004&gt;AU77*1000000+SUM(W77,AO77)*10000+SUM(Q77,AI77)*100+SUM(K77,AC77)+0.003,1,0)+IF(AV77*1000000+SUM(X77,AP77)*10000+SUM(R77,AJ77)*100+SUM(L77,AD77)+0.002&gt;AU77*1000000+SUM(W77,AO77)*10000+SUM(Q77,AI77)*100+SUM(K77,AC77)+0.003,1,0)+IF(AW77*1000000+SUM(Y77,AQ77)*10000+SUM(S77,AK77)*100+SUM(M77,AE77)+0.001&gt;AU77*1000000+SUM(W77,AO77)*10000+SUM(Q77,AI77)*100+SUM(K77,AC77)+0.003,1,0)=0,"S",IF(IF(AR77*1000000+SUM(T77,AL77)*10000+SUM(N77,AF77)*100+SUM(H77,Z77)+0.006&gt;AV77*1000000+SUM(X77,AP77)*10000+SUM(R77,AJ77)*100+SUM(L77,AD77)+0.002,1,0)+IF(AS77*1000000+SUM(U77,AM77)*10000+SUM(O77,AG77)*100+SUM(I77,AA77)+0.005&gt;AV77*1000000+SUM(X77,AP77)*10000+SUM(R77,AJ77)*100+SUM(L77,AD77)+0.002,1,0)+IF(AT77*1000000+SUM(V77,AN77)*10000+SUM(P77,AH77)*100+SUM(J77,AB77)+0.004&gt;AV77*1000000+SUM(X77,AP77)*10000+SUM(R77,AJ77)*100+SUM(L77,AD77)+0.002,1,0)+IF(AU77*1000000+SUM(W77,AO77)*10000+SUM(Q77,AI77)*100+SUM(K77,AC77)+0.003&gt;AV77*1000000+SUM(X77,AP77)*10000+SUM(R77,AJ77)*100+SUM(L77,AD77)+0.002,1,0)+IF(AW77*1000000+SUM(Y77,AQ77)*10000+SUM(S77,AK77)*100+SUM(M77,AE77)+0.001&gt;AV77*1000000+SUM(X77,AP77)*10000+SUM(R77,AJ77)*100+SUM(L77,AD77)+0.002,1,0)=0,"E",IF(IF(AR77*1000000+SUM(T77,AL77)*10000+SUM(N77,AF77)*100+SUM(H77,Z77)+0.006&gt;AW77*1000000+SUM(Y77,AQ77)*10000+SUM(S77,AK77)*100+SUM(M77,AE77)+0.001,1,0)+IF(AS77*1000000+SUM(U77,AM77)*10000+SUM(O77,AG77)*100+SUM(I77,AA77)+0.005&gt;AW77*1000000+SUM(Y77,AQ77)*10000+SUM(S77,AK77)*100+SUM(M77,AE77)+0.001,1,0)+IF(AT77*1000000+SUM(V77,AN77)*10000+SUM(P77,AH77)*100+SUM(J77,AB77)+0.004&gt;AW77*1000000+SUM(Y77,AQ77)*10000+SUM(S77,AK77)*100+SUM(M77,AE77)+0.001,1,0)+IF(AU77*1000000+SUM(W77,AO77)*10000+SUM(Q77,AI77)*100+SUM(K77,AC77)+0.003&gt;AW77*1000000+SUM(Y77,AQ77)*10000+SUM(S77,AK77)*100+SUM(M77,AE77)+0.001,1,0)+IF(AV77*1000000+SUM(X77,AP77)*10000+SUM(R77,AJ77)*100+SUM(L77,AD77)+0.002&gt;AW77*1000000+SUM(Y77,AQ77)*10000+SUM(S77,AK77)*100+SUM(M77,AE77)+0.001,1,0)=0,"C",""))))))&amp;IF(IF(AS77*1000000+SUM(U77,AM77)*10000+SUM(O77,AG77)*100+SUM(I77,AA77)+0.005&gt;AR77*1000000+SUM(T77,AL77)*10000+SUM(N77,AF77)*100+SUM(H77,Z77)+0.006,1,0)+IF(AT77*1000000+SUM(V77,AN77)*10000+SUM(P77,AH77)*100+SUM(J77,AB77)+0.004&gt;AR77*1000000+SUM(T77,AL77)*10000+SUM(N77,AF77)*100+SUM(H77,Z77)+0.006,1,0)+IF(AU77*1000000+SUM(W77,AO77)*10000+SUM(Q77,AI77)*100+SUM(K77,AC77)+0.003&gt;AR77*1000000+SUM(T77,AL77)*10000+SUM(N77,AF77)*100+SUM(H77,Z77)+0.006,1,0)+IF(AV77*1000000+SUM(X77,AP77)*10000+SUM(R77,AJ77)*100+SUM(L77,AD77)+0.002&gt;AR77*1000000+SUM(T77,AL77)*10000+SUM(N77,AF77)*100+SUM(H77,Z77)+0.006,1,0)+IF(AW77*1000000+SUM(Y77,AQ77)*10000+SUM(S77,AK77)*100+SUM(M77,AE77)+0.001&gt;AR77*1000000+SUM(T77,AL77)*10000+SUM(N77,AF77)*100+SUM(H77,Z77)+0.006,1,0)=1,"R",IF(IF(AR77*1000000+SUM(T77,AL77)*10000+SUM(N77,AF77)*100+SUM(H77,Z77)+0.006&gt;AS77*1000000+SUM(U77,AM77)*10000+SUM(O77,AG77)*100+SUM(I77,AA77)+0.005,1,0)+IF(AT77*1000000+SUM(V77,AN77)*10000+SUM(P77,AH77)*100+SUM(J77,AB77)+0.004&gt;AS77*1000000+SUM(U77,AM77)*10000+SUM(O77,AG77)*100+SUM(I77,AA77)+0.005,1,0)+IF(AU77*1000000+SUM(W77,AO77)*10000+SUM(Q77,AI77)*100+SUM(K77,AC77)+0.003&gt;AS77*1000000+SUM(U77,AM77)*10000+SUM(O77,AG77)*100+SUM(I77,AA77)+0.005,1,0)+IF(AV77*1000000+SUM(X77,AP77)*10000+SUM(R77,AJ77)*100+SUM(L77,AD77)+0.002&gt;AS77*1000000+SUM(U77,AM77)*10000+SUM(O77,AG77)*100+SUM(I77,AA77)+0.005,1,0)+IF(AW77*1000000+SUM(Y77,AQ77)*10000+SUM(S77,AK77)*100+SUM(M77,AE77)+0.001&gt;AS77*1000000+SUM(U77,AM77)*10000+SUM(O77,AG77)*100+SUM(I77,AA77)+0.005,1,0)=1,"I",IF(IF(AR77*1000000+SUM(T77,AL77)*10000+SUM(N77,AF77)*100+SUM(H77,Z77)+0.006&gt;AT77*1000000+SUM(V77,AN77)*10000+SUM(P77,AH77)*100+SUM(J77,AB77)+0.004,1,0)+IF(AS77*1000000+SUM(U77,AM77)*10000+SUM(O77,AG77)*100+SUM(I77,AA77)+0.005&gt;AT77*1000000+SUM(V77,AN77)*10000+SUM(P77,AH77)*100+SUM(J77,AB77)+0.004,1,0)+IF(AU77*1000000+SUM(W77,AO77)*10000+SUM(Q77,AI77)*100+SUM(K77,AC77)+0.003&gt;AT77*1000000+SUM(V77,AN77)*10000+SUM(P77,AH77)*100+SUM(J77,AB77)+0.004,1,0)+IF(AV77*1000000+SUM(X77,AP77)*10000+SUM(R77,AJ77)*100+SUM(L77,AD77)+0.002&gt;AT77*1000000+SUM(V77,AN77)*10000+SUM(P77,AH77)*100+SUM(J77,AB77)+0.004,1,0)+IF(AW77*1000000+SUM(Y77,AQ77)*10000+SUM(S77,AK77)*100+SUM(M77,AE77)+0.001&gt;AT77*1000000+SUM(V77,AN77)*10000+SUM(P77,AH77)*100+SUM(J77,AB77)+0.004,1,0)=1,"A",IF(IF(AR77*1000000+SUM(T77,AL77)*10000+SUM(N77,AF77)*100+SUM(H77,Z77)+0.006&gt;AU77*1000000+SUM(W77,AO77)*10000+SUM(Q77,AI77)*100+SUM(K77,AC77)+0.003,1,0)+IF(AS77*1000000+SUM(U77,AM77)*10000+SUM(O77,AG77)*100+SUM(I77,AA77)+0.005&gt;AU77*1000000+SUM(W77,AO77)*10000+SUM(Q77,AI77)*100+SUM(K77,AC77)+0.003,1,0)+IF(AT77*1000000+SUM(V77,AN77)*10000+SUM(P77,AH77)*100+SUM(J77,AB77)+0.004&gt;AU77*1000000+SUM(W77,AO77)*10000+SUM(Q77,AI77)*100+SUM(K77,AC77)+0.003,1,0)+IF(AV77*1000000+SUM(X77,AP77)*10000+SUM(R77,AJ77)*100+SUM(L77,AD77)+0.002&gt;AU77*1000000+SUM(W77,AO77)*10000+SUM(Q77,AI77)*100+SUM(K77,AC77)+0.003,1,0)+IF(AW77*1000000+SUM(Y77,AQ77)*10000+SUM(S77,AK77)*100+SUM(M77,AE77)+0.001&gt;AU77*1000000+SUM(W77,AO77)*10000+SUM(Q77,AI77)*100+SUM(K77,AC77)+0.003,1,0)=1,"S",IF(IF(AR77*1000000+SUM(T77,AL77)*10000+SUM(N77,AF77)*100+SUM(H77,Z77)+0.006&gt;AV77*1000000+SUM(X77,AP77)*10000+SUM(R77,AJ77)*100+SUM(L77,AD77)+0.002,1,0)+IF(AS77*1000000+SUM(U77,AM77)*10000+SUM(O77,AG77)*100+SUM(I77,AA77)+0.005&gt;AV77*1000000+SUM(X77,AP77)*10000+SUM(R77,AJ77)*100+SUM(L77,AD77)+0.002,1,0)+IF(AT77*1000000+SUM(V77,AN77)*10000+SUM(P77,AH77)*100+SUM(J77,AB77)+0.004&gt;AV77*1000000+SUM(X77,AP77)*10000+SUM(R77,AJ77)*100+SUM(L77,AD77)+0.002,1,0)+IF(AU77*1000000+SUM(W77,AO77)*10000+SUM(Q77,AI77)*100+SUM(K77,AC77)+0.003&gt;AV77*1000000+SUM(X77,AP77)*10000+SUM(R77,AJ77)*100+SUM(L77,AD77)+0.002,1,0)+IF(AW77*1000000+SUM(Y77,AQ77)*10000+SUM(S77,AK77)*100+SUM(M77,AE77)+0.001&gt;AV77*1000000+SUM(X77,AP77)*10000+SUM(R77,AJ77)*100+SUM(L77,AD77)+0.002,1,0)=1,"E",IF(IF(AR77*1000000+SUM(T77,AL77)*10000+SUM(N77,AF77)*100+SUM(H77,Z77)+0.006&gt;AW77*1000000+SUM(Y77,AQ77)*10000+SUM(S77,AK77)*100+SUM(M77,AE77)+0.001,1,0)+IF(AS77*1000000+SUM(U77,AM77)*10000+SUM(O77,AG77)*100+SUM(I77,AA77)+0.005&gt;AW77*1000000+SUM(Y77,AQ77)*10000+SUM(S77,AK77)*100+SUM(M77,AE77)+0.001,1,0)+IF(AT77*1000000+SUM(V77,AN77)*10000+SUM(P77,AH77)*100+SUM(J77,AB77)+0.004&gt;AW77*1000000+SUM(Y77,AQ77)*10000+SUM(S77,AK77)*100+SUM(M77,AE77)+0.001,1,0)+IF(AU77*1000000+SUM(W77,AO77)*10000+SUM(Q77,AI77)*100+SUM(K77,AC77)+0.003&gt;AW77*1000000+SUM(Y77,AQ77)*10000+SUM(S77,AK77)*100+SUM(M77,AE77)+0.001,1,0)+IF(AV77*1000000+SUM(X77,AP77)*10000+SUM(R77,AJ77)*100+SUM(L77,AD77)+0.002&gt;AW77*1000000+SUM(Y77,AQ77)*10000+SUM(S77,AK77)*100+SUM(M77,AE77)+0.001,1,0)=1,"C",""))))))&amp;IF(IF(AS77*1000000+SUM(U77,AM77)*10000+SUM(O77,AG77)*100+SUM(I77,AA77)+0.005&gt;AR77*1000000+SUM(T77,AL77)*10000+SUM(N77,AF77)*100+SUM(H77,Z77)+0.006,1,0)+IF(AT77*1000000+SUM(V77,AN77)*10000+SUM(P77,AH77)*100+SUM(J77,AB77)+0.004&gt;AR77*1000000+SUM(T77,AL77)*10000+SUM(N77,AF77)*100+SUM(H77,Z77)+0.006,1,0)+IF(AU77*1000000+SUM(W77,AO77)*10000+SUM(Q77,AI77)*100+SUM(K77,AC77)+0.003&gt;AR77*1000000+SUM(T77,AL77)*10000+SUM(N77,AF77)*100+SUM(H77,Z77)+0.006,1,0)+IF(AV77*1000000+SUM(X77,AP77)*10000+SUM(R77,AJ77)*100+SUM(L77,AD77)+0.002&gt;AR77*1000000+SUM(T77,AL77)*10000+SUM(N77,AF77)*100+SUM(H77,Z77)+0.006,1,0)+IF(AW77*1000000+SUM(Y77,AQ77)*10000+SUM(S77,AK77)*100+SUM(M77,AE77)+0.001&gt;AR77*1000000+SUM(T77,AL77)*10000+SUM(N77,AF77)*100+SUM(H77,Z77)+0.006,1,0)=2,"R",IF(IF(AR77*1000000+SUM(T77,AL77)*10000+SUM(N77,AF77)*100+SUM(H77,Z77)+0.006&gt;AS77*1000000+SUM(U77,AM77)*10000+SUM(O77,AG77)*100+SUM(I77,AA77)+0.005,1,0)+IF(AT77*1000000+SUM(V77,AN77)*10000+SUM(P77,AH77)*100+SUM(J77,AB77)+0.004&gt;AS77*1000000+SUM(U77,AM77)*10000+SUM(O77,AG77)*100+SUM(I77,AA77)+0.005,1,0)+IF(AU77*1000000+SUM(W77,AO77)*10000+SUM(Q77,AI77)*100+SUM(K77,AC77)+0.003&gt;AS77*1000000+SUM(U77,AM77)*10000+SUM(O77,AG77)*100+SUM(I77,AA77)+0.005,1,0)+IF(AV77*1000000+SUM(X77,AP77)*10000+SUM(R77,AJ77)*100+SUM(L77,AD77)+0.002&gt;AS77*1000000+SUM(U77,AM77)*10000+SUM(O77,AG77)*100+SUM(I77,AA77)+0.005,1,0)+IF(AW77*1000000+SUM(Y77,AQ77)*10000+SUM(S77,AK77)*100+SUM(M77,AE77)+0.001&gt;AS77*1000000+SUM(U77,AM77)*10000+SUM(O77,AG77)*100+SUM(I77,AA77)+0.005,1,0)=2,"I",IF(IF(AR77*1000000+SUM(T77,AL77)*10000+SUM(N77,AF77)*100+SUM(H77,Z77)+0.006&gt;AT77*1000000+SUM(V77,AN77)*10000+SUM(P77,AH77)*100+SUM(J77,AB77)+0.004,1,0)+IF(AS77*1000000+SUM(U77,AM77)*10000+SUM(O77,AG77)*100+SUM(I77,AA77)+0.005&gt;AT77*1000000+SUM(V77,AN77)*10000+SUM(P77,AH77)*100+SUM(J77,AB77)+0.004,1,0)+IF(AU77*1000000+SUM(W77,AO77)*10000+SUM(Q77,AI77)*100+SUM(K77,AC77)+0.003&gt;AT77*1000000+SUM(V77,AN77)*10000+SUM(P77,AH77)*100+SUM(J77,AB77)+0.004,1,0)+IF(AV77*1000000+SUM(X77,AP77)*10000+SUM(R77,AJ77)*100+SUM(L77,AD77)+0.002&gt;AT77*1000000+SUM(V77,AN77)*10000+SUM(P77,AH77)*100+SUM(J77,AB77)+0.004,1,0)+IF(AW77*1000000+SUM(Y77,AQ77)*10000+SUM(S77,AK77)*100+SUM(M77,AE77)+0.001&gt;AT77*1000000+SUM(V77,AN77)*10000+SUM(P77,AH77)*100+SUM(J77,AB77)+0.004,1,0)=2,"A",IF(IF(AR77*1000000+SUM(T77,AL77)*10000+SUM(N77,AF77)*100+SUM(H77,Z77)+0.006&gt;AU77*1000000+SUM(W77,AO77)*10000+SUM(Q77,AI77)*100+SUM(K77,AC77)+0.003,1,0)+IF(AS77*1000000+SUM(U77,AM77)*10000+SUM(O77,AG77)*100+SUM(I77,AA77)+0.005&gt;AU77*1000000+SUM(W77,AO77)*10000+SUM(Q77,AI77)*100+SUM(K77,AC77)+0.003,1,0)+IF(AT77*1000000+SUM(V77,AN77)*10000+SUM(P77,AH77)*100+SUM(J77,AB77)+0.004&gt;AU77*1000000+SUM(W77,AO77)*10000+SUM(Q77,AI77)*100+SUM(K77,AC77)+0.003,1,0)+IF(AV77*1000000+SUM(X77,AP77)*10000+SUM(R77,AJ77)*100+SUM(L77,AD77)+0.002&gt;AU77*1000000+SUM(W77,AO77)*10000+SUM(Q77,AI77)*100+SUM(K77,AC77)+0.003,1,0)+IF(AW77*1000000+SUM(Y77,AQ77)*10000+SUM(S77,AK77)*100+SUM(M77,AE77)+0.001&gt;AU77*1000000+SUM(W77,AO77)*10000+SUM(Q77,AI77)*100+SUM(K77,AC77)+0.003,1,0)=2,"S",IF(IF(AR77*1000000+SUM(T77,AL77)*10000+SUM(N77,AF77)*100+SUM(H77,Z77)+0.006&gt;AV77*1000000+SUM(X77,AP77)*10000+SUM(R77,AJ77)*100+SUM(L77,AD77)+0.002,1,0)+IF(AS77*1000000+SUM(U77,AM77)*10000+SUM(O77,AG77)*100+SUM(I77,AA77)+0.005&gt;AV77*1000000+SUM(X77,AP77)*10000+SUM(R77,AJ77)*100+SUM(L77,AD77)+0.002,1,0)+IF(AT77*1000000+SUM(V77,AN77)*10000+SUM(P77,AH77)*100+SUM(J77,AB77)+0.004&gt;AV77*1000000+SUM(X77,AP77)*10000+SUM(R77,AJ77)*100+SUM(L77,AD77)+0.002,1,0)+IF(AU77*1000000+SUM(W77,AO77)*10000+SUM(Q77,AI77)*100+SUM(K77,AC77)+0.003&gt;AV77*1000000+SUM(X77,AP77)*10000+SUM(R77,AJ77)*100+SUM(L77,AD77)+0.002,1,0)+IF(AW77*1000000+SUM(Y77,AQ77)*10000+SUM(S77,AK77)*100+SUM(M77,AE77)+0.001&gt;AV77*1000000+SUM(X77,AP77)*10000+SUM(R77,AJ77)*100+SUM(L77,AD77)+0.002,1,0)=2,"E",IF(IF(AR77*1000000+SUM(T77,AL77)*10000+SUM(N77,AF77)*100+SUM(H77,Z77)+0.006&gt;AW77*1000000+SUM(Y77,AQ77)*10000+SUM(S77,AK77)*100+SUM(M77,AE77)+0.001,1,0)+IF(AS77*1000000+SUM(U77,AM77)*10000+SUM(O77,AG77)*100+SUM(I77,AA77)+0.005&gt;AW77*1000000+SUM(Y77,AQ77)*10000+SUM(S77,AK77)*100+SUM(M77,AE77)+0.001,1,0)+IF(AT77*1000000+SUM(V77,AN77)*10000+SUM(P77,AH77)*100+SUM(J77,AB77)+0.004&gt;AW77*1000000+SUM(Y77,AQ77)*10000+SUM(S77,AK77)*100+SUM(M77,AE77)+0.001,1,0)+IF(AU77*1000000+SUM(W77,AO77)*10000+SUM(Q77,AI77)*100+SUM(K77,AC77)+0.003&gt;AW77*1000000+SUM(Y77,AQ77)*10000+SUM(S77,AK77)*100+SUM(M77,AE77)+0.001,1,0)+IF(AV77*1000000+SUM(X77,AP77)*10000+SUM(R77,AJ77)*100+SUM(L77,AD77)+0.002&gt;AW77*1000000+SUM(Y77,AQ77)*10000+SUM(S77,AK77)*100+SUM(M77,AE77)+0.001,1,0)=2,"C","")))))))</x:f>
      </x:c>
      <x:c r="AY77" s="27" t="str">
        <x:f>IF(C77="","",IF(LEFT(AX77,1)="R","นักปฏิบัติ",IF(LEFT(AX77,1)="I","นักคิดวิเคราะห์",IF(LEFT(AX77,1)="A","นักสร้างสรรค์",IF(LEFT(AX77,1)="S","ผู้เข้าใจผู้คน",IF(LEFT(AX77,1)="E","ผู้นำการเปลี่ยนแปลง","ผู้จัดระบบ"))))))</x:f>
      </x:c>
    </x:row>
    <x:row r="78">
      <x:c r="A78" s="27"/>
      <x:c r="B78" s="28"/>
      <x:c r="C78" s="27"/>
      <x:c r="D78" s="27"/>
      <x:c r="E78" s="27"/>
      <x:c r="F78" s="27"/>
      <x:c r="G78" s="27"/>
      <x:c r="H78" s="27"/>
      <x:c r="I78" s="27"/>
      <x:c r="J78" s="27"/>
      <x:c r="K78" s="27"/>
      <x:c r="L78" s="27"/>
      <x:c r="M78" s="27"/>
      <x:c r="N78" s="27"/>
      <x:c r="O78" s="27"/>
      <x:c r="P78" s="27"/>
      <x:c r="Q78" s="27"/>
      <x:c r="R78" s="27"/>
      <x:c r="S78" s="27"/>
      <x:c r="T78" s="27"/>
      <x:c r="U78" s="27"/>
      <x:c r="V78" s="27"/>
      <x:c r="W78" s="27"/>
      <x:c r="X78" s="27"/>
      <x:c r="Y78" s="27"/>
      <x:c r="Z78" s="27"/>
      <x:c r="AA78" s="27"/>
      <x:c r="AB78" s="27"/>
      <x:c r="AC78" s="27"/>
      <x:c r="AD78" s="27"/>
      <x:c r="AE78" s="27"/>
      <x:c r="AF78" s="27"/>
      <x:c r="AG78" s="27"/>
      <x:c r="AH78" s="27"/>
      <x:c r="AI78" s="27"/>
      <x:c r="AJ78" s="27"/>
      <x:c r="AK78" s="27"/>
      <x:c r="AL78" s="27"/>
      <x:c r="AM78" s="27"/>
      <x:c r="AN78" s="27"/>
      <x:c r="AO78" s="27"/>
      <x:c r="AP78" s="27"/>
      <x:c r="AQ78" s="27"/>
      <x:c r="AR78" s="27" t="str">
        <x:f>IF(C78="","",SUM(H78,N78,T78,Z78,AF78,AL78))</x:f>
      </x:c>
      <x:c r="AS78" s="27" t="str">
        <x:f>IF(C78="","",SUM(I78,O78,U78,AA78,AG78,AM78))</x:f>
      </x:c>
      <x:c r="AT78" s="27" t="str">
        <x:f>IF(C78="","",SUM(J78,P78,V78,AB78,AH78,AN78))</x:f>
      </x:c>
      <x:c r="AU78" s="27" t="str">
        <x:f>IF(C78="","",SUM(K78,Q78,W78,AC78,AI78,AO78))</x:f>
      </x:c>
      <x:c r="AV78" s="27" t="str">
        <x:f>IF(C78="","",SUM(L78,R78,X78,AD78,AJ78,AP78))</x:f>
      </x:c>
      <x:c r="AW78" s="27" t="str">
        <x:f>IF(C78="","",SUM(M78,S78,Y78,AE78,AK78,AQ78))</x:f>
      </x:c>
      <x:c r="AX78" s="27" t="str">
        <x:f>IF(C78="","",IF(IF(AS78*1000000+SUM(U78,AM78)*10000+SUM(O78,AG78)*100+SUM(I78,AA78)+0.005&gt;AR78*1000000+SUM(T78,AL78)*10000+SUM(N78,AF78)*100+SUM(H78,Z78)+0.006,1,0)+IF(AT78*1000000+SUM(V78,AN78)*10000+SUM(P78,AH78)*100+SUM(J78,AB78)+0.004&gt;AR78*1000000+SUM(T78,AL78)*10000+SUM(N78,AF78)*100+SUM(H78,Z78)+0.006,1,0)+IF(AU78*1000000+SUM(W78,AO78)*10000+SUM(Q78,AI78)*100+SUM(K78,AC78)+0.003&gt;AR78*1000000+SUM(T78,AL78)*10000+SUM(N78,AF78)*100+SUM(H78,Z78)+0.006,1,0)+IF(AV78*1000000+SUM(X78,AP78)*10000+SUM(R78,AJ78)*100+SUM(L78,AD78)+0.002&gt;AR78*1000000+SUM(T78,AL78)*10000+SUM(N78,AF78)*100+SUM(H78,Z78)+0.006,1,0)+IF(AW78*1000000+SUM(Y78,AQ78)*10000+SUM(S78,AK78)*100+SUM(M78,AE78)+0.001&gt;AR78*1000000+SUM(T78,AL78)*10000+SUM(N78,AF78)*100+SUM(H78,Z78)+0.006,1,0)=0,"R",IF(IF(AR78*1000000+SUM(T78,AL78)*10000+SUM(N78,AF78)*100+SUM(H78,Z78)+0.006&gt;AS78*1000000+SUM(U78,AM78)*10000+SUM(O78,AG78)*100+SUM(I78,AA78)+0.005,1,0)+IF(AT78*1000000+SUM(V78,AN78)*10000+SUM(P78,AH78)*100+SUM(J78,AB78)+0.004&gt;AS78*1000000+SUM(U78,AM78)*10000+SUM(O78,AG78)*100+SUM(I78,AA78)+0.005,1,0)+IF(AU78*1000000+SUM(W78,AO78)*10000+SUM(Q78,AI78)*100+SUM(K78,AC78)+0.003&gt;AS78*1000000+SUM(U78,AM78)*10000+SUM(O78,AG78)*100+SUM(I78,AA78)+0.005,1,0)+IF(AV78*1000000+SUM(X78,AP78)*10000+SUM(R78,AJ78)*100+SUM(L78,AD78)+0.002&gt;AS78*1000000+SUM(U78,AM78)*10000+SUM(O78,AG78)*100+SUM(I78,AA78)+0.005,1,0)+IF(AW78*1000000+SUM(Y78,AQ78)*10000+SUM(S78,AK78)*100+SUM(M78,AE78)+0.001&gt;AS78*1000000+SUM(U78,AM78)*10000+SUM(O78,AG78)*100+SUM(I78,AA78)+0.005,1,0)=0,"I",IF(IF(AR78*1000000+SUM(T78,AL78)*10000+SUM(N78,AF78)*100+SUM(H78,Z78)+0.006&gt;AT78*1000000+SUM(V78,AN78)*10000+SUM(P78,AH78)*100+SUM(J78,AB78)+0.004,1,0)+IF(AS78*1000000+SUM(U78,AM78)*10000+SUM(O78,AG78)*100+SUM(I78,AA78)+0.005&gt;AT78*1000000+SUM(V78,AN78)*10000+SUM(P78,AH78)*100+SUM(J78,AB78)+0.004,1,0)+IF(AU78*1000000+SUM(W78,AO78)*10000+SUM(Q78,AI78)*100+SUM(K78,AC78)+0.003&gt;AT78*1000000+SUM(V78,AN78)*10000+SUM(P78,AH78)*100+SUM(J78,AB78)+0.004,1,0)+IF(AV78*1000000+SUM(X78,AP78)*10000+SUM(R78,AJ78)*100+SUM(L78,AD78)+0.002&gt;AT78*1000000+SUM(V78,AN78)*10000+SUM(P78,AH78)*100+SUM(J78,AB78)+0.004,1,0)+IF(AW78*1000000+SUM(Y78,AQ78)*10000+SUM(S78,AK78)*100+SUM(M78,AE78)+0.001&gt;AT78*1000000+SUM(V78,AN78)*10000+SUM(P78,AH78)*100+SUM(J78,AB78)+0.004,1,0)=0,"A",IF(IF(AR78*1000000+SUM(T78,AL78)*10000+SUM(N78,AF78)*100+SUM(H78,Z78)+0.006&gt;AU78*1000000+SUM(W78,AO78)*10000+SUM(Q78,AI78)*100+SUM(K78,AC78)+0.003,1,0)+IF(AS78*1000000+SUM(U78,AM78)*10000+SUM(O78,AG78)*100+SUM(I78,AA78)+0.005&gt;AU78*1000000+SUM(W78,AO78)*10000+SUM(Q78,AI78)*100+SUM(K78,AC78)+0.003,1,0)+IF(AT78*1000000+SUM(V78,AN78)*10000+SUM(P78,AH78)*100+SUM(J78,AB78)+0.004&gt;AU78*1000000+SUM(W78,AO78)*10000+SUM(Q78,AI78)*100+SUM(K78,AC78)+0.003,1,0)+IF(AV78*1000000+SUM(X78,AP78)*10000+SUM(R78,AJ78)*100+SUM(L78,AD78)+0.002&gt;AU78*1000000+SUM(W78,AO78)*10000+SUM(Q78,AI78)*100+SUM(K78,AC78)+0.003,1,0)+IF(AW78*1000000+SUM(Y78,AQ78)*10000+SUM(S78,AK78)*100+SUM(M78,AE78)+0.001&gt;AU78*1000000+SUM(W78,AO78)*10000+SUM(Q78,AI78)*100+SUM(K78,AC78)+0.003,1,0)=0,"S",IF(IF(AR78*1000000+SUM(T78,AL78)*10000+SUM(N78,AF78)*100+SUM(H78,Z78)+0.006&gt;AV78*1000000+SUM(X78,AP78)*10000+SUM(R78,AJ78)*100+SUM(L78,AD78)+0.002,1,0)+IF(AS78*1000000+SUM(U78,AM78)*10000+SUM(O78,AG78)*100+SUM(I78,AA78)+0.005&gt;AV78*1000000+SUM(X78,AP78)*10000+SUM(R78,AJ78)*100+SUM(L78,AD78)+0.002,1,0)+IF(AT78*1000000+SUM(V78,AN78)*10000+SUM(P78,AH78)*100+SUM(J78,AB78)+0.004&gt;AV78*1000000+SUM(X78,AP78)*10000+SUM(R78,AJ78)*100+SUM(L78,AD78)+0.002,1,0)+IF(AU78*1000000+SUM(W78,AO78)*10000+SUM(Q78,AI78)*100+SUM(K78,AC78)+0.003&gt;AV78*1000000+SUM(X78,AP78)*10000+SUM(R78,AJ78)*100+SUM(L78,AD78)+0.002,1,0)+IF(AW78*1000000+SUM(Y78,AQ78)*10000+SUM(S78,AK78)*100+SUM(M78,AE78)+0.001&gt;AV78*1000000+SUM(X78,AP78)*10000+SUM(R78,AJ78)*100+SUM(L78,AD78)+0.002,1,0)=0,"E",IF(IF(AR78*1000000+SUM(T78,AL78)*10000+SUM(N78,AF78)*100+SUM(H78,Z78)+0.006&gt;AW78*1000000+SUM(Y78,AQ78)*10000+SUM(S78,AK78)*100+SUM(M78,AE78)+0.001,1,0)+IF(AS78*1000000+SUM(U78,AM78)*10000+SUM(O78,AG78)*100+SUM(I78,AA78)+0.005&gt;AW78*1000000+SUM(Y78,AQ78)*10000+SUM(S78,AK78)*100+SUM(M78,AE78)+0.001,1,0)+IF(AT78*1000000+SUM(V78,AN78)*10000+SUM(P78,AH78)*100+SUM(J78,AB78)+0.004&gt;AW78*1000000+SUM(Y78,AQ78)*10000+SUM(S78,AK78)*100+SUM(M78,AE78)+0.001,1,0)+IF(AU78*1000000+SUM(W78,AO78)*10000+SUM(Q78,AI78)*100+SUM(K78,AC78)+0.003&gt;AW78*1000000+SUM(Y78,AQ78)*10000+SUM(S78,AK78)*100+SUM(M78,AE78)+0.001,1,0)+IF(AV78*1000000+SUM(X78,AP78)*10000+SUM(R78,AJ78)*100+SUM(L78,AD78)+0.002&gt;AW78*1000000+SUM(Y78,AQ78)*10000+SUM(S78,AK78)*100+SUM(M78,AE78)+0.001,1,0)=0,"C",""))))))&amp;IF(IF(AS78*1000000+SUM(U78,AM78)*10000+SUM(O78,AG78)*100+SUM(I78,AA78)+0.005&gt;AR78*1000000+SUM(T78,AL78)*10000+SUM(N78,AF78)*100+SUM(H78,Z78)+0.006,1,0)+IF(AT78*1000000+SUM(V78,AN78)*10000+SUM(P78,AH78)*100+SUM(J78,AB78)+0.004&gt;AR78*1000000+SUM(T78,AL78)*10000+SUM(N78,AF78)*100+SUM(H78,Z78)+0.006,1,0)+IF(AU78*1000000+SUM(W78,AO78)*10000+SUM(Q78,AI78)*100+SUM(K78,AC78)+0.003&gt;AR78*1000000+SUM(T78,AL78)*10000+SUM(N78,AF78)*100+SUM(H78,Z78)+0.006,1,0)+IF(AV78*1000000+SUM(X78,AP78)*10000+SUM(R78,AJ78)*100+SUM(L78,AD78)+0.002&gt;AR78*1000000+SUM(T78,AL78)*10000+SUM(N78,AF78)*100+SUM(H78,Z78)+0.006,1,0)+IF(AW78*1000000+SUM(Y78,AQ78)*10000+SUM(S78,AK78)*100+SUM(M78,AE78)+0.001&gt;AR78*1000000+SUM(T78,AL78)*10000+SUM(N78,AF78)*100+SUM(H78,Z78)+0.006,1,0)=1,"R",IF(IF(AR78*1000000+SUM(T78,AL78)*10000+SUM(N78,AF78)*100+SUM(H78,Z78)+0.006&gt;AS78*1000000+SUM(U78,AM78)*10000+SUM(O78,AG78)*100+SUM(I78,AA78)+0.005,1,0)+IF(AT78*1000000+SUM(V78,AN78)*10000+SUM(P78,AH78)*100+SUM(J78,AB78)+0.004&gt;AS78*1000000+SUM(U78,AM78)*10000+SUM(O78,AG78)*100+SUM(I78,AA78)+0.005,1,0)+IF(AU78*1000000+SUM(W78,AO78)*10000+SUM(Q78,AI78)*100+SUM(K78,AC78)+0.003&gt;AS78*1000000+SUM(U78,AM78)*10000+SUM(O78,AG78)*100+SUM(I78,AA78)+0.005,1,0)+IF(AV78*1000000+SUM(X78,AP78)*10000+SUM(R78,AJ78)*100+SUM(L78,AD78)+0.002&gt;AS78*1000000+SUM(U78,AM78)*10000+SUM(O78,AG78)*100+SUM(I78,AA78)+0.005,1,0)+IF(AW78*1000000+SUM(Y78,AQ78)*10000+SUM(S78,AK78)*100+SUM(M78,AE78)+0.001&gt;AS78*1000000+SUM(U78,AM78)*10000+SUM(O78,AG78)*100+SUM(I78,AA78)+0.005,1,0)=1,"I",IF(IF(AR78*1000000+SUM(T78,AL78)*10000+SUM(N78,AF78)*100+SUM(H78,Z78)+0.006&gt;AT78*1000000+SUM(V78,AN78)*10000+SUM(P78,AH78)*100+SUM(J78,AB78)+0.004,1,0)+IF(AS78*1000000+SUM(U78,AM78)*10000+SUM(O78,AG78)*100+SUM(I78,AA78)+0.005&gt;AT78*1000000+SUM(V78,AN78)*10000+SUM(P78,AH78)*100+SUM(J78,AB78)+0.004,1,0)+IF(AU78*1000000+SUM(W78,AO78)*10000+SUM(Q78,AI78)*100+SUM(K78,AC78)+0.003&gt;AT78*1000000+SUM(V78,AN78)*10000+SUM(P78,AH78)*100+SUM(J78,AB78)+0.004,1,0)+IF(AV78*1000000+SUM(X78,AP78)*10000+SUM(R78,AJ78)*100+SUM(L78,AD78)+0.002&gt;AT78*1000000+SUM(V78,AN78)*10000+SUM(P78,AH78)*100+SUM(J78,AB78)+0.004,1,0)+IF(AW78*1000000+SUM(Y78,AQ78)*10000+SUM(S78,AK78)*100+SUM(M78,AE78)+0.001&gt;AT78*1000000+SUM(V78,AN78)*10000+SUM(P78,AH78)*100+SUM(J78,AB78)+0.004,1,0)=1,"A",IF(IF(AR78*1000000+SUM(T78,AL78)*10000+SUM(N78,AF78)*100+SUM(H78,Z78)+0.006&gt;AU78*1000000+SUM(W78,AO78)*10000+SUM(Q78,AI78)*100+SUM(K78,AC78)+0.003,1,0)+IF(AS78*1000000+SUM(U78,AM78)*10000+SUM(O78,AG78)*100+SUM(I78,AA78)+0.005&gt;AU78*1000000+SUM(W78,AO78)*10000+SUM(Q78,AI78)*100+SUM(K78,AC78)+0.003,1,0)+IF(AT78*1000000+SUM(V78,AN78)*10000+SUM(P78,AH78)*100+SUM(J78,AB78)+0.004&gt;AU78*1000000+SUM(W78,AO78)*10000+SUM(Q78,AI78)*100+SUM(K78,AC78)+0.003,1,0)+IF(AV78*1000000+SUM(X78,AP78)*10000+SUM(R78,AJ78)*100+SUM(L78,AD78)+0.002&gt;AU78*1000000+SUM(W78,AO78)*10000+SUM(Q78,AI78)*100+SUM(K78,AC78)+0.003,1,0)+IF(AW78*1000000+SUM(Y78,AQ78)*10000+SUM(S78,AK78)*100+SUM(M78,AE78)+0.001&gt;AU78*1000000+SUM(W78,AO78)*10000+SUM(Q78,AI78)*100+SUM(K78,AC78)+0.003,1,0)=1,"S",IF(IF(AR78*1000000+SUM(T78,AL78)*10000+SUM(N78,AF78)*100+SUM(H78,Z78)+0.006&gt;AV78*1000000+SUM(X78,AP78)*10000+SUM(R78,AJ78)*100+SUM(L78,AD78)+0.002,1,0)+IF(AS78*1000000+SUM(U78,AM78)*10000+SUM(O78,AG78)*100+SUM(I78,AA78)+0.005&gt;AV78*1000000+SUM(X78,AP78)*10000+SUM(R78,AJ78)*100+SUM(L78,AD78)+0.002,1,0)+IF(AT78*1000000+SUM(V78,AN78)*10000+SUM(P78,AH78)*100+SUM(J78,AB78)+0.004&gt;AV78*1000000+SUM(X78,AP78)*10000+SUM(R78,AJ78)*100+SUM(L78,AD78)+0.002,1,0)+IF(AU78*1000000+SUM(W78,AO78)*10000+SUM(Q78,AI78)*100+SUM(K78,AC78)+0.003&gt;AV78*1000000+SUM(X78,AP78)*10000+SUM(R78,AJ78)*100+SUM(L78,AD78)+0.002,1,0)+IF(AW78*1000000+SUM(Y78,AQ78)*10000+SUM(S78,AK78)*100+SUM(M78,AE78)+0.001&gt;AV78*1000000+SUM(X78,AP78)*10000+SUM(R78,AJ78)*100+SUM(L78,AD78)+0.002,1,0)=1,"E",IF(IF(AR78*1000000+SUM(T78,AL78)*10000+SUM(N78,AF78)*100+SUM(H78,Z78)+0.006&gt;AW78*1000000+SUM(Y78,AQ78)*10000+SUM(S78,AK78)*100+SUM(M78,AE78)+0.001,1,0)+IF(AS78*1000000+SUM(U78,AM78)*10000+SUM(O78,AG78)*100+SUM(I78,AA78)+0.005&gt;AW78*1000000+SUM(Y78,AQ78)*10000+SUM(S78,AK78)*100+SUM(M78,AE78)+0.001,1,0)+IF(AT78*1000000+SUM(V78,AN78)*10000+SUM(P78,AH78)*100+SUM(J78,AB78)+0.004&gt;AW78*1000000+SUM(Y78,AQ78)*10000+SUM(S78,AK78)*100+SUM(M78,AE78)+0.001,1,0)+IF(AU78*1000000+SUM(W78,AO78)*10000+SUM(Q78,AI78)*100+SUM(K78,AC78)+0.003&gt;AW78*1000000+SUM(Y78,AQ78)*10000+SUM(S78,AK78)*100+SUM(M78,AE78)+0.001,1,0)+IF(AV78*1000000+SUM(X78,AP78)*10000+SUM(R78,AJ78)*100+SUM(L78,AD78)+0.002&gt;AW78*1000000+SUM(Y78,AQ78)*10000+SUM(S78,AK78)*100+SUM(M78,AE78)+0.001,1,0)=1,"C",""))))))&amp;IF(IF(AS78*1000000+SUM(U78,AM78)*10000+SUM(O78,AG78)*100+SUM(I78,AA78)+0.005&gt;AR78*1000000+SUM(T78,AL78)*10000+SUM(N78,AF78)*100+SUM(H78,Z78)+0.006,1,0)+IF(AT78*1000000+SUM(V78,AN78)*10000+SUM(P78,AH78)*100+SUM(J78,AB78)+0.004&gt;AR78*1000000+SUM(T78,AL78)*10000+SUM(N78,AF78)*100+SUM(H78,Z78)+0.006,1,0)+IF(AU78*1000000+SUM(W78,AO78)*10000+SUM(Q78,AI78)*100+SUM(K78,AC78)+0.003&gt;AR78*1000000+SUM(T78,AL78)*10000+SUM(N78,AF78)*100+SUM(H78,Z78)+0.006,1,0)+IF(AV78*1000000+SUM(X78,AP78)*10000+SUM(R78,AJ78)*100+SUM(L78,AD78)+0.002&gt;AR78*1000000+SUM(T78,AL78)*10000+SUM(N78,AF78)*100+SUM(H78,Z78)+0.006,1,0)+IF(AW78*1000000+SUM(Y78,AQ78)*10000+SUM(S78,AK78)*100+SUM(M78,AE78)+0.001&gt;AR78*1000000+SUM(T78,AL78)*10000+SUM(N78,AF78)*100+SUM(H78,Z78)+0.006,1,0)=2,"R",IF(IF(AR78*1000000+SUM(T78,AL78)*10000+SUM(N78,AF78)*100+SUM(H78,Z78)+0.006&gt;AS78*1000000+SUM(U78,AM78)*10000+SUM(O78,AG78)*100+SUM(I78,AA78)+0.005,1,0)+IF(AT78*1000000+SUM(V78,AN78)*10000+SUM(P78,AH78)*100+SUM(J78,AB78)+0.004&gt;AS78*1000000+SUM(U78,AM78)*10000+SUM(O78,AG78)*100+SUM(I78,AA78)+0.005,1,0)+IF(AU78*1000000+SUM(W78,AO78)*10000+SUM(Q78,AI78)*100+SUM(K78,AC78)+0.003&gt;AS78*1000000+SUM(U78,AM78)*10000+SUM(O78,AG78)*100+SUM(I78,AA78)+0.005,1,0)+IF(AV78*1000000+SUM(X78,AP78)*10000+SUM(R78,AJ78)*100+SUM(L78,AD78)+0.002&gt;AS78*1000000+SUM(U78,AM78)*10000+SUM(O78,AG78)*100+SUM(I78,AA78)+0.005,1,0)+IF(AW78*1000000+SUM(Y78,AQ78)*10000+SUM(S78,AK78)*100+SUM(M78,AE78)+0.001&gt;AS78*1000000+SUM(U78,AM78)*10000+SUM(O78,AG78)*100+SUM(I78,AA78)+0.005,1,0)=2,"I",IF(IF(AR78*1000000+SUM(T78,AL78)*10000+SUM(N78,AF78)*100+SUM(H78,Z78)+0.006&gt;AT78*1000000+SUM(V78,AN78)*10000+SUM(P78,AH78)*100+SUM(J78,AB78)+0.004,1,0)+IF(AS78*1000000+SUM(U78,AM78)*10000+SUM(O78,AG78)*100+SUM(I78,AA78)+0.005&gt;AT78*1000000+SUM(V78,AN78)*10000+SUM(P78,AH78)*100+SUM(J78,AB78)+0.004,1,0)+IF(AU78*1000000+SUM(W78,AO78)*10000+SUM(Q78,AI78)*100+SUM(K78,AC78)+0.003&gt;AT78*1000000+SUM(V78,AN78)*10000+SUM(P78,AH78)*100+SUM(J78,AB78)+0.004,1,0)+IF(AV78*1000000+SUM(X78,AP78)*10000+SUM(R78,AJ78)*100+SUM(L78,AD78)+0.002&gt;AT78*1000000+SUM(V78,AN78)*10000+SUM(P78,AH78)*100+SUM(J78,AB78)+0.004,1,0)+IF(AW78*1000000+SUM(Y78,AQ78)*10000+SUM(S78,AK78)*100+SUM(M78,AE78)+0.001&gt;AT78*1000000+SUM(V78,AN78)*10000+SUM(P78,AH78)*100+SUM(J78,AB78)+0.004,1,0)=2,"A",IF(IF(AR78*1000000+SUM(T78,AL78)*10000+SUM(N78,AF78)*100+SUM(H78,Z78)+0.006&gt;AU78*1000000+SUM(W78,AO78)*10000+SUM(Q78,AI78)*100+SUM(K78,AC78)+0.003,1,0)+IF(AS78*1000000+SUM(U78,AM78)*10000+SUM(O78,AG78)*100+SUM(I78,AA78)+0.005&gt;AU78*1000000+SUM(W78,AO78)*10000+SUM(Q78,AI78)*100+SUM(K78,AC78)+0.003,1,0)+IF(AT78*1000000+SUM(V78,AN78)*10000+SUM(P78,AH78)*100+SUM(J78,AB78)+0.004&gt;AU78*1000000+SUM(W78,AO78)*10000+SUM(Q78,AI78)*100+SUM(K78,AC78)+0.003,1,0)+IF(AV78*1000000+SUM(X78,AP78)*10000+SUM(R78,AJ78)*100+SUM(L78,AD78)+0.002&gt;AU78*1000000+SUM(W78,AO78)*10000+SUM(Q78,AI78)*100+SUM(K78,AC78)+0.003,1,0)+IF(AW78*1000000+SUM(Y78,AQ78)*10000+SUM(S78,AK78)*100+SUM(M78,AE78)+0.001&gt;AU78*1000000+SUM(W78,AO78)*10000+SUM(Q78,AI78)*100+SUM(K78,AC78)+0.003,1,0)=2,"S",IF(IF(AR78*1000000+SUM(T78,AL78)*10000+SUM(N78,AF78)*100+SUM(H78,Z78)+0.006&gt;AV78*1000000+SUM(X78,AP78)*10000+SUM(R78,AJ78)*100+SUM(L78,AD78)+0.002,1,0)+IF(AS78*1000000+SUM(U78,AM78)*10000+SUM(O78,AG78)*100+SUM(I78,AA78)+0.005&gt;AV78*1000000+SUM(X78,AP78)*10000+SUM(R78,AJ78)*100+SUM(L78,AD78)+0.002,1,0)+IF(AT78*1000000+SUM(V78,AN78)*10000+SUM(P78,AH78)*100+SUM(J78,AB78)+0.004&gt;AV78*1000000+SUM(X78,AP78)*10000+SUM(R78,AJ78)*100+SUM(L78,AD78)+0.002,1,0)+IF(AU78*1000000+SUM(W78,AO78)*10000+SUM(Q78,AI78)*100+SUM(K78,AC78)+0.003&gt;AV78*1000000+SUM(X78,AP78)*10000+SUM(R78,AJ78)*100+SUM(L78,AD78)+0.002,1,0)+IF(AW78*1000000+SUM(Y78,AQ78)*10000+SUM(S78,AK78)*100+SUM(M78,AE78)+0.001&gt;AV78*1000000+SUM(X78,AP78)*10000+SUM(R78,AJ78)*100+SUM(L78,AD78)+0.002,1,0)=2,"E",IF(IF(AR78*1000000+SUM(T78,AL78)*10000+SUM(N78,AF78)*100+SUM(H78,Z78)+0.006&gt;AW78*1000000+SUM(Y78,AQ78)*10000+SUM(S78,AK78)*100+SUM(M78,AE78)+0.001,1,0)+IF(AS78*1000000+SUM(U78,AM78)*10000+SUM(O78,AG78)*100+SUM(I78,AA78)+0.005&gt;AW78*1000000+SUM(Y78,AQ78)*10000+SUM(S78,AK78)*100+SUM(M78,AE78)+0.001,1,0)+IF(AT78*1000000+SUM(V78,AN78)*10000+SUM(P78,AH78)*100+SUM(J78,AB78)+0.004&gt;AW78*1000000+SUM(Y78,AQ78)*10000+SUM(S78,AK78)*100+SUM(M78,AE78)+0.001,1,0)+IF(AU78*1000000+SUM(W78,AO78)*10000+SUM(Q78,AI78)*100+SUM(K78,AC78)+0.003&gt;AW78*1000000+SUM(Y78,AQ78)*10000+SUM(S78,AK78)*100+SUM(M78,AE78)+0.001,1,0)+IF(AV78*1000000+SUM(X78,AP78)*10000+SUM(R78,AJ78)*100+SUM(L78,AD78)+0.002&gt;AW78*1000000+SUM(Y78,AQ78)*10000+SUM(S78,AK78)*100+SUM(M78,AE78)+0.001,1,0)=2,"C","")))))))</x:f>
      </x:c>
      <x:c r="AY78" s="27" t="str">
        <x:f>IF(C78="","",IF(LEFT(AX78,1)="R","นักปฏิบัติ",IF(LEFT(AX78,1)="I","นักคิดวิเคราะห์",IF(LEFT(AX78,1)="A","นักสร้างสรรค์",IF(LEFT(AX78,1)="S","ผู้เข้าใจผู้คน",IF(LEFT(AX78,1)="E","ผู้นำการเปลี่ยนแปลง","ผู้จัดระบบ"))))))</x:f>
      </x:c>
    </x:row>
    <x:row r="79">
      <x:c r="A79" s="27"/>
      <x:c r="B79" s="28"/>
      <x:c r="C79" s="27"/>
      <x:c r="D79" s="27"/>
      <x:c r="E79" s="27"/>
      <x:c r="F79" s="27"/>
      <x:c r="G79" s="27"/>
      <x:c r="H79" s="27"/>
      <x:c r="I79" s="27"/>
      <x:c r="J79" s="27"/>
      <x:c r="K79" s="27"/>
      <x:c r="L79" s="27"/>
      <x:c r="M79" s="27"/>
      <x:c r="N79" s="27"/>
      <x:c r="O79" s="27"/>
      <x:c r="P79" s="27"/>
      <x:c r="Q79" s="27"/>
      <x:c r="R79" s="27"/>
      <x:c r="S79" s="27"/>
      <x:c r="T79" s="27"/>
      <x:c r="U79" s="27"/>
      <x:c r="V79" s="27"/>
      <x:c r="W79" s="27"/>
      <x:c r="X79" s="27"/>
      <x:c r="Y79" s="27"/>
      <x:c r="Z79" s="27"/>
      <x:c r="AA79" s="27"/>
      <x:c r="AB79" s="27"/>
      <x:c r="AC79" s="27"/>
      <x:c r="AD79" s="27"/>
      <x:c r="AE79" s="27"/>
      <x:c r="AF79" s="27"/>
      <x:c r="AG79" s="27"/>
      <x:c r="AH79" s="27"/>
      <x:c r="AI79" s="27"/>
      <x:c r="AJ79" s="27"/>
      <x:c r="AK79" s="27"/>
      <x:c r="AL79" s="27"/>
      <x:c r="AM79" s="27"/>
      <x:c r="AN79" s="27"/>
      <x:c r="AO79" s="27"/>
      <x:c r="AP79" s="27"/>
      <x:c r="AQ79" s="27"/>
      <x:c r="AR79" s="27" t="str">
        <x:f>IF(C79="","",SUM(H79,N79,T79,Z79,AF79,AL79))</x:f>
      </x:c>
      <x:c r="AS79" s="27" t="str">
        <x:f>IF(C79="","",SUM(I79,O79,U79,AA79,AG79,AM79))</x:f>
      </x:c>
      <x:c r="AT79" s="27" t="str">
        <x:f>IF(C79="","",SUM(J79,P79,V79,AB79,AH79,AN79))</x:f>
      </x:c>
      <x:c r="AU79" s="27" t="str">
        <x:f>IF(C79="","",SUM(K79,Q79,W79,AC79,AI79,AO79))</x:f>
      </x:c>
      <x:c r="AV79" s="27" t="str">
        <x:f>IF(C79="","",SUM(L79,R79,X79,AD79,AJ79,AP79))</x:f>
      </x:c>
      <x:c r="AW79" s="27" t="str">
        <x:f>IF(C79="","",SUM(M79,S79,Y79,AE79,AK79,AQ79))</x:f>
      </x:c>
      <x:c r="AX79" s="27" t="str">
        <x:f>IF(C79="","",IF(IF(AS79*1000000+SUM(U79,AM79)*10000+SUM(O79,AG79)*100+SUM(I79,AA79)+0.005&gt;AR79*1000000+SUM(T79,AL79)*10000+SUM(N79,AF79)*100+SUM(H79,Z79)+0.006,1,0)+IF(AT79*1000000+SUM(V79,AN79)*10000+SUM(P79,AH79)*100+SUM(J79,AB79)+0.004&gt;AR79*1000000+SUM(T79,AL79)*10000+SUM(N79,AF79)*100+SUM(H79,Z79)+0.006,1,0)+IF(AU79*1000000+SUM(W79,AO79)*10000+SUM(Q79,AI79)*100+SUM(K79,AC79)+0.003&gt;AR79*1000000+SUM(T79,AL79)*10000+SUM(N79,AF79)*100+SUM(H79,Z79)+0.006,1,0)+IF(AV79*1000000+SUM(X79,AP79)*10000+SUM(R79,AJ79)*100+SUM(L79,AD79)+0.002&gt;AR79*1000000+SUM(T79,AL79)*10000+SUM(N79,AF79)*100+SUM(H79,Z79)+0.006,1,0)+IF(AW79*1000000+SUM(Y79,AQ79)*10000+SUM(S79,AK79)*100+SUM(M79,AE79)+0.001&gt;AR79*1000000+SUM(T79,AL79)*10000+SUM(N79,AF79)*100+SUM(H79,Z79)+0.006,1,0)=0,"R",IF(IF(AR79*1000000+SUM(T79,AL79)*10000+SUM(N79,AF79)*100+SUM(H79,Z79)+0.006&gt;AS79*1000000+SUM(U79,AM79)*10000+SUM(O79,AG79)*100+SUM(I79,AA79)+0.005,1,0)+IF(AT79*1000000+SUM(V79,AN79)*10000+SUM(P79,AH79)*100+SUM(J79,AB79)+0.004&gt;AS79*1000000+SUM(U79,AM79)*10000+SUM(O79,AG79)*100+SUM(I79,AA79)+0.005,1,0)+IF(AU79*1000000+SUM(W79,AO79)*10000+SUM(Q79,AI79)*100+SUM(K79,AC79)+0.003&gt;AS79*1000000+SUM(U79,AM79)*10000+SUM(O79,AG79)*100+SUM(I79,AA79)+0.005,1,0)+IF(AV79*1000000+SUM(X79,AP79)*10000+SUM(R79,AJ79)*100+SUM(L79,AD79)+0.002&gt;AS79*1000000+SUM(U79,AM79)*10000+SUM(O79,AG79)*100+SUM(I79,AA79)+0.005,1,0)+IF(AW79*1000000+SUM(Y79,AQ79)*10000+SUM(S79,AK79)*100+SUM(M79,AE79)+0.001&gt;AS79*1000000+SUM(U79,AM79)*10000+SUM(O79,AG79)*100+SUM(I79,AA79)+0.005,1,0)=0,"I",IF(IF(AR79*1000000+SUM(T79,AL79)*10000+SUM(N79,AF79)*100+SUM(H79,Z79)+0.006&gt;AT79*1000000+SUM(V79,AN79)*10000+SUM(P79,AH79)*100+SUM(J79,AB79)+0.004,1,0)+IF(AS79*1000000+SUM(U79,AM79)*10000+SUM(O79,AG79)*100+SUM(I79,AA79)+0.005&gt;AT79*1000000+SUM(V79,AN79)*10000+SUM(P79,AH79)*100+SUM(J79,AB79)+0.004,1,0)+IF(AU79*1000000+SUM(W79,AO79)*10000+SUM(Q79,AI79)*100+SUM(K79,AC79)+0.003&gt;AT79*1000000+SUM(V79,AN79)*10000+SUM(P79,AH79)*100+SUM(J79,AB79)+0.004,1,0)+IF(AV79*1000000+SUM(X79,AP79)*10000+SUM(R79,AJ79)*100+SUM(L79,AD79)+0.002&gt;AT79*1000000+SUM(V79,AN79)*10000+SUM(P79,AH79)*100+SUM(J79,AB79)+0.004,1,0)+IF(AW79*1000000+SUM(Y79,AQ79)*10000+SUM(S79,AK79)*100+SUM(M79,AE79)+0.001&gt;AT79*1000000+SUM(V79,AN79)*10000+SUM(P79,AH79)*100+SUM(J79,AB79)+0.004,1,0)=0,"A",IF(IF(AR79*1000000+SUM(T79,AL79)*10000+SUM(N79,AF79)*100+SUM(H79,Z79)+0.006&gt;AU79*1000000+SUM(W79,AO79)*10000+SUM(Q79,AI79)*100+SUM(K79,AC79)+0.003,1,0)+IF(AS79*1000000+SUM(U79,AM79)*10000+SUM(O79,AG79)*100+SUM(I79,AA79)+0.005&gt;AU79*1000000+SUM(W79,AO79)*10000+SUM(Q79,AI79)*100+SUM(K79,AC79)+0.003,1,0)+IF(AT79*1000000+SUM(V79,AN79)*10000+SUM(P79,AH79)*100+SUM(J79,AB79)+0.004&gt;AU79*1000000+SUM(W79,AO79)*10000+SUM(Q79,AI79)*100+SUM(K79,AC79)+0.003,1,0)+IF(AV79*1000000+SUM(X79,AP79)*10000+SUM(R79,AJ79)*100+SUM(L79,AD79)+0.002&gt;AU79*1000000+SUM(W79,AO79)*10000+SUM(Q79,AI79)*100+SUM(K79,AC79)+0.003,1,0)+IF(AW79*1000000+SUM(Y79,AQ79)*10000+SUM(S79,AK79)*100+SUM(M79,AE79)+0.001&gt;AU79*1000000+SUM(W79,AO79)*10000+SUM(Q79,AI79)*100+SUM(K79,AC79)+0.003,1,0)=0,"S",IF(IF(AR79*1000000+SUM(T79,AL79)*10000+SUM(N79,AF79)*100+SUM(H79,Z79)+0.006&gt;AV79*1000000+SUM(X79,AP79)*10000+SUM(R79,AJ79)*100+SUM(L79,AD79)+0.002,1,0)+IF(AS79*1000000+SUM(U79,AM79)*10000+SUM(O79,AG79)*100+SUM(I79,AA79)+0.005&gt;AV79*1000000+SUM(X79,AP79)*10000+SUM(R79,AJ79)*100+SUM(L79,AD79)+0.002,1,0)+IF(AT79*1000000+SUM(V79,AN79)*10000+SUM(P79,AH79)*100+SUM(J79,AB79)+0.004&gt;AV79*1000000+SUM(X79,AP79)*10000+SUM(R79,AJ79)*100+SUM(L79,AD79)+0.002,1,0)+IF(AU79*1000000+SUM(W79,AO79)*10000+SUM(Q79,AI79)*100+SUM(K79,AC79)+0.003&gt;AV79*1000000+SUM(X79,AP79)*10000+SUM(R79,AJ79)*100+SUM(L79,AD79)+0.002,1,0)+IF(AW79*1000000+SUM(Y79,AQ79)*10000+SUM(S79,AK79)*100+SUM(M79,AE79)+0.001&gt;AV79*1000000+SUM(X79,AP79)*10000+SUM(R79,AJ79)*100+SUM(L79,AD79)+0.002,1,0)=0,"E",IF(IF(AR79*1000000+SUM(T79,AL79)*10000+SUM(N79,AF79)*100+SUM(H79,Z79)+0.006&gt;AW79*1000000+SUM(Y79,AQ79)*10000+SUM(S79,AK79)*100+SUM(M79,AE79)+0.001,1,0)+IF(AS79*1000000+SUM(U79,AM79)*10000+SUM(O79,AG79)*100+SUM(I79,AA79)+0.005&gt;AW79*1000000+SUM(Y79,AQ79)*10000+SUM(S79,AK79)*100+SUM(M79,AE79)+0.001,1,0)+IF(AT79*1000000+SUM(V79,AN79)*10000+SUM(P79,AH79)*100+SUM(J79,AB79)+0.004&gt;AW79*1000000+SUM(Y79,AQ79)*10000+SUM(S79,AK79)*100+SUM(M79,AE79)+0.001,1,0)+IF(AU79*1000000+SUM(W79,AO79)*10000+SUM(Q79,AI79)*100+SUM(K79,AC79)+0.003&gt;AW79*1000000+SUM(Y79,AQ79)*10000+SUM(S79,AK79)*100+SUM(M79,AE79)+0.001,1,0)+IF(AV79*1000000+SUM(X79,AP79)*10000+SUM(R79,AJ79)*100+SUM(L79,AD79)+0.002&gt;AW79*1000000+SUM(Y79,AQ79)*10000+SUM(S79,AK79)*100+SUM(M79,AE79)+0.001,1,0)=0,"C",""))))))&amp;IF(IF(AS79*1000000+SUM(U79,AM79)*10000+SUM(O79,AG79)*100+SUM(I79,AA79)+0.005&gt;AR79*1000000+SUM(T79,AL79)*10000+SUM(N79,AF79)*100+SUM(H79,Z79)+0.006,1,0)+IF(AT79*1000000+SUM(V79,AN79)*10000+SUM(P79,AH79)*100+SUM(J79,AB79)+0.004&gt;AR79*1000000+SUM(T79,AL79)*10000+SUM(N79,AF79)*100+SUM(H79,Z79)+0.006,1,0)+IF(AU79*1000000+SUM(W79,AO79)*10000+SUM(Q79,AI79)*100+SUM(K79,AC79)+0.003&gt;AR79*1000000+SUM(T79,AL79)*10000+SUM(N79,AF79)*100+SUM(H79,Z79)+0.006,1,0)+IF(AV79*1000000+SUM(X79,AP79)*10000+SUM(R79,AJ79)*100+SUM(L79,AD79)+0.002&gt;AR79*1000000+SUM(T79,AL79)*10000+SUM(N79,AF79)*100+SUM(H79,Z79)+0.006,1,0)+IF(AW79*1000000+SUM(Y79,AQ79)*10000+SUM(S79,AK79)*100+SUM(M79,AE79)+0.001&gt;AR79*1000000+SUM(T79,AL79)*10000+SUM(N79,AF79)*100+SUM(H79,Z79)+0.006,1,0)=1,"R",IF(IF(AR79*1000000+SUM(T79,AL79)*10000+SUM(N79,AF79)*100+SUM(H79,Z79)+0.006&gt;AS79*1000000+SUM(U79,AM79)*10000+SUM(O79,AG79)*100+SUM(I79,AA79)+0.005,1,0)+IF(AT79*1000000+SUM(V79,AN79)*10000+SUM(P79,AH79)*100+SUM(J79,AB79)+0.004&gt;AS79*1000000+SUM(U79,AM79)*10000+SUM(O79,AG79)*100+SUM(I79,AA79)+0.005,1,0)+IF(AU79*1000000+SUM(W79,AO79)*10000+SUM(Q79,AI79)*100+SUM(K79,AC79)+0.003&gt;AS79*1000000+SUM(U79,AM79)*10000+SUM(O79,AG79)*100+SUM(I79,AA79)+0.005,1,0)+IF(AV79*1000000+SUM(X79,AP79)*10000+SUM(R79,AJ79)*100+SUM(L79,AD79)+0.002&gt;AS79*1000000+SUM(U79,AM79)*10000+SUM(O79,AG79)*100+SUM(I79,AA79)+0.005,1,0)+IF(AW79*1000000+SUM(Y79,AQ79)*10000+SUM(S79,AK79)*100+SUM(M79,AE79)+0.001&gt;AS79*1000000+SUM(U79,AM79)*10000+SUM(O79,AG79)*100+SUM(I79,AA79)+0.005,1,0)=1,"I",IF(IF(AR79*1000000+SUM(T79,AL79)*10000+SUM(N79,AF79)*100+SUM(H79,Z79)+0.006&gt;AT79*1000000+SUM(V79,AN79)*10000+SUM(P79,AH79)*100+SUM(J79,AB79)+0.004,1,0)+IF(AS79*1000000+SUM(U79,AM79)*10000+SUM(O79,AG79)*100+SUM(I79,AA79)+0.005&gt;AT79*1000000+SUM(V79,AN79)*10000+SUM(P79,AH79)*100+SUM(J79,AB79)+0.004,1,0)+IF(AU79*1000000+SUM(W79,AO79)*10000+SUM(Q79,AI79)*100+SUM(K79,AC79)+0.003&gt;AT79*1000000+SUM(V79,AN79)*10000+SUM(P79,AH79)*100+SUM(J79,AB79)+0.004,1,0)+IF(AV79*1000000+SUM(X79,AP79)*10000+SUM(R79,AJ79)*100+SUM(L79,AD79)+0.002&gt;AT79*1000000+SUM(V79,AN79)*10000+SUM(P79,AH79)*100+SUM(J79,AB79)+0.004,1,0)+IF(AW79*1000000+SUM(Y79,AQ79)*10000+SUM(S79,AK79)*100+SUM(M79,AE79)+0.001&gt;AT79*1000000+SUM(V79,AN79)*10000+SUM(P79,AH79)*100+SUM(J79,AB79)+0.004,1,0)=1,"A",IF(IF(AR79*1000000+SUM(T79,AL79)*10000+SUM(N79,AF79)*100+SUM(H79,Z79)+0.006&gt;AU79*1000000+SUM(W79,AO79)*10000+SUM(Q79,AI79)*100+SUM(K79,AC79)+0.003,1,0)+IF(AS79*1000000+SUM(U79,AM79)*10000+SUM(O79,AG79)*100+SUM(I79,AA79)+0.005&gt;AU79*1000000+SUM(W79,AO79)*10000+SUM(Q79,AI79)*100+SUM(K79,AC79)+0.003,1,0)+IF(AT79*1000000+SUM(V79,AN79)*10000+SUM(P79,AH79)*100+SUM(J79,AB79)+0.004&gt;AU79*1000000+SUM(W79,AO79)*10000+SUM(Q79,AI79)*100+SUM(K79,AC79)+0.003,1,0)+IF(AV79*1000000+SUM(X79,AP79)*10000+SUM(R79,AJ79)*100+SUM(L79,AD79)+0.002&gt;AU79*1000000+SUM(W79,AO79)*10000+SUM(Q79,AI79)*100+SUM(K79,AC79)+0.003,1,0)+IF(AW79*1000000+SUM(Y79,AQ79)*10000+SUM(S79,AK79)*100+SUM(M79,AE79)+0.001&gt;AU79*1000000+SUM(W79,AO79)*10000+SUM(Q79,AI79)*100+SUM(K79,AC79)+0.003,1,0)=1,"S",IF(IF(AR79*1000000+SUM(T79,AL79)*10000+SUM(N79,AF79)*100+SUM(H79,Z79)+0.006&gt;AV79*1000000+SUM(X79,AP79)*10000+SUM(R79,AJ79)*100+SUM(L79,AD79)+0.002,1,0)+IF(AS79*1000000+SUM(U79,AM79)*10000+SUM(O79,AG79)*100+SUM(I79,AA79)+0.005&gt;AV79*1000000+SUM(X79,AP79)*10000+SUM(R79,AJ79)*100+SUM(L79,AD79)+0.002,1,0)+IF(AT79*1000000+SUM(V79,AN79)*10000+SUM(P79,AH79)*100+SUM(J79,AB79)+0.004&gt;AV79*1000000+SUM(X79,AP79)*10000+SUM(R79,AJ79)*100+SUM(L79,AD79)+0.002,1,0)+IF(AU79*1000000+SUM(W79,AO79)*10000+SUM(Q79,AI79)*100+SUM(K79,AC79)+0.003&gt;AV79*1000000+SUM(X79,AP79)*10000+SUM(R79,AJ79)*100+SUM(L79,AD79)+0.002,1,0)+IF(AW79*1000000+SUM(Y79,AQ79)*10000+SUM(S79,AK79)*100+SUM(M79,AE79)+0.001&gt;AV79*1000000+SUM(X79,AP79)*10000+SUM(R79,AJ79)*100+SUM(L79,AD79)+0.002,1,0)=1,"E",IF(IF(AR79*1000000+SUM(T79,AL79)*10000+SUM(N79,AF79)*100+SUM(H79,Z79)+0.006&gt;AW79*1000000+SUM(Y79,AQ79)*10000+SUM(S79,AK79)*100+SUM(M79,AE79)+0.001,1,0)+IF(AS79*1000000+SUM(U79,AM79)*10000+SUM(O79,AG79)*100+SUM(I79,AA79)+0.005&gt;AW79*1000000+SUM(Y79,AQ79)*10000+SUM(S79,AK79)*100+SUM(M79,AE79)+0.001,1,0)+IF(AT79*1000000+SUM(V79,AN79)*10000+SUM(P79,AH79)*100+SUM(J79,AB79)+0.004&gt;AW79*1000000+SUM(Y79,AQ79)*10000+SUM(S79,AK79)*100+SUM(M79,AE79)+0.001,1,0)+IF(AU79*1000000+SUM(W79,AO79)*10000+SUM(Q79,AI79)*100+SUM(K79,AC79)+0.003&gt;AW79*1000000+SUM(Y79,AQ79)*10000+SUM(S79,AK79)*100+SUM(M79,AE79)+0.001,1,0)+IF(AV79*1000000+SUM(X79,AP79)*10000+SUM(R79,AJ79)*100+SUM(L79,AD79)+0.002&gt;AW79*1000000+SUM(Y79,AQ79)*10000+SUM(S79,AK79)*100+SUM(M79,AE79)+0.001,1,0)=1,"C",""))))))&amp;IF(IF(AS79*1000000+SUM(U79,AM79)*10000+SUM(O79,AG79)*100+SUM(I79,AA79)+0.005&gt;AR79*1000000+SUM(T79,AL79)*10000+SUM(N79,AF79)*100+SUM(H79,Z79)+0.006,1,0)+IF(AT79*1000000+SUM(V79,AN79)*10000+SUM(P79,AH79)*100+SUM(J79,AB79)+0.004&gt;AR79*1000000+SUM(T79,AL79)*10000+SUM(N79,AF79)*100+SUM(H79,Z79)+0.006,1,0)+IF(AU79*1000000+SUM(W79,AO79)*10000+SUM(Q79,AI79)*100+SUM(K79,AC79)+0.003&gt;AR79*1000000+SUM(T79,AL79)*10000+SUM(N79,AF79)*100+SUM(H79,Z79)+0.006,1,0)+IF(AV79*1000000+SUM(X79,AP79)*10000+SUM(R79,AJ79)*100+SUM(L79,AD79)+0.002&gt;AR79*1000000+SUM(T79,AL79)*10000+SUM(N79,AF79)*100+SUM(H79,Z79)+0.006,1,0)+IF(AW79*1000000+SUM(Y79,AQ79)*10000+SUM(S79,AK79)*100+SUM(M79,AE79)+0.001&gt;AR79*1000000+SUM(T79,AL79)*10000+SUM(N79,AF79)*100+SUM(H79,Z79)+0.006,1,0)=2,"R",IF(IF(AR79*1000000+SUM(T79,AL79)*10000+SUM(N79,AF79)*100+SUM(H79,Z79)+0.006&gt;AS79*1000000+SUM(U79,AM79)*10000+SUM(O79,AG79)*100+SUM(I79,AA79)+0.005,1,0)+IF(AT79*1000000+SUM(V79,AN79)*10000+SUM(P79,AH79)*100+SUM(J79,AB79)+0.004&gt;AS79*1000000+SUM(U79,AM79)*10000+SUM(O79,AG79)*100+SUM(I79,AA79)+0.005,1,0)+IF(AU79*1000000+SUM(W79,AO79)*10000+SUM(Q79,AI79)*100+SUM(K79,AC79)+0.003&gt;AS79*1000000+SUM(U79,AM79)*10000+SUM(O79,AG79)*100+SUM(I79,AA79)+0.005,1,0)+IF(AV79*1000000+SUM(X79,AP79)*10000+SUM(R79,AJ79)*100+SUM(L79,AD79)+0.002&gt;AS79*1000000+SUM(U79,AM79)*10000+SUM(O79,AG79)*100+SUM(I79,AA79)+0.005,1,0)+IF(AW79*1000000+SUM(Y79,AQ79)*10000+SUM(S79,AK79)*100+SUM(M79,AE79)+0.001&gt;AS79*1000000+SUM(U79,AM79)*10000+SUM(O79,AG79)*100+SUM(I79,AA79)+0.005,1,0)=2,"I",IF(IF(AR79*1000000+SUM(T79,AL79)*10000+SUM(N79,AF79)*100+SUM(H79,Z79)+0.006&gt;AT79*1000000+SUM(V79,AN79)*10000+SUM(P79,AH79)*100+SUM(J79,AB79)+0.004,1,0)+IF(AS79*1000000+SUM(U79,AM79)*10000+SUM(O79,AG79)*100+SUM(I79,AA79)+0.005&gt;AT79*1000000+SUM(V79,AN79)*10000+SUM(P79,AH79)*100+SUM(J79,AB79)+0.004,1,0)+IF(AU79*1000000+SUM(W79,AO79)*10000+SUM(Q79,AI79)*100+SUM(K79,AC79)+0.003&gt;AT79*1000000+SUM(V79,AN79)*10000+SUM(P79,AH79)*100+SUM(J79,AB79)+0.004,1,0)+IF(AV79*1000000+SUM(X79,AP79)*10000+SUM(R79,AJ79)*100+SUM(L79,AD79)+0.002&gt;AT79*1000000+SUM(V79,AN79)*10000+SUM(P79,AH79)*100+SUM(J79,AB79)+0.004,1,0)+IF(AW79*1000000+SUM(Y79,AQ79)*10000+SUM(S79,AK79)*100+SUM(M79,AE79)+0.001&gt;AT79*1000000+SUM(V79,AN79)*10000+SUM(P79,AH79)*100+SUM(J79,AB79)+0.004,1,0)=2,"A",IF(IF(AR79*1000000+SUM(T79,AL79)*10000+SUM(N79,AF79)*100+SUM(H79,Z79)+0.006&gt;AU79*1000000+SUM(W79,AO79)*10000+SUM(Q79,AI79)*100+SUM(K79,AC79)+0.003,1,0)+IF(AS79*1000000+SUM(U79,AM79)*10000+SUM(O79,AG79)*100+SUM(I79,AA79)+0.005&gt;AU79*1000000+SUM(W79,AO79)*10000+SUM(Q79,AI79)*100+SUM(K79,AC79)+0.003,1,0)+IF(AT79*1000000+SUM(V79,AN79)*10000+SUM(P79,AH79)*100+SUM(J79,AB79)+0.004&gt;AU79*1000000+SUM(W79,AO79)*10000+SUM(Q79,AI79)*100+SUM(K79,AC79)+0.003,1,0)+IF(AV79*1000000+SUM(X79,AP79)*10000+SUM(R79,AJ79)*100+SUM(L79,AD79)+0.002&gt;AU79*1000000+SUM(W79,AO79)*10000+SUM(Q79,AI79)*100+SUM(K79,AC79)+0.003,1,0)+IF(AW79*1000000+SUM(Y79,AQ79)*10000+SUM(S79,AK79)*100+SUM(M79,AE79)+0.001&gt;AU79*1000000+SUM(W79,AO79)*10000+SUM(Q79,AI79)*100+SUM(K79,AC79)+0.003,1,0)=2,"S",IF(IF(AR79*1000000+SUM(T79,AL79)*10000+SUM(N79,AF79)*100+SUM(H79,Z79)+0.006&gt;AV79*1000000+SUM(X79,AP79)*10000+SUM(R79,AJ79)*100+SUM(L79,AD79)+0.002,1,0)+IF(AS79*1000000+SUM(U79,AM79)*10000+SUM(O79,AG79)*100+SUM(I79,AA79)+0.005&gt;AV79*1000000+SUM(X79,AP79)*10000+SUM(R79,AJ79)*100+SUM(L79,AD79)+0.002,1,0)+IF(AT79*1000000+SUM(V79,AN79)*10000+SUM(P79,AH79)*100+SUM(J79,AB79)+0.004&gt;AV79*1000000+SUM(X79,AP79)*10000+SUM(R79,AJ79)*100+SUM(L79,AD79)+0.002,1,0)+IF(AU79*1000000+SUM(W79,AO79)*10000+SUM(Q79,AI79)*100+SUM(K79,AC79)+0.003&gt;AV79*1000000+SUM(X79,AP79)*10000+SUM(R79,AJ79)*100+SUM(L79,AD79)+0.002,1,0)+IF(AW79*1000000+SUM(Y79,AQ79)*10000+SUM(S79,AK79)*100+SUM(M79,AE79)+0.001&gt;AV79*1000000+SUM(X79,AP79)*10000+SUM(R79,AJ79)*100+SUM(L79,AD79)+0.002,1,0)=2,"E",IF(IF(AR79*1000000+SUM(T79,AL79)*10000+SUM(N79,AF79)*100+SUM(H79,Z79)+0.006&gt;AW79*1000000+SUM(Y79,AQ79)*10000+SUM(S79,AK79)*100+SUM(M79,AE79)+0.001,1,0)+IF(AS79*1000000+SUM(U79,AM79)*10000+SUM(O79,AG79)*100+SUM(I79,AA79)+0.005&gt;AW79*1000000+SUM(Y79,AQ79)*10000+SUM(S79,AK79)*100+SUM(M79,AE79)+0.001,1,0)+IF(AT79*1000000+SUM(V79,AN79)*10000+SUM(P79,AH79)*100+SUM(J79,AB79)+0.004&gt;AW79*1000000+SUM(Y79,AQ79)*10000+SUM(S79,AK79)*100+SUM(M79,AE79)+0.001,1,0)+IF(AU79*1000000+SUM(W79,AO79)*10000+SUM(Q79,AI79)*100+SUM(K79,AC79)+0.003&gt;AW79*1000000+SUM(Y79,AQ79)*10000+SUM(S79,AK79)*100+SUM(M79,AE79)+0.001,1,0)+IF(AV79*1000000+SUM(X79,AP79)*10000+SUM(R79,AJ79)*100+SUM(L79,AD79)+0.002&gt;AW79*1000000+SUM(Y79,AQ79)*10000+SUM(S79,AK79)*100+SUM(M79,AE79)+0.001,1,0)=2,"C","")))))))</x:f>
      </x:c>
      <x:c r="AY79" s="27" t="str">
        <x:f>IF(C79="","",IF(LEFT(AX79,1)="R","นักปฏิบัติ",IF(LEFT(AX79,1)="I","นักคิดวิเคราะห์",IF(LEFT(AX79,1)="A","นักสร้างสรรค์",IF(LEFT(AX79,1)="S","ผู้เข้าใจผู้คน",IF(LEFT(AX79,1)="E","ผู้นำการเปลี่ยนแปลง","ผู้จัดระบบ"))))))</x:f>
      </x:c>
    </x:row>
    <x:row r="80">
      <x:c r="A80" s="27"/>
      <x:c r="B80" s="28"/>
      <x:c r="C80" s="27"/>
      <x:c r="D80" s="27"/>
      <x:c r="E80" s="27"/>
      <x:c r="F80" s="27"/>
      <x:c r="G80" s="27"/>
      <x:c r="H80" s="27"/>
      <x:c r="I80" s="27"/>
      <x:c r="J80" s="27"/>
      <x:c r="K80" s="27"/>
      <x:c r="L80" s="27"/>
      <x:c r="M80" s="27"/>
      <x:c r="N80" s="27"/>
      <x:c r="O80" s="27"/>
      <x:c r="P80" s="27"/>
      <x:c r="Q80" s="27"/>
      <x:c r="R80" s="27"/>
      <x:c r="S80" s="27"/>
      <x:c r="T80" s="27"/>
      <x:c r="U80" s="27"/>
      <x:c r="V80" s="27"/>
      <x:c r="W80" s="27"/>
      <x:c r="X80" s="27"/>
      <x:c r="Y80" s="27"/>
      <x:c r="Z80" s="27"/>
      <x:c r="AA80" s="27"/>
      <x:c r="AB80" s="27"/>
      <x:c r="AC80" s="27"/>
      <x:c r="AD80" s="27"/>
      <x:c r="AE80" s="27"/>
      <x:c r="AF80" s="27"/>
      <x:c r="AG80" s="27"/>
      <x:c r="AH80" s="27"/>
      <x:c r="AI80" s="27"/>
      <x:c r="AJ80" s="27"/>
      <x:c r="AK80" s="27"/>
      <x:c r="AL80" s="27"/>
      <x:c r="AM80" s="27"/>
      <x:c r="AN80" s="27"/>
      <x:c r="AO80" s="27"/>
      <x:c r="AP80" s="27"/>
      <x:c r="AQ80" s="27"/>
      <x:c r="AR80" s="27" t="str">
        <x:f>IF(C80="","",SUM(H80,N80,T80,Z80,AF80,AL80))</x:f>
      </x:c>
      <x:c r="AS80" s="27" t="str">
        <x:f>IF(C80="","",SUM(I80,O80,U80,AA80,AG80,AM80))</x:f>
      </x:c>
      <x:c r="AT80" s="27" t="str">
        <x:f>IF(C80="","",SUM(J80,P80,V80,AB80,AH80,AN80))</x:f>
      </x:c>
      <x:c r="AU80" s="27" t="str">
        <x:f>IF(C80="","",SUM(K80,Q80,W80,AC80,AI80,AO80))</x:f>
      </x:c>
      <x:c r="AV80" s="27" t="str">
        <x:f>IF(C80="","",SUM(L80,R80,X80,AD80,AJ80,AP80))</x:f>
      </x:c>
      <x:c r="AW80" s="27" t="str">
        <x:f>IF(C80="","",SUM(M80,S80,Y80,AE80,AK80,AQ80))</x:f>
      </x:c>
      <x:c r="AX80" s="27" t="str">
        <x:f>IF(C80="","",IF(IF(AS80*1000000+SUM(U80,AM80)*10000+SUM(O80,AG80)*100+SUM(I80,AA80)+0.005&gt;AR80*1000000+SUM(T80,AL80)*10000+SUM(N80,AF80)*100+SUM(H80,Z80)+0.006,1,0)+IF(AT80*1000000+SUM(V80,AN80)*10000+SUM(P80,AH80)*100+SUM(J80,AB80)+0.004&gt;AR80*1000000+SUM(T80,AL80)*10000+SUM(N80,AF80)*100+SUM(H80,Z80)+0.006,1,0)+IF(AU80*1000000+SUM(W80,AO80)*10000+SUM(Q80,AI80)*100+SUM(K80,AC80)+0.003&gt;AR80*1000000+SUM(T80,AL80)*10000+SUM(N80,AF80)*100+SUM(H80,Z80)+0.006,1,0)+IF(AV80*1000000+SUM(X80,AP80)*10000+SUM(R80,AJ80)*100+SUM(L80,AD80)+0.002&gt;AR80*1000000+SUM(T80,AL80)*10000+SUM(N80,AF80)*100+SUM(H80,Z80)+0.006,1,0)+IF(AW80*1000000+SUM(Y80,AQ80)*10000+SUM(S80,AK80)*100+SUM(M80,AE80)+0.001&gt;AR80*1000000+SUM(T80,AL80)*10000+SUM(N80,AF80)*100+SUM(H80,Z80)+0.006,1,0)=0,"R",IF(IF(AR80*1000000+SUM(T80,AL80)*10000+SUM(N80,AF80)*100+SUM(H80,Z80)+0.006&gt;AS80*1000000+SUM(U80,AM80)*10000+SUM(O80,AG80)*100+SUM(I80,AA80)+0.005,1,0)+IF(AT80*1000000+SUM(V80,AN80)*10000+SUM(P80,AH80)*100+SUM(J80,AB80)+0.004&gt;AS80*1000000+SUM(U80,AM80)*10000+SUM(O80,AG80)*100+SUM(I80,AA80)+0.005,1,0)+IF(AU80*1000000+SUM(W80,AO80)*10000+SUM(Q80,AI80)*100+SUM(K80,AC80)+0.003&gt;AS80*1000000+SUM(U80,AM80)*10000+SUM(O80,AG80)*100+SUM(I80,AA80)+0.005,1,0)+IF(AV80*1000000+SUM(X80,AP80)*10000+SUM(R80,AJ80)*100+SUM(L80,AD80)+0.002&gt;AS80*1000000+SUM(U80,AM80)*10000+SUM(O80,AG80)*100+SUM(I80,AA80)+0.005,1,0)+IF(AW80*1000000+SUM(Y80,AQ80)*10000+SUM(S80,AK80)*100+SUM(M80,AE80)+0.001&gt;AS80*1000000+SUM(U80,AM80)*10000+SUM(O80,AG80)*100+SUM(I80,AA80)+0.005,1,0)=0,"I",IF(IF(AR80*1000000+SUM(T80,AL80)*10000+SUM(N80,AF80)*100+SUM(H80,Z80)+0.006&gt;AT80*1000000+SUM(V80,AN80)*10000+SUM(P80,AH80)*100+SUM(J80,AB80)+0.004,1,0)+IF(AS80*1000000+SUM(U80,AM80)*10000+SUM(O80,AG80)*100+SUM(I80,AA80)+0.005&gt;AT80*1000000+SUM(V80,AN80)*10000+SUM(P80,AH80)*100+SUM(J80,AB80)+0.004,1,0)+IF(AU80*1000000+SUM(W80,AO80)*10000+SUM(Q80,AI80)*100+SUM(K80,AC80)+0.003&gt;AT80*1000000+SUM(V80,AN80)*10000+SUM(P80,AH80)*100+SUM(J80,AB80)+0.004,1,0)+IF(AV80*1000000+SUM(X80,AP80)*10000+SUM(R80,AJ80)*100+SUM(L80,AD80)+0.002&gt;AT80*1000000+SUM(V80,AN80)*10000+SUM(P80,AH80)*100+SUM(J80,AB80)+0.004,1,0)+IF(AW80*1000000+SUM(Y80,AQ80)*10000+SUM(S80,AK80)*100+SUM(M80,AE80)+0.001&gt;AT80*1000000+SUM(V80,AN80)*10000+SUM(P80,AH80)*100+SUM(J80,AB80)+0.004,1,0)=0,"A",IF(IF(AR80*1000000+SUM(T80,AL80)*10000+SUM(N80,AF80)*100+SUM(H80,Z80)+0.006&gt;AU80*1000000+SUM(W80,AO80)*10000+SUM(Q80,AI80)*100+SUM(K80,AC80)+0.003,1,0)+IF(AS80*1000000+SUM(U80,AM80)*10000+SUM(O80,AG80)*100+SUM(I80,AA80)+0.005&gt;AU80*1000000+SUM(W80,AO80)*10000+SUM(Q80,AI80)*100+SUM(K80,AC80)+0.003,1,0)+IF(AT80*1000000+SUM(V80,AN80)*10000+SUM(P80,AH80)*100+SUM(J80,AB80)+0.004&gt;AU80*1000000+SUM(W80,AO80)*10000+SUM(Q80,AI80)*100+SUM(K80,AC80)+0.003,1,0)+IF(AV80*1000000+SUM(X80,AP80)*10000+SUM(R80,AJ80)*100+SUM(L80,AD80)+0.002&gt;AU80*1000000+SUM(W80,AO80)*10000+SUM(Q80,AI80)*100+SUM(K80,AC80)+0.003,1,0)+IF(AW80*1000000+SUM(Y80,AQ80)*10000+SUM(S80,AK80)*100+SUM(M80,AE80)+0.001&gt;AU80*1000000+SUM(W80,AO80)*10000+SUM(Q80,AI80)*100+SUM(K80,AC80)+0.003,1,0)=0,"S",IF(IF(AR80*1000000+SUM(T80,AL80)*10000+SUM(N80,AF80)*100+SUM(H80,Z80)+0.006&gt;AV80*1000000+SUM(X80,AP80)*10000+SUM(R80,AJ80)*100+SUM(L80,AD80)+0.002,1,0)+IF(AS80*1000000+SUM(U80,AM80)*10000+SUM(O80,AG80)*100+SUM(I80,AA80)+0.005&gt;AV80*1000000+SUM(X80,AP80)*10000+SUM(R80,AJ80)*100+SUM(L80,AD80)+0.002,1,0)+IF(AT80*1000000+SUM(V80,AN80)*10000+SUM(P80,AH80)*100+SUM(J80,AB80)+0.004&gt;AV80*1000000+SUM(X80,AP80)*10000+SUM(R80,AJ80)*100+SUM(L80,AD80)+0.002,1,0)+IF(AU80*1000000+SUM(W80,AO80)*10000+SUM(Q80,AI80)*100+SUM(K80,AC80)+0.003&gt;AV80*1000000+SUM(X80,AP80)*10000+SUM(R80,AJ80)*100+SUM(L80,AD80)+0.002,1,0)+IF(AW80*1000000+SUM(Y80,AQ80)*10000+SUM(S80,AK80)*100+SUM(M80,AE80)+0.001&gt;AV80*1000000+SUM(X80,AP80)*10000+SUM(R80,AJ80)*100+SUM(L80,AD80)+0.002,1,0)=0,"E",IF(IF(AR80*1000000+SUM(T80,AL80)*10000+SUM(N80,AF80)*100+SUM(H80,Z80)+0.006&gt;AW80*1000000+SUM(Y80,AQ80)*10000+SUM(S80,AK80)*100+SUM(M80,AE80)+0.001,1,0)+IF(AS80*1000000+SUM(U80,AM80)*10000+SUM(O80,AG80)*100+SUM(I80,AA80)+0.005&gt;AW80*1000000+SUM(Y80,AQ80)*10000+SUM(S80,AK80)*100+SUM(M80,AE80)+0.001,1,0)+IF(AT80*1000000+SUM(V80,AN80)*10000+SUM(P80,AH80)*100+SUM(J80,AB80)+0.004&gt;AW80*1000000+SUM(Y80,AQ80)*10000+SUM(S80,AK80)*100+SUM(M80,AE80)+0.001,1,0)+IF(AU80*1000000+SUM(W80,AO80)*10000+SUM(Q80,AI80)*100+SUM(K80,AC80)+0.003&gt;AW80*1000000+SUM(Y80,AQ80)*10000+SUM(S80,AK80)*100+SUM(M80,AE80)+0.001,1,0)+IF(AV80*1000000+SUM(X80,AP80)*10000+SUM(R80,AJ80)*100+SUM(L80,AD80)+0.002&gt;AW80*1000000+SUM(Y80,AQ80)*10000+SUM(S80,AK80)*100+SUM(M80,AE80)+0.001,1,0)=0,"C",""))))))&amp;IF(IF(AS80*1000000+SUM(U80,AM80)*10000+SUM(O80,AG80)*100+SUM(I80,AA80)+0.005&gt;AR80*1000000+SUM(T80,AL80)*10000+SUM(N80,AF80)*100+SUM(H80,Z80)+0.006,1,0)+IF(AT80*1000000+SUM(V80,AN80)*10000+SUM(P80,AH80)*100+SUM(J80,AB80)+0.004&gt;AR80*1000000+SUM(T80,AL80)*10000+SUM(N80,AF80)*100+SUM(H80,Z80)+0.006,1,0)+IF(AU80*1000000+SUM(W80,AO80)*10000+SUM(Q80,AI80)*100+SUM(K80,AC80)+0.003&gt;AR80*1000000+SUM(T80,AL80)*10000+SUM(N80,AF80)*100+SUM(H80,Z80)+0.006,1,0)+IF(AV80*1000000+SUM(X80,AP80)*10000+SUM(R80,AJ80)*100+SUM(L80,AD80)+0.002&gt;AR80*1000000+SUM(T80,AL80)*10000+SUM(N80,AF80)*100+SUM(H80,Z80)+0.006,1,0)+IF(AW80*1000000+SUM(Y80,AQ80)*10000+SUM(S80,AK80)*100+SUM(M80,AE80)+0.001&gt;AR80*1000000+SUM(T80,AL80)*10000+SUM(N80,AF80)*100+SUM(H80,Z80)+0.006,1,0)=1,"R",IF(IF(AR80*1000000+SUM(T80,AL80)*10000+SUM(N80,AF80)*100+SUM(H80,Z80)+0.006&gt;AS80*1000000+SUM(U80,AM80)*10000+SUM(O80,AG80)*100+SUM(I80,AA80)+0.005,1,0)+IF(AT80*1000000+SUM(V80,AN80)*10000+SUM(P80,AH80)*100+SUM(J80,AB80)+0.004&gt;AS80*1000000+SUM(U80,AM80)*10000+SUM(O80,AG80)*100+SUM(I80,AA80)+0.005,1,0)+IF(AU80*1000000+SUM(W80,AO80)*10000+SUM(Q80,AI80)*100+SUM(K80,AC80)+0.003&gt;AS80*1000000+SUM(U80,AM80)*10000+SUM(O80,AG80)*100+SUM(I80,AA80)+0.005,1,0)+IF(AV80*1000000+SUM(X80,AP80)*10000+SUM(R80,AJ80)*100+SUM(L80,AD80)+0.002&gt;AS80*1000000+SUM(U80,AM80)*10000+SUM(O80,AG80)*100+SUM(I80,AA80)+0.005,1,0)+IF(AW80*1000000+SUM(Y80,AQ80)*10000+SUM(S80,AK80)*100+SUM(M80,AE80)+0.001&gt;AS80*1000000+SUM(U80,AM80)*10000+SUM(O80,AG80)*100+SUM(I80,AA80)+0.005,1,0)=1,"I",IF(IF(AR80*1000000+SUM(T80,AL80)*10000+SUM(N80,AF80)*100+SUM(H80,Z80)+0.006&gt;AT80*1000000+SUM(V80,AN80)*10000+SUM(P80,AH80)*100+SUM(J80,AB80)+0.004,1,0)+IF(AS80*1000000+SUM(U80,AM80)*10000+SUM(O80,AG80)*100+SUM(I80,AA80)+0.005&gt;AT80*1000000+SUM(V80,AN80)*10000+SUM(P80,AH80)*100+SUM(J80,AB80)+0.004,1,0)+IF(AU80*1000000+SUM(W80,AO80)*10000+SUM(Q80,AI80)*100+SUM(K80,AC80)+0.003&gt;AT80*1000000+SUM(V80,AN80)*10000+SUM(P80,AH80)*100+SUM(J80,AB80)+0.004,1,0)+IF(AV80*1000000+SUM(X80,AP80)*10000+SUM(R80,AJ80)*100+SUM(L80,AD80)+0.002&gt;AT80*1000000+SUM(V80,AN80)*10000+SUM(P80,AH80)*100+SUM(J80,AB80)+0.004,1,0)+IF(AW80*1000000+SUM(Y80,AQ80)*10000+SUM(S80,AK80)*100+SUM(M80,AE80)+0.001&gt;AT80*1000000+SUM(V80,AN80)*10000+SUM(P80,AH80)*100+SUM(J80,AB80)+0.004,1,0)=1,"A",IF(IF(AR80*1000000+SUM(T80,AL80)*10000+SUM(N80,AF80)*100+SUM(H80,Z80)+0.006&gt;AU80*1000000+SUM(W80,AO80)*10000+SUM(Q80,AI80)*100+SUM(K80,AC80)+0.003,1,0)+IF(AS80*1000000+SUM(U80,AM80)*10000+SUM(O80,AG80)*100+SUM(I80,AA80)+0.005&gt;AU80*1000000+SUM(W80,AO80)*10000+SUM(Q80,AI80)*100+SUM(K80,AC80)+0.003,1,0)+IF(AT80*1000000+SUM(V80,AN80)*10000+SUM(P80,AH80)*100+SUM(J80,AB80)+0.004&gt;AU80*1000000+SUM(W80,AO80)*10000+SUM(Q80,AI80)*100+SUM(K80,AC80)+0.003,1,0)+IF(AV80*1000000+SUM(X80,AP80)*10000+SUM(R80,AJ80)*100+SUM(L80,AD80)+0.002&gt;AU80*1000000+SUM(W80,AO80)*10000+SUM(Q80,AI80)*100+SUM(K80,AC80)+0.003,1,0)+IF(AW80*1000000+SUM(Y80,AQ80)*10000+SUM(S80,AK80)*100+SUM(M80,AE80)+0.001&gt;AU80*1000000+SUM(W80,AO80)*10000+SUM(Q80,AI80)*100+SUM(K80,AC80)+0.003,1,0)=1,"S",IF(IF(AR80*1000000+SUM(T80,AL80)*10000+SUM(N80,AF80)*100+SUM(H80,Z80)+0.006&gt;AV80*1000000+SUM(X80,AP80)*10000+SUM(R80,AJ80)*100+SUM(L80,AD80)+0.002,1,0)+IF(AS80*1000000+SUM(U80,AM80)*10000+SUM(O80,AG80)*100+SUM(I80,AA80)+0.005&gt;AV80*1000000+SUM(X80,AP80)*10000+SUM(R80,AJ80)*100+SUM(L80,AD80)+0.002,1,0)+IF(AT80*1000000+SUM(V80,AN80)*10000+SUM(P80,AH80)*100+SUM(J80,AB80)+0.004&gt;AV80*1000000+SUM(X80,AP80)*10000+SUM(R80,AJ80)*100+SUM(L80,AD80)+0.002,1,0)+IF(AU80*1000000+SUM(W80,AO80)*10000+SUM(Q80,AI80)*100+SUM(K80,AC80)+0.003&gt;AV80*1000000+SUM(X80,AP80)*10000+SUM(R80,AJ80)*100+SUM(L80,AD80)+0.002,1,0)+IF(AW80*1000000+SUM(Y80,AQ80)*10000+SUM(S80,AK80)*100+SUM(M80,AE80)+0.001&gt;AV80*1000000+SUM(X80,AP80)*10000+SUM(R80,AJ80)*100+SUM(L80,AD80)+0.002,1,0)=1,"E",IF(IF(AR80*1000000+SUM(T80,AL80)*10000+SUM(N80,AF80)*100+SUM(H80,Z80)+0.006&gt;AW80*1000000+SUM(Y80,AQ80)*10000+SUM(S80,AK80)*100+SUM(M80,AE80)+0.001,1,0)+IF(AS80*1000000+SUM(U80,AM80)*10000+SUM(O80,AG80)*100+SUM(I80,AA80)+0.005&gt;AW80*1000000+SUM(Y80,AQ80)*10000+SUM(S80,AK80)*100+SUM(M80,AE80)+0.001,1,0)+IF(AT80*1000000+SUM(V80,AN80)*10000+SUM(P80,AH80)*100+SUM(J80,AB80)+0.004&gt;AW80*1000000+SUM(Y80,AQ80)*10000+SUM(S80,AK80)*100+SUM(M80,AE80)+0.001,1,0)+IF(AU80*1000000+SUM(W80,AO80)*10000+SUM(Q80,AI80)*100+SUM(K80,AC80)+0.003&gt;AW80*1000000+SUM(Y80,AQ80)*10000+SUM(S80,AK80)*100+SUM(M80,AE80)+0.001,1,0)+IF(AV80*1000000+SUM(X80,AP80)*10000+SUM(R80,AJ80)*100+SUM(L80,AD80)+0.002&gt;AW80*1000000+SUM(Y80,AQ80)*10000+SUM(S80,AK80)*100+SUM(M80,AE80)+0.001,1,0)=1,"C",""))))))&amp;IF(IF(AS80*1000000+SUM(U80,AM80)*10000+SUM(O80,AG80)*100+SUM(I80,AA80)+0.005&gt;AR80*1000000+SUM(T80,AL80)*10000+SUM(N80,AF80)*100+SUM(H80,Z80)+0.006,1,0)+IF(AT80*1000000+SUM(V80,AN80)*10000+SUM(P80,AH80)*100+SUM(J80,AB80)+0.004&gt;AR80*1000000+SUM(T80,AL80)*10000+SUM(N80,AF80)*100+SUM(H80,Z80)+0.006,1,0)+IF(AU80*1000000+SUM(W80,AO80)*10000+SUM(Q80,AI80)*100+SUM(K80,AC80)+0.003&gt;AR80*1000000+SUM(T80,AL80)*10000+SUM(N80,AF80)*100+SUM(H80,Z80)+0.006,1,0)+IF(AV80*1000000+SUM(X80,AP80)*10000+SUM(R80,AJ80)*100+SUM(L80,AD80)+0.002&gt;AR80*1000000+SUM(T80,AL80)*10000+SUM(N80,AF80)*100+SUM(H80,Z80)+0.006,1,0)+IF(AW80*1000000+SUM(Y80,AQ80)*10000+SUM(S80,AK80)*100+SUM(M80,AE80)+0.001&gt;AR80*1000000+SUM(T80,AL80)*10000+SUM(N80,AF80)*100+SUM(H80,Z80)+0.006,1,0)=2,"R",IF(IF(AR80*1000000+SUM(T80,AL80)*10000+SUM(N80,AF80)*100+SUM(H80,Z80)+0.006&gt;AS80*1000000+SUM(U80,AM80)*10000+SUM(O80,AG80)*100+SUM(I80,AA80)+0.005,1,0)+IF(AT80*1000000+SUM(V80,AN80)*10000+SUM(P80,AH80)*100+SUM(J80,AB80)+0.004&gt;AS80*1000000+SUM(U80,AM80)*10000+SUM(O80,AG80)*100+SUM(I80,AA80)+0.005,1,0)+IF(AU80*1000000+SUM(W80,AO80)*10000+SUM(Q80,AI80)*100+SUM(K80,AC80)+0.003&gt;AS80*1000000+SUM(U80,AM80)*10000+SUM(O80,AG80)*100+SUM(I80,AA80)+0.005,1,0)+IF(AV80*1000000+SUM(X80,AP80)*10000+SUM(R80,AJ80)*100+SUM(L80,AD80)+0.002&gt;AS80*1000000+SUM(U80,AM80)*10000+SUM(O80,AG80)*100+SUM(I80,AA80)+0.005,1,0)+IF(AW80*1000000+SUM(Y80,AQ80)*10000+SUM(S80,AK80)*100+SUM(M80,AE80)+0.001&gt;AS80*1000000+SUM(U80,AM80)*10000+SUM(O80,AG80)*100+SUM(I80,AA80)+0.005,1,0)=2,"I",IF(IF(AR80*1000000+SUM(T80,AL80)*10000+SUM(N80,AF80)*100+SUM(H80,Z80)+0.006&gt;AT80*1000000+SUM(V80,AN80)*10000+SUM(P80,AH80)*100+SUM(J80,AB80)+0.004,1,0)+IF(AS80*1000000+SUM(U80,AM80)*10000+SUM(O80,AG80)*100+SUM(I80,AA80)+0.005&gt;AT80*1000000+SUM(V80,AN80)*10000+SUM(P80,AH80)*100+SUM(J80,AB80)+0.004,1,0)+IF(AU80*1000000+SUM(W80,AO80)*10000+SUM(Q80,AI80)*100+SUM(K80,AC80)+0.003&gt;AT80*1000000+SUM(V80,AN80)*10000+SUM(P80,AH80)*100+SUM(J80,AB80)+0.004,1,0)+IF(AV80*1000000+SUM(X80,AP80)*10000+SUM(R80,AJ80)*100+SUM(L80,AD80)+0.002&gt;AT80*1000000+SUM(V80,AN80)*10000+SUM(P80,AH80)*100+SUM(J80,AB80)+0.004,1,0)+IF(AW80*1000000+SUM(Y80,AQ80)*10000+SUM(S80,AK80)*100+SUM(M80,AE80)+0.001&gt;AT80*1000000+SUM(V80,AN80)*10000+SUM(P80,AH80)*100+SUM(J80,AB80)+0.004,1,0)=2,"A",IF(IF(AR80*1000000+SUM(T80,AL80)*10000+SUM(N80,AF80)*100+SUM(H80,Z80)+0.006&gt;AU80*1000000+SUM(W80,AO80)*10000+SUM(Q80,AI80)*100+SUM(K80,AC80)+0.003,1,0)+IF(AS80*1000000+SUM(U80,AM80)*10000+SUM(O80,AG80)*100+SUM(I80,AA80)+0.005&gt;AU80*1000000+SUM(W80,AO80)*10000+SUM(Q80,AI80)*100+SUM(K80,AC80)+0.003,1,0)+IF(AT80*1000000+SUM(V80,AN80)*10000+SUM(P80,AH80)*100+SUM(J80,AB80)+0.004&gt;AU80*1000000+SUM(W80,AO80)*10000+SUM(Q80,AI80)*100+SUM(K80,AC80)+0.003,1,0)+IF(AV80*1000000+SUM(X80,AP80)*10000+SUM(R80,AJ80)*100+SUM(L80,AD80)+0.002&gt;AU80*1000000+SUM(W80,AO80)*10000+SUM(Q80,AI80)*100+SUM(K80,AC80)+0.003,1,0)+IF(AW80*1000000+SUM(Y80,AQ80)*10000+SUM(S80,AK80)*100+SUM(M80,AE80)+0.001&gt;AU80*1000000+SUM(W80,AO80)*10000+SUM(Q80,AI80)*100+SUM(K80,AC80)+0.003,1,0)=2,"S",IF(IF(AR80*1000000+SUM(T80,AL80)*10000+SUM(N80,AF80)*100+SUM(H80,Z80)+0.006&gt;AV80*1000000+SUM(X80,AP80)*10000+SUM(R80,AJ80)*100+SUM(L80,AD80)+0.002,1,0)+IF(AS80*1000000+SUM(U80,AM80)*10000+SUM(O80,AG80)*100+SUM(I80,AA80)+0.005&gt;AV80*1000000+SUM(X80,AP80)*10000+SUM(R80,AJ80)*100+SUM(L80,AD80)+0.002,1,0)+IF(AT80*1000000+SUM(V80,AN80)*10000+SUM(P80,AH80)*100+SUM(J80,AB80)+0.004&gt;AV80*1000000+SUM(X80,AP80)*10000+SUM(R80,AJ80)*100+SUM(L80,AD80)+0.002,1,0)+IF(AU80*1000000+SUM(W80,AO80)*10000+SUM(Q80,AI80)*100+SUM(K80,AC80)+0.003&gt;AV80*1000000+SUM(X80,AP80)*10000+SUM(R80,AJ80)*100+SUM(L80,AD80)+0.002,1,0)+IF(AW80*1000000+SUM(Y80,AQ80)*10000+SUM(S80,AK80)*100+SUM(M80,AE80)+0.001&gt;AV80*1000000+SUM(X80,AP80)*10000+SUM(R80,AJ80)*100+SUM(L80,AD80)+0.002,1,0)=2,"E",IF(IF(AR80*1000000+SUM(T80,AL80)*10000+SUM(N80,AF80)*100+SUM(H80,Z80)+0.006&gt;AW80*1000000+SUM(Y80,AQ80)*10000+SUM(S80,AK80)*100+SUM(M80,AE80)+0.001,1,0)+IF(AS80*1000000+SUM(U80,AM80)*10000+SUM(O80,AG80)*100+SUM(I80,AA80)+0.005&gt;AW80*1000000+SUM(Y80,AQ80)*10000+SUM(S80,AK80)*100+SUM(M80,AE80)+0.001,1,0)+IF(AT80*1000000+SUM(V80,AN80)*10000+SUM(P80,AH80)*100+SUM(J80,AB80)+0.004&gt;AW80*1000000+SUM(Y80,AQ80)*10000+SUM(S80,AK80)*100+SUM(M80,AE80)+0.001,1,0)+IF(AU80*1000000+SUM(W80,AO80)*10000+SUM(Q80,AI80)*100+SUM(K80,AC80)+0.003&gt;AW80*1000000+SUM(Y80,AQ80)*10000+SUM(S80,AK80)*100+SUM(M80,AE80)+0.001,1,0)+IF(AV80*1000000+SUM(X80,AP80)*10000+SUM(R80,AJ80)*100+SUM(L80,AD80)+0.002&gt;AW80*1000000+SUM(Y80,AQ80)*10000+SUM(S80,AK80)*100+SUM(M80,AE80)+0.001,1,0)=2,"C","")))))))</x:f>
      </x:c>
      <x:c r="AY80" s="27" t="str">
        <x:f>IF(C80="","",IF(LEFT(AX80,1)="R","นักปฏิบัติ",IF(LEFT(AX80,1)="I","นักคิดวิเคราะห์",IF(LEFT(AX80,1)="A","นักสร้างสรรค์",IF(LEFT(AX80,1)="S","ผู้เข้าใจผู้คน",IF(LEFT(AX80,1)="E","ผู้นำการเปลี่ยนแปลง","ผู้จัดระบบ"))))))</x:f>
      </x:c>
    </x:row>
    <x:row r="81">
      <x:c r="A81" s="27"/>
      <x:c r="B81" s="28"/>
      <x:c r="C81" s="27"/>
      <x:c r="D81" s="27"/>
      <x:c r="E81" s="27"/>
      <x:c r="F81" s="27"/>
      <x:c r="G81" s="27"/>
      <x:c r="H81" s="27"/>
      <x:c r="I81" s="27"/>
      <x:c r="J81" s="27"/>
      <x:c r="K81" s="27"/>
      <x:c r="L81" s="27"/>
      <x:c r="M81" s="27"/>
      <x:c r="N81" s="27"/>
      <x:c r="O81" s="27"/>
      <x:c r="P81" s="27"/>
      <x:c r="Q81" s="27"/>
      <x:c r="R81" s="27"/>
      <x:c r="S81" s="27"/>
      <x:c r="T81" s="27"/>
      <x:c r="U81" s="27"/>
      <x:c r="V81" s="27"/>
      <x:c r="W81" s="27"/>
      <x:c r="X81" s="27"/>
      <x:c r="Y81" s="27"/>
      <x:c r="Z81" s="27"/>
      <x:c r="AA81" s="27"/>
      <x:c r="AB81" s="27"/>
      <x:c r="AC81" s="27"/>
      <x:c r="AD81" s="27"/>
      <x:c r="AE81" s="27"/>
      <x:c r="AF81" s="27"/>
      <x:c r="AG81" s="27"/>
      <x:c r="AH81" s="27"/>
      <x:c r="AI81" s="27"/>
      <x:c r="AJ81" s="27"/>
      <x:c r="AK81" s="27"/>
      <x:c r="AL81" s="27"/>
      <x:c r="AM81" s="27"/>
      <x:c r="AN81" s="27"/>
      <x:c r="AO81" s="27"/>
      <x:c r="AP81" s="27"/>
      <x:c r="AQ81" s="27"/>
      <x:c r="AR81" s="27" t="str">
        <x:f>IF(C81="","",SUM(H81,N81,T81,Z81,AF81,AL81))</x:f>
      </x:c>
      <x:c r="AS81" s="27" t="str">
        <x:f>IF(C81="","",SUM(I81,O81,U81,AA81,AG81,AM81))</x:f>
      </x:c>
      <x:c r="AT81" s="27" t="str">
        <x:f>IF(C81="","",SUM(J81,P81,V81,AB81,AH81,AN81))</x:f>
      </x:c>
      <x:c r="AU81" s="27" t="str">
        <x:f>IF(C81="","",SUM(K81,Q81,W81,AC81,AI81,AO81))</x:f>
      </x:c>
      <x:c r="AV81" s="27" t="str">
        <x:f>IF(C81="","",SUM(L81,R81,X81,AD81,AJ81,AP81))</x:f>
      </x:c>
      <x:c r="AW81" s="27" t="str">
        <x:f>IF(C81="","",SUM(M81,S81,Y81,AE81,AK81,AQ81))</x:f>
      </x:c>
      <x:c r="AX81" s="27" t="str">
        <x:f>IF(C81="","",IF(IF(AS81*1000000+SUM(U81,AM81)*10000+SUM(O81,AG81)*100+SUM(I81,AA81)+0.005&gt;AR81*1000000+SUM(T81,AL81)*10000+SUM(N81,AF81)*100+SUM(H81,Z81)+0.006,1,0)+IF(AT81*1000000+SUM(V81,AN81)*10000+SUM(P81,AH81)*100+SUM(J81,AB81)+0.004&gt;AR81*1000000+SUM(T81,AL81)*10000+SUM(N81,AF81)*100+SUM(H81,Z81)+0.006,1,0)+IF(AU81*1000000+SUM(W81,AO81)*10000+SUM(Q81,AI81)*100+SUM(K81,AC81)+0.003&gt;AR81*1000000+SUM(T81,AL81)*10000+SUM(N81,AF81)*100+SUM(H81,Z81)+0.006,1,0)+IF(AV81*1000000+SUM(X81,AP81)*10000+SUM(R81,AJ81)*100+SUM(L81,AD81)+0.002&gt;AR81*1000000+SUM(T81,AL81)*10000+SUM(N81,AF81)*100+SUM(H81,Z81)+0.006,1,0)+IF(AW81*1000000+SUM(Y81,AQ81)*10000+SUM(S81,AK81)*100+SUM(M81,AE81)+0.001&gt;AR81*1000000+SUM(T81,AL81)*10000+SUM(N81,AF81)*100+SUM(H81,Z81)+0.006,1,0)=0,"R",IF(IF(AR81*1000000+SUM(T81,AL81)*10000+SUM(N81,AF81)*100+SUM(H81,Z81)+0.006&gt;AS81*1000000+SUM(U81,AM81)*10000+SUM(O81,AG81)*100+SUM(I81,AA81)+0.005,1,0)+IF(AT81*1000000+SUM(V81,AN81)*10000+SUM(P81,AH81)*100+SUM(J81,AB81)+0.004&gt;AS81*1000000+SUM(U81,AM81)*10000+SUM(O81,AG81)*100+SUM(I81,AA81)+0.005,1,0)+IF(AU81*1000000+SUM(W81,AO81)*10000+SUM(Q81,AI81)*100+SUM(K81,AC81)+0.003&gt;AS81*1000000+SUM(U81,AM81)*10000+SUM(O81,AG81)*100+SUM(I81,AA81)+0.005,1,0)+IF(AV81*1000000+SUM(X81,AP81)*10000+SUM(R81,AJ81)*100+SUM(L81,AD81)+0.002&gt;AS81*1000000+SUM(U81,AM81)*10000+SUM(O81,AG81)*100+SUM(I81,AA81)+0.005,1,0)+IF(AW81*1000000+SUM(Y81,AQ81)*10000+SUM(S81,AK81)*100+SUM(M81,AE81)+0.001&gt;AS81*1000000+SUM(U81,AM81)*10000+SUM(O81,AG81)*100+SUM(I81,AA81)+0.005,1,0)=0,"I",IF(IF(AR81*1000000+SUM(T81,AL81)*10000+SUM(N81,AF81)*100+SUM(H81,Z81)+0.006&gt;AT81*1000000+SUM(V81,AN81)*10000+SUM(P81,AH81)*100+SUM(J81,AB81)+0.004,1,0)+IF(AS81*1000000+SUM(U81,AM81)*10000+SUM(O81,AG81)*100+SUM(I81,AA81)+0.005&gt;AT81*1000000+SUM(V81,AN81)*10000+SUM(P81,AH81)*100+SUM(J81,AB81)+0.004,1,0)+IF(AU81*1000000+SUM(W81,AO81)*10000+SUM(Q81,AI81)*100+SUM(K81,AC81)+0.003&gt;AT81*1000000+SUM(V81,AN81)*10000+SUM(P81,AH81)*100+SUM(J81,AB81)+0.004,1,0)+IF(AV81*1000000+SUM(X81,AP81)*10000+SUM(R81,AJ81)*100+SUM(L81,AD81)+0.002&gt;AT81*1000000+SUM(V81,AN81)*10000+SUM(P81,AH81)*100+SUM(J81,AB81)+0.004,1,0)+IF(AW81*1000000+SUM(Y81,AQ81)*10000+SUM(S81,AK81)*100+SUM(M81,AE81)+0.001&gt;AT81*1000000+SUM(V81,AN81)*10000+SUM(P81,AH81)*100+SUM(J81,AB81)+0.004,1,0)=0,"A",IF(IF(AR81*1000000+SUM(T81,AL81)*10000+SUM(N81,AF81)*100+SUM(H81,Z81)+0.006&gt;AU81*1000000+SUM(W81,AO81)*10000+SUM(Q81,AI81)*100+SUM(K81,AC81)+0.003,1,0)+IF(AS81*1000000+SUM(U81,AM81)*10000+SUM(O81,AG81)*100+SUM(I81,AA81)+0.005&gt;AU81*1000000+SUM(W81,AO81)*10000+SUM(Q81,AI81)*100+SUM(K81,AC81)+0.003,1,0)+IF(AT81*1000000+SUM(V81,AN81)*10000+SUM(P81,AH81)*100+SUM(J81,AB81)+0.004&gt;AU81*1000000+SUM(W81,AO81)*10000+SUM(Q81,AI81)*100+SUM(K81,AC81)+0.003,1,0)+IF(AV81*1000000+SUM(X81,AP81)*10000+SUM(R81,AJ81)*100+SUM(L81,AD81)+0.002&gt;AU81*1000000+SUM(W81,AO81)*10000+SUM(Q81,AI81)*100+SUM(K81,AC81)+0.003,1,0)+IF(AW81*1000000+SUM(Y81,AQ81)*10000+SUM(S81,AK81)*100+SUM(M81,AE81)+0.001&gt;AU81*1000000+SUM(W81,AO81)*10000+SUM(Q81,AI81)*100+SUM(K81,AC81)+0.003,1,0)=0,"S",IF(IF(AR81*1000000+SUM(T81,AL81)*10000+SUM(N81,AF81)*100+SUM(H81,Z81)+0.006&gt;AV81*1000000+SUM(X81,AP81)*10000+SUM(R81,AJ81)*100+SUM(L81,AD81)+0.002,1,0)+IF(AS81*1000000+SUM(U81,AM81)*10000+SUM(O81,AG81)*100+SUM(I81,AA81)+0.005&gt;AV81*1000000+SUM(X81,AP81)*10000+SUM(R81,AJ81)*100+SUM(L81,AD81)+0.002,1,0)+IF(AT81*1000000+SUM(V81,AN81)*10000+SUM(P81,AH81)*100+SUM(J81,AB81)+0.004&gt;AV81*1000000+SUM(X81,AP81)*10000+SUM(R81,AJ81)*100+SUM(L81,AD81)+0.002,1,0)+IF(AU81*1000000+SUM(W81,AO81)*10000+SUM(Q81,AI81)*100+SUM(K81,AC81)+0.003&gt;AV81*1000000+SUM(X81,AP81)*10000+SUM(R81,AJ81)*100+SUM(L81,AD81)+0.002,1,0)+IF(AW81*1000000+SUM(Y81,AQ81)*10000+SUM(S81,AK81)*100+SUM(M81,AE81)+0.001&gt;AV81*1000000+SUM(X81,AP81)*10000+SUM(R81,AJ81)*100+SUM(L81,AD81)+0.002,1,0)=0,"E",IF(IF(AR81*1000000+SUM(T81,AL81)*10000+SUM(N81,AF81)*100+SUM(H81,Z81)+0.006&gt;AW81*1000000+SUM(Y81,AQ81)*10000+SUM(S81,AK81)*100+SUM(M81,AE81)+0.001,1,0)+IF(AS81*1000000+SUM(U81,AM81)*10000+SUM(O81,AG81)*100+SUM(I81,AA81)+0.005&gt;AW81*1000000+SUM(Y81,AQ81)*10000+SUM(S81,AK81)*100+SUM(M81,AE81)+0.001,1,0)+IF(AT81*1000000+SUM(V81,AN81)*10000+SUM(P81,AH81)*100+SUM(J81,AB81)+0.004&gt;AW81*1000000+SUM(Y81,AQ81)*10000+SUM(S81,AK81)*100+SUM(M81,AE81)+0.001,1,0)+IF(AU81*1000000+SUM(W81,AO81)*10000+SUM(Q81,AI81)*100+SUM(K81,AC81)+0.003&gt;AW81*1000000+SUM(Y81,AQ81)*10000+SUM(S81,AK81)*100+SUM(M81,AE81)+0.001,1,0)+IF(AV81*1000000+SUM(X81,AP81)*10000+SUM(R81,AJ81)*100+SUM(L81,AD81)+0.002&gt;AW81*1000000+SUM(Y81,AQ81)*10000+SUM(S81,AK81)*100+SUM(M81,AE81)+0.001,1,0)=0,"C",""))))))&amp;IF(IF(AS81*1000000+SUM(U81,AM81)*10000+SUM(O81,AG81)*100+SUM(I81,AA81)+0.005&gt;AR81*1000000+SUM(T81,AL81)*10000+SUM(N81,AF81)*100+SUM(H81,Z81)+0.006,1,0)+IF(AT81*1000000+SUM(V81,AN81)*10000+SUM(P81,AH81)*100+SUM(J81,AB81)+0.004&gt;AR81*1000000+SUM(T81,AL81)*10000+SUM(N81,AF81)*100+SUM(H81,Z81)+0.006,1,0)+IF(AU81*1000000+SUM(W81,AO81)*10000+SUM(Q81,AI81)*100+SUM(K81,AC81)+0.003&gt;AR81*1000000+SUM(T81,AL81)*10000+SUM(N81,AF81)*100+SUM(H81,Z81)+0.006,1,0)+IF(AV81*1000000+SUM(X81,AP81)*10000+SUM(R81,AJ81)*100+SUM(L81,AD81)+0.002&gt;AR81*1000000+SUM(T81,AL81)*10000+SUM(N81,AF81)*100+SUM(H81,Z81)+0.006,1,0)+IF(AW81*1000000+SUM(Y81,AQ81)*10000+SUM(S81,AK81)*100+SUM(M81,AE81)+0.001&gt;AR81*1000000+SUM(T81,AL81)*10000+SUM(N81,AF81)*100+SUM(H81,Z81)+0.006,1,0)=1,"R",IF(IF(AR81*1000000+SUM(T81,AL81)*10000+SUM(N81,AF81)*100+SUM(H81,Z81)+0.006&gt;AS81*1000000+SUM(U81,AM81)*10000+SUM(O81,AG81)*100+SUM(I81,AA81)+0.005,1,0)+IF(AT81*1000000+SUM(V81,AN81)*10000+SUM(P81,AH81)*100+SUM(J81,AB81)+0.004&gt;AS81*1000000+SUM(U81,AM81)*10000+SUM(O81,AG81)*100+SUM(I81,AA81)+0.005,1,0)+IF(AU81*1000000+SUM(W81,AO81)*10000+SUM(Q81,AI81)*100+SUM(K81,AC81)+0.003&gt;AS81*1000000+SUM(U81,AM81)*10000+SUM(O81,AG81)*100+SUM(I81,AA81)+0.005,1,0)+IF(AV81*1000000+SUM(X81,AP81)*10000+SUM(R81,AJ81)*100+SUM(L81,AD81)+0.002&gt;AS81*1000000+SUM(U81,AM81)*10000+SUM(O81,AG81)*100+SUM(I81,AA81)+0.005,1,0)+IF(AW81*1000000+SUM(Y81,AQ81)*10000+SUM(S81,AK81)*100+SUM(M81,AE81)+0.001&gt;AS81*1000000+SUM(U81,AM81)*10000+SUM(O81,AG81)*100+SUM(I81,AA81)+0.005,1,0)=1,"I",IF(IF(AR81*1000000+SUM(T81,AL81)*10000+SUM(N81,AF81)*100+SUM(H81,Z81)+0.006&gt;AT81*1000000+SUM(V81,AN81)*10000+SUM(P81,AH81)*100+SUM(J81,AB81)+0.004,1,0)+IF(AS81*1000000+SUM(U81,AM81)*10000+SUM(O81,AG81)*100+SUM(I81,AA81)+0.005&gt;AT81*1000000+SUM(V81,AN81)*10000+SUM(P81,AH81)*100+SUM(J81,AB81)+0.004,1,0)+IF(AU81*1000000+SUM(W81,AO81)*10000+SUM(Q81,AI81)*100+SUM(K81,AC81)+0.003&gt;AT81*1000000+SUM(V81,AN81)*10000+SUM(P81,AH81)*100+SUM(J81,AB81)+0.004,1,0)+IF(AV81*1000000+SUM(X81,AP81)*10000+SUM(R81,AJ81)*100+SUM(L81,AD81)+0.002&gt;AT81*1000000+SUM(V81,AN81)*10000+SUM(P81,AH81)*100+SUM(J81,AB81)+0.004,1,0)+IF(AW81*1000000+SUM(Y81,AQ81)*10000+SUM(S81,AK81)*100+SUM(M81,AE81)+0.001&gt;AT81*1000000+SUM(V81,AN81)*10000+SUM(P81,AH81)*100+SUM(J81,AB81)+0.004,1,0)=1,"A",IF(IF(AR81*1000000+SUM(T81,AL81)*10000+SUM(N81,AF81)*100+SUM(H81,Z81)+0.006&gt;AU81*1000000+SUM(W81,AO81)*10000+SUM(Q81,AI81)*100+SUM(K81,AC81)+0.003,1,0)+IF(AS81*1000000+SUM(U81,AM81)*10000+SUM(O81,AG81)*100+SUM(I81,AA81)+0.005&gt;AU81*1000000+SUM(W81,AO81)*10000+SUM(Q81,AI81)*100+SUM(K81,AC81)+0.003,1,0)+IF(AT81*1000000+SUM(V81,AN81)*10000+SUM(P81,AH81)*100+SUM(J81,AB81)+0.004&gt;AU81*1000000+SUM(W81,AO81)*10000+SUM(Q81,AI81)*100+SUM(K81,AC81)+0.003,1,0)+IF(AV81*1000000+SUM(X81,AP81)*10000+SUM(R81,AJ81)*100+SUM(L81,AD81)+0.002&gt;AU81*1000000+SUM(W81,AO81)*10000+SUM(Q81,AI81)*100+SUM(K81,AC81)+0.003,1,0)+IF(AW81*1000000+SUM(Y81,AQ81)*10000+SUM(S81,AK81)*100+SUM(M81,AE81)+0.001&gt;AU81*1000000+SUM(W81,AO81)*10000+SUM(Q81,AI81)*100+SUM(K81,AC81)+0.003,1,0)=1,"S",IF(IF(AR81*1000000+SUM(T81,AL81)*10000+SUM(N81,AF81)*100+SUM(H81,Z81)+0.006&gt;AV81*1000000+SUM(X81,AP81)*10000+SUM(R81,AJ81)*100+SUM(L81,AD81)+0.002,1,0)+IF(AS81*1000000+SUM(U81,AM81)*10000+SUM(O81,AG81)*100+SUM(I81,AA81)+0.005&gt;AV81*1000000+SUM(X81,AP81)*10000+SUM(R81,AJ81)*100+SUM(L81,AD81)+0.002,1,0)+IF(AT81*1000000+SUM(V81,AN81)*10000+SUM(P81,AH81)*100+SUM(J81,AB81)+0.004&gt;AV81*1000000+SUM(X81,AP81)*10000+SUM(R81,AJ81)*100+SUM(L81,AD81)+0.002,1,0)+IF(AU81*1000000+SUM(W81,AO81)*10000+SUM(Q81,AI81)*100+SUM(K81,AC81)+0.003&gt;AV81*1000000+SUM(X81,AP81)*10000+SUM(R81,AJ81)*100+SUM(L81,AD81)+0.002,1,0)+IF(AW81*1000000+SUM(Y81,AQ81)*10000+SUM(S81,AK81)*100+SUM(M81,AE81)+0.001&gt;AV81*1000000+SUM(X81,AP81)*10000+SUM(R81,AJ81)*100+SUM(L81,AD81)+0.002,1,0)=1,"E",IF(IF(AR81*1000000+SUM(T81,AL81)*10000+SUM(N81,AF81)*100+SUM(H81,Z81)+0.006&gt;AW81*1000000+SUM(Y81,AQ81)*10000+SUM(S81,AK81)*100+SUM(M81,AE81)+0.001,1,0)+IF(AS81*1000000+SUM(U81,AM81)*10000+SUM(O81,AG81)*100+SUM(I81,AA81)+0.005&gt;AW81*1000000+SUM(Y81,AQ81)*10000+SUM(S81,AK81)*100+SUM(M81,AE81)+0.001,1,0)+IF(AT81*1000000+SUM(V81,AN81)*10000+SUM(P81,AH81)*100+SUM(J81,AB81)+0.004&gt;AW81*1000000+SUM(Y81,AQ81)*10000+SUM(S81,AK81)*100+SUM(M81,AE81)+0.001,1,0)+IF(AU81*1000000+SUM(W81,AO81)*10000+SUM(Q81,AI81)*100+SUM(K81,AC81)+0.003&gt;AW81*1000000+SUM(Y81,AQ81)*10000+SUM(S81,AK81)*100+SUM(M81,AE81)+0.001,1,0)+IF(AV81*1000000+SUM(X81,AP81)*10000+SUM(R81,AJ81)*100+SUM(L81,AD81)+0.002&gt;AW81*1000000+SUM(Y81,AQ81)*10000+SUM(S81,AK81)*100+SUM(M81,AE81)+0.001,1,0)=1,"C",""))))))&amp;IF(IF(AS81*1000000+SUM(U81,AM81)*10000+SUM(O81,AG81)*100+SUM(I81,AA81)+0.005&gt;AR81*1000000+SUM(T81,AL81)*10000+SUM(N81,AF81)*100+SUM(H81,Z81)+0.006,1,0)+IF(AT81*1000000+SUM(V81,AN81)*10000+SUM(P81,AH81)*100+SUM(J81,AB81)+0.004&gt;AR81*1000000+SUM(T81,AL81)*10000+SUM(N81,AF81)*100+SUM(H81,Z81)+0.006,1,0)+IF(AU81*1000000+SUM(W81,AO81)*10000+SUM(Q81,AI81)*100+SUM(K81,AC81)+0.003&gt;AR81*1000000+SUM(T81,AL81)*10000+SUM(N81,AF81)*100+SUM(H81,Z81)+0.006,1,0)+IF(AV81*1000000+SUM(X81,AP81)*10000+SUM(R81,AJ81)*100+SUM(L81,AD81)+0.002&gt;AR81*1000000+SUM(T81,AL81)*10000+SUM(N81,AF81)*100+SUM(H81,Z81)+0.006,1,0)+IF(AW81*1000000+SUM(Y81,AQ81)*10000+SUM(S81,AK81)*100+SUM(M81,AE81)+0.001&gt;AR81*1000000+SUM(T81,AL81)*10000+SUM(N81,AF81)*100+SUM(H81,Z81)+0.006,1,0)=2,"R",IF(IF(AR81*1000000+SUM(T81,AL81)*10000+SUM(N81,AF81)*100+SUM(H81,Z81)+0.006&gt;AS81*1000000+SUM(U81,AM81)*10000+SUM(O81,AG81)*100+SUM(I81,AA81)+0.005,1,0)+IF(AT81*1000000+SUM(V81,AN81)*10000+SUM(P81,AH81)*100+SUM(J81,AB81)+0.004&gt;AS81*1000000+SUM(U81,AM81)*10000+SUM(O81,AG81)*100+SUM(I81,AA81)+0.005,1,0)+IF(AU81*1000000+SUM(W81,AO81)*10000+SUM(Q81,AI81)*100+SUM(K81,AC81)+0.003&gt;AS81*1000000+SUM(U81,AM81)*10000+SUM(O81,AG81)*100+SUM(I81,AA81)+0.005,1,0)+IF(AV81*1000000+SUM(X81,AP81)*10000+SUM(R81,AJ81)*100+SUM(L81,AD81)+0.002&gt;AS81*1000000+SUM(U81,AM81)*10000+SUM(O81,AG81)*100+SUM(I81,AA81)+0.005,1,0)+IF(AW81*1000000+SUM(Y81,AQ81)*10000+SUM(S81,AK81)*100+SUM(M81,AE81)+0.001&gt;AS81*1000000+SUM(U81,AM81)*10000+SUM(O81,AG81)*100+SUM(I81,AA81)+0.005,1,0)=2,"I",IF(IF(AR81*1000000+SUM(T81,AL81)*10000+SUM(N81,AF81)*100+SUM(H81,Z81)+0.006&gt;AT81*1000000+SUM(V81,AN81)*10000+SUM(P81,AH81)*100+SUM(J81,AB81)+0.004,1,0)+IF(AS81*1000000+SUM(U81,AM81)*10000+SUM(O81,AG81)*100+SUM(I81,AA81)+0.005&gt;AT81*1000000+SUM(V81,AN81)*10000+SUM(P81,AH81)*100+SUM(J81,AB81)+0.004,1,0)+IF(AU81*1000000+SUM(W81,AO81)*10000+SUM(Q81,AI81)*100+SUM(K81,AC81)+0.003&gt;AT81*1000000+SUM(V81,AN81)*10000+SUM(P81,AH81)*100+SUM(J81,AB81)+0.004,1,0)+IF(AV81*1000000+SUM(X81,AP81)*10000+SUM(R81,AJ81)*100+SUM(L81,AD81)+0.002&gt;AT81*1000000+SUM(V81,AN81)*10000+SUM(P81,AH81)*100+SUM(J81,AB81)+0.004,1,0)+IF(AW81*1000000+SUM(Y81,AQ81)*10000+SUM(S81,AK81)*100+SUM(M81,AE81)+0.001&gt;AT81*1000000+SUM(V81,AN81)*10000+SUM(P81,AH81)*100+SUM(J81,AB81)+0.004,1,0)=2,"A",IF(IF(AR81*1000000+SUM(T81,AL81)*10000+SUM(N81,AF81)*100+SUM(H81,Z81)+0.006&gt;AU81*1000000+SUM(W81,AO81)*10000+SUM(Q81,AI81)*100+SUM(K81,AC81)+0.003,1,0)+IF(AS81*1000000+SUM(U81,AM81)*10000+SUM(O81,AG81)*100+SUM(I81,AA81)+0.005&gt;AU81*1000000+SUM(W81,AO81)*10000+SUM(Q81,AI81)*100+SUM(K81,AC81)+0.003,1,0)+IF(AT81*1000000+SUM(V81,AN81)*10000+SUM(P81,AH81)*100+SUM(J81,AB81)+0.004&gt;AU81*1000000+SUM(W81,AO81)*10000+SUM(Q81,AI81)*100+SUM(K81,AC81)+0.003,1,0)+IF(AV81*1000000+SUM(X81,AP81)*10000+SUM(R81,AJ81)*100+SUM(L81,AD81)+0.002&gt;AU81*1000000+SUM(W81,AO81)*10000+SUM(Q81,AI81)*100+SUM(K81,AC81)+0.003,1,0)+IF(AW81*1000000+SUM(Y81,AQ81)*10000+SUM(S81,AK81)*100+SUM(M81,AE81)+0.001&gt;AU81*1000000+SUM(W81,AO81)*10000+SUM(Q81,AI81)*100+SUM(K81,AC81)+0.003,1,0)=2,"S",IF(IF(AR81*1000000+SUM(T81,AL81)*10000+SUM(N81,AF81)*100+SUM(H81,Z81)+0.006&gt;AV81*1000000+SUM(X81,AP81)*10000+SUM(R81,AJ81)*100+SUM(L81,AD81)+0.002,1,0)+IF(AS81*1000000+SUM(U81,AM81)*10000+SUM(O81,AG81)*100+SUM(I81,AA81)+0.005&gt;AV81*1000000+SUM(X81,AP81)*10000+SUM(R81,AJ81)*100+SUM(L81,AD81)+0.002,1,0)+IF(AT81*1000000+SUM(V81,AN81)*10000+SUM(P81,AH81)*100+SUM(J81,AB81)+0.004&gt;AV81*1000000+SUM(X81,AP81)*10000+SUM(R81,AJ81)*100+SUM(L81,AD81)+0.002,1,0)+IF(AU81*1000000+SUM(W81,AO81)*10000+SUM(Q81,AI81)*100+SUM(K81,AC81)+0.003&gt;AV81*1000000+SUM(X81,AP81)*10000+SUM(R81,AJ81)*100+SUM(L81,AD81)+0.002,1,0)+IF(AW81*1000000+SUM(Y81,AQ81)*10000+SUM(S81,AK81)*100+SUM(M81,AE81)+0.001&gt;AV81*1000000+SUM(X81,AP81)*10000+SUM(R81,AJ81)*100+SUM(L81,AD81)+0.002,1,0)=2,"E",IF(IF(AR81*1000000+SUM(T81,AL81)*10000+SUM(N81,AF81)*100+SUM(H81,Z81)+0.006&gt;AW81*1000000+SUM(Y81,AQ81)*10000+SUM(S81,AK81)*100+SUM(M81,AE81)+0.001,1,0)+IF(AS81*1000000+SUM(U81,AM81)*10000+SUM(O81,AG81)*100+SUM(I81,AA81)+0.005&gt;AW81*1000000+SUM(Y81,AQ81)*10000+SUM(S81,AK81)*100+SUM(M81,AE81)+0.001,1,0)+IF(AT81*1000000+SUM(V81,AN81)*10000+SUM(P81,AH81)*100+SUM(J81,AB81)+0.004&gt;AW81*1000000+SUM(Y81,AQ81)*10000+SUM(S81,AK81)*100+SUM(M81,AE81)+0.001,1,0)+IF(AU81*1000000+SUM(W81,AO81)*10000+SUM(Q81,AI81)*100+SUM(K81,AC81)+0.003&gt;AW81*1000000+SUM(Y81,AQ81)*10000+SUM(S81,AK81)*100+SUM(M81,AE81)+0.001,1,0)+IF(AV81*1000000+SUM(X81,AP81)*10000+SUM(R81,AJ81)*100+SUM(L81,AD81)+0.002&gt;AW81*1000000+SUM(Y81,AQ81)*10000+SUM(S81,AK81)*100+SUM(M81,AE81)+0.001,1,0)=2,"C","")))))))</x:f>
      </x:c>
      <x:c r="AY81" s="27" t="str">
        <x:f>IF(C81="","",IF(LEFT(AX81,1)="R","นักปฏิบัติ",IF(LEFT(AX81,1)="I","นักคิดวิเคราะห์",IF(LEFT(AX81,1)="A","นักสร้างสรรค์",IF(LEFT(AX81,1)="S","ผู้เข้าใจผู้คน",IF(LEFT(AX81,1)="E","ผู้นำการเปลี่ยนแปลง","ผู้จัดระบบ"))))))</x:f>
      </x:c>
    </x:row>
    <x:row r="82">
      <x:c r="A82" s="27"/>
      <x:c r="B82" s="28"/>
      <x:c r="C82" s="27"/>
      <x:c r="D82" s="27"/>
      <x:c r="E82" s="27"/>
      <x:c r="F82" s="27"/>
      <x:c r="G82" s="27"/>
      <x:c r="H82" s="27"/>
      <x:c r="I82" s="27"/>
      <x:c r="J82" s="27"/>
      <x:c r="K82" s="27"/>
      <x:c r="L82" s="27"/>
      <x:c r="M82" s="27"/>
      <x:c r="N82" s="27"/>
      <x:c r="O82" s="27"/>
      <x:c r="P82" s="27"/>
      <x:c r="Q82" s="27"/>
      <x:c r="R82" s="27"/>
      <x:c r="S82" s="27"/>
      <x:c r="T82" s="27"/>
      <x:c r="U82" s="27"/>
      <x:c r="V82" s="27"/>
      <x:c r="W82" s="27"/>
      <x:c r="X82" s="27"/>
      <x:c r="Y82" s="27"/>
      <x:c r="Z82" s="27"/>
      <x:c r="AA82" s="27"/>
      <x:c r="AB82" s="27"/>
      <x:c r="AC82" s="27"/>
      <x:c r="AD82" s="27"/>
      <x:c r="AE82" s="27"/>
      <x:c r="AF82" s="27"/>
      <x:c r="AG82" s="27"/>
      <x:c r="AH82" s="27"/>
      <x:c r="AI82" s="27"/>
      <x:c r="AJ82" s="27"/>
      <x:c r="AK82" s="27"/>
      <x:c r="AL82" s="27"/>
      <x:c r="AM82" s="27"/>
      <x:c r="AN82" s="27"/>
      <x:c r="AO82" s="27"/>
      <x:c r="AP82" s="27"/>
      <x:c r="AQ82" s="27"/>
      <x:c r="AR82" s="27" t="str">
        <x:f>IF(C82="","",SUM(H82,N82,T82,Z82,AF82,AL82))</x:f>
      </x:c>
      <x:c r="AS82" s="27" t="str">
        <x:f>IF(C82="","",SUM(I82,O82,U82,AA82,AG82,AM82))</x:f>
      </x:c>
      <x:c r="AT82" s="27" t="str">
        <x:f>IF(C82="","",SUM(J82,P82,V82,AB82,AH82,AN82))</x:f>
      </x:c>
      <x:c r="AU82" s="27" t="str">
        <x:f>IF(C82="","",SUM(K82,Q82,W82,AC82,AI82,AO82))</x:f>
      </x:c>
      <x:c r="AV82" s="27" t="str">
        <x:f>IF(C82="","",SUM(L82,R82,X82,AD82,AJ82,AP82))</x:f>
      </x:c>
      <x:c r="AW82" s="27" t="str">
        <x:f>IF(C82="","",SUM(M82,S82,Y82,AE82,AK82,AQ82))</x:f>
      </x:c>
      <x:c r="AX82" s="27" t="str">
        <x:f>IF(C82="","",IF(IF(AS82*1000000+SUM(U82,AM82)*10000+SUM(O82,AG82)*100+SUM(I82,AA82)+0.005&gt;AR82*1000000+SUM(T82,AL82)*10000+SUM(N82,AF82)*100+SUM(H82,Z82)+0.006,1,0)+IF(AT82*1000000+SUM(V82,AN82)*10000+SUM(P82,AH82)*100+SUM(J82,AB82)+0.004&gt;AR82*1000000+SUM(T82,AL82)*10000+SUM(N82,AF82)*100+SUM(H82,Z82)+0.006,1,0)+IF(AU82*1000000+SUM(W82,AO82)*10000+SUM(Q82,AI82)*100+SUM(K82,AC82)+0.003&gt;AR82*1000000+SUM(T82,AL82)*10000+SUM(N82,AF82)*100+SUM(H82,Z82)+0.006,1,0)+IF(AV82*1000000+SUM(X82,AP82)*10000+SUM(R82,AJ82)*100+SUM(L82,AD82)+0.002&gt;AR82*1000000+SUM(T82,AL82)*10000+SUM(N82,AF82)*100+SUM(H82,Z82)+0.006,1,0)+IF(AW82*1000000+SUM(Y82,AQ82)*10000+SUM(S82,AK82)*100+SUM(M82,AE82)+0.001&gt;AR82*1000000+SUM(T82,AL82)*10000+SUM(N82,AF82)*100+SUM(H82,Z82)+0.006,1,0)=0,"R",IF(IF(AR82*1000000+SUM(T82,AL82)*10000+SUM(N82,AF82)*100+SUM(H82,Z82)+0.006&gt;AS82*1000000+SUM(U82,AM82)*10000+SUM(O82,AG82)*100+SUM(I82,AA82)+0.005,1,0)+IF(AT82*1000000+SUM(V82,AN82)*10000+SUM(P82,AH82)*100+SUM(J82,AB82)+0.004&gt;AS82*1000000+SUM(U82,AM82)*10000+SUM(O82,AG82)*100+SUM(I82,AA82)+0.005,1,0)+IF(AU82*1000000+SUM(W82,AO82)*10000+SUM(Q82,AI82)*100+SUM(K82,AC82)+0.003&gt;AS82*1000000+SUM(U82,AM82)*10000+SUM(O82,AG82)*100+SUM(I82,AA82)+0.005,1,0)+IF(AV82*1000000+SUM(X82,AP82)*10000+SUM(R82,AJ82)*100+SUM(L82,AD82)+0.002&gt;AS82*1000000+SUM(U82,AM82)*10000+SUM(O82,AG82)*100+SUM(I82,AA82)+0.005,1,0)+IF(AW82*1000000+SUM(Y82,AQ82)*10000+SUM(S82,AK82)*100+SUM(M82,AE82)+0.001&gt;AS82*1000000+SUM(U82,AM82)*10000+SUM(O82,AG82)*100+SUM(I82,AA82)+0.005,1,0)=0,"I",IF(IF(AR82*1000000+SUM(T82,AL82)*10000+SUM(N82,AF82)*100+SUM(H82,Z82)+0.006&gt;AT82*1000000+SUM(V82,AN82)*10000+SUM(P82,AH82)*100+SUM(J82,AB82)+0.004,1,0)+IF(AS82*1000000+SUM(U82,AM82)*10000+SUM(O82,AG82)*100+SUM(I82,AA82)+0.005&gt;AT82*1000000+SUM(V82,AN82)*10000+SUM(P82,AH82)*100+SUM(J82,AB82)+0.004,1,0)+IF(AU82*1000000+SUM(W82,AO82)*10000+SUM(Q82,AI82)*100+SUM(K82,AC82)+0.003&gt;AT82*1000000+SUM(V82,AN82)*10000+SUM(P82,AH82)*100+SUM(J82,AB82)+0.004,1,0)+IF(AV82*1000000+SUM(X82,AP82)*10000+SUM(R82,AJ82)*100+SUM(L82,AD82)+0.002&gt;AT82*1000000+SUM(V82,AN82)*10000+SUM(P82,AH82)*100+SUM(J82,AB82)+0.004,1,0)+IF(AW82*1000000+SUM(Y82,AQ82)*10000+SUM(S82,AK82)*100+SUM(M82,AE82)+0.001&gt;AT82*1000000+SUM(V82,AN82)*10000+SUM(P82,AH82)*100+SUM(J82,AB82)+0.004,1,0)=0,"A",IF(IF(AR82*1000000+SUM(T82,AL82)*10000+SUM(N82,AF82)*100+SUM(H82,Z82)+0.006&gt;AU82*1000000+SUM(W82,AO82)*10000+SUM(Q82,AI82)*100+SUM(K82,AC82)+0.003,1,0)+IF(AS82*1000000+SUM(U82,AM82)*10000+SUM(O82,AG82)*100+SUM(I82,AA82)+0.005&gt;AU82*1000000+SUM(W82,AO82)*10000+SUM(Q82,AI82)*100+SUM(K82,AC82)+0.003,1,0)+IF(AT82*1000000+SUM(V82,AN82)*10000+SUM(P82,AH82)*100+SUM(J82,AB82)+0.004&gt;AU82*1000000+SUM(W82,AO82)*10000+SUM(Q82,AI82)*100+SUM(K82,AC82)+0.003,1,0)+IF(AV82*1000000+SUM(X82,AP82)*10000+SUM(R82,AJ82)*100+SUM(L82,AD82)+0.002&gt;AU82*1000000+SUM(W82,AO82)*10000+SUM(Q82,AI82)*100+SUM(K82,AC82)+0.003,1,0)+IF(AW82*1000000+SUM(Y82,AQ82)*10000+SUM(S82,AK82)*100+SUM(M82,AE82)+0.001&gt;AU82*1000000+SUM(W82,AO82)*10000+SUM(Q82,AI82)*100+SUM(K82,AC82)+0.003,1,0)=0,"S",IF(IF(AR82*1000000+SUM(T82,AL82)*10000+SUM(N82,AF82)*100+SUM(H82,Z82)+0.006&gt;AV82*1000000+SUM(X82,AP82)*10000+SUM(R82,AJ82)*100+SUM(L82,AD82)+0.002,1,0)+IF(AS82*1000000+SUM(U82,AM82)*10000+SUM(O82,AG82)*100+SUM(I82,AA82)+0.005&gt;AV82*1000000+SUM(X82,AP82)*10000+SUM(R82,AJ82)*100+SUM(L82,AD82)+0.002,1,0)+IF(AT82*1000000+SUM(V82,AN82)*10000+SUM(P82,AH82)*100+SUM(J82,AB82)+0.004&gt;AV82*1000000+SUM(X82,AP82)*10000+SUM(R82,AJ82)*100+SUM(L82,AD82)+0.002,1,0)+IF(AU82*1000000+SUM(W82,AO82)*10000+SUM(Q82,AI82)*100+SUM(K82,AC82)+0.003&gt;AV82*1000000+SUM(X82,AP82)*10000+SUM(R82,AJ82)*100+SUM(L82,AD82)+0.002,1,0)+IF(AW82*1000000+SUM(Y82,AQ82)*10000+SUM(S82,AK82)*100+SUM(M82,AE82)+0.001&gt;AV82*1000000+SUM(X82,AP82)*10000+SUM(R82,AJ82)*100+SUM(L82,AD82)+0.002,1,0)=0,"E",IF(IF(AR82*1000000+SUM(T82,AL82)*10000+SUM(N82,AF82)*100+SUM(H82,Z82)+0.006&gt;AW82*1000000+SUM(Y82,AQ82)*10000+SUM(S82,AK82)*100+SUM(M82,AE82)+0.001,1,0)+IF(AS82*1000000+SUM(U82,AM82)*10000+SUM(O82,AG82)*100+SUM(I82,AA82)+0.005&gt;AW82*1000000+SUM(Y82,AQ82)*10000+SUM(S82,AK82)*100+SUM(M82,AE82)+0.001,1,0)+IF(AT82*1000000+SUM(V82,AN82)*10000+SUM(P82,AH82)*100+SUM(J82,AB82)+0.004&gt;AW82*1000000+SUM(Y82,AQ82)*10000+SUM(S82,AK82)*100+SUM(M82,AE82)+0.001,1,0)+IF(AU82*1000000+SUM(W82,AO82)*10000+SUM(Q82,AI82)*100+SUM(K82,AC82)+0.003&gt;AW82*1000000+SUM(Y82,AQ82)*10000+SUM(S82,AK82)*100+SUM(M82,AE82)+0.001,1,0)+IF(AV82*1000000+SUM(X82,AP82)*10000+SUM(R82,AJ82)*100+SUM(L82,AD82)+0.002&gt;AW82*1000000+SUM(Y82,AQ82)*10000+SUM(S82,AK82)*100+SUM(M82,AE82)+0.001,1,0)=0,"C",""))))))&amp;IF(IF(AS82*1000000+SUM(U82,AM82)*10000+SUM(O82,AG82)*100+SUM(I82,AA82)+0.005&gt;AR82*1000000+SUM(T82,AL82)*10000+SUM(N82,AF82)*100+SUM(H82,Z82)+0.006,1,0)+IF(AT82*1000000+SUM(V82,AN82)*10000+SUM(P82,AH82)*100+SUM(J82,AB82)+0.004&gt;AR82*1000000+SUM(T82,AL82)*10000+SUM(N82,AF82)*100+SUM(H82,Z82)+0.006,1,0)+IF(AU82*1000000+SUM(W82,AO82)*10000+SUM(Q82,AI82)*100+SUM(K82,AC82)+0.003&gt;AR82*1000000+SUM(T82,AL82)*10000+SUM(N82,AF82)*100+SUM(H82,Z82)+0.006,1,0)+IF(AV82*1000000+SUM(X82,AP82)*10000+SUM(R82,AJ82)*100+SUM(L82,AD82)+0.002&gt;AR82*1000000+SUM(T82,AL82)*10000+SUM(N82,AF82)*100+SUM(H82,Z82)+0.006,1,0)+IF(AW82*1000000+SUM(Y82,AQ82)*10000+SUM(S82,AK82)*100+SUM(M82,AE82)+0.001&gt;AR82*1000000+SUM(T82,AL82)*10000+SUM(N82,AF82)*100+SUM(H82,Z82)+0.006,1,0)=1,"R",IF(IF(AR82*1000000+SUM(T82,AL82)*10000+SUM(N82,AF82)*100+SUM(H82,Z82)+0.006&gt;AS82*1000000+SUM(U82,AM82)*10000+SUM(O82,AG82)*100+SUM(I82,AA82)+0.005,1,0)+IF(AT82*1000000+SUM(V82,AN82)*10000+SUM(P82,AH82)*100+SUM(J82,AB82)+0.004&gt;AS82*1000000+SUM(U82,AM82)*10000+SUM(O82,AG82)*100+SUM(I82,AA82)+0.005,1,0)+IF(AU82*1000000+SUM(W82,AO82)*10000+SUM(Q82,AI82)*100+SUM(K82,AC82)+0.003&gt;AS82*1000000+SUM(U82,AM82)*10000+SUM(O82,AG82)*100+SUM(I82,AA82)+0.005,1,0)+IF(AV82*1000000+SUM(X82,AP82)*10000+SUM(R82,AJ82)*100+SUM(L82,AD82)+0.002&gt;AS82*1000000+SUM(U82,AM82)*10000+SUM(O82,AG82)*100+SUM(I82,AA82)+0.005,1,0)+IF(AW82*1000000+SUM(Y82,AQ82)*10000+SUM(S82,AK82)*100+SUM(M82,AE82)+0.001&gt;AS82*1000000+SUM(U82,AM82)*10000+SUM(O82,AG82)*100+SUM(I82,AA82)+0.005,1,0)=1,"I",IF(IF(AR82*1000000+SUM(T82,AL82)*10000+SUM(N82,AF82)*100+SUM(H82,Z82)+0.006&gt;AT82*1000000+SUM(V82,AN82)*10000+SUM(P82,AH82)*100+SUM(J82,AB82)+0.004,1,0)+IF(AS82*1000000+SUM(U82,AM82)*10000+SUM(O82,AG82)*100+SUM(I82,AA82)+0.005&gt;AT82*1000000+SUM(V82,AN82)*10000+SUM(P82,AH82)*100+SUM(J82,AB82)+0.004,1,0)+IF(AU82*1000000+SUM(W82,AO82)*10000+SUM(Q82,AI82)*100+SUM(K82,AC82)+0.003&gt;AT82*1000000+SUM(V82,AN82)*10000+SUM(P82,AH82)*100+SUM(J82,AB82)+0.004,1,0)+IF(AV82*1000000+SUM(X82,AP82)*10000+SUM(R82,AJ82)*100+SUM(L82,AD82)+0.002&gt;AT82*1000000+SUM(V82,AN82)*10000+SUM(P82,AH82)*100+SUM(J82,AB82)+0.004,1,0)+IF(AW82*1000000+SUM(Y82,AQ82)*10000+SUM(S82,AK82)*100+SUM(M82,AE82)+0.001&gt;AT82*1000000+SUM(V82,AN82)*10000+SUM(P82,AH82)*100+SUM(J82,AB82)+0.004,1,0)=1,"A",IF(IF(AR82*1000000+SUM(T82,AL82)*10000+SUM(N82,AF82)*100+SUM(H82,Z82)+0.006&gt;AU82*1000000+SUM(W82,AO82)*10000+SUM(Q82,AI82)*100+SUM(K82,AC82)+0.003,1,0)+IF(AS82*1000000+SUM(U82,AM82)*10000+SUM(O82,AG82)*100+SUM(I82,AA82)+0.005&gt;AU82*1000000+SUM(W82,AO82)*10000+SUM(Q82,AI82)*100+SUM(K82,AC82)+0.003,1,0)+IF(AT82*1000000+SUM(V82,AN82)*10000+SUM(P82,AH82)*100+SUM(J82,AB82)+0.004&gt;AU82*1000000+SUM(W82,AO82)*10000+SUM(Q82,AI82)*100+SUM(K82,AC82)+0.003,1,0)+IF(AV82*1000000+SUM(X82,AP82)*10000+SUM(R82,AJ82)*100+SUM(L82,AD82)+0.002&gt;AU82*1000000+SUM(W82,AO82)*10000+SUM(Q82,AI82)*100+SUM(K82,AC82)+0.003,1,0)+IF(AW82*1000000+SUM(Y82,AQ82)*10000+SUM(S82,AK82)*100+SUM(M82,AE82)+0.001&gt;AU82*1000000+SUM(W82,AO82)*10000+SUM(Q82,AI82)*100+SUM(K82,AC82)+0.003,1,0)=1,"S",IF(IF(AR82*1000000+SUM(T82,AL82)*10000+SUM(N82,AF82)*100+SUM(H82,Z82)+0.006&gt;AV82*1000000+SUM(X82,AP82)*10000+SUM(R82,AJ82)*100+SUM(L82,AD82)+0.002,1,0)+IF(AS82*1000000+SUM(U82,AM82)*10000+SUM(O82,AG82)*100+SUM(I82,AA82)+0.005&gt;AV82*1000000+SUM(X82,AP82)*10000+SUM(R82,AJ82)*100+SUM(L82,AD82)+0.002,1,0)+IF(AT82*1000000+SUM(V82,AN82)*10000+SUM(P82,AH82)*100+SUM(J82,AB82)+0.004&gt;AV82*1000000+SUM(X82,AP82)*10000+SUM(R82,AJ82)*100+SUM(L82,AD82)+0.002,1,0)+IF(AU82*1000000+SUM(W82,AO82)*10000+SUM(Q82,AI82)*100+SUM(K82,AC82)+0.003&gt;AV82*1000000+SUM(X82,AP82)*10000+SUM(R82,AJ82)*100+SUM(L82,AD82)+0.002,1,0)+IF(AW82*1000000+SUM(Y82,AQ82)*10000+SUM(S82,AK82)*100+SUM(M82,AE82)+0.001&gt;AV82*1000000+SUM(X82,AP82)*10000+SUM(R82,AJ82)*100+SUM(L82,AD82)+0.002,1,0)=1,"E",IF(IF(AR82*1000000+SUM(T82,AL82)*10000+SUM(N82,AF82)*100+SUM(H82,Z82)+0.006&gt;AW82*1000000+SUM(Y82,AQ82)*10000+SUM(S82,AK82)*100+SUM(M82,AE82)+0.001,1,0)+IF(AS82*1000000+SUM(U82,AM82)*10000+SUM(O82,AG82)*100+SUM(I82,AA82)+0.005&gt;AW82*1000000+SUM(Y82,AQ82)*10000+SUM(S82,AK82)*100+SUM(M82,AE82)+0.001,1,0)+IF(AT82*1000000+SUM(V82,AN82)*10000+SUM(P82,AH82)*100+SUM(J82,AB82)+0.004&gt;AW82*1000000+SUM(Y82,AQ82)*10000+SUM(S82,AK82)*100+SUM(M82,AE82)+0.001,1,0)+IF(AU82*1000000+SUM(W82,AO82)*10000+SUM(Q82,AI82)*100+SUM(K82,AC82)+0.003&gt;AW82*1000000+SUM(Y82,AQ82)*10000+SUM(S82,AK82)*100+SUM(M82,AE82)+0.001,1,0)+IF(AV82*1000000+SUM(X82,AP82)*10000+SUM(R82,AJ82)*100+SUM(L82,AD82)+0.002&gt;AW82*1000000+SUM(Y82,AQ82)*10000+SUM(S82,AK82)*100+SUM(M82,AE82)+0.001,1,0)=1,"C",""))))))&amp;IF(IF(AS82*1000000+SUM(U82,AM82)*10000+SUM(O82,AG82)*100+SUM(I82,AA82)+0.005&gt;AR82*1000000+SUM(T82,AL82)*10000+SUM(N82,AF82)*100+SUM(H82,Z82)+0.006,1,0)+IF(AT82*1000000+SUM(V82,AN82)*10000+SUM(P82,AH82)*100+SUM(J82,AB82)+0.004&gt;AR82*1000000+SUM(T82,AL82)*10000+SUM(N82,AF82)*100+SUM(H82,Z82)+0.006,1,0)+IF(AU82*1000000+SUM(W82,AO82)*10000+SUM(Q82,AI82)*100+SUM(K82,AC82)+0.003&gt;AR82*1000000+SUM(T82,AL82)*10000+SUM(N82,AF82)*100+SUM(H82,Z82)+0.006,1,0)+IF(AV82*1000000+SUM(X82,AP82)*10000+SUM(R82,AJ82)*100+SUM(L82,AD82)+0.002&gt;AR82*1000000+SUM(T82,AL82)*10000+SUM(N82,AF82)*100+SUM(H82,Z82)+0.006,1,0)+IF(AW82*1000000+SUM(Y82,AQ82)*10000+SUM(S82,AK82)*100+SUM(M82,AE82)+0.001&gt;AR82*1000000+SUM(T82,AL82)*10000+SUM(N82,AF82)*100+SUM(H82,Z82)+0.006,1,0)=2,"R",IF(IF(AR82*1000000+SUM(T82,AL82)*10000+SUM(N82,AF82)*100+SUM(H82,Z82)+0.006&gt;AS82*1000000+SUM(U82,AM82)*10000+SUM(O82,AG82)*100+SUM(I82,AA82)+0.005,1,0)+IF(AT82*1000000+SUM(V82,AN82)*10000+SUM(P82,AH82)*100+SUM(J82,AB82)+0.004&gt;AS82*1000000+SUM(U82,AM82)*10000+SUM(O82,AG82)*100+SUM(I82,AA82)+0.005,1,0)+IF(AU82*1000000+SUM(W82,AO82)*10000+SUM(Q82,AI82)*100+SUM(K82,AC82)+0.003&gt;AS82*1000000+SUM(U82,AM82)*10000+SUM(O82,AG82)*100+SUM(I82,AA82)+0.005,1,0)+IF(AV82*1000000+SUM(X82,AP82)*10000+SUM(R82,AJ82)*100+SUM(L82,AD82)+0.002&gt;AS82*1000000+SUM(U82,AM82)*10000+SUM(O82,AG82)*100+SUM(I82,AA82)+0.005,1,0)+IF(AW82*1000000+SUM(Y82,AQ82)*10000+SUM(S82,AK82)*100+SUM(M82,AE82)+0.001&gt;AS82*1000000+SUM(U82,AM82)*10000+SUM(O82,AG82)*100+SUM(I82,AA82)+0.005,1,0)=2,"I",IF(IF(AR82*1000000+SUM(T82,AL82)*10000+SUM(N82,AF82)*100+SUM(H82,Z82)+0.006&gt;AT82*1000000+SUM(V82,AN82)*10000+SUM(P82,AH82)*100+SUM(J82,AB82)+0.004,1,0)+IF(AS82*1000000+SUM(U82,AM82)*10000+SUM(O82,AG82)*100+SUM(I82,AA82)+0.005&gt;AT82*1000000+SUM(V82,AN82)*10000+SUM(P82,AH82)*100+SUM(J82,AB82)+0.004,1,0)+IF(AU82*1000000+SUM(W82,AO82)*10000+SUM(Q82,AI82)*100+SUM(K82,AC82)+0.003&gt;AT82*1000000+SUM(V82,AN82)*10000+SUM(P82,AH82)*100+SUM(J82,AB82)+0.004,1,0)+IF(AV82*1000000+SUM(X82,AP82)*10000+SUM(R82,AJ82)*100+SUM(L82,AD82)+0.002&gt;AT82*1000000+SUM(V82,AN82)*10000+SUM(P82,AH82)*100+SUM(J82,AB82)+0.004,1,0)+IF(AW82*1000000+SUM(Y82,AQ82)*10000+SUM(S82,AK82)*100+SUM(M82,AE82)+0.001&gt;AT82*1000000+SUM(V82,AN82)*10000+SUM(P82,AH82)*100+SUM(J82,AB82)+0.004,1,0)=2,"A",IF(IF(AR82*1000000+SUM(T82,AL82)*10000+SUM(N82,AF82)*100+SUM(H82,Z82)+0.006&gt;AU82*1000000+SUM(W82,AO82)*10000+SUM(Q82,AI82)*100+SUM(K82,AC82)+0.003,1,0)+IF(AS82*1000000+SUM(U82,AM82)*10000+SUM(O82,AG82)*100+SUM(I82,AA82)+0.005&gt;AU82*1000000+SUM(W82,AO82)*10000+SUM(Q82,AI82)*100+SUM(K82,AC82)+0.003,1,0)+IF(AT82*1000000+SUM(V82,AN82)*10000+SUM(P82,AH82)*100+SUM(J82,AB82)+0.004&gt;AU82*1000000+SUM(W82,AO82)*10000+SUM(Q82,AI82)*100+SUM(K82,AC82)+0.003,1,0)+IF(AV82*1000000+SUM(X82,AP82)*10000+SUM(R82,AJ82)*100+SUM(L82,AD82)+0.002&gt;AU82*1000000+SUM(W82,AO82)*10000+SUM(Q82,AI82)*100+SUM(K82,AC82)+0.003,1,0)+IF(AW82*1000000+SUM(Y82,AQ82)*10000+SUM(S82,AK82)*100+SUM(M82,AE82)+0.001&gt;AU82*1000000+SUM(W82,AO82)*10000+SUM(Q82,AI82)*100+SUM(K82,AC82)+0.003,1,0)=2,"S",IF(IF(AR82*1000000+SUM(T82,AL82)*10000+SUM(N82,AF82)*100+SUM(H82,Z82)+0.006&gt;AV82*1000000+SUM(X82,AP82)*10000+SUM(R82,AJ82)*100+SUM(L82,AD82)+0.002,1,0)+IF(AS82*1000000+SUM(U82,AM82)*10000+SUM(O82,AG82)*100+SUM(I82,AA82)+0.005&gt;AV82*1000000+SUM(X82,AP82)*10000+SUM(R82,AJ82)*100+SUM(L82,AD82)+0.002,1,0)+IF(AT82*1000000+SUM(V82,AN82)*10000+SUM(P82,AH82)*100+SUM(J82,AB82)+0.004&gt;AV82*1000000+SUM(X82,AP82)*10000+SUM(R82,AJ82)*100+SUM(L82,AD82)+0.002,1,0)+IF(AU82*1000000+SUM(W82,AO82)*10000+SUM(Q82,AI82)*100+SUM(K82,AC82)+0.003&gt;AV82*1000000+SUM(X82,AP82)*10000+SUM(R82,AJ82)*100+SUM(L82,AD82)+0.002,1,0)+IF(AW82*1000000+SUM(Y82,AQ82)*10000+SUM(S82,AK82)*100+SUM(M82,AE82)+0.001&gt;AV82*1000000+SUM(X82,AP82)*10000+SUM(R82,AJ82)*100+SUM(L82,AD82)+0.002,1,0)=2,"E",IF(IF(AR82*1000000+SUM(T82,AL82)*10000+SUM(N82,AF82)*100+SUM(H82,Z82)+0.006&gt;AW82*1000000+SUM(Y82,AQ82)*10000+SUM(S82,AK82)*100+SUM(M82,AE82)+0.001,1,0)+IF(AS82*1000000+SUM(U82,AM82)*10000+SUM(O82,AG82)*100+SUM(I82,AA82)+0.005&gt;AW82*1000000+SUM(Y82,AQ82)*10000+SUM(S82,AK82)*100+SUM(M82,AE82)+0.001,1,0)+IF(AT82*1000000+SUM(V82,AN82)*10000+SUM(P82,AH82)*100+SUM(J82,AB82)+0.004&gt;AW82*1000000+SUM(Y82,AQ82)*10000+SUM(S82,AK82)*100+SUM(M82,AE82)+0.001,1,0)+IF(AU82*1000000+SUM(W82,AO82)*10000+SUM(Q82,AI82)*100+SUM(K82,AC82)+0.003&gt;AW82*1000000+SUM(Y82,AQ82)*10000+SUM(S82,AK82)*100+SUM(M82,AE82)+0.001,1,0)+IF(AV82*1000000+SUM(X82,AP82)*10000+SUM(R82,AJ82)*100+SUM(L82,AD82)+0.002&gt;AW82*1000000+SUM(Y82,AQ82)*10000+SUM(S82,AK82)*100+SUM(M82,AE82)+0.001,1,0)=2,"C","")))))))</x:f>
      </x:c>
      <x:c r="AY82" s="27" t="str">
        <x:f>IF(C82="","",IF(LEFT(AX82,1)="R","นักปฏิบัติ",IF(LEFT(AX82,1)="I","นักคิดวิเคราะห์",IF(LEFT(AX82,1)="A","นักสร้างสรรค์",IF(LEFT(AX82,1)="S","ผู้เข้าใจผู้คน",IF(LEFT(AX82,1)="E","ผู้นำการเปลี่ยนแปลง","ผู้จัดระบบ"))))))</x:f>
      </x:c>
    </x:row>
    <x:row r="83">
      <x:c r="A83" s="27"/>
      <x:c r="B83" s="28"/>
      <x:c r="C83" s="27"/>
      <x:c r="D83" s="27"/>
      <x:c r="E83" s="27"/>
      <x:c r="F83" s="27"/>
      <x:c r="G83" s="27"/>
      <x:c r="H83" s="27"/>
      <x:c r="I83" s="27"/>
      <x:c r="J83" s="27"/>
      <x:c r="K83" s="27"/>
      <x:c r="L83" s="27"/>
      <x:c r="M83" s="27"/>
      <x:c r="N83" s="27"/>
      <x:c r="O83" s="27"/>
      <x:c r="P83" s="27"/>
      <x:c r="Q83" s="27"/>
      <x:c r="R83" s="27"/>
      <x:c r="S83" s="27"/>
      <x:c r="T83" s="27"/>
      <x:c r="U83" s="27"/>
      <x:c r="V83" s="27"/>
      <x:c r="W83" s="27"/>
      <x:c r="X83" s="27"/>
      <x:c r="Y83" s="27"/>
      <x:c r="Z83" s="27"/>
      <x:c r="AA83" s="27"/>
      <x:c r="AB83" s="27"/>
      <x:c r="AC83" s="27"/>
      <x:c r="AD83" s="27"/>
      <x:c r="AE83" s="27"/>
      <x:c r="AF83" s="27"/>
      <x:c r="AG83" s="27"/>
      <x:c r="AH83" s="27"/>
      <x:c r="AI83" s="27"/>
      <x:c r="AJ83" s="27"/>
      <x:c r="AK83" s="27"/>
      <x:c r="AL83" s="27"/>
      <x:c r="AM83" s="27"/>
      <x:c r="AN83" s="27"/>
      <x:c r="AO83" s="27"/>
      <x:c r="AP83" s="27"/>
      <x:c r="AQ83" s="27"/>
      <x:c r="AR83" s="27" t="str">
        <x:f>IF(C83="","",SUM(H83,N83,T83,Z83,AF83,AL83))</x:f>
      </x:c>
      <x:c r="AS83" s="27" t="str">
        <x:f>IF(C83="","",SUM(I83,O83,U83,AA83,AG83,AM83))</x:f>
      </x:c>
      <x:c r="AT83" s="27" t="str">
        <x:f>IF(C83="","",SUM(J83,P83,V83,AB83,AH83,AN83))</x:f>
      </x:c>
      <x:c r="AU83" s="27" t="str">
        <x:f>IF(C83="","",SUM(K83,Q83,W83,AC83,AI83,AO83))</x:f>
      </x:c>
      <x:c r="AV83" s="27" t="str">
        <x:f>IF(C83="","",SUM(L83,R83,X83,AD83,AJ83,AP83))</x:f>
      </x:c>
      <x:c r="AW83" s="27" t="str">
        <x:f>IF(C83="","",SUM(M83,S83,Y83,AE83,AK83,AQ83))</x:f>
      </x:c>
      <x:c r="AX83" s="27" t="str">
        <x:f>IF(C83="","",IF(IF(AS83*1000000+SUM(U83,AM83)*10000+SUM(O83,AG83)*100+SUM(I83,AA83)+0.005&gt;AR83*1000000+SUM(T83,AL83)*10000+SUM(N83,AF83)*100+SUM(H83,Z83)+0.006,1,0)+IF(AT83*1000000+SUM(V83,AN83)*10000+SUM(P83,AH83)*100+SUM(J83,AB83)+0.004&gt;AR83*1000000+SUM(T83,AL83)*10000+SUM(N83,AF83)*100+SUM(H83,Z83)+0.006,1,0)+IF(AU83*1000000+SUM(W83,AO83)*10000+SUM(Q83,AI83)*100+SUM(K83,AC83)+0.003&gt;AR83*1000000+SUM(T83,AL83)*10000+SUM(N83,AF83)*100+SUM(H83,Z83)+0.006,1,0)+IF(AV83*1000000+SUM(X83,AP83)*10000+SUM(R83,AJ83)*100+SUM(L83,AD83)+0.002&gt;AR83*1000000+SUM(T83,AL83)*10000+SUM(N83,AF83)*100+SUM(H83,Z83)+0.006,1,0)+IF(AW83*1000000+SUM(Y83,AQ83)*10000+SUM(S83,AK83)*100+SUM(M83,AE83)+0.001&gt;AR83*1000000+SUM(T83,AL83)*10000+SUM(N83,AF83)*100+SUM(H83,Z83)+0.006,1,0)=0,"R",IF(IF(AR83*1000000+SUM(T83,AL83)*10000+SUM(N83,AF83)*100+SUM(H83,Z83)+0.006&gt;AS83*1000000+SUM(U83,AM83)*10000+SUM(O83,AG83)*100+SUM(I83,AA83)+0.005,1,0)+IF(AT83*1000000+SUM(V83,AN83)*10000+SUM(P83,AH83)*100+SUM(J83,AB83)+0.004&gt;AS83*1000000+SUM(U83,AM83)*10000+SUM(O83,AG83)*100+SUM(I83,AA83)+0.005,1,0)+IF(AU83*1000000+SUM(W83,AO83)*10000+SUM(Q83,AI83)*100+SUM(K83,AC83)+0.003&gt;AS83*1000000+SUM(U83,AM83)*10000+SUM(O83,AG83)*100+SUM(I83,AA83)+0.005,1,0)+IF(AV83*1000000+SUM(X83,AP83)*10000+SUM(R83,AJ83)*100+SUM(L83,AD83)+0.002&gt;AS83*1000000+SUM(U83,AM83)*10000+SUM(O83,AG83)*100+SUM(I83,AA83)+0.005,1,0)+IF(AW83*1000000+SUM(Y83,AQ83)*10000+SUM(S83,AK83)*100+SUM(M83,AE83)+0.001&gt;AS83*1000000+SUM(U83,AM83)*10000+SUM(O83,AG83)*100+SUM(I83,AA83)+0.005,1,0)=0,"I",IF(IF(AR83*1000000+SUM(T83,AL83)*10000+SUM(N83,AF83)*100+SUM(H83,Z83)+0.006&gt;AT83*1000000+SUM(V83,AN83)*10000+SUM(P83,AH83)*100+SUM(J83,AB83)+0.004,1,0)+IF(AS83*1000000+SUM(U83,AM83)*10000+SUM(O83,AG83)*100+SUM(I83,AA83)+0.005&gt;AT83*1000000+SUM(V83,AN83)*10000+SUM(P83,AH83)*100+SUM(J83,AB83)+0.004,1,0)+IF(AU83*1000000+SUM(W83,AO83)*10000+SUM(Q83,AI83)*100+SUM(K83,AC83)+0.003&gt;AT83*1000000+SUM(V83,AN83)*10000+SUM(P83,AH83)*100+SUM(J83,AB83)+0.004,1,0)+IF(AV83*1000000+SUM(X83,AP83)*10000+SUM(R83,AJ83)*100+SUM(L83,AD83)+0.002&gt;AT83*1000000+SUM(V83,AN83)*10000+SUM(P83,AH83)*100+SUM(J83,AB83)+0.004,1,0)+IF(AW83*1000000+SUM(Y83,AQ83)*10000+SUM(S83,AK83)*100+SUM(M83,AE83)+0.001&gt;AT83*1000000+SUM(V83,AN83)*10000+SUM(P83,AH83)*100+SUM(J83,AB83)+0.004,1,0)=0,"A",IF(IF(AR83*1000000+SUM(T83,AL83)*10000+SUM(N83,AF83)*100+SUM(H83,Z83)+0.006&gt;AU83*1000000+SUM(W83,AO83)*10000+SUM(Q83,AI83)*100+SUM(K83,AC83)+0.003,1,0)+IF(AS83*1000000+SUM(U83,AM83)*10000+SUM(O83,AG83)*100+SUM(I83,AA83)+0.005&gt;AU83*1000000+SUM(W83,AO83)*10000+SUM(Q83,AI83)*100+SUM(K83,AC83)+0.003,1,0)+IF(AT83*1000000+SUM(V83,AN83)*10000+SUM(P83,AH83)*100+SUM(J83,AB83)+0.004&gt;AU83*1000000+SUM(W83,AO83)*10000+SUM(Q83,AI83)*100+SUM(K83,AC83)+0.003,1,0)+IF(AV83*1000000+SUM(X83,AP83)*10000+SUM(R83,AJ83)*100+SUM(L83,AD83)+0.002&gt;AU83*1000000+SUM(W83,AO83)*10000+SUM(Q83,AI83)*100+SUM(K83,AC83)+0.003,1,0)+IF(AW83*1000000+SUM(Y83,AQ83)*10000+SUM(S83,AK83)*100+SUM(M83,AE83)+0.001&gt;AU83*1000000+SUM(W83,AO83)*10000+SUM(Q83,AI83)*100+SUM(K83,AC83)+0.003,1,0)=0,"S",IF(IF(AR83*1000000+SUM(T83,AL83)*10000+SUM(N83,AF83)*100+SUM(H83,Z83)+0.006&gt;AV83*1000000+SUM(X83,AP83)*10000+SUM(R83,AJ83)*100+SUM(L83,AD83)+0.002,1,0)+IF(AS83*1000000+SUM(U83,AM83)*10000+SUM(O83,AG83)*100+SUM(I83,AA83)+0.005&gt;AV83*1000000+SUM(X83,AP83)*10000+SUM(R83,AJ83)*100+SUM(L83,AD83)+0.002,1,0)+IF(AT83*1000000+SUM(V83,AN83)*10000+SUM(P83,AH83)*100+SUM(J83,AB83)+0.004&gt;AV83*1000000+SUM(X83,AP83)*10000+SUM(R83,AJ83)*100+SUM(L83,AD83)+0.002,1,0)+IF(AU83*1000000+SUM(W83,AO83)*10000+SUM(Q83,AI83)*100+SUM(K83,AC83)+0.003&gt;AV83*1000000+SUM(X83,AP83)*10000+SUM(R83,AJ83)*100+SUM(L83,AD83)+0.002,1,0)+IF(AW83*1000000+SUM(Y83,AQ83)*10000+SUM(S83,AK83)*100+SUM(M83,AE83)+0.001&gt;AV83*1000000+SUM(X83,AP83)*10000+SUM(R83,AJ83)*100+SUM(L83,AD83)+0.002,1,0)=0,"E",IF(IF(AR83*1000000+SUM(T83,AL83)*10000+SUM(N83,AF83)*100+SUM(H83,Z83)+0.006&gt;AW83*1000000+SUM(Y83,AQ83)*10000+SUM(S83,AK83)*100+SUM(M83,AE83)+0.001,1,0)+IF(AS83*1000000+SUM(U83,AM83)*10000+SUM(O83,AG83)*100+SUM(I83,AA83)+0.005&gt;AW83*1000000+SUM(Y83,AQ83)*10000+SUM(S83,AK83)*100+SUM(M83,AE83)+0.001,1,0)+IF(AT83*1000000+SUM(V83,AN83)*10000+SUM(P83,AH83)*100+SUM(J83,AB83)+0.004&gt;AW83*1000000+SUM(Y83,AQ83)*10000+SUM(S83,AK83)*100+SUM(M83,AE83)+0.001,1,0)+IF(AU83*1000000+SUM(W83,AO83)*10000+SUM(Q83,AI83)*100+SUM(K83,AC83)+0.003&gt;AW83*1000000+SUM(Y83,AQ83)*10000+SUM(S83,AK83)*100+SUM(M83,AE83)+0.001,1,0)+IF(AV83*1000000+SUM(X83,AP83)*10000+SUM(R83,AJ83)*100+SUM(L83,AD83)+0.002&gt;AW83*1000000+SUM(Y83,AQ83)*10000+SUM(S83,AK83)*100+SUM(M83,AE83)+0.001,1,0)=0,"C",""))))))&amp;IF(IF(AS83*1000000+SUM(U83,AM83)*10000+SUM(O83,AG83)*100+SUM(I83,AA83)+0.005&gt;AR83*1000000+SUM(T83,AL83)*10000+SUM(N83,AF83)*100+SUM(H83,Z83)+0.006,1,0)+IF(AT83*1000000+SUM(V83,AN83)*10000+SUM(P83,AH83)*100+SUM(J83,AB83)+0.004&gt;AR83*1000000+SUM(T83,AL83)*10000+SUM(N83,AF83)*100+SUM(H83,Z83)+0.006,1,0)+IF(AU83*1000000+SUM(W83,AO83)*10000+SUM(Q83,AI83)*100+SUM(K83,AC83)+0.003&gt;AR83*1000000+SUM(T83,AL83)*10000+SUM(N83,AF83)*100+SUM(H83,Z83)+0.006,1,0)+IF(AV83*1000000+SUM(X83,AP83)*10000+SUM(R83,AJ83)*100+SUM(L83,AD83)+0.002&gt;AR83*1000000+SUM(T83,AL83)*10000+SUM(N83,AF83)*100+SUM(H83,Z83)+0.006,1,0)+IF(AW83*1000000+SUM(Y83,AQ83)*10000+SUM(S83,AK83)*100+SUM(M83,AE83)+0.001&gt;AR83*1000000+SUM(T83,AL83)*10000+SUM(N83,AF83)*100+SUM(H83,Z83)+0.006,1,0)=1,"R",IF(IF(AR83*1000000+SUM(T83,AL83)*10000+SUM(N83,AF83)*100+SUM(H83,Z83)+0.006&gt;AS83*1000000+SUM(U83,AM83)*10000+SUM(O83,AG83)*100+SUM(I83,AA83)+0.005,1,0)+IF(AT83*1000000+SUM(V83,AN83)*10000+SUM(P83,AH83)*100+SUM(J83,AB83)+0.004&gt;AS83*1000000+SUM(U83,AM83)*10000+SUM(O83,AG83)*100+SUM(I83,AA83)+0.005,1,0)+IF(AU83*1000000+SUM(W83,AO83)*10000+SUM(Q83,AI83)*100+SUM(K83,AC83)+0.003&gt;AS83*1000000+SUM(U83,AM83)*10000+SUM(O83,AG83)*100+SUM(I83,AA83)+0.005,1,0)+IF(AV83*1000000+SUM(X83,AP83)*10000+SUM(R83,AJ83)*100+SUM(L83,AD83)+0.002&gt;AS83*1000000+SUM(U83,AM83)*10000+SUM(O83,AG83)*100+SUM(I83,AA83)+0.005,1,0)+IF(AW83*1000000+SUM(Y83,AQ83)*10000+SUM(S83,AK83)*100+SUM(M83,AE83)+0.001&gt;AS83*1000000+SUM(U83,AM83)*10000+SUM(O83,AG83)*100+SUM(I83,AA83)+0.005,1,0)=1,"I",IF(IF(AR83*1000000+SUM(T83,AL83)*10000+SUM(N83,AF83)*100+SUM(H83,Z83)+0.006&gt;AT83*1000000+SUM(V83,AN83)*10000+SUM(P83,AH83)*100+SUM(J83,AB83)+0.004,1,0)+IF(AS83*1000000+SUM(U83,AM83)*10000+SUM(O83,AG83)*100+SUM(I83,AA83)+0.005&gt;AT83*1000000+SUM(V83,AN83)*10000+SUM(P83,AH83)*100+SUM(J83,AB83)+0.004,1,0)+IF(AU83*1000000+SUM(W83,AO83)*10000+SUM(Q83,AI83)*100+SUM(K83,AC83)+0.003&gt;AT83*1000000+SUM(V83,AN83)*10000+SUM(P83,AH83)*100+SUM(J83,AB83)+0.004,1,0)+IF(AV83*1000000+SUM(X83,AP83)*10000+SUM(R83,AJ83)*100+SUM(L83,AD83)+0.002&gt;AT83*1000000+SUM(V83,AN83)*10000+SUM(P83,AH83)*100+SUM(J83,AB83)+0.004,1,0)+IF(AW83*1000000+SUM(Y83,AQ83)*10000+SUM(S83,AK83)*100+SUM(M83,AE83)+0.001&gt;AT83*1000000+SUM(V83,AN83)*10000+SUM(P83,AH83)*100+SUM(J83,AB83)+0.004,1,0)=1,"A",IF(IF(AR83*1000000+SUM(T83,AL83)*10000+SUM(N83,AF83)*100+SUM(H83,Z83)+0.006&gt;AU83*1000000+SUM(W83,AO83)*10000+SUM(Q83,AI83)*100+SUM(K83,AC83)+0.003,1,0)+IF(AS83*1000000+SUM(U83,AM83)*10000+SUM(O83,AG83)*100+SUM(I83,AA83)+0.005&gt;AU83*1000000+SUM(W83,AO83)*10000+SUM(Q83,AI83)*100+SUM(K83,AC83)+0.003,1,0)+IF(AT83*1000000+SUM(V83,AN83)*10000+SUM(P83,AH83)*100+SUM(J83,AB83)+0.004&gt;AU83*1000000+SUM(W83,AO83)*10000+SUM(Q83,AI83)*100+SUM(K83,AC83)+0.003,1,0)+IF(AV83*1000000+SUM(X83,AP83)*10000+SUM(R83,AJ83)*100+SUM(L83,AD83)+0.002&gt;AU83*1000000+SUM(W83,AO83)*10000+SUM(Q83,AI83)*100+SUM(K83,AC83)+0.003,1,0)+IF(AW83*1000000+SUM(Y83,AQ83)*10000+SUM(S83,AK83)*100+SUM(M83,AE83)+0.001&gt;AU83*1000000+SUM(W83,AO83)*10000+SUM(Q83,AI83)*100+SUM(K83,AC83)+0.003,1,0)=1,"S",IF(IF(AR83*1000000+SUM(T83,AL83)*10000+SUM(N83,AF83)*100+SUM(H83,Z83)+0.006&gt;AV83*1000000+SUM(X83,AP83)*10000+SUM(R83,AJ83)*100+SUM(L83,AD83)+0.002,1,0)+IF(AS83*1000000+SUM(U83,AM83)*10000+SUM(O83,AG83)*100+SUM(I83,AA83)+0.005&gt;AV83*1000000+SUM(X83,AP83)*10000+SUM(R83,AJ83)*100+SUM(L83,AD83)+0.002,1,0)+IF(AT83*1000000+SUM(V83,AN83)*10000+SUM(P83,AH83)*100+SUM(J83,AB83)+0.004&gt;AV83*1000000+SUM(X83,AP83)*10000+SUM(R83,AJ83)*100+SUM(L83,AD83)+0.002,1,0)+IF(AU83*1000000+SUM(W83,AO83)*10000+SUM(Q83,AI83)*100+SUM(K83,AC83)+0.003&gt;AV83*1000000+SUM(X83,AP83)*10000+SUM(R83,AJ83)*100+SUM(L83,AD83)+0.002,1,0)+IF(AW83*1000000+SUM(Y83,AQ83)*10000+SUM(S83,AK83)*100+SUM(M83,AE83)+0.001&gt;AV83*1000000+SUM(X83,AP83)*10000+SUM(R83,AJ83)*100+SUM(L83,AD83)+0.002,1,0)=1,"E",IF(IF(AR83*1000000+SUM(T83,AL83)*10000+SUM(N83,AF83)*100+SUM(H83,Z83)+0.006&gt;AW83*1000000+SUM(Y83,AQ83)*10000+SUM(S83,AK83)*100+SUM(M83,AE83)+0.001,1,0)+IF(AS83*1000000+SUM(U83,AM83)*10000+SUM(O83,AG83)*100+SUM(I83,AA83)+0.005&gt;AW83*1000000+SUM(Y83,AQ83)*10000+SUM(S83,AK83)*100+SUM(M83,AE83)+0.001,1,0)+IF(AT83*1000000+SUM(V83,AN83)*10000+SUM(P83,AH83)*100+SUM(J83,AB83)+0.004&gt;AW83*1000000+SUM(Y83,AQ83)*10000+SUM(S83,AK83)*100+SUM(M83,AE83)+0.001,1,0)+IF(AU83*1000000+SUM(W83,AO83)*10000+SUM(Q83,AI83)*100+SUM(K83,AC83)+0.003&gt;AW83*1000000+SUM(Y83,AQ83)*10000+SUM(S83,AK83)*100+SUM(M83,AE83)+0.001,1,0)+IF(AV83*1000000+SUM(X83,AP83)*10000+SUM(R83,AJ83)*100+SUM(L83,AD83)+0.002&gt;AW83*1000000+SUM(Y83,AQ83)*10000+SUM(S83,AK83)*100+SUM(M83,AE83)+0.001,1,0)=1,"C",""))))))&amp;IF(IF(AS83*1000000+SUM(U83,AM83)*10000+SUM(O83,AG83)*100+SUM(I83,AA83)+0.005&gt;AR83*1000000+SUM(T83,AL83)*10000+SUM(N83,AF83)*100+SUM(H83,Z83)+0.006,1,0)+IF(AT83*1000000+SUM(V83,AN83)*10000+SUM(P83,AH83)*100+SUM(J83,AB83)+0.004&gt;AR83*1000000+SUM(T83,AL83)*10000+SUM(N83,AF83)*100+SUM(H83,Z83)+0.006,1,0)+IF(AU83*1000000+SUM(W83,AO83)*10000+SUM(Q83,AI83)*100+SUM(K83,AC83)+0.003&gt;AR83*1000000+SUM(T83,AL83)*10000+SUM(N83,AF83)*100+SUM(H83,Z83)+0.006,1,0)+IF(AV83*1000000+SUM(X83,AP83)*10000+SUM(R83,AJ83)*100+SUM(L83,AD83)+0.002&gt;AR83*1000000+SUM(T83,AL83)*10000+SUM(N83,AF83)*100+SUM(H83,Z83)+0.006,1,0)+IF(AW83*1000000+SUM(Y83,AQ83)*10000+SUM(S83,AK83)*100+SUM(M83,AE83)+0.001&gt;AR83*1000000+SUM(T83,AL83)*10000+SUM(N83,AF83)*100+SUM(H83,Z83)+0.006,1,0)=2,"R",IF(IF(AR83*1000000+SUM(T83,AL83)*10000+SUM(N83,AF83)*100+SUM(H83,Z83)+0.006&gt;AS83*1000000+SUM(U83,AM83)*10000+SUM(O83,AG83)*100+SUM(I83,AA83)+0.005,1,0)+IF(AT83*1000000+SUM(V83,AN83)*10000+SUM(P83,AH83)*100+SUM(J83,AB83)+0.004&gt;AS83*1000000+SUM(U83,AM83)*10000+SUM(O83,AG83)*100+SUM(I83,AA83)+0.005,1,0)+IF(AU83*1000000+SUM(W83,AO83)*10000+SUM(Q83,AI83)*100+SUM(K83,AC83)+0.003&gt;AS83*1000000+SUM(U83,AM83)*10000+SUM(O83,AG83)*100+SUM(I83,AA83)+0.005,1,0)+IF(AV83*1000000+SUM(X83,AP83)*10000+SUM(R83,AJ83)*100+SUM(L83,AD83)+0.002&gt;AS83*1000000+SUM(U83,AM83)*10000+SUM(O83,AG83)*100+SUM(I83,AA83)+0.005,1,0)+IF(AW83*1000000+SUM(Y83,AQ83)*10000+SUM(S83,AK83)*100+SUM(M83,AE83)+0.001&gt;AS83*1000000+SUM(U83,AM83)*10000+SUM(O83,AG83)*100+SUM(I83,AA83)+0.005,1,0)=2,"I",IF(IF(AR83*1000000+SUM(T83,AL83)*10000+SUM(N83,AF83)*100+SUM(H83,Z83)+0.006&gt;AT83*1000000+SUM(V83,AN83)*10000+SUM(P83,AH83)*100+SUM(J83,AB83)+0.004,1,0)+IF(AS83*1000000+SUM(U83,AM83)*10000+SUM(O83,AG83)*100+SUM(I83,AA83)+0.005&gt;AT83*1000000+SUM(V83,AN83)*10000+SUM(P83,AH83)*100+SUM(J83,AB83)+0.004,1,0)+IF(AU83*1000000+SUM(W83,AO83)*10000+SUM(Q83,AI83)*100+SUM(K83,AC83)+0.003&gt;AT83*1000000+SUM(V83,AN83)*10000+SUM(P83,AH83)*100+SUM(J83,AB83)+0.004,1,0)+IF(AV83*1000000+SUM(X83,AP83)*10000+SUM(R83,AJ83)*100+SUM(L83,AD83)+0.002&gt;AT83*1000000+SUM(V83,AN83)*10000+SUM(P83,AH83)*100+SUM(J83,AB83)+0.004,1,0)+IF(AW83*1000000+SUM(Y83,AQ83)*10000+SUM(S83,AK83)*100+SUM(M83,AE83)+0.001&gt;AT83*1000000+SUM(V83,AN83)*10000+SUM(P83,AH83)*100+SUM(J83,AB83)+0.004,1,0)=2,"A",IF(IF(AR83*1000000+SUM(T83,AL83)*10000+SUM(N83,AF83)*100+SUM(H83,Z83)+0.006&gt;AU83*1000000+SUM(W83,AO83)*10000+SUM(Q83,AI83)*100+SUM(K83,AC83)+0.003,1,0)+IF(AS83*1000000+SUM(U83,AM83)*10000+SUM(O83,AG83)*100+SUM(I83,AA83)+0.005&gt;AU83*1000000+SUM(W83,AO83)*10000+SUM(Q83,AI83)*100+SUM(K83,AC83)+0.003,1,0)+IF(AT83*1000000+SUM(V83,AN83)*10000+SUM(P83,AH83)*100+SUM(J83,AB83)+0.004&gt;AU83*1000000+SUM(W83,AO83)*10000+SUM(Q83,AI83)*100+SUM(K83,AC83)+0.003,1,0)+IF(AV83*1000000+SUM(X83,AP83)*10000+SUM(R83,AJ83)*100+SUM(L83,AD83)+0.002&gt;AU83*1000000+SUM(W83,AO83)*10000+SUM(Q83,AI83)*100+SUM(K83,AC83)+0.003,1,0)+IF(AW83*1000000+SUM(Y83,AQ83)*10000+SUM(S83,AK83)*100+SUM(M83,AE83)+0.001&gt;AU83*1000000+SUM(W83,AO83)*10000+SUM(Q83,AI83)*100+SUM(K83,AC83)+0.003,1,0)=2,"S",IF(IF(AR83*1000000+SUM(T83,AL83)*10000+SUM(N83,AF83)*100+SUM(H83,Z83)+0.006&gt;AV83*1000000+SUM(X83,AP83)*10000+SUM(R83,AJ83)*100+SUM(L83,AD83)+0.002,1,0)+IF(AS83*1000000+SUM(U83,AM83)*10000+SUM(O83,AG83)*100+SUM(I83,AA83)+0.005&gt;AV83*1000000+SUM(X83,AP83)*10000+SUM(R83,AJ83)*100+SUM(L83,AD83)+0.002,1,0)+IF(AT83*1000000+SUM(V83,AN83)*10000+SUM(P83,AH83)*100+SUM(J83,AB83)+0.004&gt;AV83*1000000+SUM(X83,AP83)*10000+SUM(R83,AJ83)*100+SUM(L83,AD83)+0.002,1,0)+IF(AU83*1000000+SUM(W83,AO83)*10000+SUM(Q83,AI83)*100+SUM(K83,AC83)+0.003&gt;AV83*1000000+SUM(X83,AP83)*10000+SUM(R83,AJ83)*100+SUM(L83,AD83)+0.002,1,0)+IF(AW83*1000000+SUM(Y83,AQ83)*10000+SUM(S83,AK83)*100+SUM(M83,AE83)+0.001&gt;AV83*1000000+SUM(X83,AP83)*10000+SUM(R83,AJ83)*100+SUM(L83,AD83)+0.002,1,0)=2,"E",IF(IF(AR83*1000000+SUM(T83,AL83)*10000+SUM(N83,AF83)*100+SUM(H83,Z83)+0.006&gt;AW83*1000000+SUM(Y83,AQ83)*10000+SUM(S83,AK83)*100+SUM(M83,AE83)+0.001,1,0)+IF(AS83*1000000+SUM(U83,AM83)*10000+SUM(O83,AG83)*100+SUM(I83,AA83)+0.005&gt;AW83*1000000+SUM(Y83,AQ83)*10000+SUM(S83,AK83)*100+SUM(M83,AE83)+0.001,1,0)+IF(AT83*1000000+SUM(V83,AN83)*10000+SUM(P83,AH83)*100+SUM(J83,AB83)+0.004&gt;AW83*1000000+SUM(Y83,AQ83)*10000+SUM(S83,AK83)*100+SUM(M83,AE83)+0.001,1,0)+IF(AU83*1000000+SUM(W83,AO83)*10000+SUM(Q83,AI83)*100+SUM(K83,AC83)+0.003&gt;AW83*1000000+SUM(Y83,AQ83)*10000+SUM(S83,AK83)*100+SUM(M83,AE83)+0.001,1,0)+IF(AV83*1000000+SUM(X83,AP83)*10000+SUM(R83,AJ83)*100+SUM(L83,AD83)+0.002&gt;AW83*1000000+SUM(Y83,AQ83)*10000+SUM(S83,AK83)*100+SUM(M83,AE83)+0.001,1,0)=2,"C","")))))))</x:f>
      </x:c>
      <x:c r="AY83" s="27" t="str">
        <x:f>IF(C83="","",IF(LEFT(AX83,1)="R","นักปฏิบัติ",IF(LEFT(AX83,1)="I","นักคิดวิเคราะห์",IF(LEFT(AX83,1)="A","นักสร้างสรรค์",IF(LEFT(AX83,1)="S","ผู้เข้าใจผู้คน",IF(LEFT(AX83,1)="E","ผู้นำการเปลี่ยนแปลง","ผู้จัดระบบ"))))))</x:f>
      </x:c>
    </x:row>
    <x:row r="84">
      <x:c r="A84" s="27"/>
      <x:c r="B84" s="28"/>
      <x:c r="C84" s="27"/>
      <x:c r="D84" s="27"/>
      <x:c r="E84" s="27"/>
      <x:c r="F84" s="27"/>
      <x:c r="G84" s="27"/>
      <x:c r="H84" s="27"/>
      <x:c r="I84" s="27"/>
      <x:c r="J84" s="27"/>
      <x:c r="K84" s="27"/>
      <x:c r="L84" s="27"/>
      <x:c r="M84" s="27"/>
      <x:c r="N84" s="27"/>
      <x:c r="O84" s="27"/>
      <x:c r="P84" s="27"/>
      <x:c r="Q84" s="27"/>
      <x:c r="R84" s="27"/>
      <x:c r="S84" s="27"/>
      <x:c r="T84" s="27"/>
      <x:c r="U84" s="27"/>
      <x:c r="V84" s="27"/>
      <x:c r="W84" s="27"/>
      <x:c r="X84" s="27"/>
      <x:c r="Y84" s="27"/>
      <x:c r="Z84" s="27"/>
      <x:c r="AA84" s="27"/>
      <x:c r="AB84" s="27"/>
      <x:c r="AC84" s="27"/>
      <x:c r="AD84" s="27"/>
      <x:c r="AE84" s="27"/>
      <x:c r="AF84" s="27"/>
      <x:c r="AG84" s="27"/>
      <x:c r="AH84" s="27"/>
      <x:c r="AI84" s="27"/>
      <x:c r="AJ84" s="27"/>
      <x:c r="AK84" s="27"/>
      <x:c r="AL84" s="27"/>
      <x:c r="AM84" s="27"/>
      <x:c r="AN84" s="27"/>
      <x:c r="AO84" s="27"/>
      <x:c r="AP84" s="27"/>
      <x:c r="AQ84" s="27"/>
      <x:c r="AR84" s="27" t="str">
        <x:f>IF(C84="","",SUM(H84,N84,T84,Z84,AF84,AL84))</x:f>
      </x:c>
      <x:c r="AS84" s="27" t="str">
        <x:f>IF(C84="","",SUM(I84,O84,U84,AA84,AG84,AM84))</x:f>
      </x:c>
      <x:c r="AT84" s="27" t="str">
        <x:f>IF(C84="","",SUM(J84,P84,V84,AB84,AH84,AN84))</x:f>
      </x:c>
      <x:c r="AU84" s="27" t="str">
        <x:f>IF(C84="","",SUM(K84,Q84,W84,AC84,AI84,AO84))</x:f>
      </x:c>
      <x:c r="AV84" s="27" t="str">
        <x:f>IF(C84="","",SUM(L84,R84,X84,AD84,AJ84,AP84))</x:f>
      </x:c>
      <x:c r="AW84" s="27" t="str">
        <x:f>IF(C84="","",SUM(M84,S84,Y84,AE84,AK84,AQ84))</x:f>
      </x:c>
      <x:c r="AX84" s="27" t="str">
        <x:f>IF(C84="","",IF(IF(AS84*1000000+SUM(U84,AM84)*10000+SUM(O84,AG84)*100+SUM(I84,AA84)+0.005&gt;AR84*1000000+SUM(T84,AL84)*10000+SUM(N84,AF84)*100+SUM(H84,Z84)+0.006,1,0)+IF(AT84*1000000+SUM(V84,AN84)*10000+SUM(P84,AH84)*100+SUM(J84,AB84)+0.004&gt;AR84*1000000+SUM(T84,AL84)*10000+SUM(N84,AF84)*100+SUM(H84,Z84)+0.006,1,0)+IF(AU84*1000000+SUM(W84,AO84)*10000+SUM(Q84,AI84)*100+SUM(K84,AC84)+0.003&gt;AR84*1000000+SUM(T84,AL84)*10000+SUM(N84,AF84)*100+SUM(H84,Z84)+0.006,1,0)+IF(AV84*1000000+SUM(X84,AP84)*10000+SUM(R84,AJ84)*100+SUM(L84,AD84)+0.002&gt;AR84*1000000+SUM(T84,AL84)*10000+SUM(N84,AF84)*100+SUM(H84,Z84)+0.006,1,0)+IF(AW84*1000000+SUM(Y84,AQ84)*10000+SUM(S84,AK84)*100+SUM(M84,AE84)+0.001&gt;AR84*1000000+SUM(T84,AL84)*10000+SUM(N84,AF84)*100+SUM(H84,Z84)+0.006,1,0)=0,"R",IF(IF(AR84*1000000+SUM(T84,AL84)*10000+SUM(N84,AF84)*100+SUM(H84,Z84)+0.006&gt;AS84*1000000+SUM(U84,AM84)*10000+SUM(O84,AG84)*100+SUM(I84,AA84)+0.005,1,0)+IF(AT84*1000000+SUM(V84,AN84)*10000+SUM(P84,AH84)*100+SUM(J84,AB84)+0.004&gt;AS84*1000000+SUM(U84,AM84)*10000+SUM(O84,AG84)*100+SUM(I84,AA84)+0.005,1,0)+IF(AU84*1000000+SUM(W84,AO84)*10000+SUM(Q84,AI84)*100+SUM(K84,AC84)+0.003&gt;AS84*1000000+SUM(U84,AM84)*10000+SUM(O84,AG84)*100+SUM(I84,AA84)+0.005,1,0)+IF(AV84*1000000+SUM(X84,AP84)*10000+SUM(R84,AJ84)*100+SUM(L84,AD84)+0.002&gt;AS84*1000000+SUM(U84,AM84)*10000+SUM(O84,AG84)*100+SUM(I84,AA84)+0.005,1,0)+IF(AW84*1000000+SUM(Y84,AQ84)*10000+SUM(S84,AK84)*100+SUM(M84,AE84)+0.001&gt;AS84*1000000+SUM(U84,AM84)*10000+SUM(O84,AG84)*100+SUM(I84,AA84)+0.005,1,0)=0,"I",IF(IF(AR84*1000000+SUM(T84,AL84)*10000+SUM(N84,AF84)*100+SUM(H84,Z84)+0.006&gt;AT84*1000000+SUM(V84,AN84)*10000+SUM(P84,AH84)*100+SUM(J84,AB84)+0.004,1,0)+IF(AS84*1000000+SUM(U84,AM84)*10000+SUM(O84,AG84)*100+SUM(I84,AA84)+0.005&gt;AT84*1000000+SUM(V84,AN84)*10000+SUM(P84,AH84)*100+SUM(J84,AB84)+0.004,1,0)+IF(AU84*1000000+SUM(W84,AO84)*10000+SUM(Q84,AI84)*100+SUM(K84,AC84)+0.003&gt;AT84*1000000+SUM(V84,AN84)*10000+SUM(P84,AH84)*100+SUM(J84,AB84)+0.004,1,0)+IF(AV84*1000000+SUM(X84,AP84)*10000+SUM(R84,AJ84)*100+SUM(L84,AD84)+0.002&gt;AT84*1000000+SUM(V84,AN84)*10000+SUM(P84,AH84)*100+SUM(J84,AB84)+0.004,1,0)+IF(AW84*1000000+SUM(Y84,AQ84)*10000+SUM(S84,AK84)*100+SUM(M84,AE84)+0.001&gt;AT84*1000000+SUM(V84,AN84)*10000+SUM(P84,AH84)*100+SUM(J84,AB84)+0.004,1,0)=0,"A",IF(IF(AR84*1000000+SUM(T84,AL84)*10000+SUM(N84,AF84)*100+SUM(H84,Z84)+0.006&gt;AU84*1000000+SUM(W84,AO84)*10000+SUM(Q84,AI84)*100+SUM(K84,AC84)+0.003,1,0)+IF(AS84*1000000+SUM(U84,AM84)*10000+SUM(O84,AG84)*100+SUM(I84,AA84)+0.005&gt;AU84*1000000+SUM(W84,AO84)*10000+SUM(Q84,AI84)*100+SUM(K84,AC84)+0.003,1,0)+IF(AT84*1000000+SUM(V84,AN84)*10000+SUM(P84,AH84)*100+SUM(J84,AB84)+0.004&gt;AU84*1000000+SUM(W84,AO84)*10000+SUM(Q84,AI84)*100+SUM(K84,AC84)+0.003,1,0)+IF(AV84*1000000+SUM(X84,AP84)*10000+SUM(R84,AJ84)*100+SUM(L84,AD84)+0.002&gt;AU84*1000000+SUM(W84,AO84)*10000+SUM(Q84,AI84)*100+SUM(K84,AC84)+0.003,1,0)+IF(AW84*1000000+SUM(Y84,AQ84)*10000+SUM(S84,AK84)*100+SUM(M84,AE84)+0.001&gt;AU84*1000000+SUM(W84,AO84)*10000+SUM(Q84,AI84)*100+SUM(K84,AC84)+0.003,1,0)=0,"S",IF(IF(AR84*1000000+SUM(T84,AL84)*10000+SUM(N84,AF84)*100+SUM(H84,Z84)+0.006&gt;AV84*1000000+SUM(X84,AP84)*10000+SUM(R84,AJ84)*100+SUM(L84,AD84)+0.002,1,0)+IF(AS84*1000000+SUM(U84,AM84)*10000+SUM(O84,AG84)*100+SUM(I84,AA84)+0.005&gt;AV84*1000000+SUM(X84,AP84)*10000+SUM(R84,AJ84)*100+SUM(L84,AD84)+0.002,1,0)+IF(AT84*1000000+SUM(V84,AN84)*10000+SUM(P84,AH84)*100+SUM(J84,AB84)+0.004&gt;AV84*1000000+SUM(X84,AP84)*10000+SUM(R84,AJ84)*100+SUM(L84,AD84)+0.002,1,0)+IF(AU84*1000000+SUM(W84,AO84)*10000+SUM(Q84,AI84)*100+SUM(K84,AC84)+0.003&gt;AV84*1000000+SUM(X84,AP84)*10000+SUM(R84,AJ84)*100+SUM(L84,AD84)+0.002,1,0)+IF(AW84*1000000+SUM(Y84,AQ84)*10000+SUM(S84,AK84)*100+SUM(M84,AE84)+0.001&gt;AV84*1000000+SUM(X84,AP84)*10000+SUM(R84,AJ84)*100+SUM(L84,AD84)+0.002,1,0)=0,"E",IF(IF(AR84*1000000+SUM(T84,AL84)*10000+SUM(N84,AF84)*100+SUM(H84,Z84)+0.006&gt;AW84*1000000+SUM(Y84,AQ84)*10000+SUM(S84,AK84)*100+SUM(M84,AE84)+0.001,1,0)+IF(AS84*1000000+SUM(U84,AM84)*10000+SUM(O84,AG84)*100+SUM(I84,AA84)+0.005&gt;AW84*1000000+SUM(Y84,AQ84)*10000+SUM(S84,AK84)*100+SUM(M84,AE84)+0.001,1,0)+IF(AT84*1000000+SUM(V84,AN84)*10000+SUM(P84,AH84)*100+SUM(J84,AB84)+0.004&gt;AW84*1000000+SUM(Y84,AQ84)*10000+SUM(S84,AK84)*100+SUM(M84,AE84)+0.001,1,0)+IF(AU84*1000000+SUM(W84,AO84)*10000+SUM(Q84,AI84)*100+SUM(K84,AC84)+0.003&gt;AW84*1000000+SUM(Y84,AQ84)*10000+SUM(S84,AK84)*100+SUM(M84,AE84)+0.001,1,0)+IF(AV84*1000000+SUM(X84,AP84)*10000+SUM(R84,AJ84)*100+SUM(L84,AD84)+0.002&gt;AW84*1000000+SUM(Y84,AQ84)*10000+SUM(S84,AK84)*100+SUM(M84,AE84)+0.001,1,0)=0,"C",""))))))&amp;IF(IF(AS84*1000000+SUM(U84,AM84)*10000+SUM(O84,AG84)*100+SUM(I84,AA84)+0.005&gt;AR84*1000000+SUM(T84,AL84)*10000+SUM(N84,AF84)*100+SUM(H84,Z84)+0.006,1,0)+IF(AT84*1000000+SUM(V84,AN84)*10000+SUM(P84,AH84)*100+SUM(J84,AB84)+0.004&gt;AR84*1000000+SUM(T84,AL84)*10000+SUM(N84,AF84)*100+SUM(H84,Z84)+0.006,1,0)+IF(AU84*1000000+SUM(W84,AO84)*10000+SUM(Q84,AI84)*100+SUM(K84,AC84)+0.003&gt;AR84*1000000+SUM(T84,AL84)*10000+SUM(N84,AF84)*100+SUM(H84,Z84)+0.006,1,0)+IF(AV84*1000000+SUM(X84,AP84)*10000+SUM(R84,AJ84)*100+SUM(L84,AD84)+0.002&gt;AR84*1000000+SUM(T84,AL84)*10000+SUM(N84,AF84)*100+SUM(H84,Z84)+0.006,1,0)+IF(AW84*1000000+SUM(Y84,AQ84)*10000+SUM(S84,AK84)*100+SUM(M84,AE84)+0.001&gt;AR84*1000000+SUM(T84,AL84)*10000+SUM(N84,AF84)*100+SUM(H84,Z84)+0.006,1,0)=1,"R",IF(IF(AR84*1000000+SUM(T84,AL84)*10000+SUM(N84,AF84)*100+SUM(H84,Z84)+0.006&gt;AS84*1000000+SUM(U84,AM84)*10000+SUM(O84,AG84)*100+SUM(I84,AA84)+0.005,1,0)+IF(AT84*1000000+SUM(V84,AN84)*10000+SUM(P84,AH84)*100+SUM(J84,AB84)+0.004&gt;AS84*1000000+SUM(U84,AM84)*10000+SUM(O84,AG84)*100+SUM(I84,AA84)+0.005,1,0)+IF(AU84*1000000+SUM(W84,AO84)*10000+SUM(Q84,AI84)*100+SUM(K84,AC84)+0.003&gt;AS84*1000000+SUM(U84,AM84)*10000+SUM(O84,AG84)*100+SUM(I84,AA84)+0.005,1,0)+IF(AV84*1000000+SUM(X84,AP84)*10000+SUM(R84,AJ84)*100+SUM(L84,AD84)+0.002&gt;AS84*1000000+SUM(U84,AM84)*10000+SUM(O84,AG84)*100+SUM(I84,AA84)+0.005,1,0)+IF(AW84*1000000+SUM(Y84,AQ84)*10000+SUM(S84,AK84)*100+SUM(M84,AE84)+0.001&gt;AS84*1000000+SUM(U84,AM84)*10000+SUM(O84,AG84)*100+SUM(I84,AA84)+0.005,1,0)=1,"I",IF(IF(AR84*1000000+SUM(T84,AL84)*10000+SUM(N84,AF84)*100+SUM(H84,Z84)+0.006&gt;AT84*1000000+SUM(V84,AN84)*10000+SUM(P84,AH84)*100+SUM(J84,AB84)+0.004,1,0)+IF(AS84*1000000+SUM(U84,AM84)*10000+SUM(O84,AG84)*100+SUM(I84,AA84)+0.005&gt;AT84*1000000+SUM(V84,AN84)*10000+SUM(P84,AH84)*100+SUM(J84,AB84)+0.004,1,0)+IF(AU84*1000000+SUM(W84,AO84)*10000+SUM(Q84,AI84)*100+SUM(K84,AC84)+0.003&gt;AT84*1000000+SUM(V84,AN84)*10000+SUM(P84,AH84)*100+SUM(J84,AB84)+0.004,1,0)+IF(AV84*1000000+SUM(X84,AP84)*10000+SUM(R84,AJ84)*100+SUM(L84,AD84)+0.002&gt;AT84*1000000+SUM(V84,AN84)*10000+SUM(P84,AH84)*100+SUM(J84,AB84)+0.004,1,0)+IF(AW84*1000000+SUM(Y84,AQ84)*10000+SUM(S84,AK84)*100+SUM(M84,AE84)+0.001&gt;AT84*1000000+SUM(V84,AN84)*10000+SUM(P84,AH84)*100+SUM(J84,AB84)+0.004,1,0)=1,"A",IF(IF(AR84*1000000+SUM(T84,AL84)*10000+SUM(N84,AF84)*100+SUM(H84,Z84)+0.006&gt;AU84*1000000+SUM(W84,AO84)*10000+SUM(Q84,AI84)*100+SUM(K84,AC84)+0.003,1,0)+IF(AS84*1000000+SUM(U84,AM84)*10000+SUM(O84,AG84)*100+SUM(I84,AA84)+0.005&gt;AU84*1000000+SUM(W84,AO84)*10000+SUM(Q84,AI84)*100+SUM(K84,AC84)+0.003,1,0)+IF(AT84*1000000+SUM(V84,AN84)*10000+SUM(P84,AH84)*100+SUM(J84,AB84)+0.004&gt;AU84*1000000+SUM(W84,AO84)*10000+SUM(Q84,AI84)*100+SUM(K84,AC84)+0.003,1,0)+IF(AV84*1000000+SUM(X84,AP84)*10000+SUM(R84,AJ84)*100+SUM(L84,AD84)+0.002&gt;AU84*1000000+SUM(W84,AO84)*10000+SUM(Q84,AI84)*100+SUM(K84,AC84)+0.003,1,0)+IF(AW84*1000000+SUM(Y84,AQ84)*10000+SUM(S84,AK84)*100+SUM(M84,AE84)+0.001&gt;AU84*1000000+SUM(W84,AO84)*10000+SUM(Q84,AI84)*100+SUM(K84,AC84)+0.003,1,0)=1,"S",IF(IF(AR84*1000000+SUM(T84,AL84)*10000+SUM(N84,AF84)*100+SUM(H84,Z84)+0.006&gt;AV84*1000000+SUM(X84,AP84)*10000+SUM(R84,AJ84)*100+SUM(L84,AD84)+0.002,1,0)+IF(AS84*1000000+SUM(U84,AM84)*10000+SUM(O84,AG84)*100+SUM(I84,AA84)+0.005&gt;AV84*1000000+SUM(X84,AP84)*10000+SUM(R84,AJ84)*100+SUM(L84,AD84)+0.002,1,0)+IF(AT84*1000000+SUM(V84,AN84)*10000+SUM(P84,AH84)*100+SUM(J84,AB84)+0.004&gt;AV84*1000000+SUM(X84,AP84)*10000+SUM(R84,AJ84)*100+SUM(L84,AD84)+0.002,1,0)+IF(AU84*1000000+SUM(W84,AO84)*10000+SUM(Q84,AI84)*100+SUM(K84,AC84)+0.003&gt;AV84*1000000+SUM(X84,AP84)*10000+SUM(R84,AJ84)*100+SUM(L84,AD84)+0.002,1,0)+IF(AW84*1000000+SUM(Y84,AQ84)*10000+SUM(S84,AK84)*100+SUM(M84,AE84)+0.001&gt;AV84*1000000+SUM(X84,AP84)*10000+SUM(R84,AJ84)*100+SUM(L84,AD84)+0.002,1,0)=1,"E",IF(IF(AR84*1000000+SUM(T84,AL84)*10000+SUM(N84,AF84)*100+SUM(H84,Z84)+0.006&gt;AW84*1000000+SUM(Y84,AQ84)*10000+SUM(S84,AK84)*100+SUM(M84,AE84)+0.001,1,0)+IF(AS84*1000000+SUM(U84,AM84)*10000+SUM(O84,AG84)*100+SUM(I84,AA84)+0.005&gt;AW84*1000000+SUM(Y84,AQ84)*10000+SUM(S84,AK84)*100+SUM(M84,AE84)+0.001,1,0)+IF(AT84*1000000+SUM(V84,AN84)*10000+SUM(P84,AH84)*100+SUM(J84,AB84)+0.004&gt;AW84*1000000+SUM(Y84,AQ84)*10000+SUM(S84,AK84)*100+SUM(M84,AE84)+0.001,1,0)+IF(AU84*1000000+SUM(W84,AO84)*10000+SUM(Q84,AI84)*100+SUM(K84,AC84)+0.003&gt;AW84*1000000+SUM(Y84,AQ84)*10000+SUM(S84,AK84)*100+SUM(M84,AE84)+0.001,1,0)+IF(AV84*1000000+SUM(X84,AP84)*10000+SUM(R84,AJ84)*100+SUM(L84,AD84)+0.002&gt;AW84*1000000+SUM(Y84,AQ84)*10000+SUM(S84,AK84)*100+SUM(M84,AE84)+0.001,1,0)=1,"C",""))))))&amp;IF(IF(AS84*1000000+SUM(U84,AM84)*10000+SUM(O84,AG84)*100+SUM(I84,AA84)+0.005&gt;AR84*1000000+SUM(T84,AL84)*10000+SUM(N84,AF84)*100+SUM(H84,Z84)+0.006,1,0)+IF(AT84*1000000+SUM(V84,AN84)*10000+SUM(P84,AH84)*100+SUM(J84,AB84)+0.004&gt;AR84*1000000+SUM(T84,AL84)*10000+SUM(N84,AF84)*100+SUM(H84,Z84)+0.006,1,0)+IF(AU84*1000000+SUM(W84,AO84)*10000+SUM(Q84,AI84)*100+SUM(K84,AC84)+0.003&gt;AR84*1000000+SUM(T84,AL84)*10000+SUM(N84,AF84)*100+SUM(H84,Z84)+0.006,1,0)+IF(AV84*1000000+SUM(X84,AP84)*10000+SUM(R84,AJ84)*100+SUM(L84,AD84)+0.002&gt;AR84*1000000+SUM(T84,AL84)*10000+SUM(N84,AF84)*100+SUM(H84,Z84)+0.006,1,0)+IF(AW84*1000000+SUM(Y84,AQ84)*10000+SUM(S84,AK84)*100+SUM(M84,AE84)+0.001&gt;AR84*1000000+SUM(T84,AL84)*10000+SUM(N84,AF84)*100+SUM(H84,Z84)+0.006,1,0)=2,"R",IF(IF(AR84*1000000+SUM(T84,AL84)*10000+SUM(N84,AF84)*100+SUM(H84,Z84)+0.006&gt;AS84*1000000+SUM(U84,AM84)*10000+SUM(O84,AG84)*100+SUM(I84,AA84)+0.005,1,0)+IF(AT84*1000000+SUM(V84,AN84)*10000+SUM(P84,AH84)*100+SUM(J84,AB84)+0.004&gt;AS84*1000000+SUM(U84,AM84)*10000+SUM(O84,AG84)*100+SUM(I84,AA84)+0.005,1,0)+IF(AU84*1000000+SUM(W84,AO84)*10000+SUM(Q84,AI84)*100+SUM(K84,AC84)+0.003&gt;AS84*1000000+SUM(U84,AM84)*10000+SUM(O84,AG84)*100+SUM(I84,AA84)+0.005,1,0)+IF(AV84*1000000+SUM(X84,AP84)*10000+SUM(R84,AJ84)*100+SUM(L84,AD84)+0.002&gt;AS84*1000000+SUM(U84,AM84)*10000+SUM(O84,AG84)*100+SUM(I84,AA84)+0.005,1,0)+IF(AW84*1000000+SUM(Y84,AQ84)*10000+SUM(S84,AK84)*100+SUM(M84,AE84)+0.001&gt;AS84*1000000+SUM(U84,AM84)*10000+SUM(O84,AG84)*100+SUM(I84,AA84)+0.005,1,0)=2,"I",IF(IF(AR84*1000000+SUM(T84,AL84)*10000+SUM(N84,AF84)*100+SUM(H84,Z84)+0.006&gt;AT84*1000000+SUM(V84,AN84)*10000+SUM(P84,AH84)*100+SUM(J84,AB84)+0.004,1,0)+IF(AS84*1000000+SUM(U84,AM84)*10000+SUM(O84,AG84)*100+SUM(I84,AA84)+0.005&gt;AT84*1000000+SUM(V84,AN84)*10000+SUM(P84,AH84)*100+SUM(J84,AB84)+0.004,1,0)+IF(AU84*1000000+SUM(W84,AO84)*10000+SUM(Q84,AI84)*100+SUM(K84,AC84)+0.003&gt;AT84*1000000+SUM(V84,AN84)*10000+SUM(P84,AH84)*100+SUM(J84,AB84)+0.004,1,0)+IF(AV84*1000000+SUM(X84,AP84)*10000+SUM(R84,AJ84)*100+SUM(L84,AD84)+0.002&gt;AT84*1000000+SUM(V84,AN84)*10000+SUM(P84,AH84)*100+SUM(J84,AB84)+0.004,1,0)+IF(AW84*1000000+SUM(Y84,AQ84)*10000+SUM(S84,AK84)*100+SUM(M84,AE84)+0.001&gt;AT84*1000000+SUM(V84,AN84)*10000+SUM(P84,AH84)*100+SUM(J84,AB84)+0.004,1,0)=2,"A",IF(IF(AR84*1000000+SUM(T84,AL84)*10000+SUM(N84,AF84)*100+SUM(H84,Z84)+0.006&gt;AU84*1000000+SUM(W84,AO84)*10000+SUM(Q84,AI84)*100+SUM(K84,AC84)+0.003,1,0)+IF(AS84*1000000+SUM(U84,AM84)*10000+SUM(O84,AG84)*100+SUM(I84,AA84)+0.005&gt;AU84*1000000+SUM(W84,AO84)*10000+SUM(Q84,AI84)*100+SUM(K84,AC84)+0.003,1,0)+IF(AT84*1000000+SUM(V84,AN84)*10000+SUM(P84,AH84)*100+SUM(J84,AB84)+0.004&gt;AU84*1000000+SUM(W84,AO84)*10000+SUM(Q84,AI84)*100+SUM(K84,AC84)+0.003,1,0)+IF(AV84*1000000+SUM(X84,AP84)*10000+SUM(R84,AJ84)*100+SUM(L84,AD84)+0.002&gt;AU84*1000000+SUM(W84,AO84)*10000+SUM(Q84,AI84)*100+SUM(K84,AC84)+0.003,1,0)+IF(AW84*1000000+SUM(Y84,AQ84)*10000+SUM(S84,AK84)*100+SUM(M84,AE84)+0.001&gt;AU84*1000000+SUM(W84,AO84)*10000+SUM(Q84,AI84)*100+SUM(K84,AC84)+0.003,1,0)=2,"S",IF(IF(AR84*1000000+SUM(T84,AL84)*10000+SUM(N84,AF84)*100+SUM(H84,Z84)+0.006&gt;AV84*1000000+SUM(X84,AP84)*10000+SUM(R84,AJ84)*100+SUM(L84,AD84)+0.002,1,0)+IF(AS84*1000000+SUM(U84,AM84)*10000+SUM(O84,AG84)*100+SUM(I84,AA84)+0.005&gt;AV84*1000000+SUM(X84,AP84)*10000+SUM(R84,AJ84)*100+SUM(L84,AD84)+0.002,1,0)+IF(AT84*1000000+SUM(V84,AN84)*10000+SUM(P84,AH84)*100+SUM(J84,AB84)+0.004&gt;AV84*1000000+SUM(X84,AP84)*10000+SUM(R84,AJ84)*100+SUM(L84,AD84)+0.002,1,0)+IF(AU84*1000000+SUM(W84,AO84)*10000+SUM(Q84,AI84)*100+SUM(K84,AC84)+0.003&gt;AV84*1000000+SUM(X84,AP84)*10000+SUM(R84,AJ84)*100+SUM(L84,AD84)+0.002,1,0)+IF(AW84*1000000+SUM(Y84,AQ84)*10000+SUM(S84,AK84)*100+SUM(M84,AE84)+0.001&gt;AV84*1000000+SUM(X84,AP84)*10000+SUM(R84,AJ84)*100+SUM(L84,AD84)+0.002,1,0)=2,"E",IF(IF(AR84*1000000+SUM(T84,AL84)*10000+SUM(N84,AF84)*100+SUM(H84,Z84)+0.006&gt;AW84*1000000+SUM(Y84,AQ84)*10000+SUM(S84,AK84)*100+SUM(M84,AE84)+0.001,1,0)+IF(AS84*1000000+SUM(U84,AM84)*10000+SUM(O84,AG84)*100+SUM(I84,AA84)+0.005&gt;AW84*1000000+SUM(Y84,AQ84)*10000+SUM(S84,AK84)*100+SUM(M84,AE84)+0.001,1,0)+IF(AT84*1000000+SUM(V84,AN84)*10000+SUM(P84,AH84)*100+SUM(J84,AB84)+0.004&gt;AW84*1000000+SUM(Y84,AQ84)*10000+SUM(S84,AK84)*100+SUM(M84,AE84)+0.001,1,0)+IF(AU84*1000000+SUM(W84,AO84)*10000+SUM(Q84,AI84)*100+SUM(K84,AC84)+0.003&gt;AW84*1000000+SUM(Y84,AQ84)*10000+SUM(S84,AK84)*100+SUM(M84,AE84)+0.001,1,0)+IF(AV84*1000000+SUM(X84,AP84)*10000+SUM(R84,AJ84)*100+SUM(L84,AD84)+0.002&gt;AW84*1000000+SUM(Y84,AQ84)*10000+SUM(S84,AK84)*100+SUM(M84,AE84)+0.001,1,0)=2,"C","")))))))</x:f>
      </x:c>
      <x:c r="AY84" s="27" t="str">
        <x:f>IF(C84="","",IF(LEFT(AX84,1)="R","นักปฏิบัติ",IF(LEFT(AX84,1)="I","นักคิดวิเคราะห์",IF(LEFT(AX84,1)="A","นักสร้างสรรค์",IF(LEFT(AX84,1)="S","ผู้เข้าใจผู้คน",IF(LEFT(AX84,1)="E","ผู้นำการเปลี่ยนแปลง","ผู้จัดระบบ"))))))</x:f>
      </x:c>
    </x:row>
    <x:row r="85">
      <x:c r="A85" s="27"/>
      <x:c r="B85" s="28"/>
      <x:c r="C85" s="27"/>
      <x:c r="D85" s="27"/>
      <x:c r="E85" s="27"/>
      <x:c r="F85" s="27"/>
      <x:c r="G85" s="27"/>
      <x:c r="H85" s="27"/>
      <x:c r="I85" s="27"/>
      <x:c r="J85" s="27"/>
      <x:c r="K85" s="27"/>
      <x:c r="L85" s="27"/>
      <x:c r="M85" s="27"/>
      <x:c r="N85" s="27"/>
      <x:c r="O85" s="27"/>
      <x:c r="P85" s="27"/>
      <x:c r="Q85" s="27"/>
      <x:c r="R85" s="27"/>
      <x:c r="S85" s="27"/>
      <x:c r="T85" s="27"/>
      <x:c r="U85" s="27"/>
      <x:c r="V85" s="27"/>
      <x:c r="W85" s="27"/>
      <x:c r="X85" s="27"/>
      <x:c r="Y85" s="27"/>
      <x:c r="Z85" s="27"/>
      <x:c r="AA85" s="27"/>
      <x:c r="AB85" s="27"/>
      <x:c r="AC85" s="27"/>
      <x:c r="AD85" s="27"/>
      <x:c r="AE85" s="27"/>
      <x:c r="AF85" s="27"/>
      <x:c r="AG85" s="27"/>
      <x:c r="AH85" s="27"/>
      <x:c r="AI85" s="27"/>
      <x:c r="AJ85" s="27"/>
      <x:c r="AK85" s="27"/>
      <x:c r="AL85" s="27"/>
      <x:c r="AM85" s="27"/>
      <x:c r="AN85" s="27"/>
      <x:c r="AO85" s="27"/>
      <x:c r="AP85" s="27"/>
      <x:c r="AQ85" s="27"/>
      <x:c r="AR85" s="27" t="str">
        <x:f>IF(C85="","",SUM(H85,N85,T85,Z85,AF85,AL85))</x:f>
      </x:c>
      <x:c r="AS85" s="27" t="str">
        <x:f>IF(C85="","",SUM(I85,O85,U85,AA85,AG85,AM85))</x:f>
      </x:c>
      <x:c r="AT85" s="27" t="str">
        <x:f>IF(C85="","",SUM(J85,P85,V85,AB85,AH85,AN85))</x:f>
      </x:c>
      <x:c r="AU85" s="27" t="str">
        <x:f>IF(C85="","",SUM(K85,Q85,W85,AC85,AI85,AO85))</x:f>
      </x:c>
      <x:c r="AV85" s="27" t="str">
        <x:f>IF(C85="","",SUM(L85,R85,X85,AD85,AJ85,AP85))</x:f>
      </x:c>
      <x:c r="AW85" s="27" t="str">
        <x:f>IF(C85="","",SUM(M85,S85,Y85,AE85,AK85,AQ85))</x:f>
      </x:c>
      <x:c r="AX85" s="27" t="str">
        <x:f>IF(C85="","",IF(IF(AS85*1000000+SUM(U85,AM85)*10000+SUM(O85,AG85)*100+SUM(I85,AA85)+0.005&gt;AR85*1000000+SUM(T85,AL85)*10000+SUM(N85,AF85)*100+SUM(H85,Z85)+0.006,1,0)+IF(AT85*1000000+SUM(V85,AN85)*10000+SUM(P85,AH85)*100+SUM(J85,AB85)+0.004&gt;AR85*1000000+SUM(T85,AL85)*10000+SUM(N85,AF85)*100+SUM(H85,Z85)+0.006,1,0)+IF(AU85*1000000+SUM(W85,AO85)*10000+SUM(Q85,AI85)*100+SUM(K85,AC85)+0.003&gt;AR85*1000000+SUM(T85,AL85)*10000+SUM(N85,AF85)*100+SUM(H85,Z85)+0.006,1,0)+IF(AV85*1000000+SUM(X85,AP85)*10000+SUM(R85,AJ85)*100+SUM(L85,AD85)+0.002&gt;AR85*1000000+SUM(T85,AL85)*10000+SUM(N85,AF85)*100+SUM(H85,Z85)+0.006,1,0)+IF(AW85*1000000+SUM(Y85,AQ85)*10000+SUM(S85,AK85)*100+SUM(M85,AE85)+0.001&gt;AR85*1000000+SUM(T85,AL85)*10000+SUM(N85,AF85)*100+SUM(H85,Z85)+0.006,1,0)=0,"R",IF(IF(AR85*1000000+SUM(T85,AL85)*10000+SUM(N85,AF85)*100+SUM(H85,Z85)+0.006&gt;AS85*1000000+SUM(U85,AM85)*10000+SUM(O85,AG85)*100+SUM(I85,AA85)+0.005,1,0)+IF(AT85*1000000+SUM(V85,AN85)*10000+SUM(P85,AH85)*100+SUM(J85,AB85)+0.004&gt;AS85*1000000+SUM(U85,AM85)*10000+SUM(O85,AG85)*100+SUM(I85,AA85)+0.005,1,0)+IF(AU85*1000000+SUM(W85,AO85)*10000+SUM(Q85,AI85)*100+SUM(K85,AC85)+0.003&gt;AS85*1000000+SUM(U85,AM85)*10000+SUM(O85,AG85)*100+SUM(I85,AA85)+0.005,1,0)+IF(AV85*1000000+SUM(X85,AP85)*10000+SUM(R85,AJ85)*100+SUM(L85,AD85)+0.002&gt;AS85*1000000+SUM(U85,AM85)*10000+SUM(O85,AG85)*100+SUM(I85,AA85)+0.005,1,0)+IF(AW85*1000000+SUM(Y85,AQ85)*10000+SUM(S85,AK85)*100+SUM(M85,AE85)+0.001&gt;AS85*1000000+SUM(U85,AM85)*10000+SUM(O85,AG85)*100+SUM(I85,AA85)+0.005,1,0)=0,"I",IF(IF(AR85*1000000+SUM(T85,AL85)*10000+SUM(N85,AF85)*100+SUM(H85,Z85)+0.006&gt;AT85*1000000+SUM(V85,AN85)*10000+SUM(P85,AH85)*100+SUM(J85,AB85)+0.004,1,0)+IF(AS85*1000000+SUM(U85,AM85)*10000+SUM(O85,AG85)*100+SUM(I85,AA85)+0.005&gt;AT85*1000000+SUM(V85,AN85)*10000+SUM(P85,AH85)*100+SUM(J85,AB85)+0.004,1,0)+IF(AU85*1000000+SUM(W85,AO85)*10000+SUM(Q85,AI85)*100+SUM(K85,AC85)+0.003&gt;AT85*1000000+SUM(V85,AN85)*10000+SUM(P85,AH85)*100+SUM(J85,AB85)+0.004,1,0)+IF(AV85*1000000+SUM(X85,AP85)*10000+SUM(R85,AJ85)*100+SUM(L85,AD85)+0.002&gt;AT85*1000000+SUM(V85,AN85)*10000+SUM(P85,AH85)*100+SUM(J85,AB85)+0.004,1,0)+IF(AW85*1000000+SUM(Y85,AQ85)*10000+SUM(S85,AK85)*100+SUM(M85,AE85)+0.001&gt;AT85*1000000+SUM(V85,AN85)*10000+SUM(P85,AH85)*100+SUM(J85,AB85)+0.004,1,0)=0,"A",IF(IF(AR85*1000000+SUM(T85,AL85)*10000+SUM(N85,AF85)*100+SUM(H85,Z85)+0.006&gt;AU85*1000000+SUM(W85,AO85)*10000+SUM(Q85,AI85)*100+SUM(K85,AC85)+0.003,1,0)+IF(AS85*1000000+SUM(U85,AM85)*10000+SUM(O85,AG85)*100+SUM(I85,AA85)+0.005&gt;AU85*1000000+SUM(W85,AO85)*10000+SUM(Q85,AI85)*100+SUM(K85,AC85)+0.003,1,0)+IF(AT85*1000000+SUM(V85,AN85)*10000+SUM(P85,AH85)*100+SUM(J85,AB85)+0.004&gt;AU85*1000000+SUM(W85,AO85)*10000+SUM(Q85,AI85)*100+SUM(K85,AC85)+0.003,1,0)+IF(AV85*1000000+SUM(X85,AP85)*10000+SUM(R85,AJ85)*100+SUM(L85,AD85)+0.002&gt;AU85*1000000+SUM(W85,AO85)*10000+SUM(Q85,AI85)*100+SUM(K85,AC85)+0.003,1,0)+IF(AW85*1000000+SUM(Y85,AQ85)*10000+SUM(S85,AK85)*100+SUM(M85,AE85)+0.001&gt;AU85*1000000+SUM(W85,AO85)*10000+SUM(Q85,AI85)*100+SUM(K85,AC85)+0.003,1,0)=0,"S",IF(IF(AR85*1000000+SUM(T85,AL85)*10000+SUM(N85,AF85)*100+SUM(H85,Z85)+0.006&gt;AV85*1000000+SUM(X85,AP85)*10000+SUM(R85,AJ85)*100+SUM(L85,AD85)+0.002,1,0)+IF(AS85*1000000+SUM(U85,AM85)*10000+SUM(O85,AG85)*100+SUM(I85,AA85)+0.005&gt;AV85*1000000+SUM(X85,AP85)*10000+SUM(R85,AJ85)*100+SUM(L85,AD85)+0.002,1,0)+IF(AT85*1000000+SUM(V85,AN85)*10000+SUM(P85,AH85)*100+SUM(J85,AB85)+0.004&gt;AV85*1000000+SUM(X85,AP85)*10000+SUM(R85,AJ85)*100+SUM(L85,AD85)+0.002,1,0)+IF(AU85*1000000+SUM(W85,AO85)*10000+SUM(Q85,AI85)*100+SUM(K85,AC85)+0.003&gt;AV85*1000000+SUM(X85,AP85)*10000+SUM(R85,AJ85)*100+SUM(L85,AD85)+0.002,1,0)+IF(AW85*1000000+SUM(Y85,AQ85)*10000+SUM(S85,AK85)*100+SUM(M85,AE85)+0.001&gt;AV85*1000000+SUM(X85,AP85)*10000+SUM(R85,AJ85)*100+SUM(L85,AD85)+0.002,1,0)=0,"E",IF(IF(AR85*1000000+SUM(T85,AL85)*10000+SUM(N85,AF85)*100+SUM(H85,Z85)+0.006&gt;AW85*1000000+SUM(Y85,AQ85)*10000+SUM(S85,AK85)*100+SUM(M85,AE85)+0.001,1,0)+IF(AS85*1000000+SUM(U85,AM85)*10000+SUM(O85,AG85)*100+SUM(I85,AA85)+0.005&gt;AW85*1000000+SUM(Y85,AQ85)*10000+SUM(S85,AK85)*100+SUM(M85,AE85)+0.001,1,0)+IF(AT85*1000000+SUM(V85,AN85)*10000+SUM(P85,AH85)*100+SUM(J85,AB85)+0.004&gt;AW85*1000000+SUM(Y85,AQ85)*10000+SUM(S85,AK85)*100+SUM(M85,AE85)+0.001,1,0)+IF(AU85*1000000+SUM(W85,AO85)*10000+SUM(Q85,AI85)*100+SUM(K85,AC85)+0.003&gt;AW85*1000000+SUM(Y85,AQ85)*10000+SUM(S85,AK85)*100+SUM(M85,AE85)+0.001,1,0)+IF(AV85*1000000+SUM(X85,AP85)*10000+SUM(R85,AJ85)*100+SUM(L85,AD85)+0.002&gt;AW85*1000000+SUM(Y85,AQ85)*10000+SUM(S85,AK85)*100+SUM(M85,AE85)+0.001,1,0)=0,"C",""))))))&amp;IF(IF(AS85*1000000+SUM(U85,AM85)*10000+SUM(O85,AG85)*100+SUM(I85,AA85)+0.005&gt;AR85*1000000+SUM(T85,AL85)*10000+SUM(N85,AF85)*100+SUM(H85,Z85)+0.006,1,0)+IF(AT85*1000000+SUM(V85,AN85)*10000+SUM(P85,AH85)*100+SUM(J85,AB85)+0.004&gt;AR85*1000000+SUM(T85,AL85)*10000+SUM(N85,AF85)*100+SUM(H85,Z85)+0.006,1,0)+IF(AU85*1000000+SUM(W85,AO85)*10000+SUM(Q85,AI85)*100+SUM(K85,AC85)+0.003&gt;AR85*1000000+SUM(T85,AL85)*10000+SUM(N85,AF85)*100+SUM(H85,Z85)+0.006,1,0)+IF(AV85*1000000+SUM(X85,AP85)*10000+SUM(R85,AJ85)*100+SUM(L85,AD85)+0.002&gt;AR85*1000000+SUM(T85,AL85)*10000+SUM(N85,AF85)*100+SUM(H85,Z85)+0.006,1,0)+IF(AW85*1000000+SUM(Y85,AQ85)*10000+SUM(S85,AK85)*100+SUM(M85,AE85)+0.001&gt;AR85*1000000+SUM(T85,AL85)*10000+SUM(N85,AF85)*100+SUM(H85,Z85)+0.006,1,0)=1,"R",IF(IF(AR85*1000000+SUM(T85,AL85)*10000+SUM(N85,AF85)*100+SUM(H85,Z85)+0.006&gt;AS85*1000000+SUM(U85,AM85)*10000+SUM(O85,AG85)*100+SUM(I85,AA85)+0.005,1,0)+IF(AT85*1000000+SUM(V85,AN85)*10000+SUM(P85,AH85)*100+SUM(J85,AB85)+0.004&gt;AS85*1000000+SUM(U85,AM85)*10000+SUM(O85,AG85)*100+SUM(I85,AA85)+0.005,1,0)+IF(AU85*1000000+SUM(W85,AO85)*10000+SUM(Q85,AI85)*100+SUM(K85,AC85)+0.003&gt;AS85*1000000+SUM(U85,AM85)*10000+SUM(O85,AG85)*100+SUM(I85,AA85)+0.005,1,0)+IF(AV85*1000000+SUM(X85,AP85)*10000+SUM(R85,AJ85)*100+SUM(L85,AD85)+0.002&gt;AS85*1000000+SUM(U85,AM85)*10000+SUM(O85,AG85)*100+SUM(I85,AA85)+0.005,1,0)+IF(AW85*1000000+SUM(Y85,AQ85)*10000+SUM(S85,AK85)*100+SUM(M85,AE85)+0.001&gt;AS85*1000000+SUM(U85,AM85)*10000+SUM(O85,AG85)*100+SUM(I85,AA85)+0.005,1,0)=1,"I",IF(IF(AR85*1000000+SUM(T85,AL85)*10000+SUM(N85,AF85)*100+SUM(H85,Z85)+0.006&gt;AT85*1000000+SUM(V85,AN85)*10000+SUM(P85,AH85)*100+SUM(J85,AB85)+0.004,1,0)+IF(AS85*1000000+SUM(U85,AM85)*10000+SUM(O85,AG85)*100+SUM(I85,AA85)+0.005&gt;AT85*1000000+SUM(V85,AN85)*10000+SUM(P85,AH85)*100+SUM(J85,AB85)+0.004,1,0)+IF(AU85*1000000+SUM(W85,AO85)*10000+SUM(Q85,AI85)*100+SUM(K85,AC85)+0.003&gt;AT85*1000000+SUM(V85,AN85)*10000+SUM(P85,AH85)*100+SUM(J85,AB85)+0.004,1,0)+IF(AV85*1000000+SUM(X85,AP85)*10000+SUM(R85,AJ85)*100+SUM(L85,AD85)+0.002&gt;AT85*1000000+SUM(V85,AN85)*10000+SUM(P85,AH85)*100+SUM(J85,AB85)+0.004,1,0)+IF(AW85*1000000+SUM(Y85,AQ85)*10000+SUM(S85,AK85)*100+SUM(M85,AE85)+0.001&gt;AT85*1000000+SUM(V85,AN85)*10000+SUM(P85,AH85)*100+SUM(J85,AB85)+0.004,1,0)=1,"A",IF(IF(AR85*1000000+SUM(T85,AL85)*10000+SUM(N85,AF85)*100+SUM(H85,Z85)+0.006&gt;AU85*1000000+SUM(W85,AO85)*10000+SUM(Q85,AI85)*100+SUM(K85,AC85)+0.003,1,0)+IF(AS85*1000000+SUM(U85,AM85)*10000+SUM(O85,AG85)*100+SUM(I85,AA85)+0.005&gt;AU85*1000000+SUM(W85,AO85)*10000+SUM(Q85,AI85)*100+SUM(K85,AC85)+0.003,1,0)+IF(AT85*1000000+SUM(V85,AN85)*10000+SUM(P85,AH85)*100+SUM(J85,AB85)+0.004&gt;AU85*1000000+SUM(W85,AO85)*10000+SUM(Q85,AI85)*100+SUM(K85,AC85)+0.003,1,0)+IF(AV85*1000000+SUM(X85,AP85)*10000+SUM(R85,AJ85)*100+SUM(L85,AD85)+0.002&gt;AU85*1000000+SUM(W85,AO85)*10000+SUM(Q85,AI85)*100+SUM(K85,AC85)+0.003,1,0)+IF(AW85*1000000+SUM(Y85,AQ85)*10000+SUM(S85,AK85)*100+SUM(M85,AE85)+0.001&gt;AU85*1000000+SUM(W85,AO85)*10000+SUM(Q85,AI85)*100+SUM(K85,AC85)+0.003,1,0)=1,"S",IF(IF(AR85*1000000+SUM(T85,AL85)*10000+SUM(N85,AF85)*100+SUM(H85,Z85)+0.006&gt;AV85*1000000+SUM(X85,AP85)*10000+SUM(R85,AJ85)*100+SUM(L85,AD85)+0.002,1,0)+IF(AS85*1000000+SUM(U85,AM85)*10000+SUM(O85,AG85)*100+SUM(I85,AA85)+0.005&gt;AV85*1000000+SUM(X85,AP85)*10000+SUM(R85,AJ85)*100+SUM(L85,AD85)+0.002,1,0)+IF(AT85*1000000+SUM(V85,AN85)*10000+SUM(P85,AH85)*100+SUM(J85,AB85)+0.004&gt;AV85*1000000+SUM(X85,AP85)*10000+SUM(R85,AJ85)*100+SUM(L85,AD85)+0.002,1,0)+IF(AU85*1000000+SUM(W85,AO85)*10000+SUM(Q85,AI85)*100+SUM(K85,AC85)+0.003&gt;AV85*1000000+SUM(X85,AP85)*10000+SUM(R85,AJ85)*100+SUM(L85,AD85)+0.002,1,0)+IF(AW85*1000000+SUM(Y85,AQ85)*10000+SUM(S85,AK85)*100+SUM(M85,AE85)+0.001&gt;AV85*1000000+SUM(X85,AP85)*10000+SUM(R85,AJ85)*100+SUM(L85,AD85)+0.002,1,0)=1,"E",IF(IF(AR85*1000000+SUM(T85,AL85)*10000+SUM(N85,AF85)*100+SUM(H85,Z85)+0.006&gt;AW85*1000000+SUM(Y85,AQ85)*10000+SUM(S85,AK85)*100+SUM(M85,AE85)+0.001,1,0)+IF(AS85*1000000+SUM(U85,AM85)*10000+SUM(O85,AG85)*100+SUM(I85,AA85)+0.005&gt;AW85*1000000+SUM(Y85,AQ85)*10000+SUM(S85,AK85)*100+SUM(M85,AE85)+0.001,1,0)+IF(AT85*1000000+SUM(V85,AN85)*10000+SUM(P85,AH85)*100+SUM(J85,AB85)+0.004&gt;AW85*1000000+SUM(Y85,AQ85)*10000+SUM(S85,AK85)*100+SUM(M85,AE85)+0.001,1,0)+IF(AU85*1000000+SUM(W85,AO85)*10000+SUM(Q85,AI85)*100+SUM(K85,AC85)+0.003&gt;AW85*1000000+SUM(Y85,AQ85)*10000+SUM(S85,AK85)*100+SUM(M85,AE85)+0.001,1,0)+IF(AV85*1000000+SUM(X85,AP85)*10000+SUM(R85,AJ85)*100+SUM(L85,AD85)+0.002&gt;AW85*1000000+SUM(Y85,AQ85)*10000+SUM(S85,AK85)*100+SUM(M85,AE85)+0.001,1,0)=1,"C",""))))))&amp;IF(IF(AS85*1000000+SUM(U85,AM85)*10000+SUM(O85,AG85)*100+SUM(I85,AA85)+0.005&gt;AR85*1000000+SUM(T85,AL85)*10000+SUM(N85,AF85)*100+SUM(H85,Z85)+0.006,1,0)+IF(AT85*1000000+SUM(V85,AN85)*10000+SUM(P85,AH85)*100+SUM(J85,AB85)+0.004&gt;AR85*1000000+SUM(T85,AL85)*10000+SUM(N85,AF85)*100+SUM(H85,Z85)+0.006,1,0)+IF(AU85*1000000+SUM(W85,AO85)*10000+SUM(Q85,AI85)*100+SUM(K85,AC85)+0.003&gt;AR85*1000000+SUM(T85,AL85)*10000+SUM(N85,AF85)*100+SUM(H85,Z85)+0.006,1,0)+IF(AV85*1000000+SUM(X85,AP85)*10000+SUM(R85,AJ85)*100+SUM(L85,AD85)+0.002&gt;AR85*1000000+SUM(T85,AL85)*10000+SUM(N85,AF85)*100+SUM(H85,Z85)+0.006,1,0)+IF(AW85*1000000+SUM(Y85,AQ85)*10000+SUM(S85,AK85)*100+SUM(M85,AE85)+0.001&gt;AR85*1000000+SUM(T85,AL85)*10000+SUM(N85,AF85)*100+SUM(H85,Z85)+0.006,1,0)=2,"R",IF(IF(AR85*1000000+SUM(T85,AL85)*10000+SUM(N85,AF85)*100+SUM(H85,Z85)+0.006&gt;AS85*1000000+SUM(U85,AM85)*10000+SUM(O85,AG85)*100+SUM(I85,AA85)+0.005,1,0)+IF(AT85*1000000+SUM(V85,AN85)*10000+SUM(P85,AH85)*100+SUM(J85,AB85)+0.004&gt;AS85*1000000+SUM(U85,AM85)*10000+SUM(O85,AG85)*100+SUM(I85,AA85)+0.005,1,0)+IF(AU85*1000000+SUM(W85,AO85)*10000+SUM(Q85,AI85)*100+SUM(K85,AC85)+0.003&gt;AS85*1000000+SUM(U85,AM85)*10000+SUM(O85,AG85)*100+SUM(I85,AA85)+0.005,1,0)+IF(AV85*1000000+SUM(X85,AP85)*10000+SUM(R85,AJ85)*100+SUM(L85,AD85)+0.002&gt;AS85*1000000+SUM(U85,AM85)*10000+SUM(O85,AG85)*100+SUM(I85,AA85)+0.005,1,0)+IF(AW85*1000000+SUM(Y85,AQ85)*10000+SUM(S85,AK85)*100+SUM(M85,AE85)+0.001&gt;AS85*1000000+SUM(U85,AM85)*10000+SUM(O85,AG85)*100+SUM(I85,AA85)+0.005,1,0)=2,"I",IF(IF(AR85*1000000+SUM(T85,AL85)*10000+SUM(N85,AF85)*100+SUM(H85,Z85)+0.006&gt;AT85*1000000+SUM(V85,AN85)*10000+SUM(P85,AH85)*100+SUM(J85,AB85)+0.004,1,0)+IF(AS85*1000000+SUM(U85,AM85)*10000+SUM(O85,AG85)*100+SUM(I85,AA85)+0.005&gt;AT85*1000000+SUM(V85,AN85)*10000+SUM(P85,AH85)*100+SUM(J85,AB85)+0.004,1,0)+IF(AU85*1000000+SUM(W85,AO85)*10000+SUM(Q85,AI85)*100+SUM(K85,AC85)+0.003&gt;AT85*1000000+SUM(V85,AN85)*10000+SUM(P85,AH85)*100+SUM(J85,AB85)+0.004,1,0)+IF(AV85*1000000+SUM(X85,AP85)*10000+SUM(R85,AJ85)*100+SUM(L85,AD85)+0.002&gt;AT85*1000000+SUM(V85,AN85)*10000+SUM(P85,AH85)*100+SUM(J85,AB85)+0.004,1,0)+IF(AW85*1000000+SUM(Y85,AQ85)*10000+SUM(S85,AK85)*100+SUM(M85,AE85)+0.001&gt;AT85*1000000+SUM(V85,AN85)*10000+SUM(P85,AH85)*100+SUM(J85,AB85)+0.004,1,0)=2,"A",IF(IF(AR85*1000000+SUM(T85,AL85)*10000+SUM(N85,AF85)*100+SUM(H85,Z85)+0.006&gt;AU85*1000000+SUM(W85,AO85)*10000+SUM(Q85,AI85)*100+SUM(K85,AC85)+0.003,1,0)+IF(AS85*1000000+SUM(U85,AM85)*10000+SUM(O85,AG85)*100+SUM(I85,AA85)+0.005&gt;AU85*1000000+SUM(W85,AO85)*10000+SUM(Q85,AI85)*100+SUM(K85,AC85)+0.003,1,0)+IF(AT85*1000000+SUM(V85,AN85)*10000+SUM(P85,AH85)*100+SUM(J85,AB85)+0.004&gt;AU85*1000000+SUM(W85,AO85)*10000+SUM(Q85,AI85)*100+SUM(K85,AC85)+0.003,1,0)+IF(AV85*1000000+SUM(X85,AP85)*10000+SUM(R85,AJ85)*100+SUM(L85,AD85)+0.002&gt;AU85*1000000+SUM(W85,AO85)*10000+SUM(Q85,AI85)*100+SUM(K85,AC85)+0.003,1,0)+IF(AW85*1000000+SUM(Y85,AQ85)*10000+SUM(S85,AK85)*100+SUM(M85,AE85)+0.001&gt;AU85*1000000+SUM(W85,AO85)*10000+SUM(Q85,AI85)*100+SUM(K85,AC85)+0.003,1,0)=2,"S",IF(IF(AR85*1000000+SUM(T85,AL85)*10000+SUM(N85,AF85)*100+SUM(H85,Z85)+0.006&gt;AV85*1000000+SUM(X85,AP85)*10000+SUM(R85,AJ85)*100+SUM(L85,AD85)+0.002,1,0)+IF(AS85*1000000+SUM(U85,AM85)*10000+SUM(O85,AG85)*100+SUM(I85,AA85)+0.005&gt;AV85*1000000+SUM(X85,AP85)*10000+SUM(R85,AJ85)*100+SUM(L85,AD85)+0.002,1,0)+IF(AT85*1000000+SUM(V85,AN85)*10000+SUM(P85,AH85)*100+SUM(J85,AB85)+0.004&gt;AV85*1000000+SUM(X85,AP85)*10000+SUM(R85,AJ85)*100+SUM(L85,AD85)+0.002,1,0)+IF(AU85*1000000+SUM(W85,AO85)*10000+SUM(Q85,AI85)*100+SUM(K85,AC85)+0.003&gt;AV85*1000000+SUM(X85,AP85)*10000+SUM(R85,AJ85)*100+SUM(L85,AD85)+0.002,1,0)+IF(AW85*1000000+SUM(Y85,AQ85)*10000+SUM(S85,AK85)*100+SUM(M85,AE85)+0.001&gt;AV85*1000000+SUM(X85,AP85)*10000+SUM(R85,AJ85)*100+SUM(L85,AD85)+0.002,1,0)=2,"E",IF(IF(AR85*1000000+SUM(T85,AL85)*10000+SUM(N85,AF85)*100+SUM(H85,Z85)+0.006&gt;AW85*1000000+SUM(Y85,AQ85)*10000+SUM(S85,AK85)*100+SUM(M85,AE85)+0.001,1,0)+IF(AS85*1000000+SUM(U85,AM85)*10000+SUM(O85,AG85)*100+SUM(I85,AA85)+0.005&gt;AW85*1000000+SUM(Y85,AQ85)*10000+SUM(S85,AK85)*100+SUM(M85,AE85)+0.001,1,0)+IF(AT85*1000000+SUM(V85,AN85)*10000+SUM(P85,AH85)*100+SUM(J85,AB85)+0.004&gt;AW85*1000000+SUM(Y85,AQ85)*10000+SUM(S85,AK85)*100+SUM(M85,AE85)+0.001,1,0)+IF(AU85*1000000+SUM(W85,AO85)*10000+SUM(Q85,AI85)*100+SUM(K85,AC85)+0.003&gt;AW85*1000000+SUM(Y85,AQ85)*10000+SUM(S85,AK85)*100+SUM(M85,AE85)+0.001,1,0)+IF(AV85*1000000+SUM(X85,AP85)*10000+SUM(R85,AJ85)*100+SUM(L85,AD85)+0.002&gt;AW85*1000000+SUM(Y85,AQ85)*10000+SUM(S85,AK85)*100+SUM(M85,AE85)+0.001,1,0)=2,"C","")))))))</x:f>
      </x:c>
      <x:c r="AY85" s="27" t="str">
        <x:f>IF(C85="","",IF(LEFT(AX85,1)="R","นักปฏิบัติ",IF(LEFT(AX85,1)="I","นักคิดวิเคราะห์",IF(LEFT(AX85,1)="A","นักสร้างสรรค์",IF(LEFT(AX85,1)="S","ผู้เข้าใจผู้คน",IF(LEFT(AX85,1)="E","ผู้นำการเปลี่ยนแปลง","ผู้จัดระบบ"))))))</x:f>
      </x:c>
    </x:row>
    <x:row r="86">
      <x:c r="A86" s="27"/>
      <x:c r="B86" s="28"/>
      <x:c r="C86" s="27"/>
      <x:c r="D86" s="27"/>
      <x:c r="E86" s="27"/>
      <x:c r="F86" s="27"/>
      <x:c r="G86" s="27"/>
      <x:c r="H86" s="27"/>
      <x:c r="I86" s="27"/>
      <x:c r="J86" s="27"/>
      <x:c r="K86" s="27"/>
      <x:c r="L86" s="27"/>
      <x:c r="M86" s="27"/>
      <x:c r="N86" s="27"/>
      <x:c r="O86" s="27"/>
      <x:c r="P86" s="27"/>
      <x:c r="Q86" s="27"/>
      <x:c r="R86" s="27"/>
      <x:c r="S86" s="27"/>
      <x:c r="T86" s="27"/>
      <x:c r="U86" s="27"/>
      <x:c r="V86" s="27"/>
      <x:c r="W86" s="27"/>
      <x:c r="X86" s="27"/>
      <x:c r="Y86" s="27"/>
      <x:c r="Z86" s="27"/>
      <x:c r="AA86" s="27"/>
      <x:c r="AB86" s="27"/>
      <x:c r="AC86" s="27"/>
      <x:c r="AD86" s="27"/>
      <x:c r="AE86" s="27"/>
      <x:c r="AF86" s="27"/>
      <x:c r="AG86" s="27"/>
      <x:c r="AH86" s="27"/>
      <x:c r="AI86" s="27"/>
      <x:c r="AJ86" s="27"/>
      <x:c r="AK86" s="27"/>
      <x:c r="AL86" s="27"/>
      <x:c r="AM86" s="27"/>
      <x:c r="AN86" s="27"/>
      <x:c r="AO86" s="27"/>
      <x:c r="AP86" s="27"/>
      <x:c r="AQ86" s="27"/>
      <x:c r="AR86" s="27" t="str">
        <x:f>IF(C86="","",SUM(H86,N86,T86,Z86,AF86,AL86))</x:f>
      </x:c>
      <x:c r="AS86" s="27" t="str">
        <x:f>IF(C86="","",SUM(I86,O86,U86,AA86,AG86,AM86))</x:f>
      </x:c>
      <x:c r="AT86" s="27" t="str">
        <x:f>IF(C86="","",SUM(J86,P86,V86,AB86,AH86,AN86))</x:f>
      </x:c>
      <x:c r="AU86" s="27" t="str">
        <x:f>IF(C86="","",SUM(K86,Q86,W86,AC86,AI86,AO86))</x:f>
      </x:c>
      <x:c r="AV86" s="27" t="str">
        <x:f>IF(C86="","",SUM(L86,R86,X86,AD86,AJ86,AP86))</x:f>
      </x:c>
      <x:c r="AW86" s="27" t="str">
        <x:f>IF(C86="","",SUM(M86,S86,Y86,AE86,AK86,AQ86))</x:f>
      </x:c>
      <x:c r="AX86" s="27" t="str">
        <x:f>IF(C86="","",IF(IF(AS86*1000000+SUM(U86,AM86)*10000+SUM(O86,AG86)*100+SUM(I86,AA86)+0.005&gt;AR86*1000000+SUM(T86,AL86)*10000+SUM(N86,AF86)*100+SUM(H86,Z86)+0.006,1,0)+IF(AT86*1000000+SUM(V86,AN86)*10000+SUM(P86,AH86)*100+SUM(J86,AB86)+0.004&gt;AR86*1000000+SUM(T86,AL86)*10000+SUM(N86,AF86)*100+SUM(H86,Z86)+0.006,1,0)+IF(AU86*1000000+SUM(W86,AO86)*10000+SUM(Q86,AI86)*100+SUM(K86,AC86)+0.003&gt;AR86*1000000+SUM(T86,AL86)*10000+SUM(N86,AF86)*100+SUM(H86,Z86)+0.006,1,0)+IF(AV86*1000000+SUM(X86,AP86)*10000+SUM(R86,AJ86)*100+SUM(L86,AD86)+0.002&gt;AR86*1000000+SUM(T86,AL86)*10000+SUM(N86,AF86)*100+SUM(H86,Z86)+0.006,1,0)+IF(AW86*1000000+SUM(Y86,AQ86)*10000+SUM(S86,AK86)*100+SUM(M86,AE86)+0.001&gt;AR86*1000000+SUM(T86,AL86)*10000+SUM(N86,AF86)*100+SUM(H86,Z86)+0.006,1,0)=0,"R",IF(IF(AR86*1000000+SUM(T86,AL86)*10000+SUM(N86,AF86)*100+SUM(H86,Z86)+0.006&gt;AS86*1000000+SUM(U86,AM86)*10000+SUM(O86,AG86)*100+SUM(I86,AA86)+0.005,1,0)+IF(AT86*1000000+SUM(V86,AN86)*10000+SUM(P86,AH86)*100+SUM(J86,AB86)+0.004&gt;AS86*1000000+SUM(U86,AM86)*10000+SUM(O86,AG86)*100+SUM(I86,AA86)+0.005,1,0)+IF(AU86*1000000+SUM(W86,AO86)*10000+SUM(Q86,AI86)*100+SUM(K86,AC86)+0.003&gt;AS86*1000000+SUM(U86,AM86)*10000+SUM(O86,AG86)*100+SUM(I86,AA86)+0.005,1,0)+IF(AV86*1000000+SUM(X86,AP86)*10000+SUM(R86,AJ86)*100+SUM(L86,AD86)+0.002&gt;AS86*1000000+SUM(U86,AM86)*10000+SUM(O86,AG86)*100+SUM(I86,AA86)+0.005,1,0)+IF(AW86*1000000+SUM(Y86,AQ86)*10000+SUM(S86,AK86)*100+SUM(M86,AE86)+0.001&gt;AS86*1000000+SUM(U86,AM86)*10000+SUM(O86,AG86)*100+SUM(I86,AA86)+0.005,1,0)=0,"I",IF(IF(AR86*1000000+SUM(T86,AL86)*10000+SUM(N86,AF86)*100+SUM(H86,Z86)+0.006&gt;AT86*1000000+SUM(V86,AN86)*10000+SUM(P86,AH86)*100+SUM(J86,AB86)+0.004,1,0)+IF(AS86*1000000+SUM(U86,AM86)*10000+SUM(O86,AG86)*100+SUM(I86,AA86)+0.005&gt;AT86*1000000+SUM(V86,AN86)*10000+SUM(P86,AH86)*100+SUM(J86,AB86)+0.004,1,0)+IF(AU86*1000000+SUM(W86,AO86)*10000+SUM(Q86,AI86)*100+SUM(K86,AC86)+0.003&gt;AT86*1000000+SUM(V86,AN86)*10000+SUM(P86,AH86)*100+SUM(J86,AB86)+0.004,1,0)+IF(AV86*1000000+SUM(X86,AP86)*10000+SUM(R86,AJ86)*100+SUM(L86,AD86)+0.002&gt;AT86*1000000+SUM(V86,AN86)*10000+SUM(P86,AH86)*100+SUM(J86,AB86)+0.004,1,0)+IF(AW86*1000000+SUM(Y86,AQ86)*10000+SUM(S86,AK86)*100+SUM(M86,AE86)+0.001&gt;AT86*1000000+SUM(V86,AN86)*10000+SUM(P86,AH86)*100+SUM(J86,AB86)+0.004,1,0)=0,"A",IF(IF(AR86*1000000+SUM(T86,AL86)*10000+SUM(N86,AF86)*100+SUM(H86,Z86)+0.006&gt;AU86*1000000+SUM(W86,AO86)*10000+SUM(Q86,AI86)*100+SUM(K86,AC86)+0.003,1,0)+IF(AS86*1000000+SUM(U86,AM86)*10000+SUM(O86,AG86)*100+SUM(I86,AA86)+0.005&gt;AU86*1000000+SUM(W86,AO86)*10000+SUM(Q86,AI86)*100+SUM(K86,AC86)+0.003,1,0)+IF(AT86*1000000+SUM(V86,AN86)*10000+SUM(P86,AH86)*100+SUM(J86,AB86)+0.004&gt;AU86*1000000+SUM(W86,AO86)*10000+SUM(Q86,AI86)*100+SUM(K86,AC86)+0.003,1,0)+IF(AV86*1000000+SUM(X86,AP86)*10000+SUM(R86,AJ86)*100+SUM(L86,AD86)+0.002&gt;AU86*1000000+SUM(W86,AO86)*10000+SUM(Q86,AI86)*100+SUM(K86,AC86)+0.003,1,0)+IF(AW86*1000000+SUM(Y86,AQ86)*10000+SUM(S86,AK86)*100+SUM(M86,AE86)+0.001&gt;AU86*1000000+SUM(W86,AO86)*10000+SUM(Q86,AI86)*100+SUM(K86,AC86)+0.003,1,0)=0,"S",IF(IF(AR86*1000000+SUM(T86,AL86)*10000+SUM(N86,AF86)*100+SUM(H86,Z86)+0.006&gt;AV86*1000000+SUM(X86,AP86)*10000+SUM(R86,AJ86)*100+SUM(L86,AD86)+0.002,1,0)+IF(AS86*1000000+SUM(U86,AM86)*10000+SUM(O86,AG86)*100+SUM(I86,AA86)+0.005&gt;AV86*1000000+SUM(X86,AP86)*10000+SUM(R86,AJ86)*100+SUM(L86,AD86)+0.002,1,0)+IF(AT86*1000000+SUM(V86,AN86)*10000+SUM(P86,AH86)*100+SUM(J86,AB86)+0.004&gt;AV86*1000000+SUM(X86,AP86)*10000+SUM(R86,AJ86)*100+SUM(L86,AD86)+0.002,1,0)+IF(AU86*1000000+SUM(W86,AO86)*10000+SUM(Q86,AI86)*100+SUM(K86,AC86)+0.003&gt;AV86*1000000+SUM(X86,AP86)*10000+SUM(R86,AJ86)*100+SUM(L86,AD86)+0.002,1,0)+IF(AW86*1000000+SUM(Y86,AQ86)*10000+SUM(S86,AK86)*100+SUM(M86,AE86)+0.001&gt;AV86*1000000+SUM(X86,AP86)*10000+SUM(R86,AJ86)*100+SUM(L86,AD86)+0.002,1,0)=0,"E",IF(IF(AR86*1000000+SUM(T86,AL86)*10000+SUM(N86,AF86)*100+SUM(H86,Z86)+0.006&gt;AW86*1000000+SUM(Y86,AQ86)*10000+SUM(S86,AK86)*100+SUM(M86,AE86)+0.001,1,0)+IF(AS86*1000000+SUM(U86,AM86)*10000+SUM(O86,AG86)*100+SUM(I86,AA86)+0.005&gt;AW86*1000000+SUM(Y86,AQ86)*10000+SUM(S86,AK86)*100+SUM(M86,AE86)+0.001,1,0)+IF(AT86*1000000+SUM(V86,AN86)*10000+SUM(P86,AH86)*100+SUM(J86,AB86)+0.004&gt;AW86*1000000+SUM(Y86,AQ86)*10000+SUM(S86,AK86)*100+SUM(M86,AE86)+0.001,1,0)+IF(AU86*1000000+SUM(W86,AO86)*10000+SUM(Q86,AI86)*100+SUM(K86,AC86)+0.003&gt;AW86*1000000+SUM(Y86,AQ86)*10000+SUM(S86,AK86)*100+SUM(M86,AE86)+0.001,1,0)+IF(AV86*1000000+SUM(X86,AP86)*10000+SUM(R86,AJ86)*100+SUM(L86,AD86)+0.002&gt;AW86*1000000+SUM(Y86,AQ86)*10000+SUM(S86,AK86)*100+SUM(M86,AE86)+0.001,1,0)=0,"C",""))))))&amp;IF(IF(AS86*1000000+SUM(U86,AM86)*10000+SUM(O86,AG86)*100+SUM(I86,AA86)+0.005&gt;AR86*1000000+SUM(T86,AL86)*10000+SUM(N86,AF86)*100+SUM(H86,Z86)+0.006,1,0)+IF(AT86*1000000+SUM(V86,AN86)*10000+SUM(P86,AH86)*100+SUM(J86,AB86)+0.004&gt;AR86*1000000+SUM(T86,AL86)*10000+SUM(N86,AF86)*100+SUM(H86,Z86)+0.006,1,0)+IF(AU86*1000000+SUM(W86,AO86)*10000+SUM(Q86,AI86)*100+SUM(K86,AC86)+0.003&gt;AR86*1000000+SUM(T86,AL86)*10000+SUM(N86,AF86)*100+SUM(H86,Z86)+0.006,1,0)+IF(AV86*1000000+SUM(X86,AP86)*10000+SUM(R86,AJ86)*100+SUM(L86,AD86)+0.002&gt;AR86*1000000+SUM(T86,AL86)*10000+SUM(N86,AF86)*100+SUM(H86,Z86)+0.006,1,0)+IF(AW86*1000000+SUM(Y86,AQ86)*10000+SUM(S86,AK86)*100+SUM(M86,AE86)+0.001&gt;AR86*1000000+SUM(T86,AL86)*10000+SUM(N86,AF86)*100+SUM(H86,Z86)+0.006,1,0)=1,"R",IF(IF(AR86*1000000+SUM(T86,AL86)*10000+SUM(N86,AF86)*100+SUM(H86,Z86)+0.006&gt;AS86*1000000+SUM(U86,AM86)*10000+SUM(O86,AG86)*100+SUM(I86,AA86)+0.005,1,0)+IF(AT86*1000000+SUM(V86,AN86)*10000+SUM(P86,AH86)*100+SUM(J86,AB86)+0.004&gt;AS86*1000000+SUM(U86,AM86)*10000+SUM(O86,AG86)*100+SUM(I86,AA86)+0.005,1,0)+IF(AU86*1000000+SUM(W86,AO86)*10000+SUM(Q86,AI86)*100+SUM(K86,AC86)+0.003&gt;AS86*1000000+SUM(U86,AM86)*10000+SUM(O86,AG86)*100+SUM(I86,AA86)+0.005,1,0)+IF(AV86*1000000+SUM(X86,AP86)*10000+SUM(R86,AJ86)*100+SUM(L86,AD86)+0.002&gt;AS86*1000000+SUM(U86,AM86)*10000+SUM(O86,AG86)*100+SUM(I86,AA86)+0.005,1,0)+IF(AW86*1000000+SUM(Y86,AQ86)*10000+SUM(S86,AK86)*100+SUM(M86,AE86)+0.001&gt;AS86*1000000+SUM(U86,AM86)*10000+SUM(O86,AG86)*100+SUM(I86,AA86)+0.005,1,0)=1,"I",IF(IF(AR86*1000000+SUM(T86,AL86)*10000+SUM(N86,AF86)*100+SUM(H86,Z86)+0.006&gt;AT86*1000000+SUM(V86,AN86)*10000+SUM(P86,AH86)*100+SUM(J86,AB86)+0.004,1,0)+IF(AS86*1000000+SUM(U86,AM86)*10000+SUM(O86,AG86)*100+SUM(I86,AA86)+0.005&gt;AT86*1000000+SUM(V86,AN86)*10000+SUM(P86,AH86)*100+SUM(J86,AB86)+0.004,1,0)+IF(AU86*1000000+SUM(W86,AO86)*10000+SUM(Q86,AI86)*100+SUM(K86,AC86)+0.003&gt;AT86*1000000+SUM(V86,AN86)*10000+SUM(P86,AH86)*100+SUM(J86,AB86)+0.004,1,0)+IF(AV86*1000000+SUM(X86,AP86)*10000+SUM(R86,AJ86)*100+SUM(L86,AD86)+0.002&gt;AT86*1000000+SUM(V86,AN86)*10000+SUM(P86,AH86)*100+SUM(J86,AB86)+0.004,1,0)+IF(AW86*1000000+SUM(Y86,AQ86)*10000+SUM(S86,AK86)*100+SUM(M86,AE86)+0.001&gt;AT86*1000000+SUM(V86,AN86)*10000+SUM(P86,AH86)*100+SUM(J86,AB86)+0.004,1,0)=1,"A",IF(IF(AR86*1000000+SUM(T86,AL86)*10000+SUM(N86,AF86)*100+SUM(H86,Z86)+0.006&gt;AU86*1000000+SUM(W86,AO86)*10000+SUM(Q86,AI86)*100+SUM(K86,AC86)+0.003,1,0)+IF(AS86*1000000+SUM(U86,AM86)*10000+SUM(O86,AG86)*100+SUM(I86,AA86)+0.005&gt;AU86*1000000+SUM(W86,AO86)*10000+SUM(Q86,AI86)*100+SUM(K86,AC86)+0.003,1,0)+IF(AT86*1000000+SUM(V86,AN86)*10000+SUM(P86,AH86)*100+SUM(J86,AB86)+0.004&gt;AU86*1000000+SUM(W86,AO86)*10000+SUM(Q86,AI86)*100+SUM(K86,AC86)+0.003,1,0)+IF(AV86*1000000+SUM(X86,AP86)*10000+SUM(R86,AJ86)*100+SUM(L86,AD86)+0.002&gt;AU86*1000000+SUM(W86,AO86)*10000+SUM(Q86,AI86)*100+SUM(K86,AC86)+0.003,1,0)+IF(AW86*1000000+SUM(Y86,AQ86)*10000+SUM(S86,AK86)*100+SUM(M86,AE86)+0.001&gt;AU86*1000000+SUM(W86,AO86)*10000+SUM(Q86,AI86)*100+SUM(K86,AC86)+0.003,1,0)=1,"S",IF(IF(AR86*1000000+SUM(T86,AL86)*10000+SUM(N86,AF86)*100+SUM(H86,Z86)+0.006&gt;AV86*1000000+SUM(X86,AP86)*10000+SUM(R86,AJ86)*100+SUM(L86,AD86)+0.002,1,0)+IF(AS86*1000000+SUM(U86,AM86)*10000+SUM(O86,AG86)*100+SUM(I86,AA86)+0.005&gt;AV86*1000000+SUM(X86,AP86)*10000+SUM(R86,AJ86)*100+SUM(L86,AD86)+0.002,1,0)+IF(AT86*1000000+SUM(V86,AN86)*10000+SUM(P86,AH86)*100+SUM(J86,AB86)+0.004&gt;AV86*1000000+SUM(X86,AP86)*10000+SUM(R86,AJ86)*100+SUM(L86,AD86)+0.002,1,0)+IF(AU86*1000000+SUM(W86,AO86)*10000+SUM(Q86,AI86)*100+SUM(K86,AC86)+0.003&gt;AV86*1000000+SUM(X86,AP86)*10000+SUM(R86,AJ86)*100+SUM(L86,AD86)+0.002,1,0)+IF(AW86*1000000+SUM(Y86,AQ86)*10000+SUM(S86,AK86)*100+SUM(M86,AE86)+0.001&gt;AV86*1000000+SUM(X86,AP86)*10000+SUM(R86,AJ86)*100+SUM(L86,AD86)+0.002,1,0)=1,"E",IF(IF(AR86*1000000+SUM(T86,AL86)*10000+SUM(N86,AF86)*100+SUM(H86,Z86)+0.006&gt;AW86*1000000+SUM(Y86,AQ86)*10000+SUM(S86,AK86)*100+SUM(M86,AE86)+0.001,1,0)+IF(AS86*1000000+SUM(U86,AM86)*10000+SUM(O86,AG86)*100+SUM(I86,AA86)+0.005&gt;AW86*1000000+SUM(Y86,AQ86)*10000+SUM(S86,AK86)*100+SUM(M86,AE86)+0.001,1,0)+IF(AT86*1000000+SUM(V86,AN86)*10000+SUM(P86,AH86)*100+SUM(J86,AB86)+0.004&gt;AW86*1000000+SUM(Y86,AQ86)*10000+SUM(S86,AK86)*100+SUM(M86,AE86)+0.001,1,0)+IF(AU86*1000000+SUM(W86,AO86)*10000+SUM(Q86,AI86)*100+SUM(K86,AC86)+0.003&gt;AW86*1000000+SUM(Y86,AQ86)*10000+SUM(S86,AK86)*100+SUM(M86,AE86)+0.001,1,0)+IF(AV86*1000000+SUM(X86,AP86)*10000+SUM(R86,AJ86)*100+SUM(L86,AD86)+0.002&gt;AW86*1000000+SUM(Y86,AQ86)*10000+SUM(S86,AK86)*100+SUM(M86,AE86)+0.001,1,0)=1,"C",""))))))&amp;IF(IF(AS86*1000000+SUM(U86,AM86)*10000+SUM(O86,AG86)*100+SUM(I86,AA86)+0.005&gt;AR86*1000000+SUM(T86,AL86)*10000+SUM(N86,AF86)*100+SUM(H86,Z86)+0.006,1,0)+IF(AT86*1000000+SUM(V86,AN86)*10000+SUM(P86,AH86)*100+SUM(J86,AB86)+0.004&gt;AR86*1000000+SUM(T86,AL86)*10000+SUM(N86,AF86)*100+SUM(H86,Z86)+0.006,1,0)+IF(AU86*1000000+SUM(W86,AO86)*10000+SUM(Q86,AI86)*100+SUM(K86,AC86)+0.003&gt;AR86*1000000+SUM(T86,AL86)*10000+SUM(N86,AF86)*100+SUM(H86,Z86)+0.006,1,0)+IF(AV86*1000000+SUM(X86,AP86)*10000+SUM(R86,AJ86)*100+SUM(L86,AD86)+0.002&gt;AR86*1000000+SUM(T86,AL86)*10000+SUM(N86,AF86)*100+SUM(H86,Z86)+0.006,1,0)+IF(AW86*1000000+SUM(Y86,AQ86)*10000+SUM(S86,AK86)*100+SUM(M86,AE86)+0.001&gt;AR86*1000000+SUM(T86,AL86)*10000+SUM(N86,AF86)*100+SUM(H86,Z86)+0.006,1,0)=2,"R",IF(IF(AR86*1000000+SUM(T86,AL86)*10000+SUM(N86,AF86)*100+SUM(H86,Z86)+0.006&gt;AS86*1000000+SUM(U86,AM86)*10000+SUM(O86,AG86)*100+SUM(I86,AA86)+0.005,1,0)+IF(AT86*1000000+SUM(V86,AN86)*10000+SUM(P86,AH86)*100+SUM(J86,AB86)+0.004&gt;AS86*1000000+SUM(U86,AM86)*10000+SUM(O86,AG86)*100+SUM(I86,AA86)+0.005,1,0)+IF(AU86*1000000+SUM(W86,AO86)*10000+SUM(Q86,AI86)*100+SUM(K86,AC86)+0.003&gt;AS86*1000000+SUM(U86,AM86)*10000+SUM(O86,AG86)*100+SUM(I86,AA86)+0.005,1,0)+IF(AV86*1000000+SUM(X86,AP86)*10000+SUM(R86,AJ86)*100+SUM(L86,AD86)+0.002&gt;AS86*1000000+SUM(U86,AM86)*10000+SUM(O86,AG86)*100+SUM(I86,AA86)+0.005,1,0)+IF(AW86*1000000+SUM(Y86,AQ86)*10000+SUM(S86,AK86)*100+SUM(M86,AE86)+0.001&gt;AS86*1000000+SUM(U86,AM86)*10000+SUM(O86,AG86)*100+SUM(I86,AA86)+0.005,1,0)=2,"I",IF(IF(AR86*1000000+SUM(T86,AL86)*10000+SUM(N86,AF86)*100+SUM(H86,Z86)+0.006&gt;AT86*1000000+SUM(V86,AN86)*10000+SUM(P86,AH86)*100+SUM(J86,AB86)+0.004,1,0)+IF(AS86*1000000+SUM(U86,AM86)*10000+SUM(O86,AG86)*100+SUM(I86,AA86)+0.005&gt;AT86*1000000+SUM(V86,AN86)*10000+SUM(P86,AH86)*100+SUM(J86,AB86)+0.004,1,0)+IF(AU86*1000000+SUM(W86,AO86)*10000+SUM(Q86,AI86)*100+SUM(K86,AC86)+0.003&gt;AT86*1000000+SUM(V86,AN86)*10000+SUM(P86,AH86)*100+SUM(J86,AB86)+0.004,1,0)+IF(AV86*1000000+SUM(X86,AP86)*10000+SUM(R86,AJ86)*100+SUM(L86,AD86)+0.002&gt;AT86*1000000+SUM(V86,AN86)*10000+SUM(P86,AH86)*100+SUM(J86,AB86)+0.004,1,0)+IF(AW86*1000000+SUM(Y86,AQ86)*10000+SUM(S86,AK86)*100+SUM(M86,AE86)+0.001&gt;AT86*1000000+SUM(V86,AN86)*10000+SUM(P86,AH86)*100+SUM(J86,AB86)+0.004,1,0)=2,"A",IF(IF(AR86*1000000+SUM(T86,AL86)*10000+SUM(N86,AF86)*100+SUM(H86,Z86)+0.006&gt;AU86*1000000+SUM(W86,AO86)*10000+SUM(Q86,AI86)*100+SUM(K86,AC86)+0.003,1,0)+IF(AS86*1000000+SUM(U86,AM86)*10000+SUM(O86,AG86)*100+SUM(I86,AA86)+0.005&gt;AU86*1000000+SUM(W86,AO86)*10000+SUM(Q86,AI86)*100+SUM(K86,AC86)+0.003,1,0)+IF(AT86*1000000+SUM(V86,AN86)*10000+SUM(P86,AH86)*100+SUM(J86,AB86)+0.004&gt;AU86*1000000+SUM(W86,AO86)*10000+SUM(Q86,AI86)*100+SUM(K86,AC86)+0.003,1,0)+IF(AV86*1000000+SUM(X86,AP86)*10000+SUM(R86,AJ86)*100+SUM(L86,AD86)+0.002&gt;AU86*1000000+SUM(W86,AO86)*10000+SUM(Q86,AI86)*100+SUM(K86,AC86)+0.003,1,0)+IF(AW86*1000000+SUM(Y86,AQ86)*10000+SUM(S86,AK86)*100+SUM(M86,AE86)+0.001&gt;AU86*1000000+SUM(W86,AO86)*10000+SUM(Q86,AI86)*100+SUM(K86,AC86)+0.003,1,0)=2,"S",IF(IF(AR86*1000000+SUM(T86,AL86)*10000+SUM(N86,AF86)*100+SUM(H86,Z86)+0.006&gt;AV86*1000000+SUM(X86,AP86)*10000+SUM(R86,AJ86)*100+SUM(L86,AD86)+0.002,1,0)+IF(AS86*1000000+SUM(U86,AM86)*10000+SUM(O86,AG86)*100+SUM(I86,AA86)+0.005&gt;AV86*1000000+SUM(X86,AP86)*10000+SUM(R86,AJ86)*100+SUM(L86,AD86)+0.002,1,0)+IF(AT86*1000000+SUM(V86,AN86)*10000+SUM(P86,AH86)*100+SUM(J86,AB86)+0.004&gt;AV86*1000000+SUM(X86,AP86)*10000+SUM(R86,AJ86)*100+SUM(L86,AD86)+0.002,1,0)+IF(AU86*1000000+SUM(W86,AO86)*10000+SUM(Q86,AI86)*100+SUM(K86,AC86)+0.003&gt;AV86*1000000+SUM(X86,AP86)*10000+SUM(R86,AJ86)*100+SUM(L86,AD86)+0.002,1,0)+IF(AW86*1000000+SUM(Y86,AQ86)*10000+SUM(S86,AK86)*100+SUM(M86,AE86)+0.001&gt;AV86*1000000+SUM(X86,AP86)*10000+SUM(R86,AJ86)*100+SUM(L86,AD86)+0.002,1,0)=2,"E",IF(IF(AR86*1000000+SUM(T86,AL86)*10000+SUM(N86,AF86)*100+SUM(H86,Z86)+0.006&gt;AW86*1000000+SUM(Y86,AQ86)*10000+SUM(S86,AK86)*100+SUM(M86,AE86)+0.001,1,0)+IF(AS86*1000000+SUM(U86,AM86)*10000+SUM(O86,AG86)*100+SUM(I86,AA86)+0.005&gt;AW86*1000000+SUM(Y86,AQ86)*10000+SUM(S86,AK86)*100+SUM(M86,AE86)+0.001,1,0)+IF(AT86*1000000+SUM(V86,AN86)*10000+SUM(P86,AH86)*100+SUM(J86,AB86)+0.004&gt;AW86*1000000+SUM(Y86,AQ86)*10000+SUM(S86,AK86)*100+SUM(M86,AE86)+0.001,1,0)+IF(AU86*1000000+SUM(W86,AO86)*10000+SUM(Q86,AI86)*100+SUM(K86,AC86)+0.003&gt;AW86*1000000+SUM(Y86,AQ86)*10000+SUM(S86,AK86)*100+SUM(M86,AE86)+0.001,1,0)+IF(AV86*1000000+SUM(X86,AP86)*10000+SUM(R86,AJ86)*100+SUM(L86,AD86)+0.002&gt;AW86*1000000+SUM(Y86,AQ86)*10000+SUM(S86,AK86)*100+SUM(M86,AE86)+0.001,1,0)=2,"C","")))))))</x:f>
      </x:c>
      <x:c r="AY86" s="27" t="str">
        <x:f>IF(C86="","",IF(LEFT(AX86,1)="R","นักปฏิบัติ",IF(LEFT(AX86,1)="I","นักคิดวิเคราะห์",IF(LEFT(AX86,1)="A","นักสร้างสรรค์",IF(LEFT(AX86,1)="S","ผู้เข้าใจผู้คน",IF(LEFT(AX86,1)="E","ผู้นำการเปลี่ยนแปลง","ผู้จัดระบบ"))))))</x:f>
      </x:c>
    </x:row>
    <x:row r="87">
      <x:c r="A87" s="27"/>
      <x:c r="B87" s="28"/>
      <x:c r="C87" s="27"/>
      <x:c r="D87" s="27"/>
      <x:c r="E87" s="27"/>
      <x:c r="F87" s="27"/>
      <x:c r="G87" s="27"/>
      <x:c r="H87" s="27"/>
      <x:c r="I87" s="27"/>
      <x:c r="J87" s="27"/>
      <x:c r="K87" s="27"/>
      <x:c r="L87" s="27"/>
      <x:c r="M87" s="27"/>
      <x:c r="N87" s="27"/>
      <x:c r="O87" s="27"/>
      <x:c r="P87" s="27"/>
      <x:c r="Q87" s="27"/>
      <x:c r="R87" s="27"/>
      <x:c r="S87" s="27"/>
      <x:c r="T87" s="27"/>
      <x:c r="U87" s="27"/>
      <x:c r="V87" s="27"/>
      <x:c r="W87" s="27"/>
      <x:c r="X87" s="27"/>
      <x:c r="Y87" s="27"/>
      <x:c r="Z87" s="27"/>
      <x:c r="AA87" s="27"/>
      <x:c r="AB87" s="27"/>
      <x:c r="AC87" s="27"/>
      <x:c r="AD87" s="27"/>
      <x:c r="AE87" s="27"/>
      <x:c r="AF87" s="27"/>
      <x:c r="AG87" s="27"/>
      <x:c r="AH87" s="27"/>
      <x:c r="AI87" s="27"/>
      <x:c r="AJ87" s="27"/>
      <x:c r="AK87" s="27"/>
      <x:c r="AL87" s="27"/>
      <x:c r="AM87" s="27"/>
      <x:c r="AN87" s="27"/>
      <x:c r="AO87" s="27"/>
      <x:c r="AP87" s="27"/>
      <x:c r="AQ87" s="27"/>
      <x:c r="AR87" s="27" t="str">
        <x:f>IF(C87="","",SUM(H87,N87,T87,Z87,AF87,AL87))</x:f>
      </x:c>
      <x:c r="AS87" s="27" t="str">
        <x:f>IF(C87="","",SUM(I87,O87,U87,AA87,AG87,AM87))</x:f>
      </x:c>
      <x:c r="AT87" s="27" t="str">
        <x:f>IF(C87="","",SUM(J87,P87,V87,AB87,AH87,AN87))</x:f>
      </x:c>
      <x:c r="AU87" s="27" t="str">
        <x:f>IF(C87="","",SUM(K87,Q87,W87,AC87,AI87,AO87))</x:f>
      </x:c>
      <x:c r="AV87" s="27" t="str">
        <x:f>IF(C87="","",SUM(L87,R87,X87,AD87,AJ87,AP87))</x:f>
      </x:c>
      <x:c r="AW87" s="27" t="str">
        <x:f>IF(C87="","",SUM(M87,S87,Y87,AE87,AK87,AQ87))</x:f>
      </x:c>
      <x:c r="AX87" s="27" t="str">
        <x:f>IF(C87="","",IF(IF(AS87*1000000+SUM(U87,AM87)*10000+SUM(O87,AG87)*100+SUM(I87,AA87)+0.005&gt;AR87*1000000+SUM(T87,AL87)*10000+SUM(N87,AF87)*100+SUM(H87,Z87)+0.006,1,0)+IF(AT87*1000000+SUM(V87,AN87)*10000+SUM(P87,AH87)*100+SUM(J87,AB87)+0.004&gt;AR87*1000000+SUM(T87,AL87)*10000+SUM(N87,AF87)*100+SUM(H87,Z87)+0.006,1,0)+IF(AU87*1000000+SUM(W87,AO87)*10000+SUM(Q87,AI87)*100+SUM(K87,AC87)+0.003&gt;AR87*1000000+SUM(T87,AL87)*10000+SUM(N87,AF87)*100+SUM(H87,Z87)+0.006,1,0)+IF(AV87*1000000+SUM(X87,AP87)*10000+SUM(R87,AJ87)*100+SUM(L87,AD87)+0.002&gt;AR87*1000000+SUM(T87,AL87)*10000+SUM(N87,AF87)*100+SUM(H87,Z87)+0.006,1,0)+IF(AW87*1000000+SUM(Y87,AQ87)*10000+SUM(S87,AK87)*100+SUM(M87,AE87)+0.001&gt;AR87*1000000+SUM(T87,AL87)*10000+SUM(N87,AF87)*100+SUM(H87,Z87)+0.006,1,0)=0,"R",IF(IF(AR87*1000000+SUM(T87,AL87)*10000+SUM(N87,AF87)*100+SUM(H87,Z87)+0.006&gt;AS87*1000000+SUM(U87,AM87)*10000+SUM(O87,AG87)*100+SUM(I87,AA87)+0.005,1,0)+IF(AT87*1000000+SUM(V87,AN87)*10000+SUM(P87,AH87)*100+SUM(J87,AB87)+0.004&gt;AS87*1000000+SUM(U87,AM87)*10000+SUM(O87,AG87)*100+SUM(I87,AA87)+0.005,1,0)+IF(AU87*1000000+SUM(W87,AO87)*10000+SUM(Q87,AI87)*100+SUM(K87,AC87)+0.003&gt;AS87*1000000+SUM(U87,AM87)*10000+SUM(O87,AG87)*100+SUM(I87,AA87)+0.005,1,0)+IF(AV87*1000000+SUM(X87,AP87)*10000+SUM(R87,AJ87)*100+SUM(L87,AD87)+0.002&gt;AS87*1000000+SUM(U87,AM87)*10000+SUM(O87,AG87)*100+SUM(I87,AA87)+0.005,1,0)+IF(AW87*1000000+SUM(Y87,AQ87)*10000+SUM(S87,AK87)*100+SUM(M87,AE87)+0.001&gt;AS87*1000000+SUM(U87,AM87)*10000+SUM(O87,AG87)*100+SUM(I87,AA87)+0.005,1,0)=0,"I",IF(IF(AR87*1000000+SUM(T87,AL87)*10000+SUM(N87,AF87)*100+SUM(H87,Z87)+0.006&gt;AT87*1000000+SUM(V87,AN87)*10000+SUM(P87,AH87)*100+SUM(J87,AB87)+0.004,1,0)+IF(AS87*1000000+SUM(U87,AM87)*10000+SUM(O87,AG87)*100+SUM(I87,AA87)+0.005&gt;AT87*1000000+SUM(V87,AN87)*10000+SUM(P87,AH87)*100+SUM(J87,AB87)+0.004,1,0)+IF(AU87*1000000+SUM(W87,AO87)*10000+SUM(Q87,AI87)*100+SUM(K87,AC87)+0.003&gt;AT87*1000000+SUM(V87,AN87)*10000+SUM(P87,AH87)*100+SUM(J87,AB87)+0.004,1,0)+IF(AV87*1000000+SUM(X87,AP87)*10000+SUM(R87,AJ87)*100+SUM(L87,AD87)+0.002&gt;AT87*1000000+SUM(V87,AN87)*10000+SUM(P87,AH87)*100+SUM(J87,AB87)+0.004,1,0)+IF(AW87*1000000+SUM(Y87,AQ87)*10000+SUM(S87,AK87)*100+SUM(M87,AE87)+0.001&gt;AT87*1000000+SUM(V87,AN87)*10000+SUM(P87,AH87)*100+SUM(J87,AB87)+0.004,1,0)=0,"A",IF(IF(AR87*1000000+SUM(T87,AL87)*10000+SUM(N87,AF87)*100+SUM(H87,Z87)+0.006&gt;AU87*1000000+SUM(W87,AO87)*10000+SUM(Q87,AI87)*100+SUM(K87,AC87)+0.003,1,0)+IF(AS87*1000000+SUM(U87,AM87)*10000+SUM(O87,AG87)*100+SUM(I87,AA87)+0.005&gt;AU87*1000000+SUM(W87,AO87)*10000+SUM(Q87,AI87)*100+SUM(K87,AC87)+0.003,1,0)+IF(AT87*1000000+SUM(V87,AN87)*10000+SUM(P87,AH87)*100+SUM(J87,AB87)+0.004&gt;AU87*1000000+SUM(W87,AO87)*10000+SUM(Q87,AI87)*100+SUM(K87,AC87)+0.003,1,0)+IF(AV87*1000000+SUM(X87,AP87)*10000+SUM(R87,AJ87)*100+SUM(L87,AD87)+0.002&gt;AU87*1000000+SUM(W87,AO87)*10000+SUM(Q87,AI87)*100+SUM(K87,AC87)+0.003,1,0)+IF(AW87*1000000+SUM(Y87,AQ87)*10000+SUM(S87,AK87)*100+SUM(M87,AE87)+0.001&gt;AU87*1000000+SUM(W87,AO87)*10000+SUM(Q87,AI87)*100+SUM(K87,AC87)+0.003,1,0)=0,"S",IF(IF(AR87*1000000+SUM(T87,AL87)*10000+SUM(N87,AF87)*100+SUM(H87,Z87)+0.006&gt;AV87*1000000+SUM(X87,AP87)*10000+SUM(R87,AJ87)*100+SUM(L87,AD87)+0.002,1,0)+IF(AS87*1000000+SUM(U87,AM87)*10000+SUM(O87,AG87)*100+SUM(I87,AA87)+0.005&gt;AV87*1000000+SUM(X87,AP87)*10000+SUM(R87,AJ87)*100+SUM(L87,AD87)+0.002,1,0)+IF(AT87*1000000+SUM(V87,AN87)*10000+SUM(P87,AH87)*100+SUM(J87,AB87)+0.004&gt;AV87*1000000+SUM(X87,AP87)*10000+SUM(R87,AJ87)*100+SUM(L87,AD87)+0.002,1,0)+IF(AU87*1000000+SUM(W87,AO87)*10000+SUM(Q87,AI87)*100+SUM(K87,AC87)+0.003&gt;AV87*1000000+SUM(X87,AP87)*10000+SUM(R87,AJ87)*100+SUM(L87,AD87)+0.002,1,0)+IF(AW87*1000000+SUM(Y87,AQ87)*10000+SUM(S87,AK87)*100+SUM(M87,AE87)+0.001&gt;AV87*1000000+SUM(X87,AP87)*10000+SUM(R87,AJ87)*100+SUM(L87,AD87)+0.002,1,0)=0,"E",IF(IF(AR87*1000000+SUM(T87,AL87)*10000+SUM(N87,AF87)*100+SUM(H87,Z87)+0.006&gt;AW87*1000000+SUM(Y87,AQ87)*10000+SUM(S87,AK87)*100+SUM(M87,AE87)+0.001,1,0)+IF(AS87*1000000+SUM(U87,AM87)*10000+SUM(O87,AG87)*100+SUM(I87,AA87)+0.005&gt;AW87*1000000+SUM(Y87,AQ87)*10000+SUM(S87,AK87)*100+SUM(M87,AE87)+0.001,1,0)+IF(AT87*1000000+SUM(V87,AN87)*10000+SUM(P87,AH87)*100+SUM(J87,AB87)+0.004&gt;AW87*1000000+SUM(Y87,AQ87)*10000+SUM(S87,AK87)*100+SUM(M87,AE87)+0.001,1,0)+IF(AU87*1000000+SUM(W87,AO87)*10000+SUM(Q87,AI87)*100+SUM(K87,AC87)+0.003&gt;AW87*1000000+SUM(Y87,AQ87)*10000+SUM(S87,AK87)*100+SUM(M87,AE87)+0.001,1,0)+IF(AV87*1000000+SUM(X87,AP87)*10000+SUM(R87,AJ87)*100+SUM(L87,AD87)+0.002&gt;AW87*1000000+SUM(Y87,AQ87)*10000+SUM(S87,AK87)*100+SUM(M87,AE87)+0.001,1,0)=0,"C",""))))))&amp;IF(IF(AS87*1000000+SUM(U87,AM87)*10000+SUM(O87,AG87)*100+SUM(I87,AA87)+0.005&gt;AR87*1000000+SUM(T87,AL87)*10000+SUM(N87,AF87)*100+SUM(H87,Z87)+0.006,1,0)+IF(AT87*1000000+SUM(V87,AN87)*10000+SUM(P87,AH87)*100+SUM(J87,AB87)+0.004&gt;AR87*1000000+SUM(T87,AL87)*10000+SUM(N87,AF87)*100+SUM(H87,Z87)+0.006,1,0)+IF(AU87*1000000+SUM(W87,AO87)*10000+SUM(Q87,AI87)*100+SUM(K87,AC87)+0.003&gt;AR87*1000000+SUM(T87,AL87)*10000+SUM(N87,AF87)*100+SUM(H87,Z87)+0.006,1,0)+IF(AV87*1000000+SUM(X87,AP87)*10000+SUM(R87,AJ87)*100+SUM(L87,AD87)+0.002&gt;AR87*1000000+SUM(T87,AL87)*10000+SUM(N87,AF87)*100+SUM(H87,Z87)+0.006,1,0)+IF(AW87*1000000+SUM(Y87,AQ87)*10000+SUM(S87,AK87)*100+SUM(M87,AE87)+0.001&gt;AR87*1000000+SUM(T87,AL87)*10000+SUM(N87,AF87)*100+SUM(H87,Z87)+0.006,1,0)=1,"R",IF(IF(AR87*1000000+SUM(T87,AL87)*10000+SUM(N87,AF87)*100+SUM(H87,Z87)+0.006&gt;AS87*1000000+SUM(U87,AM87)*10000+SUM(O87,AG87)*100+SUM(I87,AA87)+0.005,1,0)+IF(AT87*1000000+SUM(V87,AN87)*10000+SUM(P87,AH87)*100+SUM(J87,AB87)+0.004&gt;AS87*1000000+SUM(U87,AM87)*10000+SUM(O87,AG87)*100+SUM(I87,AA87)+0.005,1,0)+IF(AU87*1000000+SUM(W87,AO87)*10000+SUM(Q87,AI87)*100+SUM(K87,AC87)+0.003&gt;AS87*1000000+SUM(U87,AM87)*10000+SUM(O87,AG87)*100+SUM(I87,AA87)+0.005,1,0)+IF(AV87*1000000+SUM(X87,AP87)*10000+SUM(R87,AJ87)*100+SUM(L87,AD87)+0.002&gt;AS87*1000000+SUM(U87,AM87)*10000+SUM(O87,AG87)*100+SUM(I87,AA87)+0.005,1,0)+IF(AW87*1000000+SUM(Y87,AQ87)*10000+SUM(S87,AK87)*100+SUM(M87,AE87)+0.001&gt;AS87*1000000+SUM(U87,AM87)*10000+SUM(O87,AG87)*100+SUM(I87,AA87)+0.005,1,0)=1,"I",IF(IF(AR87*1000000+SUM(T87,AL87)*10000+SUM(N87,AF87)*100+SUM(H87,Z87)+0.006&gt;AT87*1000000+SUM(V87,AN87)*10000+SUM(P87,AH87)*100+SUM(J87,AB87)+0.004,1,0)+IF(AS87*1000000+SUM(U87,AM87)*10000+SUM(O87,AG87)*100+SUM(I87,AA87)+0.005&gt;AT87*1000000+SUM(V87,AN87)*10000+SUM(P87,AH87)*100+SUM(J87,AB87)+0.004,1,0)+IF(AU87*1000000+SUM(W87,AO87)*10000+SUM(Q87,AI87)*100+SUM(K87,AC87)+0.003&gt;AT87*1000000+SUM(V87,AN87)*10000+SUM(P87,AH87)*100+SUM(J87,AB87)+0.004,1,0)+IF(AV87*1000000+SUM(X87,AP87)*10000+SUM(R87,AJ87)*100+SUM(L87,AD87)+0.002&gt;AT87*1000000+SUM(V87,AN87)*10000+SUM(P87,AH87)*100+SUM(J87,AB87)+0.004,1,0)+IF(AW87*1000000+SUM(Y87,AQ87)*10000+SUM(S87,AK87)*100+SUM(M87,AE87)+0.001&gt;AT87*1000000+SUM(V87,AN87)*10000+SUM(P87,AH87)*100+SUM(J87,AB87)+0.004,1,0)=1,"A",IF(IF(AR87*1000000+SUM(T87,AL87)*10000+SUM(N87,AF87)*100+SUM(H87,Z87)+0.006&gt;AU87*1000000+SUM(W87,AO87)*10000+SUM(Q87,AI87)*100+SUM(K87,AC87)+0.003,1,0)+IF(AS87*1000000+SUM(U87,AM87)*10000+SUM(O87,AG87)*100+SUM(I87,AA87)+0.005&gt;AU87*1000000+SUM(W87,AO87)*10000+SUM(Q87,AI87)*100+SUM(K87,AC87)+0.003,1,0)+IF(AT87*1000000+SUM(V87,AN87)*10000+SUM(P87,AH87)*100+SUM(J87,AB87)+0.004&gt;AU87*1000000+SUM(W87,AO87)*10000+SUM(Q87,AI87)*100+SUM(K87,AC87)+0.003,1,0)+IF(AV87*1000000+SUM(X87,AP87)*10000+SUM(R87,AJ87)*100+SUM(L87,AD87)+0.002&gt;AU87*1000000+SUM(W87,AO87)*10000+SUM(Q87,AI87)*100+SUM(K87,AC87)+0.003,1,0)+IF(AW87*1000000+SUM(Y87,AQ87)*10000+SUM(S87,AK87)*100+SUM(M87,AE87)+0.001&gt;AU87*1000000+SUM(W87,AO87)*10000+SUM(Q87,AI87)*100+SUM(K87,AC87)+0.003,1,0)=1,"S",IF(IF(AR87*1000000+SUM(T87,AL87)*10000+SUM(N87,AF87)*100+SUM(H87,Z87)+0.006&gt;AV87*1000000+SUM(X87,AP87)*10000+SUM(R87,AJ87)*100+SUM(L87,AD87)+0.002,1,0)+IF(AS87*1000000+SUM(U87,AM87)*10000+SUM(O87,AG87)*100+SUM(I87,AA87)+0.005&gt;AV87*1000000+SUM(X87,AP87)*10000+SUM(R87,AJ87)*100+SUM(L87,AD87)+0.002,1,0)+IF(AT87*1000000+SUM(V87,AN87)*10000+SUM(P87,AH87)*100+SUM(J87,AB87)+0.004&gt;AV87*1000000+SUM(X87,AP87)*10000+SUM(R87,AJ87)*100+SUM(L87,AD87)+0.002,1,0)+IF(AU87*1000000+SUM(W87,AO87)*10000+SUM(Q87,AI87)*100+SUM(K87,AC87)+0.003&gt;AV87*1000000+SUM(X87,AP87)*10000+SUM(R87,AJ87)*100+SUM(L87,AD87)+0.002,1,0)+IF(AW87*1000000+SUM(Y87,AQ87)*10000+SUM(S87,AK87)*100+SUM(M87,AE87)+0.001&gt;AV87*1000000+SUM(X87,AP87)*10000+SUM(R87,AJ87)*100+SUM(L87,AD87)+0.002,1,0)=1,"E",IF(IF(AR87*1000000+SUM(T87,AL87)*10000+SUM(N87,AF87)*100+SUM(H87,Z87)+0.006&gt;AW87*1000000+SUM(Y87,AQ87)*10000+SUM(S87,AK87)*100+SUM(M87,AE87)+0.001,1,0)+IF(AS87*1000000+SUM(U87,AM87)*10000+SUM(O87,AG87)*100+SUM(I87,AA87)+0.005&gt;AW87*1000000+SUM(Y87,AQ87)*10000+SUM(S87,AK87)*100+SUM(M87,AE87)+0.001,1,0)+IF(AT87*1000000+SUM(V87,AN87)*10000+SUM(P87,AH87)*100+SUM(J87,AB87)+0.004&gt;AW87*1000000+SUM(Y87,AQ87)*10000+SUM(S87,AK87)*100+SUM(M87,AE87)+0.001,1,0)+IF(AU87*1000000+SUM(W87,AO87)*10000+SUM(Q87,AI87)*100+SUM(K87,AC87)+0.003&gt;AW87*1000000+SUM(Y87,AQ87)*10000+SUM(S87,AK87)*100+SUM(M87,AE87)+0.001,1,0)+IF(AV87*1000000+SUM(X87,AP87)*10000+SUM(R87,AJ87)*100+SUM(L87,AD87)+0.002&gt;AW87*1000000+SUM(Y87,AQ87)*10000+SUM(S87,AK87)*100+SUM(M87,AE87)+0.001,1,0)=1,"C",""))))))&amp;IF(IF(AS87*1000000+SUM(U87,AM87)*10000+SUM(O87,AG87)*100+SUM(I87,AA87)+0.005&gt;AR87*1000000+SUM(T87,AL87)*10000+SUM(N87,AF87)*100+SUM(H87,Z87)+0.006,1,0)+IF(AT87*1000000+SUM(V87,AN87)*10000+SUM(P87,AH87)*100+SUM(J87,AB87)+0.004&gt;AR87*1000000+SUM(T87,AL87)*10000+SUM(N87,AF87)*100+SUM(H87,Z87)+0.006,1,0)+IF(AU87*1000000+SUM(W87,AO87)*10000+SUM(Q87,AI87)*100+SUM(K87,AC87)+0.003&gt;AR87*1000000+SUM(T87,AL87)*10000+SUM(N87,AF87)*100+SUM(H87,Z87)+0.006,1,0)+IF(AV87*1000000+SUM(X87,AP87)*10000+SUM(R87,AJ87)*100+SUM(L87,AD87)+0.002&gt;AR87*1000000+SUM(T87,AL87)*10000+SUM(N87,AF87)*100+SUM(H87,Z87)+0.006,1,0)+IF(AW87*1000000+SUM(Y87,AQ87)*10000+SUM(S87,AK87)*100+SUM(M87,AE87)+0.001&gt;AR87*1000000+SUM(T87,AL87)*10000+SUM(N87,AF87)*100+SUM(H87,Z87)+0.006,1,0)=2,"R",IF(IF(AR87*1000000+SUM(T87,AL87)*10000+SUM(N87,AF87)*100+SUM(H87,Z87)+0.006&gt;AS87*1000000+SUM(U87,AM87)*10000+SUM(O87,AG87)*100+SUM(I87,AA87)+0.005,1,0)+IF(AT87*1000000+SUM(V87,AN87)*10000+SUM(P87,AH87)*100+SUM(J87,AB87)+0.004&gt;AS87*1000000+SUM(U87,AM87)*10000+SUM(O87,AG87)*100+SUM(I87,AA87)+0.005,1,0)+IF(AU87*1000000+SUM(W87,AO87)*10000+SUM(Q87,AI87)*100+SUM(K87,AC87)+0.003&gt;AS87*1000000+SUM(U87,AM87)*10000+SUM(O87,AG87)*100+SUM(I87,AA87)+0.005,1,0)+IF(AV87*1000000+SUM(X87,AP87)*10000+SUM(R87,AJ87)*100+SUM(L87,AD87)+0.002&gt;AS87*1000000+SUM(U87,AM87)*10000+SUM(O87,AG87)*100+SUM(I87,AA87)+0.005,1,0)+IF(AW87*1000000+SUM(Y87,AQ87)*10000+SUM(S87,AK87)*100+SUM(M87,AE87)+0.001&gt;AS87*1000000+SUM(U87,AM87)*10000+SUM(O87,AG87)*100+SUM(I87,AA87)+0.005,1,0)=2,"I",IF(IF(AR87*1000000+SUM(T87,AL87)*10000+SUM(N87,AF87)*100+SUM(H87,Z87)+0.006&gt;AT87*1000000+SUM(V87,AN87)*10000+SUM(P87,AH87)*100+SUM(J87,AB87)+0.004,1,0)+IF(AS87*1000000+SUM(U87,AM87)*10000+SUM(O87,AG87)*100+SUM(I87,AA87)+0.005&gt;AT87*1000000+SUM(V87,AN87)*10000+SUM(P87,AH87)*100+SUM(J87,AB87)+0.004,1,0)+IF(AU87*1000000+SUM(W87,AO87)*10000+SUM(Q87,AI87)*100+SUM(K87,AC87)+0.003&gt;AT87*1000000+SUM(V87,AN87)*10000+SUM(P87,AH87)*100+SUM(J87,AB87)+0.004,1,0)+IF(AV87*1000000+SUM(X87,AP87)*10000+SUM(R87,AJ87)*100+SUM(L87,AD87)+0.002&gt;AT87*1000000+SUM(V87,AN87)*10000+SUM(P87,AH87)*100+SUM(J87,AB87)+0.004,1,0)+IF(AW87*1000000+SUM(Y87,AQ87)*10000+SUM(S87,AK87)*100+SUM(M87,AE87)+0.001&gt;AT87*1000000+SUM(V87,AN87)*10000+SUM(P87,AH87)*100+SUM(J87,AB87)+0.004,1,0)=2,"A",IF(IF(AR87*1000000+SUM(T87,AL87)*10000+SUM(N87,AF87)*100+SUM(H87,Z87)+0.006&gt;AU87*1000000+SUM(W87,AO87)*10000+SUM(Q87,AI87)*100+SUM(K87,AC87)+0.003,1,0)+IF(AS87*1000000+SUM(U87,AM87)*10000+SUM(O87,AG87)*100+SUM(I87,AA87)+0.005&gt;AU87*1000000+SUM(W87,AO87)*10000+SUM(Q87,AI87)*100+SUM(K87,AC87)+0.003,1,0)+IF(AT87*1000000+SUM(V87,AN87)*10000+SUM(P87,AH87)*100+SUM(J87,AB87)+0.004&gt;AU87*1000000+SUM(W87,AO87)*10000+SUM(Q87,AI87)*100+SUM(K87,AC87)+0.003,1,0)+IF(AV87*1000000+SUM(X87,AP87)*10000+SUM(R87,AJ87)*100+SUM(L87,AD87)+0.002&gt;AU87*1000000+SUM(W87,AO87)*10000+SUM(Q87,AI87)*100+SUM(K87,AC87)+0.003,1,0)+IF(AW87*1000000+SUM(Y87,AQ87)*10000+SUM(S87,AK87)*100+SUM(M87,AE87)+0.001&gt;AU87*1000000+SUM(W87,AO87)*10000+SUM(Q87,AI87)*100+SUM(K87,AC87)+0.003,1,0)=2,"S",IF(IF(AR87*1000000+SUM(T87,AL87)*10000+SUM(N87,AF87)*100+SUM(H87,Z87)+0.006&gt;AV87*1000000+SUM(X87,AP87)*10000+SUM(R87,AJ87)*100+SUM(L87,AD87)+0.002,1,0)+IF(AS87*1000000+SUM(U87,AM87)*10000+SUM(O87,AG87)*100+SUM(I87,AA87)+0.005&gt;AV87*1000000+SUM(X87,AP87)*10000+SUM(R87,AJ87)*100+SUM(L87,AD87)+0.002,1,0)+IF(AT87*1000000+SUM(V87,AN87)*10000+SUM(P87,AH87)*100+SUM(J87,AB87)+0.004&gt;AV87*1000000+SUM(X87,AP87)*10000+SUM(R87,AJ87)*100+SUM(L87,AD87)+0.002,1,0)+IF(AU87*1000000+SUM(W87,AO87)*10000+SUM(Q87,AI87)*100+SUM(K87,AC87)+0.003&gt;AV87*1000000+SUM(X87,AP87)*10000+SUM(R87,AJ87)*100+SUM(L87,AD87)+0.002,1,0)+IF(AW87*1000000+SUM(Y87,AQ87)*10000+SUM(S87,AK87)*100+SUM(M87,AE87)+0.001&gt;AV87*1000000+SUM(X87,AP87)*10000+SUM(R87,AJ87)*100+SUM(L87,AD87)+0.002,1,0)=2,"E",IF(IF(AR87*1000000+SUM(T87,AL87)*10000+SUM(N87,AF87)*100+SUM(H87,Z87)+0.006&gt;AW87*1000000+SUM(Y87,AQ87)*10000+SUM(S87,AK87)*100+SUM(M87,AE87)+0.001,1,0)+IF(AS87*1000000+SUM(U87,AM87)*10000+SUM(O87,AG87)*100+SUM(I87,AA87)+0.005&gt;AW87*1000000+SUM(Y87,AQ87)*10000+SUM(S87,AK87)*100+SUM(M87,AE87)+0.001,1,0)+IF(AT87*1000000+SUM(V87,AN87)*10000+SUM(P87,AH87)*100+SUM(J87,AB87)+0.004&gt;AW87*1000000+SUM(Y87,AQ87)*10000+SUM(S87,AK87)*100+SUM(M87,AE87)+0.001,1,0)+IF(AU87*1000000+SUM(W87,AO87)*10000+SUM(Q87,AI87)*100+SUM(K87,AC87)+0.003&gt;AW87*1000000+SUM(Y87,AQ87)*10000+SUM(S87,AK87)*100+SUM(M87,AE87)+0.001,1,0)+IF(AV87*1000000+SUM(X87,AP87)*10000+SUM(R87,AJ87)*100+SUM(L87,AD87)+0.002&gt;AW87*1000000+SUM(Y87,AQ87)*10000+SUM(S87,AK87)*100+SUM(M87,AE87)+0.001,1,0)=2,"C","")))))))</x:f>
      </x:c>
      <x:c r="AY87" s="27" t="str">
        <x:f>IF(C87="","",IF(LEFT(AX87,1)="R","นักปฏิบัติ",IF(LEFT(AX87,1)="I","นักคิดวิเคราะห์",IF(LEFT(AX87,1)="A","นักสร้างสรรค์",IF(LEFT(AX87,1)="S","ผู้เข้าใจผู้คน",IF(LEFT(AX87,1)="E","ผู้นำการเปลี่ยนแปลง","ผู้จัดระบบ"))))))</x:f>
      </x:c>
    </x:row>
    <x:row r="88">
      <x:c r="A88" s="27"/>
      <x:c r="B88" s="28"/>
      <x:c r="C88" s="27"/>
      <x:c r="D88" s="27"/>
      <x:c r="E88" s="27"/>
      <x:c r="F88" s="27"/>
      <x:c r="G88" s="27"/>
      <x:c r="H88" s="27"/>
      <x:c r="I88" s="27"/>
      <x:c r="J88" s="27"/>
      <x:c r="K88" s="27"/>
      <x:c r="L88" s="27"/>
      <x:c r="M88" s="27"/>
      <x:c r="N88" s="27"/>
      <x:c r="O88" s="27"/>
      <x:c r="P88" s="27"/>
      <x:c r="Q88" s="27"/>
      <x:c r="R88" s="27"/>
      <x:c r="S88" s="27"/>
      <x:c r="T88" s="27"/>
      <x:c r="U88" s="27"/>
      <x:c r="V88" s="27"/>
      <x:c r="W88" s="27"/>
      <x:c r="X88" s="27"/>
      <x:c r="Y88" s="27"/>
      <x:c r="Z88" s="27"/>
      <x:c r="AA88" s="27"/>
      <x:c r="AB88" s="27"/>
      <x:c r="AC88" s="27"/>
      <x:c r="AD88" s="27"/>
      <x:c r="AE88" s="27"/>
      <x:c r="AF88" s="27"/>
      <x:c r="AG88" s="27"/>
      <x:c r="AH88" s="27"/>
      <x:c r="AI88" s="27"/>
      <x:c r="AJ88" s="27"/>
      <x:c r="AK88" s="27"/>
      <x:c r="AL88" s="27"/>
      <x:c r="AM88" s="27"/>
      <x:c r="AN88" s="27"/>
      <x:c r="AO88" s="27"/>
      <x:c r="AP88" s="27"/>
      <x:c r="AQ88" s="27"/>
      <x:c r="AR88" s="27" t="str">
        <x:f>IF(C88="","",SUM(H88,N88,T88,Z88,AF88,AL88))</x:f>
      </x:c>
      <x:c r="AS88" s="27" t="str">
        <x:f>IF(C88="","",SUM(I88,O88,U88,AA88,AG88,AM88))</x:f>
      </x:c>
      <x:c r="AT88" s="27" t="str">
        <x:f>IF(C88="","",SUM(J88,P88,V88,AB88,AH88,AN88))</x:f>
      </x:c>
      <x:c r="AU88" s="27" t="str">
        <x:f>IF(C88="","",SUM(K88,Q88,W88,AC88,AI88,AO88))</x:f>
      </x:c>
      <x:c r="AV88" s="27" t="str">
        <x:f>IF(C88="","",SUM(L88,R88,X88,AD88,AJ88,AP88))</x:f>
      </x:c>
      <x:c r="AW88" s="27" t="str">
        <x:f>IF(C88="","",SUM(M88,S88,Y88,AE88,AK88,AQ88))</x:f>
      </x:c>
      <x:c r="AX88" s="27" t="str">
        <x:f>IF(C88="","",IF(IF(AS88*1000000+SUM(U88,AM88)*10000+SUM(O88,AG88)*100+SUM(I88,AA88)+0.005&gt;AR88*1000000+SUM(T88,AL88)*10000+SUM(N88,AF88)*100+SUM(H88,Z88)+0.006,1,0)+IF(AT88*1000000+SUM(V88,AN88)*10000+SUM(P88,AH88)*100+SUM(J88,AB88)+0.004&gt;AR88*1000000+SUM(T88,AL88)*10000+SUM(N88,AF88)*100+SUM(H88,Z88)+0.006,1,0)+IF(AU88*1000000+SUM(W88,AO88)*10000+SUM(Q88,AI88)*100+SUM(K88,AC88)+0.003&gt;AR88*1000000+SUM(T88,AL88)*10000+SUM(N88,AF88)*100+SUM(H88,Z88)+0.006,1,0)+IF(AV88*1000000+SUM(X88,AP88)*10000+SUM(R88,AJ88)*100+SUM(L88,AD88)+0.002&gt;AR88*1000000+SUM(T88,AL88)*10000+SUM(N88,AF88)*100+SUM(H88,Z88)+0.006,1,0)+IF(AW88*1000000+SUM(Y88,AQ88)*10000+SUM(S88,AK88)*100+SUM(M88,AE88)+0.001&gt;AR88*1000000+SUM(T88,AL88)*10000+SUM(N88,AF88)*100+SUM(H88,Z88)+0.006,1,0)=0,"R",IF(IF(AR88*1000000+SUM(T88,AL88)*10000+SUM(N88,AF88)*100+SUM(H88,Z88)+0.006&gt;AS88*1000000+SUM(U88,AM88)*10000+SUM(O88,AG88)*100+SUM(I88,AA88)+0.005,1,0)+IF(AT88*1000000+SUM(V88,AN88)*10000+SUM(P88,AH88)*100+SUM(J88,AB88)+0.004&gt;AS88*1000000+SUM(U88,AM88)*10000+SUM(O88,AG88)*100+SUM(I88,AA88)+0.005,1,0)+IF(AU88*1000000+SUM(W88,AO88)*10000+SUM(Q88,AI88)*100+SUM(K88,AC88)+0.003&gt;AS88*1000000+SUM(U88,AM88)*10000+SUM(O88,AG88)*100+SUM(I88,AA88)+0.005,1,0)+IF(AV88*1000000+SUM(X88,AP88)*10000+SUM(R88,AJ88)*100+SUM(L88,AD88)+0.002&gt;AS88*1000000+SUM(U88,AM88)*10000+SUM(O88,AG88)*100+SUM(I88,AA88)+0.005,1,0)+IF(AW88*1000000+SUM(Y88,AQ88)*10000+SUM(S88,AK88)*100+SUM(M88,AE88)+0.001&gt;AS88*1000000+SUM(U88,AM88)*10000+SUM(O88,AG88)*100+SUM(I88,AA88)+0.005,1,0)=0,"I",IF(IF(AR88*1000000+SUM(T88,AL88)*10000+SUM(N88,AF88)*100+SUM(H88,Z88)+0.006&gt;AT88*1000000+SUM(V88,AN88)*10000+SUM(P88,AH88)*100+SUM(J88,AB88)+0.004,1,0)+IF(AS88*1000000+SUM(U88,AM88)*10000+SUM(O88,AG88)*100+SUM(I88,AA88)+0.005&gt;AT88*1000000+SUM(V88,AN88)*10000+SUM(P88,AH88)*100+SUM(J88,AB88)+0.004,1,0)+IF(AU88*1000000+SUM(W88,AO88)*10000+SUM(Q88,AI88)*100+SUM(K88,AC88)+0.003&gt;AT88*1000000+SUM(V88,AN88)*10000+SUM(P88,AH88)*100+SUM(J88,AB88)+0.004,1,0)+IF(AV88*1000000+SUM(X88,AP88)*10000+SUM(R88,AJ88)*100+SUM(L88,AD88)+0.002&gt;AT88*1000000+SUM(V88,AN88)*10000+SUM(P88,AH88)*100+SUM(J88,AB88)+0.004,1,0)+IF(AW88*1000000+SUM(Y88,AQ88)*10000+SUM(S88,AK88)*100+SUM(M88,AE88)+0.001&gt;AT88*1000000+SUM(V88,AN88)*10000+SUM(P88,AH88)*100+SUM(J88,AB88)+0.004,1,0)=0,"A",IF(IF(AR88*1000000+SUM(T88,AL88)*10000+SUM(N88,AF88)*100+SUM(H88,Z88)+0.006&gt;AU88*1000000+SUM(W88,AO88)*10000+SUM(Q88,AI88)*100+SUM(K88,AC88)+0.003,1,0)+IF(AS88*1000000+SUM(U88,AM88)*10000+SUM(O88,AG88)*100+SUM(I88,AA88)+0.005&gt;AU88*1000000+SUM(W88,AO88)*10000+SUM(Q88,AI88)*100+SUM(K88,AC88)+0.003,1,0)+IF(AT88*1000000+SUM(V88,AN88)*10000+SUM(P88,AH88)*100+SUM(J88,AB88)+0.004&gt;AU88*1000000+SUM(W88,AO88)*10000+SUM(Q88,AI88)*100+SUM(K88,AC88)+0.003,1,0)+IF(AV88*1000000+SUM(X88,AP88)*10000+SUM(R88,AJ88)*100+SUM(L88,AD88)+0.002&gt;AU88*1000000+SUM(W88,AO88)*10000+SUM(Q88,AI88)*100+SUM(K88,AC88)+0.003,1,0)+IF(AW88*1000000+SUM(Y88,AQ88)*10000+SUM(S88,AK88)*100+SUM(M88,AE88)+0.001&gt;AU88*1000000+SUM(W88,AO88)*10000+SUM(Q88,AI88)*100+SUM(K88,AC88)+0.003,1,0)=0,"S",IF(IF(AR88*1000000+SUM(T88,AL88)*10000+SUM(N88,AF88)*100+SUM(H88,Z88)+0.006&gt;AV88*1000000+SUM(X88,AP88)*10000+SUM(R88,AJ88)*100+SUM(L88,AD88)+0.002,1,0)+IF(AS88*1000000+SUM(U88,AM88)*10000+SUM(O88,AG88)*100+SUM(I88,AA88)+0.005&gt;AV88*1000000+SUM(X88,AP88)*10000+SUM(R88,AJ88)*100+SUM(L88,AD88)+0.002,1,0)+IF(AT88*1000000+SUM(V88,AN88)*10000+SUM(P88,AH88)*100+SUM(J88,AB88)+0.004&gt;AV88*1000000+SUM(X88,AP88)*10000+SUM(R88,AJ88)*100+SUM(L88,AD88)+0.002,1,0)+IF(AU88*1000000+SUM(W88,AO88)*10000+SUM(Q88,AI88)*100+SUM(K88,AC88)+0.003&gt;AV88*1000000+SUM(X88,AP88)*10000+SUM(R88,AJ88)*100+SUM(L88,AD88)+0.002,1,0)+IF(AW88*1000000+SUM(Y88,AQ88)*10000+SUM(S88,AK88)*100+SUM(M88,AE88)+0.001&gt;AV88*1000000+SUM(X88,AP88)*10000+SUM(R88,AJ88)*100+SUM(L88,AD88)+0.002,1,0)=0,"E",IF(IF(AR88*1000000+SUM(T88,AL88)*10000+SUM(N88,AF88)*100+SUM(H88,Z88)+0.006&gt;AW88*1000000+SUM(Y88,AQ88)*10000+SUM(S88,AK88)*100+SUM(M88,AE88)+0.001,1,0)+IF(AS88*1000000+SUM(U88,AM88)*10000+SUM(O88,AG88)*100+SUM(I88,AA88)+0.005&gt;AW88*1000000+SUM(Y88,AQ88)*10000+SUM(S88,AK88)*100+SUM(M88,AE88)+0.001,1,0)+IF(AT88*1000000+SUM(V88,AN88)*10000+SUM(P88,AH88)*100+SUM(J88,AB88)+0.004&gt;AW88*1000000+SUM(Y88,AQ88)*10000+SUM(S88,AK88)*100+SUM(M88,AE88)+0.001,1,0)+IF(AU88*1000000+SUM(W88,AO88)*10000+SUM(Q88,AI88)*100+SUM(K88,AC88)+0.003&gt;AW88*1000000+SUM(Y88,AQ88)*10000+SUM(S88,AK88)*100+SUM(M88,AE88)+0.001,1,0)+IF(AV88*1000000+SUM(X88,AP88)*10000+SUM(R88,AJ88)*100+SUM(L88,AD88)+0.002&gt;AW88*1000000+SUM(Y88,AQ88)*10000+SUM(S88,AK88)*100+SUM(M88,AE88)+0.001,1,0)=0,"C",""))))))&amp;IF(IF(AS88*1000000+SUM(U88,AM88)*10000+SUM(O88,AG88)*100+SUM(I88,AA88)+0.005&gt;AR88*1000000+SUM(T88,AL88)*10000+SUM(N88,AF88)*100+SUM(H88,Z88)+0.006,1,0)+IF(AT88*1000000+SUM(V88,AN88)*10000+SUM(P88,AH88)*100+SUM(J88,AB88)+0.004&gt;AR88*1000000+SUM(T88,AL88)*10000+SUM(N88,AF88)*100+SUM(H88,Z88)+0.006,1,0)+IF(AU88*1000000+SUM(W88,AO88)*10000+SUM(Q88,AI88)*100+SUM(K88,AC88)+0.003&gt;AR88*1000000+SUM(T88,AL88)*10000+SUM(N88,AF88)*100+SUM(H88,Z88)+0.006,1,0)+IF(AV88*1000000+SUM(X88,AP88)*10000+SUM(R88,AJ88)*100+SUM(L88,AD88)+0.002&gt;AR88*1000000+SUM(T88,AL88)*10000+SUM(N88,AF88)*100+SUM(H88,Z88)+0.006,1,0)+IF(AW88*1000000+SUM(Y88,AQ88)*10000+SUM(S88,AK88)*100+SUM(M88,AE88)+0.001&gt;AR88*1000000+SUM(T88,AL88)*10000+SUM(N88,AF88)*100+SUM(H88,Z88)+0.006,1,0)=1,"R",IF(IF(AR88*1000000+SUM(T88,AL88)*10000+SUM(N88,AF88)*100+SUM(H88,Z88)+0.006&gt;AS88*1000000+SUM(U88,AM88)*10000+SUM(O88,AG88)*100+SUM(I88,AA88)+0.005,1,0)+IF(AT88*1000000+SUM(V88,AN88)*10000+SUM(P88,AH88)*100+SUM(J88,AB88)+0.004&gt;AS88*1000000+SUM(U88,AM88)*10000+SUM(O88,AG88)*100+SUM(I88,AA88)+0.005,1,0)+IF(AU88*1000000+SUM(W88,AO88)*10000+SUM(Q88,AI88)*100+SUM(K88,AC88)+0.003&gt;AS88*1000000+SUM(U88,AM88)*10000+SUM(O88,AG88)*100+SUM(I88,AA88)+0.005,1,0)+IF(AV88*1000000+SUM(X88,AP88)*10000+SUM(R88,AJ88)*100+SUM(L88,AD88)+0.002&gt;AS88*1000000+SUM(U88,AM88)*10000+SUM(O88,AG88)*100+SUM(I88,AA88)+0.005,1,0)+IF(AW88*1000000+SUM(Y88,AQ88)*10000+SUM(S88,AK88)*100+SUM(M88,AE88)+0.001&gt;AS88*1000000+SUM(U88,AM88)*10000+SUM(O88,AG88)*100+SUM(I88,AA88)+0.005,1,0)=1,"I",IF(IF(AR88*1000000+SUM(T88,AL88)*10000+SUM(N88,AF88)*100+SUM(H88,Z88)+0.006&gt;AT88*1000000+SUM(V88,AN88)*10000+SUM(P88,AH88)*100+SUM(J88,AB88)+0.004,1,0)+IF(AS88*1000000+SUM(U88,AM88)*10000+SUM(O88,AG88)*100+SUM(I88,AA88)+0.005&gt;AT88*1000000+SUM(V88,AN88)*10000+SUM(P88,AH88)*100+SUM(J88,AB88)+0.004,1,0)+IF(AU88*1000000+SUM(W88,AO88)*10000+SUM(Q88,AI88)*100+SUM(K88,AC88)+0.003&gt;AT88*1000000+SUM(V88,AN88)*10000+SUM(P88,AH88)*100+SUM(J88,AB88)+0.004,1,0)+IF(AV88*1000000+SUM(X88,AP88)*10000+SUM(R88,AJ88)*100+SUM(L88,AD88)+0.002&gt;AT88*1000000+SUM(V88,AN88)*10000+SUM(P88,AH88)*100+SUM(J88,AB88)+0.004,1,0)+IF(AW88*1000000+SUM(Y88,AQ88)*10000+SUM(S88,AK88)*100+SUM(M88,AE88)+0.001&gt;AT88*1000000+SUM(V88,AN88)*10000+SUM(P88,AH88)*100+SUM(J88,AB88)+0.004,1,0)=1,"A",IF(IF(AR88*1000000+SUM(T88,AL88)*10000+SUM(N88,AF88)*100+SUM(H88,Z88)+0.006&gt;AU88*1000000+SUM(W88,AO88)*10000+SUM(Q88,AI88)*100+SUM(K88,AC88)+0.003,1,0)+IF(AS88*1000000+SUM(U88,AM88)*10000+SUM(O88,AG88)*100+SUM(I88,AA88)+0.005&gt;AU88*1000000+SUM(W88,AO88)*10000+SUM(Q88,AI88)*100+SUM(K88,AC88)+0.003,1,0)+IF(AT88*1000000+SUM(V88,AN88)*10000+SUM(P88,AH88)*100+SUM(J88,AB88)+0.004&gt;AU88*1000000+SUM(W88,AO88)*10000+SUM(Q88,AI88)*100+SUM(K88,AC88)+0.003,1,0)+IF(AV88*1000000+SUM(X88,AP88)*10000+SUM(R88,AJ88)*100+SUM(L88,AD88)+0.002&gt;AU88*1000000+SUM(W88,AO88)*10000+SUM(Q88,AI88)*100+SUM(K88,AC88)+0.003,1,0)+IF(AW88*1000000+SUM(Y88,AQ88)*10000+SUM(S88,AK88)*100+SUM(M88,AE88)+0.001&gt;AU88*1000000+SUM(W88,AO88)*10000+SUM(Q88,AI88)*100+SUM(K88,AC88)+0.003,1,0)=1,"S",IF(IF(AR88*1000000+SUM(T88,AL88)*10000+SUM(N88,AF88)*100+SUM(H88,Z88)+0.006&gt;AV88*1000000+SUM(X88,AP88)*10000+SUM(R88,AJ88)*100+SUM(L88,AD88)+0.002,1,0)+IF(AS88*1000000+SUM(U88,AM88)*10000+SUM(O88,AG88)*100+SUM(I88,AA88)+0.005&gt;AV88*1000000+SUM(X88,AP88)*10000+SUM(R88,AJ88)*100+SUM(L88,AD88)+0.002,1,0)+IF(AT88*1000000+SUM(V88,AN88)*10000+SUM(P88,AH88)*100+SUM(J88,AB88)+0.004&gt;AV88*1000000+SUM(X88,AP88)*10000+SUM(R88,AJ88)*100+SUM(L88,AD88)+0.002,1,0)+IF(AU88*1000000+SUM(W88,AO88)*10000+SUM(Q88,AI88)*100+SUM(K88,AC88)+0.003&gt;AV88*1000000+SUM(X88,AP88)*10000+SUM(R88,AJ88)*100+SUM(L88,AD88)+0.002,1,0)+IF(AW88*1000000+SUM(Y88,AQ88)*10000+SUM(S88,AK88)*100+SUM(M88,AE88)+0.001&gt;AV88*1000000+SUM(X88,AP88)*10000+SUM(R88,AJ88)*100+SUM(L88,AD88)+0.002,1,0)=1,"E",IF(IF(AR88*1000000+SUM(T88,AL88)*10000+SUM(N88,AF88)*100+SUM(H88,Z88)+0.006&gt;AW88*1000000+SUM(Y88,AQ88)*10000+SUM(S88,AK88)*100+SUM(M88,AE88)+0.001,1,0)+IF(AS88*1000000+SUM(U88,AM88)*10000+SUM(O88,AG88)*100+SUM(I88,AA88)+0.005&gt;AW88*1000000+SUM(Y88,AQ88)*10000+SUM(S88,AK88)*100+SUM(M88,AE88)+0.001,1,0)+IF(AT88*1000000+SUM(V88,AN88)*10000+SUM(P88,AH88)*100+SUM(J88,AB88)+0.004&gt;AW88*1000000+SUM(Y88,AQ88)*10000+SUM(S88,AK88)*100+SUM(M88,AE88)+0.001,1,0)+IF(AU88*1000000+SUM(W88,AO88)*10000+SUM(Q88,AI88)*100+SUM(K88,AC88)+0.003&gt;AW88*1000000+SUM(Y88,AQ88)*10000+SUM(S88,AK88)*100+SUM(M88,AE88)+0.001,1,0)+IF(AV88*1000000+SUM(X88,AP88)*10000+SUM(R88,AJ88)*100+SUM(L88,AD88)+0.002&gt;AW88*1000000+SUM(Y88,AQ88)*10000+SUM(S88,AK88)*100+SUM(M88,AE88)+0.001,1,0)=1,"C",""))))))&amp;IF(IF(AS88*1000000+SUM(U88,AM88)*10000+SUM(O88,AG88)*100+SUM(I88,AA88)+0.005&gt;AR88*1000000+SUM(T88,AL88)*10000+SUM(N88,AF88)*100+SUM(H88,Z88)+0.006,1,0)+IF(AT88*1000000+SUM(V88,AN88)*10000+SUM(P88,AH88)*100+SUM(J88,AB88)+0.004&gt;AR88*1000000+SUM(T88,AL88)*10000+SUM(N88,AF88)*100+SUM(H88,Z88)+0.006,1,0)+IF(AU88*1000000+SUM(W88,AO88)*10000+SUM(Q88,AI88)*100+SUM(K88,AC88)+0.003&gt;AR88*1000000+SUM(T88,AL88)*10000+SUM(N88,AF88)*100+SUM(H88,Z88)+0.006,1,0)+IF(AV88*1000000+SUM(X88,AP88)*10000+SUM(R88,AJ88)*100+SUM(L88,AD88)+0.002&gt;AR88*1000000+SUM(T88,AL88)*10000+SUM(N88,AF88)*100+SUM(H88,Z88)+0.006,1,0)+IF(AW88*1000000+SUM(Y88,AQ88)*10000+SUM(S88,AK88)*100+SUM(M88,AE88)+0.001&gt;AR88*1000000+SUM(T88,AL88)*10000+SUM(N88,AF88)*100+SUM(H88,Z88)+0.006,1,0)=2,"R",IF(IF(AR88*1000000+SUM(T88,AL88)*10000+SUM(N88,AF88)*100+SUM(H88,Z88)+0.006&gt;AS88*1000000+SUM(U88,AM88)*10000+SUM(O88,AG88)*100+SUM(I88,AA88)+0.005,1,0)+IF(AT88*1000000+SUM(V88,AN88)*10000+SUM(P88,AH88)*100+SUM(J88,AB88)+0.004&gt;AS88*1000000+SUM(U88,AM88)*10000+SUM(O88,AG88)*100+SUM(I88,AA88)+0.005,1,0)+IF(AU88*1000000+SUM(W88,AO88)*10000+SUM(Q88,AI88)*100+SUM(K88,AC88)+0.003&gt;AS88*1000000+SUM(U88,AM88)*10000+SUM(O88,AG88)*100+SUM(I88,AA88)+0.005,1,0)+IF(AV88*1000000+SUM(X88,AP88)*10000+SUM(R88,AJ88)*100+SUM(L88,AD88)+0.002&gt;AS88*1000000+SUM(U88,AM88)*10000+SUM(O88,AG88)*100+SUM(I88,AA88)+0.005,1,0)+IF(AW88*1000000+SUM(Y88,AQ88)*10000+SUM(S88,AK88)*100+SUM(M88,AE88)+0.001&gt;AS88*1000000+SUM(U88,AM88)*10000+SUM(O88,AG88)*100+SUM(I88,AA88)+0.005,1,0)=2,"I",IF(IF(AR88*1000000+SUM(T88,AL88)*10000+SUM(N88,AF88)*100+SUM(H88,Z88)+0.006&gt;AT88*1000000+SUM(V88,AN88)*10000+SUM(P88,AH88)*100+SUM(J88,AB88)+0.004,1,0)+IF(AS88*1000000+SUM(U88,AM88)*10000+SUM(O88,AG88)*100+SUM(I88,AA88)+0.005&gt;AT88*1000000+SUM(V88,AN88)*10000+SUM(P88,AH88)*100+SUM(J88,AB88)+0.004,1,0)+IF(AU88*1000000+SUM(W88,AO88)*10000+SUM(Q88,AI88)*100+SUM(K88,AC88)+0.003&gt;AT88*1000000+SUM(V88,AN88)*10000+SUM(P88,AH88)*100+SUM(J88,AB88)+0.004,1,0)+IF(AV88*1000000+SUM(X88,AP88)*10000+SUM(R88,AJ88)*100+SUM(L88,AD88)+0.002&gt;AT88*1000000+SUM(V88,AN88)*10000+SUM(P88,AH88)*100+SUM(J88,AB88)+0.004,1,0)+IF(AW88*1000000+SUM(Y88,AQ88)*10000+SUM(S88,AK88)*100+SUM(M88,AE88)+0.001&gt;AT88*1000000+SUM(V88,AN88)*10000+SUM(P88,AH88)*100+SUM(J88,AB88)+0.004,1,0)=2,"A",IF(IF(AR88*1000000+SUM(T88,AL88)*10000+SUM(N88,AF88)*100+SUM(H88,Z88)+0.006&gt;AU88*1000000+SUM(W88,AO88)*10000+SUM(Q88,AI88)*100+SUM(K88,AC88)+0.003,1,0)+IF(AS88*1000000+SUM(U88,AM88)*10000+SUM(O88,AG88)*100+SUM(I88,AA88)+0.005&gt;AU88*1000000+SUM(W88,AO88)*10000+SUM(Q88,AI88)*100+SUM(K88,AC88)+0.003,1,0)+IF(AT88*1000000+SUM(V88,AN88)*10000+SUM(P88,AH88)*100+SUM(J88,AB88)+0.004&gt;AU88*1000000+SUM(W88,AO88)*10000+SUM(Q88,AI88)*100+SUM(K88,AC88)+0.003,1,0)+IF(AV88*1000000+SUM(X88,AP88)*10000+SUM(R88,AJ88)*100+SUM(L88,AD88)+0.002&gt;AU88*1000000+SUM(W88,AO88)*10000+SUM(Q88,AI88)*100+SUM(K88,AC88)+0.003,1,0)+IF(AW88*1000000+SUM(Y88,AQ88)*10000+SUM(S88,AK88)*100+SUM(M88,AE88)+0.001&gt;AU88*1000000+SUM(W88,AO88)*10000+SUM(Q88,AI88)*100+SUM(K88,AC88)+0.003,1,0)=2,"S",IF(IF(AR88*1000000+SUM(T88,AL88)*10000+SUM(N88,AF88)*100+SUM(H88,Z88)+0.006&gt;AV88*1000000+SUM(X88,AP88)*10000+SUM(R88,AJ88)*100+SUM(L88,AD88)+0.002,1,0)+IF(AS88*1000000+SUM(U88,AM88)*10000+SUM(O88,AG88)*100+SUM(I88,AA88)+0.005&gt;AV88*1000000+SUM(X88,AP88)*10000+SUM(R88,AJ88)*100+SUM(L88,AD88)+0.002,1,0)+IF(AT88*1000000+SUM(V88,AN88)*10000+SUM(P88,AH88)*100+SUM(J88,AB88)+0.004&gt;AV88*1000000+SUM(X88,AP88)*10000+SUM(R88,AJ88)*100+SUM(L88,AD88)+0.002,1,0)+IF(AU88*1000000+SUM(W88,AO88)*10000+SUM(Q88,AI88)*100+SUM(K88,AC88)+0.003&gt;AV88*1000000+SUM(X88,AP88)*10000+SUM(R88,AJ88)*100+SUM(L88,AD88)+0.002,1,0)+IF(AW88*1000000+SUM(Y88,AQ88)*10000+SUM(S88,AK88)*100+SUM(M88,AE88)+0.001&gt;AV88*1000000+SUM(X88,AP88)*10000+SUM(R88,AJ88)*100+SUM(L88,AD88)+0.002,1,0)=2,"E",IF(IF(AR88*1000000+SUM(T88,AL88)*10000+SUM(N88,AF88)*100+SUM(H88,Z88)+0.006&gt;AW88*1000000+SUM(Y88,AQ88)*10000+SUM(S88,AK88)*100+SUM(M88,AE88)+0.001,1,0)+IF(AS88*1000000+SUM(U88,AM88)*10000+SUM(O88,AG88)*100+SUM(I88,AA88)+0.005&gt;AW88*1000000+SUM(Y88,AQ88)*10000+SUM(S88,AK88)*100+SUM(M88,AE88)+0.001,1,0)+IF(AT88*1000000+SUM(V88,AN88)*10000+SUM(P88,AH88)*100+SUM(J88,AB88)+0.004&gt;AW88*1000000+SUM(Y88,AQ88)*10000+SUM(S88,AK88)*100+SUM(M88,AE88)+0.001,1,0)+IF(AU88*1000000+SUM(W88,AO88)*10000+SUM(Q88,AI88)*100+SUM(K88,AC88)+0.003&gt;AW88*1000000+SUM(Y88,AQ88)*10000+SUM(S88,AK88)*100+SUM(M88,AE88)+0.001,1,0)+IF(AV88*1000000+SUM(X88,AP88)*10000+SUM(R88,AJ88)*100+SUM(L88,AD88)+0.002&gt;AW88*1000000+SUM(Y88,AQ88)*10000+SUM(S88,AK88)*100+SUM(M88,AE88)+0.001,1,0)=2,"C","")))))))</x:f>
      </x:c>
      <x:c r="AY88" s="27" t="str">
        <x:f>IF(C88="","",IF(LEFT(AX88,1)="R","นักปฏิบัติ",IF(LEFT(AX88,1)="I","นักคิดวิเคราะห์",IF(LEFT(AX88,1)="A","นักสร้างสรรค์",IF(LEFT(AX88,1)="S","ผู้เข้าใจผู้คน",IF(LEFT(AX88,1)="E","ผู้นำการเปลี่ยนแปลง","ผู้จัดระบบ"))))))</x:f>
      </x:c>
    </x:row>
    <x:row r="89">
      <x:c r="A89" s="27"/>
      <x:c r="B89" s="28"/>
      <x:c r="C89" s="27"/>
      <x:c r="D89" s="27"/>
      <x:c r="E89" s="27"/>
      <x:c r="F89" s="27"/>
      <x:c r="G89" s="27"/>
      <x:c r="H89" s="27"/>
      <x:c r="I89" s="27"/>
      <x:c r="J89" s="27"/>
      <x:c r="K89" s="27"/>
      <x:c r="L89" s="27"/>
      <x:c r="M89" s="27"/>
      <x:c r="N89" s="27"/>
      <x:c r="O89" s="27"/>
      <x:c r="P89" s="27"/>
      <x:c r="Q89" s="27"/>
      <x:c r="R89" s="27"/>
      <x:c r="S89" s="27"/>
      <x:c r="T89" s="27"/>
      <x:c r="U89" s="27"/>
      <x:c r="V89" s="27"/>
      <x:c r="W89" s="27"/>
      <x:c r="X89" s="27"/>
      <x:c r="Y89" s="27"/>
      <x:c r="Z89" s="27"/>
      <x:c r="AA89" s="27"/>
      <x:c r="AB89" s="27"/>
      <x:c r="AC89" s="27"/>
      <x:c r="AD89" s="27"/>
      <x:c r="AE89" s="27"/>
      <x:c r="AF89" s="27"/>
      <x:c r="AG89" s="27"/>
      <x:c r="AH89" s="27"/>
      <x:c r="AI89" s="27"/>
      <x:c r="AJ89" s="27"/>
      <x:c r="AK89" s="27"/>
      <x:c r="AL89" s="27"/>
      <x:c r="AM89" s="27"/>
      <x:c r="AN89" s="27"/>
      <x:c r="AO89" s="27"/>
      <x:c r="AP89" s="27"/>
      <x:c r="AQ89" s="27"/>
      <x:c r="AR89" s="27" t="str">
        <x:f>IF(C89="","",SUM(H89,N89,T89,Z89,AF89,AL89))</x:f>
      </x:c>
      <x:c r="AS89" s="27" t="str">
        <x:f>IF(C89="","",SUM(I89,O89,U89,AA89,AG89,AM89))</x:f>
      </x:c>
      <x:c r="AT89" s="27" t="str">
        <x:f>IF(C89="","",SUM(J89,P89,V89,AB89,AH89,AN89))</x:f>
      </x:c>
      <x:c r="AU89" s="27" t="str">
        <x:f>IF(C89="","",SUM(K89,Q89,W89,AC89,AI89,AO89))</x:f>
      </x:c>
      <x:c r="AV89" s="27" t="str">
        <x:f>IF(C89="","",SUM(L89,R89,X89,AD89,AJ89,AP89))</x:f>
      </x:c>
      <x:c r="AW89" s="27" t="str">
        <x:f>IF(C89="","",SUM(M89,S89,Y89,AE89,AK89,AQ89))</x:f>
      </x:c>
      <x:c r="AX89" s="27" t="str">
        <x:f>IF(C89="","",IF(IF(AS89*1000000+SUM(U89,AM89)*10000+SUM(O89,AG89)*100+SUM(I89,AA89)+0.005&gt;AR89*1000000+SUM(T89,AL89)*10000+SUM(N89,AF89)*100+SUM(H89,Z89)+0.006,1,0)+IF(AT89*1000000+SUM(V89,AN89)*10000+SUM(P89,AH89)*100+SUM(J89,AB89)+0.004&gt;AR89*1000000+SUM(T89,AL89)*10000+SUM(N89,AF89)*100+SUM(H89,Z89)+0.006,1,0)+IF(AU89*1000000+SUM(W89,AO89)*10000+SUM(Q89,AI89)*100+SUM(K89,AC89)+0.003&gt;AR89*1000000+SUM(T89,AL89)*10000+SUM(N89,AF89)*100+SUM(H89,Z89)+0.006,1,0)+IF(AV89*1000000+SUM(X89,AP89)*10000+SUM(R89,AJ89)*100+SUM(L89,AD89)+0.002&gt;AR89*1000000+SUM(T89,AL89)*10000+SUM(N89,AF89)*100+SUM(H89,Z89)+0.006,1,0)+IF(AW89*1000000+SUM(Y89,AQ89)*10000+SUM(S89,AK89)*100+SUM(M89,AE89)+0.001&gt;AR89*1000000+SUM(T89,AL89)*10000+SUM(N89,AF89)*100+SUM(H89,Z89)+0.006,1,0)=0,"R",IF(IF(AR89*1000000+SUM(T89,AL89)*10000+SUM(N89,AF89)*100+SUM(H89,Z89)+0.006&gt;AS89*1000000+SUM(U89,AM89)*10000+SUM(O89,AG89)*100+SUM(I89,AA89)+0.005,1,0)+IF(AT89*1000000+SUM(V89,AN89)*10000+SUM(P89,AH89)*100+SUM(J89,AB89)+0.004&gt;AS89*1000000+SUM(U89,AM89)*10000+SUM(O89,AG89)*100+SUM(I89,AA89)+0.005,1,0)+IF(AU89*1000000+SUM(W89,AO89)*10000+SUM(Q89,AI89)*100+SUM(K89,AC89)+0.003&gt;AS89*1000000+SUM(U89,AM89)*10000+SUM(O89,AG89)*100+SUM(I89,AA89)+0.005,1,0)+IF(AV89*1000000+SUM(X89,AP89)*10000+SUM(R89,AJ89)*100+SUM(L89,AD89)+0.002&gt;AS89*1000000+SUM(U89,AM89)*10000+SUM(O89,AG89)*100+SUM(I89,AA89)+0.005,1,0)+IF(AW89*1000000+SUM(Y89,AQ89)*10000+SUM(S89,AK89)*100+SUM(M89,AE89)+0.001&gt;AS89*1000000+SUM(U89,AM89)*10000+SUM(O89,AG89)*100+SUM(I89,AA89)+0.005,1,0)=0,"I",IF(IF(AR89*1000000+SUM(T89,AL89)*10000+SUM(N89,AF89)*100+SUM(H89,Z89)+0.006&gt;AT89*1000000+SUM(V89,AN89)*10000+SUM(P89,AH89)*100+SUM(J89,AB89)+0.004,1,0)+IF(AS89*1000000+SUM(U89,AM89)*10000+SUM(O89,AG89)*100+SUM(I89,AA89)+0.005&gt;AT89*1000000+SUM(V89,AN89)*10000+SUM(P89,AH89)*100+SUM(J89,AB89)+0.004,1,0)+IF(AU89*1000000+SUM(W89,AO89)*10000+SUM(Q89,AI89)*100+SUM(K89,AC89)+0.003&gt;AT89*1000000+SUM(V89,AN89)*10000+SUM(P89,AH89)*100+SUM(J89,AB89)+0.004,1,0)+IF(AV89*1000000+SUM(X89,AP89)*10000+SUM(R89,AJ89)*100+SUM(L89,AD89)+0.002&gt;AT89*1000000+SUM(V89,AN89)*10000+SUM(P89,AH89)*100+SUM(J89,AB89)+0.004,1,0)+IF(AW89*1000000+SUM(Y89,AQ89)*10000+SUM(S89,AK89)*100+SUM(M89,AE89)+0.001&gt;AT89*1000000+SUM(V89,AN89)*10000+SUM(P89,AH89)*100+SUM(J89,AB89)+0.004,1,0)=0,"A",IF(IF(AR89*1000000+SUM(T89,AL89)*10000+SUM(N89,AF89)*100+SUM(H89,Z89)+0.006&gt;AU89*1000000+SUM(W89,AO89)*10000+SUM(Q89,AI89)*100+SUM(K89,AC89)+0.003,1,0)+IF(AS89*1000000+SUM(U89,AM89)*10000+SUM(O89,AG89)*100+SUM(I89,AA89)+0.005&gt;AU89*1000000+SUM(W89,AO89)*10000+SUM(Q89,AI89)*100+SUM(K89,AC89)+0.003,1,0)+IF(AT89*1000000+SUM(V89,AN89)*10000+SUM(P89,AH89)*100+SUM(J89,AB89)+0.004&gt;AU89*1000000+SUM(W89,AO89)*10000+SUM(Q89,AI89)*100+SUM(K89,AC89)+0.003,1,0)+IF(AV89*1000000+SUM(X89,AP89)*10000+SUM(R89,AJ89)*100+SUM(L89,AD89)+0.002&gt;AU89*1000000+SUM(W89,AO89)*10000+SUM(Q89,AI89)*100+SUM(K89,AC89)+0.003,1,0)+IF(AW89*1000000+SUM(Y89,AQ89)*10000+SUM(S89,AK89)*100+SUM(M89,AE89)+0.001&gt;AU89*1000000+SUM(W89,AO89)*10000+SUM(Q89,AI89)*100+SUM(K89,AC89)+0.003,1,0)=0,"S",IF(IF(AR89*1000000+SUM(T89,AL89)*10000+SUM(N89,AF89)*100+SUM(H89,Z89)+0.006&gt;AV89*1000000+SUM(X89,AP89)*10000+SUM(R89,AJ89)*100+SUM(L89,AD89)+0.002,1,0)+IF(AS89*1000000+SUM(U89,AM89)*10000+SUM(O89,AG89)*100+SUM(I89,AA89)+0.005&gt;AV89*1000000+SUM(X89,AP89)*10000+SUM(R89,AJ89)*100+SUM(L89,AD89)+0.002,1,0)+IF(AT89*1000000+SUM(V89,AN89)*10000+SUM(P89,AH89)*100+SUM(J89,AB89)+0.004&gt;AV89*1000000+SUM(X89,AP89)*10000+SUM(R89,AJ89)*100+SUM(L89,AD89)+0.002,1,0)+IF(AU89*1000000+SUM(W89,AO89)*10000+SUM(Q89,AI89)*100+SUM(K89,AC89)+0.003&gt;AV89*1000000+SUM(X89,AP89)*10000+SUM(R89,AJ89)*100+SUM(L89,AD89)+0.002,1,0)+IF(AW89*1000000+SUM(Y89,AQ89)*10000+SUM(S89,AK89)*100+SUM(M89,AE89)+0.001&gt;AV89*1000000+SUM(X89,AP89)*10000+SUM(R89,AJ89)*100+SUM(L89,AD89)+0.002,1,0)=0,"E",IF(IF(AR89*1000000+SUM(T89,AL89)*10000+SUM(N89,AF89)*100+SUM(H89,Z89)+0.006&gt;AW89*1000000+SUM(Y89,AQ89)*10000+SUM(S89,AK89)*100+SUM(M89,AE89)+0.001,1,0)+IF(AS89*1000000+SUM(U89,AM89)*10000+SUM(O89,AG89)*100+SUM(I89,AA89)+0.005&gt;AW89*1000000+SUM(Y89,AQ89)*10000+SUM(S89,AK89)*100+SUM(M89,AE89)+0.001,1,0)+IF(AT89*1000000+SUM(V89,AN89)*10000+SUM(P89,AH89)*100+SUM(J89,AB89)+0.004&gt;AW89*1000000+SUM(Y89,AQ89)*10000+SUM(S89,AK89)*100+SUM(M89,AE89)+0.001,1,0)+IF(AU89*1000000+SUM(W89,AO89)*10000+SUM(Q89,AI89)*100+SUM(K89,AC89)+0.003&gt;AW89*1000000+SUM(Y89,AQ89)*10000+SUM(S89,AK89)*100+SUM(M89,AE89)+0.001,1,0)+IF(AV89*1000000+SUM(X89,AP89)*10000+SUM(R89,AJ89)*100+SUM(L89,AD89)+0.002&gt;AW89*1000000+SUM(Y89,AQ89)*10000+SUM(S89,AK89)*100+SUM(M89,AE89)+0.001,1,0)=0,"C",""))))))&amp;IF(IF(AS89*1000000+SUM(U89,AM89)*10000+SUM(O89,AG89)*100+SUM(I89,AA89)+0.005&gt;AR89*1000000+SUM(T89,AL89)*10000+SUM(N89,AF89)*100+SUM(H89,Z89)+0.006,1,0)+IF(AT89*1000000+SUM(V89,AN89)*10000+SUM(P89,AH89)*100+SUM(J89,AB89)+0.004&gt;AR89*1000000+SUM(T89,AL89)*10000+SUM(N89,AF89)*100+SUM(H89,Z89)+0.006,1,0)+IF(AU89*1000000+SUM(W89,AO89)*10000+SUM(Q89,AI89)*100+SUM(K89,AC89)+0.003&gt;AR89*1000000+SUM(T89,AL89)*10000+SUM(N89,AF89)*100+SUM(H89,Z89)+0.006,1,0)+IF(AV89*1000000+SUM(X89,AP89)*10000+SUM(R89,AJ89)*100+SUM(L89,AD89)+0.002&gt;AR89*1000000+SUM(T89,AL89)*10000+SUM(N89,AF89)*100+SUM(H89,Z89)+0.006,1,0)+IF(AW89*1000000+SUM(Y89,AQ89)*10000+SUM(S89,AK89)*100+SUM(M89,AE89)+0.001&gt;AR89*1000000+SUM(T89,AL89)*10000+SUM(N89,AF89)*100+SUM(H89,Z89)+0.006,1,0)=1,"R",IF(IF(AR89*1000000+SUM(T89,AL89)*10000+SUM(N89,AF89)*100+SUM(H89,Z89)+0.006&gt;AS89*1000000+SUM(U89,AM89)*10000+SUM(O89,AG89)*100+SUM(I89,AA89)+0.005,1,0)+IF(AT89*1000000+SUM(V89,AN89)*10000+SUM(P89,AH89)*100+SUM(J89,AB89)+0.004&gt;AS89*1000000+SUM(U89,AM89)*10000+SUM(O89,AG89)*100+SUM(I89,AA89)+0.005,1,0)+IF(AU89*1000000+SUM(W89,AO89)*10000+SUM(Q89,AI89)*100+SUM(K89,AC89)+0.003&gt;AS89*1000000+SUM(U89,AM89)*10000+SUM(O89,AG89)*100+SUM(I89,AA89)+0.005,1,0)+IF(AV89*1000000+SUM(X89,AP89)*10000+SUM(R89,AJ89)*100+SUM(L89,AD89)+0.002&gt;AS89*1000000+SUM(U89,AM89)*10000+SUM(O89,AG89)*100+SUM(I89,AA89)+0.005,1,0)+IF(AW89*1000000+SUM(Y89,AQ89)*10000+SUM(S89,AK89)*100+SUM(M89,AE89)+0.001&gt;AS89*1000000+SUM(U89,AM89)*10000+SUM(O89,AG89)*100+SUM(I89,AA89)+0.005,1,0)=1,"I",IF(IF(AR89*1000000+SUM(T89,AL89)*10000+SUM(N89,AF89)*100+SUM(H89,Z89)+0.006&gt;AT89*1000000+SUM(V89,AN89)*10000+SUM(P89,AH89)*100+SUM(J89,AB89)+0.004,1,0)+IF(AS89*1000000+SUM(U89,AM89)*10000+SUM(O89,AG89)*100+SUM(I89,AA89)+0.005&gt;AT89*1000000+SUM(V89,AN89)*10000+SUM(P89,AH89)*100+SUM(J89,AB89)+0.004,1,0)+IF(AU89*1000000+SUM(W89,AO89)*10000+SUM(Q89,AI89)*100+SUM(K89,AC89)+0.003&gt;AT89*1000000+SUM(V89,AN89)*10000+SUM(P89,AH89)*100+SUM(J89,AB89)+0.004,1,0)+IF(AV89*1000000+SUM(X89,AP89)*10000+SUM(R89,AJ89)*100+SUM(L89,AD89)+0.002&gt;AT89*1000000+SUM(V89,AN89)*10000+SUM(P89,AH89)*100+SUM(J89,AB89)+0.004,1,0)+IF(AW89*1000000+SUM(Y89,AQ89)*10000+SUM(S89,AK89)*100+SUM(M89,AE89)+0.001&gt;AT89*1000000+SUM(V89,AN89)*10000+SUM(P89,AH89)*100+SUM(J89,AB89)+0.004,1,0)=1,"A",IF(IF(AR89*1000000+SUM(T89,AL89)*10000+SUM(N89,AF89)*100+SUM(H89,Z89)+0.006&gt;AU89*1000000+SUM(W89,AO89)*10000+SUM(Q89,AI89)*100+SUM(K89,AC89)+0.003,1,0)+IF(AS89*1000000+SUM(U89,AM89)*10000+SUM(O89,AG89)*100+SUM(I89,AA89)+0.005&gt;AU89*1000000+SUM(W89,AO89)*10000+SUM(Q89,AI89)*100+SUM(K89,AC89)+0.003,1,0)+IF(AT89*1000000+SUM(V89,AN89)*10000+SUM(P89,AH89)*100+SUM(J89,AB89)+0.004&gt;AU89*1000000+SUM(W89,AO89)*10000+SUM(Q89,AI89)*100+SUM(K89,AC89)+0.003,1,0)+IF(AV89*1000000+SUM(X89,AP89)*10000+SUM(R89,AJ89)*100+SUM(L89,AD89)+0.002&gt;AU89*1000000+SUM(W89,AO89)*10000+SUM(Q89,AI89)*100+SUM(K89,AC89)+0.003,1,0)+IF(AW89*1000000+SUM(Y89,AQ89)*10000+SUM(S89,AK89)*100+SUM(M89,AE89)+0.001&gt;AU89*1000000+SUM(W89,AO89)*10000+SUM(Q89,AI89)*100+SUM(K89,AC89)+0.003,1,0)=1,"S",IF(IF(AR89*1000000+SUM(T89,AL89)*10000+SUM(N89,AF89)*100+SUM(H89,Z89)+0.006&gt;AV89*1000000+SUM(X89,AP89)*10000+SUM(R89,AJ89)*100+SUM(L89,AD89)+0.002,1,0)+IF(AS89*1000000+SUM(U89,AM89)*10000+SUM(O89,AG89)*100+SUM(I89,AA89)+0.005&gt;AV89*1000000+SUM(X89,AP89)*10000+SUM(R89,AJ89)*100+SUM(L89,AD89)+0.002,1,0)+IF(AT89*1000000+SUM(V89,AN89)*10000+SUM(P89,AH89)*100+SUM(J89,AB89)+0.004&gt;AV89*1000000+SUM(X89,AP89)*10000+SUM(R89,AJ89)*100+SUM(L89,AD89)+0.002,1,0)+IF(AU89*1000000+SUM(W89,AO89)*10000+SUM(Q89,AI89)*100+SUM(K89,AC89)+0.003&gt;AV89*1000000+SUM(X89,AP89)*10000+SUM(R89,AJ89)*100+SUM(L89,AD89)+0.002,1,0)+IF(AW89*1000000+SUM(Y89,AQ89)*10000+SUM(S89,AK89)*100+SUM(M89,AE89)+0.001&gt;AV89*1000000+SUM(X89,AP89)*10000+SUM(R89,AJ89)*100+SUM(L89,AD89)+0.002,1,0)=1,"E",IF(IF(AR89*1000000+SUM(T89,AL89)*10000+SUM(N89,AF89)*100+SUM(H89,Z89)+0.006&gt;AW89*1000000+SUM(Y89,AQ89)*10000+SUM(S89,AK89)*100+SUM(M89,AE89)+0.001,1,0)+IF(AS89*1000000+SUM(U89,AM89)*10000+SUM(O89,AG89)*100+SUM(I89,AA89)+0.005&gt;AW89*1000000+SUM(Y89,AQ89)*10000+SUM(S89,AK89)*100+SUM(M89,AE89)+0.001,1,0)+IF(AT89*1000000+SUM(V89,AN89)*10000+SUM(P89,AH89)*100+SUM(J89,AB89)+0.004&gt;AW89*1000000+SUM(Y89,AQ89)*10000+SUM(S89,AK89)*100+SUM(M89,AE89)+0.001,1,0)+IF(AU89*1000000+SUM(W89,AO89)*10000+SUM(Q89,AI89)*100+SUM(K89,AC89)+0.003&gt;AW89*1000000+SUM(Y89,AQ89)*10000+SUM(S89,AK89)*100+SUM(M89,AE89)+0.001,1,0)+IF(AV89*1000000+SUM(X89,AP89)*10000+SUM(R89,AJ89)*100+SUM(L89,AD89)+0.002&gt;AW89*1000000+SUM(Y89,AQ89)*10000+SUM(S89,AK89)*100+SUM(M89,AE89)+0.001,1,0)=1,"C",""))))))&amp;IF(IF(AS89*1000000+SUM(U89,AM89)*10000+SUM(O89,AG89)*100+SUM(I89,AA89)+0.005&gt;AR89*1000000+SUM(T89,AL89)*10000+SUM(N89,AF89)*100+SUM(H89,Z89)+0.006,1,0)+IF(AT89*1000000+SUM(V89,AN89)*10000+SUM(P89,AH89)*100+SUM(J89,AB89)+0.004&gt;AR89*1000000+SUM(T89,AL89)*10000+SUM(N89,AF89)*100+SUM(H89,Z89)+0.006,1,0)+IF(AU89*1000000+SUM(W89,AO89)*10000+SUM(Q89,AI89)*100+SUM(K89,AC89)+0.003&gt;AR89*1000000+SUM(T89,AL89)*10000+SUM(N89,AF89)*100+SUM(H89,Z89)+0.006,1,0)+IF(AV89*1000000+SUM(X89,AP89)*10000+SUM(R89,AJ89)*100+SUM(L89,AD89)+0.002&gt;AR89*1000000+SUM(T89,AL89)*10000+SUM(N89,AF89)*100+SUM(H89,Z89)+0.006,1,0)+IF(AW89*1000000+SUM(Y89,AQ89)*10000+SUM(S89,AK89)*100+SUM(M89,AE89)+0.001&gt;AR89*1000000+SUM(T89,AL89)*10000+SUM(N89,AF89)*100+SUM(H89,Z89)+0.006,1,0)=2,"R",IF(IF(AR89*1000000+SUM(T89,AL89)*10000+SUM(N89,AF89)*100+SUM(H89,Z89)+0.006&gt;AS89*1000000+SUM(U89,AM89)*10000+SUM(O89,AG89)*100+SUM(I89,AA89)+0.005,1,0)+IF(AT89*1000000+SUM(V89,AN89)*10000+SUM(P89,AH89)*100+SUM(J89,AB89)+0.004&gt;AS89*1000000+SUM(U89,AM89)*10000+SUM(O89,AG89)*100+SUM(I89,AA89)+0.005,1,0)+IF(AU89*1000000+SUM(W89,AO89)*10000+SUM(Q89,AI89)*100+SUM(K89,AC89)+0.003&gt;AS89*1000000+SUM(U89,AM89)*10000+SUM(O89,AG89)*100+SUM(I89,AA89)+0.005,1,0)+IF(AV89*1000000+SUM(X89,AP89)*10000+SUM(R89,AJ89)*100+SUM(L89,AD89)+0.002&gt;AS89*1000000+SUM(U89,AM89)*10000+SUM(O89,AG89)*100+SUM(I89,AA89)+0.005,1,0)+IF(AW89*1000000+SUM(Y89,AQ89)*10000+SUM(S89,AK89)*100+SUM(M89,AE89)+0.001&gt;AS89*1000000+SUM(U89,AM89)*10000+SUM(O89,AG89)*100+SUM(I89,AA89)+0.005,1,0)=2,"I",IF(IF(AR89*1000000+SUM(T89,AL89)*10000+SUM(N89,AF89)*100+SUM(H89,Z89)+0.006&gt;AT89*1000000+SUM(V89,AN89)*10000+SUM(P89,AH89)*100+SUM(J89,AB89)+0.004,1,0)+IF(AS89*1000000+SUM(U89,AM89)*10000+SUM(O89,AG89)*100+SUM(I89,AA89)+0.005&gt;AT89*1000000+SUM(V89,AN89)*10000+SUM(P89,AH89)*100+SUM(J89,AB89)+0.004,1,0)+IF(AU89*1000000+SUM(W89,AO89)*10000+SUM(Q89,AI89)*100+SUM(K89,AC89)+0.003&gt;AT89*1000000+SUM(V89,AN89)*10000+SUM(P89,AH89)*100+SUM(J89,AB89)+0.004,1,0)+IF(AV89*1000000+SUM(X89,AP89)*10000+SUM(R89,AJ89)*100+SUM(L89,AD89)+0.002&gt;AT89*1000000+SUM(V89,AN89)*10000+SUM(P89,AH89)*100+SUM(J89,AB89)+0.004,1,0)+IF(AW89*1000000+SUM(Y89,AQ89)*10000+SUM(S89,AK89)*100+SUM(M89,AE89)+0.001&gt;AT89*1000000+SUM(V89,AN89)*10000+SUM(P89,AH89)*100+SUM(J89,AB89)+0.004,1,0)=2,"A",IF(IF(AR89*1000000+SUM(T89,AL89)*10000+SUM(N89,AF89)*100+SUM(H89,Z89)+0.006&gt;AU89*1000000+SUM(W89,AO89)*10000+SUM(Q89,AI89)*100+SUM(K89,AC89)+0.003,1,0)+IF(AS89*1000000+SUM(U89,AM89)*10000+SUM(O89,AG89)*100+SUM(I89,AA89)+0.005&gt;AU89*1000000+SUM(W89,AO89)*10000+SUM(Q89,AI89)*100+SUM(K89,AC89)+0.003,1,0)+IF(AT89*1000000+SUM(V89,AN89)*10000+SUM(P89,AH89)*100+SUM(J89,AB89)+0.004&gt;AU89*1000000+SUM(W89,AO89)*10000+SUM(Q89,AI89)*100+SUM(K89,AC89)+0.003,1,0)+IF(AV89*1000000+SUM(X89,AP89)*10000+SUM(R89,AJ89)*100+SUM(L89,AD89)+0.002&gt;AU89*1000000+SUM(W89,AO89)*10000+SUM(Q89,AI89)*100+SUM(K89,AC89)+0.003,1,0)+IF(AW89*1000000+SUM(Y89,AQ89)*10000+SUM(S89,AK89)*100+SUM(M89,AE89)+0.001&gt;AU89*1000000+SUM(W89,AO89)*10000+SUM(Q89,AI89)*100+SUM(K89,AC89)+0.003,1,0)=2,"S",IF(IF(AR89*1000000+SUM(T89,AL89)*10000+SUM(N89,AF89)*100+SUM(H89,Z89)+0.006&gt;AV89*1000000+SUM(X89,AP89)*10000+SUM(R89,AJ89)*100+SUM(L89,AD89)+0.002,1,0)+IF(AS89*1000000+SUM(U89,AM89)*10000+SUM(O89,AG89)*100+SUM(I89,AA89)+0.005&gt;AV89*1000000+SUM(X89,AP89)*10000+SUM(R89,AJ89)*100+SUM(L89,AD89)+0.002,1,0)+IF(AT89*1000000+SUM(V89,AN89)*10000+SUM(P89,AH89)*100+SUM(J89,AB89)+0.004&gt;AV89*1000000+SUM(X89,AP89)*10000+SUM(R89,AJ89)*100+SUM(L89,AD89)+0.002,1,0)+IF(AU89*1000000+SUM(W89,AO89)*10000+SUM(Q89,AI89)*100+SUM(K89,AC89)+0.003&gt;AV89*1000000+SUM(X89,AP89)*10000+SUM(R89,AJ89)*100+SUM(L89,AD89)+0.002,1,0)+IF(AW89*1000000+SUM(Y89,AQ89)*10000+SUM(S89,AK89)*100+SUM(M89,AE89)+0.001&gt;AV89*1000000+SUM(X89,AP89)*10000+SUM(R89,AJ89)*100+SUM(L89,AD89)+0.002,1,0)=2,"E",IF(IF(AR89*1000000+SUM(T89,AL89)*10000+SUM(N89,AF89)*100+SUM(H89,Z89)+0.006&gt;AW89*1000000+SUM(Y89,AQ89)*10000+SUM(S89,AK89)*100+SUM(M89,AE89)+0.001,1,0)+IF(AS89*1000000+SUM(U89,AM89)*10000+SUM(O89,AG89)*100+SUM(I89,AA89)+0.005&gt;AW89*1000000+SUM(Y89,AQ89)*10000+SUM(S89,AK89)*100+SUM(M89,AE89)+0.001,1,0)+IF(AT89*1000000+SUM(V89,AN89)*10000+SUM(P89,AH89)*100+SUM(J89,AB89)+0.004&gt;AW89*1000000+SUM(Y89,AQ89)*10000+SUM(S89,AK89)*100+SUM(M89,AE89)+0.001,1,0)+IF(AU89*1000000+SUM(W89,AO89)*10000+SUM(Q89,AI89)*100+SUM(K89,AC89)+0.003&gt;AW89*1000000+SUM(Y89,AQ89)*10000+SUM(S89,AK89)*100+SUM(M89,AE89)+0.001,1,0)+IF(AV89*1000000+SUM(X89,AP89)*10000+SUM(R89,AJ89)*100+SUM(L89,AD89)+0.002&gt;AW89*1000000+SUM(Y89,AQ89)*10000+SUM(S89,AK89)*100+SUM(M89,AE89)+0.001,1,0)=2,"C","")))))))</x:f>
      </x:c>
      <x:c r="AY89" s="27" t="str">
        <x:f>IF(C89="","",IF(LEFT(AX89,1)="R","นักปฏิบัติ",IF(LEFT(AX89,1)="I","นักคิดวิเคราะห์",IF(LEFT(AX89,1)="A","นักสร้างสรรค์",IF(LEFT(AX89,1)="S","ผู้เข้าใจผู้คน",IF(LEFT(AX89,1)="E","ผู้นำการเปลี่ยนแปลง","ผู้จัดระบบ"))))))</x:f>
      </x:c>
    </x:row>
    <x:row r="90">
      <x:c r="A90" s="27"/>
      <x:c r="B90" s="28"/>
      <x:c r="C90" s="27"/>
      <x:c r="D90" s="27"/>
      <x:c r="E90" s="27"/>
      <x:c r="F90" s="27"/>
      <x:c r="G90" s="27"/>
      <x:c r="H90" s="27"/>
      <x:c r="I90" s="27"/>
      <x:c r="J90" s="27"/>
      <x:c r="K90" s="27"/>
      <x:c r="L90" s="27"/>
      <x:c r="M90" s="27"/>
      <x:c r="N90" s="27"/>
      <x:c r="O90" s="27"/>
      <x:c r="P90" s="27"/>
      <x:c r="Q90" s="27"/>
      <x:c r="R90" s="27"/>
      <x:c r="S90" s="27"/>
      <x:c r="T90" s="27"/>
      <x:c r="U90" s="27"/>
      <x:c r="V90" s="27"/>
      <x:c r="W90" s="27"/>
      <x:c r="X90" s="27"/>
      <x:c r="Y90" s="27"/>
      <x:c r="Z90" s="27"/>
      <x:c r="AA90" s="27"/>
      <x:c r="AB90" s="27"/>
      <x:c r="AC90" s="27"/>
      <x:c r="AD90" s="27"/>
      <x:c r="AE90" s="27"/>
      <x:c r="AF90" s="27"/>
      <x:c r="AG90" s="27"/>
      <x:c r="AH90" s="27"/>
      <x:c r="AI90" s="27"/>
      <x:c r="AJ90" s="27"/>
      <x:c r="AK90" s="27"/>
      <x:c r="AL90" s="27"/>
      <x:c r="AM90" s="27"/>
      <x:c r="AN90" s="27"/>
      <x:c r="AO90" s="27"/>
      <x:c r="AP90" s="27"/>
      <x:c r="AQ90" s="27"/>
      <x:c r="AR90" s="27" t="str">
        <x:f>IF(C90="","",SUM(H90,N90,T90,Z90,AF90,AL90))</x:f>
      </x:c>
      <x:c r="AS90" s="27" t="str">
        <x:f>IF(C90="","",SUM(I90,O90,U90,AA90,AG90,AM90))</x:f>
      </x:c>
      <x:c r="AT90" s="27" t="str">
        <x:f>IF(C90="","",SUM(J90,P90,V90,AB90,AH90,AN90))</x:f>
      </x:c>
      <x:c r="AU90" s="27" t="str">
        <x:f>IF(C90="","",SUM(K90,Q90,W90,AC90,AI90,AO90))</x:f>
      </x:c>
      <x:c r="AV90" s="27" t="str">
        <x:f>IF(C90="","",SUM(L90,R90,X90,AD90,AJ90,AP90))</x:f>
      </x:c>
      <x:c r="AW90" s="27" t="str">
        <x:f>IF(C90="","",SUM(M90,S90,Y90,AE90,AK90,AQ90))</x:f>
      </x:c>
      <x:c r="AX90" s="27" t="str">
        <x:f>IF(C90="","",IF(IF(AS90*1000000+SUM(U90,AM90)*10000+SUM(O90,AG90)*100+SUM(I90,AA90)+0.005&gt;AR90*1000000+SUM(T90,AL90)*10000+SUM(N90,AF90)*100+SUM(H90,Z90)+0.006,1,0)+IF(AT90*1000000+SUM(V90,AN90)*10000+SUM(P90,AH90)*100+SUM(J90,AB90)+0.004&gt;AR90*1000000+SUM(T90,AL90)*10000+SUM(N90,AF90)*100+SUM(H90,Z90)+0.006,1,0)+IF(AU90*1000000+SUM(W90,AO90)*10000+SUM(Q90,AI90)*100+SUM(K90,AC90)+0.003&gt;AR90*1000000+SUM(T90,AL90)*10000+SUM(N90,AF90)*100+SUM(H90,Z90)+0.006,1,0)+IF(AV90*1000000+SUM(X90,AP90)*10000+SUM(R90,AJ90)*100+SUM(L90,AD90)+0.002&gt;AR90*1000000+SUM(T90,AL90)*10000+SUM(N90,AF90)*100+SUM(H90,Z90)+0.006,1,0)+IF(AW90*1000000+SUM(Y90,AQ90)*10000+SUM(S90,AK90)*100+SUM(M90,AE90)+0.001&gt;AR90*1000000+SUM(T90,AL90)*10000+SUM(N90,AF90)*100+SUM(H90,Z90)+0.006,1,0)=0,"R",IF(IF(AR90*1000000+SUM(T90,AL90)*10000+SUM(N90,AF90)*100+SUM(H90,Z90)+0.006&gt;AS90*1000000+SUM(U90,AM90)*10000+SUM(O90,AG90)*100+SUM(I90,AA90)+0.005,1,0)+IF(AT90*1000000+SUM(V90,AN90)*10000+SUM(P90,AH90)*100+SUM(J90,AB90)+0.004&gt;AS90*1000000+SUM(U90,AM90)*10000+SUM(O90,AG90)*100+SUM(I90,AA90)+0.005,1,0)+IF(AU90*1000000+SUM(W90,AO90)*10000+SUM(Q90,AI90)*100+SUM(K90,AC90)+0.003&gt;AS90*1000000+SUM(U90,AM90)*10000+SUM(O90,AG90)*100+SUM(I90,AA90)+0.005,1,0)+IF(AV90*1000000+SUM(X90,AP90)*10000+SUM(R90,AJ90)*100+SUM(L90,AD90)+0.002&gt;AS90*1000000+SUM(U90,AM90)*10000+SUM(O90,AG90)*100+SUM(I90,AA90)+0.005,1,0)+IF(AW90*1000000+SUM(Y90,AQ90)*10000+SUM(S90,AK90)*100+SUM(M90,AE90)+0.001&gt;AS90*1000000+SUM(U90,AM90)*10000+SUM(O90,AG90)*100+SUM(I90,AA90)+0.005,1,0)=0,"I",IF(IF(AR90*1000000+SUM(T90,AL90)*10000+SUM(N90,AF90)*100+SUM(H90,Z90)+0.006&gt;AT90*1000000+SUM(V90,AN90)*10000+SUM(P90,AH90)*100+SUM(J90,AB90)+0.004,1,0)+IF(AS90*1000000+SUM(U90,AM90)*10000+SUM(O90,AG90)*100+SUM(I90,AA90)+0.005&gt;AT90*1000000+SUM(V90,AN90)*10000+SUM(P90,AH90)*100+SUM(J90,AB90)+0.004,1,0)+IF(AU90*1000000+SUM(W90,AO90)*10000+SUM(Q90,AI90)*100+SUM(K90,AC90)+0.003&gt;AT90*1000000+SUM(V90,AN90)*10000+SUM(P90,AH90)*100+SUM(J90,AB90)+0.004,1,0)+IF(AV90*1000000+SUM(X90,AP90)*10000+SUM(R90,AJ90)*100+SUM(L90,AD90)+0.002&gt;AT90*1000000+SUM(V90,AN90)*10000+SUM(P90,AH90)*100+SUM(J90,AB90)+0.004,1,0)+IF(AW90*1000000+SUM(Y90,AQ90)*10000+SUM(S90,AK90)*100+SUM(M90,AE90)+0.001&gt;AT90*1000000+SUM(V90,AN90)*10000+SUM(P90,AH90)*100+SUM(J90,AB90)+0.004,1,0)=0,"A",IF(IF(AR90*1000000+SUM(T90,AL90)*10000+SUM(N90,AF90)*100+SUM(H90,Z90)+0.006&gt;AU90*1000000+SUM(W90,AO90)*10000+SUM(Q90,AI90)*100+SUM(K90,AC90)+0.003,1,0)+IF(AS90*1000000+SUM(U90,AM90)*10000+SUM(O90,AG90)*100+SUM(I90,AA90)+0.005&gt;AU90*1000000+SUM(W90,AO90)*10000+SUM(Q90,AI90)*100+SUM(K90,AC90)+0.003,1,0)+IF(AT90*1000000+SUM(V90,AN90)*10000+SUM(P90,AH90)*100+SUM(J90,AB90)+0.004&gt;AU90*1000000+SUM(W90,AO90)*10000+SUM(Q90,AI90)*100+SUM(K90,AC90)+0.003,1,0)+IF(AV90*1000000+SUM(X90,AP90)*10000+SUM(R90,AJ90)*100+SUM(L90,AD90)+0.002&gt;AU90*1000000+SUM(W90,AO90)*10000+SUM(Q90,AI90)*100+SUM(K90,AC90)+0.003,1,0)+IF(AW90*1000000+SUM(Y90,AQ90)*10000+SUM(S90,AK90)*100+SUM(M90,AE90)+0.001&gt;AU90*1000000+SUM(W90,AO90)*10000+SUM(Q90,AI90)*100+SUM(K90,AC90)+0.003,1,0)=0,"S",IF(IF(AR90*1000000+SUM(T90,AL90)*10000+SUM(N90,AF90)*100+SUM(H90,Z90)+0.006&gt;AV90*1000000+SUM(X90,AP90)*10000+SUM(R90,AJ90)*100+SUM(L90,AD90)+0.002,1,0)+IF(AS90*1000000+SUM(U90,AM90)*10000+SUM(O90,AG90)*100+SUM(I90,AA90)+0.005&gt;AV90*1000000+SUM(X90,AP90)*10000+SUM(R90,AJ90)*100+SUM(L90,AD90)+0.002,1,0)+IF(AT90*1000000+SUM(V90,AN90)*10000+SUM(P90,AH90)*100+SUM(J90,AB90)+0.004&gt;AV90*1000000+SUM(X90,AP90)*10000+SUM(R90,AJ90)*100+SUM(L90,AD90)+0.002,1,0)+IF(AU90*1000000+SUM(W90,AO90)*10000+SUM(Q90,AI90)*100+SUM(K90,AC90)+0.003&gt;AV90*1000000+SUM(X90,AP90)*10000+SUM(R90,AJ90)*100+SUM(L90,AD90)+0.002,1,0)+IF(AW90*1000000+SUM(Y90,AQ90)*10000+SUM(S90,AK90)*100+SUM(M90,AE90)+0.001&gt;AV90*1000000+SUM(X90,AP90)*10000+SUM(R90,AJ90)*100+SUM(L90,AD90)+0.002,1,0)=0,"E",IF(IF(AR90*1000000+SUM(T90,AL90)*10000+SUM(N90,AF90)*100+SUM(H90,Z90)+0.006&gt;AW90*1000000+SUM(Y90,AQ90)*10000+SUM(S90,AK90)*100+SUM(M90,AE90)+0.001,1,0)+IF(AS90*1000000+SUM(U90,AM90)*10000+SUM(O90,AG90)*100+SUM(I90,AA90)+0.005&gt;AW90*1000000+SUM(Y90,AQ90)*10000+SUM(S90,AK90)*100+SUM(M90,AE90)+0.001,1,0)+IF(AT90*1000000+SUM(V90,AN90)*10000+SUM(P90,AH90)*100+SUM(J90,AB90)+0.004&gt;AW90*1000000+SUM(Y90,AQ90)*10000+SUM(S90,AK90)*100+SUM(M90,AE90)+0.001,1,0)+IF(AU90*1000000+SUM(W90,AO90)*10000+SUM(Q90,AI90)*100+SUM(K90,AC90)+0.003&gt;AW90*1000000+SUM(Y90,AQ90)*10000+SUM(S90,AK90)*100+SUM(M90,AE90)+0.001,1,0)+IF(AV90*1000000+SUM(X90,AP90)*10000+SUM(R90,AJ90)*100+SUM(L90,AD90)+0.002&gt;AW90*1000000+SUM(Y90,AQ90)*10000+SUM(S90,AK90)*100+SUM(M90,AE90)+0.001,1,0)=0,"C",""))))))&amp;IF(IF(AS90*1000000+SUM(U90,AM90)*10000+SUM(O90,AG90)*100+SUM(I90,AA90)+0.005&gt;AR90*1000000+SUM(T90,AL90)*10000+SUM(N90,AF90)*100+SUM(H90,Z90)+0.006,1,0)+IF(AT90*1000000+SUM(V90,AN90)*10000+SUM(P90,AH90)*100+SUM(J90,AB90)+0.004&gt;AR90*1000000+SUM(T90,AL90)*10000+SUM(N90,AF90)*100+SUM(H90,Z90)+0.006,1,0)+IF(AU90*1000000+SUM(W90,AO90)*10000+SUM(Q90,AI90)*100+SUM(K90,AC90)+0.003&gt;AR90*1000000+SUM(T90,AL90)*10000+SUM(N90,AF90)*100+SUM(H90,Z90)+0.006,1,0)+IF(AV90*1000000+SUM(X90,AP90)*10000+SUM(R90,AJ90)*100+SUM(L90,AD90)+0.002&gt;AR90*1000000+SUM(T90,AL90)*10000+SUM(N90,AF90)*100+SUM(H90,Z90)+0.006,1,0)+IF(AW90*1000000+SUM(Y90,AQ90)*10000+SUM(S90,AK90)*100+SUM(M90,AE90)+0.001&gt;AR90*1000000+SUM(T90,AL90)*10000+SUM(N90,AF90)*100+SUM(H90,Z90)+0.006,1,0)=1,"R",IF(IF(AR90*1000000+SUM(T90,AL90)*10000+SUM(N90,AF90)*100+SUM(H90,Z90)+0.006&gt;AS90*1000000+SUM(U90,AM90)*10000+SUM(O90,AG90)*100+SUM(I90,AA90)+0.005,1,0)+IF(AT90*1000000+SUM(V90,AN90)*10000+SUM(P90,AH90)*100+SUM(J90,AB90)+0.004&gt;AS90*1000000+SUM(U90,AM90)*10000+SUM(O90,AG90)*100+SUM(I90,AA90)+0.005,1,0)+IF(AU90*1000000+SUM(W90,AO90)*10000+SUM(Q90,AI90)*100+SUM(K90,AC90)+0.003&gt;AS90*1000000+SUM(U90,AM90)*10000+SUM(O90,AG90)*100+SUM(I90,AA90)+0.005,1,0)+IF(AV90*1000000+SUM(X90,AP90)*10000+SUM(R90,AJ90)*100+SUM(L90,AD90)+0.002&gt;AS90*1000000+SUM(U90,AM90)*10000+SUM(O90,AG90)*100+SUM(I90,AA90)+0.005,1,0)+IF(AW90*1000000+SUM(Y90,AQ90)*10000+SUM(S90,AK90)*100+SUM(M90,AE90)+0.001&gt;AS90*1000000+SUM(U90,AM90)*10000+SUM(O90,AG90)*100+SUM(I90,AA90)+0.005,1,0)=1,"I",IF(IF(AR90*1000000+SUM(T90,AL90)*10000+SUM(N90,AF90)*100+SUM(H90,Z90)+0.006&gt;AT90*1000000+SUM(V90,AN90)*10000+SUM(P90,AH90)*100+SUM(J90,AB90)+0.004,1,0)+IF(AS90*1000000+SUM(U90,AM90)*10000+SUM(O90,AG90)*100+SUM(I90,AA90)+0.005&gt;AT90*1000000+SUM(V90,AN90)*10000+SUM(P90,AH90)*100+SUM(J90,AB90)+0.004,1,0)+IF(AU90*1000000+SUM(W90,AO90)*10000+SUM(Q90,AI90)*100+SUM(K90,AC90)+0.003&gt;AT90*1000000+SUM(V90,AN90)*10000+SUM(P90,AH90)*100+SUM(J90,AB90)+0.004,1,0)+IF(AV90*1000000+SUM(X90,AP90)*10000+SUM(R90,AJ90)*100+SUM(L90,AD90)+0.002&gt;AT90*1000000+SUM(V90,AN90)*10000+SUM(P90,AH90)*100+SUM(J90,AB90)+0.004,1,0)+IF(AW90*1000000+SUM(Y90,AQ90)*10000+SUM(S90,AK90)*100+SUM(M90,AE90)+0.001&gt;AT90*1000000+SUM(V90,AN90)*10000+SUM(P90,AH90)*100+SUM(J90,AB90)+0.004,1,0)=1,"A",IF(IF(AR90*1000000+SUM(T90,AL90)*10000+SUM(N90,AF90)*100+SUM(H90,Z90)+0.006&gt;AU90*1000000+SUM(W90,AO90)*10000+SUM(Q90,AI90)*100+SUM(K90,AC90)+0.003,1,0)+IF(AS90*1000000+SUM(U90,AM90)*10000+SUM(O90,AG90)*100+SUM(I90,AA90)+0.005&gt;AU90*1000000+SUM(W90,AO90)*10000+SUM(Q90,AI90)*100+SUM(K90,AC90)+0.003,1,0)+IF(AT90*1000000+SUM(V90,AN90)*10000+SUM(P90,AH90)*100+SUM(J90,AB90)+0.004&gt;AU90*1000000+SUM(W90,AO90)*10000+SUM(Q90,AI90)*100+SUM(K90,AC90)+0.003,1,0)+IF(AV90*1000000+SUM(X90,AP90)*10000+SUM(R90,AJ90)*100+SUM(L90,AD90)+0.002&gt;AU90*1000000+SUM(W90,AO90)*10000+SUM(Q90,AI90)*100+SUM(K90,AC90)+0.003,1,0)+IF(AW90*1000000+SUM(Y90,AQ90)*10000+SUM(S90,AK90)*100+SUM(M90,AE90)+0.001&gt;AU90*1000000+SUM(W90,AO90)*10000+SUM(Q90,AI90)*100+SUM(K90,AC90)+0.003,1,0)=1,"S",IF(IF(AR90*1000000+SUM(T90,AL90)*10000+SUM(N90,AF90)*100+SUM(H90,Z90)+0.006&gt;AV90*1000000+SUM(X90,AP90)*10000+SUM(R90,AJ90)*100+SUM(L90,AD90)+0.002,1,0)+IF(AS90*1000000+SUM(U90,AM90)*10000+SUM(O90,AG90)*100+SUM(I90,AA90)+0.005&gt;AV90*1000000+SUM(X90,AP90)*10000+SUM(R90,AJ90)*100+SUM(L90,AD90)+0.002,1,0)+IF(AT90*1000000+SUM(V90,AN90)*10000+SUM(P90,AH90)*100+SUM(J90,AB90)+0.004&gt;AV90*1000000+SUM(X90,AP90)*10000+SUM(R90,AJ90)*100+SUM(L90,AD90)+0.002,1,0)+IF(AU90*1000000+SUM(W90,AO90)*10000+SUM(Q90,AI90)*100+SUM(K90,AC90)+0.003&gt;AV90*1000000+SUM(X90,AP90)*10000+SUM(R90,AJ90)*100+SUM(L90,AD90)+0.002,1,0)+IF(AW90*1000000+SUM(Y90,AQ90)*10000+SUM(S90,AK90)*100+SUM(M90,AE90)+0.001&gt;AV90*1000000+SUM(X90,AP90)*10000+SUM(R90,AJ90)*100+SUM(L90,AD90)+0.002,1,0)=1,"E",IF(IF(AR90*1000000+SUM(T90,AL90)*10000+SUM(N90,AF90)*100+SUM(H90,Z90)+0.006&gt;AW90*1000000+SUM(Y90,AQ90)*10000+SUM(S90,AK90)*100+SUM(M90,AE90)+0.001,1,0)+IF(AS90*1000000+SUM(U90,AM90)*10000+SUM(O90,AG90)*100+SUM(I90,AA90)+0.005&gt;AW90*1000000+SUM(Y90,AQ90)*10000+SUM(S90,AK90)*100+SUM(M90,AE90)+0.001,1,0)+IF(AT90*1000000+SUM(V90,AN90)*10000+SUM(P90,AH90)*100+SUM(J90,AB90)+0.004&gt;AW90*1000000+SUM(Y90,AQ90)*10000+SUM(S90,AK90)*100+SUM(M90,AE90)+0.001,1,0)+IF(AU90*1000000+SUM(W90,AO90)*10000+SUM(Q90,AI90)*100+SUM(K90,AC90)+0.003&gt;AW90*1000000+SUM(Y90,AQ90)*10000+SUM(S90,AK90)*100+SUM(M90,AE90)+0.001,1,0)+IF(AV90*1000000+SUM(X90,AP90)*10000+SUM(R90,AJ90)*100+SUM(L90,AD90)+0.002&gt;AW90*1000000+SUM(Y90,AQ90)*10000+SUM(S90,AK90)*100+SUM(M90,AE90)+0.001,1,0)=1,"C",""))))))&amp;IF(IF(AS90*1000000+SUM(U90,AM90)*10000+SUM(O90,AG90)*100+SUM(I90,AA90)+0.005&gt;AR90*1000000+SUM(T90,AL90)*10000+SUM(N90,AF90)*100+SUM(H90,Z90)+0.006,1,0)+IF(AT90*1000000+SUM(V90,AN90)*10000+SUM(P90,AH90)*100+SUM(J90,AB90)+0.004&gt;AR90*1000000+SUM(T90,AL90)*10000+SUM(N90,AF90)*100+SUM(H90,Z90)+0.006,1,0)+IF(AU90*1000000+SUM(W90,AO90)*10000+SUM(Q90,AI90)*100+SUM(K90,AC90)+0.003&gt;AR90*1000000+SUM(T90,AL90)*10000+SUM(N90,AF90)*100+SUM(H90,Z90)+0.006,1,0)+IF(AV90*1000000+SUM(X90,AP90)*10000+SUM(R90,AJ90)*100+SUM(L90,AD90)+0.002&gt;AR90*1000000+SUM(T90,AL90)*10000+SUM(N90,AF90)*100+SUM(H90,Z90)+0.006,1,0)+IF(AW90*1000000+SUM(Y90,AQ90)*10000+SUM(S90,AK90)*100+SUM(M90,AE90)+0.001&gt;AR90*1000000+SUM(T90,AL90)*10000+SUM(N90,AF90)*100+SUM(H90,Z90)+0.006,1,0)=2,"R",IF(IF(AR90*1000000+SUM(T90,AL90)*10000+SUM(N90,AF90)*100+SUM(H90,Z90)+0.006&gt;AS90*1000000+SUM(U90,AM90)*10000+SUM(O90,AG90)*100+SUM(I90,AA90)+0.005,1,0)+IF(AT90*1000000+SUM(V90,AN90)*10000+SUM(P90,AH90)*100+SUM(J90,AB90)+0.004&gt;AS90*1000000+SUM(U90,AM90)*10000+SUM(O90,AG90)*100+SUM(I90,AA90)+0.005,1,0)+IF(AU90*1000000+SUM(W90,AO90)*10000+SUM(Q90,AI90)*100+SUM(K90,AC90)+0.003&gt;AS90*1000000+SUM(U90,AM90)*10000+SUM(O90,AG90)*100+SUM(I90,AA90)+0.005,1,0)+IF(AV90*1000000+SUM(X90,AP90)*10000+SUM(R90,AJ90)*100+SUM(L90,AD90)+0.002&gt;AS90*1000000+SUM(U90,AM90)*10000+SUM(O90,AG90)*100+SUM(I90,AA90)+0.005,1,0)+IF(AW90*1000000+SUM(Y90,AQ90)*10000+SUM(S90,AK90)*100+SUM(M90,AE90)+0.001&gt;AS90*1000000+SUM(U90,AM90)*10000+SUM(O90,AG90)*100+SUM(I90,AA90)+0.005,1,0)=2,"I",IF(IF(AR90*1000000+SUM(T90,AL90)*10000+SUM(N90,AF90)*100+SUM(H90,Z90)+0.006&gt;AT90*1000000+SUM(V90,AN90)*10000+SUM(P90,AH90)*100+SUM(J90,AB90)+0.004,1,0)+IF(AS90*1000000+SUM(U90,AM90)*10000+SUM(O90,AG90)*100+SUM(I90,AA90)+0.005&gt;AT90*1000000+SUM(V90,AN90)*10000+SUM(P90,AH90)*100+SUM(J90,AB90)+0.004,1,0)+IF(AU90*1000000+SUM(W90,AO90)*10000+SUM(Q90,AI90)*100+SUM(K90,AC90)+0.003&gt;AT90*1000000+SUM(V90,AN90)*10000+SUM(P90,AH90)*100+SUM(J90,AB90)+0.004,1,0)+IF(AV90*1000000+SUM(X90,AP90)*10000+SUM(R90,AJ90)*100+SUM(L90,AD90)+0.002&gt;AT90*1000000+SUM(V90,AN90)*10000+SUM(P90,AH90)*100+SUM(J90,AB90)+0.004,1,0)+IF(AW90*1000000+SUM(Y90,AQ90)*10000+SUM(S90,AK90)*100+SUM(M90,AE90)+0.001&gt;AT90*1000000+SUM(V90,AN90)*10000+SUM(P90,AH90)*100+SUM(J90,AB90)+0.004,1,0)=2,"A",IF(IF(AR90*1000000+SUM(T90,AL90)*10000+SUM(N90,AF90)*100+SUM(H90,Z90)+0.006&gt;AU90*1000000+SUM(W90,AO90)*10000+SUM(Q90,AI90)*100+SUM(K90,AC90)+0.003,1,0)+IF(AS90*1000000+SUM(U90,AM90)*10000+SUM(O90,AG90)*100+SUM(I90,AA90)+0.005&gt;AU90*1000000+SUM(W90,AO90)*10000+SUM(Q90,AI90)*100+SUM(K90,AC90)+0.003,1,0)+IF(AT90*1000000+SUM(V90,AN90)*10000+SUM(P90,AH90)*100+SUM(J90,AB90)+0.004&gt;AU90*1000000+SUM(W90,AO90)*10000+SUM(Q90,AI90)*100+SUM(K90,AC90)+0.003,1,0)+IF(AV90*1000000+SUM(X90,AP90)*10000+SUM(R90,AJ90)*100+SUM(L90,AD90)+0.002&gt;AU90*1000000+SUM(W90,AO90)*10000+SUM(Q90,AI90)*100+SUM(K90,AC90)+0.003,1,0)+IF(AW90*1000000+SUM(Y90,AQ90)*10000+SUM(S90,AK90)*100+SUM(M90,AE90)+0.001&gt;AU90*1000000+SUM(W90,AO90)*10000+SUM(Q90,AI90)*100+SUM(K90,AC90)+0.003,1,0)=2,"S",IF(IF(AR90*1000000+SUM(T90,AL90)*10000+SUM(N90,AF90)*100+SUM(H90,Z90)+0.006&gt;AV90*1000000+SUM(X90,AP90)*10000+SUM(R90,AJ90)*100+SUM(L90,AD90)+0.002,1,0)+IF(AS90*1000000+SUM(U90,AM90)*10000+SUM(O90,AG90)*100+SUM(I90,AA90)+0.005&gt;AV90*1000000+SUM(X90,AP90)*10000+SUM(R90,AJ90)*100+SUM(L90,AD90)+0.002,1,0)+IF(AT90*1000000+SUM(V90,AN90)*10000+SUM(P90,AH90)*100+SUM(J90,AB90)+0.004&gt;AV90*1000000+SUM(X90,AP90)*10000+SUM(R90,AJ90)*100+SUM(L90,AD90)+0.002,1,0)+IF(AU90*1000000+SUM(W90,AO90)*10000+SUM(Q90,AI90)*100+SUM(K90,AC90)+0.003&gt;AV90*1000000+SUM(X90,AP90)*10000+SUM(R90,AJ90)*100+SUM(L90,AD90)+0.002,1,0)+IF(AW90*1000000+SUM(Y90,AQ90)*10000+SUM(S90,AK90)*100+SUM(M90,AE90)+0.001&gt;AV90*1000000+SUM(X90,AP90)*10000+SUM(R90,AJ90)*100+SUM(L90,AD90)+0.002,1,0)=2,"E",IF(IF(AR90*1000000+SUM(T90,AL90)*10000+SUM(N90,AF90)*100+SUM(H90,Z90)+0.006&gt;AW90*1000000+SUM(Y90,AQ90)*10000+SUM(S90,AK90)*100+SUM(M90,AE90)+0.001,1,0)+IF(AS90*1000000+SUM(U90,AM90)*10000+SUM(O90,AG90)*100+SUM(I90,AA90)+0.005&gt;AW90*1000000+SUM(Y90,AQ90)*10000+SUM(S90,AK90)*100+SUM(M90,AE90)+0.001,1,0)+IF(AT90*1000000+SUM(V90,AN90)*10000+SUM(P90,AH90)*100+SUM(J90,AB90)+0.004&gt;AW90*1000000+SUM(Y90,AQ90)*10000+SUM(S90,AK90)*100+SUM(M90,AE90)+0.001,1,0)+IF(AU90*1000000+SUM(W90,AO90)*10000+SUM(Q90,AI90)*100+SUM(K90,AC90)+0.003&gt;AW90*1000000+SUM(Y90,AQ90)*10000+SUM(S90,AK90)*100+SUM(M90,AE90)+0.001,1,0)+IF(AV90*1000000+SUM(X90,AP90)*10000+SUM(R90,AJ90)*100+SUM(L90,AD90)+0.002&gt;AW90*1000000+SUM(Y90,AQ90)*10000+SUM(S90,AK90)*100+SUM(M90,AE90)+0.001,1,0)=2,"C","")))))))</x:f>
      </x:c>
      <x:c r="AY90" s="27" t="str">
        <x:f>IF(C90="","",IF(LEFT(AX90,1)="R","นักปฏิบัติ",IF(LEFT(AX90,1)="I","นักคิดวิเคราะห์",IF(LEFT(AX90,1)="A","นักสร้างสรรค์",IF(LEFT(AX90,1)="S","ผู้เข้าใจผู้คน",IF(LEFT(AX90,1)="E","ผู้นำการเปลี่ยนแปลง","ผู้จัดระบบ"))))))</x:f>
      </x:c>
    </x:row>
    <x:row r="91">
      <x:c r="A91" s="27"/>
      <x:c r="B91" s="28"/>
      <x:c r="C91" s="27"/>
      <x:c r="D91" s="27"/>
      <x:c r="E91" s="27"/>
      <x:c r="F91" s="27"/>
      <x:c r="G91" s="27"/>
      <x:c r="H91" s="27"/>
      <x:c r="I91" s="27"/>
      <x:c r="J91" s="27"/>
      <x:c r="K91" s="27"/>
      <x:c r="L91" s="27"/>
      <x:c r="M91" s="27"/>
      <x:c r="N91" s="27"/>
      <x:c r="O91" s="27"/>
      <x:c r="P91" s="27"/>
      <x:c r="Q91" s="27"/>
      <x:c r="R91" s="27"/>
      <x:c r="S91" s="27"/>
      <x:c r="T91" s="27"/>
      <x:c r="U91" s="27"/>
      <x:c r="V91" s="27"/>
      <x:c r="W91" s="27"/>
      <x:c r="X91" s="27"/>
      <x:c r="Y91" s="27"/>
      <x:c r="Z91" s="27"/>
      <x:c r="AA91" s="27"/>
      <x:c r="AB91" s="27"/>
      <x:c r="AC91" s="27"/>
      <x:c r="AD91" s="27"/>
      <x:c r="AE91" s="27"/>
      <x:c r="AF91" s="27"/>
      <x:c r="AG91" s="27"/>
      <x:c r="AH91" s="27"/>
      <x:c r="AI91" s="27"/>
      <x:c r="AJ91" s="27"/>
      <x:c r="AK91" s="27"/>
      <x:c r="AL91" s="27"/>
      <x:c r="AM91" s="27"/>
      <x:c r="AN91" s="27"/>
      <x:c r="AO91" s="27"/>
      <x:c r="AP91" s="27"/>
      <x:c r="AQ91" s="27"/>
      <x:c r="AR91" s="27" t="str">
        <x:f>IF(C91="","",SUM(H91,N91,T91,Z91,AF91,AL91))</x:f>
      </x:c>
      <x:c r="AS91" s="27" t="str">
        <x:f>IF(C91="","",SUM(I91,O91,U91,AA91,AG91,AM91))</x:f>
      </x:c>
      <x:c r="AT91" s="27" t="str">
        <x:f>IF(C91="","",SUM(J91,P91,V91,AB91,AH91,AN91))</x:f>
      </x:c>
      <x:c r="AU91" s="27" t="str">
        <x:f>IF(C91="","",SUM(K91,Q91,W91,AC91,AI91,AO91))</x:f>
      </x:c>
      <x:c r="AV91" s="27" t="str">
        <x:f>IF(C91="","",SUM(L91,R91,X91,AD91,AJ91,AP91))</x:f>
      </x:c>
      <x:c r="AW91" s="27" t="str">
        <x:f>IF(C91="","",SUM(M91,S91,Y91,AE91,AK91,AQ91))</x:f>
      </x:c>
      <x:c r="AX91" s="27" t="str">
        <x:f>IF(C91="","",IF(IF(AS91*1000000+SUM(U91,AM91)*10000+SUM(O91,AG91)*100+SUM(I91,AA91)+0.005&gt;AR91*1000000+SUM(T91,AL91)*10000+SUM(N91,AF91)*100+SUM(H91,Z91)+0.006,1,0)+IF(AT91*1000000+SUM(V91,AN91)*10000+SUM(P91,AH91)*100+SUM(J91,AB91)+0.004&gt;AR91*1000000+SUM(T91,AL91)*10000+SUM(N91,AF91)*100+SUM(H91,Z91)+0.006,1,0)+IF(AU91*1000000+SUM(W91,AO91)*10000+SUM(Q91,AI91)*100+SUM(K91,AC91)+0.003&gt;AR91*1000000+SUM(T91,AL91)*10000+SUM(N91,AF91)*100+SUM(H91,Z91)+0.006,1,0)+IF(AV91*1000000+SUM(X91,AP91)*10000+SUM(R91,AJ91)*100+SUM(L91,AD91)+0.002&gt;AR91*1000000+SUM(T91,AL91)*10000+SUM(N91,AF91)*100+SUM(H91,Z91)+0.006,1,0)+IF(AW91*1000000+SUM(Y91,AQ91)*10000+SUM(S91,AK91)*100+SUM(M91,AE91)+0.001&gt;AR91*1000000+SUM(T91,AL91)*10000+SUM(N91,AF91)*100+SUM(H91,Z91)+0.006,1,0)=0,"R",IF(IF(AR91*1000000+SUM(T91,AL91)*10000+SUM(N91,AF91)*100+SUM(H91,Z91)+0.006&gt;AS91*1000000+SUM(U91,AM91)*10000+SUM(O91,AG91)*100+SUM(I91,AA91)+0.005,1,0)+IF(AT91*1000000+SUM(V91,AN91)*10000+SUM(P91,AH91)*100+SUM(J91,AB91)+0.004&gt;AS91*1000000+SUM(U91,AM91)*10000+SUM(O91,AG91)*100+SUM(I91,AA91)+0.005,1,0)+IF(AU91*1000000+SUM(W91,AO91)*10000+SUM(Q91,AI91)*100+SUM(K91,AC91)+0.003&gt;AS91*1000000+SUM(U91,AM91)*10000+SUM(O91,AG91)*100+SUM(I91,AA91)+0.005,1,0)+IF(AV91*1000000+SUM(X91,AP91)*10000+SUM(R91,AJ91)*100+SUM(L91,AD91)+0.002&gt;AS91*1000000+SUM(U91,AM91)*10000+SUM(O91,AG91)*100+SUM(I91,AA91)+0.005,1,0)+IF(AW91*1000000+SUM(Y91,AQ91)*10000+SUM(S91,AK91)*100+SUM(M91,AE91)+0.001&gt;AS91*1000000+SUM(U91,AM91)*10000+SUM(O91,AG91)*100+SUM(I91,AA91)+0.005,1,0)=0,"I",IF(IF(AR91*1000000+SUM(T91,AL91)*10000+SUM(N91,AF91)*100+SUM(H91,Z91)+0.006&gt;AT91*1000000+SUM(V91,AN91)*10000+SUM(P91,AH91)*100+SUM(J91,AB91)+0.004,1,0)+IF(AS91*1000000+SUM(U91,AM91)*10000+SUM(O91,AG91)*100+SUM(I91,AA91)+0.005&gt;AT91*1000000+SUM(V91,AN91)*10000+SUM(P91,AH91)*100+SUM(J91,AB91)+0.004,1,0)+IF(AU91*1000000+SUM(W91,AO91)*10000+SUM(Q91,AI91)*100+SUM(K91,AC91)+0.003&gt;AT91*1000000+SUM(V91,AN91)*10000+SUM(P91,AH91)*100+SUM(J91,AB91)+0.004,1,0)+IF(AV91*1000000+SUM(X91,AP91)*10000+SUM(R91,AJ91)*100+SUM(L91,AD91)+0.002&gt;AT91*1000000+SUM(V91,AN91)*10000+SUM(P91,AH91)*100+SUM(J91,AB91)+0.004,1,0)+IF(AW91*1000000+SUM(Y91,AQ91)*10000+SUM(S91,AK91)*100+SUM(M91,AE91)+0.001&gt;AT91*1000000+SUM(V91,AN91)*10000+SUM(P91,AH91)*100+SUM(J91,AB91)+0.004,1,0)=0,"A",IF(IF(AR91*1000000+SUM(T91,AL91)*10000+SUM(N91,AF91)*100+SUM(H91,Z91)+0.006&gt;AU91*1000000+SUM(W91,AO91)*10000+SUM(Q91,AI91)*100+SUM(K91,AC91)+0.003,1,0)+IF(AS91*1000000+SUM(U91,AM91)*10000+SUM(O91,AG91)*100+SUM(I91,AA91)+0.005&gt;AU91*1000000+SUM(W91,AO91)*10000+SUM(Q91,AI91)*100+SUM(K91,AC91)+0.003,1,0)+IF(AT91*1000000+SUM(V91,AN91)*10000+SUM(P91,AH91)*100+SUM(J91,AB91)+0.004&gt;AU91*1000000+SUM(W91,AO91)*10000+SUM(Q91,AI91)*100+SUM(K91,AC91)+0.003,1,0)+IF(AV91*1000000+SUM(X91,AP91)*10000+SUM(R91,AJ91)*100+SUM(L91,AD91)+0.002&gt;AU91*1000000+SUM(W91,AO91)*10000+SUM(Q91,AI91)*100+SUM(K91,AC91)+0.003,1,0)+IF(AW91*1000000+SUM(Y91,AQ91)*10000+SUM(S91,AK91)*100+SUM(M91,AE91)+0.001&gt;AU91*1000000+SUM(W91,AO91)*10000+SUM(Q91,AI91)*100+SUM(K91,AC91)+0.003,1,0)=0,"S",IF(IF(AR91*1000000+SUM(T91,AL91)*10000+SUM(N91,AF91)*100+SUM(H91,Z91)+0.006&gt;AV91*1000000+SUM(X91,AP91)*10000+SUM(R91,AJ91)*100+SUM(L91,AD91)+0.002,1,0)+IF(AS91*1000000+SUM(U91,AM91)*10000+SUM(O91,AG91)*100+SUM(I91,AA91)+0.005&gt;AV91*1000000+SUM(X91,AP91)*10000+SUM(R91,AJ91)*100+SUM(L91,AD91)+0.002,1,0)+IF(AT91*1000000+SUM(V91,AN91)*10000+SUM(P91,AH91)*100+SUM(J91,AB91)+0.004&gt;AV91*1000000+SUM(X91,AP91)*10000+SUM(R91,AJ91)*100+SUM(L91,AD91)+0.002,1,0)+IF(AU91*1000000+SUM(W91,AO91)*10000+SUM(Q91,AI91)*100+SUM(K91,AC91)+0.003&gt;AV91*1000000+SUM(X91,AP91)*10000+SUM(R91,AJ91)*100+SUM(L91,AD91)+0.002,1,0)+IF(AW91*1000000+SUM(Y91,AQ91)*10000+SUM(S91,AK91)*100+SUM(M91,AE91)+0.001&gt;AV91*1000000+SUM(X91,AP91)*10000+SUM(R91,AJ91)*100+SUM(L91,AD91)+0.002,1,0)=0,"E",IF(IF(AR91*1000000+SUM(T91,AL91)*10000+SUM(N91,AF91)*100+SUM(H91,Z91)+0.006&gt;AW91*1000000+SUM(Y91,AQ91)*10000+SUM(S91,AK91)*100+SUM(M91,AE91)+0.001,1,0)+IF(AS91*1000000+SUM(U91,AM91)*10000+SUM(O91,AG91)*100+SUM(I91,AA91)+0.005&gt;AW91*1000000+SUM(Y91,AQ91)*10000+SUM(S91,AK91)*100+SUM(M91,AE91)+0.001,1,0)+IF(AT91*1000000+SUM(V91,AN91)*10000+SUM(P91,AH91)*100+SUM(J91,AB91)+0.004&gt;AW91*1000000+SUM(Y91,AQ91)*10000+SUM(S91,AK91)*100+SUM(M91,AE91)+0.001,1,0)+IF(AU91*1000000+SUM(W91,AO91)*10000+SUM(Q91,AI91)*100+SUM(K91,AC91)+0.003&gt;AW91*1000000+SUM(Y91,AQ91)*10000+SUM(S91,AK91)*100+SUM(M91,AE91)+0.001,1,0)+IF(AV91*1000000+SUM(X91,AP91)*10000+SUM(R91,AJ91)*100+SUM(L91,AD91)+0.002&gt;AW91*1000000+SUM(Y91,AQ91)*10000+SUM(S91,AK91)*100+SUM(M91,AE91)+0.001,1,0)=0,"C",""))))))&amp;IF(IF(AS91*1000000+SUM(U91,AM91)*10000+SUM(O91,AG91)*100+SUM(I91,AA91)+0.005&gt;AR91*1000000+SUM(T91,AL91)*10000+SUM(N91,AF91)*100+SUM(H91,Z91)+0.006,1,0)+IF(AT91*1000000+SUM(V91,AN91)*10000+SUM(P91,AH91)*100+SUM(J91,AB91)+0.004&gt;AR91*1000000+SUM(T91,AL91)*10000+SUM(N91,AF91)*100+SUM(H91,Z91)+0.006,1,0)+IF(AU91*1000000+SUM(W91,AO91)*10000+SUM(Q91,AI91)*100+SUM(K91,AC91)+0.003&gt;AR91*1000000+SUM(T91,AL91)*10000+SUM(N91,AF91)*100+SUM(H91,Z91)+0.006,1,0)+IF(AV91*1000000+SUM(X91,AP91)*10000+SUM(R91,AJ91)*100+SUM(L91,AD91)+0.002&gt;AR91*1000000+SUM(T91,AL91)*10000+SUM(N91,AF91)*100+SUM(H91,Z91)+0.006,1,0)+IF(AW91*1000000+SUM(Y91,AQ91)*10000+SUM(S91,AK91)*100+SUM(M91,AE91)+0.001&gt;AR91*1000000+SUM(T91,AL91)*10000+SUM(N91,AF91)*100+SUM(H91,Z91)+0.006,1,0)=1,"R",IF(IF(AR91*1000000+SUM(T91,AL91)*10000+SUM(N91,AF91)*100+SUM(H91,Z91)+0.006&gt;AS91*1000000+SUM(U91,AM91)*10000+SUM(O91,AG91)*100+SUM(I91,AA91)+0.005,1,0)+IF(AT91*1000000+SUM(V91,AN91)*10000+SUM(P91,AH91)*100+SUM(J91,AB91)+0.004&gt;AS91*1000000+SUM(U91,AM91)*10000+SUM(O91,AG91)*100+SUM(I91,AA91)+0.005,1,0)+IF(AU91*1000000+SUM(W91,AO91)*10000+SUM(Q91,AI91)*100+SUM(K91,AC91)+0.003&gt;AS91*1000000+SUM(U91,AM91)*10000+SUM(O91,AG91)*100+SUM(I91,AA91)+0.005,1,0)+IF(AV91*1000000+SUM(X91,AP91)*10000+SUM(R91,AJ91)*100+SUM(L91,AD91)+0.002&gt;AS91*1000000+SUM(U91,AM91)*10000+SUM(O91,AG91)*100+SUM(I91,AA91)+0.005,1,0)+IF(AW91*1000000+SUM(Y91,AQ91)*10000+SUM(S91,AK91)*100+SUM(M91,AE91)+0.001&gt;AS91*1000000+SUM(U91,AM91)*10000+SUM(O91,AG91)*100+SUM(I91,AA91)+0.005,1,0)=1,"I",IF(IF(AR91*1000000+SUM(T91,AL91)*10000+SUM(N91,AF91)*100+SUM(H91,Z91)+0.006&gt;AT91*1000000+SUM(V91,AN91)*10000+SUM(P91,AH91)*100+SUM(J91,AB91)+0.004,1,0)+IF(AS91*1000000+SUM(U91,AM91)*10000+SUM(O91,AG91)*100+SUM(I91,AA91)+0.005&gt;AT91*1000000+SUM(V91,AN91)*10000+SUM(P91,AH91)*100+SUM(J91,AB91)+0.004,1,0)+IF(AU91*1000000+SUM(W91,AO91)*10000+SUM(Q91,AI91)*100+SUM(K91,AC91)+0.003&gt;AT91*1000000+SUM(V91,AN91)*10000+SUM(P91,AH91)*100+SUM(J91,AB91)+0.004,1,0)+IF(AV91*1000000+SUM(X91,AP91)*10000+SUM(R91,AJ91)*100+SUM(L91,AD91)+0.002&gt;AT91*1000000+SUM(V91,AN91)*10000+SUM(P91,AH91)*100+SUM(J91,AB91)+0.004,1,0)+IF(AW91*1000000+SUM(Y91,AQ91)*10000+SUM(S91,AK91)*100+SUM(M91,AE91)+0.001&gt;AT91*1000000+SUM(V91,AN91)*10000+SUM(P91,AH91)*100+SUM(J91,AB91)+0.004,1,0)=1,"A",IF(IF(AR91*1000000+SUM(T91,AL91)*10000+SUM(N91,AF91)*100+SUM(H91,Z91)+0.006&gt;AU91*1000000+SUM(W91,AO91)*10000+SUM(Q91,AI91)*100+SUM(K91,AC91)+0.003,1,0)+IF(AS91*1000000+SUM(U91,AM91)*10000+SUM(O91,AG91)*100+SUM(I91,AA91)+0.005&gt;AU91*1000000+SUM(W91,AO91)*10000+SUM(Q91,AI91)*100+SUM(K91,AC91)+0.003,1,0)+IF(AT91*1000000+SUM(V91,AN91)*10000+SUM(P91,AH91)*100+SUM(J91,AB91)+0.004&gt;AU91*1000000+SUM(W91,AO91)*10000+SUM(Q91,AI91)*100+SUM(K91,AC91)+0.003,1,0)+IF(AV91*1000000+SUM(X91,AP91)*10000+SUM(R91,AJ91)*100+SUM(L91,AD91)+0.002&gt;AU91*1000000+SUM(W91,AO91)*10000+SUM(Q91,AI91)*100+SUM(K91,AC91)+0.003,1,0)+IF(AW91*1000000+SUM(Y91,AQ91)*10000+SUM(S91,AK91)*100+SUM(M91,AE91)+0.001&gt;AU91*1000000+SUM(W91,AO91)*10000+SUM(Q91,AI91)*100+SUM(K91,AC91)+0.003,1,0)=1,"S",IF(IF(AR91*1000000+SUM(T91,AL91)*10000+SUM(N91,AF91)*100+SUM(H91,Z91)+0.006&gt;AV91*1000000+SUM(X91,AP91)*10000+SUM(R91,AJ91)*100+SUM(L91,AD91)+0.002,1,0)+IF(AS91*1000000+SUM(U91,AM91)*10000+SUM(O91,AG91)*100+SUM(I91,AA91)+0.005&gt;AV91*1000000+SUM(X91,AP91)*10000+SUM(R91,AJ91)*100+SUM(L91,AD91)+0.002,1,0)+IF(AT91*1000000+SUM(V91,AN91)*10000+SUM(P91,AH91)*100+SUM(J91,AB91)+0.004&gt;AV91*1000000+SUM(X91,AP91)*10000+SUM(R91,AJ91)*100+SUM(L91,AD91)+0.002,1,0)+IF(AU91*1000000+SUM(W91,AO91)*10000+SUM(Q91,AI91)*100+SUM(K91,AC91)+0.003&gt;AV91*1000000+SUM(X91,AP91)*10000+SUM(R91,AJ91)*100+SUM(L91,AD91)+0.002,1,0)+IF(AW91*1000000+SUM(Y91,AQ91)*10000+SUM(S91,AK91)*100+SUM(M91,AE91)+0.001&gt;AV91*1000000+SUM(X91,AP91)*10000+SUM(R91,AJ91)*100+SUM(L91,AD91)+0.002,1,0)=1,"E",IF(IF(AR91*1000000+SUM(T91,AL91)*10000+SUM(N91,AF91)*100+SUM(H91,Z91)+0.006&gt;AW91*1000000+SUM(Y91,AQ91)*10000+SUM(S91,AK91)*100+SUM(M91,AE91)+0.001,1,0)+IF(AS91*1000000+SUM(U91,AM91)*10000+SUM(O91,AG91)*100+SUM(I91,AA91)+0.005&gt;AW91*1000000+SUM(Y91,AQ91)*10000+SUM(S91,AK91)*100+SUM(M91,AE91)+0.001,1,0)+IF(AT91*1000000+SUM(V91,AN91)*10000+SUM(P91,AH91)*100+SUM(J91,AB91)+0.004&gt;AW91*1000000+SUM(Y91,AQ91)*10000+SUM(S91,AK91)*100+SUM(M91,AE91)+0.001,1,0)+IF(AU91*1000000+SUM(W91,AO91)*10000+SUM(Q91,AI91)*100+SUM(K91,AC91)+0.003&gt;AW91*1000000+SUM(Y91,AQ91)*10000+SUM(S91,AK91)*100+SUM(M91,AE91)+0.001,1,0)+IF(AV91*1000000+SUM(X91,AP91)*10000+SUM(R91,AJ91)*100+SUM(L91,AD91)+0.002&gt;AW91*1000000+SUM(Y91,AQ91)*10000+SUM(S91,AK91)*100+SUM(M91,AE91)+0.001,1,0)=1,"C",""))))))&amp;IF(IF(AS91*1000000+SUM(U91,AM91)*10000+SUM(O91,AG91)*100+SUM(I91,AA91)+0.005&gt;AR91*1000000+SUM(T91,AL91)*10000+SUM(N91,AF91)*100+SUM(H91,Z91)+0.006,1,0)+IF(AT91*1000000+SUM(V91,AN91)*10000+SUM(P91,AH91)*100+SUM(J91,AB91)+0.004&gt;AR91*1000000+SUM(T91,AL91)*10000+SUM(N91,AF91)*100+SUM(H91,Z91)+0.006,1,0)+IF(AU91*1000000+SUM(W91,AO91)*10000+SUM(Q91,AI91)*100+SUM(K91,AC91)+0.003&gt;AR91*1000000+SUM(T91,AL91)*10000+SUM(N91,AF91)*100+SUM(H91,Z91)+0.006,1,0)+IF(AV91*1000000+SUM(X91,AP91)*10000+SUM(R91,AJ91)*100+SUM(L91,AD91)+0.002&gt;AR91*1000000+SUM(T91,AL91)*10000+SUM(N91,AF91)*100+SUM(H91,Z91)+0.006,1,0)+IF(AW91*1000000+SUM(Y91,AQ91)*10000+SUM(S91,AK91)*100+SUM(M91,AE91)+0.001&gt;AR91*1000000+SUM(T91,AL91)*10000+SUM(N91,AF91)*100+SUM(H91,Z91)+0.006,1,0)=2,"R",IF(IF(AR91*1000000+SUM(T91,AL91)*10000+SUM(N91,AF91)*100+SUM(H91,Z91)+0.006&gt;AS91*1000000+SUM(U91,AM91)*10000+SUM(O91,AG91)*100+SUM(I91,AA91)+0.005,1,0)+IF(AT91*1000000+SUM(V91,AN91)*10000+SUM(P91,AH91)*100+SUM(J91,AB91)+0.004&gt;AS91*1000000+SUM(U91,AM91)*10000+SUM(O91,AG91)*100+SUM(I91,AA91)+0.005,1,0)+IF(AU91*1000000+SUM(W91,AO91)*10000+SUM(Q91,AI91)*100+SUM(K91,AC91)+0.003&gt;AS91*1000000+SUM(U91,AM91)*10000+SUM(O91,AG91)*100+SUM(I91,AA91)+0.005,1,0)+IF(AV91*1000000+SUM(X91,AP91)*10000+SUM(R91,AJ91)*100+SUM(L91,AD91)+0.002&gt;AS91*1000000+SUM(U91,AM91)*10000+SUM(O91,AG91)*100+SUM(I91,AA91)+0.005,1,0)+IF(AW91*1000000+SUM(Y91,AQ91)*10000+SUM(S91,AK91)*100+SUM(M91,AE91)+0.001&gt;AS91*1000000+SUM(U91,AM91)*10000+SUM(O91,AG91)*100+SUM(I91,AA91)+0.005,1,0)=2,"I",IF(IF(AR91*1000000+SUM(T91,AL91)*10000+SUM(N91,AF91)*100+SUM(H91,Z91)+0.006&gt;AT91*1000000+SUM(V91,AN91)*10000+SUM(P91,AH91)*100+SUM(J91,AB91)+0.004,1,0)+IF(AS91*1000000+SUM(U91,AM91)*10000+SUM(O91,AG91)*100+SUM(I91,AA91)+0.005&gt;AT91*1000000+SUM(V91,AN91)*10000+SUM(P91,AH91)*100+SUM(J91,AB91)+0.004,1,0)+IF(AU91*1000000+SUM(W91,AO91)*10000+SUM(Q91,AI91)*100+SUM(K91,AC91)+0.003&gt;AT91*1000000+SUM(V91,AN91)*10000+SUM(P91,AH91)*100+SUM(J91,AB91)+0.004,1,0)+IF(AV91*1000000+SUM(X91,AP91)*10000+SUM(R91,AJ91)*100+SUM(L91,AD91)+0.002&gt;AT91*1000000+SUM(V91,AN91)*10000+SUM(P91,AH91)*100+SUM(J91,AB91)+0.004,1,0)+IF(AW91*1000000+SUM(Y91,AQ91)*10000+SUM(S91,AK91)*100+SUM(M91,AE91)+0.001&gt;AT91*1000000+SUM(V91,AN91)*10000+SUM(P91,AH91)*100+SUM(J91,AB91)+0.004,1,0)=2,"A",IF(IF(AR91*1000000+SUM(T91,AL91)*10000+SUM(N91,AF91)*100+SUM(H91,Z91)+0.006&gt;AU91*1000000+SUM(W91,AO91)*10000+SUM(Q91,AI91)*100+SUM(K91,AC91)+0.003,1,0)+IF(AS91*1000000+SUM(U91,AM91)*10000+SUM(O91,AG91)*100+SUM(I91,AA91)+0.005&gt;AU91*1000000+SUM(W91,AO91)*10000+SUM(Q91,AI91)*100+SUM(K91,AC91)+0.003,1,0)+IF(AT91*1000000+SUM(V91,AN91)*10000+SUM(P91,AH91)*100+SUM(J91,AB91)+0.004&gt;AU91*1000000+SUM(W91,AO91)*10000+SUM(Q91,AI91)*100+SUM(K91,AC91)+0.003,1,0)+IF(AV91*1000000+SUM(X91,AP91)*10000+SUM(R91,AJ91)*100+SUM(L91,AD91)+0.002&gt;AU91*1000000+SUM(W91,AO91)*10000+SUM(Q91,AI91)*100+SUM(K91,AC91)+0.003,1,0)+IF(AW91*1000000+SUM(Y91,AQ91)*10000+SUM(S91,AK91)*100+SUM(M91,AE91)+0.001&gt;AU91*1000000+SUM(W91,AO91)*10000+SUM(Q91,AI91)*100+SUM(K91,AC91)+0.003,1,0)=2,"S",IF(IF(AR91*1000000+SUM(T91,AL91)*10000+SUM(N91,AF91)*100+SUM(H91,Z91)+0.006&gt;AV91*1000000+SUM(X91,AP91)*10000+SUM(R91,AJ91)*100+SUM(L91,AD91)+0.002,1,0)+IF(AS91*1000000+SUM(U91,AM91)*10000+SUM(O91,AG91)*100+SUM(I91,AA91)+0.005&gt;AV91*1000000+SUM(X91,AP91)*10000+SUM(R91,AJ91)*100+SUM(L91,AD91)+0.002,1,0)+IF(AT91*1000000+SUM(V91,AN91)*10000+SUM(P91,AH91)*100+SUM(J91,AB91)+0.004&gt;AV91*1000000+SUM(X91,AP91)*10000+SUM(R91,AJ91)*100+SUM(L91,AD91)+0.002,1,0)+IF(AU91*1000000+SUM(W91,AO91)*10000+SUM(Q91,AI91)*100+SUM(K91,AC91)+0.003&gt;AV91*1000000+SUM(X91,AP91)*10000+SUM(R91,AJ91)*100+SUM(L91,AD91)+0.002,1,0)+IF(AW91*1000000+SUM(Y91,AQ91)*10000+SUM(S91,AK91)*100+SUM(M91,AE91)+0.001&gt;AV91*1000000+SUM(X91,AP91)*10000+SUM(R91,AJ91)*100+SUM(L91,AD91)+0.002,1,0)=2,"E",IF(IF(AR91*1000000+SUM(T91,AL91)*10000+SUM(N91,AF91)*100+SUM(H91,Z91)+0.006&gt;AW91*1000000+SUM(Y91,AQ91)*10000+SUM(S91,AK91)*100+SUM(M91,AE91)+0.001,1,0)+IF(AS91*1000000+SUM(U91,AM91)*10000+SUM(O91,AG91)*100+SUM(I91,AA91)+0.005&gt;AW91*1000000+SUM(Y91,AQ91)*10000+SUM(S91,AK91)*100+SUM(M91,AE91)+0.001,1,0)+IF(AT91*1000000+SUM(V91,AN91)*10000+SUM(P91,AH91)*100+SUM(J91,AB91)+0.004&gt;AW91*1000000+SUM(Y91,AQ91)*10000+SUM(S91,AK91)*100+SUM(M91,AE91)+0.001,1,0)+IF(AU91*1000000+SUM(W91,AO91)*10000+SUM(Q91,AI91)*100+SUM(K91,AC91)+0.003&gt;AW91*1000000+SUM(Y91,AQ91)*10000+SUM(S91,AK91)*100+SUM(M91,AE91)+0.001,1,0)+IF(AV91*1000000+SUM(X91,AP91)*10000+SUM(R91,AJ91)*100+SUM(L91,AD91)+0.002&gt;AW91*1000000+SUM(Y91,AQ91)*10000+SUM(S91,AK91)*100+SUM(M91,AE91)+0.001,1,0)=2,"C","")))))))</x:f>
      </x:c>
      <x:c r="AY91" s="27" t="str">
        <x:f>IF(C91="","",IF(LEFT(AX91,1)="R","นักปฏิบัติ",IF(LEFT(AX91,1)="I","นักคิดวิเคราะห์",IF(LEFT(AX91,1)="A","นักสร้างสรรค์",IF(LEFT(AX91,1)="S","ผู้เข้าใจผู้คน",IF(LEFT(AX91,1)="E","ผู้นำการเปลี่ยนแปลง","ผู้จัดระบบ"))))))</x:f>
      </x:c>
    </x:row>
    <x:row r="92">
      <x:c r="A92" s="27"/>
      <x:c r="B92" s="28"/>
      <x:c r="C92" s="27"/>
      <x:c r="D92" s="27"/>
      <x:c r="E92" s="27"/>
      <x:c r="F92" s="27"/>
      <x:c r="G92" s="27"/>
      <x:c r="H92" s="27"/>
      <x:c r="I92" s="27"/>
      <x:c r="J92" s="27"/>
      <x:c r="K92" s="27"/>
      <x:c r="L92" s="27"/>
      <x:c r="M92" s="27"/>
      <x:c r="N92" s="27"/>
      <x:c r="O92" s="27"/>
      <x:c r="P92" s="27"/>
      <x:c r="Q92" s="27"/>
      <x:c r="R92" s="27"/>
      <x:c r="S92" s="27"/>
      <x:c r="T92" s="27"/>
      <x:c r="U92" s="27"/>
      <x:c r="V92" s="27"/>
      <x:c r="W92" s="27"/>
      <x:c r="X92" s="27"/>
      <x:c r="Y92" s="27"/>
      <x:c r="Z92" s="27"/>
      <x:c r="AA92" s="27"/>
      <x:c r="AB92" s="27"/>
      <x:c r="AC92" s="27"/>
      <x:c r="AD92" s="27"/>
      <x:c r="AE92" s="27"/>
      <x:c r="AF92" s="27"/>
      <x:c r="AG92" s="27"/>
      <x:c r="AH92" s="27"/>
      <x:c r="AI92" s="27"/>
      <x:c r="AJ92" s="27"/>
      <x:c r="AK92" s="27"/>
      <x:c r="AL92" s="27"/>
      <x:c r="AM92" s="27"/>
      <x:c r="AN92" s="27"/>
      <x:c r="AO92" s="27"/>
      <x:c r="AP92" s="27"/>
      <x:c r="AQ92" s="27"/>
      <x:c r="AR92" s="27" t="str">
        <x:f>IF(C92="","",SUM(H92,N92,T92,Z92,AF92,AL92))</x:f>
      </x:c>
      <x:c r="AS92" s="27" t="str">
        <x:f>IF(C92="","",SUM(I92,O92,U92,AA92,AG92,AM92))</x:f>
      </x:c>
      <x:c r="AT92" s="27" t="str">
        <x:f>IF(C92="","",SUM(J92,P92,V92,AB92,AH92,AN92))</x:f>
      </x:c>
      <x:c r="AU92" s="27" t="str">
        <x:f>IF(C92="","",SUM(K92,Q92,W92,AC92,AI92,AO92))</x:f>
      </x:c>
      <x:c r="AV92" s="27" t="str">
        <x:f>IF(C92="","",SUM(L92,R92,X92,AD92,AJ92,AP92))</x:f>
      </x:c>
      <x:c r="AW92" s="27" t="str">
        <x:f>IF(C92="","",SUM(M92,S92,Y92,AE92,AK92,AQ92))</x:f>
      </x:c>
      <x:c r="AX92" s="27" t="str">
        <x:f>IF(C92="","",IF(IF(AS92*1000000+SUM(U92,AM92)*10000+SUM(O92,AG92)*100+SUM(I92,AA92)+0.005&gt;AR92*1000000+SUM(T92,AL92)*10000+SUM(N92,AF92)*100+SUM(H92,Z92)+0.006,1,0)+IF(AT92*1000000+SUM(V92,AN92)*10000+SUM(P92,AH92)*100+SUM(J92,AB92)+0.004&gt;AR92*1000000+SUM(T92,AL92)*10000+SUM(N92,AF92)*100+SUM(H92,Z92)+0.006,1,0)+IF(AU92*1000000+SUM(W92,AO92)*10000+SUM(Q92,AI92)*100+SUM(K92,AC92)+0.003&gt;AR92*1000000+SUM(T92,AL92)*10000+SUM(N92,AF92)*100+SUM(H92,Z92)+0.006,1,0)+IF(AV92*1000000+SUM(X92,AP92)*10000+SUM(R92,AJ92)*100+SUM(L92,AD92)+0.002&gt;AR92*1000000+SUM(T92,AL92)*10000+SUM(N92,AF92)*100+SUM(H92,Z92)+0.006,1,0)+IF(AW92*1000000+SUM(Y92,AQ92)*10000+SUM(S92,AK92)*100+SUM(M92,AE92)+0.001&gt;AR92*1000000+SUM(T92,AL92)*10000+SUM(N92,AF92)*100+SUM(H92,Z92)+0.006,1,0)=0,"R",IF(IF(AR92*1000000+SUM(T92,AL92)*10000+SUM(N92,AF92)*100+SUM(H92,Z92)+0.006&gt;AS92*1000000+SUM(U92,AM92)*10000+SUM(O92,AG92)*100+SUM(I92,AA92)+0.005,1,0)+IF(AT92*1000000+SUM(V92,AN92)*10000+SUM(P92,AH92)*100+SUM(J92,AB92)+0.004&gt;AS92*1000000+SUM(U92,AM92)*10000+SUM(O92,AG92)*100+SUM(I92,AA92)+0.005,1,0)+IF(AU92*1000000+SUM(W92,AO92)*10000+SUM(Q92,AI92)*100+SUM(K92,AC92)+0.003&gt;AS92*1000000+SUM(U92,AM92)*10000+SUM(O92,AG92)*100+SUM(I92,AA92)+0.005,1,0)+IF(AV92*1000000+SUM(X92,AP92)*10000+SUM(R92,AJ92)*100+SUM(L92,AD92)+0.002&gt;AS92*1000000+SUM(U92,AM92)*10000+SUM(O92,AG92)*100+SUM(I92,AA92)+0.005,1,0)+IF(AW92*1000000+SUM(Y92,AQ92)*10000+SUM(S92,AK92)*100+SUM(M92,AE92)+0.001&gt;AS92*1000000+SUM(U92,AM92)*10000+SUM(O92,AG92)*100+SUM(I92,AA92)+0.005,1,0)=0,"I",IF(IF(AR92*1000000+SUM(T92,AL92)*10000+SUM(N92,AF92)*100+SUM(H92,Z92)+0.006&gt;AT92*1000000+SUM(V92,AN92)*10000+SUM(P92,AH92)*100+SUM(J92,AB92)+0.004,1,0)+IF(AS92*1000000+SUM(U92,AM92)*10000+SUM(O92,AG92)*100+SUM(I92,AA92)+0.005&gt;AT92*1000000+SUM(V92,AN92)*10000+SUM(P92,AH92)*100+SUM(J92,AB92)+0.004,1,0)+IF(AU92*1000000+SUM(W92,AO92)*10000+SUM(Q92,AI92)*100+SUM(K92,AC92)+0.003&gt;AT92*1000000+SUM(V92,AN92)*10000+SUM(P92,AH92)*100+SUM(J92,AB92)+0.004,1,0)+IF(AV92*1000000+SUM(X92,AP92)*10000+SUM(R92,AJ92)*100+SUM(L92,AD92)+0.002&gt;AT92*1000000+SUM(V92,AN92)*10000+SUM(P92,AH92)*100+SUM(J92,AB92)+0.004,1,0)+IF(AW92*1000000+SUM(Y92,AQ92)*10000+SUM(S92,AK92)*100+SUM(M92,AE92)+0.001&gt;AT92*1000000+SUM(V92,AN92)*10000+SUM(P92,AH92)*100+SUM(J92,AB92)+0.004,1,0)=0,"A",IF(IF(AR92*1000000+SUM(T92,AL92)*10000+SUM(N92,AF92)*100+SUM(H92,Z92)+0.006&gt;AU92*1000000+SUM(W92,AO92)*10000+SUM(Q92,AI92)*100+SUM(K92,AC92)+0.003,1,0)+IF(AS92*1000000+SUM(U92,AM92)*10000+SUM(O92,AG92)*100+SUM(I92,AA92)+0.005&gt;AU92*1000000+SUM(W92,AO92)*10000+SUM(Q92,AI92)*100+SUM(K92,AC92)+0.003,1,0)+IF(AT92*1000000+SUM(V92,AN92)*10000+SUM(P92,AH92)*100+SUM(J92,AB92)+0.004&gt;AU92*1000000+SUM(W92,AO92)*10000+SUM(Q92,AI92)*100+SUM(K92,AC92)+0.003,1,0)+IF(AV92*1000000+SUM(X92,AP92)*10000+SUM(R92,AJ92)*100+SUM(L92,AD92)+0.002&gt;AU92*1000000+SUM(W92,AO92)*10000+SUM(Q92,AI92)*100+SUM(K92,AC92)+0.003,1,0)+IF(AW92*1000000+SUM(Y92,AQ92)*10000+SUM(S92,AK92)*100+SUM(M92,AE92)+0.001&gt;AU92*1000000+SUM(W92,AO92)*10000+SUM(Q92,AI92)*100+SUM(K92,AC92)+0.003,1,0)=0,"S",IF(IF(AR92*1000000+SUM(T92,AL92)*10000+SUM(N92,AF92)*100+SUM(H92,Z92)+0.006&gt;AV92*1000000+SUM(X92,AP92)*10000+SUM(R92,AJ92)*100+SUM(L92,AD92)+0.002,1,0)+IF(AS92*1000000+SUM(U92,AM92)*10000+SUM(O92,AG92)*100+SUM(I92,AA92)+0.005&gt;AV92*1000000+SUM(X92,AP92)*10000+SUM(R92,AJ92)*100+SUM(L92,AD92)+0.002,1,0)+IF(AT92*1000000+SUM(V92,AN92)*10000+SUM(P92,AH92)*100+SUM(J92,AB92)+0.004&gt;AV92*1000000+SUM(X92,AP92)*10000+SUM(R92,AJ92)*100+SUM(L92,AD92)+0.002,1,0)+IF(AU92*1000000+SUM(W92,AO92)*10000+SUM(Q92,AI92)*100+SUM(K92,AC92)+0.003&gt;AV92*1000000+SUM(X92,AP92)*10000+SUM(R92,AJ92)*100+SUM(L92,AD92)+0.002,1,0)+IF(AW92*1000000+SUM(Y92,AQ92)*10000+SUM(S92,AK92)*100+SUM(M92,AE92)+0.001&gt;AV92*1000000+SUM(X92,AP92)*10000+SUM(R92,AJ92)*100+SUM(L92,AD92)+0.002,1,0)=0,"E",IF(IF(AR92*1000000+SUM(T92,AL92)*10000+SUM(N92,AF92)*100+SUM(H92,Z92)+0.006&gt;AW92*1000000+SUM(Y92,AQ92)*10000+SUM(S92,AK92)*100+SUM(M92,AE92)+0.001,1,0)+IF(AS92*1000000+SUM(U92,AM92)*10000+SUM(O92,AG92)*100+SUM(I92,AA92)+0.005&gt;AW92*1000000+SUM(Y92,AQ92)*10000+SUM(S92,AK92)*100+SUM(M92,AE92)+0.001,1,0)+IF(AT92*1000000+SUM(V92,AN92)*10000+SUM(P92,AH92)*100+SUM(J92,AB92)+0.004&gt;AW92*1000000+SUM(Y92,AQ92)*10000+SUM(S92,AK92)*100+SUM(M92,AE92)+0.001,1,0)+IF(AU92*1000000+SUM(W92,AO92)*10000+SUM(Q92,AI92)*100+SUM(K92,AC92)+0.003&gt;AW92*1000000+SUM(Y92,AQ92)*10000+SUM(S92,AK92)*100+SUM(M92,AE92)+0.001,1,0)+IF(AV92*1000000+SUM(X92,AP92)*10000+SUM(R92,AJ92)*100+SUM(L92,AD92)+0.002&gt;AW92*1000000+SUM(Y92,AQ92)*10000+SUM(S92,AK92)*100+SUM(M92,AE92)+0.001,1,0)=0,"C",""))))))&amp;IF(IF(AS92*1000000+SUM(U92,AM92)*10000+SUM(O92,AG92)*100+SUM(I92,AA92)+0.005&gt;AR92*1000000+SUM(T92,AL92)*10000+SUM(N92,AF92)*100+SUM(H92,Z92)+0.006,1,0)+IF(AT92*1000000+SUM(V92,AN92)*10000+SUM(P92,AH92)*100+SUM(J92,AB92)+0.004&gt;AR92*1000000+SUM(T92,AL92)*10000+SUM(N92,AF92)*100+SUM(H92,Z92)+0.006,1,0)+IF(AU92*1000000+SUM(W92,AO92)*10000+SUM(Q92,AI92)*100+SUM(K92,AC92)+0.003&gt;AR92*1000000+SUM(T92,AL92)*10000+SUM(N92,AF92)*100+SUM(H92,Z92)+0.006,1,0)+IF(AV92*1000000+SUM(X92,AP92)*10000+SUM(R92,AJ92)*100+SUM(L92,AD92)+0.002&gt;AR92*1000000+SUM(T92,AL92)*10000+SUM(N92,AF92)*100+SUM(H92,Z92)+0.006,1,0)+IF(AW92*1000000+SUM(Y92,AQ92)*10000+SUM(S92,AK92)*100+SUM(M92,AE92)+0.001&gt;AR92*1000000+SUM(T92,AL92)*10000+SUM(N92,AF92)*100+SUM(H92,Z92)+0.006,1,0)=1,"R",IF(IF(AR92*1000000+SUM(T92,AL92)*10000+SUM(N92,AF92)*100+SUM(H92,Z92)+0.006&gt;AS92*1000000+SUM(U92,AM92)*10000+SUM(O92,AG92)*100+SUM(I92,AA92)+0.005,1,0)+IF(AT92*1000000+SUM(V92,AN92)*10000+SUM(P92,AH92)*100+SUM(J92,AB92)+0.004&gt;AS92*1000000+SUM(U92,AM92)*10000+SUM(O92,AG92)*100+SUM(I92,AA92)+0.005,1,0)+IF(AU92*1000000+SUM(W92,AO92)*10000+SUM(Q92,AI92)*100+SUM(K92,AC92)+0.003&gt;AS92*1000000+SUM(U92,AM92)*10000+SUM(O92,AG92)*100+SUM(I92,AA92)+0.005,1,0)+IF(AV92*1000000+SUM(X92,AP92)*10000+SUM(R92,AJ92)*100+SUM(L92,AD92)+0.002&gt;AS92*1000000+SUM(U92,AM92)*10000+SUM(O92,AG92)*100+SUM(I92,AA92)+0.005,1,0)+IF(AW92*1000000+SUM(Y92,AQ92)*10000+SUM(S92,AK92)*100+SUM(M92,AE92)+0.001&gt;AS92*1000000+SUM(U92,AM92)*10000+SUM(O92,AG92)*100+SUM(I92,AA92)+0.005,1,0)=1,"I",IF(IF(AR92*1000000+SUM(T92,AL92)*10000+SUM(N92,AF92)*100+SUM(H92,Z92)+0.006&gt;AT92*1000000+SUM(V92,AN92)*10000+SUM(P92,AH92)*100+SUM(J92,AB92)+0.004,1,0)+IF(AS92*1000000+SUM(U92,AM92)*10000+SUM(O92,AG92)*100+SUM(I92,AA92)+0.005&gt;AT92*1000000+SUM(V92,AN92)*10000+SUM(P92,AH92)*100+SUM(J92,AB92)+0.004,1,0)+IF(AU92*1000000+SUM(W92,AO92)*10000+SUM(Q92,AI92)*100+SUM(K92,AC92)+0.003&gt;AT92*1000000+SUM(V92,AN92)*10000+SUM(P92,AH92)*100+SUM(J92,AB92)+0.004,1,0)+IF(AV92*1000000+SUM(X92,AP92)*10000+SUM(R92,AJ92)*100+SUM(L92,AD92)+0.002&gt;AT92*1000000+SUM(V92,AN92)*10000+SUM(P92,AH92)*100+SUM(J92,AB92)+0.004,1,0)+IF(AW92*1000000+SUM(Y92,AQ92)*10000+SUM(S92,AK92)*100+SUM(M92,AE92)+0.001&gt;AT92*1000000+SUM(V92,AN92)*10000+SUM(P92,AH92)*100+SUM(J92,AB92)+0.004,1,0)=1,"A",IF(IF(AR92*1000000+SUM(T92,AL92)*10000+SUM(N92,AF92)*100+SUM(H92,Z92)+0.006&gt;AU92*1000000+SUM(W92,AO92)*10000+SUM(Q92,AI92)*100+SUM(K92,AC92)+0.003,1,0)+IF(AS92*1000000+SUM(U92,AM92)*10000+SUM(O92,AG92)*100+SUM(I92,AA92)+0.005&gt;AU92*1000000+SUM(W92,AO92)*10000+SUM(Q92,AI92)*100+SUM(K92,AC92)+0.003,1,0)+IF(AT92*1000000+SUM(V92,AN92)*10000+SUM(P92,AH92)*100+SUM(J92,AB92)+0.004&gt;AU92*1000000+SUM(W92,AO92)*10000+SUM(Q92,AI92)*100+SUM(K92,AC92)+0.003,1,0)+IF(AV92*1000000+SUM(X92,AP92)*10000+SUM(R92,AJ92)*100+SUM(L92,AD92)+0.002&gt;AU92*1000000+SUM(W92,AO92)*10000+SUM(Q92,AI92)*100+SUM(K92,AC92)+0.003,1,0)+IF(AW92*1000000+SUM(Y92,AQ92)*10000+SUM(S92,AK92)*100+SUM(M92,AE92)+0.001&gt;AU92*1000000+SUM(W92,AO92)*10000+SUM(Q92,AI92)*100+SUM(K92,AC92)+0.003,1,0)=1,"S",IF(IF(AR92*1000000+SUM(T92,AL92)*10000+SUM(N92,AF92)*100+SUM(H92,Z92)+0.006&gt;AV92*1000000+SUM(X92,AP92)*10000+SUM(R92,AJ92)*100+SUM(L92,AD92)+0.002,1,0)+IF(AS92*1000000+SUM(U92,AM92)*10000+SUM(O92,AG92)*100+SUM(I92,AA92)+0.005&gt;AV92*1000000+SUM(X92,AP92)*10000+SUM(R92,AJ92)*100+SUM(L92,AD92)+0.002,1,0)+IF(AT92*1000000+SUM(V92,AN92)*10000+SUM(P92,AH92)*100+SUM(J92,AB92)+0.004&gt;AV92*1000000+SUM(X92,AP92)*10000+SUM(R92,AJ92)*100+SUM(L92,AD92)+0.002,1,0)+IF(AU92*1000000+SUM(W92,AO92)*10000+SUM(Q92,AI92)*100+SUM(K92,AC92)+0.003&gt;AV92*1000000+SUM(X92,AP92)*10000+SUM(R92,AJ92)*100+SUM(L92,AD92)+0.002,1,0)+IF(AW92*1000000+SUM(Y92,AQ92)*10000+SUM(S92,AK92)*100+SUM(M92,AE92)+0.001&gt;AV92*1000000+SUM(X92,AP92)*10000+SUM(R92,AJ92)*100+SUM(L92,AD92)+0.002,1,0)=1,"E",IF(IF(AR92*1000000+SUM(T92,AL92)*10000+SUM(N92,AF92)*100+SUM(H92,Z92)+0.006&gt;AW92*1000000+SUM(Y92,AQ92)*10000+SUM(S92,AK92)*100+SUM(M92,AE92)+0.001,1,0)+IF(AS92*1000000+SUM(U92,AM92)*10000+SUM(O92,AG92)*100+SUM(I92,AA92)+0.005&gt;AW92*1000000+SUM(Y92,AQ92)*10000+SUM(S92,AK92)*100+SUM(M92,AE92)+0.001,1,0)+IF(AT92*1000000+SUM(V92,AN92)*10000+SUM(P92,AH92)*100+SUM(J92,AB92)+0.004&gt;AW92*1000000+SUM(Y92,AQ92)*10000+SUM(S92,AK92)*100+SUM(M92,AE92)+0.001,1,0)+IF(AU92*1000000+SUM(W92,AO92)*10000+SUM(Q92,AI92)*100+SUM(K92,AC92)+0.003&gt;AW92*1000000+SUM(Y92,AQ92)*10000+SUM(S92,AK92)*100+SUM(M92,AE92)+0.001,1,0)+IF(AV92*1000000+SUM(X92,AP92)*10000+SUM(R92,AJ92)*100+SUM(L92,AD92)+0.002&gt;AW92*1000000+SUM(Y92,AQ92)*10000+SUM(S92,AK92)*100+SUM(M92,AE92)+0.001,1,0)=1,"C",""))))))&amp;IF(IF(AS92*1000000+SUM(U92,AM92)*10000+SUM(O92,AG92)*100+SUM(I92,AA92)+0.005&gt;AR92*1000000+SUM(T92,AL92)*10000+SUM(N92,AF92)*100+SUM(H92,Z92)+0.006,1,0)+IF(AT92*1000000+SUM(V92,AN92)*10000+SUM(P92,AH92)*100+SUM(J92,AB92)+0.004&gt;AR92*1000000+SUM(T92,AL92)*10000+SUM(N92,AF92)*100+SUM(H92,Z92)+0.006,1,0)+IF(AU92*1000000+SUM(W92,AO92)*10000+SUM(Q92,AI92)*100+SUM(K92,AC92)+0.003&gt;AR92*1000000+SUM(T92,AL92)*10000+SUM(N92,AF92)*100+SUM(H92,Z92)+0.006,1,0)+IF(AV92*1000000+SUM(X92,AP92)*10000+SUM(R92,AJ92)*100+SUM(L92,AD92)+0.002&gt;AR92*1000000+SUM(T92,AL92)*10000+SUM(N92,AF92)*100+SUM(H92,Z92)+0.006,1,0)+IF(AW92*1000000+SUM(Y92,AQ92)*10000+SUM(S92,AK92)*100+SUM(M92,AE92)+0.001&gt;AR92*1000000+SUM(T92,AL92)*10000+SUM(N92,AF92)*100+SUM(H92,Z92)+0.006,1,0)=2,"R",IF(IF(AR92*1000000+SUM(T92,AL92)*10000+SUM(N92,AF92)*100+SUM(H92,Z92)+0.006&gt;AS92*1000000+SUM(U92,AM92)*10000+SUM(O92,AG92)*100+SUM(I92,AA92)+0.005,1,0)+IF(AT92*1000000+SUM(V92,AN92)*10000+SUM(P92,AH92)*100+SUM(J92,AB92)+0.004&gt;AS92*1000000+SUM(U92,AM92)*10000+SUM(O92,AG92)*100+SUM(I92,AA92)+0.005,1,0)+IF(AU92*1000000+SUM(W92,AO92)*10000+SUM(Q92,AI92)*100+SUM(K92,AC92)+0.003&gt;AS92*1000000+SUM(U92,AM92)*10000+SUM(O92,AG92)*100+SUM(I92,AA92)+0.005,1,0)+IF(AV92*1000000+SUM(X92,AP92)*10000+SUM(R92,AJ92)*100+SUM(L92,AD92)+0.002&gt;AS92*1000000+SUM(U92,AM92)*10000+SUM(O92,AG92)*100+SUM(I92,AA92)+0.005,1,0)+IF(AW92*1000000+SUM(Y92,AQ92)*10000+SUM(S92,AK92)*100+SUM(M92,AE92)+0.001&gt;AS92*1000000+SUM(U92,AM92)*10000+SUM(O92,AG92)*100+SUM(I92,AA92)+0.005,1,0)=2,"I",IF(IF(AR92*1000000+SUM(T92,AL92)*10000+SUM(N92,AF92)*100+SUM(H92,Z92)+0.006&gt;AT92*1000000+SUM(V92,AN92)*10000+SUM(P92,AH92)*100+SUM(J92,AB92)+0.004,1,0)+IF(AS92*1000000+SUM(U92,AM92)*10000+SUM(O92,AG92)*100+SUM(I92,AA92)+0.005&gt;AT92*1000000+SUM(V92,AN92)*10000+SUM(P92,AH92)*100+SUM(J92,AB92)+0.004,1,0)+IF(AU92*1000000+SUM(W92,AO92)*10000+SUM(Q92,AI92)*100+SUM(K92,AC92)+0.003&gt;AT92*1000000+SUM(V92,AN92)*10000+SUM(P92,AH92)*100+SUM(J92,AB92)+0.004,1,0)+IF(AV92*1000000+SUM(X92,AP92)*10000+SUM(R92,AJ92)*100+SUM(L92,AD92)+0.002&gt;AT92*1000000+SUM(V92,AN92)*10000+SUM(P92,AH92)*100+SUM(J92,AB92)+0.004,1,0)+IF(AW92*1000000+SUM(Y92,AQ92)*10000+SUM(S92,AK92)*100+SUM(M92,AE92)+0.001&gt;AT92*1000000+SUM(V92,AN92)*10000+SUM(P92,AH92)*100+SUM(J92,AB92)+0.004,1,0)=2,"A",IF(IF(AR92*1000000+SUM(T92,AL92)*10000+SUM(N92,AF92)*100+SUM(H92,Z92)+0.006&gt;AU92*1000000+SUM(W92,AO92)*10000+SUM(Q92,AI92)*100+SUM(K92,AC92)+0.003,1,0)+IF(AS92*1000000+SUM(U92,AM92)*10000+SUM(O92,AG92)*100+SUM(I92,AA92)+0.005&gt;AU92*1000000+SUM(W92,AO92)*10000+SUM(Q92,AI92)*100+SUM(K92,AC92)+0.003,1,0)+IF(AT92*1000000+SUM(V92,AN92)*10000+SUM(P92,AH92)*100+SUM(J92,AB92)+0.004&gt;AU92*1000000+SUM(W92,AO92)*10000+SUM(Q92,AI92)*100+SUM(K92,AC92)+0.003,1,0)+IF(AV92*1000000+SUM(X92,AP92)*10000+SUM(R92,AJ92)*100+SUM(L92,AD92)+0.002&gt;AU92*1000000+SUM(W92,AO92)*10000+SUM(Q92,AI92)*100+SUM(K92,AC92)+0.003,1,0)+IF(AW92*1000000+SUM(Y92,AQ92)*10000+SUM(S92,AK92)*100+SUM(M92,AE92)+0.001&gt;AU92*1000000+SUM(W92,AO92)*10000+SUM(Q92,AI92)*100+SUM(K92,AC92)+0.003,1,0)=2,"S",IF(IF(AR92*1000000+SUM(T92,AL92)*10000+SUM(N92,AF92)*100+SUM(H92,Z92)+0.006&gt;AV92*1000000+SUM(X92,AP92)*10000+SUM(R92,AJ92)*100+SUM(L92,AD92)+0.002,1,0)+IF(AS92*1000000+SUM(U92,AM92)*10000+SUM(O92,AG92)*100+SUM(I92,AA92)+0.005&gt;AV92*1000000+SUM(X92,AP92)*10000+SUM(R92,AJ92)*100+SUM(L92,AD92)+0.002,1,0)+IF(AT92*1000000+SUM(V92,AN92)*10000+SUM(P92,AH92)*100+SUM(J92,AB92)+0.004&gt;AV92*1000000+SUM(X92,AP92)*10000+SUM(R92,AJ92)*100+SUM(L92,AD92)+0.002,1,0)+IF(AU92*1000000+SUM(W92,AO92)*10000+SUM(Q92,AI92)*100+SUM(K92,AC92)+0.003&gt;AV92*1000000+SUM(X92,AP92)*10000+SUM(R92,AJ92)*100+SUM(L92,AD92)+0.002,1,0)+IF(AW92*1000000+SUM(Y92,AQ92)*10000+SUM(S92,AK92)*100+SUM(M92,AE92)+0.001&gt;AV92*1000000+SUM(X92,AP92)*10000+SUM(R92,AJ92)*100+SUM(L92,AD92)+0.002,1,0)=2,"E",IF(IF(AR92*1000000+SUM(T92,AL92)*10000+SUM(N92,AF92)*100+SUM(H92,Z92)+0.006&gt;AW92*1000000+SUM(Y92,AQ92)*10000+SUM(S92,AK92)*100+SUM(M92,AE92)+0.001,1,0)+IF(AS92*1000000+SUM(U92,AM92)*10000+SUM(O92,AG92)*100+SUM(I92,AA92)+0.005&gt;AW92*1000000+SUM(Y92,AQ92)*10000+SUM(S92,AK92)*100+SUM(M92,AE92)+0.001,1,0)+IF(AT92*1000000+SUM(V92,AN92)*10000+SUM(P92,AH92)*100+SUM(J92,AB92)+0.004&gt;AW92*1000000+SUM(Y92,AQ92)*10000+SUM(S92,AK92)*100+SUM(M92,AE92)+0.001,1,0)+IF(AU92*1000000+SUM(W92,AO92)*10000+SUM(Q92,AI92)*100+SUM(K92,AC92)+0.003&gt;AW92*1000000+SUM(Y92,AQ92)*10000+SUM(S92,AK92)*100+SUM(M92,AE92)+0.001,1,0)+IF(AV92*1000000+SUM(X92,AP92)*10000+SUM(R92,AJ92)*100+SUM(L92,AD92)+0.002&gt;AW92*1000000+SUM(Y92,AQ92)*10000+SUM(S92,AK92)*100+SUM(M92,AE92)+0.001,1,0)=2,"C","")))))))</x:f>
      </x:c>
      <x:c r="AY92" s="27" t="str">
        <x:f>IF(C92="","",IF(LEFT(AX92,1)="R","นักปฏิบัติ",IF(LEFT(AX92,1)="I","นักคิดวิเคราะห์",IF(LEFT(AX92,1)="A","นักสร้างสรรค์",IF(LEFT(AX92,1)="S","ผู้เข้าใจผู้คน",IF(LEFT(AX92,1)="E","ผู้นำการเปลี่ยนแปลง","ผู้จัดระบบ"))))))</x:f>
      </x:c>
    </x:row>
    <x:row r="93">
      <x:c r="A93" s="27"/>
      <x:c r="B93" s="28"/>
      <x:c r="C93" s="27"/>
      <x:c r="D93" s="27"/>
      <x:c r="E93" s="27"/>
      <x:c r="F93" s="27"/>
      <x:c r="G93" s="27"/>
      <x:c r="H93" s="27"/>
      <x:c r="I93" s="27"/>
      <x:c r="J93" s="27"/>
      <x:c r="K93" s="27"/>
      <x:c r="L93" s="27"/>
      <x:c r="M93" s="27"/>
      <x:c r="N93" s="27"/>
      <x:c r="O93" s="27"/>
      <x:c r="P93" s="27"/>
      <x:c r="Q93" s="27"/>
      <x:c r="R93" s="27"/>
      <x:c r="S93" s="27"/>
      <x:c r="T93" s="27"/>
      <x:c r="U93" s="27"/>
      <x:c r="V93" s="27"/>
      <x:c r="W93" s="27"/>
      <x:c r="X93" s="27"/>
      <x:c r="Y93" s="27"/>
      <x:c r="Z93" s="27"/>
      <x:c r="AA93" s="27"/>
      <x:c r="AB93" s="27"/>
      <x:c r="AC93" s="27"/>
      <x:c r="AD93" s="27"/>
      <x:c r="AE93" s="27"/>
      <x:c r="AF93" s="27"/>
      <x:c r="AG93" s="27"/>
      <x:c r="AH93" s="27"/>
      <x:c r="AI93" s="27"/>
      <x:c r="AJ93" s="27"/>
      <x:c r="AK93" s="27"/>
      <x:c r="AL93" s="27"/>
      <x:c r="AM93" s="27"/>
      <x:c r="AN93" s="27"/>
      <x:c r="AO93" s="27"/>
      <x:c r="AP93" s="27"/>
      <x:c r="AQ93" s="27"/>
      <x:c r="AR93" s="27" t="str">
        <x:f>IF(C93="","",SUM(H93,N93,T93,Z93,AF93,AL93))</x:f>
      </x:c>
      <x:c r="AS93" s="27" t="str">
        <x:f>IF(C93="","",SUM(I93,O93,U93,AA93,AG93,AM93))</x:f>
      </x:c>
      <x:c r="AT93" s="27" t="str">
        <x:f>IF(C93="","",SUM(J93,P93,V93,AB93,AH93,AN93))</x:f>
      </x:c>
      <x:c r="AU93" s="27" t="str">
        <x:f>IF(C93="","",SUM(K93,Q93,W93,AC93,AI93,AO93))</x:f>
      </x:c>
      <x:c r="AV93" s="27" t="str">
        <x:f>IF(C93="","",SUM(L93,R93,X93,AD93,AJ93,AP93))</x:f>
      </x:c>
      <x:c r="AW93" s="27" t="str">
        <x:f>IF(C93="","",SUM(M93,S93,Y93,AE93,AK93,AQ93))</x:f>
      </x:c>
      <x:c r="AX93" s="27" t="str">
        <x:f>IF(C93="","",IF(IF(AS93*1000000+SUM(U93,AM93)*10000+SUM(O93,AG93)*100+SUM(I93,AA93)+0.005&gt;AR93*1000000+SUM(T93,AL93)*10000+SUM(N93,AF93)*100+SUM(H93,Z93)+0.006,1,0)+IF(AT93*1000000+SUM(V93,AN93)*10000+SUM(P93,AH93)*100+SUM(J93,AB93)+0.004&gt;AR93*1000000+SUM(T93,AL93)*10000+SUM(N93,AF93)*100+SUM(H93,Z93)+0.006,1,0)+IF(AU93*1000000+SUM(W93,AO93)*10000+SUM(Q93,AI93)*100+SUM(K93,AC93)+0.003&gt;AR93*1000000+SUM(T93,AL93)*10000+SUM(N93,AF93)*100+SUM(H93,Z93)+0.006,1,0)+IF(AV93*1000000+SUM(X93,AP93)*10000+SUM(R93,AJ93)*100+SUM(L93,AD93)+0.002&gt;AR93*1000000+SUM(T93,AL93)*10000+SUM(N93,AF93)*100+SUM(H93,Z93)+0.006,1,0)+IF(AW93*1000000+SUM(Y93,AQ93)*10000+SUM(S93,AK93)*100+SUM(M93,AE93)+0.001&gt;AR93*1000000+SUM(T93,AL93)*10000+SUM(N93,AF93)*100+SUM(H93,Z93)+0.006,1,0)=0,"R",IF(IF(AR93*1000000+SUM(T93,AL93)*10000+SUM(N93,AF93)*100+SUM(H93,Z93)+0.006&gt;AS93*1000000+SUM(U93,AM93)*10000+SUM(O93,AG93)*100+SUM(I93,AA93)+0.005,1,0)+IF(AT93*1000000+SUM(V93,AN93)*10000+SUM(P93,AH93)*100+SUM(J93,AB93)+0.004&gt;AS93*1000000+SUM(U93,AM93)*10000+SUM(O93,AG93)*100+SUM(I93,AA93)+0.005,1,0)+IF(AU93*1000000+SUM(W93,AO93)*10000+SUM(Q93,AI93)*100+SUM(K93,AC93)+0.003&gt;AS93*1000000+SUM(U93,AM93)*10000+SUM(O93,AG93)*100+SUM(I93,AA93)+0.005,1,0)+IF(AV93*1000000+SUM(X93,AP93)*10000+SUM(R93,AJ93)*100+SUM(L93,AD93)+0.002&gt;AS93*1000000+SUM(U93,AM93)*10000+SUM(O93,AG93)*100+SUM(I93,AA93)+0.005,1,0)+IF(AW93*1000000+SUM(Y93,AQ93)*10000+SUM(S93,AK93)*100+SUM(M93,AE93)+0.001&gt;AS93*1000000+SUM(U93,AM93)*10000+SUM(O93,AG93)*100+SUM(I93,AA93)+0.005,1,0)=0,"I",IF(IF(AR93*1000000+SUM(T93,AL93)*10000+SUM(N93,AF93)*100+SUM(H93,Z93)+0.006&gt;AT93*1000000+SUM(V93,AN93)*10000+SUM(P93,AH93)*100+SUM(J93,AB93)+0.004,1,0)+IF(AS93*1000000+SUM(U93,AM93)*10000+SUM(O93,AG93)*100+SUM(I93,AA93)+0.005&gt;AT93*1000000+SUM(V93,AN93)*10000+SUM(P93,AH93)*100+SUM(J93,AB93)+0.004,1,0)+IF(AU93*1000000+SUM(W93,AO93)*10000+SUM(Q93,AI93)*100+SUM(K93,AC93)+0.003&gt;AT93*1000000+SUM(V93,AN93)*10000+SUM(P93,AH93)*100+SUM(J93,AB93)+0.004,1,0)+IF(AV93*1000000+SUM(X93,AP93)*10000+SUM(R93,AJ93)*100+SUM(L93,AD93)+0.002&gt;AT93*1000000+SUM(V93,AN93)*10000+SUM(P93,AH93)*100+SUM(J93,AB93)+0.004,1,0)+IF(AW93*1000000+SUM(Y93,AQ93)*10000+SUM(S93,AK93)*100+SUM(M93,AE93)+0.001&gt;AT93*1000000+SUM(V93,AN93)*10000+SUM(P93,AH93)*100+SUM(J93,AB93)+0.004,1,0)=0,"A",IF(IF(AR93*1000000+SUM(T93,AL93)*10000+SUM(N93,AF93)*100+SUM(H93,Z93)+0.006&gt;AU93*1000000+SUM(W93,AO93)*10000+SUM(Q93,AI93)*100+SUM(K93,AC93)+0.003,1,0)+IF(AS93*1000000+SUM(U93,AM93)*10000+SUM(O93,AG93)*100+SUM(I93,AA93)+0.005&gt;AU93*1000000+SUM(W93,AO93)*10000+SUM(Q93,AI93)*100+SUM(K93,AC93)+0.003,1,0)+IF(AT93*1000000+SUM(V93,AN93)*10000+SUM(P93,AH93)*100+SUM(J93,AB93)+0.004&gt;AU93*1000000+SUM(W93,AO93)*10000+SUM(Q93,AI93)*100+SUM(K93,AC93)+0.003,1,0)+IF(AV93*1000000+SUM(X93,AP93)*10000+SUM(R93,AJ93)*100+SUM(L93,AD93)+0.002&gt;AU93*1000000+SUM(W93,AO93)*10000+SUM(Q93,AI93)*100+SUM(K93,AC93)+0.003,1,0)+IF(AW93*1000000+SUM(Y93,AQ93)*10000+SUM(S93,AK93)*100+SUM(M93,AE93)+0.001&gt;AU93*1000000+SUM(W93,AO93)*10000+SUM(Q93,AI93)*100+SUM(K93,AC93)+0.003,1,0)=0,"S",IF(IF(AR93*1000000+SUM(T93,AL93)*10000+SUM(N93,AF93)*100+SUM(H93,Z93)+0.006&gt;AV93*1000000+SUM(X93,AP93)*10000+SUM(R93,AJ93)*100+SUM(L93,AD93)+0.002,1,0)+IF(AS93*1000000+SUM(U93,AM93)*10000+SUM(O93,AG93)*100+SUM(I93,AA93)+0.005&gt;AV93*1000000+SUM(X93,AP93)*10000+SUM(R93,AJ93)*100+SUM(L93,AD93)+0.002,1,0)+IF(AT93*1000000+SUM(V93,AN93)*10000+SUM(P93,AH93)*100+SUM(J93,AB93)+0.004&gt;AV93*1000000+SUM(X93,AP93)*10000+SUM(R93,AJ93)*100+SUM(L93,AD93)+0.002,1,0)+IF(AU93*1000000+SUM(W93,AO93)*10000+SUM(Q93,AI93)*100+SUM(K93,AC93)+0.003&gt;AV93*1000000+SUM(X93,AP93)*10000+SUM(R93,AJ93)*100+SUM(L93,AD93)+0.002,1,0)+IF(AW93*1000000+SUM(Y93,AQ93)*10000+SUM(S93,AK93)*100+SUM(M93,AE93)+0.001&gt;AV93*1000000+SUM(X93,AP93)*10000+SUM(R93,AJ93)*100+SUM(L93,AD93)+0.002,1,0)=0,"E",IF(IF(AR93*1000000+SUM(T93,AL93)*10000+SUM(N93,AF93)*100+SUM(H93,Z93)+0.006&gt;AW93*1000000+SUM(Y93,AQ93)*10000+SUM(S93,AK93)*100+SUM(M93,AE93)+0.001,1,0)+IF(AS93*1000000+SUM(U93,AM93)*10000+SUM(O93,AG93)*100+SUM(I93,AA93)+0.005&gt;AW93*1000000+SUM(Y93,AQ93)*10000+SUM(S93,AK93)*100+SUM(M93,AE93)+0.001,1,0)+IF(AT93*1000000+SUM(V93,AN93)*10000+SUM(P93,AH93)*100+SUM(J93,AB93)+0.004&gt;AW93*1000000+SUM(Y93,AQ93)*10000+SUM(S93,AK93)*100+SUM(M93,AE93)+0.001,1,0)+IF(AU93*1000000+SUM(W93,AO93)*10000+SUM(Q93,AI93)*100+SUM(K93,AC93)+0.003&gt;AW93*1000000+SUM(Y93,AQ93)*10000+SUM(S93,AK93)*100+SUM(M93,AE93)+0.001,1,0)+IF(AV93*1000000+SUM(X93,AP93)*10000+SUM(R93,AJ93)*100+SUM(L93,AD93)+0.002&gt;AW93*1000000+SUM(Y93,AQ93)*10000+SUM(S93,AK93)*100+SUM(M93,AE93)+0.001,1,0)=0,"C",""))))))&amp;IF(IF(AS93*1000000+SUM(U93,AM93)*10000+SUM(O93,AG93)*100+SUM(I93,AA93)+0.005&gt;AR93*1000000+SUM(T93,AL93)*10000+SUM(N93,AF93)*100+SUM(H93,Z93)+0.006,1,0)+IF(AT93*1000000+SUM(V93,AN93)*10000+SUM(P93,AH93)*100+SUM(J93,AB93)+0.004&gt;AR93*1000000+SUM(T93,AL93)*10000+SUM(N93,AF93)*100+SUM(H93,Z93)+0.006,1,0)+IF(AU93*1000000+SUM(W93,AO93)*10000+SUM(Q93,AI93)*100+SUM(K93,AC93)+0.003&gt;AR93*1000000+SUM(T93,AL93)*10000+SUM(N93,AF93)*100+SUM(H93,Z93)+0.006,1,0)+IF(AV93*1000000+SUM(X93,AP93)*10000+SUM(R93,AJ93)*100+SUM(L93,AD93)+0.002&gt;AR93*1000000+SUM(T93,AL93)*10000+SUM(N93,AF93)*100+SUM(H93,Z93)+0.006,1,0)+IF(AW93*1000000+SUM(Y93,AQ93)*10000+SUM(S93,AK93)*100+SUM(M93,AE93)+0.001&gt;AR93*1000000+SUM(T93,AL93)*10000+SUM(N93,AF93)*100+SUM(H93,Z93)+0.006,1,0)=1,"R",IF(IF(AR93*1000000+SUM(T93,AL93)*10000+SUM(N93,AF93)*100+SUM(H93,Z93)+0.006&gt;AS93*1000000+SUM(U93,AM93)*10000+SUM(O93,AG93)*100+SUM(I93,AA93)+0.005,1,0)+IF(AT93*1000000+SUM(V93,AN93)*10000+SUM(P93,AH93)*100+SUM(J93,AB93)+0.004&gt;AS93*1000000+SUM(U93,AM93)*10000+SUM(O93,AG93)*100+SUM(I93,AA93)+0.005,1,0)+IF(AU93*1000000+SUM(W93,AO93)*10000+SUM(Q93,AI93)*100+SUM(K93,AC93)+0.003&gt;AS93*1000000+SUM(U93,AM93)*10000+SUM(O93,AG93)*100+SUM(I93,AA93)+0.005,1,0)+IF(AV93*1000000+SUM(X93,AP93)*10000+SUM(R93,AJ93)*100+SUM(L93,AD93)+0.002&gt;AS93*1000000+SUM(U93,AM93)*10000+SUM(O93,AG93)*100+SUM(I93,AA93)+0.005,1,0)+IF(AW93*1000000+SUM(Y93,AQ93)*10000+SUM(S93,AK93)*100+SUM(M93,AE93)+0.001&gt;AS93*1000000+SUM(U93,AM93)*10000+SUM(O93,AG93)*100+SUM(I93,AA93)+0.005,1,0)=1,"I",IF(IF(AR93*1000000+SUM(T93,AL93)*10000+SUM(N93,AF93)*100+SUM(H93,Z93)+0.006&gt;AT93*1000000+SUM(V93,AN93)*10000+SUM(P93,AH93)*100+SUM(J93,AB93)+0.004,1,0)+IF(AS93*1000000+SUM(U93,AM93)*10000+SUM(O93,AG93)*100+SUM(I93,AA93)+0.005&gt;AT93*1000000+SUM(V93,AN93)*10000+SUM(P93,AH93)*100+SUM(J93,AB93)+0.004,1,0)+IF(AU93*1000000+SUM(W93,AO93)*10000+SUM(Q93,AI93)*100+SUM(K93,AC93)+0.003&gt;AT93*1000000+SUM(V93,AN93)*10000+SUM(P93,AH93)*100+SUM(J93,AB93)+0.004,1,0)+IF(AV93*1000000+SUM(X93,AP93)*10000+SUM(R93,AJ93)*100+SUM(L93,AD93)+0.002&gt;AT93*1000000+SUM(V93,AN93)*10000+SUM(P93,AH93)*100+SUM(J93,AB93)+0.004,1,0)+IF(AW93*1000000+SUM(Y93,AQ93)*10000+SUM(S93,AK93)*100+SUM(M93,AE93)+0.001&gt;AT93*1000000+SUM(V93,AN93)*10000+SUM(P93,AH93)*100+SUM(J93,AB93)+0.004,1,0)=1,"A",IF(IF(AR93*1000000+SUM(T93,AL93)*10000+SUM(N93,AF93)*100+SUM(H93,Z93)+0.006&gt;AU93*1000000+SUM(W93,AO93)*10000+SUM(Q93,AI93)*100+SUM(K93,AC93)+0.003,1,0)+IF(AS93*1000000+SUM(U93,AM93)*10000+SUM(O93,AG93)*100+SUM(I93,AA93)+0.005&gt;AU93*1000000+SUM(W93,AO93)*10000+SUM(Q93,AI93)*100+SUM(K93,AC93)+0.003,1,0)+IF(AT93*1000000+SUM(V93,AN93)*10000+SUM(P93,AH93)*100+SUM(J93,AB93)+0.004&gt;AU93*1000000+SUM(W93,AO93)*10000+SUM(Q93,AI93)*100+SUM(K93,AC93)+0.003,1,0)+IF(AV93*1000000+SUM(X93,AP93)*10000+SUM(R93,AJ93)*100+SUM(L93,AD93)+0.002&gt;AU93*1000000+SUM(W93,AO93)*10000+SUM(Q93,AI93)*100+SUM(K93,AC93)+0.003,1,0)+IF(AW93*1000000+SUM(Y93,AQ93)*10000+SUM(S93,AK93)*100+SUM(M93,AE93)+0.001&gt;AU93*1000000+SUM(W93,AO93)*10000+SUM(Q93,AI93)*100+SUM(K93,AC93)+0.003,1,0)=1,"S",IF(IF(AR93*1000000+SUM(T93,AL93)*10000+SUM(N93,AF93)*100+SUM(H93,Z93)+0.006&gt;AV93*1000000+SUM(X93,AP93)*10000+SUM(R93,AJ93)*100+SUM(L93,AD93)+0.002,1,0)+IF(AS93*1000000+SUM(U93,AM93)*10000+SUM(O93,AG93)*100+SUM(I93,AA93)+0.005&gt;AV93*1000000+SUM(X93,AP93)*10000+SUM(R93,AJ93)*100+SUM(L93,AD93)+0.002,1,0)+IF(AT93*1000000+SUM(V93,AN93)*10000+SUM(P93,AH93)*100+SUM(J93,AB93)+0.004&gt;AV93*1000000+SUM(X93,AP93)*10000+SUM(R93,AJ93)*100+SUM(L93,AD93)+0.002,1,0)+IF(AU93*1000000+SUM(W93,AO93)*10000+SUM(Q93,AI93)*100+SUM(K93,AC93)+0.003&gt;AV93*1000000+SUM(X93,AP93)*10000+SUM(R93,AJ93)*100+SUM(L93,AD93)+0.002,1,0)+IF(AW93*1000000+SUM(Y93,AQ93)*10000+SUM(S93,AK93)*100+SUM(M93,AE93)+0.001&gt;AV93*1000000+SUM(X93,AP93)*10000+SUM(R93,AJ93)*100+SUM(L93,AD93)+0.002,1,0)=1,"E",IF(IF(AR93*1000000+SUM(T93,AL93)*10000+SUM(N93,AF93)*100+SUM(H93,Z93)+0.006&gt;AW93*1000000+SUM(Y93,AQ93)*10000+SUM(S93,AK93)*100+SUM(M93,AE93)+0.001,1,0)+IF(AS93*1000000+SUM(U93,AM93)*10000+SUM(O93,AG93)*100+SUM(I93,AA93)+0.005&gt;AW93*1000000+SUM(Y93,AQ93)*10000+SUM(S93,AK93)*100+SUM(M93,AE93)+0.001,1,0)+IF(AT93*1000000+SUM(V93,AN93)*10000+SUM(P93,AH93)*100+SUM(J93,AB93)+0.004&gt;AW93*1000000+SUM(Y93,AQ93)*10000+SUM(S93,AK93)*100+SUM(M93,AE93)+0.001,1,0)+IF(AU93*1000000+SUM(W93,AO93)*10000+SUM(Q93,AI93)*100+SUM(K93,AC93)+0.003&gt;AW93*1000000+SUM(Y93,AQ93)*10000+SUM(S93,AK93)*100+SUM(M93,AE93)+0.001,1,0)+IF(AV93*1000000+SUM(X93,AP93)*10000+SUM(R93,AJ93)*100+SUM(L93,AD93)+0.002&gt;AW93*1000000+SUM(Y93,AQ93)*10000+SUM(S93,AK93)*100+SUM(M93,AE93)+0.001,1,0)=1,"C",""))))))&amp;IF(IF(AS93*1000000+SUM(U93,AM93)*10000+SUM(O93,AG93)*100+SUM(I93,AA93)+0.005&gt;AR93*1000000+SUM(T93,AL93)*10000+SUM(N93,AF93)*100+SUM(H93,Z93)+0.006,1,0)+IF(AT93*1000000+SUM(V93,AN93)*10000+SUM(P93,AH93)*100+SUM(J93,AB93)+0.004&gt;AR93*1000000+SUM(T93,AL93)*10000+SUM(N93,AF93)*100+SUM(H93,Z93)+0.006,1,0)+IF(AU93*1000000+SUM(W93,AO93)*10000+SUM(Q93,AI93)*100+SUM(K93,AC93)+0.003&gt;AR93*1000000+SUM(T93,AL93)*10000+SUM(N93,AF93)*100+SUM(H93,Z93)+0.006,1,0)+IF(AV93*1000000+SUM(X93,AP93)*10000+SUM(R93,AJ93)*100+SUM(L93,AD93)+0.002&gt;AR93*1000000+SUM(T93,AL93)*10000+SUM(N93,AF93)*100+SUM(H93,Z93)+0.006,1,0)+IF(AW93*1000000+SUM(Y93,AQ93)*10000+SUM(S93,AK93)*100+SUM(M93,AE93)+0.001&gt;AR93*1000000+SUM(T93,AL93)*10000+SUM(N93,AF93)*100+SUM(H93,Z93)+0.006,1,0)=2,"R",IF(IF(AR93*1000000+SUM(T93,AL93)*10000+SUM(N93,AF93)*100+SUM(H93,Z93)+0.006&gt;AS93*1000000+SUM(U93,AM93)*10000+SUM(O93,AG93)*100+SUM(I93,AA93)+0.005,1,0)+IF(AT93*1000000+SUM(V93,AN93)*10000+SUM(P93,AH93)*100+SUM(J93,AB93)+0.004&gt;AS93*1000000+SUM(U93,AM93)*10000+SUM(O93,AG93)*100+SUM(I93,AA93)+0.005,1,0)+IF(AU93*1000000+SUM(W93,AO93)*10000+SUM(Q93,AI93)*100+SUM(K93,AC93)+0.003&gt;AS93*1000000+SUM(U93,AM93)*10000+SUM(O93,AG93)*100+SUM(I93,AA93)+0.005,1,0)+IF(AV93*1000000+SUM(X93,AP93)*10000+SUM(R93,AJ93)*100+SUM(L93,AD93)+0.002&gt;AS93*1000000+SUM(U93,AM93)*10000+SUM(O93,AG93)*100+SUM(I93,AA93)+0.005,1,0)+IF(AW93*1000000+SUM(Y93,AQ93)*10000+SUM(S93,AK93)*100+SUM(M93,AE93)+0.001&gt;AS93*1000000+SUM(U93,AM93)*10000+SUM(O93,AG93)*100+SUM(I93,AA93)+0.005,1,0)=2,"I",IF(IF(AR93*1000000+SUM(T93,AL93)*10000+SUM(N93,AF93)*100+SUM(H93,Z93)+0.006&gt;AT93*1000000+SUM(V93,AN93)*10000+SUM(P93,AH93)*100+SUM(J93,AB93)+0.004,1,0)+IF(AS93*1000000+SUM(U93,AM93)*10000+SUM(O93,AG93)*100+SUM(I93,AA93)+0.005&gt;AT93*1000000+SUM(V93,AN93)*10000+SUM(P93,AH93)*100+SUM(J93,AB93)+0.004,1,0)+IF(AU93*1000000+SUM(W93,AO93)*10000+SUM(Q93,AI93)*100+SUM(K93,AC93)+0.003&gt;AT93*1000000+SUM(V93,AN93)*10000+SUM(P93,AH93)*100+SUM(J93,AB93)+0.004,1,0)+IF(AV93*1000000+SUM(X93,AP93)*10000+SUM(R93,AJ93)*100+SUM(L93,AD93)+0.002&gt;AT93*1000000+SUM(V93,AN93)*10000+SUM(P93,AH93)*100+SUM(J93,AB93)+0.004,1,0)+IF(AW93*1000000+SUM(Y93,AQ93)*10000+SUM(S93,AK93)*100+SUM(M93,AE93)+0.001&gt;AT93*1000000+SUM(V93,AN93)*10000+SUM(P93,AH93)*100+SUM(J93,AB93)+0.004,1,0)=2,"A",IF(IF(AR93*1000000+SUM(T93,AL93)*10000+SUM(N93,AF93)*100+SUM(H93,Z93)+0.006&gt;AU93*1000000+SUM(W93,AO93)*10000+SUM(Q93,AI93)*100+SUM(K93,AC93)+0.003,1,0)+IF(AS93*1000000+SUM(U93,AM93)*10000+SUM(O93,AG93)*100+SUM(I93,AA93)+0.005&gt;AU93*1000000+SUM(W93,AO93)*10000+SUM(Q93,AI93)*100+SUM(K93,AC93)+0.003,1,0)+IF(AT93*1000000+SUM(V93,AN93)*10000+SUM(P93,AH93)*100+SUM(J93,AB93)+0.004&gt;AU93*1000000+SUM(W93,AO93)*10000+SUM(Q93,AI93)*100+SUM(K93,AC93)+0.003,1,0)+IF(AV93*1000000+SUM(X93,AP93)*10000+SUM(R93,AJ93)*100+SUM(L93,AD93)+0.002&gt;AU93*1000000+SUM(W93,AO93)*10000+SUM(Q93,AI93)*100+SUM(K93,AC93)+0.003,1,0)+IF(AW93*1000000+SUM(Y93,AQ93)*10000+SUM(S93,AK93)*100+SUM(M93,AE93)+0.001&gt;AU93*1000000+SUM(W93,AO93)*10000+SUM(Q93,AI93)*100+SUM(K93,AC93)+0.003,1,0)=2,"S",IF(IF(AR93*1000000+SUM(T93,AL93)*10000+SUM(N93,AF93)*100+SUM(H93,Z93)+0.006&gt;AV93*1000000+SUM(X93,AP93)*10000+SUM(R93,AJ93)*100+SUM(L93,AD93)+0.002,1,0)+IF(AS93*1000000+SUM(U93,AM93)*10000+SUM(O93,AG93)*100+SUM(I93,AA93)+0.005&gt;AV93*1000000+SUM(X93,AP93)*10000+SUM(R93,AJ93)*100+SUM(L93,AD93)+0.002,1,0)+IF(AT93*1000000+SUM(V93,AN93)*10000+SUM(P93,AH93)*100+SUM(J93,AB93)+0.004&gt;AV93*1000000+SUM(X93,AP93)*10000+SUM(R93,AJ93)*100+SUM(L93,AD93)+0.002,1,0)+IF(AU93*1000000+SUM(W93,AO93)*10000+SUM(Q93,AI93)*100+SUM(K93,AC93)+0.003&gt;AV93*1000000+SUM(X93,AP93)*10000+SUM(R93,AJ93)*100+SUM(L93,AD93)+0.002,1,0)+IF(AW93*1000000+SUM(Y93,AQ93)*10000+SUM(S93,AK93)*100+SUM(M93,AE93)+0.001&gt;AV93*1000000+SUM(X93,AP93)*10000+SUM(R93,AJ93)*100+SUM(L93,AD93)+0.002,1,0)=2,"E",IF(IF(AR93*1000000+SUM(T93,AL93)*10000+SUM(N93,AF93)*100+SUM(H93,Z93)+0.006&gt;AW93*1000000+SUM(Y93,AQ93)*10000+SUM(S93,AK93)*100+SUM(M93,AE93)+0.001,1,0)+IF(AS93*1000000+SUM(U93,AM93)*10000+SUM(O93,AG93)*100+SUM(I93,AA93)+0.005&gt;AW93*1000000+SUM(Y93,AQ93)*10000+SUM(S93,AK93)*100+SUM(M93,AE93)+0.001,1,0)+IF(AT93*1000000+SUM(V93,AN93)*10000+SUM(P93,AH93)*100+SUM(J93,AB93)+0.004&gt;AW93*1000000+SUM(Y93,AQ93)*10000+SUM(S93,AK93)*100+SUM(M93,AE93)+0.001,1,0)+IF(AU93*1000000+SUM(W93,AO93)*10000+SUM(Q93,AI93)*100+SUM(K93,AC93)+0.003&gt;AW93*1000000+SUM(Y93,AQ93)*10000+SUM(S93,AK93)*100+SUM(M93,AE93)+0.001,1,0)+IF(AV93*1000000+SUM(X93,AP93)*10000+SUM(R93,AJ93)*100+SUM(L93,AD93)+0.002&gt;AW93*1000000+SUM(Y93,AQ93)*10000+SUM(S93,AK93)*100+SUM(M93,AE93)+0.001,1,0)=2,"C","")))))))</x:f>
      </x:c>
      <x:c r="AY93" s="27" t="str">
        <x:f>IF(C93="","",IF(LEFT(AX93,1)="R","นักปฏิบัติ",IF(LEFT(AX93,1)="I","นักคิดวิเคราะห์",IF(LEFT(AX93,1)="A","นักสร้างสรรค์",IF(LEFT(AX93,1)="S","ผู้เข้าใจผู้คน",IF(LEFT(AX93,1)="E","ผู้นำการเปลี่ยนแปลง","ผู้จัดระบบ"))))))</x:f>
      </x:c>
    </x:row>
    <x:row r="94">
      <x:c r="A94" s="27"/>
      <x:c r="B94" s="28"/>
      <x:c r="C94" s="27"/>
      <x:c r="D94" s="27"/>
      <x:c r="E94" s="27"/>
      <x:c r="F94" s="27"/>
      <x:c r="G94" s="27"/>
      <x:c r="H94" s="27"/>
      <x:c r="I94" s="27"/>
      <x:c r="J94" s="27"/>
      <x:c r="K94" s="27"/>
      <x:c r="L94" s="27"/>
      <x:c r="M94" s="27"/>
      <x:c r="N94" s="27"/>
      <x:c r="O94" s="27"/>
      <x:c r="P94" s="27"/>
      <x:c r="Q94" s="27"/>
      <x:c r="R94" s="27"/>
      <x:c r="S94" s="27"/>
      <x:c r="T94" s="27"/>
      <x:c r="U94" s="27"/>
      <x:c r="V94" s="27"/>
      <x:c r="W94" s="27"/>
      <x:c r="X94" s="27"/>
      <x:c r="Y94" s="27"/>
      <x:c r="Z94" s="27"/>
      <x:c r="AA94" s="27"/>
      <x:c r="AB94" s="27"/>
      <x:c r="AC94" s="27"/>
      <x:c r="AD94" s="27"/>
      <x:c r="AE94" s="27"/>
      <x:c r="AF94" s="27"/>
      <x:c r="AG94" s="27"/>
      <x:c r="AH94" s="27"/>
      <x:c r="AI94" s="27"/>
      <x:c r="AJ94" s="27"/>
      <x:c r="AK94" s="27"/>
      <x:c r="AL94" s="27"/>
      <x:c r="AM94" s="27"/>
      <x:c r="AN94" s="27"/>
      <x:c r="AO94" s="27"/>
      <x:c r="AP94" s="27"/>
      <x:c r="AQ94" s="27"/>
      <x:c r="AR94" s="27" t="str">
        <x:f>IF(C94="","",SUM(H94,N94,T94,Z94,AF94,AL94))</x:f>
      </x:c>
      <x:c r="AS94" s="27" t="str">
        <x:f>IF(C94="","",SUM(I94,O94,U94,AA94,AG94,AM94))</x:f>
      </x:c>
      <x:c r="AT94" s="27" t="str">
        <x:f>IF(C94="","",SUM(J94,P94,V94,AB94,AH94,AN94))</x:f>
      </x:c>
      <x:c r="AU94" s="27" t="str">
        <x:f>IF(C94="","",SUM(K94,Q94,W94,AC94,AI94,AO94))</x:f>
      </x:c>
      <x:c r="AV94" s="27" t="str">
        <x:f>IF(C94="","",SUM(L94,R94,X94,AD94,AJ94,AP94))</x:f>
      </x:c>
      <x:c r="AW94" s="27" t="str">
        <x:f>IF(C94="","",SUM(M94,S94,Y94,AE94,AK94,AQ94))</x:f>
      </x:c>
      <x:c r="AX94" s="27" t="str">
        <x:f>IF(C94="","",IF(IF(AS94*1000000+SUM(U94,AM94)*10000+SUM(O94,AG94)*100+SUM(I94,AA94)+0.005&gt;AR94*1000000+SUM(T94,AL94)*10000+SUM(N94,AF94)*100+SUM(H94,Z94)+0.006,1,0)+IF(AT94*1000000+SUM(V94,AN94)*10000+SUM(P94,AH94)*100+SUM(J94,AB94)+0.004&gt;AR94*1000000+SUM(T94,AL94)*10000+SUM(N94,AF94)*100+SUM(H94,Z94)+0.006,1,0)+IF(AU94*1000000+SUM(W94,AO94)*10000+SUM(Q94,AI94)*100+SUM(K94,AC94)+0.003&gt;AR94*1000000+SUM(T94,AL94)*10000+SUM(N94,AF94)*100+SUM(H94,Z94)+0.006,1,0)+IF(AV94*1000000+SUM(X94,AP94)*10000+SUM(R94,AJ94)*100+SUM(L94,AD94)+0.002&gt;AR94*1000000+SUM(T94,AL94)*10000+SUM(N94,AF94)*100+SUM(H94,Z94)+0.006,1,0)+IF(AW94*1000000+SUM(Y94,AQ94)*10000+SUM(S94,AK94)*100+SUM(M94,AE94)+0.001&gt;AR94*1000000+SUM(T94,AL94)*10000+SUM(N94,AF94)*100+SUM(H94,Z94)+0.006,1,0)=0,"R",IF(IF(AR94*1000000+SUM(T94,AL94)*10000+SUM(N94,AF94)*100+SUM(H94,Z94)+0.006&gt;AS94*1000000+SUM(U94,AM94)*10000+SUM(O94,AG94)*100+SUM(I94,AA94)+0.005,1,0)+IF(AT94*1000000+SUM(V94,AN94)*10000+SUM(P94,AH94)*100+SUM(J94,AB94)+0.004&gt;AS94*1000000+SUM(U94,AM94)*10000+SUM(O94,AG94)*100+SUM(I94,AA94)+0.005,1,0)+IF(AU94*1000000+SUM(W94,AO94)*10000+SUM(Q94,AI94)*100+SUM(K94,AC94)+0.003&gt;AS94*1000000+SUM(U94,AM94)*10000+SUM(O94,AG94)*100+SUM(I94,AA94)+0.005,1,0)+IF(AV94*1000000+SUM(X94,AP94)*10000+SUM(R94,AJ94)*100+SUM(L94,AD94)+0.002&gt;AS94*1000000+SUM(U94,AM94)*10000+SUM(O94,AG94)*100+SUM(I94,AA94)+0.005,1,0)+IF(AW94*1000000+SUM(Y94,AQ94)*10000+SUM(S94,AK94)*100+SUM(M94,AE94)+0.001&gt;AS94*1000000+SUM(U94,AM94)*10000+SUM(O94,AG94)*100+SUM(I94,AA94)+0.005,1,0)=0,"I",IF(IF(AR94*1000000+SUM(T94,AL94)*10000+SUM(N94,AF94)*100+SUM(H94,Z94)+0.006&gt;AT94*1000000+SUM(V94,AN94)*10000+SUM(P94,AH94)*100+SUM(J94,AB94)+0.004,1,0)+IF(AS94*1000000+SUM(U94,AM94)*10000+SUM(O94,AG94)*100+SUM(I94,AA94)+0.005&gt;AT94*1000000+SUM(V94,AN94)*10000+SUM(P94,AH94)*100+SUM(J94,AB94)+0.004,1,0)+IF(AU94*1000000+SUM(W94,AO94)*10000+SUM(Q94,AI94)*100+SUM(K94,AC94)+0.003&gt;AT94*1000000+SUM(V94,AN94)*10000+SUM(P94,AH94)*100+SUM(J94,AB94)+0.004,1,0)+IF(AV94*1000000+SUM(X94,AP94)*10000+SUM(R94,AJ94)*100+SUM(L94,AD94)+0.002&gt;AT94*1000000+SUM(V94,AN94)*10000+SUM(P94,AH94)*100+SUM(J94,AB94)+0.004,1,0)+IF(AW94*1000000+SUM(Y94,AQ94)*10000+SUM(S94,AK94)*100+SUM(M94,AE94)+0.001&gt;AT94*1000000+SUM(V94,AN94)*10000+SUM(P94,AH94)*100+SUM(J94,AB94)+0.004,1,0)=0,"A",IF(IF(AR94*1000000+SUM(T94,AL94)*10000+SUM(N94,AF94)*100+SUM(H94,Z94)+0.006&gt;AU94*1000000+SUM(W94,AO94)*10000+SUM(Q94,AI94)*100+SUM(K94,AC94)+0.003,1,0)+IF(AS94*1000000+SUM(U94,AM94)*10000+SUM(O94,AG94)*100+SUM(I94,AA94)+0.005&gt;AU94*1000000+SUM(W94,AO94)*10000+SUM(Q94,AI94)*100+SUM(K94,AC94)+0.003,1,0)+IF(AT94*1000000+SUM(V94,AN94)*10000+SUM(P94,AH94)*100+SUM(J94,AB94)+0.004&gt;AU94*1000000+SUM(W94,AO94)*10000+SUM(Q94,AI94)*100+SUM(K94,AC94)+0.003,1,0)+IF(AV94*1000000+SUM(X94,AP94)*10000+SUM(R94,AJ94)*100+SUM(L94,AD94)+0.002&gt;AU94*1000000+SUM(W94,AO94)*10000+SUM(Q94,AI94)*100+SUM(K94,AC94)+0.003,1,0)+IF(AW94*1000000+SUM(Y94,AQ94)*10000+SUM(S94,AK94)*100+SUM(M94,AE94)+0.001&gt;AU94*1000000+SUM(W94,AO94)*10000+SUM(Q94,AI94)*100+SUM(K94,AC94)+0.003,1,0)=0,"S",IF(IF(AR94*1000000+SUM(T94,AL94)*10000+SUM(N94,AF94)*100+SUM(H94,Z94)+0.006&gt;AV94*1000000+SUM(X94,AP94)*10000+SUM(R94,AJ94)*100+SUM(L94,AD94)+0.002,1,0)+IF(AS94*1000000+SUM(U94,AM94)*10000+SUM(O94,AG94)*100+SUM(I94,AA94)+0.005&gt;AV94*1000000+SUM(X94,AP94)*10000+SUM(R94,AJ94)*100+SUM(L94,AD94)+0.002,1,0)+IF(AT94*1000000+SUM(V94,AN94)*10000+SUM(P94,AH94)*100+SUM(J94,AB94)+0.004&gt;AV94*1000000+SUM(X94,AP94)*10000+SUM(R94,AJ94)*100+SUM(L94,AD94)+0.002,1,0)+IF(AU94*1000000+SUM(W94,AO94)*10000+SUM(Q94,AI94)*100+SUM(K94,AC94)+0.003&gt;AV94*1000000+SUM(X94,AP94)*10000+SUM(R94,AJ94)*100+SUM(L94,AD94)+0.002,1,0)+IF(AW94*1000000+SUM(Y94,AQ94)*10000+SUM(S94,AK94)*100+SUM(M94,AE94)+0.001&gt;AV94*1000000+SUM(X94,AP94)*10000+SUM(R94,AJ94)*100+SUM(L94,AD94)+0.002,1,0)=0,"E",IF(IF(AR94*1000000+SUM(T94,AL94)*10000+SUM(N94,AF94)*100+SUM(H94,Z94)+0.006&gt;AW94*1000000+SUM(Y94,AQ94)*10000+SUM(S94,AK94)*100+SUM(M94,AE94)+0.001,1,0)+IF(AS94*1000000+SUM(U94,AM94)*10000+SUM(O94,AG94)*100+SUM(I94,AA94)+0.005&gt;AW94*1000000+SUM(Y94,AQ94)*10000+SUM(S94,AK94)*100+SUM(M94,AE94)+0.001,1,0)+IF(AT94*1000000+SUM(V94,AN94)*10000+SUM(P94,AH94)*100+SUM(J94,AB94)+0.004&gt;AW94*1000000+SUM(Y94,AQ94)*10000+SUM(S94,AK94)*100+SUM(M94,AE94)+0.001,1,0)+IF(AU94*1000000+SUM(W94,AO94)*10000+SUM(Q94,AI94)*100+SUM(K94,AC94)+0.003&gt;AW94*1000000+SUM(Y94,AQ94)*10000+SUM(S94,AK94)*100+SUM(M94,AE94)+0.001,1,0)+IF(AV94*1000000+SUM(X94,AP94)*10000+SUM(R94,AJ94)*100+SUM(L94,AD94)+0.002&gt;AW94*1000000+SUM(Y94,AQ94)*10000+SUM(S94,AK94)*100+SUM(M94,AE94)+0.001,1,0)=0,"C",""))))))&amp;IF(IF(AS94*1000000+SUM(U94,AM94)*10000+SUM(O94,AG94)*100+SUM(I94,AA94)+0.005&gt;AR94*1000000+SUM(T94,AL94)*10000+SUM(N94,AF94)*100+SUM(H94,Z94)+0.006,1,0)+IF(AT94*1000000+SUM(V94,AN94)*10000+SUM(P94,AH94)*100+SUM(J94,AB94)+0.004&gt;AR94*1000000+SUM(T94,AL94)*10000+SUM(N94,AF94)*100+SUM(H94,Z94)+0.006,1,0)+IF(AU94*1000000+SUM(W94,AO94)*10000+SUM(Q94,AI94)*100+SUM(K94,AC94)+0.003&gt;AR94*1000000+SUM(T94,AL94)*10000+SUM(N94,AF94)*100+SUM(H94,Z94)+0.006,1,0)+IF(AV94*1000000+SUM(X94,AP94)*10000+SUM(R94,AJ94)*100+SUM(L94,AD94)+0.002&gt;AR94*1000000+SUM(T94,AL94)*10000+SUM(N94,AF94)*100+SUM(H94,Z94)+0.006,1,0)+IF(AW94*1000000+SUM(Y94,AQ94)*10000+SUM(S94,AK94)*100+SUM(M94,AE94)+0.001&gt;AR94*1000000+SUM(T94,AL94)*10000+SUM(N94,AF94)*100+SUM(H94,Z94)+0.006,1,0)=1,"R",IF(IF(AR94*1000000+SUM(T94,AL94)*10000+SUM(N94,AF94)*100+SUM(H94,Z94)+0.006&gt;AS94*1000000+SUM(U94,AM94)*10000+SUM(O94,AG94)*100+SUM(I94,AA94)+0.005,1,0)+IF(AT94*1000000+SUM(V94,AN94)*10000+SUM(P94,AH94)*100+SUM(J94,AB94)+0.004&gt;AS94*1000000+SUM(U94,AM94)*10000+SUM(O94,AG94)*100+SUM(I94,AA94)+0.005,1,0)+IF(AU94*1000000+SUM(W94,AO94)*10000+SUM(Q94,AI94)*100+SUM(K94,AC94)+0.003&gt;AS94*1000000+SUM(U94,AM94)*10000+SUM(O94,AG94)*100+SUM(I94,AA94)+0.005,1,0)+IF(AV94*1000000+SUM(X94,AP94)*10000+SUM(R94,AJ94)*100+SUM(L94,AD94)+0.002&gt;AS94*1000000+SUM(U94,AM94)*10000+SUM(O94,AG94)*100+SUM(I94,AA94)+0.005,1,0)+IF(AW94*1000000+SUM(Y94,AQ94)*10000+SUM(S94,AK94)*100+SUM(M94,AE94)+0.001&gt;AS94*1000000+SUM(U94,AM94)*10000+SUM(O94,AG94)*100+SUM(I94,AA94)+0.005,1,0)=1,"I",IF(IF(AR94*1000000+SUM(T94,AL94)*10000+SUM(N94,AF94)*100+SUM(H94,Z94)+0.006&gt;AT94*1000000+SUM(V94,AN94)*10000+SUM(P94,AH94)*100+SUM(J94,AB94)+0.004,1,0)+IF(AS94*1000000+SUM(U94,AM94)*10000+SUM(O94,AG94)*100+SUM(I94,AA94)+0.005&gt;AT94*1000000+SUM(V94,AN94)*10000+SUM(P94,AH94)*100+SUM(J94,AB94)+0.004,1,0)+IF(AU94*1000000+SUM(W94,AO94)*10000+SUM(Q94,AI94)*100+SUM(K94,AC94)+0.003&gt;AT94*1000000+SUM(V94,AN94)*10000+SUM(P94,AH94)*100+SUM(J94,AB94)+0.004,1,0)+IF(AV94*1000000+SUM(X94,AP94)*10000+SUM(R94,AJ94)*100+SUM(L94,AD94)+0.002&gt;AT94*1000000+SUM(V94,AN94)*10000+SUM(P94,AH94)*100+SUM(J94,AB94)+0.004,1,0)+IF(AW94*1000000+SUM(Y94,AQ94)*10000+SUM(S94,AK94)*100+SUM(M94,AE94)+0.001&gt;AT94*1000000+SUM(V94,AN94)*10000+SUM(P94,AH94)*100+SUM(J94,AB94)+0.004,1,0)=1,"A",IF(IF(AR94*1000000+SUM(T94,AL94)*10000+SUM(N94,AF94)*100+SUM(H94,Z94)+0.006&gt;AU94*1000000+SUM(W94,AO94)*10000+SUM(Q94,AI94)*100+SUM(K94,AC94)+0.003,1,0)+IF(AS94*1000000+SUM(U94,AM94)*10000+SUM(O94,AG94)*100+SUM(I94,AA94)+0.005&gt;AU94*1000000+SUM(W94,AO94)*10000+SUM(Q94,AI94)*100+SUM(K94,AC94)+0.003,1,0)+IF(AT94*1000000+SUM(V94,AN94)*10000+SUM(P94,AH94)*100+SUM(J94,AB94)+0.004&gt;AU94*1000000+SUM(W94,AO94)*10000+SUM(Q94,AI94)*100+SUM(K94,AC94)+0.003,1,0)+IF(AV94*1000000+SUM(X94,AP94)*10000+SUM(R94,AJ94)*100+SUM(L94,AD94)+0.002&gt;AU94*1000000+SUM(W94,AO94)*10000+SUM(Q94,AI94)*100+SUM(K94,AC94)+0.003,1,0)+IF(AW94*1000000+SUM(Y94,AQ94)*10000+SUM(S94,AK94)*100+SUM(M94,AE94)+0.001&gt;AU94*1000000+SUM(W94,AO94)*10000+SUM(Q94,AI94)*100+SUM(K94,AC94)+0.003,1,0)=1,"S",IF(IF(AR94*1000000+SUM(T94,AL94)*10000+SUM(N94,AF94)*100+SUM(H94,Z94)+0.006&gt;AV94*1000000+SUM(X94,AP94)*10000+SUM(R94,AJ94)*100+SUM(L94,AD94)+0.002,1,0)+IF(AS94*1000000+SUM(U94,AM94)*10000+SUM(O94,AG94)*100+SUM(I94,AA94)+0.005&gt;AV94*1000000+SUM(X94,AP94)*10000+SUM(R94,AJ94)*100+SUM(L94,AD94)+0.002,1,0)+IF(AT94*1000000+SUM(V94,AN94)*10000+SUM(P94,AH94)*100+SUM(J94,AB94)+0.004&gt;AV94*1000000+SUM(X94,AP94)*10000+SUM(R94,AJ94)*100+SUM(L94,AD94)+0.002,1,0)+IF(AU94*1000000+SUM(W94,AO94)*10000+SUM(Q94,AI94)*100+SUM(K94,AC94)+0.003&gt;AV94*1000000+SUM(X94,AP94)*10000+SUM(R94,AJ94)*100+SUM(L94,AD94)+0.002,1,0)+IF(AW94*1000000+SUM(Y94,AQ94)*10000+SUM(S94,AK94)*100+SUM(M94,AE94)+0.001&gt;AV94*1000000+SUM(X94,AP94)*10000+SUM(R94,AJ94)*100+SUM(L94,AD94)+0.002,1,0)=1,"E",IF(IF(AR94*1000000+SUM(T94,AL94)*10000+SUM(N94,AF94)*100+SUM(H94,Z94)+0.006&gt;AW94*1000000+SUM(Y94,AQ94)*10000+SUM(S94,AK94)*100+SUM(M94,AE94)+0.001,1,0)+IF(AS94*1000000+SUM(U94,AM94)*10000+SUM(O94,AG94)*100+SUM(I94,AA94)+0.005&gt;AW94*1000000+SUM(Y94,AQ94)*10000+SUM(S94,AK94)*100+SUM(M94,AE94)+0.001,1,0)+IF(AT94*1000000+SUM(V94,AN94)*10000+SUM(P94,AH94)*100+SUM(J94,AB94)+0.004&gt;AW94*1000000+SUM(Y94,AQ94)*10000+SUM(S94,AK94)*100+SUM(M94,AE94)+0.001,1,0)+IF(AU94*1000000+SUM(W94,AO94)*10000+SUM(Q94,AI94)*100+SUM(K94,AC94)+0.003&gt;AW94*1000000+SUM(Y94,AQ94)*10000+SUM(S94,AK94)*100+SUM(M94,AE94)+0.001,1,0)+IF(AV94*1000000+SUM(X94,AP94)*10000+SUM(R94,AJ94)*100+SUM(L94,AD94)+0.002&gt;AW94*1000000+SUM(Y94,AQ94)*10000+SUM(S94,AK94)*100+SUM(M94,AE94)+0.001,1,0)=1,"C",""))))))&amp;IF(IF(AS94*1000000+SUM(U94,AM94)*10000+SUM(O94,AG94)*100+SUM(I94,AA94)+0.005&gt;AR94*1000000+SUM(T94,AL94)*10000+SUM(N94,AF94)*100+SUM(H94,Z94)+0.006,1,0)+IF(AT94*1000000+SUM(V94,AN94)*10000+SUM(P94,AH94)*100+SUM(J94,AB94)+0.004&gt;AR94*1000000+SUM(T94,AL94)*10000+SUM(N94,AF94)*100+SUM(H94,Z94)+0.006,1,0)+IF(AU94*1000000+SUM(W94,AO94)*10000+SUM(Q94,AI94)*100+SUM(K94,AC94)+0.003&gt;AR94*1000000+SUM(T94,AL94)*10000+SUM(N94,AF94)*100+SUM(H94,Z94)+0.006,1,0)+IF(AV94*1000000+SUM(X94,AP94)*10000+SUM(R94,AJ94)*100+SUM(L94,AD94)+0.002&gt;AR94*1000000+SUM(T94,AL94)*10000+SUM(N94,AF94)*100+SUM(H94,Z94)+0.006,1,0)+IF(AW94*1000000+SUM(Y94,AQ94)*10000+SUM(S94,AK94)*100+SUM(M94,AE94)+0.001&gt;AR94*1000000+SUM(T94,AL94)*10000+SUM(N94,AF94)*100+SUM(H94,Z94)+0.006,1,0)=2,"R",IF(IF(AR94*1000000+SUM(T94,AL94)*10000+SUM(N94,AF94)*100+SUM(H94,Z94)+0.006&gt;AS94*1000000+SUM(U94,AM94)*10000+SUM(O94,AG94)*100+SUM(I94,AA94)+0.005,1,0)+IF(AT94*1000000+SUM(V94,AN94)*10000+SUM(P94,AH94)*100+SUM(J94,AB94)+0.004&gt;AS94*1000000+SUM(U94,AM94)*10000+SUM(O94,AG94)*100+SUM(I94,AA94)+0.005,1,0)+IF(AU94*1000000+SUM(W94,AO94)*10000+SUM(Q94,AI94)*100+SUM(K94,AC94)+0.003&gt;AS94*1000000+SUM(U94,AM94)*10000+SUM(O94,AG94)*100+SUM(I94,AA94)+0.005,1,0)+IF(AV94*1000000+SUM(X94,AP94)*10000+SUM(R94,AJ94)*100+SUM(L94,AD94)+0.002&gt;AS94*1000000+SUM(U94,AM94)*10000+SUM(O94,AG94)*100+SUM(I94,AA94)+0.005,1,0)+IF(AW94*1000000+SUM(Y94,AQ94)*10000+SUM(S94,AK94)*100+SUM(M94,AE94)+0.001&gt;AS94*1000000+SUM(U94,AM94)*10000+SUM(O94,AG94)*100+SUM(I94,AA94)+0.005,1,0)=2,"I",IF(IF(AR94*1000000+SUM(T94,AL94)*10000+SUM(N94,AF94)*100+SUM(H94,Z94)+0.006&gt;AT94*1000000+SUM(V94,AN94)*10000+SUM(P94,AH94)*100+SUM(J94,AB94)+0.004,1,0)+IF(AS94*1000000+SUM(U94,AM94)*10000+SUM(O94,AG94)*100+SUM(I94,AA94)+0.005&gt;AT94*1000000+SUM(V94,AN94)*10000+SUM(P94,AH94)*100+SUM(J94,AB94)+0.004,1,0)+IF(AU94*1000000+SUM(W94,AO94)*10000+SUM(Q94,AI94)*100+SUM(K94,AC94)+0.003&gt;AT94*1000000+SUM(V94,AN94)*10000+SUM(P94,AH94)*100+SUM(J94,AB94)+0.004,1,0)+IF(AV94*1000000+SUM(X94,AP94)*10000+SUM(R94,AJ94)*100+SUM(L94,AD94)+0.002&gt;AT94*1000000+SUM(V94,AN94)*10000+SUM(P94,AH94)*100+SUM(J94,AB94)+0.004,1,0)+IF(AW94*1000000+SUM(Y94,AQ94)*10000+SUM(S94,AK94)*100+SUM(M94,AE94)+0.001&gt;AT94*1000000+SUM(V94,AN94)*10000+SUM(P94,AH94)*100+SUM(J94,AB94)+0.004,1,0)=2,"A",IF(IF(AR94*1000000+SUM(T94,AL94)*10000+SUM(N94,AF94)*100+SUM(H94,Z94)+0.006&gt;AU94*1000000+SUM(W94,AO94)*10000+SUM(Q94,AI94)*100+SUM(K94,AC94)+0.003,1,0)+IF(AS94*1000000+SUM(U94,AM94)*10000+SUM(O94,AG94)*100+SUM(I94,AA94)+0.005&gt;AU94*1000000+SUM(W94,AO94)*10000+SUM(Q94,AI94)*100+SUM(K94,AC94)+0.003,1,0)+IF(AT94*1000000+SUM(V94,AN94)*10000+SUM(P94,AH94)*100+SUM(J94,AB94)+0.004&gt;AU94*1000000+SUM(W94,AO94)*10000+SUM(Q94,AI94)*100+SUM(K94,AC94)+0.003,1,0)+IF(AV94*1000000+SUM(X94,AP94)*10000+SUM(R94,AJ94)*100+SUM(L94,AD94)+0.002&gt;AU94*1000000+SUM(W94,AO94)*10000+SUM(Q94,AI94)*100+SUM(K94,AC94)+0.003,1,0)+IF(AW94*1000000+SUM(Y94,AQ94)*10000+SUM(S94,AK94)*100+SUM(M94,AE94)+0.001&gt;AU94*1000000+SUM(W94,AO94)*10000+SUM(Q94,AI94)*100+SUM(K94,AC94)+0.003,1,0)=2,"S",IF(IF(AR94*1000000+SUM(T94,AL94)*10000+SUM(N94,AF94)*100+SUM(H94,Z94)+0.006&gt;AV94*1000000+SUM(X94,AP94)*10000+SUM(R94,AJ94)*100+SUM(L94,AD94)+0.002,1,0)+IF(AS94*1000000+SUM(U94,AM94)*10000+SUM(O94,AG94)*100+SUM(I94,AA94)+0.005&gt;AV94*1000000+SUM(X94,AP94)*10000+SUM(R94,AJ94)*100+SUM(L94,AD94)+0.002,1,0)+IF(AT94*1000000+SUM(V94,AN94)*10000+SUM(P94,AH94)*100+SUM(J94,AB94)+0.004&gt;AV94*1000000+SUM(X94,AP94)*10000+SUM(R94,AJ94)*100+SUM(L94,AD94)+0.002,1,0)+IF(AU94*1000000+SUM(W94,AO94)*10000+SUM(Q94,AI94)*100+SUM(K94,AC94)+0.003&gt;AV94*1000000+SUM(X94,AP94)*10000+SUM(R94,AJ94)*100+SUM(L94,AD94)+0.002,1,0)+IF(AW94*1000000+SUM(Y94,AQ94)*10000+SUM(S94,AK94)*100+SUM(M94,AE94)+0.001&gt;AV94*1000000+SUM(X94,AP94)*10000+SUM(R94,AJ94)*100+SUM(L94,AD94)+0.002,1,0)=2,"E",IF(IF(AR94*1000000+SUM(T94,AL94)*10000+SUM(N94,AF94)*100+SUM(H94,Z94)+0.006&gt;AW94*1000000+SUM(Y94,AQ94)*10000+SUM(S94,AK94)*100+SUM(M94,AE94)+0.001,1,0)+IF(AS94*1000000+SUM(U94,AM94)*10000+SUM(O94,AG94)*100+SUM(I94,AA94)+0.005&gt;AW94*1000000+SUM(Y94,AQ94)*10000+SUM(S94,AK94)*100+SUM(M94,AE94)+0.001,1,0)+IF(AT94*1000000+SUM(V94,AN94)*10000+SUM(P94,AH94)*100+SUM(J94,AB94)+0.004&gt;AW94*1000000+SUM(Y94,AQ94)*10000+SUM(S94,AK94)*100+SUM(M94,AE94)+0.001,1,0)+IF(AU94*1000000+SUM(W94,AO94)*10000+SUM(Q94,AI94)*100+SUM(K94,AC94)+0.003&gt;AW94*1000000+SUM(Y94,AQ94)*10000+SUM(S94,AK94)*100+SUM(M94,AE94)+0.001,1,0)+IF(AV94*1000000+SUM(X94,AP94)*10000+SUM(R94,AJ94)*100+SUM(L94,AD94)+0.002&gt;AW94*1000000+SUM(Y94,AQ94)*10000+SUM(S94,AK94)*100+SUM(M94,AE94)+0.001,1,0)=2,"C","")))))))</x:f>
      </x:c>
      <x:c r="AY94" s="27" t="str">
        <x:f>IF(C94="","",IF(LEFT(AX94,1)="R","นักปฏิบัติ",IF(LEFT(AX94,1)="I","นักคิดวิเคราะห์",IF(LEFT(AX94,1)="A","นักสร้างสรรค์",IF(LEFT(AX94,1)="S","ผู้เข้าใจผู้คน",IF(LEFT(AX94,1)="E","ผู้นำการเปลี่ยนแปลง","ผู้จัดระบบ"))))))</x:f>
      </x:c>
    </x:row>
    <x:row r="95">
      <x:c r="A95" s="27"/>
      <x:c r="B95" s="28"/>
      <x:c r="C95" s="27"/>
      <x:c r="D95" s="27"/>
      <x:c r="E95" s="27"/>
      <x:c r="F95" s="27"/>
      <x:c r="G95" s="27"/>
      <x:c r="H95" s="27"/>
      <x:c r="I95" s="27"/>
      <x:c r="J95" s="27"/>
      <x:c r="K95" s="27"/>
      <x:c r="L95" s="27"/>
      <x:c r="M95" s="27"/>
      <x:c r="N95" s="27"/>
      <x:c r="O95" s="27"/>
      <x:c r="P95" s="27"/>
      <x:c r="Q95" s="27"/>
      <x:c r="R95" s="27"/>
      <x:c r="S95" s="27"/>
      <x:c r="T95" s="27"/>
      <x:c r="U95" s="27"/>
      <x:c r="V95" s="27"/>
      <x:c r="W95" s="27"/>
      <x:c r="X95" s="27"/>
      <x:c r="Y95" s="27"/>
      <x:c r="Z95" s="27"/>
      <x:c r="AA95" s="27"/>
      <x:c r="AB95" s="27"/>
      <x:c r="AC95" s="27"/>
      <x:c r="AD95" s="27"/>
      <x:c r="AE95" s="27"/>
      <x:c r="AF95" s="27"/>
      <x:c r="AG95" s="27"/>
      <x:c r="AH95" s="27"/>
      <x:c r="AI95" s="27"/>
      <x:c r="AJ95" s="27"/>
      <x:c r="AK95" s="27"/>
      <x:c r="AL95" s="27"/>
      <x:c r="AM95" s="27"/>
      <x:c r="AN95" s="27"/>
      <x:c r="AO95" s="27"/>
      <x:c r="AP95" s="27"/>
      <x:c r="AQ95" s="27"/>
      <x:c r="AR95" s="27" t="str">
        <x:f>IF(C95="","",SUM(H95,N95,T95,Z95,AF95,AL95))</x:f>
      </x:c>
      <x:c r="AS95" s="27" t="str">
        <x:f>IF(C95="","",SUM(I95,O95,U95,AA95,AG95,AM95))</x:f>
      </x:c>
      <x:c r="AT95" s="27" t="str">
        <x:f>IF(C95="","",SUM(J95,P95,V95,AB95,AH95,AN95))</x:f>
      </x:c>
      <x:c r="AU95" s="27" t="str">
        <x:f>IF(C95="","",SUM(K95,Q95,W95,AC95,AI95,AO95))</x:f>
      </x:c>
      <x:c r="AV95" s="27" t="str">
        <x:f>IF(C95="","",SUM(L95,R95,X95,AD95,AJ95,AP95))</x:f>
      </x:c>
      <x:c r="AW95" s="27" t="str">
        <x:f>IF(C95="","",SUM(M95,S95,Y95,AE95,AK95,AQ95))</x:f>
      </x:c>
      <x:c r="AX95" s="27" t="str">
        <x:f>IF(C95="","",IF(IF(AS95*1000000+SUM(U95,AM95)*10000+SUM(O95,AG95)*100+SUM(I95,AA95)+0.005&gt;AR95*1000000+SUM(T95,AL95)*10000+SUM(N95,AF95)*100+SUM(H95,Z95)+0.006,1,0)+IF(AT95*1000000+SUM(V95,AN95)*10000+SUM(P95,AH95)*100+SUM(J95,AB95)+0.004&gt;AR95*1000000+SUM(T95,AL95)*10000+SUM(N95,AF95)*100+SUM(H95,Z95)+0.006,1,0)+IF(AU95*1000000+SUM(W95,AO95)*10000+SUM(Q95,AI95)*100+SUM(K95,AC95)+0.003&gt;AR95*1000000+SUM(T95,AL95)*10000+SUM(N95,AF95)*100+SUM(H95,Z95)+0.006,1,0)+IF(AV95*1000000+SUM(X95,AP95)*10000+SUM(R95,AJ95)*100+SUM(L95,AD95)+0.002&gt;AR95*1000000+SUM(T95,AL95)*10000+SUM(N95,AF95)*100+SUM(H95,Z95)+0.006,1,0)+IF(AW95*1000000+SUM(Y95,AQ95)*10000+SUM(S95,AK95)*100+SUM(M95,AE95)+0.001&gt;AR95*1000000+SUM(T95,AL95)*10000+SUM(N95,AF95)*100+SUM(H95,Z95)+0.006,1,0)=0,"R",IF(IF(AR95*1000000+SUM(T95,AL95)*10000+SUM(N95,AF95)*100+SUM(H95,Z95)+0.006&gt;AS95*1000000+SUM(U95,AM95)*10000+SUM(O95,AG95)*100+SUM(I95,AA95)+0.005,1,0)+IF(AT95*1000000+SUM(V95,AN95)*10000+SUM(P95,AH95)*100+SUM(J95,AB95)+0.004&gt;AS95*1000000+SUM(U95,AM95)*10000+SUM(O95,AG95)*100+SUM(I95,AA95)+0.005,1,0)+IF(AU95*1000000+SUM(W95,AO95)*10000+SUM(Q95,AI95)*100+SUM(K95,AC95)+0.003&gt;AS95*1000000+SUM(U95,AM95)*10000+SUM(O95,AG95)*100+SUM(I95,AA95)+0.005,1,0)+IF(AV95*1000000+SUM(X95,AP95)*10000+SUM(R95,AJ95)*100+SUM(L95,AD95)+0.002&gt;AS95*1000000+SUM(U95,AM95)*10000+SUM(O95,AG95)*100+SUM(I95,AA95)+0.005,1,0)+IF(AW95*1000000+SUM(Y95,AQ95)*10000+SUM(S95,AK95)*100+SUM(M95,AE95)+0.001&gt;AS95*1000000+SUM(U95,AM95)*10000+SUM(O95,AG95)*100+SUM(I95,AA95)+0.005,1,0)=0,"I",IF(IF(AR95*1000000+SUM(T95,AL95)*10000+SUM(N95,AF95)*100+SUM(H95,Z95)+0.006&gt;AT95*1000000+SUM(V95,AN95)*10000+SUM(P95,AH95)*100+SUM(J95,AB95)+0.004,1,0)+IF(AS95*1000000+SUM(U95,AM95)*10000+SUM(O95,AG95)*100+SUM(I95,AA95)+0.005&gt;AT95*1000000+SUM(V95,AN95)*10000+SUM(P95,AH95)*100+SUM(J95,AB95)+0.004,1,0)+IF(AU95*1000000+SUM(W95,AO95)*10000+SUM(Q95,AI95)*100+SUM(K95,AC95)+0.003&gt;AT95*1000000+SUM(V95,AN95)*10000+SUM(P95,AH95)*100+SUM(J95,AB95)+0.004,1,0)+IF(AV95*1000000+SUM(X95,AP95)*10000+SUM(R95,AJ95)*100+SUM(L95,AD95)+0.002&gt;AT95*1000000+SUM(V95,AN95)*10000+SUM(P95,AH95)*100+SUM(J95,AB95)+0.004,1,0)+IF(AW95*1000000+SUM(Y95,AQ95)*10000+SUM(S95,AK95)*100+SUM(M95,AE95)+0.001&gt;AT95*1000000+SUM(V95,AN95)*10000+SUM(P95,AH95)*100+SUM(J95,AB95)+0.004,1,0)=0,"A",IF(IF(AR95*1000000+SUM(T95,AL95)*10000+SUM(N95,AF95)*100+SUM(H95,Z95)+0.006&gt;AU95*1000000+SUM(W95,AO95)*10000+SUM(Q95,AI95)*100+SUM(K95,AC95)+0.003,1,0)+IF(AS95*1000000+SUM(U95,AM95)*10000+SUM(O95,AG95)*100+SUM(I95,AA95)+0.005&gt;AU95*1000000+SUM(W95,AO95)*10000+SUM(Q95,AI95)*100+SUM(K95,AC95)+0.003,1,0)+IF(AT95*1000000+SUM(V95,AN95)*10000+SUM(P95,AH95)*100+SUM(J95,AB95)+0.004&gt;AU95*1000000+SUM(W95,AO95)*10000+SUM(Q95,AI95)*100+SUM(K95,AC95)+0.003,1,0)+IF(AV95*1000000+SUM(X95,AP95)*10000+SUM(R95,AJ95)*100+SUM(L95,AD95)+0.002&gt;AU95*1000000+SUM(W95,AO95)*10000+SUM(Q95,AI95)*100+SUM(K95,AC95)+0.003,1,0)+IF(AW95*1000000+SUM(Y95,AQ95)*10000+SUM(S95,AK95)*100+SUM(M95,AE95)+0.001&gt;AU95*1000000+SUM(W95,AO95)*10000+SUM(Q95,AI95)*100+SUM(K95,AC95)+0.003,1,0)=0,"S",IF(IF(AR95*1000000+SUM(T95,AL95)*10000+SUM(N95,AF95)*100+SUM(H95,Z95)+0.006&gt;AV95*1000000+SUM(X95,AP95)*10000+SUM(R95,AJ95)*100+SUM(L95,AD95)+0.002,1,0)+IF(AS95*1000000+SUM(U95,AM95)*10000+SUM(O95,AG95)*100+SUM(I95,AA95)+0.005&gt;AV95*1000000+SUM(X95,AP95)*10000+SUM(R95,AJ95)*100+SUM(L95,AD95)+0.002,1,0)+IF(AT95*1000000+SUM(V95,AN95)*10000+SUM(P95,AH95)*100+SUM(J95,AB95)+0.004&gt;AV95*1000000+SUM(X95,AP95)*10000+SUM(R95,AJ95)*100+SUM(L95,AD95)+0.002,1,0)+IF(AU95*1000000+SUM(W95,AO95)*10000+SUM(Q95,AI95)*100+SUM(K95,AC95)+0.003&gt;AV95*1000000+SUM(X95,AP95)*10000+SUM(R95,AJ95)*100+SUM(L95,AD95)+0.002,1,0)+IF(AW95*1000000+SUM(Y95,AQ95)*10000+SUM(S95,AK95)*100+SUM(M95,AE95)+0.001&gt;AV95*1000000+SUM(X95,AP95)*10000+SUM(R95,AJ95)*100+SUM(L95,AD95)+0.002,1,0)=0,"E",IF(IF(AR95*1000000+SUM(T95,AL95)*10000+SUM(N95,AF95)*100+SUM(H95,Z95)+0.006&gt;AW95*1000000+SUM(Y95,AQ95)*10000+SUM(S95,AK95)*100+SUM(M95,AE95)+0.001,1,0)+IF(AS95*1000000+SUM(U95,AM95)*10000+SUM(O95,AG95)*100+SUM(I95,AA95)+0.005&gt;AW95*1000000+SUM(Y95,AQ95)*10000+SUM(S95,AK95)*100+SUM(M95,AE95)+0.001,1,0)+IF(AT95*1000000+SUM(V95,AN95)*10000+SUM(P95,AH95)*100+SUM(J95,AB95)+0.004&gt;AW95*1000000+SUM(Y95,AQ95)*10000+SUM(S95,AK95)*100+SUM(M95,AE95)+0.001,1,0)+IF(AU95*1000000+SUM(W95,AO95)*10000+SUM(Q95,AI95)*100+SUM(K95,AC95)+0.003&gt;AW95*1000000+SUM(Y95,AQ95)*10000+SUM(S95,AK95)*100+SUM(M95,AE95)+0.001,1,0)+IF(AV95*1000000+SUM(X95,AP95)*10000+SUM(R95,AJ95)*100+SUM(L95,AD95)+0.002&gt;AW95*1000000+SUM(Y95,AQ95)*10000+SUM(S95,AK95)*100+SUM(M95,AE95)+0.001,1,0)=0,"C",""))))))&amp;IF(IF(AS95*1000000+SUM(U95,AM95)*10000+SUM(O95,AG95)*100+SUM(I95,AA95)+0.005&gt;AR95*1000000+SUM(T95,AL95)*10000+SUM(N95,AF95)*100+SUM(H95,Z95)+0.006,1,0)+IF(AT95*1000000+SUM(V95,AN95)*10000+SUM(P95,AH95)*100+SUM(J95,AB95)+0.004&gt;AR95*1000000+SUM(T95,AL95)*10000+SUM(N95,AF95)*100+SUM(H95,Z95)+0.006,1,0)+IF(AU95*1000000+SUM(W95,AO95)*10000+SUM(Q95,AI95)*100+SUM(K95,AC95)+0.003&gt;AR95*1000000+SUM(T95,AL95)*10000+SUM(N95,AF95)*100+SUM(H95,Z95)+0.006,1,0)+IF(AV95*1000000+SUM(X95,AP95)*10000+SUM(R95,AJ95)*100+SUM(L95,AD95)+0.002&gt;AR95*1000000+SUM(T95,AL95)*10000+SUM(N95,AF95)*100+SUM(H95,Z95)+0.006,1,0)+IF(AW95*1000000+SUM(Y95,AQ95)*10000+SUM(S95,AK95)*100+SUM(M95,AE95)+0.001&gt;AR95*1000000+SUM(T95,AL95)*10000+SUM(N95,AF95)*100+SUM(H95,Z95)+0.006,1,0)=1,"R",IF(IF(AR95*1000000+SUM(T95,AL95)*10000+SUM(N95,AF95)*100+SUM(H95,Z95)+0.006&gt;AS95*1000000+SUM(U95,AM95)*10000+SUM(O95,AG95)*100+SUM(I95,AA95)+0.005,1,0)+IF(AT95*1000000+SUM(V95,AN95)*10000+SUM(P95,AH95)*100+SUM(J95,AB95)+0.004&gt;AS95*1000000+SUM(U95,AM95)*10000+SUM(O95,AG95)*100+SUM(I95,AA95)+0.005,1,0)+IF(AU95*1000000+SUM(W95,AO95)*10000+SUM(Q95,AI95)*100+SUM(K95,AC95)+0.003&gt;AS95*1000000+SUM(U95,AM95)*10000+SUM(O95,AG95)*100+SUM(I95,AA95)+0.005,1,0)+IF(AV95*1000000+SUM(X95,AP95)*10000+SUM(R95,AJ95)*100+SUM(L95,AD95)+0.002&gt;AS95*1000000+SUM(U95,AM95)*10000+SUM(O95,AG95)*100+SUM(I95,AA95)+0.005,1,0)+IF(AW95*1000000+SUM(Y95,AQ95)*10000+SUM(S95,AK95)*100+SUM(M95,AE95)+0.001&gt;AS95*1000000+SUM(U95,AM95)*10000+SUM(O95,AG95)*100+SUM(I95,AA95)+0.005,1,0)=1,"I",IF(IF(AR95*1000000+SUM(T95,AL95)*10000+SUM(N95,AF95)*100+SUM(H95,Z95)+0.006&gt;AT95*1000000+SUM(V95,AN95)*10000+SUM(P95,AH95)*100+SUM(J95,AB95)+0.004,1,0)+IF(AS95*1000000+SUM(U95,AM95)*10000+SUM(O95,AG95)*100+SUM(I95,AA95)+0.005&gt;AT95*1000000+SUM(V95,AN95)*10000+SUM(P95,AH95)*100+SUM(J95,AB95)+0.004,1,0)+IF(AU95*1000000+SUM(W95,AO95)*10000+SUM(Q95,AI95)*100+SUM(K95,AC95)+0.003&gt;AT95*1000000+SUM(V95,AN95)*10000+SUM(P95,AH95)*100+SUM(J95,AB95)+0.004,1,0)+IF(AV95*1000000+SUM(X95,AP95)*10000+SUM(R95,AJ95)*100+SUM(L95,AD95)+0.002&gt;AT95*1000000+SUM(V95,AN95)*10000+SUM(P95,AH95)*100+SUM(J95,AB95)+0.004,1,0)+IF(AW95*1000000+SUM(Y95,AQ95)*10000+SUM(S95,AK95)*100+SUM(M95,AE95)+0.001&gt;AT95*1000000+SUM(V95,AN95)*10000+SUM(P95,AH95)*100+SUM(J95,AB95)+0.004,1,0)=1,"A",IF(IF(AR95*1000000+SUM(T95,AL95)*10000+SUM(N95,AF95)*100+SUM(H95,Z95)+0.006&gt;AU95*1000000+SUM(W95,AO95)*10000+SUM(Q95,AI95)*100+SUM(K95,AC95)+0.003,1,0)+IF(AS95*1000000+SUM(U95,AM95)*10000+SUM(O95,AG95)*100+SUM(I95,AA95)+0.005&gt;AU95*1000000+SUM(W95,AO95)*10000+SUM(Q95,AI95)*100+SUM(K95,AC95)+0.003,1,0)+IF(AT95*1000000+SUM(V95,AN95)*10000+SUM(P95,AH95)*100+SUM(J95,AB95)+0.004&gt;AU95*1000000+SUM(W95,AO95)*10000+SUM(Q95,AI95)*100+SUM(K95,AC95)+0.003,1,0)+IF(AV95*1000000+SUM(X95,AP95)*10000+SUM(R95,AJ95)*100+SUM(L95,AD95)+0.002&gt;AU95*1000000+SUM(W95,AO95)*10000+SUM(Q95,AI95)*100+SUM(K95,AC95)+0.003,1,0)+IF(AW95*1000000+SUM(Y95,AQ95)*10000+SUM(S95,AK95)*100+SUM(M95,AE95)+0.001&gt;AU95*1000000+SUM(W95,AO95)*10000+SUM(Q95,AI95)*100+SUM(K95,AC95)+0.003,1,0)=1,"S",IF(IF(AR95*1000000+SUM(T95,AL95)*10000+SUM(N95,AF95)*100+SUM(H95,Z95)+0.006&gt;AV95*1000000+SUM(X95,AP95)*10000+SUM(R95,AJ95)*100+SUM(L95,AD95)+0.002,1,0)+IF(AS95*1000000+SUM(U95,AM95)*10000+SUM(O95,AG95)*100+SUM(I95,AA95)+0.005&gt;AV95*1000000+SUM(X95,AP95)*10000+SUM(R95,AJ95)*100+SUM(L95,AD95)+0.002,1,0)+IF(AT95*1000000+SUM(V95,AN95)*10000+SUM(P95,AH95)*100+SUM(J95,AB95)+0.004&gt;AV95*1000000+SUM(X95,AP95)*10000+SUM(R95,AJ95)*100+SUM(L95,AD95)+0.002,1,0)+IF(AU95*1000000+SUM(W95,AO95)*10000+SUM(Q95,AI95)*100+SUM(K95,AC95)+0.003&gt;AV95*1000000+SUM(X95,AP95)*10000+SUM(R95,AJ95)*100+SUM(L95,AD95)+0.002,1,0)+IF(AW95*1000000+SUM(Y95,AQ95)*10000+SUM(S95,AK95)*100+SUM(M95,AE95)+0.001&gt;AV95*1000000+SUM(X95,AP95)*10000+SUM(R95,AJ95)*100+SUM(L95,AD95)+0.002,1,0)=1,"E",IF(IF(AR95*1000000+SUM(T95,AL95)*10000+SUM(N95,AF95)*100+SUM(H95,Z95)+0.006&gt;AW95*1000000+SUM(Y95,AQ95)*10000+SUM(S95,AK95)*100+SUM(M95,AE95)+0.001,1,0)+IF(AS95*1000000+SUM(U95,AM95)*10000+SUM(O95,AG95)*100+SUM(I95,AA95)+0.005&gt;AW95*1000000+SUM(Y95,AQ95)*10000+SUM(S95,AK95)*100+SUM(M95,AE95)+0.001,1,0)+IF(AT95*1000000+SUM(V95,AN95)*10000+SUM(P95,AH95)*100+SUM(J95,AB95)+0.004&gt;AW95*1000000+SUM(Y95,AQ95)*10000+SUM(S95,AK95)*100+SUM(M95,AE95)+0.001,1,0)+IF(AU95*1000000+SUM(W95,AO95)*10000+SUM(Q95,AI95)*100+SUM(K95,AC95)+0.003&gt;AW95*1000000+SUM(Y95,AQ95)*10000+SUM(S95,AK95)*100+SUM(M95,AE95)+0.001,1,0)+IF(AV95*1000000+SUM(X95,AP95)*10000+SUM(R95,AJ95)*100+SUM(L95,AD95)+0.002&gt;AW95*1000000+SUM(Y95,AQ95)*10000+SUM(S95,AK95)*100+SUM(M95,AE95)+0.001,1,0)=1,"C",""))))))&amp;IF(IF(AS95*1000000+SUM(U95,AM95)*10000+SUM(O95,AG95)*100+SUM(I95,AA95)+0.005&gt;AR95*1000000+SUM(T95,AL95)*10000+SUM(N95,AF95)*100+SUM(H95,Z95)+0.006,1,0)+IF(AT95*1000000+SUM(V95,AN95)*10000+SUM(P95,AH95)*100+SUM(J95,AB95)+0.004&gt;AR95*1000000+SUM(T95,AL95)*10000+SUM(N95,AF95)*100+SUM(H95,Z95)+0.006,1,0)+IF(AU95*1000000+SUM(W95,AO95)*10000+SUM(Q95,AI95)*100+SUM(K95,AC95)+0.003&gt;AR95*1000000+SUM(T95,AL95)*10000+SUM(N95,AF95)*100+SUM(H95,Z95)+0.006,1,0)+IF(AV95*1000000+SUM(X95,AP95)*10000+SUM(R95,AJ95)*100+SUM(L95,AD95)+0.002&gt;AR95*1000000+SUM(T95,AL95)*10000+SUM(N95,AF95)*100+SUM(H95,Z95)+0.006,1,0)+IF(AW95*1000000+SUM(Y95,AQ95)*10000+SUM(S95,AK95)*100+SUM(M95,AE95)+0.001&gt;AR95*1000000+SUM(T95,AL95)*10000+SUM(N95,AF95)*100+SUM(H95,Z95)+0.006,1,0)=2,"R",IF(IF(AR95*1000000+SUM(T95,AL95)*10000+SUM(N95,AF95)*100+SUM(H95,Z95)+0.006&gt;AS95*1000000+SUM(U95,AM95)*10000+SUM(O95,AG95)*100+SUM(I95,AA95)+0.005,1,0)+IF(AT95*1000000+SUM(V95,AN95)*10000+SUM(P95,AH95)*100+SUM(J95,AB95)+0.004&gt;AS95*1000000+SUM(U95,AM95)*10000+SUM(O95,AG95)*100+SUM(I95,AA95)+0.005,1,0)+IF(AU95*1000000+SUM(W95,AO95)*10000+SUM(Q95,AI95)*100+SUM(K95,AC95)+0.003&gt;AS95*1000000+SUM(U95,AM95)*10000+SUM(O95,AG95)*100+SUM(I95,AA95)+0.005,1,0)+IF(AV95*1000000+SUM(X95,AP95)*10000+SUM(R95,AJ95)*100+SUM(L95,AD95)+0.002&gt;AS95*1000000+SUM(U95,AM95)*10000+SUM(O95,AG95)*100+SUM(I95,AA95)+0.005,1,0)+IF(AW95*1000000+SUM(Y95,AQ95)*10000+SUM(S95,AK95)*100+SUM(M95,AE95)+0.001&gt;AS95*1000000+SUM(U95,AM95)*10000+SUM(O95,AG95)*100+SUM(I95,AA95)+0.005,1,0)=2,"I",IF(IF(AR95*1000000+SUM(T95,AL95)*10000+SUM(N95,AF95)*100+SUM(H95,Z95)+0.006&gt;AT95*1000000+SUM(V95,AN95)*10000+SUM(P95,AH95)*100+SUM(J95,AB95)+0.004,1,0)+IF(AS95*1000000+SUM(U95,AM95)*10000+SUM(O95,AG95)*100+SUM(I95,AA95)+0.005&gt;AT95*1000000+SUM(V95,AN95)*10000+SUM(P95,AH95)*100+SUM(J95,AB95)+0.004,1,0)+IF(AU95*1000000+SUM(W95,AO95)*10000+SUM(Q95,AI95)*100+SUM(K95,AC95)+0.003&gt;AT95*1000000+SUM(V95,AN95)*10000+SUM(P95,AH95)*100+SUM(J95,AB95)+0.004,1,0)+IF(AV95*1000000+SUM(X95,AP95)*10000+SUM(R95,AJ95)*100+SUM(L95,AD95)+0.002&gt;AT95*1000000+SUM(V95,AN95)*10000+SUM(P95,AH95)*100+SUM(J95,AB95)+0.004,1,0)+IF(AW95*1000000+SUM(Y95,AQ95)*10000+SUM(S95,AK95)*100+SUM(M95,AE95)+0.001&gt;AT95*1000000+SUM(V95,AN95)*10000+SUM(P95,AH95)*100+SUM(J95,AB95)+0.004,1,0)=2,"A",IF(IF(AR95*1000000+SUM(T95,AL95)*10000+SUM(N95,AF95)*100+SUM(H95,Z95)+0.006&gt;AU95*1000000+SUM(W95,AO95)*10000+SUM(Q95,AI95)*100+SUM(K95,AC95)+0.003,1,0)+IF(AS95*1000000+SUM(U95,AM95)*10000+SUM(O95,AG95)*100+SUM(I95,AA95)+0.005&gt;AU95*1000000+SUM(W95,AO95)*10000+SUM(Q95,AI95)*100+SUM(K95,AC95)+0.003,1,0)+IF(AT95*1000000+SUM(V95,AN95)*10000+SUM(P95,AH95)*100+SUM(J95,AB95)+0.004&gt;AU95*1000000+SUM(W95,AO95)*10000+SUM(Q95,AI95)*100+SUM(K95,AC95)+0.003,1,0)+IF(AV95*1000000+SUM(X95,AP95)*10000+SUM(R95,AJ95)*100+SUM(L95,AD95)+0.002&gt;AU95*1000000+SUM(W95,AO95)*10000+SUM(Q95,AI95)*100+SUM(K95,AC95)+0.003,1,0)+IF(AW95*1000000+SUM(Y95,AQ95)*10000+SUM(S95,AK95)*100+SUM(M95,AE95)+0.001&gt;AU95*1000000+SUM(W95,AO95)*10000+SUM(Q95,AI95)*100+SUM(K95,AC95)+0.003,1,0)=2,"S",IF(IF(AR95*1000000+SUM(T95,AL95)*10000+SUM(N95,AF95)*100+SUM(H95,Z95)+0.006&gt;AV95*1000000+SUM(X95,AP95)*10000+SUM(R95,AJ95)*100+SUM(L95,AD95)+0.002,1,0)+IF(AS95*1000000+SUM(U95,AM95)*10000+SUM(O95,AG95)*100+SUM(I95,AA95)+0.005&gt;AV95*1000000+SUM(X95,AP95)*10000+SUM(R95,AJ95)*100+SUM(L95,AD95)+0.002,1,0)+IF(AT95*1000000+SUM(V95,AN95)*10000+SUM(P95,AH95)*100+SUM(J95,AB95)+0.004&gt;AV95*1000000+SUM(X95,AP95)*10000+SUM(R95,AJ95)*100+SUM(L95,AD95)+0.002,1,0)+IF(AU95*1000000+SUM(W95,AO95)*10000+SUM(Q95,AI95)*100+SUM(K95,AC95)+0.003&gt;AV95*1000000+SUM(X95,AP95)*10000+SUM(R95,AJ95)*100+SUM(L95,AD95)+0.002,1,0)+IF(AW95*1000000+SUM(Y95,AQ95)*10000+SUM(S95,AK95)*100+SUM(M95,AE95)+0.001&gt;AV95*1000000+SUM(X95,AP95)*10000+SUM(R95,AJ95)*100+SUM(L95,AD95)+0.002,1,0)=2,"E",IF(IF(AR95*1000000+SUM(T95,AL95)*10000+SUM(N95,AF95)*100+SUM(H95,Z95)+0.006&gt;AW95*1000000+SUM(Y95,AQ95)*10000+SUM(S95,AK95)*100+SUM(M95,AE95)+0.001,1,0)+IF(AS95*1000000+SUM(U95,AM95)*10000+SUM(O95,AG95)*100+SUM(I95,AA95)+0.005&gt;AW95*1000000+SUM(Y95,AQ95)*10000+SUM(S95,AK95)*100+SUM(M95,AE95)+0.001,1,0)+IF(AT95*1000000+SUM(V95,AN95)*10000+SUM(P95,AH95)*100+SUM(J95,AB95)+0.004&gt;AW95*1000000+SUM(Y95,AQ95)*10000+SUM(S95,AK95)*100+SUM(M95,AE95)+0.001,1,0)+IF(AU95*1000000+SUM(W95,AO95)*10000+SUM(Q95,AI95)*100+SUM(K95,AC95)+0.003&gt;AW95*1000000+SUM(Y95,AQ95)*10000+SUM(S95,AK95)*100+SUM(M95,AE95)+0.001,1,0)+IF(AV95*1000000+SUM(X95,AP95)*10000+SUM(R95,AJ95)*100+SUM(L95,AD95)+0.002&gt;AW95*1000000+SUM(Y95,AQ95)*10000+SUM(S95,AK95)*100+SUM(M95,AE95)+0.001,1,0)=2,"C","")))))))</x:f>
      </x:c>
      <x:c r="AY95" s="27" t="str">
        <x:f>IF(C95="","",IF(LEFT(AX95,1)="R","นักปฏิบัติ",IF(LEFT(AX95,1)="I","นักคิดวิเคราะห์",IF(LEFT(AX95,1)="A","นักสร้างสรรค์",IF(LEFT(AX95,1)="S","ผู้เข้าใจผู้คน",IF(LEFT(AX95,1)="E","ผู้นำการเปลี่ยนแปลง","ผู้จัดระบบ"))))))</x:f>
      </x:c>
    </x:row>
    <x:row r="96">
      <x:c r="A96" s="27"/>
      <x:c r="B96" s="28"/>
      <x:c r="C96" s="27"/>
      <x:c r="D96" s="27"/>
      <x:c r="E96" s="27"/>
      <x:c r="F96" s="27"/>
      <x:c r="G96" s="27"/>
      <x:c r="H96" s="27"/>
      <x:c r="I96" s="27"/>
      <x:c r="J96" s="27"/>
      <x:c r="K96" s="27"/>
      <x:c r="L96" s="27"/>
      <x:c r="M96" s="27"/>
      <x:c r="N96" s="27"/>
      <x:c r="O96" s="27"/>
      <x:c r="P96" s="27"/>
      <x:c r="Q96" s="27"/>
      <x:c r="R96" s="27"/>
      <x:c r="S96" s="27"/>
      <x:c r="T96" s="27"/>
      <x:c r="U96" s="27"/>
      <x:c r="V96" s="27"/>
      <x:c r="W96" s="27"/>
      <x:c r="X96" s="27"/>
      <x:c r="Y96" s="27"/>
      <x:c r="Z96" s="27"/>
      <x:c r="AA96" s="27"/>
      <x:c r="AB96" s="27"/>
      <x:c r="AC96" s="27"/>
      <x:c r="AD96" s="27"/>
      <x:c r="AE96" s="27"/>
      <x:c r="AF96" s="27"/>
      <x:c r="AG96" s="27"/>
      <x:c r="AH96" s="27"/>
      <x:c r="AI96" s="27"/>
      <x:c r="AJ96" s="27"/>
      <x:c r="AK96" s="27"/>
      <x:c r="AL96" s="27"/>
      <x:c r="AM96" s="27"/>
      <x:c r="AN96" s="27"/>
      <x:c r="AO96" s="27"/>
      <x:c r="AP96" s="27"/>
      <x:c r="AQ96" s="27"/>
      <x:c r="AR96" s="27" t="str">
        <x:f>IF(C96="","",SUM(H96,N96,T96,Z96,AF96,AL96))</x:f>
      </x:c>
      <x:c r="AS96" s="27" t="str">
        <x:f>IF(C96="","",SUM(I96,O96,U96,AA96,AG96,AM96))</x:f>
      </x:c>
      <x:c r="AT96" s="27" t="str">
        <x:f>IF(C96="","",SUM(J96,P96,V96,AB96,AH96,AN96))</x:f>
      </x:c>
      <x:c r="AU96" s="27" t="str">
        <x:f>IF(C96="","",SUM(K96,Q96,W96,AC96,AI96,AO96))</x:f>
      </x:c>
      <x:c r="AV96" s="27" t="str">
        <x:f>IF(C96="","",SUM(L96,R96,X96,AD96,AJ96,AP96))</x:f>
      </x:c>
      <x:c r="AW96" s="27" t="str">
        <x:f>IF(C96="","",SUM(M96,S96,Y96,AE96,AK96,AQ96))</x:f>
      </x:c>
      <x:c r="AX96" s="27" t="str">
        <x:f>IF(C96="","",IF(IF(AS96*1000000+SUM(U96,AM96)*10000+SUM(O96,AG96)*100+SUM(I96,AA96)+0.005&gt;AR96*1000000+SUM(T96,AL96)*10000+SUM(N96,AF96)*100+SUM(H96,Z96)+0.006,1,0)+IF(AT96*1000000+SUM(V96,AN96)*10000+SUM(P96,AH96)*100+SUM(J96,AB96)+0.004&gt;AR96*1000000+SUM(T96,AL96)*10000+SUM(N96,AF96)*100+SUM(H96,Z96)+0.006,1,0)+IF(AU96*1000000+SUM(W96,AO96)*10000+SUM(Q96,AI96)*100+SUM(K96,AC96)+0.003&gt;AR96*1000000+SUM(T96,AL96)*10000+SUM(N96,AF96)*100+SUM(H96,Z96)+0.006,1,0)+IF(AV96*1000000+SUM(X96,AP96)*10000+SUM(R96,AJ96)*100+SUM(L96,AD96)+0.002&gt;AR96*1000000+SUM(T96,AL96)*10000+SUM(N96,AF96)*100+SUM(H96,Z96)+0.006,1,0)+IF(AW96*1000000+SUM(Y96,AQ96)*10000+SUM(S96,AK96)*100+SUM(M96,AE96)+0.001&gt;AR96*1000000+SUM(T96,AL96)*10000+SUM(N96,AF96)*100+SUM(H96,Z96)+0.006,1,0)=0,"R",IF(IF(AR96*1000000+SUM(T96,AL96)*10000+SUM(N96,AF96)*100+SUM(H96,Z96)+0.006&gt;AS96*1000000+SUM(U96,AM96)*10000+SUM(O96,AG96)*100+SUM(I96,AA96)+0.005,1,0)+IF(AT96*1000000+SUM(V96,AN96)*10000+SUM(P96,AH96)*100+SUM(J96,AB96)+0.004&gt;AS96*1000000+SUM(U96,AM96)*10000+SUM(O96,AG96)*100+SUM(I96,AA96)+0.005,1,0)+IF(AU96*1000000+SUM(W96,AO96)*10000+SUM(Q96,AI96)*100+SUM(K96,AC96)+0.003&gt;AS96*1000000+SUM(U96,AM96)*10000+SUM(O96,AG96)*100+SUM(I96,AA96)+0.005,1,0)+IF(AV96*1000000+SUM(X96,AP96)*10000+SUM(R96,AJ96)*100+SUM(L96,AD96)+0.002&gt;AS96*1000000+SUM(U96,AM96)*10000+SUM(O96,AG96)*100+SUM(I96,AA96)+0.005,1,0)+IF(AW96*1000000+SUM(Y96,AQ96)*10000+SUM(S96,AK96)*100+SUM(M96,AE96)+0.001&gt;AS96*1000000+SUM(U96,AM96)*10000+SUM(O96,AG96)*100+SUM(I96,AA96)+0.005,1,0)=0,"I",IF(IF(AR96*1000000+SUM(T96,AL96)*10000+SUM(N96,AF96)*100+SUM(H96,Z96)+0.006&gt;AT96*1000000+SUM(V96,AN96)*10000+SUM(P96,AH96)*100+SUM(J96,AB96)+0.004,1,0)+IF(AS96*1000000+SUM(U96,AM96)*10000+SUM(O96,AG96)*100+SUM(I96,AA96)+0.005&gt;AT96*1000000+SUM(V96,AN96)*10000+SUM(P96,AH96)*100+SUM(J96,AB96)+0.004,1,0)+IF(AU96*1000000+SUM(W96,AO96)*10000+SUM(Q96,AI96)*100+SUM(K96,AC96)+0.003&gt;AT96*1000000+SUM(V96,AN96)*10000+SUM(P96,AH96)*100+SUM(J96,AB96)+0.004,1,0)+IF(AV96*1000000+SUM(X96,AP96)*10000+SUM(R96,AJ96)*100+SUM(L96,AD96)+0.002&gt;AT96*1000000+SUM(V96,AN96)*10000+SUM(P96,AH96)*100+SUM(J96,AB96)+0.004,1,0)+IF(AW96*1000000+SUM(Y96,AQ96)*10000+SUM(S96,AK96)*100+SUM(M96,AE96)+0.001&gt;AT96*1000000+SUM(V96,AN96)*10000+SUM(P96,AH96)*100+SUM(J96,AB96)+0.004,1,0)=0,"A",IF(IF(AR96*1000000+SUM(T96,AL96)*10000+SUM(N96,AF96)*100+SUM(H96,Z96)+0.006&gt;AU96*1000000+SUM(W96,AO96)*10000+SUM(Q96,AI96)*100+SUM(K96,AC96)+0.003,1,0)+IF(AS96*1000000+SUM(U96,AM96)*10000+SUM(O96,AG96)*100+SUM(I96,AA96)+0.005&gt;AU96*1000000+SUM(W96,AO96)*10000+SUM(Q96,AI96)*100+SUM(K96,AC96)+0.003,1,0)+IF(AT96*1000000+SUM(V96,AN96)*10000+SUM(P96,AH96)*100+SUM(J96,AB96)+0.004&gt;AU96*1000000+SUM(W96,AO96)*10000+SUM(Q96,AI96)*100+SUM(K96,AC96)+0.003,1,0)+IF(AV96*1000000+SUM(X96,AP96)*10000+SUM(R96,AJ96)*100+SUM(L96,AD96)+0.002&gt;AU96*1000000+SUM(W96,AO96)*10000+SUM(Q96,AI96)*100+SUM(K96,AC96)+0.003,1,0)+IF(AW96*1000000+SUM(Y96,AQ96)*10000+SUM(S96,AK96)*100+SUM(M96,AE96)+0.001&gt;AU96*1000000+SUM(W96,AO96)*10000+SUM(Q96,AI96)*100+SUM(K96,AC96)+0.003,1,0)=0,"S",IF(IF(AR96*1000000+SUM(T96,AL96)*10000+SUM(N96,AF96)*100+SUM(H96,Z96)+0.006&gt;AV96*1000000+SUM(X96,AP96)*10000+SUM(R96,AJ96)*100+SUM(L96,AD96)+0.002,1,0)+IF(AS96*1000000+SUM(U96,AM96)*10000+SUM(O96,AG96)*100+SUM(I96,AA96)+0.005&gt;AV96*1000000+SUM(X96,AP96)*10000+SUM(R96,AJ96)*100+SUM(L96,AD96)+0.002,1,0)+IF(AT96*1000000+SUM(V96,AN96)*10000+SUM(P96,AH96)*100+SUM(J96,AB96)+0.004&gt;AV96*1000000+SUM(X96,AP96)*10000+SUM(R96,AJ96)*100+SUM(L96,AD96)+0.002,1,0)+IF(AU96*1000000+SUM(W96,AO96)*10000+SUM(Q96,AI96)*100+SUM(K96,AC96)+0.003&gt;AV96*1000000+SUM(X96,AP96)*10000+SUM(R96,AJ96)*100+SUM(L96,AD96)+0.002,1,0)+IF(AW96*1000000+SUM(Y96,AQ96)*10000+SUM(S96,AK96)*100+SUM(M96,AE96)+0.001&gt;AV96*1000000+SUM(X96,AP96)*10000+SUM(R96,AJ96)*100+SUM(L96,AD96)+0.002,1,0)=0,"E",IF(IF(AR96*1000000+SUM(T96,AL96)*10000+SUM(N96,AF96)*100+SUM(H96,Z96)+0.006&gt;AW96*1000000+SUM(Y96,AQ96)*10000+SUM(S96,AK96)*100+SUM(M96,AE96)+0.001,1,0)+IF(AS96*1000000+SUM(U96,AM96)*10000+SUM(O96,AG96)*100+SUM(I96,AA96)+0.005&gt;AW96*1000000+SUM(Y96,AQ96)*10000+SUM(S96,AK96)*100+SUM(M96,AE96)+0.001,1,0)+IF(AT96*1000000+SUM(V96,AN96)*10000+SUM(P96,AH96)*100+SUM(J96,AB96)+0.004&gt;AW96*1000000+SUM(Y96,AQ96)*10000+SUM(S96,AK96)*100+SUM(M96,AE96)+0.001,1,0)+IF(AU96*1000000+SUM(W96,AO96)*10000+SUM(Q96,AI96)*100+SUM(K96,AC96)+0.003&gt;AW96*1000000+SUM(Y96,AQ96)*10000+SUM(S96,AK96)*100+SUM(M96,AE96)+0.001,1,0)+IF(AV96*1000000+SUM(X96,AP96)*10000+SUM(R96,AJ96)*100+SUM(L96,AD96)+0.002&gt;AW96*1000000+SUM(Y96,AQ96)*10000+SUM(S96,AK96)*100+SUM(M96,AE96)+0.001,1,0)=0,"C",""))))))&amp;IF(IF(AS96*1000000+SUM(U96,AM96)*10000+SUM(O96,AG96)*100+SUM(I96,AA96)+0.005&gt;AR96*1000000+SUM(T96,AL96)*10000+SUM(N96,AF96)*100+SUM(H96,Z96)+0.006,1,0)+IF(AT96*1000000+SUM(V96,AN96)*10000+SUM(P96,AH96)*100+SUM(J96,AB96)+0.004&gt;AR96*1000000+SUM(T96,AL96)*10000+SUM(N96,AF96)*100+SUM(H96,Z96)+0.006,1,0)+IF(AU96*1000000+SUM(W96,AO96)*10000+SUM(Q96,AI96)*100+SUM(K96,AC96)+0.003&gt;AR96*1000000+SUM(T96,AL96)*10000+SUM(N96,AF96)*100+SUM(H96,Z96)+0.006,1,0)+IF(AV96*1000000+SUM(X96,AP96)*10000+SUM(R96,AJ96)*100+SUM(L96,AD96)+0.002&gt;AR96*1000000+SUM(T96,AL96)*10000+SUM(N96,AF96)*100+SUM(H96,Z96)+0.006,1,0)+IF(AW96*1000000+SUM(Y96,AQ96)*10000+SUM(S96,AK96)*100+SUM(M96,AE96)+0.001&gt;AR96*1000000+SUM(T96,AL96)*10000+SUM(N96,AF96)*100+SUM(H96,Z96)+0.006,1,0)=1,"R",IF(IF(AR96*1000000+SUM(T96,AL96)*10000+SUM(N96,AF96)*100+SUM(H96,Z96)+0.006&gt;AS96*1000000+SUM(U96,AM96)*10000+SUM(O96,AG96)*100+SUM(I96,AA96)+0.005,1,0)+IF(AT96*1000000+SUM(V96,AN96)*10000+SUM(P96,AH96)*100+SUM(J96,AB96)+0.004&gt;AS96*1000000+SUM(U96,AM96)*10000+SUM(O96,AG96)*100+SUM(I96,AA96)+0.005,1,0)+IF(AU96*1000000+SUM(W96,AO96)*10000+SUM(Q96,AI96)*100+SUM(K96,AC96)+0.003&gt;AS96*1000000+SUM(U96,AM96)*10000+SUM(O96,AG96)*100+SUM(I96,AA96)+0.005,1,0)+IF(AV96*1000000+SUM(X96,AP96)*10000+SUM(R96,AJ96)*100+SUM(L96,AD96)+0.002&gt;AS96*1000000+SUM(U96,AM96)*10000+SUM(O96,AG96)*100+SUM(I96,AA96)+0.005,1,0)+IF(AW96*1000000+SUM(Y96,AQ96)*10000+SUM(S96,AK96)*100+SUM(M96,AE96)+0.001&gt;AS96*1000000+SUM(U96,AM96)*10000+SUM(O96,AG96)*100+SUM(I96,AA96)+0.005,1,0)=1,"I",IF(IF(AR96*1000000+SUM(T96,AL96)*10000+SUM(N96,AF96)*100+SUM(H96,Z96)+0.006&gt;AT96*1000000+SUM(V96,AN96)*10000+SUM(P96,AH96)*100+SUM(J96,AB96)+0.004,1,0)+IF(AS96*1000000+SUM(U96,AM96)*10000+SUM(O96,AG96)*100+SUM(I96,AA96)+0.005&gt;AT96*1000000+SUM(V96,AN96)*10000+SUM(P96,AH96)*100+SUM(J96,AB96)+0.004,1,0)+IF(AU96*1000000+SUM(W96,AO96)*10000+SUM(Q96,AI96)*100+SUM(K96,AC96)+0.003&gt;AT96*1000000+SUM(V96,AN96)*10000+SUM(P96,AH96)*100+SUM(J96,AB96)+0.004,1,0)+IF(AV96*1000000+SUM(X96,AP96)*10000+SUM(R96,AJ96)*100+SUM(L96,AD96)+0.002&gt;AT96*1000000+SUM(V96,AN96)*10000+SUM(P96,AH96)*100+SUM(J96,AB96)+0.004,1,0)+IF(AW96*1000000+SUM(Y96,AQ96)*10000+SUM(S96,AK96)*100+SUM(M96,AE96)+0.001&gt;AT96*1000000+SUM(V96,AN96)*10000+SUM(P96,AH96)*100+SUM(J96,AB96)+0.004,1,0)=1,"A",IF(IF(AR96*1000000+SUM(T96,AL96)*10000+SUM(N96,AF96)*100+SUM(H96,Z96)+0.006&gt;AU96*1000000+SUM(W96,AO96)*10000+SUM(Q96,AI96)*100+SUM(K96,AC96)+0.003,1,0)+IF(AS96*1000000+SUM(U96,AM96)*10000+SUM(O96,AG96)*100+SUM(I96,AA96)+0.005&gt;AU96*1000000+SUM(W96,AO96)*10000+SUM(Q96,AI96)*100+SUM(K96,AC96)+0.003,1,0)+IF(AT96*1000000+SUM(V96,AN96)*10000+SUM(P96,AH96)*100+SUM(J96,AB96)+0.004&gt;AU96*1000000+SUM(W96,AO96)*10000+SUM(Q96,AI96)*100+SUM(K96,AC96)+0.003,1,0)+IF(AV96*1000000+SUM(X96,AP96)*10000+SUM(R96,AJ96)*100+SUM(L96,AD96)+0.002&gt;AU96*1000000+SUM(W96,AO96)*10000+SUM(Q96,AI96)*100+SUM(K96,AC96)+0.003,1,0)+IF(AW96*1000000+SUM(Y96,AQ96)*10000+SUM(S96,AK96)*100+SUM(M96,AE96)+0.001&gt;AU96*1000000+SUM(W96,AO96)*10000+SUM(Q96,AI96)*100+SUM(K96,AC96)+0.003,1,0)=1,"S",IF(IF(AR96*1000000+SUM(T96,AL96)*10000+SUM(N96,AF96)*100+SUM(H96,Z96)+0.006&gt;AV96*1000000+SUM(X96,AP96)*10000+SUM(R96,AJ96)*100+SUM(L96,AD96)+0.002,1,0)+IF(AS96*1000000+SUM(U96,AM96)*10000+SUM(O96,AG96)*100+SUM(I96,AA96)+0.005&gt;AV96*1000000+SUM(X96,AP96)*10000+SUM(R96,AJ96)*100+SUM(L96,AD96)+0.002,1,0)+IF(AT96*1000000+SUM(V96,AN96)*10000+SUM(P96,AH96)*100+SUM(J96,AB96)+0.004&gt;AV96*1000000+SUM(X96,AP96)*10000+SUM(R96,AJ96)*100+SUM(L96,AD96)+0.002,1,0)+IF(AU96*1000000+SUM(W96,AO96)*10000+SUM(Q96,AI96)*100+SUM(K96,AC96)+0.003&gt;AV96*1000000+SUM(X96,AP96)*10000+SUM(R96,AJ96)*100+SUM(L96,AD96)+0.002,1,0)+IF(AW96*1000000+SUM(Y96,AQ96)*10000+SUM(S96,AK96)*100+SUM(M96,AE96)+0.001&gt;AV96*1000000+SUM(X96,AP96)*10000+SUM(R96,AJ96)*100+SUM(L96,AD96)+0.002,1,0)=1,"E",IF(IF(AR96*1000000+SUM(T96,AL96)*10000+SUM(N96,AF96)*100+SUM(H96,Z96)+0.006&gt;AW96*1000000+SUM(Y96,AQ96)*10000+SUM(S96,AK96)*100+SUM(M96,AE96)+0.001,1,0)+IF(AS96*1000000+SUM(U96,AM96)*10000+SUM(O96,AG96)*100+SUM(I96,AA96)+0.005&gt;AW96*1000000+SUM(Y96,AQ96)*10000+SUM(S96,AK96)*100+SUM(M96,AE96)+0.001,1,0)+IF(AT96*1000000+SUM(V96,AN96)*10000+SUM(P96,AH96)*100+SUM(J96,AB96)+0.004&gt;AW96*1000000+SUM(Y96,AQ96)*10000+SUM(S96,AK96)*100+SUM(M96,AE96)+0.001,1,0)+IF(AU96*1000000+SUM(W96,AO96)*10000+SUM(Q96,AI96)*100+SUM(K96,AC96)+0.003&gt;AW96*1000000+SUM(Y96,AQ96)*10000+SUM(S96,AK96)*100+SUM(M96,AE96)+0.001,1,0)+IF(AV96*1000000+SUM(X96,AP96)*10000+SUM(R96,AJ96)*100+SUM(L96,AD96)+0.002&gt;AW96*1000000+SUM(Y96,AQ96)*10000+SUM(S96,AK96)*100+SUM(M96,AE96)+0.001,1,0)=1,"C",""))))))&amp;IF(IF(AS96*1000000+SUM(U96,AM96)*10000+SUM(O96,AG96)*100+SUM(I96,AA96)+0.005&gt;AR96*1000000+SUM(T96,AL96)*10000+SUM(N96,AF96)*100+SUM(H96,Z96)+0.006,1,0)+IF(AT96*1000000+SUM(V96,AN96)*10000+SUM(P96,AH96)*100+SUM(J96,AB96)+0.004&gt;AR96*1000000+SUM(T96,AL96)*10000+SUM(N96,AF96)*100+SUM(H96,Z96)+0.006,1,0)+IF(AU96*1000000+SUM(W96,AO96)*10000+SUM(Q96,AI96)*100+SUM(K96,AC96)+0.003&gt;AR96*1000000+SUM(T96,AL96)*10000+SUM(N96,AF96)*100+SUM(H96,Z96)+0.006,1,0)+IF(AV96*1000000+SUM(X96,AP96)*10000+SUM(R96,AJ96)*100+SUM(L96,AD96)+0.002&gt;AR96*1000000+SUM(T96,AL96)*10000+SUM(N96,AF96)*100+SUM(H96,Z96)+0.006,1,0)+IF(AW96*1000000+SUM(Y96,AQ96)*10000+SUM(S96,AK96)*100+SUM(M96,AE96)+0.001&gt;AR96*1000000+SUM(T96,AL96)*10000+SUM(N96,AF96)*100+SUM(H96,Z96)+0.006,1,0)=2,"R",IF(IF(AR96*1000000+SUM(T96,AL96)*10000+SUM(N96,AF96)*100+SUM(H96,Z96)+0.006&gt;AS96*1000000+SUM(U96,AM96)*10000+SUM(O96,AG96)*100+SUM(I96,AA96)+0.005,1,0)+IF(AT96*1000000+SUM(V96,AN96)*10000+SUM(P96,AH96)*100+SUM(J96,AB96)+0.004&gt;AS96*1000000+SUM(U96,AM96)*10000+SUM(O96,AG96)*100+SUM(I96,AA96)+0.005,1,0)+IF(AU96*1000000+SUM(W96,AO96)*10000+SUM(Q96,AI96)*100+SUM(K96,AC96)+0.003&gt;AS96*1000000+SUM(U96,AM96)*10000+SUM(O96,AG96)*100+SUM(I96,AA96)+0.005,1,0)+IF(AV96*1000000+SUM(X96,AP96)*10000+SUM(R96,AJ96)*100+SUM(L96,AD96)+0.002&gt;AS96*1000000+SUM(U96,AM96)*10000+SUM(O96,AG96)*100+SUM(I96,AA96)+0.005,1,0)+IF(AW96*1000000+SUM(Y96,AQ96)*10000+SUM(S96,AK96)*100+SUM(M96,AE96)+0.001&gt;AS96*1000000+SUM(U96,AM96)*10000+SUM(O96,AG96)*100+SUM(I96,AA96)+0.005,1,0)=2,"I",IF(IF(AR96*1000000+SUM(T96,AL96)*10000+SUM(N96,AF96)*100+SUM(H96,Z96)+0.006&gt;AT96*1000000+SUM(V96,AN96)*10000+SUM(P96,AH96)*100+SUM(J96,AB96)+0.004,1,0)+IF(AS96*1000000+SUM(U96,AM96)*10000+SUM(O96,AG96)*100+SUM(I96,AA96)+0.005&gt;AT96*1000000+SUM(V96,AN96)*10000+SUM(P96,AH96)*100+SUM(J96,AB96)+0.004,1,0)+IF(AU96*1000000+SUM(W96,AO96)*10000+SUM(Q96,AI96)*100+SUM(K96,AC96)+0.003&gt;AT96*1000000+SUM(V96,AN96)*10000+SUM(P96,AH96)*100+SUM(J96,AB96)+0.004,1,0)+IF(AV96*1000000+SUM(X96,AP96)*10000+SUM(R96,AJ96)*100+SUM(L96,AD96)+0.002&gt;AT96*1000000+SUM(V96,AN96)*10000+SUM(P96,AH96)*100+SUM(J96,AB96)+0.004,1,0)+IF(AW96*1000000+SUM(Y96,AQ96)*10000+SUM(S96,AK96)*100+SUM(M96,AE96)+0.001&gt;AT96*1000000+SUM(V96,AN96)*10000+SUM(P96,AH96)*100+SUM(J96,AB96)+0.004,1,0)=2,"A",IF(IF(AR96*1000000+SUM(T96,AL96)*10000+SUM(N96,AF96)*100+SUM(H96,Z96)+0.006&gt;AU96*1000000+SUM(W96,AO96)*10000+SUM(Q96,AI96)*100+SUM(K96,AC96)+0.003,1,0)+IF(AS96*1000000+SUM(U96,AM96)*10000+SUM(O96,AG96)*100+SUM(I96,AA96)+0.005&gt;AU96*1000000+SUM(W96,AO96)*10000+SUM(Q96,AI96)*100+SUM(K96,AC96)+0.003,1,0)+IF(AT96*1000000+SUM(V96,AN96)*10000+SUM(P96,AH96)*100+SUM(J96,AB96)+0.004&gt;AU96*1000000+SUM(W96,AO96)*10000+SUM(Q96,AI96)*100+SUM(K96,AC96)+0.003,1,0)+IF(AV96*1000000+SUM(X96,AP96)*10000+SUM(R96,AJ96)*100+SUM(L96,AD96)+0.002&gt;AU96*1000000+SUM(W96,AO96)*10000+SUM(Q96,AI96)*100+SUM(K96,AC96)+0.003,1,0)+IF(AW96*1000000+SUM(Y96,AQ96)*10000+SUM(S96,AK96)*100+SUM(M96,AE96)+0.001&gt;AU96*1000000+SUM(W96,AO96)*10000+SUM(Q96,AI96)*100+SUM(K96,AC96)+0.003,1,0)=2,"S",IF(IF(AR96*1000000+SUM(T96,AL96)*10000+SUM(N96,AF96)*100+SUM(H96,Z96)+0.006&gt;AV96*1000000+SUM(X96,AP96)*10000+SUM(R96,AJ96)*100+SUM(L96,AD96)+0.002,1,0)+IF(AS96*1000000+SUM(U96,AM96)*10000+SUM(O96,AG96)*100+SUM(I96,AA96)+0.005&gt;AV96*1000000+SUM(X96,AP96)*10000+SUM(R96,AJ96)*100+SUM(L96,AD96)+0.002,1,0)+IF(AT96*1000000+SUM(V96,AN96)*10000+SUM(P96,AH96)*100+SUM(J96,AB96)+0.004&gt;AV96*1000000+SUM(X96,AP96)*10000+SUM(R96,AJ96)*100+SUM(L96,AD96)+0.002,1,0)+IF(AU96*1000000+SUM(W96,AO96)*10000+SUM(Q96,AI96)*100+SUM(K96,AC96)+0.003&gt;AV96*1000000+SUM(X96,AP96)*10000+SUM(R96,AJ96)*100+SUM(L96,AD96)+0.002,1,0)+IF(AW96*1000000+SUM(Y96,AQ96)*10000+SUM(S96,AK96)*100+SUM(M96,AE96)+0.001&gt;AV96*1000000+SUM(X96,AP96)*10000+SUM(R96,AJ96)*100+SUM(L96,AD96)+0.002,1,0)=2,"E",IF(IF(AR96*1000000+SUM(T96,AL96)*10000+SUM(N96,AF96)*100+SUM(H96,Z96)+0.006&gt;AW96*1000000+SUM(Y96,AQ96)*10000+SUM(S96,AK96)*100+SUM(M96,AE96)+0.001,1,0)+IF(AS96*1000000+SUM(U96,AM96)*10000+SUM(O96,AG96)*100+SUM(I96,AA96)+0.005&gt;AW96*1000000+SUM(Y96,AQ96)*10000+SUM(S96,AK96)*100+SUM(M96,AE96)+0.001,1,0)+IF(AT96*1000000+SUM(V96,AN96)*10000+SUM(P96,AH96)*100+SUM(J96,AB96)+0.004&gt;AW96*1000000+SUM(Y96,AQ96)*10000+SUM(S96,AK96)*100+SUM(M96,AE96)+0.001,1,0)+IF(AU96*1000000+SUM(W96,AO96)*10000+SUM(Q96,AI96)*100+SUM(K96,AC96)+0.003&gt;AW96*1000000+SUM(Y96,AQ96)*10000+SUM(S96,AK96)*100+SUM(M96,AE96)+0.001,1,0)+IF(AV96*1000000+SUM(X96,AP96)*10000+SUM(R96,AJ96)*100+SUM(L96,AD96)+0.002&gt;AW96*1000000+SUM(Y96,AQ96)*10000+SUM(S96,AK96)*100+SUM(M96,AE96)+0.001,1,0)=2,"C","")))))))</x:f>
      </x:c>
      <x:c r="AY96" s="27" t="str">
        <x:f>IF(C96="","",IF(LEFT(AX96,1)="R","นักปฏิบัติ",IF(LEFT(AX96,1)="I","นักคิดวิเคราะห์",IF(LEFT(AX96,1)="A","นักสร้างสรรค์",IF(LEFT(AX96,1)="S","ผู้เข้าใจผู้คน",IF(LEFT(AX96,1)="E","ผู้นำการเปลี่ยนแปลง","ผู้จัดระบบ"))))))</x:f>
      </x:c>
    </x:row>
    <x:row r="97">
      <x:c r="A97" s="27"/>
      <x:c r="B97" s="28"/>
      <x:c r="C97" s="27"/>
      <x:c r="D97" s="27"/>
      <x:c r="E97" s="27"/>
      <x:c r="F97" s="27"/>
      <x:c r="G97" s="27"/>
      <x:c r="H97" s="27"/>
      <x:c r="I97" s="27"/>
      <x:c r="J97" s="27"/>
      <x:c r="K97" s="27"/>
      <x:c r="L97" s="27"/>
      <x:c r="M97" s="27"/>
      <x:c r="N97" s="27"/>
      <x:c r="O97" s="27"/>
      <x:c r="P97" s="27"/>
      <x:c r="Q97" s="27"/>
      <x:c r="R97" s="27"/>
      <x:c r="S97" s="27"/>
      <x:c r="T97" s="27"/>
      <x:c r="U97" s="27"/>
      <x:c r="V97" s="27"/>
      <x:c r="W97" s="27"/>
      <x:c r="X97" s="27"/>
      <x:c r="Y97" s="27"/>
      <x:c r="Z97" s="27"/>
      <x:c r="AA97" s="27"/>
      <x:c r="AB97" s="27"/>
      <x:c r="AC97" s="27"/>
      <x:c r="AD97" s="27"/>
      <x:c r="AE97" s="27"/>
      <x:c r="AF97" s="27"/>
      <x:c r="AG97" s="27"/>
      <x:c r="AH97" s="27"/>
      <x:c r="AI97" s="27"/>
      <x:c r="AJ97" s="27"/>
      <x:c r="AK97" s="27"/>
      <x:c r="AL97" s="27"/>
      <x:c r="AM97" s="27"/>
      <x:c r="AN97" s="27"/>
      <x:c r="AO97" s="27"/>
      <x:c r="AP97" s="27"/>
      <x:c r="AQ97" s="27"/>
      <x:c r="AR97" s="27" t="str">
        <x:f>IF(C97="","",SUM(H97,N97,T97,Z97,AF97,AL97))</x:f>
      </x:c>
      <x:c r="AS97" s="27" t="str">
        <x:f>IF(C97="","",SUM(I97,O97,U97,AA97,AG97,AM97))</x:f>
      </x:c>
      <x:c r="AT97" s="27" t="str">
        <x:f>IF(C97="","",SUM(J97,P97,V97,AB97,AH97,AN97))</x:f>
      </x:c>
      <x:c r="AU97" s="27" t="str">
        <x:f>IF(C97="","",SUM(K97,Q97,W97,AC97,AI97,AO97))</x:f>
      </x:c>
      <x:c r="AV97" s="27" t="str">
        <x:f>IF(C97="","",SUM(L97,R97,X97,AD97,AJ97,AP97))</x:f>
      </x:c>
      <x:c r="AW97" s="27" t="str">
        <x:f>IF(C97="","",SUM(M97,S97,Y97,AE97,AK97,AQ97))</x:f>
      </x:c>
      <x:c r="AX97" s="27" t="str">
        <x:f>IF(C97="","",IF(IF(AS97*1000000+SUM(U97,AM97)*10000+SUM(O97,AG97)*100+SUM(I97,AA97)+0.005&gt;AR97*1000000+SUM(T97,AL97)*10000+SUM(N97,AF97)*100+SUM(H97,Z97)+0.006,1,0)+IF(AT97*1000000+SUM(V97,AN97)*10000+SUM(P97,AH97)*100+SUM(J97,AB97)+0.004&gt;AR97*1000000+SUM(T97,AL97)*10000+SUM(N97,AF97)*100+SUM(H97,Z97)+0.006,1,0)+IF(AU97*1000000+SUM(W97,AO97)*10000+SUM(Q97,AI97)*100+SUM(K97,AC97)+0.003&gt;AR97*1000000+SUM(T97,AL97)*10000+SUM(N97,AF97)*100+SUM(H97,Z97)+0.006,1,0)+IF(AV97*1000000+SUM(X97,AP97)*10000+SUM(R97,AJ97)*100+SUM(L97,AD97)+0.002&gt;AR97*1000000+SUM(T97,AL97)*10000+SUM(N97,AF97)*100+SUM(H97,Z97)+0.006,1,0)+IF(AW97*1000000+SUM(Y97,AQ97)*10000+SUM(S97,AK97)*100+SUM(M97,AE97)+0.001&gt;AR97*1000000+SUM(T97,AL97)*10000+SUM(N97,AF97)*100+SUM(H97,Z97)+0.006,1,0)=0,"R",IF(IF(AR97*1000000+SUM(T97,AL97)*10000+SUM(N97,AF97)*100+SUM(H97,Z97)+0.006&gt;AS97*1000000+SUM(U97,AM97)*10000+SUM(O97,AG97)*100+SUM(I97,AA97)+0.005,1,0)+IF(AT97*1000000+SUM(V97,AN97)*10000+SUM(P97,AH97)*100+SUM(J97,AB97)+0.004&gt;AS97*1000000+SUM(U97,AM97)*10000+SUM(O97,AG97)*100+SUM(I97,AA97)+0.005,1,0)+IF(AU97*1000000+SUM(W97,AO97)*10000+SUM(Q97,AI97)*100+SUM(K97,AC97)+0.003&gt;AS97*1000000+SUM(U97,AM97)*10000+SUM(O97,AG97)*100+SUM(I97,AA97)+0.005,1,0)+IF(AV97*1000000+SUM(X97,AP97)*10000+SUM(R97,AJ97)*100+SUM(L97,AD97)+0.002&gt;AS97*1000000+SUM(U97,AM97)*10000+SUM(O97,AG97)*100+SUM(I97,AA97)+0.005,1,0)+IF(AW97*1000000+SUM(Y97,AQ97)*10000+SUM(S97,AK97)*100+SUM(M97,AE97)+0.001&gt;AS97*1000000+SUM(U97,AM97)*10000+SUM(O97,AG97)*100+SUM(I97,AA97)+0.005,1,0)=0,"I",IF(IF(AR97*1000000+SUM(T97,AL97)*10000+SUM(N97,AF97)*100+SUM(H97,Z97)+0.006&gt;AT97*1000000+SUM(V97,AN97)*10000+SUM(P97,AH97)*100+SUM(J97,AB97)+0.004,1,0)+IF(AS97*1000000+SUM(U97,AM97)*10000+SUM(O97,AG97)*100+SUM(I97,AA97)+0.005&gt;AT97*1000000+SUM(V97,AN97)*10000+SUM(P97,AH97)*100+SUM(J97,AB97)+0.004,1,0)+IF(AU97*1000000+SUM(W97,AO97)*10000+SUM(Q97,AI97)*100+SUM(K97,AC97)+0.003&gt;AT97*1000000+SUM(V97,AN97)*10000+SUM(P97,AH97)*100+SUM(J97,AB97)+0.004,1,0)+IF(AV97*1000000+SUM(X97,AP97)*10000+SUM(R97,AJ97)*100+SUM(L97,AD97)+0.002&gt;AT97*1000000+SUM(V97,AN97)*10000+SUM(P97,AH97)*100+SUM(J97,AB97)+0.004,1,0)+IF(AW97*1000000+SUM(Y97,AQ97)*10000+SUM(S97,AK97)*100+SUM(M97,AE97)+0.001&gt;AT97*1000000+SUM(V97,AN97)*10000+SUM(P97,AH97)*100+SUM(J97,AB97)+0.004,1,0)=0,"A",IF(IF(AR97*1000000+SUM(T97,AL97)*10000+SUM(N97,AF97)*100+SUM(H97,Z97)+0.006&gt;AU97*1000000+SUM(W97,AO97)*10000+SUM(Q97,AI97)*100+SUM(K97,AC97)+0.003,1,0)+IF(AS97*1000000+SUM(U97,AM97)*10000+SUM(O97,AG97)*100+SUM(I97,AA97)+0.005&gt;AU97*1000000+SUM(W97,AO97)*10000+SUM(Q97,AI97)*100+SUM(K97,AC97)+0.003,1,0)+IF(AT97*1000000+SUM(V97,AN97)*10000+SUM(P97,AH97)*100+SUM(J97,AB97)+0.004&gt;AU97*1000000+SUM(W97,AO97)*10000+SUM(Q97,AI97)*100+SUM(K97,AC97)+0.003,1,0)+IF(AV97*1000000+SUM(X97,AP97)*10000+SUM(R97,AJ97)*100+SUM(L97,AD97)+0.002&gt;AU97*1000000+SUM(W97,AO97)*10000+SUM(Q97,AI97)*100+SUM(K97,AC97)+0.003,1,0)+IF(AW97*1000000+SUM(Y97,AQ97)*10000+SUM(S97,AK97)*100+SUM(M97,AE97)+0.001&gt;AU97*1000000+SUM(W97,AO97)*10000+SUM(Q97,AI97)*100+SUM(K97,AC97)+0.003,1,0)=0,"S",IF(IF(AR97*1000000+SUM(T97,AL97)*10000+SUM(N97,AF97)*100+SUM(H97,Z97)+0.006&gt;AV97*1000000+SUM(X97,AP97)*10000+SUM(R97,AJ97)*100+SUM(L97,AD97)+0.002,1,0)+IF(AS97*1000000+SUM(U97,AM97)*10000+SUM(O97,AG97)*100+SUM(I97,AA97)+0.005&gt;AV97*1000000+SUM(X97,AP97)*10000+SUM(R97,AJ97)*100+SUM(L97,AD97)+0.002,1,0)+IF(AT97*1000000+SUM(V97,AN97)*10000+SUM(P97,AH97)*100+SUM(J97,AB97)+0.004&gt;AV97*1000000+SUM(X97,AP97)*10000+SUM(R97,AJ97)*100+SUM(L97,AD97)+0.002,1,0)+IF(AU97*1000000+SUM(W97,AO97)*10000+SUM(Q97,AI97)*100+SUM(K97,AC97)+0.003&gt;AV97*1000000+SUM(X97,AP97)*10000+SUM(R97,AJ97)*100+SUM(L97,AD97)+0.002,1,0)+IF(AW97*1000000+SUM(Y97,AQ97)*10000+SUM(S97,AK97)*100+SUM(M97,AE97)+0.001&gt;AV97*1000000+SUM(X97,AP97)*10000+SUM(R97,AJ97)*100+SUM(L97,AD97)+0.002,1,0)=0,"E",IF(IF(AR97*1000000+SUM(T97,AL97)*10000+SUM(N97,AF97)*100+SUM(H97,Z97)+0.006&gt;AW97*1000000+SUM(Y97,AQ97)*10000+SUM(S97,AK97)*100+SUM(M97,AE97)+0.001,1,0)+IF(AS97*1000000+SUM(U97,AM97)*10000+SUM(O97,AG97)*100+SUM(I97,AA97)+0.005&gt;AW97*1000000+SUM(Y97,AQ97)*10000+SUM(S97,AK97)*100+SUM(M97,AE97)+0.001,1,0)+IF(AT97*1000000+SUM(V97,AN97)*10000+SUM(P97,AH97)*100+SUM(J97,AB97)+0.004&gt;AW97*1000000+SUM(Y97,AQ97)*10000+SUM(S97,AK97)*100+SUM(M97,AE97)+0.001,1,0)+IF(AU97*1000000+SUM(W97,AO97)*10000+SUM(Q97,AI97)*100+SUM(K97,AC97)+0.003&gt;AW97*1000000+SUM(Y97,AQ97)*10000+SUM(S97,AK97)*100+SUM(M97,AE97)+0.001,1,0)+IF(AV97*1000000+SUM(X97,AP97)*10000+SUM(R97,AJ97)*100+SUM(L97,AD97)+0.002&gt;AW97*1000000+SUM(Y97,AQ97)*10000+SUM(S97,AK97)*100+SUM(M97,AE97)+0.001,1,0)=0,"C",""))))))&amp;IF(IF(AS97*1000000+SUM(U97,AM97)*10000+SUM(O97,AG97)*100+SUM(I97,AA97)+0.005&gt;AR97*1000000+SUM(T97,AL97)*10000+SUM(N97,AF97)*100+SUM(H97,Z97)+0.006,1,0)+IF(AT97*1000000+SUM(V97,AN97)*10000+SUM(P97,AH97)*100+SUM(J97,AB97)+0.004&gt;AR97*1000000+SUM(T97,AL97)*10000+SUM(N97,AF97)*100+SUM(H97,Z97)+0.006,1,0)+IF(AU97*1000000+SUM(W97,AO97)*10000+SUM(Q97,AI97)*100+SUM(K97,AC97)+0.003&gt;AR97*1000000+SUM(T97,AL97)*10000+SUM(N97,AF97)*100+SUM(H97,Z97)+0.006,1,0)+IF(AV97*1000000+SUM(X97,AP97)*10000+SUM(R97,AJ97)*100+SUM(L97,AD97)+0.002&gt;AR97*1000000+SUM(T97,AL97)*10000+SUM(N97,AF97)*100+SUM(H97,Z97)+0.006,1,0)+IF(AW97*1000000+SUM(Y97,AQ97)*10000+SUM(S97,AK97)*100+SUM(M97,AE97)+0.001&gt;AR97*1000000+SUM(T97,AL97)*10000+SUM(N97,AF97)*100+SUM(H97,Z97)+0.006,1,0)=1,"R",IF(IF(AR97*1000000+SUM(T97,AL97)*10000+SUM(N97,AF97)*100+SUM(H97,Z97)+0.006&gt;AS97*1000000+SUM(U97,AM97)*10000+SUM(O97,AG97)*100+SUM(I97,AA97)+0.005,1,0)+IF(AT97*1000000+SUM(V97,AN97)*10000+SUM(P97,AH97)*100+SUM(J97,AB97)+0.004&gt;AS97*1000000+SUM(U97,AM97)*10000+SUM(O97,AG97)*100+SUM(I97,AA97)+0.005,1,0)+IF(AU97*1000000+SUM(W97,AO97)*10000+SUM(Q97,AI97)*100+SUM(K97,AC97)+0.003&gt;AS97*1000000+SUM(U97,AM97)*10000+SUM(O97,AG97)*100+SUM(I97,AA97)+0.005,1,0)+IF(AV97*1000000+SUM(X97,AP97)*10000+SUM(R97,AJ97)*100+SUM(L97,AD97)+0.002&gt;AS97*1000000+SUM(U97,AM97)*10000+SUM(O97,AG97)*100+SUM(I97,AA97)+0.005,1,0)+IF(AW97*1000000+SUM(Y97,AQ97)*10000+SUM(S97,AK97)*100+SUM(M97,AE97)+0.001&gt;AS97*1000000+SUM(U97,AM97)*10000+SUM(O97,AG97)*100+SUM(I97,AA97)+0.005,1,0)=1,"I",IF(IF(AR97*1000000+SUM(T97,AL97)*10000+SUM(N97,AF97)*100+SUM(H97,Z97)+0.006&gt;AT97*1000000+SUM(V97,AN97)*10000+SUM(P97,AH97)*100+SUM(J97,AB97)+0.004,1,0)+IF(AS97*1000000+SUM(U97,AM97)*10000+SUM(O97,AG97)*100+SUM(I97,AA97)+0.005&gt;AT97*1000000+SUM(V97,AN97)*10000+SUM(P97,AH97)*100+SUM(J97,AB97)+0.004,1,0)+IF(AU97*1000000+SUM(W97,AO97)*10000+SUM(Q97,AI97)*100+SUM(K97,AC97)+0.003&gt;AT97*1000000+SUM(V97,AN97)*10000+SUM(P97,AH97)*100+SUM(J97,AB97)+0.004,1,0)+IF(AV97*1000000+SUM(X97,AP97)*10000+SUM(R97,AJ97)*100+SUM(L97,AD97)+0.002&gt;AT97*1000000+SUM(V97,AN97)*10000+SUM(P97,AH97)*100+SUM(J97,AB97)+0.004,1,0)+IF(AW97*1000000+SUM(Y97,AQ97)*10000+SUM(S97,AK97)*100+SUM(M97,AE97)+0.001&gt;AT97*1000000+SUM(V97,AN97)*10000+SUM(P97,AH97)*100+SUM(J97,AB97)+0.004,1,0)=1,"A",IF(IF(AR97*1000000+SUM(T97,AL97)*10000+SUM(N97,AF97)*100+SUM(H97,Z97)+0.006&gt;AU97*1000000+SUM(W97,AO97)*10000+SUM(Q97,AI97)*100+SUM(K97,AC97)+0.003,1,0)+IF(AS97*1000000+SUM(U97,AM97)*10000+SUM(O97,AG97)*100+SUM(I97,AA97)+0.005&gt;AU97*1000000+SUM(W97,AO97)*10000+SUM(Q97,AI97)*100+SUM(K97,AC97)+0.003,1,0)+IF(AT97*1000000+SUM(V97,AN97)*10000+SUM(P97,AH97)*100+SUM(J97,AB97)+0.004&gt;AU97*1000000+SUM(W97,AO97)*10000+SUM(Q97,AI97)*100+SUM(K97,AC97)+0.003,1,0)+IF(AV97*1000000+SUM(X97,AP97)*10000+SUM(R97,AJ97)*100+SUM(L97,AD97)+0.002&gt;AU97*1000000+SUM(W97,AO97)*10000+SUM(Q97,AI97)*100+SUM(K97,AC97)+0.003,1,0)+IF(AW97*1000000+SUM(Y97,AQ97)*10000+SUM(S97,AK97)*100+SUM(M97,AE97)+0.001&gt;AU97*1000000+SUM(W97,AO97)*10000+SUM(Q97,AI97)*100+SUM(K97,AC97)+0.003,1,0)=1,"S",IF(IF(AR97*1000000+SUM(T97,AL97)*10000+SUM(N97,AF97)*100+SUM(H97,Z97)+0.006&gt;AV97*1000000+SUM(X97,AP97)*10000+SUM(R97,AJ97)*100+SUM(L97,AD97)+0.002,1,0)+IF(AS97*1000000+SUM(U97,AM97)*10000+SUM(O97,AG97)*100+SUM(I97,AA97)+0.005&gt;AV97*1000000+SUM(X97,AP97)*10000+SUM(R97,AJ97)*100+SUM(L97,AD97)+0.002,1,0)+IF(AT97*1000000+SUM(V97,AN97)*10000+SUM(P97,AH97)*100+SUM(J97,AB97)+0.004&gt;AV97*1000000+SUM(X97,AP97)*10000+SUM(R97,AJ97)*100+SUM(L97,AD97)+0.002,1,0)+IF(AU97*1000000+SUM(W97,AO97)*10000+SUM(Q97,AI97)*100+SUM(K97,AC97)+0.003&gt;AV97*1000000+SUM(X97,AP97)*10000+SUM(R97,AJ97)*100+SUM(L97,AD97)+0.002,1,0)+IF(AW97*1000000+SUM(Y97,AQ97)*10000+SUM(S97,AK97)*100+SUM(M97,AE97)+0.001&gt;AV97*1000000+SUM(X97,AP97)*10000+SUM(R97,AJ97)*100+SUM(L97,AD97)+0.002,1,0)=1,"E",IF(IF(AR97*1000000+SUM(T97,AL97)*10000+SUM(N97,AF97)*100+SUM(H97,Z97)+0.006&gt;AW97*1000000+SUM(Y97,AQ97)*10000+SUM(S97,AK97)*100+SUM(M97,AE97)+0.001,1,0)+IF(AS97*1000000+SUM(U97,AM97)*10000+SUM(O97,AG97)*100+SUM(I97,AA97)+0.005&gt;AW97*1000000+SUM(Y97,AQ97)*10000+SUM(S97,AK97)*100+SUM(M97,AE97)+0.001,1,0)+IF(AT97*1000000+SUM(V97,AN97)*10000+SUM(P97,AH97)*100+SUM(J97,AB97)+0.004&gt;AW97*1000000+SUM(Y97,AQ97)*10000+SUM(S97,AK97)*100+SUM(M97,AE97)+0.001,1,0)+IF(AU97*1000000+SUM(W97,AO97)*10000+SUM(Q97,AI97)*100+SUM(K97,AC97)+0.003&gt;AW97*1000000+SUM(Y97,AQ97)*10000+SUM(S97,AK97)*100+SUM(M97,AE97)+0.001,1,0)+IF(AV97*1000000+SUM(X97,AP97)*10000+SUM(R97,AJ97)*100+SUM(L97,AD97)+0.002&gt;AW97*1000000+SUM(Y97,AQ97)*10000+SUM(S97,AK97)*100+SUM(M97,AE97)+0.001,1,0)=1,"C",""))))))&amp;IF(IF(AS97*1000000+SUM(U97,AM97)*10000+SUM(O97,AG97)*100+SUM(I97,AA97)+0.005&gt;AR97*1000000+SUM(T97,AL97)*10000+SUM(N97,AF97)*100+SUM(H97,Z97)+0.006,1,0)+IF(AT97*1000000+SUM(V97,AN97)*10000+SUM(P97,AH97)*100+SUM(J97,AB97)+0.004&gt;AR97*1000000+SUM(T97,AL97)*10000+SUM(N97,AF97)*100+SUM(H97,Z97)+0.006,1,0)+IF(AU97*1000000+SUM(W97,AO97)*10000+SUM(Q97,AI97)*100+SUM(K97,AC97)+0.003&gt;AR97*1000000+SUM(T97,AL97)*10000+SUM(N97,AF97)*100+SUM(H97,Z97)+0.006,1,0)+IF(AV97*1000000+SUM(X97,AP97)*10000+SUM(R97,AJ97)*100+SUM(L97,AD97)+0.002&gt;AR97*1000000+SUM(T97,AL97)*10000+SUM(N97,AF97)*100+SUM(H97,Z97)+0.006,1,0)+IF(AW97*1000000+SUM(Y97,AQ97)*10000+SUM(S97,AK97)*100+SUM(M97,AE97)+0.001&gt;AR97*1000000+SUM(T97,AL97)*10000+SUM(N97,AF97)*100+SUM(H97,Z97)+0.006,1,0)=2,"R",IF(IF(AR97*1000000+SUM(T97,AL97)*10000+SUM(N97,AF97)*100+SUM(H97,Z97)+0.006&gt;AS97*1000000+SUM(U97,AM97)*10000+SUM(O97,AG97)*100+SUM(I97,AA97)+0.005,1,0)+IF(AT97*1000000+SUM(V97,AN97)*10000+SUM(P97,AH97)*100+SUM(J97,AB97)+0.004&gt;AS97*1000000+SUM(U97,AM97)*10000+SUM(O97,AG97)*100+SUM(I97,AA97)+0.005,1,0)+IF(AU97*1000000+SUM(W97,AO97)*10000+SUM(Q97,AI97)*100+SUM(K97,AC97)+0.003&gt;AS97*1000000+SUM(U97,AM97)*10000+SUM(O97,AG97)*100+SUM(I97,AA97)+0.005,1,0)+IF(AV97*1000000+SUM(X97,AP97)*10000+SUM(R97,AJ97)*100+SUM(L97,AD97)+0.002&gt;AS97*1000000+SUM(U97,AM97)*10000+SUM(O97,AG97)*100+SUM(I97,AA97)+0.005,1,0)+IF(AW97*1000000+SUM(Y97,AQ97)*10000+SUM(S97,AK97)*100+SUM(M97,AE97)+0.001&gt;AS97*1000000+SUM(U97,AM97)*10000+SUM(O97,AG97)*100+SUM(I97,AA97)+0.005,1,0)=2,"I",IF(IF(AR97*1000000+SUM(T97,AL97)*10000+SUM(N97,AF97)*100+SUM(H97,Z97)+0.006&gt;AT97*1000000+SUM(V97,AN97)*10000+SUM(P97,AH97)*100+SUM(J97,AB97)+0.004,1,0)+IF(AS97*1000000+SUM(U97,AM97)*10000+SUM(O97,AG97)*100+SUM(I97,AA97)+0.005&gt;AT97*1000000+SUM(V97,AN97)*10000+SUM(P97,AH97)*100+SUM(J97,AB97)+0.004,1,0)+IF(AU97*1000000+SUM(W97,AO97)*10000+SUM(Q97,AI97)*100+SUM(K97,AC97)+0.003&gt;AT97*1000000+SUM(V97,AN97)*10000+SUM(P97,AH97)*100+SUM(J97,AB97)+0.004,1,0)+IF(AV97*1000000+SUM(X97,AP97)*10000+SUM(R97,AJ97)*100+SUM(L97,AD97)+0.002&gt;AT97*1000000+SUM(V97,AN97)*10000+SUM(P97,AH97)*100+SUM(J97,AB97)+0.004,1,0)+IF(AW97*1000000+SUM(Y97,AQ97)*10000+SUM(S97,AK97)*100+SUM(M97,AE97)+0.001&gt;AT97*1000000+SUM(V97,AN97)*10000+SUM(P97,AH97)*100+SUM(J97,AB97)+0.004,1,0)=2,"A",IF(IF(AR97*1000000+SUM(T97,AL97)*10000+SUM(N97,AF97)*100+SUM(H97,Z97)+0.006&gt;AU97*1000000+SUM(W97,AO97)*10000+SUM(Q97,AI97)*100+SUM(K97,AC97)+0.003,1,0)+IF(AS97*1000000+SUM(U97,AM97)*10000+SUM(O97,AG97)*100+SUM(I97,AA97)+0.005&gt;AU97*1000000+SUM(W97,AO97)*10000+SUM(Q97,AI97)*100+SUM(K97,AC97)+0.003,1,0)+IF(AT97*1000000+SUM(V97,AN97)*10000+SUM(P97,AH97)*100+SUM(J97,AB97)+0.004&gt;AU97*1000000+SUM(W97,AO97)*10000+SUM(Q97,AI97)*100+SUM(K97,AC97)+0.003,1,0)+IF(AV97*1000000+SUM(X97,AP97)*10000+SUM(R97,AJ97)*100+SUM(L97,AD97)+0.002&gt;AU97*1000000+SUM(W97,AO97)*10000+SUM(Q97,AI97)*100+SUM(K97,AC97)+0.003,1,0)+IF(AW97*1000000+SUM(Y97,AQ97)*10000+SUM(S97,AK97)*100+SUM(M97,AE97)+0.001&gt;AU97*1000000+SUM(W97,AO97)*10000+SUM(Q97,AI97)*100+SUM(K97,AC97)+0.003,1,0)=2,"S",IF(IF(AR97*1000000+SUM(T97,AL97)*10000+SUM(N97,AF97)*100+SUM(H97,Z97)+0.006&gt;AV97*1000000+SUM(X97,AP97)*10000+SUM(R97,AJ97)*100+SUM(L97,AD97)+0.002,1,0)+IF(AS97*1000000+SUM(U97,AM97)*10000+SUM(O97,AG97)*100+SUM(I97,AA97)+0.005&gt;AV97*1000000+SUM(X97,AP97)*10000+SUM(R97,AJ97)*100+SUM(L97,AD97)+0.002,1,0)+IF(AT97*1000000+SUM(V97,AN97)*10000+SUM(P97,AH97)*100+SUM(J97,AB97)+0.004&gt;AV97*1000000+SUM(X97,AP97)*10000+SUM(R97,AJ97)*100+SUM(L97,AD97)+0.002,1,0)+IF(AU97*1000000+SUM(W97,AO97)*10000+SUM(Q97,AI97)*100+SUM(K97,AC97)+0.003&gt;AV97*1000000+SUM(X97,AP97)*10000+SUM(R97,AJ97)*100+SUM(L97,AD97)+0.002,1,0)+IF(AW97*1000000+SUM(Y97,AQ97)*10000+SUM(S97,AK97)*100+SUM(M97,AE97)+0.001&gt;AV97*1000000+SUM(X97,AP97)*10000+SUM(R97,AJ97)*100+SUM(L97,AD97)+0.002,1,0)=2,"E",IF(IF(AR97*1000000+SUM(T97,AL97)*10000+SUM(N97,AF97)*100+SUM(H97,Z97)+0.006&gt;AW97*1000000+SUM(Y97,AQ97)*10000+SUM(S97,AK97)*100+SUM(M97,AE97)+0.001,1,0)+IF(AS97*1000000+SUM(U97,AM97)*10000+SUM(O97,AG97)*100+SUM(I97,AA97)+0.005&gt;AW97*1000000+SUM(Y97,AQ97)*10000+SUM(S97,AK97)*100+SUM(M97,AE97)+0.001,1,0)+IF(AT97*1000000+SUM(V97,AN97)*10000+SUM(P97,AH97)*100+SUM(J97,AB97)+0.004&gt;AW97*1000000+SUM(Y97,AQ97)*10000+SUM(S97,AK97)*100+SUM(M97,AE97)+0.001,1,0)+IF(AU97*1000000+SUM(W97,AO97)*10000+SUM(Q97,AI97)*100+SUM(K97,AC97)+0.003&gt;AW97*1000000+SUM(Y97,AQ97)*10000+SUM(S97,AK97)*100+SUM(M97,AE97)+0.001,1,0)+IF(AV97*1000000+SUM(X97,AP97)*10000+SUM(R97,AJ97)*100+SUM(L97,AD97)+0.002&gt;AW97*1000000+SUM(Y97,AQ97)*10000+SUM(S97,AK97)*100+SUM(M97,AE97)+0.001,1,0)=2,"C","")))))))</x:f>
      </x:c>
      <x:c r="AY97" s="27" t="str">
        <x:f>IF(C97="","",IF(LEFT(AX97,1)="R","นักปฏิบัติ",IF(LEFT(AX97,1)="I","นักคิดวิเคราะห์",IF(LEFT(AX97,1)="A","นักสร้างสรรค์",IF(LEFT(AX97,1)="S","ผู้เข้าใจผู้คน",IF(LEFT(AX97,1)="E","ผู้นำการเปลี่ยนแปลง","ผู้จัดระบบ"))))))</x:f>
      </x:c>
    </x:row>
    <x:row r="98">
      <x:c r="A98" s="27"/>
      <x:c r="B98" s="28"/>
      <x:c r="C98" s="27"/>
      <x:c r="D98" s="27"/>
      <x:c r="E98" s="27"/>
      <x:c r="F98" s="27"/>
      <x:c r="G98" s="27"/>
      <x:c r="H98" s="27"/>
      <x:c r="I98" s="27"/>
      <x:c r="J98" s="27"/>
      <x:c r="K98" s="27"/>
      <x:c r="L98" s="27"/>
      <x:c r="M98" s="27"/>
      <x:c r="N98" s="27"/>
      <x:c r="O98" s="27"/>
      <x:c r="P98" s="27"/>
      <x:c r="Q98" s="27"/>
      <x:c r="R98" s="27"/>
      <x:c r="S98" s="27"/>
      <x:c r="T98" s="27"/>
      <x:c r="U98" s="27"/>
      <x:c r="V98" s="27"/>
      <x:c r="W98" s="27"/>
      <x:c r="X98" s="27"/>
      <x:c r="Y98" s="27"/>
      <x:c r="Z98" s="27"/>
      <x:c r="AA98" s="27"/>
      <x:c r="AB98" s="27"/>
      <x:c r="AC98" s="27"/>
      <x:c r="AD98" s="27"/>
      <x:c r="AE98" s="27"/>
      <x:c r="AF98" s="27"/>
      <x:c r="AG98" s="27"/>
      <x:c r="AH98" s="27"/>
      <x:c r="AI98" s="27"/>
      <x:c r="AJ98" s="27"/>
      <x:c r="AK98" s="27"/>
      <x:c r="AL98" s="27"/>
      <x:c r="AM98" s="27"/>
      <x:c r="AN98" s="27"/>
      <x:c r="AO98" s="27"/>
      <x:c r="AP98" s="27"/>
      <x:c r="AQ98" s="27"/>
      <x:c r="AR98" s="27" t="str">
        <x:f>IF(C98="","",SUM(H98,N98,T98,Z98,AF98,AL98))</x:f>
      </x:c>
      <x:c r="AS98" s="27" t="str">
        <x:f>IF(C98="","",SUM(I98,O98,U98,AA98,AG98,AM98))</x:f>
      </x:c>
      <x:c r="AT98" s="27" t="str">
        <x:f>IF(C98="","",SUM(J98,P98,V98,AB98,AH98,AN98))</x:f>
      </x:c>
      <x:c r="AU98" s="27" t="str">
        <x:f>IF(C98="","",SUM(K98,Q98,W98,AC98,AI98,AO98))</x:f>
      </x:c>
      <x:c r="AV98" s="27" t="str">
        <x:f>IF(C98="","",SUM(L98,R98,X98,AD98,AJ98,AP98))</x:f>
      </x:c>
      <x:c r="AW98" s="27" t="str">
        <x:f>IF(C98="","",SUM(M98,S98,Y98,AE98,AK98,AQ98))</x:f>
      </x:c>
      <x:c r="AX98" s="27" t="str">
        <x:f>IF(C98="","",IF(IF(AS98*1000000+SUM(U98,AM98)*10000+SUM(O98,AG98)*100+SUM(I98,AA98)+0.005&gt;AR98*1000000+SUM(T98,AL98)*10000+SUM(N98,AF98)*100+SUM(H98,Z98)+0.006,1,0)+IF(AT98*1000000+SUM(V98,AN98)*10000+SUM(P98,AH98)*100+SUM(J98,AB98)+0.004&gt;AR98*1000000+SUM(T98,AL98)*10000+SUM(N98,AF98)*100+SUM(H98,Z98)+0.006,1,0)+IF(AU98*1000000+SUM(W98,AO98)*10000+SUM(Q98,AI98)*100+SUM(K98,AC98)+0.003&gt;AR98*1000000+SUM(T98,AL98)*10000+SUM(N98,AF98)*100+SUM(H98,Z98)+0.006,1,0)+IF(AV98*1000000+SUM(X98,AP98)*10000+SUM(R98,AJ98)*100+SUM(L98,AD98)+0.002&gt;AR98*1000000+SUM(T98,AL98)*10000+SUM(N98,AF98)*100+SUM(H98,Z98)+0.006,1,0)+IF(AW98*1000000+SUM(Y98,AQ98)*10000+SUM(S98,AK98)*100+SUM(M98,AE98)+0.001&gt;AR98*1000000+SUM(T98,AL98)*10000+SUM(N98,AF98)*100+SUM(H98,Z98)+0.006,1,0)=0,"R",IF(IF(AR98*1000000+SUM(T98,AL98)*10000+SUM(N98,AF98)*100+SUM(H98,Z98)+0.006&gt;AS98*1000000+SUM(U98,AM98)*10000+SUM(O98,AG98)*100+SUM(I98,AA98)+0.005,1,0)+IF(AT98*1000000+SUM(V98,AN98)*10000+SUM(P98,AH98)*100+SUM(J98,AB98)+0.004&gt;AS98*1000000+SUM(U98,AM98)*10000+SUM(O98,AG98)*100+SUM(I98,AA98)+0.005,1,0)+IF(AU98*1000000+SUM(W98,AO98)*10000+SUM(Q98,AI98)*100+SUM(K98,AC98)+0.003&gt;AS98*1000000+SUM(U98,AM98)*10000+SUM(O98,AG98)*100+SUM(I98,AA98)+0.005,1,0)+IF(AV98*1000000+SUM(X98,AP98)*10000+SUM(R98,AJ98)*100+SUM(L98,AD98)+0.002&gt;AS98*1000000+SUM(U98,AM98)*10000+SUM(O98,AG98)*100+SUM(I98,AA98)+0.005,1,0)+IF(AW98*1000000+SUM(Y98,AQ98)*10000+SUM(S98,AK98)*100+SUM(M98,AE98)+0.001&gt;AS98*1000000+SUM(U98,AM98)*10000+SUM(O98,AG98)*100+SUM(I98,AA98)+0.005,1,0)=0,"I",IF(IF(AR98*1000000+SUM(T98,AL98)*10000+SUM(N98,AF98)*100+SUM(H98,Z98)+0.006&gt;AT98*1000000+SUM(V98,AN98)*10000+SUM(P98,AH98)*100+SUM(J98,AB98)+0.004,1,0)+IF(AS98*1000000+SUM(U98,AM98)*10000+SUM(O98,AG98)*100+SUM(I98,AA98)+0.005&gt;AT98*1000000+SUM(V98,AN98)*10000+SUM(P98,AH98)*100+SUM(J98,AB98)+0.004,1,0)+IF(AU98*1000000+SUM(W98,AO98)*10000+SUM(Q98,AI98)*100+SUM(K98,AC98)+0.003&gt;AT98*1000000+SUM(V98,AN98)*10000+SUM(P98,AH98)*100+SUM(J98,AB98)+0.004,1,0)+IF(AV98*1000000+SUM(X98,AP98)*10000+SUM(R98,AJ98)*100+SUM(L98,AD98)+0.002&gt;AT98*1000000+SUM(V98,AN98)*10000+SUM(P98,AH98)*100+SUM(J98,AB98)+0.004,1,0)+IF(AW98*1000000+SUM(Y98,AQ98)*10000+SUM(S98,AK98)*100+SUM(M98,AE98)+0.001&gt;AT98*1000000+SUM(V98,AN98)*10000+SUM(P98,AH98)*100+SUM(J98,AB98)+0.004,1,0)=0,"A",IF(IF(AR98*1000000+SUM(T98,AL98)*10000+SUM(N98,AF98)*100+SUM(H98,Z98)+0.006&gt;AU98*1000000+SUM(W98,AO98)*10000+SUM(Q98,AI98)*100+SUM(K98,AC98)+0.003,1,0)+IF(AS98*1000000+SUM(U98,AM98)*10000+SUM(O98,AG98)*100+SUM(I98,AA98)+0.005&gt;AU98*1000000+SUM(W98,AO98)*10000+SUM(Q98,AI98)*100+SUM(K98,AC98)+0.003,1,0)+IF(AT98*1000000+SUM(V98,AN98)*10000+SUM(P98,AH98)*100+SUM(J98,AB98)+0.004&gt;AU98*1000000+SUM(W98,AO98)*10000+SUM(Q98,AI98)*100+SUM(K98,AC98)+0.003,1,0)+IF(AV98*1000000+SUM(X98,AP98)*10000+SUM(R98,AJ98)*100+SUM(L98,AD98)+0.002&gt;AU98*1000000+SUM(W98,AO98)*10000+SUM(Q98,AI98)*100+SUM(K98,AC98)+0.003,1,0)+IF(AW98*1000000+SUM(Y98,AQ98)*10000+SUM(S98,AK98)*100+SUM(M98,AE98)+0.001&gt;AU98*1000000+SUM(W98,AO98)*10000+SUM(Q98,AI98)*100+SUM(K98,AC98)+0.003,1,0)=0,"S",IF(IF(AR98*1000000+SUM(T98,AL98)*10000+SUM(N98,AF98)*100+SUM(H98,Z98)+0.006&gt;AV98*1000000+SUM(X98,AP98)*10000+SUM(R98,AJ98)*100+SUM(L98,AD98)+0.002,1,0)+IF(AS98*1000000+SUM(U98,AM98)*10000+SUM(O98,AG98)*100+SUM(I98,AA98)+0.005&gt;AV98*1000000+SUM(X98,AP98)*10000+SUM(R98,AJ98)*100+SUM(L98,AD98)+0.002,1,0)+IF(AT98*1000000+SUM(V98,AN98)*10000+SUM(P98,AH98)*100+SUM(J98,AB98)+0.004&gt;AV98*1000000+SUM(X98,AP98)*10000+SUM(R98,AJ98)*100+SUM(L98,AD98)+0.002,1,0)+IF(AU98*1000000+SUM(W98,AO98)*10000+SUM(Q98,AI98)*100+SUM(K98,AC98)+0.003&gt;AV98*1000000+SUM(X98,AP98)*10000+SUM(R98,AJ98)*100+SUM(L98,AD98)+0.002,1,0)+IF(AW98*1000000+SUM(Y98,AQ98)*10000+SUM(S98,AK98)*100+SUM(M98,AE98)+0.001&gt;AV98*1000000+SUM(X98,AP98)*10000+SUM(R98,AJ98)*100+SUM(L98,AD98)+0.002,1,0)=0,"E",IF(IF(AR98*1000000+SUM(T98,AL98)*10000+SUM(N98,AF98)*100+SUM(H98,Z98)+0.006&gt;AW98*1000000+SUM(Y98,AQ98)*10000+SUM(S98,AK98)*100+SUM(M98,AE98)+0.001,1,0)+IF(AS98*1000000+SUM(U98,AM98)*10000+SUM(O98,AG98)*100+SUM(I98,AA98)+0.005&gt;AW98*1000000+SUM(Y98,AQ98)*10000+SUM(S98,AK98)*100+SUM(M98,AE98)+0.001,1,0)+IF(AT98*1000000+SUM(V98,AN98)*10000+SUM(P98,AH98)*100+SUM(J98,AB98)+0.004&gt;AW98*1000000+SUM(Y98,AQ98)*10000+SUM(S98,AK98)*100+SUM(M98,AE98)+0.001,1,0)+IF(AU98*1000000+SUM(W98,AO98)*10000+SUM(Q98,AI98)*100+SUM(K98,AC98)+0.003&gt;AW98*1000000+SUM(Y98,AQ98)*10000+SUM(S98,AK98)*100+SUM(M98,AE98)+0.001,1,0)+IF(AV98*1000000+SUM(X98,AP98)*10000+SUM(R98,AJ98)*100+SUM(L98,AD98)+0.002&gt;AW98*1000000+SUM(Y98,AQ98)*10000+SUM(S98,AK98)*100+SUM(M98,AE98)+0.001,1,0)=0,"C",""))))))&amp;IF(IF(AS98*1000000+SUM(U98,AM98)*10000+SUM(O98,AG98)*100+SUM(I98,AA98)+0.005&gt;AR98*1000000+SUM(T98,AL98)*10000+SUM(N98,AF98)*100+SUM(H98,Z98)+0.006,1,0)+IF(AT98*1000000+SUM(V98,AN98)*10000+SUM(P98,AH98)*100+SUM(J98,AB98)+0.004&gt;AR98*1000000+SUM(T98,AL98)*10000+SUM(N98,AF98)*100+SUM(H98,Z98)+0.006,1,0)+IF(AU98*1000000+SUM(W98,AO98)*10000+SUM(Q98,AI98)*100+SUM(K98,AC98)+0.003&gt;AR98*1000000+SUM(T98,AL98)*10000+SUM(N98,AF98)*100+SUM(H98,Z98)+0.006,1,0)+IF(AV98*1000000+SUM(X98,AP98)*10000+SUM(R98,AJ98)*100+SUM(L98,AD98)+0.002&gt;AR98*1000000+SUM(T98,AL98)*10000+SUM(N98,AF98)*100+SUM(H98,Z98)+0.006,1,0)+IF(AW98*1000000+SUM(Y98,AQ98)*10000+SUM(S98,AK98)*100+SUM(M98,AE98)+0.001&gt;AR98*1000000+SUM(T98,AL98)*10000+SUM(N98,AF98)*100+SUM(H98,Z98)+0.006,1,0)=1,"R",IF(IF(AR98*1000000+SUM(T98,AL98)*10000+SUM(N98,AF98)*100+SUM(H98,Z98)+0.006&gt;AS98*1000000+SUM(U98,AM98)*10000+SUM(O98,AG98)*100+SUM(I98,AA98)+0.005,1,0)+IF(AT98*1000000+SUM(V98,AN98)*10000+SUM(P98,AH98)*100+SUM(J98,AB98)+0.004&gt;AS98*1000000+SUM(U98,AM98)*10000+SUM(O98,AG98)*100+SUM(I98,AA98)+0.005,1,0)+IF(AU98*1000000+SUM(W98,AO98)*10000+SUM(Q98,AI98)*100+SUM(K98,AC98)+0.003&gt;AS98*1000000+SUM(U98,AM98)*10000+SUM(O98,AG98)*100+SUM(I98,AA98)+0.005,1,0)+IF(AV98*1000000+SUM(X98,AP98)*10000+SUM(R98,AJ98)*100+SUM(L98,AD98)+0.002&gt;AS98*1000000+SUM(U98,AM98)*10000+SUM(O98,AG98)*100+SUM(I98,AA98)+0.005,1,0)+IF(AW98*1000000+SUM(Y98,AQ98)*10000+SUM(S98,AK98)*100+SUM(M98,AE98)+0.001&gt;AS98*1000000+SUM(U98,AM98)*10000+SUM(O98,AG98)*100+SUM(I98,AA98)+0.005,1,0)=1,"I",IF(IF(AR98*1000000+SUM(T98,AL98)*10000+SUM(N98,AF98)*100+SUM(H98,Z98)+0.006&gt;AT98*1000000+SUM(V98,AN98)*10000+SUM(P98,AH98)*100+SUM(J98,AB98)+0.004,1,0)+IF(AS98*1000000+SUM(U98,AM98)*10000+SUM(O98,AG98)*100+SUM(I98,AA98)+0.005&gt;AT98*1000000+SUM(V98,AN98)*10000+SUM(P98,AH98)*100+SUM(J98,AB98)+0.004,1,0)+IF(AU98*1000000+SUM(W98,AO98)*10000+SUM(Q98,AI98)*100+SUM(K98,AC98)+0.003&gt;AT98*1000000+SUM(V98,AN98)*10000+SUM(P98,AH98)*100+SUM(J98,AB98)+0.004,1,0)+IF(AV98*1000000+SUM(X98,AP98)*10000+SUM(R98,AJ98)*100+SUM(L98,AD98)+0.002&gt;AT98*1000000+SUM(V98,AN98)*10000+SUM(P98,AH98)*100+SUM(J98,AB98)+0.004,1,0)+IF(AW98*1000000+SUM(Y98,AQ98)*10000+SUM(S98,AK98)*100+SUM(M98,AE98)+0.001&gt;AT98*1000000+SUM(V98,AN98)*10000+SUM(P98,AH98)*100+SUM(J98,AB98)+0.004,1,0)=1,"A",IF(IF(AR98*1000000+SUM(T98,AL98)*10000+SUM(N98,AF98)*100+SUM(H98,Z98)+0.006&gt;AU98*1000000+SUM(W98,AO98)*10000+SUM(Q98,AI98)*100+SUM(K98,AC98)+0.003,1,0)+IF(AS98*1000000+SUM(U98,AM98)*10000+SUM(O98,AG98)*100+SUM(I98,AA98)+0.005&gt;AU98*1000000+SUM(W98,AO98)*10000+SUM(Q98,AI98)*100+SUM(K98,AC98)+0.003,1,0)+IF(AT98*1000000+SUM(V98,AN98)*10000+SUM(P98,AH98)*100+SUM(J98,AB98)+0.004&gt;AU98*1000000+SUM(W98,AO98)*10000+SUM(Q98,AI98)*100+SUM(K98,AC98)+0.003,1,0)+IF(AV98*1000000+SUM(X98,AP98)*10000+SUM(R98,AJ98)*100+SUM(L98,AD98)+0.002&gt;AU98*1000000+SUM(W98,AO98)*10000+SUM(Q98,AI98)*100+SUM(K98,AC98)+0.003,1,0)+IF(AW98*1000000+SUM(Y98,AQ98)*10000+SUM(S98,AK98)*100+SUM(M98,AE98)+0.001&gt;AU98*1000000+SUM(W98,AO98)*10000+SUM(Q98,AI98)*100+SUM(K98,AC98)+0.003,1,0)=1,"S",IF(IF(AR98*1000000+SUM(T98,AL98)*10000+SUM(N98,AF98)*100+SUM(H98,Z98)+0.006&gt;AV98*1000000+SUM(X98,AP98)*10000+SUM(R98,AJ98)*100+SUM(L98,AD98)+0.002,1,0)+IF(AS98*1000000+SUM(U98,AM98)*10000+SUM(O98,AG98)*100+SUM(I98,AA98)+0.005&gt;AV98*1000000+SUM(X98,AP98)*10000+SUM(R98,AJ98)*100+SUM(L98,AD98)+0.002,1,0)+IF(AT98*1000000+SUM(V98,AN98)*10000+SUM(P98,AH98)*100+SUM(J98,AB98)+0.004&gt;AV98*1000000+SUM(X98,AP98)*10000+SUM(R98,AJ98)*100+SUM(L98,AD98)+0.002,1,0)+IF(AU98*1000000+SUM(W98,AO98)*10000+SUM(Q98,AI98)*100+SUM(K98,AC98)+0.003&gt;AV98*1000000+SUM(X98,AP98)*10000+SUM(R98,AJ98)*100+SUM(L98,AD98)+0.002,1,0)+IF(AW98*1000000+SUM(Y98,AQ98)*10000+SUM(S98,AK98)*100+SUM(M98,AE98)+0.001&gt;AV98*1000000+SUM(X98,AP98)*10000+SUM(R98,AJ98)*100+SUM(L98,AD98)+0.002,1,0)=1,"E",IF(IF(AR98*1000000+SUM(T98,AL98)*10000+SUM(N98,AF98)*100+SUM(H98,Z98)+0.006&gt;AW98*1000000+SUM(Y98,AQ98)*10000+SUM(S98,AK98)*100+SUM(M98,AE98)+0.001,1,0)+IF(AS98*1000000+SUM(U98,AM98)*10000+SUM(O98,AG98)*100+SUM(I98,AA98)+0.005&gt;AW98*1000000+SUM(Y98,AQ98)*10000+SUM(S98,AK98)*100+SUM(M98,AE98)+0.001,1,0)+IF(AT98*1000000+SUM(V98,AN98)*10000+SUM(P98,AH98)*100+SUM(J98,AB98)+0.004&gt;AW98*1000000+SUM(Y98,AQ98)*10000+SUM(S98,AK98)*100+SUM(M98,AE98)+0.001,1,0)+IF(AU98*1000000+SUM(W98,AO98)*10000+SUM(Q98,AI98)*100+SUM(K98,AC98)+0.003&gt;AW98*1000000+SUM(Y98,AQ98)*10000+SUM(S98,AK98)*100+SUM(M98,AE98)+0.001,1,0)+IF(AV98*1000000+SUM(X98,AP98)*10000+SUM(R98,AJ98)*100+SUM(L98,AD98)+0.002&gt;AW98*1000000+SUM(Y98,AQ98)*10000+SUM(S98,AK98)*100+SUM(M98,AE98)+0.001,1,0)=1,"C",""))))))&amp;IF(IF(AS98*1000000+SUM(U98,AM98)*10000+SUM(O98,AG98)*100+SUM(I98,AA98)+0.005&gt;AR98*1000000+SUM(T98,AL98)*10000+SUM(N98,AF98)*100+SUM(H98,Z98)+0.006,1,0)+IF(AT98*1000000+SUM(V98,AN98)*10000+SUM(P98,AH98)*100+SUM(J98,AB98)+0.004&gt;AR98*1000000+SUM(T98,AL98)*10000+SUM(N98,AF98)*100+SUM(H98,Z98)+0.006,1,0)+IF(AU98*1000000+SUM(W98,AO98)*10000+SUM(Q98,AI98)*100+SUM(K98,AC98)+0.003&gt;AR98*1000000+SUM(T98,AL98)*10000+SUM(N98,AF98)*100+SUM(H98,Z98)+0.006,1,0)+IF(AV98*1000000+SUM(X98,AP98)*10000+SUM(R98,AJ98)*100+SUM(L98,AD98)+0.002&gt;AR98*1000000+SUM(T98,AL98)*10000+SUM(N98,AF98)*100+SUM(H98,Z98)+0.006,1,0)+IF(AW98*1000000+SUM(Y98,AQ98)*10000+SUM(S98,AK98)*100+SUM(M98,AE98)+0.001&gt;AR98*1000000+SUM(T98,AL98)*10000+SUM(N98,AF98)*100+SUM(H98,Z98)+0.006,1,0)=2,"R",IF(IF(AR98*1000000+SUM(T98,AL98)*10000+SUM(N98,AF98)*100+SUM(H98,Z98)+0.006&gt;AS98*1000000+SUM(U98,AM98)*10000+SUM(O98,AG98)*100+SUM(I98,AA98)+0.005,1,0)+IF(AT98*1000000+SUM(V98,AN98)*10000+SUM(P98,AH98)*100+SUM(J98,AB98)+0.004&gt;AS98*1000000+SUM(U98,AM98)*10000+SUM(O98,AG98)*100+SUM(I98,AA98)+0.005,1,0)+IF(AU98*1000000+SUM(W98,AO98)*10000+SUM(Q98,AI98)*100+SUM(K98,AC98)+0.003&gt;AS98*1000000+SUM(U98,AM98)*10000+SUM(O98,AG98)*100+SUM(I98,AA98)+0.005,1,0)+IF(AV98*1000000+SUM(X98,AP98)*10000+SUM(R98,AJ98)*100+SUM(L98,AD98)+0.002&gt;AS98*1000000+SUM(U98,AM98)*10000+SUM(O98,AG98)*100+SUM(I98,AA98)+0.005,1,0)+IF(AW98*1000000+SUM(Y98,AQ98)*10000+SUM(S98,AK98)*100+SUM(M98,AE98)+0.001&gt;AS98*1000000+SUM(U98,AM98)*10000+SUM(O98,AG98)*100+SUM(I98,AA98)+0.005,1,0)=2,"I",IF(IF(AR98*1000000+SUM(T98,AL98)*10000+SUM(N98,AF98)*100+SUM(H98,Z98)+0.006&gt;AT98*1000000+SUM(V98,AN98)*10000+SUM(P98,AH98)*100+SUM(J98,AB98)+0.004,1,0)+IF(AS98*1000000+SUM(U98,AM98)*10000+SUM(O98,AG98)*100+SUM(I98,AA98)+0.005&gt;AT98*1000000+SUM(V98,AN98)*10000+SUM(P98,AH98)*100+SUM(J98,AB98)+0.004,1,0)+IF(AU98*1000000+SUM(W98,AO98)*10000+SUM(Q98,AI98)*100+SUM(K98,AC98)+0.003&gt;AT98*1000000+SUM(V98,AN98)*10000+SUM(P98,AH98)*100+SUM(J98,AB98)+0.004,1,0)+IF(AV98*1000000+SUM(X98,AP98)*10000+SUM(R98,AJ98)*100+SUM(L98,AD98)+0.002&gt;AT98*1000000+SUM(V98,AN98)*10000+SUM(P98,AH98)*100+SUM(J98,AB98)+0.004,1,0)+IF(AW98*1000000+SUM(Y98,AQ98)*10000+SUM(S98,AK98)*100+SUM(M98,AE98)+0.001&gt;AT98*1000000+SUM(V98,AN98)*10000+SUM(P98,AH98)*100+SUM(J98,AB98)+0.004,1,0)=2,"A",IF(IF(AR98*1000000+SUM(T98,AL98)*10000+SUM(N98,AF98)*100+SUM(H98,Z98)+0.006&gt;AU98*1000000+SUM(W98,AO98)*10000+SUM(Q98,AI98)*100+SUM(K98,AC98)+0.003,1,0)+IF(AS98*1000000+SUM(U98,AM98)*10000+SUM(O98,AG98)*100+SUM(I98,AA98)+0.005&gt;AU98*1000000+SUM(W98,AO98)*10000+SUM(Q98,AI98)*100+SUM(K98,AC98)+0.003,1,0)+IF(AT98*1000000+SUM(V98,AN98)*10000+SUM(P98,AH98)*100+SUM(J98,AB98)+0.004&gt;AU98*1000000+SUM(W98,AO98)*10000+SUM(Q98,AI98)*100+SUM(K98,AC98)+0.003,1,0)+IF(AV98*1000000+SUM(X98,AP98)*10000+SUM(R98,AJ98)*100+SUM(L98,AD98)+0.002&gt;AU98*1000000+SUM(W98,AO98)*10000+SUM(Q98,AI98)*100+SUM(K98,AC98)+0.003,1,0)+IF(AW98*1000000+SUM(Y98,AQ98)*10000+SUM(S98,AK98)*100+SUM(M98,AE98)+0.001&gt;AU98*1000000+SUM(W98,AO98)*10000+SUM(Q98,AI98)*100+SUM(K98,AC98)+0.003,1,0)=2,"S",IF(IF(AR98*1000000+SUM(T98,AL98)*10000+SUM(N98,AF98)*100+SUM(H98,Z98)+0.006&gt;AV98*1000000+SUM(X98,AP98)*10000+SUM(R98,AJ98)*100+SUM(L98,AD98)+0.002,1,0)+IF(AS98*1000000+SUM(U98,AM98)*10000+SUM(O98,AG98)*100+SUM(I98,AA98)+0.005&gt;AV98*1000000+SUM(X98,AP98)*10000+SUM(R98,AJ98)*100+SUM(L98,AD98)+0.002,1,0)+IF(AT98*1000000+SUM(V98,AN98)*10000+SUM(P98,AH98)*100+SUM(J98,AB98)+0.004&gt;AV98*1000000+SUM(X98,AP98)*10000+SUM(R98,AJ98)*100+SUM(L98,AD98)+0.002,1,0)+IF(AU98*1000000+SUM(W98,AO98)*10000+SUM(Q98,AI98)*100+SUM(K98,AC98)+0.003&gt;AV98*1000000+SUM(X98,AP98)*10000+SUM(R98,AJ98)*100+SUM(L98,AD98)+0.002,1,0)+IF(AW98*1000000+SUM(Y98,AQ98)*10000+SUM(S98,AK98)*100+SUM(M98,AE98)+0.001&gt;AV98*1000000+SUM(X98,AP98)*10000+SUM(R98,AJ98)*100+SUM(L98,AD98)+0.002,1,0)=2,"E",IF(IF(AR98*1000000+SUM(T98,AL98)*10000+SUM(N98,AF98)*100+SUM(H98,Z98)+0.006&gt;AW98*1000000+SUM(Y98,AQ98)*10000+SUM(S98,AK98)*100+SUM(M98,AE98)+0.001,1,0)+IF(AS98*1000000+SUM(U98,AM98)*10000+SUM(O98,AG98)*100+SUM(I98,AA98)+0.005&gt;AW98*1000000+SUM(Y98,AQ98)*10000+SUM(S98,AK98)*100+SUM(M98,AE98)+0.001,1,0)+IF(AT98*1000000+SUM(V98,AN98)*10000+SUM(P98,AH98)*100+SUM(J98,AB98)+0.004&gt;AW98*1000000+SUM(Y98,AQ98)*10000+SUM(S98,AK98)*100+SUM(M98,AE98)+0.001,1,0)+IF(AU98*1000000+SUM(W98,AO98)*10000+SUM(Q98,AI98)*100+SUM(K98,AC98)+0.003&gt;AW98*1000000+SUM(Y98,AQ98)*10000+SUM(S98,AK98)*100+SUM(M98,AE98)+0.001,1,0)+IF(AV98*1000000+SUM(X98,AP98)*10000+SUM(R98,AJ98)*100+SUM(L98,AD98)+0.002&gt;AW98*1000000+SUM(Y98,AQ98)*10000+SUM(S98,AK98)*100+SUM(M98,AE98)+0.001,1,0)=2,"C","")))))))</x:f>
      </x:c>
      <x:c r="AY98" s="27" t="str">
        <x:f>IF(C98="","",IF(LEFT(AX98,1)="R","นักปฏิบัติ",IF(LEFT(AX98,1)="I","นักคิดวิเคราะห์",IF(LEFT(AX98,1)="A","นักสร้างสรรค์",IF(LEFT(AX98,1)="S","ผู้เข้าใจผู้คน",IF(LEFT(AX98,1)="E","ผู้นำการเปลี่ยนแปลง","ผู้จัดระบบ"))))))</x:f>
      </x:c>
    </x:row>
    <x:row r="99">
      <x:c r="A99" s="27"/>
      <x:c r="B99" s="28"/>
      <x:c r="C99" s="27"/>
      <x:c r="D99" s="27"/>
      <x:c r="E99" s="27"/>
      <x:c r="F99" s="27"/>
      <x:c r="G99" s="27"/>
      <x:c r="H99" s="27"/>
      <x:c r="I99" s="27"/>
      <x:c r="J99" s="27"/>
      <x:c r="K99" s="27"/>
      <x:c r="L99" s="27"/>
      <x:c r="M99" s="27"/>
      <x:c r="N99" s="27"/>
      <x:c r="O99" s="27"/>
      <x:c r="P99" s="27"/>
      <x:c r="Q99" s="27"/>
      <x:c r="R99" s="27"/>
      <x:c r="S99" s="27"/>
      <x:c r="T99" s="27"/>
      <x:c r="U99" s="27"/>
      <x:c r="V99" s="27"/>
      <x:c r="W99" s="27"/>
      <x:c r="X99" s="27"/>
      <x:c r="Y99" s="27"/>
      <x:c r="Z99" s="27"/>
      <x:c r="AA99" s="27"/>
      <x:c r="AB99" s="27"/>
      <x:c r="AC99" s="27"/>
      <x:c r="AD99" s="27"/>
      <x:c r="AE99" s="27"/>
      <x:c r="AF99" s="27"/>
      <x:c r="AG99" s="27"/>
      <x:c r="AH99" s="27"/>
      <x:c r="AI99" s="27"/>
      <x:c r="AJ99" s="27"/>
      <x:c r="AK99" s="27"/>
      <x:c r="AL99" s="27"/>
      <x:c r="AM99" s="27"/>
      <x:c r="AN99" s="27"/>
      <x:c r="AO99" s="27"/>
      <x:c r="AP99" s="27"/>
      <x:c r="AQ99" s="27"/>
      <x:c r="AR99" s="27" t="str">
        <x:f>IF(C99="","",SUM(H99,N99,T99,Z99,AF99,AL99))</x:f>
      </x:c>
      <x:c r="AS99" s="27" t="str">
        <x:f>IF(C99="","",SUM(I99,O99,U99,AA99,AG99,AM99))</x:f>
      </x:c>
      <x:c r="AT99" s="27" t="str">
        <x:f>IF(C99="","",SUM(J99,P99,V99,AB99,AH99,AN99))</x:f>
      </x:c>
      <x:c r="AU99" s="27" t="str">
        <x:f>IF(C99="","",SUM(K99,Q99,W99,AC99,AI99,AO99))</x:f>
      </x:c>
      <x:c r="AV99" s="27" t="str">
        <x:f>IF(C99="","",SUM(L99,R99,X99,AD99,AJ99,AP99))</x:f>
      </x:c>
      <x:c r="AW99" s="27" t="str">
        <x:f>IF(C99="","",SUM(M99,S99,Y99,AE99,AK99,AQ99))</x:f>
      </x:c>
      <x:c r="AX99" s="27" t="str">
        <x:f>IF(C99="","",IF(IF(AS99*1000000+SUM(U99,AM99)*10000+SUM(O99,AG99)*100+SUM(I99,AA99)+0.005&gt;AR99*1000000+SUM(T99,AL99)*10000+SUM(N99,AF99)*100+SUM(H99,Z99)+0.006,1,0)+IF(AT99*1000000+SUM(V99,AN99)*10000+SUM(P99,AH99)*100+SUM(J99,AB99)+0.004&gt;AR99*1000000+SUM(T99,AL99)*10000+SUM(N99,AF99)*100+SUM(H99,Z99)+0.006,1,0)+IF(AU99*1000000+SUM(W99,AO99)*10000+SUM(Q99,AI99)*100+SUM(K99,AC99)+0.003&gt;AR99*1000000+SUM(T99,AL99)*10000+SUM(N99,AF99)*100+SUM(H99,Z99)+0.006,1,0)+IF(AV99*1000000+SUM(X99,AP99)*10000+SUM(R99,AJ99)*100+SUM(L99,AD99)+0.002&gt;AR99*1000000+SUM(T99,AL99)*10000+SUM(N99,AF99)*100+SUM(H99,Z99)+0.006,1,0)+IF(AW99*1000000+SUM(Y99,AQ99)*10000+SUM(S99,AK99)*100+SUM(M99,AE99)+0.001&gt;AR99*1000000+SUM(T99,AL99)*10000+SUM(N99,AF99)*100+SUM(H99,Z99)+0.006,1,0)=0,"R",IF(IF(AR99*1000000+SUM(T99,AL99)*10000+SUM(N99,AF99)*100+SUM(H99,Z99)+0.006&gt;AS99*1000000+SUM(U99,AM99)*10000+SUM(O99,AG99)*100+SUM(I99,AA99)+0.005,1,0)+IF(AT99*1000000+SUM(V99,AN99)*10000+SUM(P99,AH99)*100+SUM(J99,AB99)+0.004&gt;AS99*1000000+SUM(U99,AM99)*10000+SUM(O99,AG99)*100+SUM(I99,AA99)+0.005,1,0)+IF(AU99*1000000+SUM(W99,AO99)*10000+SUM(Q99,AI99)*100+SUM(K99,AC99)+0.003&gt;AS99*1000000+SUM(U99,AM99)*10000+SUM(O99,AG99)*100+SUM(I99,AA99)+0.005,1,0)+IF(AV99*1000000+SUM(X99,AP99)*10000+SUM(R99,AJ99)*100+SUM(L99,AD99)+0.002&gt;AS99*1000000+SUM(U99,AM99)*10000+SUM(O99,AG99)*100+SUM(I99,AA99)+0.005,1,0)+IF(AW99*1000000+SUM(Y99,AQ99)*10000+SUM(S99,AK99)*100+SUM(M99,AE99)+0.001&gt;AS99*1000000+SUM(U99,AM99)*10000+SUM(O99,AG99)*100+SUM(I99,AA99)+0.005,1,0)=0,"I",IF(IF(AR99*1000000+SUM(T99,AL99)*10000+SUM(N99,AF99)*100+SUM(H99,Z99)+0.006&gt;AT99*1000000+SUM(V99,AN99)*10000+SUM(P99,AH99)*100+SUM(J99,AB99)+0.004,1,0)+IF(AS99*1000000+SUM(U99,AM99)*10000+SUM(O99,AG99)*100+SUM(I99,AA99)+0.005&gt;AT99*1000000+SUM(V99,AN99)*10000+SUM(P99,AH99)*100+SUM(J99,AB99)+0.004,1,0)+IF(AU99*1000000+SUM(W99,AO99)*10000+SUM(Q99,AI99)*100+SUM(K99,AC99)+0.003&gt;AT99*1000000+SUM(V99,AN99)*10000+SUM(P99,AH99)*100+SUM(J99,AB99)+0.004,1,0)+IF(AV99*1000000+SUM(X99,AP99)*10000+SUM(R99,AJ99)*100+SUM(L99,AD99)+0.002&gt;AT99*1000000+SUM(V99,AN99)*10000+SUM(P99,AH99)*100+SUM(J99,AB99)+0.004,1,0)+IF(AW99*1000000+SUM(Y99,AQ99)*10000+SUM(S99,AK99)*100+SUM(M99,AE99)+0.001&gt;AT99*1000000+SUM(V99,AN99)*10000+SUM(P99,AH99)*100+SUM(J99,AB99)+0.004,1,0)=0,"A",IF(IF(AR99*1000000+SUM(T99,AL99)*10000+SUM(N99,AF99)*100+SUM(H99,Z99)+0.006&gt;AU99*1000000+SUM(W99,AO99)*10000+SUM(Q99,AI99)*100+SUM(K99,AC99)+0.003,1,0)+IF(AS99*1000000+SUM(U99,AM99)*10000+SUM(O99,AG99)*100+SUM(I99,AA99)+0.005&gt;AU99*1000000+SUM(W99,AO99)*10000+SUM(Q99,AI99)*100+SUM(K99,AC99)+0.003,1,0)+IF(AT99*1000000+SUM(V99,AN99)*10000+SUM(P99,AH99)*100+SUM(J99,AB99)+0.004&gt;AU99*1000000+SUM(W99,AO99)*10000+SUM(Q99,AI99)*100+SUM(K99,AC99)+0.003,1,0)+IF(AV99*1000000+SUM(X99,AP99)*10000+SUM(R99,AJ99)*100+SUM(L99,AD99)+0.002&gt;AU99*1000000+SUM(W99,AO99)*10000+SUM(Q99,AI99)*100+SUM(K99,AC99)+0.003,1,0)+IF(AW99*1000000+SUM(Y99,AQ99)*10000+SUM(S99,AK99)*100+SUM(M99,AE99)+0.001&gt;AU99*1000000+SUM(W99,AO99)*10000+SUM(Q99,AI99)*100+SUM(K99,AC99)+0.003,1,0)=0,"S",IF(IF(AR99*1000000+SUM(T99,AL99)*10000+SUM(N99,AF99)*100+SUM(H99,Z99)+0.006&gt;AV99*1000000+SUM(X99,AP99)*10000+SUM(R99,AJ99)*100+SUM(L99,AD99)+0.002,1,0)+IF(AS99*1000000+SUM(U99,AM99)*10000+SUM(O99,AG99)*100+SUM(I99,AA99)+0.005&gt;AV99*1000000+SUM(X99,AP99)*10000+SUM(R99,AJ99)*100+SUM(L99,AD99)+0.002,1,0)+IF(AT99*1000000+SUM(V99,AN99)*10000+SUM(P99,AH99)*100+SUM(J99,AB99)+0.004&gt;AV99*1000000+SUM(X99,AP99)*10000+SUM(R99,AJ99)*100+SUM(L99,AD99)+0.002,1,0)+IF(AU99*1000000+SUM(W99,AO99)*10000+SUM(Q99,AI99)*100+SUM(K99,AC99)+0.003&gt;AV99*1000000+SUM(X99,AP99)*10000+SUM(R99,AJ99)*100+SUM(L99,AD99)+0.002,1,0)+IF(AW99*1000000+SUM(Y99,AQ99)*10000+SUM(S99,AK99)*100+SUM(M99,AE99)+0.001&gt;AV99*1000000+SUM(X99,AP99)*10000+SUM(R99,AJ99)*100+SUM(L99,AD99)+0.002,1,0)=0,"E",IF(IF(AR99*1000000+SUM(T99,AL99)*10000+SUM(N99,AF99)*100+SUM(H99,Z99)+0.006&gt;AW99*1000000+SUM(Y99,AQ99)*10000+SUM(S99,AK99)*100+SUM(M99,AE99)+0.001,1,0)+IF(AS99*1000000+SUM(U99,AM99)*10000+SUM(O99,AG99)*100+SUM(I99,AA99)+0.005&gt;AW99*1000000+SUM(Y99,AQ99)*10000+SUM(S99,AK99)*100+SUM(M99,AE99)+0.001,1,0)+IF(AT99*1000000+SUM(V99,AN99)*10000+SUM(P99,AH99)*100+SUM(J99,AB99)+0.004&gt;AW99*1000000+SUM(Y99,AQ99)*10000+SUM(S99,AK99)*100+SUM(M99,AE99)+0.001,1,0)+IF(AU99*1000000+SUM(W99,AO99)*10000+SUM(Q99,AI99)*100+SUM(K99,AC99)+0.003&gt;AW99*1000000+SUM(Y99,AQ99)*10000+SUM(S99,AK99)*100+SUM(M99,AE99)+0.001,1,0)+IF(AV99*1000000+SUM(X99,AP99)*10000+SUM(R99,AJ99)*100+SUM(L99,AD99)+0.002&gt;AW99*1000000+SUM(Y99,AQ99)*10000+SUM(S99,AK99)*100+SUM(M99,AE99)+0.001,1,0)=0,"C",""))))))&amp;IF(IF(AS99*1000000+SUM(U99,AM99)*10000+SUM(O99,AG99)*100+SUM(I99,AA99)+0.005&gt;AR99*1000000+SUM(T99,AL99)*10000+SUM(N99,AF99)*100+SUM(H99,Z99)+0.006,1,0)+IF(AT99*1000000+SUM(V99,AN99)*10000+SUM(P99,AH99)*100+SUM(J99,AB99)+0.004&gt;AR99*1000000+SUM(T99,AL99)*10000+SUM(N99,AF99)*100+SUM(H99,Z99)+0.006,1,0)+IF(AU99*1000000+SUM(W99,AO99)*10000+SUM(Q99,AI99)*100+SUM(K99,AC99)+0.003&gt;AR99*1000000+SUM(T99,AL99)*10000+SUM(N99,AF99)*100+SUM(H99,Z99)+0.006,1,0)+IF(AV99*1000000+SUM(X99,AP99)*10000+SUM(R99,AJ99)*100+SUM(L99,AD99)+0.002&gt;AR99*1000000+SUM(T99,AL99)*10000+SUM(N99,AF99)*100+SUM(H99,Z99)+0.006,1,0)+IF(AW99*1000000+SUM(Y99,AQ99)*10000+SUM(S99,AK99)*100+SUM(M99,AE99)+0.001&gt;AR99*1000000+SUM(T99,AL99)*10000+SUM(N99,AF99)*100+SUM(H99,Z99)+0.006,1,0)=1,"R",IF(IF(AR99*1000000+SUM(T99,AL99)*10000+SUM(N99,AF99)*100+SUM(H99,Z99)+0.006&gt;AS99*1000000+SUM(U99,AM99)*10000+SUM(O99,AG99)*100+SUM(I99,AA99)+0.005,1,0)+IF(AT99*1000000+SUM(V99,AN99)*10000+SUM(P99,AH99)*100+SUM(J99,AB99)+0.004&gt;AS99*1000000+SUM(U99,AM99)*10000+SUM(O99,AG99)*100+SUM(I99,AA99)+0.005,1,0)+IF(AU99*1000000+SUM(W99,AO99)*10000+SUM(Q99,AI99)*100+SUM(K99,AC99)+0.003&gt;AS99*1000000+SUM(U99,AM99)*10000+SUM(O99,AG99)*100+SUM(I99,AA99)+0.005,1,0)+IF(AV99*1000000+SUM(X99,AP99)*10000+SUM(R99,AJ99)*100+SUM(L99,AD99)+0.002&gt;AS99*1000000+SUM(U99,AM99)*10000+SUM(O99,AG99)*100+SUM(I99,AA99)+0.005,1,0)+IF(AW99*1000000+SUM(Y99,AQ99)*10000+SUM(S99,AK99)*100+SUM(M99,AE99)+0.001&gt;AS99*1000000+SUM(U99,AM99)*10000+SUM(O99,AG99)*100+SUM(I99,AA99)+0.005,1,0)=1,"I",IF(IF(AR99*1000000+SUM(T99,AL99)*10000+SUM(N99,AF99)*100+SUM(H99,Z99)+0.006&gt;AT99*1000000+SUM(V99,AN99)*10000+SUM(P99,AH99)*100+SUM(J99,AB99)+0.004,1,0)+IF(AS99*1000000+SUM(U99,AM99)*10000+SUM(O99,AG99)*100+SUM(I99,AA99)+0.005&gt;AT99*1000000+SUM(V99,AN99)*10000+SUM(P99,AH99)*100+SUM(J99,AB99)+0.004,1,0)+IF(AU99*1000000+SUM(W99,AO99)*10000+SUM(Q99,AI99)*100+SUM(K99,AC99)+0.003&gt;AT99*1000000+SUM(V99,AN99)*10000+SUM(P99,AH99)*100+SUM(J99,AB99)+0.004,1,0)+IF(AV99*1000000+SUM(X99,AP99)*10000+SUM(R99,AJ99)*100+SUM(L99,AD99)+0.002&gt;AT99*1000000+SUM(V99,AN99)*10000+SUM(P99,AH99)*100+SUM(J99,AB99)+0.004,1,0)+IF(AW99*1000000+SUM(Y99,AQ99)*10000+SUM(S99,AK99)*100+SUM(M99,AE99)+0.001&gt;AT99*1000000+SUM(V99,AN99)*10000+SUM(P99,AH99)*100+SUM(J99,AB99)+0.004,1,0)=1,"A",IF(IF(AR99*1000000+SUM(T99,AL99)*10000+SUM(N99,AF99)*100+SUM(H99,Z99)+0.006&gt;AU99*1000000+SUM(W99,AO99)*10000+SUM(Q99,AI99)*100+SUM(K99,AC99)+0.003,1,0)+IF(AS99*1000000+SUM(U99,AM99)*10000+SUM(O99,AG99)*100+SUM(I99,AA99)+0.005&gt;AU99*1000000+SUM(W99,AO99)*10000+SUM(Q99,AI99)*100+SUM(K99,AC99)+0.003,1,0)+IF(AT99*1000000+SUM(V99,AN99)*10000+SUM(P99,AH99)*100+SUM(J99,AB99)+0.004&gt;AU99*1000000+SUM(W99,AO99)*10000+SUM(Q99,AI99)*100+SUM(K99,AC99)+0.003,1,0)+IF(AV99*1000000+SUM(X99,AP99)*10000+SUM(R99,AJ99)*100+SUM(L99,AD99)+0.002&gt;AU99*1000000+SUM(W99,AO99)*10000+SUM(Q99,AI99)*100+SUM(K99,AC99)+0.003,1,0)+IF(AW99*1000000+SUM(Y99,AQ99)*10000+SUM(S99,AK99)*100+SUM(M99,AE99)+0.001&gt;AU99*1000000+SUM(W99,AO99)*10000+SUM(Q99,AI99)*100+SUM(K99,AC99)+0.003,1,0)=1,"S",IF(IF(AR99*1000000+SUM(T99,AL99)*10000+SUM(N99,AF99)*100+SUM(H99,Z99)+0.006&gt;AV99*1000000+SUM(X99,AP99)*10000+SUM(R99,AJ99)*100+SUM(L99,AD99)+0.002,1,0)+IF(AS99*1000000+SUM(U99,AM99)*10000+SUM(O99,AG99)*100+SUM(I99,AA99)+0.005&gt;AV99*1000000+SUM(X99,AP99)*10000+SUM(R99,AJ99)*100+SUM(L99,AD99)+0.002,1,0)+IF(AT99*1000000+SUM(V99,AN99)*10000+SUM(P99,AH99)*100+SUM(J99,AB99)+0.004&gt;AV99*1000000+SUM(X99,AP99)*10000+SUM(R99,AJ99)*100+SUM(L99,AD99)+0.002,1,0)+IF(AU99*1000000+SUM(W99,AO99)*10000+SUM(Q99,AI99)*100+SUM(K99,AC99)+0.003&gt;AV99*1000000+SUM(X99,AP99)*10000+SUM(R99,AJ99)*100+SUM(L99,AD99)+0.002,1,0)+IF(AW99*1000000+SUM(Y99,AQ99)*10000+SUM(S99,AK99)*100+SUM(M99,AE99)+0.001&gt;AV99*1000000+SUM(X99,AP99)*10000+SUM(R99,AJ99)*100+SUM(L99,AD99)+0.002,1,0)=1,"E",IF(IF(AR99*1000000+SUM(T99,AL99)*10000+SUM(N99,AF99)*100+SUM(H99,Z99)+0.006&gt;AW99*1000000+SUM(Y99,AQ99)*10000+SUM(S99,AK99)*100+SUM(M99,AE99)+0.001,1,0)+IF(AS99*1000000+SUM(U99,AM99)*10000+SUM(O99,AG99)*100+SUM(I99,AA99)+0.005&gt;AW99*1000000+SUM(Y99,AQ99)*10000+SUM(S99,AK99)*100+SUM(M99,AE99)+0.001,1,0)+IF(AT99*1000000+SUM(V99,AN99)*10000+SUM(P99,AH99)*100+SUM(J99,AB99)+0.004&gt;AW99*1000000+SUM(Y99,AQ99)*10000+SUM(S99,AK99)*100+SUM(M99,AE99)+0.001,1,0)+IF(AU99*1000000+SUM(W99,AO99)*10000+SUM(Q99,AI99)*100+SUM(K99,AC99)+0.003&gt;AW99*1000000+SUM(Y99,AQ99)*10000+SUM(S99,AK99)*100+SUM(M99,AE99)+0.001,1,0)+IF(AV99*1000000+SUM(X99,AP99)*10000+SUM(R99,AJ99)*100+SUM(L99,AD99)+0.002&gt;AW99*1000000+SUM(Y99,AQ99)*10000+SUM(S99,AK99)*100+SUM(M99,AE99)+0.001,1,0)=1,"C",""))))))&amp;IF(IF(AS99*1000000+SUM(U99,AM99)*10000+SUM(O99,AG99)*100+SUM(I99,AA99)+0.005&gt;AR99*1000000+SUM(T99,AL99)*10000+SUM(N99,AF99)*100+SUM(H99,Z99)+0.006,1,0)+IF(AT99*1000000+SUM(V99,AN99)*10000+SUM(P99,AH99)*100+SUM(J99,AB99)+0.004&gt;AR99*1000000+SUM(T99,AL99)*10000+SUM(N99,AF99)*100+SUM(H99,Z99)+0.006,1,0)+IF(AU99*1000000+SUM(W99,AO99)*10000+SUM(Q99,AI99)*100+SUM(K99,AC99)+0.003&gt;AR99*1000000+SUM(T99,AL99)*10000+SUM(N99,AF99)*100+SUM(H99,Z99)+0.006,1,0)+IF(AV99*1000000+SUM(X99,AP99)*10000+SUM(R99,AJ99)*100+SUM(L99,AD99)+0.002&gt;AR99*1000000+SUM(T99,AL99)*10000+SUM(N99,AF99)*100+SUM(H99,Z99)+0.006,1,0)+IF(AW99*1000000+SUM(Y99,AQ99)*10000+SUM(S99,AK99)*100+SUM(M99,AE99)+0.001&gt;AR99*1000000+SUM(T99,AL99)*10000+SUM(N99,AF99)*100+SUM(H99,Z99)+0.006,1,0)=2,"R",IF(IF(AR99*1000000+SUM(T99,AL99)*10000+SUM(N99,AF99)*100+SUM(H99,Z99)+0.006&gt;AS99*1000000+SUM(U99,AM99)*10000+SUM(O99,AG99)*100+SUM(I99,AA99)+0.005,1,0)+IF(AT99*1000000+SUM(V99,AN99)*10000+SUM(P99,AH99)*100+SUM(J99,AB99)+0.004&gt;AS99*1000000+SUM(U99,AM99)*10000+SUM(O99,AG99)*100+SUM(I99,AA99)+0.005,1,0)+IF(AU99*1000000+SUM(W99,AO99)*10000+SUM(Q99,AI99)*100+SUM(K99,AC99)+0.003&gt;AS99*1000000+SUM(U99,AM99)*10000+SUM(O99,AG99)*100+SUM(I99,AA99)+0.005,1,0)+IF(AV99*1000000+SUM(X99,AP99)*10000+SUM(R99,AJ99)*100+SUM(L99,AD99)+0.002&gt;AS99*1000000+SUM(U99,AM99)*10000+SUM(O99,AG99)*100+SUM(I99,AA99)+0.005,1,0)+IF(AW99*1000000+SUM(Y99,AQ99)*10000+SUM(S99,AK99)*100+SUM(M99,AE99)+0.001&gt;AS99*1000000+SUM(U99,AM99)*10000+SUM(O99,AG99)*100+SUM(I99,AA99)+0.005,1,0)=2,"I",IF(IF(AR99*1000000+SUM(T99,AL99)*10000+SUM(N99,AF99)*100+SUM(H99,Z99)+0.006&gt;AT99*1000000+SUM(V99,AN99)*10000+SUM(P99,AH99)*100+SUM(J99,AB99)+0.004,1,0)+IF(AS99*1000000+SUM(U99,AM99)*10000+SUM(O99,AG99)*100+SUM(I99,AA99)+0.005&gt;AT99*1000000+SUM(V99,AN99)*10000+SUM(P99,AH99)*100+SUM(J99,AB99)+0.004,1,0)+IF(AU99*1000000+SUM(W99,AO99)*10000+SUM(Q99,AI99)*100+SUM(K99,AC99)+0.003&gt;AT99*1000000+SUM(V99,AN99)*10000+SUM(P99,AH99)*100+SUM(J99,AB99)+0.004,1,0)+IF(AV99*1000000+SUM(X99,AP99)*10000+SUM(R99,AJ99)*100+SUM(L99,AD99)+0.002&gt;AT99*1000000+SUM(V99,AN99)*10000+SUM(P99,AH99)*100+SUM(J99,AB99)+0.004,1,0)+IF(AW99*1000000+SUM(Y99,AQ99)*10000+SUM(S99,AK99)*100+SUM(M99,AE99)+0.001&gt;AT99*1000000+SUM(V99,AN99)*10000+SUM(P99,AH99)*100+SUM(J99,AB99)+0.004,1,0)=2,"A",IF(IF(AR99*1000000+SUM(T99,AL99)*10000+SUM(N99,AF99)*100+SUM(H99,Z99)+0.006&gt;AU99*1000000+SUM(W99,AO99)*10000+SUM(Q99,AI99)*100+SUM(K99,AC99)+0.003,1,0)+IF(AS99*1000000+SUM(U99,AM99)*10000+SUM(O99,AG99)*100+SUM(I99,AA99)+0.005&gt;AU99*1000000+SUM(W99,AO99)*10000+SUM(Q99,AI99)*100+SUM(K99,AC99)+0.003,1,0)+IF(AT99*1000000+SUM(V99,AN99)*10000+SUM(P99,AH99)*100+SUM(J99,AB99)+0.004&gt;AU99*1000000+SUM(W99,AO99)*10000+SUM(Q99,AI99)*100+SUM(K99,AC99)+0.003,1,0)+IF(AV99*1000000+SUM(X99,AP99)*10000+SUM(R99,AJ99)*100+SUM(L99,AD99)+0.002&gt;AU99*1000000+SUM(W99,AO99)*10000+SUM(Q99,AI99)*100+SUM(K99,AC99)+0.003,1,0)+IF(AW99*1000000+SUM(Y99,AQ99)*10000+SUM(S99,AK99)*100+SUM(M99,AE99)+0.001&gt;AU99*1000000+SUM(W99,AO99)*10000+SUM(Q99,AI99)*100+SUM(K99,AC99)+0.003,1,0)=2,"S",IF(IF(AR99*1000000+SUM(T99,AL99)*10000+SUM(N99,AF99)*100+SUM(H99,Z99)+0.006&gt;AV99*1000000+SUM(X99,AP99)*10000+SUM(R99,AJ99)*100+SUM(L99,AD99)+0.002,1,0)+IF(AS99*1000000+SUM(U99,AM99)*10000+SUM(O99,AG99)*100+SUM(I99,AA99)+0.005&gt;AV99*1000000+SUM(X99,AP99)*10000+SUM(R99,AJ99)*100+SUM(L99,AD99)+0.002,1,0)+IF(AT99*1000000+SUM(V99,AN99)*10000+SUM(P99,AH99)*100+SUM(J99,AB99)+0.004&gt;AV99*1000000+SUM(X99,AP99)*10000+SUM(R99,AJ99)*100+SUM(L99,AD99)+0.002,1,0)+IF(AU99*1000000+SUM(W99,AO99)*10000+SUM(Q99,AI99)*100+SUM(K99,AC99)+0.003&gt;AV99*1000000+SUM(X99,AP99)*10000+SUM(R99,AJ99)*100+SUM(L99,AD99)+0.002,1,0)+IF(AW99*1000000+SUM(Y99,AQ99)*10000+SUM(S99,AK99)*100+SUM(M99,AE99)+0.001&gt;AV99*1000000+SUM(X99,AP99)*10000+SUM(R99,AJ99)*100+SUM(L99,AD99)+0.002,1,0)=2,"E",IF(IF(AR99*1000000+SUM(T99,AL99)*10000+SUM(N99,AF99)*100+SUM(H99,Z99)+0.006&gt;AW99*1000000+SUM(Y99,AQ99)*10000+SUM(S99,AK99)*100+SUM(M99,AE99)+0.001,1,0)+IF(AS99*1000000+SUM(U99,AM99)*10000+SUM(O99,AG99)*100+SUM(I99,AA99)+0.005&gt;AW99*1000000+SUM(Y99,AQ99)*10000+SUM(S99,AK99)*100+SUM(M99,AE99)+0.001,1,0)+IF(AT99*1000000+SUM(V99,AN99)*10000+SUM(P99,AH99)*100+SUM(J99,AB99)+0.004&gt;AW99*1000000+SUM(Y99,AQ99)*10000+SUM(S99,AK99)*100+SUM(M99,AE99)+0.001,1,0)+IF(AU99*1000000+SUM(W99,AO99)*10000+SUM(Q99,AI99)*100+SUM(K99,AC99)+0.003&gt;AW99*1000000+SUM(Y99,AQ99)*10000+SUM(S99,AK99)*100+SUM(M99,AE99)+0.001,1,0)+IF(AV99*1000000+SUM(X99,AP99)*10000+SUM(R99,AJ99)*100+SUM(L99,AD99)+0.002&gt;AW99*1000000+SUM(Y99,AQ99)*10000+SUM(S99,AK99)*100+SUM(M99,AE99)+0.001,1,0)=2,"C","")))))))</x:f>
      </x:c>
      <x:c r="AY99" s="27" t="str">
        <x:f>IF(C99="","",IF(LEFT(AX99,1)="R","นักปฏิบัติ",IF(LEFT(AX99,1)="I","นักคิดวิเคราะห์",IF(LEFT(AX99,1)="A","นักสร้างสรรค์",IF(LEFT(AX99,1)="S","ผู้เข้าใจผู้คน",IF(LEFT(AX99,1)="E","ผู้นำการเปลี่ยนแปลง","ผู้จัดระบบ"))))))</x:f>
      </x:c>
    </x:row>
    <x:row r="100">
      <x:c r="A100" s="27"/>
      <x:c r="B100" s="28"/>
      <x:c r="C100" s="27"/>
      <x:c r="D100" s="27"/>
      <x:c r="E100" s="27"/>
      <x:c r="F100" s="27"/>
      <x:c r="G100" s="27"/>
      <x:c r="H100" s="27"/>
      <x:c r="I100" s="27"/>
      <x:c r="J100" s="27"/>
      <x:c r="K100" s="27"/>
      <x:c r="L100" s="27"/>
      <x:c r="M100" s="27"/>
      <x:c r="N100" s="27"/>
      <x:c r="O100" s="27"/>
      <x:c r="P100" s="27"/>
      <x:c r="Q100" s="27"/>
      <x:c r="R100" s="27"/>
      <x:c r="S100" s="27"/>
      <x:c r="T100" s="27"/>
      <x:c r="U100" s="27"/>
      <x:c r="V100" s="27"/>
      <x:c r="W100" s="27"/>
      <x:c r="X100" s="27"/>
      <x:c r="Y100" s="27"/>
      <x:c r="Z100" s="27"/>
      <x:c r="AA100" s="27"/>
      <x:c r="AB100" s="27"/>
      <x:c r="AC100" s="27"/>
      <x:c r="AD100" s="27"/>
      <x:c r="AE100" s="27"/>
      <x:c r="AF100" s="27"/>
      <x:c r="AG100" s="27"/>
      <x:c r="AH100" s="27"/>
      <x:c r="AI100" s="27"/>
      <x:c r="AJ100" s="27"/>
      <x:c r="AK100" s="27"/>
      <x:c r="AL100" s="27"/>
      <x:c r="AM100" s="27"/>
      <x:c r="AN100" s="27"/>
      <x:c r="AO100" s="27"/>
      <x:c r="AP100" s="27"/>
      <x:c r="AQ100" s="27"/>
      <x:c r="AR100" s="27" t="str">
        <x:f>IF(C100="","",SUM(H100,N100,T100,Z100,AF100,AL100))</x:f>
      </x:c>
      <x:c r="AS100" s="27" t="str">
        <x:f>IF(C100="","",SUM(I100,O100,U100,AA100,AG100,AM100))</x:f>
      </x:c>
      <x:c r="AT100" s="27" t="str">
        <x:f>IF(C100="","",SUM(J100,P100,V100,AB100,AH100,AN100))</x:f>
      </x:c>
      <x:c r="AU100" s="27" t="str">
        <x:f>IF(C100="","",SUM(K100,Q100,W100,AC100,AI100,AO100))</x:f>
      </x:c>
      <x:c r="AV100" s="27" t="str">
        <x:f>IF(C100="","",SUM(L100,R100,X100,AD100,AJ100,AP100))</x:f>
      </x:c>
      <x:c r="AW100" s="27" t="str">
        <x:f>IF(C100="","",SUM(M100,S100,Y100,AE100,AK100,AQ100))</x:f>
      </x:c>
      <x:c r="AX100" s="27" t="str">
        <x:f>IF(C100="","",IF(IF(AS100*1000000+SUM(U100,AM100)*10000+SUM(O100,AG100)*100+SUM(I100,AA100)+0.005&gt;AR100*1000000+SUM(T100,AL100)*10000+SUM(N100,AF100)*100+SUM(H100,Z100)+0.006,1,0)+IF(AT100*1000000+SUM(V100,AN100)*10000+SUM(P100,AH100)*100+SUM(J100,AB100)+0.004&gt;AR100*1000000+SUM(T100,AL100)*10000+SUM(N100,AF100)*100+SUM(H100,Z100)+0.006,1,0)+IF(AU100*1000000+SUM(W100,AO100)*10000+SUM(Q100,AI100)*100+SUM(K100,AC100)+0.003&gt;AR100*1000000+SUM(T100,AL100)*10000+SUM(N100,AF100)*100+SUM(H100,Z100)+0.006,1,0)+IF(AV100*1000000+SUM(X100,AP100)*10000+SUM(R100,AJ100)*100+SUM(L100,AD100)+0.002&gt;AR100*1000000+SUM(T100,AL100)*10000+SUM(N100,AF100)*100+SUM(H100,Z100)+0.006,1,0)+IF(AW100*1000000+SUM(Y100,AQ100)*10000+SUM(S100,AK100)*100+SUM(M100,AE100)+0.001&gt;AR100*1000000+SUM(T100,AL100)*10000+SUM(N100,AF100)*100+SUM(H100,Z100)+0.006,1,0)=0,"R",IF(IF(AR100*1000000+SUM(T100,AL100)*10000+SUM(N100,AF100)*100+SUM(H100,Z100)+0.006&gt;AS100*1000000+SUM(U100,AM100)*10000+SUM(O100,AG100)*100+SUM(I100,AA100)+0.005,1,0)+IF(AT100*1000000+SUM(V100,AN100)*10000+SUM(P100,AH100)*100+SUM(J100,AB100)+0.004&gt;AS100*1000000+SUM(U100,AM100)*10000+SUM(O100,AG100)*100+SUM(I100,AA100)+0.005,1,0)+IF(AU100*1000000+SUM(W100,AO100)*10000+SUM(Q100,AI100)*100+SUM(K100,AC100)+0.003&gt;AS100*1000000+SUM(U100,AM100)*10000+SUM(O100,AG100)*100+SUM(I100,AA100)+0.005,1,0)+IF(AV100*1000000+SUM(X100,AP100)*10000+SUM(R100,AJ100)*100+SUM(L100,AD100)+0.002&gt;AS100*1000000+SUM(U100,AM100)*10000+SUM(O100,AG100)*100+SUM(I100,AA100)+0.005,1,0)+IF(AW100*1000000+SUM(Y100,AQ100)*10000+SUM(S100,AK100)*100+SUM(M100,AE100)+0.001&gt;AS100*1000000+SUM(U100,AM100)*10000+SUM(O100,AG100)*100+SUM(I100,AA100)+0.005,1,0)=0,"I",IF(IF(AR100*1000000+SUM(T100,AL100)*10000+SUM(N100,AF100)*100+SUM(H100,Z100)+0.006&gt;AT100*1000000+SUM(V100,AN100)*10000+SUM(P100,AH100)*100+SUM(J100,AB100)+0.004,1,0)+IF(AS100*1000000+SUM(U100,AM100)*10000+SUM(O100,AG100)*100+SUM(I100,AA100)+0.005&gt;AT100*1000000+SUM(V100,AN100)*10000+SUM(P100,AH100)*100+SUM(J100,AB100)+0.004,1,0)+IF(AU100*1000000+SUM(W100,AO100)*10000+SUM(Q100,AI100)*100+SUM(K100,AC100)+0.003&gt;AT100*1000000+SUM(V100,AN100)*10000+SUM(P100,AH100)*100+SUM(J100,AB100)+0.004,1,0)+IF(AV100*1000000+SUM(X100,AP100)*10000+SUM(R100,AJ100)*100+SUM(L100,AD100)+0.002&gt;AT100*1000000+SUM(V100,AN100)*10000+SUM(P100,AH100)*100+SUM(J100,AB100)+0.004,1,0)+IF(AW100*1000000+SUM(Y100,AQ100)*10000+SUM(S100,AK100)*100+SUM(M100,AE100)+0.001&gt;AT100*1000000+SUM(V100,AN100)*10000+SUM(P100,AH100)*100+SUM(J100,AB100)+0.004,1,0)=0,"A",IF(IF(AR100*1000000+SUM(T100,AL100)*10000+SUM(N100,AF100)*100+SUM(H100,Z100)+0.006&gt;AU100*1000000+SUM(W100,AO100)*10000+SUM(Q100,AI100)*100+SUM(K100,AC100)+0.003,1,0)+IF(AS100*1000000+SUM(U100,AM100)*10000+SUM(O100,AG100)*100+SUM(I100,AA100)+0.005&gt;AU100*1000000+SUM(W100,AO100)*10000+SUM(Q100,AI100)*100+SUM(K100,AC100)+0.003,1,0)+IF(AT100*1000000+SUM(V100,AN100)*10000+SUM(P100,AH100)*100+SUM(J100,AB100)+0.004&gt;AU100*1000000+SUM(W100,AO100)*10000+SUM(Q100,AI100)*100+SUM(K100,AC100)+0.003,1,0)+IF(AV100*1000000+SUM(X100,AP100)*10000+SUM(R100,AJ100)*100+SUM(L100,AD100)+0.002&gt;AU100*1000000+SUM(W100,AO100)*10000+SUM(Q100,AI100)*100+SUM(K100,AC100)+0.003,1,0)+IF(AW100*1000000+SUM(Y100,AQ100)*10000+SUM(S100,AK100)*100+SUM(M100,AE100)+0.001&gt;AU100*1000000+SUM(W100,AO100)*10000+SUM(Q100,AI100)*100+SUM(K100,AC100)+0.003,1,0)=0,"S",IF(IF(AR100*1000000+SUM(T100,AL100)*10000+SUM(N100,AF100)*100+SUM(H100,Z100)+0.006&gt;AV100*1000000+SUM(X100,AP100)*10000+SUM(R100,AJ100)*100+SUM(L100,AD100)+0.002,1,0)+IF(AS100*1000000+SUM(U100,AM100)*10000+SUM(O100,AG100)*100+SUM(I100,AA100)+0.005&gt;AV100*1000000+SUM(X100,AP100)*10000+SUM(R100,AJ100)*100+SUM(L100,AD100)+0.002,1,0)+IF(AT100*1000000+SUM(V100,AN100)*10000+SUM(P100,AH100)*100+SUM(J100,AB100)+0.004&gt;AV100*1000000+SUM(X100,AP100)*10000+SUM(R100,AJ100)*100+SUM(L100,AD100)+0.002,1,0)+IF(AU100*1000000+SUM(W100,AO100)*10000+SUM(Q100,AI100)*100+SUM(K100,AC100)+0.003&gt;AV100*1000000+SUM(X100,AP100)*10000+SUM(R100,AJ100)*100+SUM(L100,AD100)+0.002,1,0)+IF(AW100*1000000+SUM(Y100,AQ100)*10000+SUM(S100,AK100)*100+SUM(M100,AE100)+0.001&gt;AV100*1000000+SUM(X100,AP100)*10000+SUM(R100,AJ100)*100+SUM(L100,AD100)+0.002,1,0)=0,"E",IF(IF(AR100*1000000+SUM(T100,AL100)*10000+SUM(N100,AF100)*100+SUM(H100,Z100)+0.006&gt;AW100*1000000+SUM(Y100,AQ100)*10000+SUM(S100,AK100)*100+SUM(M100,AE100)+0.001,1,0)+IF(AS100*1000000+SUM(U100,AM100)*10000+SUM(O100,AG100)*100+SUM(I100,AA100)+0.005&gt;AW100*1000000+SUM(Y100,AQ100)*10000+SUM(S100,AK100)*100+SUM(M100,AE100)+0.001,1,0)+IF(AT100*1000000+SUM(V100,AN100)*10000+SUM(P100,AH100)*100+SUM(J100,AB100)+0.004&gt;AW100*1000000+SUM(Y100,AQ100)*10000+SUM(S100,AK100)*100+SUM(M100,AE100)+0.001,1,0)+IF(AU100*1000000+SUM(W100,AO100)*10000+SUM(Q100,AI100)*100+SUM(K100,AC100)+0.003&gt;AW100*1000000+SUM(Y100,AQ100)*10000+SUM(S100,AK100)*100+SUM(M100,AE100)+0.001,1,0)+IF(AV100*1000000+SUM(X100,AP100)*10000+SUM(R100,AJ100)*100+SUM(L100,AD100)+0.002&gt;AW100*1000000+SUM(Y100,AQ100)*10000+SUM(S100,AK100)*100+SUM(M100,AE100)+0.001,1,0)=0,"C",""))))))&amp;IF(IF(AS100*1000000+SUM(U100,AM100)*10000+SUM(O100,AG100)*100+SUM(I100,AA100)+0.005&gt;AR100*1000000+SUM(T100,AL100)*10000+SUM(N100,AF100)*100+SUM(H100,Z100)+0.006,1,0)+IF(AT100*1000000+SUM(V100,AN100)*10000+SUM(P100,AH100)*100+SUM(J100,AB100)+0.004&gt;AR100*1000000+SUM(T100,AL100)*10000+SUM(N100,AF100)*100+SUM(H100,Z100)+0.006,1,0)+IF(AU100*1000000+SUM(W100,AO100)*10000+SUM(Q100,AI100)*100+SUM(K100,AC100)+0.003&gt;AR100*1000000+SUM(T100,AL100)*10000+SUM(N100,AF100)*100+SUM(H100,Z100)+0.006,1,0)+IF(AV100*1000000+SUM(X100,AP100)*10000+SUM(R100,AJ100)*100+SUM(L100,AD100)+0.002&gt;AR100*1000000+SUM(T100,AL100)*10000+SUM(N100,AF100)*100+SUM(H100,Z100)+0.006,1,0)+IF(AW100*1000000+SUM(Y100,AQ100)*10000+SUM(S100,AK100)*100+SUM(M100,AE100)+0.001&gt;AR100*1000000+SUM(T100,AL100)*10000+SUM(N100,AF100)*100+SUM(H100,Z100)+0.006,1,0)=1,"R",IF(IF(AR100*1000000+SUM(T100,AL100)*10000+SUM(N100,AF100)*100+SUM(H100,Z100)+0.006&gt;AS100*1000000+SUM(U100,AM100)*10000+SUM(O100,AG100)*100+SUM(I100,AA100)+0.005,1,0)+IF(AT100*1000000+SUM(V100,AN100)*10000+SUM(P100,AH100)*100+SUM(J100,AB100)+0.004&gt;AS100*1000000+SUM(U100,AM100)*10000+SUM(O100,AG100)*100+SUM(I100,AA100)+0.005,1,0)+IF(AU100*1000000+SUM(W100,AO100)*10000+SUM(Q100,AI100)*100+SUM(K100,AC100)+0.003&gt;AS100*1000000+SUM(U100,AM100)*10000+SUM(O100,AG100)*100+SUM(I100,AA100)+0.005,1,0)+IF(AV100*1000000+SUM(X100,AP100)*10000+SUM(R100,AJ100)*100+SUM(L100,AD100)+0.002&gt;AS100*1000000+SUM(U100,AM100)*10000+SUM(O100,AG100)*100+SUM(I100,AA100)+0.005,1,0)+IF(AW100*1000000+SUM(Y100,AQ100)*10000+SUM(S100,AK100)*100+SUM(M100,AE100)+0.001&gt;AS100*1000000+SUM(U100,AM100)*10000+SUM(O100,AG100)*100+SUM(I100,AA100)+0.005,1,0)=1,"I",IF(IF(AR100*1000000+SUM(T100,AL100)*10000+SUM(N100,AF100)*100+SUM(H100,Z100)+0.006&gt;AT100*1000000+SUM(V100,AN100)*10000+SUM(P100,AH100)*100+SUM(J100,AB100)+0.004,1,0)+IF(AS100*1000000+SUM(U100,AM100)*10000+SUM(O100,AG100)*100+SUM(I100,AA100)+0.005&gt;AT100*1000000+SUM(V100,AN100)*10000+SUM(P100,AH100)*100+SUM(J100,AB100)+0.004,1,0)+IF(AU100*1000000+SUM(W100,AO100)*10000+SUM(Q100,AI100)*100+SUM(K100,AC100)+0.003&gt;AT100*1000000+SUM(V100,AN100)*10000+SUM(P100,AH100)*100+SUM(J100,AB100)+0.004,1,0)+IF(AV100*1000000+SUM(X100,AP100)*10000+SUM(R100,AJ100)*100+SUM(L100,AD100)+0.002&gt;AT100*1000000+SUM(V100,AN100)*10000+SUM(P100,AH100)*100+SUM(J100,AB100)+0.004,1,0)+IF(AW100*1000000+SUM(Y100,AQ100)*10000+SUM(S100,AK100)*100+SUM(M100,AE100)+0.001&gt;AT100*1000000+SUM(V100,AN100)*10000+SUM(P100,AH100)*100+SUM(J100,AB100)+0.004,1,0)=1,"A",IF(IF(AR100*1000000+SUM(T100,AL100)*10000+SUM(N100,AF100)*100+SUM(H100,Z100)+0.006&gt;AU100*1000000+SUM(W100,AO100)*10000+SUM(Q100,AI100)*100+SUM(K100,AC100)+0.003,1,0)+IF(AS100*1000000+SUM(U100,AM100)*10000+SUM(O100,AG100)*100+SUM(I100,AA100)+0.005&gt;AU100*1000000+SUM(W100,AO100)*10000+SUM(Q100,AI100)*100+SUM(K100,AC100)+0.003,1,0)+IF(AT100*1000000+SUM(V100,AN100)*10000+SUM(P100,AH100)*100+SUM(J100,AB100)+0.004&gt;AU100*1000000+SUM(W100,AO100)*10000+SUM(Q100,AI100)*100+SUM(K100,AC100)+0.003,1,0)+IF(AV100*1000000+SUM(X100,AP100)*10000+SUM(R100,AJ100)*100+SUM(L100,AD100)+0.002&gt;AU100*1000000+SUM(W100,AO100)*10000+SUM(Q100,AI100)*100+SUM(K100,AC100)+0.003,1,0)+IF(AW100*1000000+SUM(Y100,AQ100)*10000+SUM(S100,AK100)*100+SUM(M100,AE100)+0.001&gt;AU100*1000000+SUM(W100,AO100)*10000+SUM(Q100,AI100)*100+SUM(K100,AC100)+0.003,1,0)=1,"S",IF(IF(AR100*1000000+SUM(T100,AL100)*10000+SUM(N100,AF100)*100+SUM(H100,Z100)+0.006&gt;AV100*1000000+SUM(X100,AP100)*10000+SUM(R100,AJ100)*100+SUM(L100,AD100)+0.002,1,0)+IF(AS100*1000000+SUM(U100,AM100)*10000+SUM(O100,AG100)*100+SUM(I100,AA100)+0.005&gt;AV100*1000000+SUM(X100,AP100)*10000+SUM(R100,AJ100)*100+SUM(L100,AD100)+0.002,1,0)+IF(AT100*1000000+SUM(V100,AN100)*10000+SUM(P100,AH100)*100+SUM(J100,AB100)+0.004&gt;AV100*1000000+SUM(X100,AP100)*10000+SUM(R100,AJ100)*100+SUM(L100,AD100)+0.002,1,0)+IF(AU100*1000000+SUM(W100,AO100)*10000+SUM(Q100,AI100)*100+SUM(K100,AC100)+0.003&gt;AV100*1000000+SUM(X100,AP100)*10000+SUM(R100,AJ100)*100+SUM(L100,AD100)+0.002,1,0)+IF(AW100*1000000+SUM(Y100,AQ100)*10000+SUM(S100,AK100)*100+SUM(M100,AE100)+0.001&gt;AV100*1000000+SUM(X100,AP100)*10000+SUM(R100,AJ100)*100+SUM(L100,AD100)+0.002,1,0)=1,"E",IF(IF(AR100*1000000+SUM(T100,AL100)*10000+SUM(N100,AF100)*100+SUM(H100,Z100)+0.006&gt;AW100*1000000+SUM(Y100,AQ100)*10000+SUM(S100,AK100)*100+SUM(M100,AE100)+0.001,1,0)+IF(AS100*1000000+SUM(U100,AM100)*10000+SUM(O100,AG100)*100+SUM(I100,AA100)+0.005&gt;AW100*1000000+SUM(Y100,AQ100)*10000+SUM(S100,AK100)*100+SUM(M100,AE100)+0.001,1,0)+IF(AT100*1000000+SUM(V100,AN100)*10000+SUM(P100,AH100)*100+SUM(J100,AB100)+0.004&gt;AW100*1000000+SUM(Y100,AQ100)*10000+SUM(S100,AK100)*100+SUM(M100,AE100)+0.001,1,0)+IF(AU100*1000000+SUM(W100,AO100)*10000+SUM(Q100,AI100)*100+SUM(K100,AC100)+0.003&gt;AW100*1000000+SUM(Y100,AQ100)*10000+SUM(S100,AK100)*100+SUM(M100,AE100)+0.001,1,0)+IF(AV100*1000000+SUM(X100,AP100)*10000+SUM(R100,AJ100)*100+SUM(L100,AD100)+0.002&gt;AW100*1000000+SUM(Y100,AQ100)*10000+SUM(S100,AK100)*100+SUM(M100,AE100)+0.001,1,0)=1,"C",""))))))&amp;IF(IF(AS100*1000000+SUM(U100,AM100)*10000+SUM(O100,AG100)*100+SUM(I100,AA100)+0.005&gt;AR100*1000000+SUM(T100,AL100)*10000+SUM(N100,AF100)*100+SUM(H100,Z100)+0.006,1,0)+IF(AT100*1000000+SUM(V100,AN100)*10000+SUM(P100,AH100)*100+SUM(J100,AB100)+0.004&gt;AR100*1000000+SUM(T100,AL100)*10000+SUM(N100,AF100)*100+SUM(H100,Z100)+0.006,1,0)+IF(AU100*1000000+SUM(W100,AO100)*10000+SUM(Q100,AI100)*100+SUM(K100,AC100)+0.003&gt;AR100*1000000+SUM(T100,AL100)*10000+SUM(N100,AF100)*100+SUM(H100,Z100)+0.006,1,0)+IF(AV100*1000000+SUM(X100,AP100)*10000+SUM(R100,AJ100)*100+SUM(L100,AD100)+0.002&gt;AR100*1000000+SUM(T100,AL100)*10000+SUM(N100,AF100)*100+SUM(H100,Z100)+0.006,1,0)+IF(AW100*1000000+SUM(Y100,AQ100)*10000+SUM(S100,AK100)*100+SUM(M100,AE100)+0.001&gt;AR100*1000000+SUM(T100,AL100)*10000+SUM(N100,AF100)*100+SUM(H100,Z100)+0.006,1,0)=2,"R",IF(IF(AR100*1000000+SUM(T100,AL100)*10000+SUM(N100,AF100)*100+SUM(H100,Z100)+0.006&gt;AS100*1000000+SUM(U100,AM100)*10000+SUM(O100,AG100)*100+SUM(I100,AA100)+0.005,1,0)+IF(AT100*1000000+SUM(V100,AN100)*10000+SUM(P100,AH100)*100+SUM(J100,AB100)+0.004&gt;AS100*1000000+SUM(U100,AM100)*10000+SUM(O100,AG100)*100+SUM(I100,AA100)+0.005,1,0)+IF(AU100*1000000+SUM(W100,AO100)*10000+SUM(Q100,AI100)*100+SUM(K100,AC100)+0.003&gt;AS100*1000000+SUM(U100,AM100)*10000+SUM(O100,AG100)*100+SUM(I100,AA100)+0.005,1,0)+IF(AV100*1000000+SUM(X100,AP100)*10000+SUM(R100,AJ100)*100+SUM(L100,AD100)+0.002&gt;AS100*1000000+SUM(U100,AM100)*10000+SUM(O100,AG100)*100+SUM(I100,AA100)+0.005,1,0)+IF(AW100*1000000+SUM(Y100,AQ100)*10000+SUM(S100,AK100)*100+SUM(M100,AE100)+0.001&gt;AS100*1000000+SUM(U100,AM100)*10000+SUM(O100,AG100)*100+SUM(I100,AA100)+0.005,1,0)=2,"I",IF(IF(AR100*1000000+SUM(T100,AL100)*10000+SUM(N100,AF100)*100+SUM(H100,Z100)+0.006&gt;AT100*1000000+SUM(V100,AN100)*10000+SUM(P100,AH100)*100+SUM(J100,AB100)+0.004,1,0)+IF(AS100*1000000+SUM(U100,AM100)*10000+SUM(O100,AG100)*100+SUM(I100,AA100)+0.005&gt;AT100*1000000+SUM(V100,AN100)*10000+SUM(P100,AH100)*100+SUM(J100,AB100)+0.004,1,0)+IF(AU100*1000000+SUM(W100,AO100)*10000+SUM(Q100,AI100)*100+SUM(K100,AC100)+0.003&gt;AT100*1000000+SUM(V100,AN100)*10000+SUM(P100,AH100)*100+SUM(J100,AB100)+0.004,1,0)+IF(AV100*1000000+SUM(X100,AP100)*10000+SUM(R100,AJ100)*100+SUM(L100,AD100)+0.002&gt;AT100*1000000+SUM(V100,AN100)*10000+SUM(P100,AH100)*100+SUM(J100,AB100)+0.004,1,0)+IF(AW100*1000000+SUM(Y100,AQ100)*10000+SUM(S100,AK100)*100+SUM(M100,AE100)+0.001&gt;AT100*1000000+SUM(V100,AN100)*10000+SUM(P100,AH100)*100+SUM(J100,AB100)+0.004,1,0)=2,"A",IF(IF(AR100*1000000+SUM(T100,AL100)*10000+SUM(N100,AF100)*100+SUM(H100,Z100)+0.006&gt;AU100*1000000+SUM(W100,AO100)*10000+SUM(Q100,AI100)*100+SUM(K100,AC100)+0.003,1,0)+IF(AS100*1000000+SUM(U100,AM100)*10000+SUM(O100,AG100)*100+SUM(I100,AA100)+0.005&gt;AU100*1000000+SUM(W100,AO100)*10000+SUM(Q100,AI100)*100+SUM(K100,AC100)+0.003,1,0)+IF(AT100*1000000+SUM(V100,AN100)*10000+SUM(P100,AH100)*100+SUM(J100,AB100)+0.004&gt;AU100*1000000+SUM(W100,AO100)*10000+SUM(Q100,AI100)*100+SUM(K100,AC100)+0.003,1,0)+IF(AV100*1000000+SUM(X100,AP100)*10000+SUM(R100,AJ100)*100+SUM(L100,AD100)+0.002&gt;AU100*1000000+SUM(W100,AO100)*10000+SUM(Q100,AI100)*100+SUM(K100,AC100)+0.003,1,0)+IF(AW100*1000000+SUM(Y100,AQ100)*10000+SUM(S100,AK100)*100+SUM(M100,AE100)+0.001&gt;AU100*1000000+SUM(W100,AO100)*10000+SUM(Q100,AI100)*100+SUM(K100,AC100)+0.003,1,0)=2,"S",IF(IF(AR100*1000000+SUM(T100,AL100)*10000+SUM(N100,AF100)*100+SUM(H100,Z100)+0.006&gt;AV100*1000000+SUM(X100,AP100)*10000+SUM(R100,AJ100)*100+SUM(L100,AD100)+0.002,1,0)+IF(AS100*1000000+SUM(U100,AM100)*10000+SUM(O100,AG100)*100+SUM(I100,AA100)+0.005&gt;AV100*1000000+SUM(X100,AP100)*10000+SUM(R100,AJ100)*100+SUM(L100,AD100)+0.002,1,0)+IF(AT100*1000000+SUM(V100,AN100)*10000+SUM(P100,AH100)*100+SUM(J100,AB100)+0.004&gt;AV100*1000000+SUM(X100,AP100)*10000+SUM(R100,AJ100)*100+SUM(L100,AD100)+0.002,1,0)+IF(AU100*1000000+SUM(W100,AO100)*10000+SUM(Q100,AI100)*100+SUM(K100,AC100)+0.003&gt;AV100*1000000+SUM(X100,AP100)*10000+SUM(R100,AJ100)*100+SUM(L100,AD100)+0.002,1,0)+IF(AW100*1000000+SUM(Y100,AQ100)*10000+SUM(S100,AK100)*100+SUM(M100,AE100)+0.001&gt;AV100*1000000+SUM(X100,AP100)*10000+SUM(R100,AJ100)*100+SUM(L100,AD100)+0.002,1,0)=2,"E",IF(IF(AR100*1000000+SUM(T100,AL100)*10000+SUM(N100,AF100)*100+SUM(H100,Z100)+0.006&gt;AW100*1000000+SUM(Y100,AQ100)*10000+SUM(S100,AK100)*100+SUM(M100,AE100)+0.001,1,0)+IF(AS100*1000000+SUM(U100,AM100)*10000+SUM(O100,AG100)*100+SUM(I100,AA100)+0.005&gt;AW100*1000000+SUM(Y100,AQ100)*10000+SUM(S100,AK100)*100+SUM(M100,AE100)+0.001,1,0)+IF(AT100*1000000+SUM(V100,AN100)*10000+SUM(P100,AH100)*100+SUM(J100,AB100)+0.004&gt;AW100*1000000+SUM(Y100,AQ100)*10000+SUM(S100,AK100)*100+SUM(M100,AE100)+0.001,1,0)+IF(AU100*1000000+SUM(W100,AO100)*10000+SUM(Q100,AI100)*100+SUM(K100,AC100)+0.003&gt;AW100*1000000+SUM(Y100,AQ100)*10000+SUM(S100,AK100)*100+SUM(M100,AE100)+0.001,1,0)+IF(AV100*1000000+SUM(X100,AP100)*10000+SUM(R100,AJ100)*100+SUM(L100,AD100)+0.002&gt;AW100*1000000+SUM(Y100,AQ100)*10000+SUM(S100,AK100)*100+SUM(M100,AE100)+0.001,1,0)=2,"C","")))))))</x:f>
      </x:c>
      <x:c r="AY100" s="27" t="str">
        <x:f>IF(C100="","",IF(LEFT(AX100,1)="R","นักปฏิบัติ",IF(LEFT(AX100,1)="I","นักคิดวิเคราะห์",IF(LEFT(AX100,1)="A","นักสร้างสรรค์",IF(LEFT(AX100,1)="S","ผู้เข้าใจผู้คน",IF(LEFT(AX100,1)="E","ผู้นำการเปลี่ยนแปลง","ผู้จัดระบบ"))))))</x:f>
      </x:c>
    </x:row>
    <x:row r="101">
      <x:c r="A101" s="27"/>
      <x:c r="B101" s="28"/>
      <x:c r="C101" s="27"/>
      <x:c r="D101" s="27"/>
      <x:c r="E101" s="27"/>
      <x:c r="F101" s="27"/>
      <x:c r="G101" s="27"/>
      <x:c r="H101" s="27"/>
      <x:c r="I101" s="27"/>
      <x:c r="J101" s="27"/>
      <x:c r="K101" s="27"/>
      <x:c r="L101" s="27"/>
      <x:c r="M101" s="27"/>
      <x:c r="N101" s="27"/>
      <x:c r="O101" s="27"/>
      <x:c r="P101" s="27"/>
      <x:c r="Q101" s="27"/>
      <x:c r="R101" s="27"/>
      <x:c r="S101" s="27"/>
      <x:c r="T101" s="27"/>
      <x:c r="U101" s="27"/>
      <x:c r="V101" s="27"/>
      <x:c r="W101" s="27"/>
      <x:c r="X101" s="27"/>
      <x:c r="Y101" s="27"/>
      <x:c r="Z101" s="27"/>
      <x:c r="AA101" s="27"/>
      <x:c r="AB101" s="27"/>
      <x:c r="AC101" s="27"/>
      <x:c r="AD101" s="27"/>
      <x:c r="AE101" s="27"/>
      <x:c r="AF101" s="27"/>
      <x:c r="AG101" s="27"/>
      <x:c r="AH101" s="27"/>
      <x:c r="AI101" s="27"/>
      <x:c r="AJ101" s="27"/>
      <x:c r="AK101" s="27"/>
      <x:c r="AL101" s="27"/>
      <x:c r="AM101" s="27"/>
      <x:c r="AN101" s="27"/>
      <x:c r="AO101" s="27"/>
      <x:c r="AP101" s="27"/>
      <x:c r="AQ101" s="27"/>
      <x:c r="AR101" s="27" t="str">
        <x:f>IF(C101="","",SUM(H101,N101,T101,Z101,AF101,AL101))</x:f>
      </x:c>
      <x:c r="AS101" s="27" t="str">
        <x:f>IF(C101="","",SUM(I101,O101,U101,AA101,AG101,AM101))</x:f>
      </x:c>
      <x:c r="AT101" s="27" t="str">
        <x:f>IF(C101="","",SUM(J101,P101,V101,AB101,AH101,AN101))</x:f>
      </x:c>
      <x:c r="AU101" s="27" t="str">
        <x:f>IF(C101="","",SUM(K101,Q101,W101,AC101,AI101,AO101))</x:f>
      </x:c>
      <x:c r="AV101" s="27" t="str">
        <x:f>IF(C101="","",SUM(L101,R101,X101,AD101,AJ101,AP101))</x:f>
      </x:c>
      <x:c r="AW101" s="27" t="str">
        <x:f>IF(C101="","",SUM(M101,S101,Y101,AE101,AK101,AQ101))</x:f>
      </x:c>
      <x:c r="AX101" s="27" t="str">
        <x:f>IF(C101="","",IF(IF(AS101*1000000+SUM(U101,AM101)*10000+SUM(O101,AG101)*100+SUM(I101,AA101)+0.005&gt;AR101*1000000+SUM(T101,AL101)*10000+SUM(N101,AF101)*100+SUM(H101,Z101)+0.006,1,0)+IF(AT101*1000000+SUM(V101,AN101)*10000+SUM(P101,AH101)*100+SUM(J101,AB101)+0.004&gt;AR101*1000000+SUM(T101,AL101)*10000+SUM(N101,AF101)*100+SUM(H101,Z101)+0.006,1,0)+IF(AU101*1000000+SUM(W101,AO101)*10000+SUM(Q101,AI101)*100+SUM(K101,AC101)+0.003&gt;AR101*1000000+SUM(T101,AL101)*10000+SUM(N101,AF101)*100+SUM(H101,Z101)+0.006,1,0)+IF(AV101*1000000+SUM(X101,AP101)*10000+SUM(R101,AJ101)*100+SUM(L101,AD101)+0.002&gt;AR101*1000000+SUM(T101,AL101)*10000+SUM(N101,AF101)*100+SUM(H101,Z101)+0.006,1,0)+IF(AW101*1000000+SUM(Y101,AQ101)*10000+SUM(S101,AK101)*100+SUM(M101,AE101)+0.001&gt;AR101*1000000+SUM(T101,AL101)*10000+SUM(N101,AF101)*100+SUM(H101,Z101)+0.006,1,0)=0,"R",IF(IF(AR101*1000000+SUM(T101,AL101)*10000+SUM(N101,AF101)*100+SUM(H101,Z101)+0.006&gt;AS101*1000000+SUM(U101,AM101)*10000+SUM(O101,AG101)*100+SUM(I101,AA101)+0.005,1,0)+IF(AT101*1000000+SUM(V101,AN101)*10000+SUM(P101,AH101)*100+SUM(J101,AB101)+0.004&gt;AS101*1000000+SUM(U101,AM101)*10000+SUM(O101,AG101)*100+SUM(I101,AA101)+0.005,1,0)+IF(AU101*1000000+SUM(W101,AO101)*10000+SUM(Q101,AI101)*100+SUM(K101,AC101)+0.003&gt;AS101*1000000+SUM(U101,AM101)*10000+SUM(O101,AG101)*100+SUM(I101,AA101)+0.005,1,0)+IF(AV101*1000000+SUM(X101,AP101)*10000+SUM(R101,AJ101)*100+SUM(L101,AD101)+0.002&gt;AS101*1000000+SUM(U101,AM101)*10000+SUM(O101,AG101)*100+SUM(I101,AA101)+0.005,1,0)+IF(AW101*1000000+SUM(Y101,AQ101)*10000+SUM(S101,AK101)*100+SUM(M101,AE101)+0.001&gt;AS101*1000000+SUM(U101,AM101)*10000+SUM(O101,AG101)*100+SUM(I101,AA101)+0.005,1,0)=0,"I",IF(IF(AR101*1000000+SUM(T101,AL101)*10000+SUM(N101,AF101)*100+SUM(H101,Z101)+0.006&gt;AT101*1000000+SUM(V101,AN101)*10000+SUM(P101,AH101)*100+SUM(J101,AB101)+0.004,1,0)+IF(AS101*1000000+SUM(U101,AM101)*10000+SUM(O101,AG101)*100+SUM(I101,AA101)+0.005&gt;AT101*1000000+SUM(V101,AN101)*10000+SUM(P101,AH101)*100+SUM(J101,AB101)+0.004,1,0)+IF(AU101*1000000+SUM(W101,AO101)*10000+SUM(Q101,AI101)*100+SUM(K101,AC101)+0.003&gt;AT101*1000000+SUM(V101,AN101)*10000+SUM(P101,AH101)*100+SUM(J101,AB101)+0.004,1,0)+IF(AV101*1000000+SUM(X101,AP101)*10000+SUM(R101,AJ101)*100+SUM(L101,AD101)+0.002&gt;AT101*1000000+SUM(V101,AN101)*10000+SUM(P101,AH101)*100+SUM(J101,AB101)+0.004,1,0)+IF(AW101*1000000+SUM(Y101,AQ101)*10000+SUM(S101,AK101)*100+SUM(M101,AE101)+0.001&gt;AT101*1000000+SUM(V101,AN101)*10000+SUM(P101,AH101)*100+SUM(J101,AB101)+0.004,1,0)=0,"A",IF(IF(AR101*1000000+SUM(T101,AL101)*10000+SUM(N101,AF101)*100+SUM(H101,Z101)+0.006&gt;AU101*1000000+SUM(W101,AO101)*10000+SUM(Q101,AI101)*100+SUM(K101,AC101)+0.003,1,0)+IF(AS101*1000000+SUM(U101,AM101)*10000+SUM(O101,AG101)*100+SUM(I101,AA101)+0.005&gt;AU101*1000000+SUM(W101,AO101)*10000+SUM(Q101,AI101)*100+SUM(K101,AC101)+0.003,1,0)+IF(AT101*1000000+SUM(V101,AN101)*10000+SUM(P101,AH101)*100+SUM(J101,AB101)+0.004&gt;AU101*1000000+SUM(W101,AO101)*10000+SUM(Q101,AI101)*100+SUM(K101,AC101)+0.003,1,0)+IF(AV101*1000000+SUM(X101,AP101)*10000+SUM(R101,AJ101)*100+SUM(L101,AD101)+0.002&gt;AU101*1000000+SUM(W101,AO101)*10000+SUM(Q101,AI101)*100+SUM(K101,AC101)+0.003,1,0)+IF(AW101*1000000+SUM(Y101,AQ101)*10000+SUM(S101,AK101)*100+SUM(M101,AE101)+0.001&gt;AU101*1000000+SUM(W101,AO101)*10000+SUM(Q101,AI101)*100+SUM(K101,AC101)+0.003,1,0)=0,"S",IF(IF(AR101*1000000+SUM(T101,AL101)*10000+SUM(N101,AF101)*100+SUM(H101,Z101)+0.006&gt;AV101*1000000+SUM(X101,AP101)*10000+SUM(R101,AJ101)*100+SUM(L101,AD101)+0.002,1,0)+IF(AS101*1000000+SUM(U101,AM101)*10000+SUM(O101,AG101)*100+SUM(I101,AA101)+0.005&gt;AV101*1000000+SUM(X101,AP101)*10000+SUM(R101,AJ101)*100+SUM(L101,AD101)+0.002,1,0)+IF(AT101*1000000+SUM(V101,AN101)*10000+SUM(P101,AH101)*100+SUM(J101,AB101)+0.004&gt;AV101*1000000+SUM(X101,AP101)*10000+SUM(R101,AJ101)*100+SUM(L101,AD101)+0.002,1,0)+IF(AU101*1000000+SUM(W101,AO101)*10000+SUM(Q101,AI101)*100+SUM(K101,AC101)+0.003&gt;AV101*1000000+SUM(X101,AP101)*10000+SUM(R101,AJ101)*100+SUM(L101,AD101)+0.002,1,0)+IF(AW101*1000000+SUM(Y101,AQ101)*10000+SUM(S101,AK101)*100+SUM(M101,AE101)+0.001&gt;AV101*1000000+SUM(X101,AP101)*10000+SUM(R101,AJ101)*100+SUM(L101,AD101)+0.002,1,0)=0,"E",IF(IF(AR101*1000000+SUM(T101,AL101)*10000+SUM(N101,AF101)*100+SUM(H101,Z101)+0.006&gt;AW101*1000000+SUM(Y101,AQ101)*10000+SUM(S101,AK101)*100+SUM(M101,AE101)+0.001,1,0)+IF(AS101*1000000+SUM(U101,AM101)*10000+SUM(O101,AG101)*100+SUM(I101,AA101)+0.005&gt;AW101*1000000+SUM(Y101,AQ101)*10000+SUM(S101,AK101)*100+SUM(M101,AE101)+0.001,1,0)+IF(AT101*1000000+SUM(V101,AN101)*10000+SUM(P101,AH101)*100+SUM(J101,AB101)+0.004&gt;AW101*1000000+SUM(Y101,AQ101)*10000+SUM(S101,AK101)*100+SUM(M101,AE101)+0.001,1,0)+IF(AU101*1000000+SUM(W101,AO101)*10000+SUM(Q101,AI101)*100+SUM(K101,AC101)+0.003&gt;AW101*1000000+SUM(Y101,AQ101)*10000+SUM(S101,AK101)*100+SUM(M101,AE101)+0.001,1,0)+IF(AV101*1000000+SUM(X101,AP101)*10000+SUM(R101,AJ101)*100+SUM(L101,AD101)+0.002&gt;AW101*1000000+SUM(Y101,AQ101)*10000+SUM(S101,AK101)*100+SUM(M101,AE101)+0.001,1,0)=0,"C",""))))))&amp;IF(IF(AS101*1000000+SUM(U101,AM101)*10000+SUM(O101,AG101)*100+SUM(I101,AA101)+0.005&gt;AR101*1000000+SUM(T101,AL101)*10000+SUM(N101,AF101)*100+SUM(H101,Z101)+0.006,1,0)+IF(AT101*1000000+SUM(V101,AN101)*10000+SUM(P101,AH101)*100+SUM(J101,AB101)+0.004&gt;AR101*1000000+SUM(T101,AL101)*10000+SUM(N101,AF101)*100+SUM(H101,Z101)+0.006,1,0)+IF(AU101*1000000+SUM(W101,AO101)*10000+SUM(Q101,AI101)*100+SUM(K101,AC101)+0.003&gt;AR101*1000000+SUM(T101,AL101)*10000+SUM(N101,AF101)*100+SUM(H101,Z101)+0.006,1,0)+IF(AV101*1000000+SUM(X101,AP101)*10000+SUM(R101,AJ101)*100+SUM(L101,AD101)+0.002&gt;AR101*1000000+SUM(T101,AL101)*10000+SUM(N101,AF101)*100+SUM(H101,Z101)+0.006,1,0)+IF(AW101*1000000+SUM(Y101,AQ101)*10000+SUM(S101,AK101)*100+SUM(M101,AE101)+0.001&gt;AR101*1000000+SUM(T101,AL101)*10000+SUM(N101,AF101)*100+SUM(H101,Z101)+0.006,1,0)=1,"R",IF(IF(AR101*1000000+SUM(T101,AL101)*10000+SUM(N101,AF101)*100+SUM(H101,Z101)+0.006&gt;AS101*1000000+SUM(U101,AM101)*10000+SUM(O101,AG101)*100+SUM(I101,AA101)+0.005,1,0)+IF(AT101*1000000+SUM(V101,AN101)*10000+SUM(P101,AH101)*100+SUM(J101,AB101)+0.004&gt;AS101*1000000+SUM(U101,AM101)*10000+SUM(O101,AG101)*100+SUM(I101,AA101)+0.005,1,0)+IF(AU101*1000000+SUM(W101,AO101)*10000+SUM(Q101,AI101)*100+SUM(K101,AC101)+0.003&gt;AS101*1000000+SUM(U101,AM101)*10000+SUM(O101,AG101)*100+SUM(I101,AA101)+0.005,1,0)+IF(AV101*1000000+SUM(X101,AP101)*10000+SUM(R101,AJ101)*100+SUM(L101,AD101)+0.002&gt;AS101*1000000+SUM(U101,AM101)*10000+SUM(O101,AG101)*100+SUM(I101,AA101)+0.005,1,0)+IF(AW101*1000000+SUM(Y101,AQ101)*10000+SUM(S101,AK101)*100+SUM(M101,AE101)+0.001&gt;AS101*1000000+SUM(U101,AM101)*10000+SUM(O101,AG101)*100+SUM(I101,AA101)+0.005,1,0)=1,"I",IF(IF(AR101*1000000+SUM(T101,AL101)*10000+SUM(N101,AF101)*100+SUM(H101,Z101)+0.006&gt;AT101*1000000+SUM(V101,AN101)*10000+SUM(P101,AH101)*100+SUM(J101,AB101)+0.004,1,0)+IF(AS101*1000000+SUM(U101,AM101)*10000+SUM(O101,AG101)*100+SUM(I101,AA101)+0.005&gt;AT101*1000000+SUM(V101,AN101)*10000+SUM(P101,AH101)*100+SUM(J101,AB101)+0.004,1,0)+IF(AU101*1000000+SUM(W101,AO101)*10000+SUM(Q101,AI101)*100+SUM(K101,AC101)+0.003&gt;AT101*1000000+SUM(V101,AN101)*10000+SUM(P101,AH101)*100+SUM(J101,AB101)+0.004,1,0)+IF(AV101*1000000+SUM(X101,AP101)*10000+SUM(R101,AJ101)*100+SUM(L101,AD101)+0.002&gt;AT101*1000000+SUM(V101,AN101)*10000+SUM(P101,AH101)*100+SUM(J101,AB101)+0.004,1,0)+IF(AW101*1000000+SUM(Y101,AQ101)*10000+SUM(S101,AK101)*100+SUM(M101,AE101)+0.001&gt;AT101*1000000+SUM(V101,AN101)*10000+SUM(P101,AH101)*100+SUM(J101,AB101)+0.004,1,0)=1,"A",IF(IF(AR101*1000000+SUM(T101,AL101)*10000+SUM(N101,AF101)*100+SUM(H101,Z101)+0.006&gt;AU101*1000000+SUM(W101,AO101)*10000+SUM(Q101,AI101)*100+SUM(K101,AC101)+0.003,1,0)+IF(AS101*1000000+SUM(U101,AM101)*10000+SUM(O101,AG101)*100+SUM(I101,AA101)+0.005&gt;AU101*1000000+SUM(W101,AO101)*10000+SUM(Q101,AI101)*100+SUM(K101,AC101)+0.003,1,0)+IF(AT101*1000000+SUM(V101,AN101)*10000+SUM(P101,AH101)*100+SUM(J101,AB101)+0.004&gt;AU101*1000000+SUM(W101,AO101)*10000+SUM(Q101,AI101)*100+SUM(K101,AC101)+0.003,1,0)+IF(AV101*1000000+SUM(X101,AP101)*10000+SUM(R101,AJ101)*100+SUM(L101,AD101)+0.002&gt;AU101*1000000+SUM(W101,AO101)*10000+SUM(Q101,AI101)*100+SUM(K101,AC101)+0.003,1,0)+IF(AW101*1000000+SUM(Y101,AQ101)*10000+SUM(S101,AK101)*100+SUM(M101,AE101)+0.001&gt;AU101*1000000+SUM(W101,AO101)*10000+SUM(Q101,AI101)*100+SUM(K101,AC101)+0.003,1,0)=1,"S",IF(IF(AR101*1000000+SUM(T101,AL101)*10000+SUM(N101,AF101)*100+SUM(H101,Z101)+0.006&gt;AV101*1000000+SUM(X101,AP101)*10000+SUM(R101,AJ101)*100+SUM(L101,AD101)+0.002,1,0)+IF(AS101*1000000+SUM(U101,AM101)*10000+SUM(O101,AG101)*100+SUM(I101,AA101)+0.005&gt;AV101*1000000+SUM(X101,AP101)*10000+SUM(R101,AJ101)*100+SUM(L101,AD101)+0.002,1,0)+IF(AT101*1000000+SUM(V101,AN101)*10000+SUM(P101,AH101)*100+SUM(J101,AB101)+0.004&gt;AV101*1000000+SUM(X101,AP101)*10000+SUM(R101,AJ101)*100+SUM(L101,AD101)+0.002,1,0)+IF(AU101*1000000+SUM(W101,AO101)*10000+SUM(Q101,AI101)*100+SUM(K101,AC101)+0.003&gt;AV101*1000000+SUM(X101,AP101)*10000+SUM(R101,AJ101)*100+SUM(L101,AD101)+0.002,1,0)+IF(AW101*1000000+SUM(Y101,AQ101)*10000+SUM(S101,AK101)*100+SUM(M101,AE101)+0.001&gt;AV101*1000000+SUM(X101,AP101)*10000+SUM(R101,AJ101)*100+SUM(L101,AD101)+0.002,1,0)=1,"E",IF(IF(AR101*1000000+SUM(T101,AL101)*10000+SUM(N101,AF101)*100+SUM(H101,Z101)+0.006&gt;AW101*1000000+SUM(Y101,AQ101)*10000+SUM(S101,AK101)*100+SUM(M101,AE101)+0.001,1,0)+IF(AS101*1000000+SUM(U101,AM101)*10000+SUM(O101,AG101)*100+SUM(I101,AA101)+0.005&gt;AW101*1000000+SUM(Y101,AQ101)*10000+SUM(S101,AK101)*100+SUM(M101,AE101)+0.001,1,0)+IF(AT101*1000000+SUM(V101,AN101)*10000+SUM(P101,AH101)*100+SUM(J101,AB101)+0.004&gt;AW101*1000000+SUM(Y101,AQ101)*10000+SUM(S101,AK101)*100+SUM(M101,AE101)+0.001,1,0)+IF(AU101*1000000+SUM(W101,AO101)*10000+SUM(Q101,AI101)*100+SUM(K101,AC101)+0.003&gt;AW101*1000000+SUM(Y101,AQ101)*10000+SUM(S101,AK101)*100+SUM(M101,AE101)+0.001,1,0)+IF(AV101*1000000+SUM(X101,AP101)*10000+SUM(R101,AJ101)*100+SUM(L101,AD101)+0.002&gt;AW101*1000000+SUM(Y101,AQ101)*10000+SUM(S101,AK101)*100+SUM(M101,AE101)+0.001,1,0)=1,"C",""))))))&amp;IF(IF(AS101*1000000+SUM(U101,AM101)*10000+SUM(O101,AG101)*100+SUM(I101,AA101)+0.005&gt;AR101*1000000+SUM(T101,AL101)*10000+SUM(N101,AF101)*100+SUM(H101,Z101)+0.006,1,0)+IF(AT101*1000000+SUM(V101,AN101)*10000+SUM(P101,AH101)*100+SUM(J101,AB101)+0.004&gt;AR101*1000000+SUM(T101,AL101)*10000+SUM(N101,AF101)*100+SUM(H101,Z101)+0.006,1,0)+IF(AU101*1000000+SUM(W101,AO101)*10000+SUM(Q101,AI101)*100+SUM(K101,AC101)+0.003&gt;AR101*1000000+SUM(T101,AL101)*10000+SUM(N101,AF101)*100+SUM(H101,Z101)+0.006,1,0)+IF(AV101*1000000+SUM(X101,AP101)*10000+SUM(R101,AJ101)*100+SUM(L101,AD101)+0.002&gt;AR101*1000000+SUM(T101,AL101)*10000+SUM(N101,AF101)*100+SUM(H101,Z101)+0.006,1,0)+IF(AW101*1000000+SUM(Y101,AQ101)*10000+SUM(S101,AK101)*100+SUM(M101,AE101)+0.001&gt;AR101*1000000+SUM(T101,AL101)*10000+SUM(N101,AF101)*100+SUM(H101,Z101)+0.006,1,0)=2,"R",IF(IF(AR101*1000000+SUM(T101,AL101)*10000+SUM(N101,AF101)*100+SUM(H101,Z101)+0.006&gt;AS101*1000000+SUM(U101,AM101)*10000+SUM(O101,AG101)*100+SUM(I101,AA101)+0.005,1,0)+IF(AT101*1000000+SUM(V101,AN101)*10000+SUM(P101,AH101)*100+SUM(J101,AB101)+0.004&gt;AS101*1000000+SUM(U101,AM101)*10000+SUM(O101,AG101)*100+SUM(I101,AA101)+0.005,1,0)+IF(AU101*1000000+SUM(W101,AO101)*10000+SUM(Q101,AI101)*100+SUM(K101,AC101)+0.003&gt;AS101*1000000+SUM(U101,AM101)*10000+SUM(O101,AG101)*100+SUM(I101,AA101)+0.005,1,0)+IF(AV101*1000000+SUM(X101,AP101)*10000+SUM(R101,AJ101)*100+SUM(L101,AD101)+0.002&gt;AS101*1000000+SUM(U101,AM101)*10000+SUM(O101,AG101)*100+SUM(I101,AA101)+0.005,1,0)+IF(AW101*1000000+SUM(Y101,AQ101)*10000+SUM(S101,AK101)*100+SUM(M101,AE101)+0.001&gt;AS101*1000000+SUM(U101,AM101)*10000+SUM(O101,AG101)*100+SUM(I101,AA101)+0.005,1,0)=2,"I",IF(IF(AR101*1000000+SUM(T101,AL101)*10000+SUM(N101,AF101)*100+SUM(H101,Z101)+0.006&gt;AT101*1000000+SUM(V101,AN101)*10000+SUM(P101,AH101)*100+SUM(J101,AB101)+0.004,1,0)+IF(AS101*1000000+SUM(U101,AM101)*10000+SUM(O101,AG101)*100+SUM(I101,AA101)+0.005&gt;AT101*1000000+SUM(V101,AN101)*10000+SUM(P101,AH101)*100+SUM(J101,AB101)+0.004,1,0)+IF(AU101*1000000+SUM(W101,AO101)*10000+SUM(Q101,AI101)*100+SUM(K101,AC101)+0.003&gt;AT101*1000000+SUM(V101,AN101)*10000+SUM(P101,AH101)*100+SUM(J101,AB101)+0.004,1,0)+IF(AV101*1000000+SUM(X101,AP101)*10000+SUM(R101,AJ101)*100+SUM(L101,AD101)+0.002&gt;AT101*1000000+SUM(V101,AN101)*10000+SUM(P101,AH101)*100+SUM(J101,AB101)+0.004,1,0)+IF(AW101*1000000+SUM(Y101,AQ101)*10000+SUM(S101,AK101)*100+SUM(M101,AE101)+0.001&gt;AT101*1000000+SUM(V101,AN101)*10000+SUM(P101,AH101)*100+SUM(J101,AB101)+0.004,1,0)=2,"A",IF(IF(AR101*1000000+SUM(T101,AL101)*10000+SUM(N101,AF101)*100+SUM(H101,Z101)+0.006&gt;AU101*1000000+SUM(W101,AO101)*10000+SUM(Q101,AI101)*100+SUM(K101,AC101)+0.003,1,0)+IF(AS101*1000000+SUM(U101,AM101)*10000+SUM(O101,AG101)*100+SUM(I101,AA101)+0.005&gt;AU101*1000000+SUM(W101,AO101)*10000+SUM(Q101,AI101)*100+SUM(K101,AC101)+0.003,1,0)+IF(AT101*1000000+SUM(V101,AN101)*10000+SUM(P101,AH101)*100+SUM(J101,AB101)+0.004&gt;AU101*1000000+SUM(W101,AO101)*10000+SUM(Q101,AI101)*100+SUM(K101,AC101)+0.003,1,0)+IF(AV101*1000000+SUM(X101,AP101)*10000+SUM(R101,AJ101)*100+SUM(L101,AD101)+0.002&gt;AU101*1000000+SUM(W101,AO101)*10000+SUM(Q101,AI101)*100+SUM(K101,AC101)+0.003,1,0)+IF(AW101*1000000+SUM(Y101,AQ101)*10000+SUM(S101,AK101)*100+SUM(M101,AE101)+0.001&gt;AU101*1000000+SUM(W101,AO101)*10000+SUM(Q101,AI101)*100+SUM(K101,AC101)+0.003,1,0)=2,"S",IF(IF(AR101*1000000+SUM(T101,AL101)*10000+SUM(N101,AF101)*100+SUM(H101,Z101)+0.006&gt;AV101*1000000+SUM(X101,AP101)*10000+SUM(R101,AJ101)*100+SUM(L101,AD101)+0.002,1,0)+IF(AS101*1000000+SUM(U101,AM101)*10000+SUM(O101,AG101)*100+SUM(I101,AA101)+0.005&gt;AV101*1000000+SUM(X101,AP101)*10000+SUM(R101,AJ101)*100+SUM(L101,AD101)+0.002,1,0)+IF(AT101*1000000+SUM(V101,AN101)*10000+SUM(P101,AH101)*100+SUM(J101,AB101)+0.004&gt;AV101*1000000+SUM(X101,AP101)*10000+SUM(R101,AJ101)*100+SUM(L101,AD101)+0.002,1,0)+IF(AU101*1000000+SUM(W101,AO101)*10000+SUM(Q101,AI101)*100+SUM(K101,AC101)+0.003&gt;AV101*1000000+SUM(X101,AP101)*10000+SUM(R101,AJ101)*100+SUM(L101,AD101)+0.002,1,0)+IF(AW101*1000000+SUM(Y101,AQ101)*10000+SUM(S101,AK101)*100+SUM(M101,AE101)+0.001&gt;AV101*1000000+SUM(X101,AP101)*10000+SUM(R101,AJ101)*100+SUM(L101,AD101)+0.002,1,0)=2,"E",IF(IF(AR101*1000000+SUM(T101,AL101)*10000+SUM(N101,AF101)*100+SUM(H101,Z101)+0.006&gt;AW101*1000000+SUM(Y101,AQ101)*10000+SUM(S101,AK101)*100+SUM(M101,AE101)+0.001,1,0)+IF(AS101*1000000+SUM(U101,AM101)*10000+SUM(O101,AG101)*100+SUM(I101,AA101)+0.005&gt;AW101*1000000+SUM(Y101,AQ101)*10000+SUM(S101,AK101)*100+SUM(M101,AE101)+0.001,1,0)+IF(AT101*1000000+SUM(V101,AN101)*10000+SUM(P101,AH101)*100+SUM(J101,AB101)+0.004&gt;AW101*1000000+SUM(Y101,AQ101)*10000+SUM(S101,AK101)*100+SUM(M101,AE101)+0.001,1,0)+IF(AU101*1000000+SUM(W101,AO101)*10000+SUM(Q101,AI101)*100+SUM(K101,AC101)+0.003&gt;AW101*1000000+SUM(Y101,AQ101)*10000+SUM(S101,AK101)*100+SUM(M101,AE101)+0.001,1,0)+IF(AV101*1000000+SUM(X101,AP101)*10000+SUM(R101,AJ101)*100+SUM(L101,AD101)+0.002&gt;AW101*1000000+SUM(Y101,AQ101)*10000+SUM(S101,AK101)*100+SUM(M101,AE101)+0.001,1,0)=2,"C","")))))))</x:f>
      </x:c>
      <x:c r="AY101" s="27" t="str">
        <x:f>IF(C101="","",IF(LEFT(AX101,1)="R","นักปฏิบัติ",IF(LEFT(AX101,1)="I","นักคิดวิเคราะห์",IF(LEFT(AX101,1)="A","นักสร้างสรรค์",IF(LEFT(AX101,1)="S","ผู้เข้าใจผู้คน",IF(LEFT(AX101,1)="E","ผู้นำการเปลี่ยนแปลง","ผู้จัดระบบ"))))))</x:f>
      </x:c>
    </x:row>
    <x:row r="102">
      <x:c r="A102" s="27"/>
      <x:c r="B102" s="28"/>
      <x:c r="C102" s="27"/>
      <x:c r="D102" s="27"/>
      <x:c r="E102" s="27"/>
      <x:c r="F102" s="27"/>
      <x:c r="G102" s="27"/>
      <x:c r="H102" s="27"/>
      <x:c r="I102" s="27"/>
      <x:c r="J102" s="27"/>
      <x:c r="K102" s="27"/>
      <x:c r="L102" s="27"/>
      <x:c r="M102" s="27"/>
      <x:c r="N102" s="27"/>
      <x:c r="O102" s="27"/>
      <x:c r="P102" s="27"/>
      <x:c r="Q102" s="27"/>
      <x:c r="R102" s="27"/>
      <x:c r="S102" s="27"/>
      <x:c r="T102" s="27"/>
      <x:c r="U102" s="27"/>
      <x:c r="V102" s="27"/>
      <x:c r="W102" s="27"/>
      <x:c r="X102" s="27"/>
      <x:c r="Y102" s="27"/>
      <x:c r="Z102" s="27"/>
      <x:c r="AA102" s="27"/>
      <x:c r="AB102" s="27"/>
      <x:c r="AC102" s="27"/>
      <x:c r="AD102" s="27"/>
      <x:c r="AE102" s="27"/>
      <x:c r="AF102" s="27"/>
      <x:c r="AG102" s="27"/>
      <x:c r="AH102" s="27"/>
      <x:c r="AI102" s="27"/>
      <x:c r="AJ102" s="27"/>
      <x:c r="AK102" s="27"/>
      <x:c r="AL102" s="27"/>
      <x:c r="AM102" s="27"/>
      <x:c r="AN102" s="27"/>
      <x:c r="AO102" s="27"/>
      <x:c r="AP102" s="27"/>
      <x:c r="AQ102" s="27"/>
      <x:c r="AR102" s="27" t="str">
        <x:f>IF(C102="","",SUM(H102,N102,T102,Z102,AF102,AL102))</x:f>
      </x:c>
      <x:c r="AS102" s="27" t="str">
        <x:f>IF(C102="","",SUM(I102,O102,U102,AA102,AG102,AM102))</x:f>
      </x:c>
      <x:c r="AT102" s="27" t="str">
        <x:f>IF(C102="","",SUM(J102,P102,V102,AB102,AH102,AN102))</x:f>
      </x:c>
      <x:c r="AU102" s="27" t="str">
        <x:f>IF(C102="","",SUM(K102,Q102,W102,AC102,AI102,AO102))</x:f>
      </x:c>
      <x:c r="AV102" s="27" t="str">
        <x:f>IF(C102="","",SUM(L102,R102,X102,AD102,AJ102,AP102))</x:f>
      </x:c>
      <x:c r="AW102" s="27" t="str">
        <x:f>IF(C102="","",SUM(M102,S102,Y102,AE102,AK102,AQ102))</x:f>
      </x:c>
      <x:c r="AX102" s="27" t="str">
        <x:f>IF(C102="","",IF(IF(AS102*1000000+SUM(U102,AM102)*10000+SUM(O102,AG102)*100+SUM(I102,AA102)+0.005&gt;AR102*1000000+SUM(T102,AL102)*10000+SUM(N102,AF102)*100+SUM(H102,Z102)+0.006,1,0)+IF(AT102*1000000+SUM(V102,AN102)*10000+SUM(P102,AH102)*100+SUM(J102,AB102)+0.004&gt;AR102*1000000+SUM(T102,AL102)*10000+SUM(N102,AF102)*100+SUM(H102,Z102)+0.006,1,0)+IF(AU102*1000000+SUM(W102,AO102)*10000+SUM(Q102,AI102)*100+SUM(K102,AC102)+0.003&gt;AR102*1000000+SUM(T102,AL102)*10000+SUM(N102,AF102)*100+SUM(H102,Z102)+0.006,1,0)+IF(AV102*1000000+SUM(X102,AP102)*10000+SUM(R102,AJ102)*100+SUM(L102,AD102)+0.002&gt;AR102*1000000+SUM(T102,AL102)*10000+SUM(N102,AF102)*100+SUM(H102,Z102)+0.006,1,0)+IF(AW102*1000000+SUM(Y102,AQ102)*10000+SUM(S102,AK102)*100+SUM(M102,AE102)+0.001&gt;AR102*1000000+SUM(T102,AL102)*10000+SUM(N102,AF102)*100+SUM(H102,Z102)+0.006,1,0)=0,"R",IF(IF(AR102*1000000+SUM(T102,AL102)*10000+SUM(N102,AF102)*100+SUM(H102,Z102)+0.006&gt;AS102*1000000+SUM(U102,AM102)*10000+SUM(O102,AG102)*100+SUM(I102,AA102)+0.005,1,0)+IF(AT102*1000000+SUM(V102,AN102)*10000+SUM(P102,AH102)*100+SUM(J102,AB102)+0.004&gt;AS102*1000000+SUM(U102,AM102)*10000+SUM(O102,AG102)*100+SUM(I102,AA102)+0.005,1,0)+IF(AU102*1000000+SUM(W102,AO102)*10000+SUM(Q102,AI102)*100+SUM(K102,AC102)+0.003&gt;AS102*1000000+SUM(U102,AM102)*10000+SUM(O102,AG102)*100+SUM(I102,AA102)+0.005,1,0)+IF(AV102*1000000+SUM(X102,AP102)*10000+SUM(R102,AJ102)*100+SUM(L102,AD102)+0.002&gt;AS102*1000000+SUM(U102,AM102)*10000+SUM(O102,AG102)*100+SUM(I102,AA102)+0.005,1,0)+IF(AW102*1000000+SUM(Y102,AQ102)*10000+SUM(S102,AK102)*100+SUM(M102,AE102)+0.001&gt;AS102*1000000+SUM(U102,AM102)*10000+SUM(O102,AG102)*100+SUM(I102,AA102)+0.005,1,0)=0,"I",IF(IF(AR102*1000000+SUM(T102,AL102)*10000+SUM(N102,AF102)*100+SUM(H102,Z102)+0.006&gt;AT102*1000000+SUM(V102,AN102)*10000+SUM(P102,AH102)*100+SUM(J102,AB102)+0.004,1,0)+IF(AS102*1000000+SUM(U102,AM102)*10000+SUM(O102,AG102)*100+SUM(I102,AA102)+0.005&gt;AT102*1000000+SUM(V102,AN102)*10000+SUM(P102,AH102)*100+SUM(J102,AB102)+0.004,1,0)+IF(AU102*1000000+SUM(W102,AO102)*10000+SUM(Q102,AI102)*100+SUM(K102,AC102)+0.003&gt;AT102*1000000+SUM(V102,AN102)*10000+SUM(P102,AH102)*100+SUM(J102,AB102)+0.004,1,0)+IF(AV102*1000000+SUM(X102,AP102)*10000+SUM(R102,AJ102)*100+SUM(L102,AD102)+0.002&gt;AT102*1000000+SUM(V102,AN102)*10000+SUM(P102,AH102)*100+SUM(J102,AB102)+0.004,1,0)+IF(AW102*1000000+SUM(Y102,AQ102)*10000+SUM(S102,AK102)*100+SUM(M102,AE102)+0.001&gt;AT102*1000000+SUM(V102,AN102)*10000+SUM(P102,AH102)*100+SUM(J102,AB102)+0.004,1,0)=0,"A",IF(IF(AR102*1000000+SUM(T102,AL102)*10000+SUM(N102,AF102)*100+SUM(H102,Z102)+0.006&gt;AU102*1000000+SUM(W102,AO102)*10000+SUM(Q102,AI102)*100+SUM(K102,AC102)+0.003,1,0)+IF(AS102*1000000+SUM(U102,AM102)*10000+SUM(O102,AG102)*100+SUM(I102,AA102)+0.005&gt;AU102*1000000+SUM(W102,AO102)*10000+SUM(Q102,AI102)*100+SUM(K102,AC102)+0.003,1,0)+IF(AT102*1000000+SUM(V102,AN102)*10000+SUM(P102,AH102)*100+SUM(J102,AB102)+0.004&gt;AU102*1000000+SUM(W102,AO102)*10000+SUM(Q102,AI102)*100+SUM(K102,AC102)+0.003,1,0)+IF(AV102*1000000+SUM(X102,AP102)*10000+SUM(R102,AJ102)*100+SUM(L102,AD102)+0.002&gt;AU102*1000000+SUM(W102,AO102)*10000+SUM(Q102,AI102)*100+SUM(K102,AC102)+0.003,1,0)+IF(AW102*1000000+SUM(Y102,AQ102)*10000+SUM(S102,AK102)*100+SUM(M102,AE102)+0.001&gt;AU102*1000000+SUM(W102,AO102)*10000+SUM(Q102,AI102)*100+SUM(K102,AC102)+0.003,1,0)=0,"S",IF(IF(AR102*1000000+SUM(T102,AL102)*10000+SUM(N102,AF102)*100+SUM(H102,Z102)+0.006&gt;AV102*1000000+SUM(X102,AP102)*10000+SUM(R102,AJ102)*100+SUM(L102,AD102)+0.002,1,0)+IF(AS102*1000000+SUM(U102,AM102)*10000+SUM(O102,AG102)*100+SUM(I102,AA102)+0.005&gt;AV102*1000000+SUM(X102,AP102)*10000+SUM(R102,AJ102)*100+SUM(L102,AD102)+0.002,1,0)+IF(AT102*1000000+SUM(V102,AN102)*10000+SUM(P102,AH102)*100+SUM(J102,AB102)+0.004&gt;AV102*1000000+SUM(X102,AP102)*10000+SUM(R102,AJ102)*100+SUM(L102,AD102)+0.002,1,0)+IF(AU102*1000000+SUM(W102,AO102)*10000+SUM(Q102,AI102)*100+SUM(K102,AC102)+0.003&gt;AV102*1000000+SUM(X102,AP102)*10000+SUM(R102,AJ102)*100+SUM(L102,AD102)+0.002,1,0)+IF(AW102*1000000+SUM(Y102,AQ102)*10000+SUM(S102,AK102)*100+SUM(M102,AE102)+0.001&gt;AV102*1000000+SUM(X102,AP102)*10000+SUM(R102,AJ102)*100+SUM(L102,AD102)+0.002,1,0)=0,"E",IF(IF(AR102*1000000+SUM(T102,AL102)*10000+SUM(N102,AF102)*100+SUM(H102,Z102)+0.006&gt;AW102*1000000+SUM(Y102,AQ102)*10000+SUM(S102,AK102)*100+SUM(M102,AE102)+0.001,1,0)+IF(AS102*1000000+SUM(U102,AM102)*10000+SUM(O102,AG102)*100+SUM(I102,AA102)+0.005&gt;AW102*1000000+SUM(Y102,AQ102)*10000+SUM(S102,AK102)*100+SUM(M102,AE102)+0.001,1,0)+IF(AT102*1000000+SUM(V102,AN102)*10000+SUM(P102,AH102)*100+SUM(J102,AB102)+0.004&gt;AW102*1000000+SUM(Y102,AQ102)*10000+SUM(S102,AK102)*100+SUM(M102,AE102)+0.001,1,0)+IF(AU102*1000000+SUM(W102,AO102)*10000+SUM(Q102,AI102)*100+SUM(K102,AC102)+0.003&gt;AW102*1000000+SUM(Y102,AQ102)*10000+SUM(S102,AK102)*100+SUM(M102,AE102)+0.001,1,0)+IF(AV102*1000000+SUM(X102,AP102)*10000+SUM(R102,AJ102)*100+SUM(L102,AD102)+0.002&gt;AW102*1000000+SUM(Y102,AQ102)*10000+SUM(S102,AK102)*100+SUM(M102,AE102)+0.001,1,0)=0,"C",""))))))&amp;IF(IF(AS102*1000000+SUM(U102,AM102)*10000+SUM(O102,AG102)*100+SUM(I102,AA102)+0.005&gt;AR102*1000000+SUM(T102,AL102)*10000+SUM(N102,AF102)*100+SUM(H102,Z102)+0.006,1,0)+IF(AT102*1000000+SUM(V102,AN102)*10000+SUM(P102,AH102)*100+SUM(J102,AB102)+0.004&gt;AR102*1000000+SUM(T102,AL102)*10000+SUM(N102,AF102)*100+SUM(H102,Z102)+0.006,1,0)+IF(AU102*1000000+SUM(W102,AO102)*10000+SUM(Q102,AI102)*100+SUM(K102,AC102)+0.003&gt;AR102*1000000+SUM(T102,AL102)*10000+SUM(N102,AF102)*100+SUM(H102,Z102)+0.006,1,0)+IF(AV102*1000000+SUM(X102,AP102)*10000+SUM(R102,AJ102)*100+SUM(L102,AD102)+0.002&gt;AR102*1000000+SUM(T102,AL102)*10000+SUM(N102,AF102)*100+SUM(H102,Z102)+0.006,1,0)+IF(AW102*1000000+SUM(Y102,AQ102)*10000+SUM(S102,AK102)*100+SUM(M102,AE102)+0.001&gt;AR102*1000000+SUM(T102,AL102)*10000+SUM(N102,AF102)*100+SUM(H102,Z102)+0.006,1,0)=1,"R",IF(IF(AR102*1000000+SUM(T102,AL102)*10000+SUM(N102,AF102)*100+SUM(H102,Z102)+0.006&gt;AS102*1000000+SUM(U102,AM102)*10000+SUM(O102,AG102)*100+SUM(I102,AA102)+0.005,1,0)+IF(AT102*1000000+SUM(V102,AN102)*10000+SUM(P102,AH102)*100+SUM(J102,AB102)+0.004&gt;AS102*1000000+SUM(U102,AM102)*10000+SUM(O102,AG102)*100+SUM(I102,AA102)+0.005,1,0)+IF(AU102*1000000+SUM(W102,AO102)*10000+SUM(Q102,AI102)*100+SUM(K102,AC102)+0.003&gt;AS102*1000000+SUM(U102,AM102)*10000+SUM(O102,AG102)*100+SUM(I102,AA102)+0.005,1,0)+IF(AV102*1000000+SUM(X102,AP102)*10000+SUM(R102,AJ102)*100+SUM(L102,AD102)+0.002&gt;AS102*1000000+SUM(U102,AM102)*10000+SUM(O102,AG102)*100+SUM(I102,AA102)+0.005,1,0)+IF(AW102*1000000+SUM(Y102,AQ102)*10000+SUM(S102,AK102)*100+SUM(M102,AE102)+0.001&gt;AS102*1000000+SUM(U102,AM102)*10000+SUM(O102,AG102)*100+SUM(I102,AA102)+0.005,1,0)=1,"I",IF(IF(AR102*1000000+SUM(T102,AL102)*10000+SUM(N102,AF102)*100+SUM(H102,Z102)+0.006&gt;AT102*1000000+SUM(V102,AN102)*10000+SUM(P102,AH102)*100+SUM(J102,AB102)+0.004,1,0)+IF(AS102*1000000+SUM(U102,AM102)*10000+SUM(O102,AG102)*100+SUM(I102,AA102)+0.005&gt;AT102*1000000+SUM(V102,AN102)*10000+SUM(P102,AH102)*100+SUM(J102,AB102)+0.004,1,0)+IF(AU102*1000000+SUM(W102,AO102)*10000+SUM(Q102,AI102)*100+SUM(K102,AC102)+0.003&gt;AT102*1000000+SUM(V102,AN102)*10000+SUM(P102,AH102)*100+SUM(J102,AB102)+0.004,1,0)+IF(AV102*1000000+SUM(X102,AP102)*10000+SUM(R102,AJ102)*100+SUM(L102,AD102)+0.002&gt;AT102*1000000+SUM(V102,AN102)*10000+SUM(P102,AH102)*100+SUM(J102,AB102)+0.004,1,0)+IF(AW102*1000000+SUM(Y102,AQ102)*10000+SUM(S102,AK102)*100+SUM(M102,AE102)+0.001&gt;AT102*1000000+SUM(V102,AN102)*10000+SUM(P102,AH102)*100+SUM(J102,AB102)+0.004,1,0)=1,"A",IF(IF(AR102*1000000+SUM(T102,AL102)*10000+SUM(N102,AF102)*100+SUM(H102,Z102)+0.006&gt;AU102*1000000+SUM(W102,AO102)*10000+SUM(Q102,AI102)*100+SUM(K102,AC102)+0.003,1,0)+IF(AS102*1000000+SUM(U102,AM102)*10000+SUM(O102,AG102)*100+SUM(I102,AA102)+0.005&gt;AU102*1000000+SUM(W102,AO102)*10000+SUM(Q102,AI102)*100+SUM(K102,AC102)+0.003,1,0)+IF(AT102*1000000+SUM(V102,AN102)*10000+SUM(P102,AH102)*100+SUM(J102,AB102)+0.004&gt;AU102*1000000+SUM(W102,AO102)*10000+SUM(Q102,AI102)*100+SUM(K102,AC102)+0.003,1,0)+IF(AV102*1000000+SUM(X102,AP102)*10000+SUM(R102,AJ102)*100+SUM(L102,AD102)+0.002&gt;AU102*1000000+SUM(W102,AO102)*10000+SUM(Q102,AI102)*100+SUM(K102,AC102)+0.003,1,0)+IF(AW102*1000000+SUM(Y102,AQ102)*10000+SUM(S102,AK102)*100+SUM(M102,AE102)+0.001&gt;AU102*1000000+SUM(W102,AO102)*10000+SUM(Q102,AI102)*100+SUM(K102,AC102)+0.003,1,0)=1,"S",IF(IF(AR102*1000000+SUM(T102,AL102)*10000+SUM(N102,AF102)*100+SUM(H102,Z102)+0.006&gt;AV102*1000000+SUM(X102,AP102)*10000+SUM(R102,AJ102)*100+SUM(L102,AD102)+0.002,1,0)+IF(AS102*1000000+SUM(U102,AM102)*10000+SUM(O102,AG102)*100+SUM(I102,AA102)+0.005&gt;AV102*1000000+SUM(X102,AP102)*10000+SUM(R102,AJ102)*100+SUM(L102,AD102)+0.002,1,0)+IF(AT102*1000000+SUM(V102,AN102)*10000+SUM(P102,AH102)*100+SUM(J102,AB102)+0.004&gt;AV102*1000000+SUM(X102,AP102)*10000+SUM(R102,AJ102)*100+SUM(L102,AD102)+0.002,1,0)+IF(AU102*1000000+SUM(W102,AO102)*10000+SUM(Q102,AI102)*100+SUM(K102,AC102)+0.003&gt;AV102*1000000+SUM(X102,AP102)*10000+SUM(R102,AJ102)*100+SUM(L102,AD102)+0.002,1,0)+IF(AW102*1000000+SUM(Y102,AQ102)*10000+SUM(S102,AK102)*100+SUM(M102,AE102)+0.001&gt;AV102*1000000+SUM(X102,AP102)*10000+SUM(R102,AJ102)*100+SUM(L102,AD102)+0.002,1,0)=1,"E",IF(IF(AR102*1000000+SUM(T102,AL102)*10000+SUM(N102,AF102)*100+SUM(H102,Z102)+0.006&gt;AW102*1000000+SUM(Y102,AQ102)*10000+SUM(S102,AK102)*100+SUM(M102,AE102)+0.001,1,0)+IF(AS102*1000000+SUM(U102,AM102)*10000+SUM(O102,AG102)*100+SUM(I102,AA102)+0.005&gt;AW102*1000000+SUM(Y102,AQ102)*10000+SUM(S102,AK102)*100+SUM(M102,AE102)+0.001,1,0)+IF(AT102*1000000+SUM(V102,AN102)*10000+SUM(P102,AH102)*100+SUM(J102,AB102)+0.004&gt;AW102*1000000+SUM(Y102,AQ102)*10000+SUM(S102,AK102)*100+SUM(M102,AE102)+0.001,1,0)+IF(AU102*1000000+SUM(W102,AO102)*10000+SUM(Q102,AI102)*100+SUM(K102,AC102)+0.003&gt;AW102*1000000+SUM(Y102,AQ102)*10000+SUM(S102,AK102)*100+SUM(M102,AE102)+0.001,1,0)+IF(AV102*1000000+SUM(X102,AP102)*10000+SUM(R102,AJ102)*100+SUM(L102,AD102)+0.002&gt;AW102*1000000+SUM(Y102,AQ102)*10000+SUM(S102,AK102)*100+SUM(M102,AE102)+0.001,1,0)=1,"C",""))))))&amp;IF(IF(AS102*1000000+SUM(U102,AM102)*10000+SUM(O102,AG102)*100+SUM(I102,AA102)+0.005&gt;AR102*1000000+SUM(T102,AL102)*10000+SUM(N102,AF102)*100+SUM(H102,Z102)+0.006,1,0)+IF(AT102*1000000+SUM(V102,AN102)*10000+SUM(P102,AH102)*100+SUM(J102,AB102)+0.004&gt;AR102*1000000+SUM(T102,AL102)*10000+SUM(N102,AF102)*100+SUM(H102,Z102)+0.006,1,0)+IF(AU102*1000000+SUM(W102,AO102)*10000+SUM(Q102,AI102)*100+SUM(K102,AC102)+0.003&gt;AR102*1000000+SUM(T102,AL102)*10000+SUM(N102,AF102)*100+SUM(H102,Z102)+0.006,1,0)+IF(AV102*1000000+SUM(X102,AP102)*10000+SUM(R102,AJ102)*100+SUM(L102,AD102)+0.002&gt;AR102*1000000+SUM(T102,AL102)*10000+SUM(N102,AF102)*100+SUM(H102,Z102)+0.006,1,0)+IF(AW102*1000000+SUM(Y102,AQ102)*10000+SUM(S102,AK102)*100+SUM(M102,AE102)+0.001&gt;AR102*1000000+SUM(T102,AL102)*10000+SUM(N102,AF102)*100+SUM(H102,Z102)+0.006,1,0)=2,"R",IF(IF(AR102*1000000+SUM(T102,AL102)*10000+SUM(N102,AF102)*100+SUM(H102,Z102)+0.006&gt;AS102*1000000+SUM(U102,AM102)*10000+SUM(O102,AG102)*100+SUM(I102,AA102)+0.005,1,0)+IF(AT102*1000000+SUM(V102,AN102)*10000+SUM(P102,AH102)*100+SUM(J102,AB102)+0.004&gt;AS102*1000000+SUM(U102,AM102)*10000+SUM(O102,AG102)*100+SUM(I102,AA102)+0.005,1,0)+IF(AU102*1000000+SUM(W102,AO102)*10000+SUM(Q102,AI102)*100+SUM(K102,AC102)+0.003&gt;AS102*1000000+SUM(U102,AM102)*10000+SUM(O102,AG102)*100+SUM(I102,AA102)+0.005,1,0)+IF(AV102*1000000+SUM(X102,AP102)*10000+SUM(R102,AJ102)*100+SUM(L102,AD102)+0.002&gt;AS102*1000000+SUM(U102,AM102)*10000+SUM(O102,AG102)*100+SUM(I102,AA102)+0.005,1,0)+IF(AW102*1000000+SUM(Y102,AQ102)*10000+SUM(S102,AK102)*100+SUM(M102,AE102)+0.001&gt;AS102*1000000+SUM(U102,AM102)*10000+SUM(O102,AG102)*100+SUM(I102,AA102)+0.005,1,0)=2,"I",IF(IF(AR102*1000000+SUM(T102,AL102)*10000+SUM(N102,AF102)*100+SUM(H102,Z102)+0.006&gt;AT102*1000000+SUM(V102,AN102)*10000+SUM(P102,AH102)*100+SUM(J102,AB102)+0.004,1,0)+IF(AS102*1000000+SUM(U102,AM102)*10000+SUM(O102,AG102)*100+SUM(I102,AA102)+0.005&gt;AT102*1000000+SUM(V102,AN102)*10000+SUM(P102,AH102)*100+SUM(J102,AB102)+0.004,1,0)+IF(AU102*1000000+SUM(W102,AO102)*10000+SUM(Q102,AI102)*100+SUM(K102,AC102)+0.003&gt;AT102*1000000+SUM(V102,AN102)*10000+SUM(P102,AH102)*100+SUM(J102,AB102)+0.004,1,0)+IF(AV102*1000000+SUM(X102,AP102)*10000+SUM(R102,AJ102)*100+SUM(L102,AD102)+0.002&gt;AT102*1000000+SUM(V102,AN102)*10000+SUM(P102,AH102)*100+SUM(J102,AB102)+0.004,1,0)+IF(AW102*1000000+SUM(Y102,AQ102)*10000+SUM(S102,AK102)*100+SUM(M102,AE102)+0.001&gt;AT102*1000000+SUM(V102,AN102)*10000+SUM(P102,AH102)*100+SUM(J102,AB102)+0.004,1,0)=2,"A",IF(IF(AR102*1000000+SUM(T102,AL102)*10000+SUM(N102,AF102)*100+SUM(H102,Z102)+0.006&gt;AU102*1000000+SUM(W102,AO102)*10000+SUM(Q102,AI102)*100+SUM(K102,AC102)+0.003,1,0)+IF(AS102*1000000+SUM(U102,AM102)*10000+SUM(O102,AG102)*100+SUM(I102,AA102)+0.005&gt;AU102*1000000+SUM(W102,AO102)*10000+SUM(Q102,AI102)*100+SUM(K102,AC102)+0.003,1,0)+IF(AT102*1000000+SUM(V102,AN102)*10000+SUM(P102,AH102)*100+SUM(J102,AB102)+0.004&gt;AU102*1000000+SUM(W102,AO102)*10000+SUM(Q102,AI102)*100+SUM(K102,AC102)+0.003,1,0)+IF(AV102*1000000+SUM(X102,AP102)*10000+SUM(R102,AJ102)*100+SUM(L102,AD102)+0.002&gt;AU102*1000000+SUM(W102,AO102)*10000+SUM(Q102,AI102)*100+SUM(K102,AC102)+0.003,1,0)+IF(AW102*1000000+SUM(Y102,AQ102)*10000+SUM(S102,AK102)*100+SUM(M102,AE102)+0.001&gt;AU102*1000000+SUM(W102,AO102)*10000+SUM(Q102,AI102)*100+SUM(K102,AC102)+0.003,1,0)=2,"S",IF(IF(AR102*1000000+SUM(T102,AL102)*10000+SUM(N102,AF102)*100+SUM(H102,Z102)+0.006&gt;AV102*1000000+SUM(X102,AP102)*10000+SUM(R102,AJ102)*100+SUM(L102,AD102)+0.002,1,0)+IF(AS102*1000000+SUM(U102,AM102)*10000+SUM(O102,AG102)*100+SUM(I102,AA102)+0.005&gt;AV102*1000000+SUM(X102,AP102)*10000+SUM(R102,AJ102)*100+SUM(L102,AD102)+0.002,1,0)+IF(AT102*1000000+SUM(V102,AN102)*10000+SUM(P102,AH102)*100+SUM(J102,AB102)+0.004&gt;AV102*1000000+SUM(X102,AP102)*10000+SUM(R102,AJ102)*100+SUM(L102,AD102)+0.002,1,0)+IF(AU102*1000000+SUM(W102,AO102)*10000+SUM(Q102,AI102)*100+SUM(K102,AC102)+0.003&gt;AV102*1000000+SUM(X102,AP102)*10000+SUM(R102,AJ102)*100+SUM(L102,AD102)+0.002,1,0)+IF(AW102*1000000+SUM(Y102,AQ102)*10000+SUM(S102,AK102)*100+SUM(M102,AE102)+0.001&gt;AV102*1000000+SUM(X102,AP102)*10000+SUM(R102,AJ102)*100+SUM(L102,AD102)+0.002,1,0)=2,"E",IF(IF(AR102*1000000+SUM(T102,AL102)*10000+SUM(N102,AF102)*100+SUM(H102,Z102)+0.006&gt;AW102*1000000+SUM(Y102,AQ102)*10000+SUM(S102,AK102)*100+SUM(M102,AE102)+0.001,1,0)+IF(AS102*1000000+SUM(U102,AM102)*10000+SUM(O102,AG102)*100+SUM(I102,AA102)+0.005&gt;AW102*1000000+SUM(Y102,AQ102)*10000+SUM(S102,AK102)*100+SUM(M102,AE102)+0.001,1,0)+IF(AT102*1000000+SUM(V102,AN102)*10000+SUM(P102,AH102)*100+SUM(J102,AB102)+0.004&gt;AW102*1000000+SUM(Y102,AQ102)*10000+SUM(S102,AK102)*100+SUM(M102,AE102)+0.001,1,0)+IF(AU102*1000000+SUM(W102,AO102)*10000+SUM(Q102,AI102)*100+SUM(K102,AC102)+0.003&gt;AW102*1000000+SUM(Y102,AQ102)*10000+SUM(S102,AK102)*100+SUM(M102,AE102)+0.001,1,0)+IF(AV102*1000000+SUM(X102,AP102)*10000+SUM(R102,AJ102)*100+SUM(L102,AD102)+0.002&gt;AW102*1000000+SUM(Y102,AQ102)*10000+SUM(S102,AK102)*100+SUM(M102,AE102)+0.001,1,0)=2,"C","")))))))</x:f>
      </x:c>
      <x:c r="AY102" s="27" t="str">
        <x:f>IF(C102="","",IF(LEFT(AX102,1)="R","นักปฏิบัติ",IF(LEFT(AX102,1)="I","นักคิดวิเคราะห์",IF(LEFT(AX102,1)="A","นักสร้างสรรค์",IF(LEFT(AX102,1)="S","ผู้เข้าใจผู้คน",IF(LEFT(AX102,1)="E","ผู้นำการเปลี่ยนแปลง","ผู้จัดระบบ"))))))</x:f>
      </x:c>
    </x:row>
    <x:row r="103">
      <x:c r="A103" s="27"/>
      <x:c r="B103" s="28"/>
      <x:c r="C103" s="27"/>
      <x:c r="D103" s="27"/>
      <x:c r="E103" s="27"/>
      <x:c r="F103" s="27"/>
      <x:c r="G103" s="27"/>
      <x:c r="H103" s="27"/>
      <x:c r="I103" s="27"/>
      <x:c r="J103" s="27"/>
      <x:c r="K103" s="27"/>
      <x:c r="L103" s="27"/>
      <x:c r="M103" s="27"/>
      <x:c r="N103" s="27"/>
      <x:c r="O103" s="27"/>
      <x:c r="P103" s="27"/>
      <x:c r="Q103" s="27"/>
      <x:c r="R103" s="27"/>
      <x:c r="S103" s="27"/>
      <x:c r="T103" s="27"/>
      <x:c r="U103" s="27"/>
      <x:c r="V103" s="27"/>
      <x:c r="W103" s="27"/>
      <x:c r="X103" s="27"/>
      <x:c r="Y103" s="27"/>
      <x:c r="Z103" s="27"/>
      <x:c r="AA103" s="27"/>
      <x:c r="AB103" s="27"/>
      <x:c r="AC103" s="27"/>
      <x:c r="AD103" s="27"/>
      <x:c r="AE103" s="27"/>
      <x:c r="AF103" s="27"/>
      <x:c r="AG103" s="27"/>
      <x:c r="AH103" s="27"/>
      <x:c r="AI103" s="27"/>
      <x:c r="AJ103" s="27"/>
      <x:c r="AK103" s="27"/>
      <x:c r="AL103" s="27"/>
      <x:c r="AM103" s="27"/>
      <x:c r="AN103" s="27"/>
      <x:c r="AO103" s="27"/>
      <x:c r="AP103" s="27"/>
      <x:c r="AQ103" s="27"/>
      <x:c r="AR103" s="27" t="str">
        <x:f>IF(C103="","",SUM(H103,N103,T103,Z103,AF103,AL103))</x:f>
      </x:c>
      <x:c r="AS103" s="27" t="str">
        <x:f>IF(C103="","",SUM(I103,O103,U103,AA103,AG103,AM103))</x:f>
      </x:c>
      <x:c r="AT103" s="27" t="str">
        <x:f>IF(C103="","",SUM(J103,P103,V103,AB103,AH103,AN103))</x:f>
      </x:c>
      <x:c r="AU103" s="27" t="str">
        <x:f>IF(C103="","",SUM(K103,Q103,W103,AC103,AI103,AO103))</x:f>
      </x:c>
      <x:c r="AV103" s="27" t="str">
        <x:f>IF(C103="","",SUM(L103,R103,X103,AD103,AJ103,AP103))</x:f>
      </x:c>
      <x:c r="AW103" s="27" t="str">
        <x:f>IF(C103="","",SUM(M103,S103,Y103,AE103,AK103,AQ103))</x:f>
      </x:c>
      <x:c r="AX103" s="27" t="str">
        <x:f>IF(C103="","",IF(IF(AS103*1000000+SUM(U103,AM103)*10000+SUM(O103,AG103)*100+SUM(I103,AA103)+0.005&gt;AR103*1000000+SUM(T103,AL103)*10000+SUM(N103,AF103)*100+SUM(H103,Z103)+0.006,1,0)+IF(AT103*1000000+SUM(V103,AN103)*10000+SUM(P103,AH103)*100+SUM(J103,AB103)+0.004&gt;AR103*1000000+SUM(T103,AL103)*10000+SUM(N103,AF103)*100+SUM(H103,Z103)+0.006,1,0)+IF(AU103*1000000+SUM(W103,AO103)*10000+SUM(Q103,AI103)*100+SUM(K103,AC103)+0.003&gt;AR103*1000000+SUM(T103,AL103)*10000+SUM(N103,AF103)*100+SUM(H103,Z103)+0.006,1,0)+IF(AV103*1000000+SUM(X103,AP103)*10000+SUM(R103,AJ103)*100+SUM(L103,AD103)+0.002&gt;AR103*1000000+SUM(T103,AL103)*10000+SUM(N103,AF103)*100+SUM(H103,Z103)+0.006,1,0)+IF(AW103*1000000+SUM(Y103,AQ103)*10000+SUM(S103,AK103)*100+SUM(M103,AE103)+0.001&gt;AR103*1000000+SUM(T103,AL103)*10000+SUM(N103,AF103)*100+SUM(H103,Z103)+0.006,1,0)=0,"R",IF(IF(AR103*1000000+SUM(T103,AL103)*10000+SUM(N103,AF103)*100+SUM(H103,Z103)+0.006&gt;AS103*1000000+SUM(U103,AM103)*10000+SUM(O103,AG103)*100+SUM(I103,AA103)+0.005,1,0)+IF(AT103*1000000+SUM(V103,AN103)*10000+SUM(P103,AH103)*100+SUM(J103,AB103)+0.004&gt;AS103*1000000+SUM(U103,AM103)*10000+SUM(O103,AG103)*100+SUM(I103,AA103)+0.005,1,0)+IF(AU103*1000000+SUM(W103,AO103)*10000+SUM(Q103,AI103)*100+SUM(K103,AC103)+0.003&gt;AS103*1000000+SUM(U103,AM103)*10000+SUM(O103,AG103)*100+SUM(I103,AA103)+0.005,1,0)+IF(AV103*1000000+SUM(X103,AP103)*10000+SUM(R103,AJ103)*100+SUM(L103,AD103)+0.002&gt;AS103*1000000+SUM(U103,AM103)*10000+SUM(O103,AG103)*100+SUM(I103,AA103)+0.005,1,0)+IF(AW103*1000000+SUM(Y103,AQ103)*10000+SUM(S103,AK103)*100+SUM(M103,AE103)+0.001&gt;AS103*1000000+SUM(U103,AM103)*10000+SUM(O103,AG103)*100+SUM(I103,AA103)+0.005,1,0)=0,"I",IF(IF(AR103*1000000+SUM(T103,AL103)*10000+SUM(N103,AF103)*100+SUM(H103,Z103)+0.006&gt;AT103*1000000+SUM(V103,AN103)*10000+SUM(P103,AH103)*100+SUM(J103,AB103)+0.004,1,0)+IF(AS103*1000000+SUM(U103,AM103)*10000+SUM(O103,AG103)*100+SUM(I103,AA103)+0.005&gt;AT103*1000000+SUM(V103,AN103)*10000+SUM(P103,AH103)*100+SUM(J103,AB103)+0.004,1,0)+IF(AU103*1000000+SUM(W103,AO103)*10000+SUM(Q103,AI103)*100+SUM(K103,AC103)+0.003&gt;AT103*1000000+SUM(V103,AN103)*10000+SUM(P103,AH103)*100+SUM(J103,AB103)+0.004,1,0)+IF(AV103*1000000+SUM(X103,AP103)*10000+SUM(R103,AJ103)*100+SUM(L103,AD103)+0.002&gt;AT103*1000000+SUM(V103,AN103)*10000+SUM(P103,AH103)*100+SUM(J103,AB103)+0.004,1,0)+IF(AW103*1000000+SUM(Y103,AQ103)*10000+SUM(S103,AK103)*100+SUM(M103,AE103)+0.001&gt;AT103*1000000+SUM(V103,AN103)*10000+SUM(P103,AH103)*100+SUM(J103,AB103)+0.004,1,0)=0,"A",IF(IF(AR103*1000000+SUM(T103,AL103)*10000+SUM(N103,AF103)*100+SUM(H103,Z103)+0.006&gt;AU103*1000000+SUM(W103,AO103)*10000+SUM(Q103,AI103)*100+SUM(K103,AC103)+0.003,1,0)+IF(AS103*1000000+SUM(U103,AM103)*10000+SUM(O103,AG103)*100+SUM(I103,AA103)+0.005&gt;AU103*1000000+SUM(W103,AO103)*10000+SUM(Q103,AI103)*100+SUM(K103,AC103)+0.003,1,0)+IF(AT103*1000000+SUM(V103,AN103)*10000+SUM(P103,AH103)*100+SUM(J103,AB103)+0.004&gt;AU103*1000000+SUM(W103,AO103)*10000+SUM(Q103,AI103)*100+SUM(K103,AC103)+0.003,1,0)+IF(AV103*1000000+SUM(X103,AP103)*10000+SUM(R103,AJ103)*100+SUM(L103,AD103)+0.002&gt;AU103*1000000+SUM(W103,AO103)*10000+SUM(Q103,AI103)*100+SUM(K103,AC103)+0.003,1,0)+IF(AW103*1000000+SUM(Y103,AQ103)*10000+SUM(S103,AK103)*100+SUM(M103,AE103)+0.001&gt;AU103*1000000+SUM(W103,AO103)*10000+SUM(Q103,AI103)*100+SUM(K103,AC103)+0.003,1,0)=0,"S",IF(IF(AR103*1000000+SUM(T103,AL103)*10000+SUM(N103,AF103)*100+SUM(H103,Z103)+0.006&gt;AV103*1000000+SUM(X103,AP103)*10000+SUM(R103,AJ103)*100+SUM(L103,AD103)+0.002,1,0)+IF(AS103*1000000+SUM(U103,AM103)*10000+SUM(O103,AG103)*100+SUM(I103,AA103)+0.005&gt;AV103*1000000+SUM(X103,AP103)*10000+SUM(R103,AJ103)*100+SUM(L103,AD103)+0.002,1,0)+IF(AT103*1000000+SUM(V103,AN103)*10000+SUM(P103,AH103)*100+SUM(J103,AB103)+0.004&gt;AV103*1000000+SUM(X103,AP103)*10000+SUM(R103,AJ103)*100+SUM(L103,AD103)+0.002,1,0)+IF(AU103*1000000+SUM(W103,AO103)*10000+SUM(Q103,AI103)*100+SUM(K103,AC103)+0.003&gt;AV103*1000000+SUM(X103,AP103)*10000+SUM(R103,AJ103)*100+SUM(L103,AD103)+0.002,1,0)+IF(AW103*1000000+SUM(Y103,AQ103)*10000+SUM(S103,AK103)*100+SUM(M103,AE103)+0.001&gt;AV103*1000000+SUM(X103,AP103)*10000+SUM(R103,AJ103)*100+SUM(L103,AD103)+0.002,1,0)=0,"E",IF(IF(AR103*1000000+SUM(T103,AL103)*10000+SUM(N103,AF103)*100+SUM(H103,Z103)+0.006&gt;AW103*1000000+SUM(Y103,AQ103)*10000+SUM(S103,AK103)*100+SUM(M103,AE103)+0.001,1,0)+IF(AS103*1000000+SUM(U103,AM103)*10000+SUM(O103,AG103)*100+SUM(I103,AA103)+0.005&gt;AW103*1000000+SUM(Y103,AQ103)*10000+SUM(S103,AK103)*100+SUM(M103,AE103)+0.001,1,0)+IF(AT103*1000000+SUM(V103,AN103)*10000+SUM(P103,AH103)*100+SUM(J103,AB103)+0.004&gt;AW103*1000000+SUM(Y103,AQ103)*10000+SUM(S103,AK103)*100+SUM(M103,AE103)+0.001,1,0)+IF(AU103*1000000+SUM(W103,AO103)*10000+SUM(Q103,AI103)*100+SUM(K103,AC103)+0.003&gt;AW103*1000000+SUM(Y103,AQ103)*10000+SUM(S103,AK103)*100+SUM(M103,AE103)+0.001,1,0)+IF(AV103*1000000+SUM(X103,AP103)*10000+SUM(R103,AJ103)*100+SUM(L103,AD103)+0.002&gt;AW103*1000000+SUM(Y103,AQ103)*10000+SUM(S103,AK103)*100+SUM(M103,AE103)+0.001,1,0)=0,"C",""))))))&amp;IF(IF(AS103*1000000+SUM(U103,AM103)*10000+SUM(O103,AG103)*100+SUM(I103,AA103)+0.005&gt;AR103*1000000+SUM(T103,AL103)*10000+SUM(N103,AF103)*100+SUM(H103,Z103)+0.006,1,0)+IF(AT103*1000000+SUM(V103,AN103)*10000+SUM(P103,AH103)*100+SUM(J103,AB103)+0.004&gt;AR103*1000000+SUM(T103,AL103)*10000+SUM(N103,AF103)*100+SUM(H103,Z103)+0.006,1,0)+IF(AU103*1000000+SUM(W103,AO103)*10000+SUM(Q103,AI103)*100+SUM(K103,AC103)+0.003&gt;AR103*1000000+SUM(T103,AL103)*10000+SUM(N103,AF103)*100+SUM(H103,Z103)+0.006,1,0)+IF(AV103*1000000+SUM(X103,AP103)*10000+SUM(R103,AJ103)*100+SUM(L103,AD103)+0.002&gt;AR103*1000000+SUM(T103,AL103)*10000+SUM(N103,AF103)*100+SUM(H103,Z103)+0.006,1,0)+IF(AW103*1000000+SUM(Y103,AQ103)*10000+SUM(S103,AK103)*100+SUM(M103,AE103)+0.001&gt;AR103*1000000+SUM(T103,AL103)*10000+SUM(N103,AF103)*100+SUM(H103,Z103)+0.006,1,0)=1,"R",IF(IF(AR103*1000000+SUM(T103,AL103)*10000+SUM(N103,AF103)*100+SUM(H103,Z103)+0.006&gt;AS103*1000000+SUM(U103,AM103)*10000+SUM(O103,AG103)*100+SUM(I103,AA103)+0.005,1,0)+IF(AT103*1000000+SUM(V103,AN103)*10000+SUM(P103,AH103)*100+SUM(J103,AB103)+0.004&gt;AS103*1000000+SUM(U103,AM103)*10000+SUM(O103,AG103)*100+SUM(I103,AA103)+0.005,1,0)+IF(AU103*1000000+SUM(W103,AO103)*10000+SUM(Q103,AI103)*100+SUM(K103,AC103)+0.003&gt;AS103*1000000+SUM(U103,AM103)*10000+SUM(O103,AG103)*100+SUM(I103,AA103)+0.005,1,0)+IF(AV103*1000000+SUM(X103,AP103)*10000+SUM(R103,AJ103)*100+SUM(L103,AD103)+0.002&gt;AS103*1000000+SUM(U103,AM103)*10000+SUM(O103,AG103)*100+SUM(I103,AA103)+0.005,1,0)+IF(AW103*1000000+SUM(Y103,AQ103)*10000+SUM(S103,AK103)*100+SUM(M103,AE103)+0.001&gt;AS103*1000000+SUM(U103,AM103)*10000+SUM(O103,AG103)*100+SUM(I103,AA103)+0.005,1,0)=1,"I",IF(IF(AR103*1000000+SUM(T103,AL103)*10000+SUM(N103,AF103)*100+SUM(H103,Z103)+0.006&gt;AT103*1000000+SUM(V103,AN103)*10000+SUM(P103,AH103)*100+SUM(J103,AB103)+0.004,1,0)+IF(AS103*1000000+SUM(U103,AM103)*10000+SUM(O103,AG103)*100+SUM(I103,AA103)+0.005&gt;AT103*1000000+SUM(V103,AN103)*10000+SUM(P103,AH103)*100+SUM(J103,AB103)+0.004,1,0)+IF(AU103*1000000+SUM(W103,AO103)*10000+SUM(Q103,AI103)*100+SUM(K103,AC103)+0.003&gt;AT103*1000000+SUM(V103,AN103)*10000+SUM(P103,AH103)*100+SUM(J103,AB103)+0.004,1,0)+IF(AV103*1000000+SUM(X103,AP103)*10000+SUM(R103,AJ103)*100+SUM(L103,AD103)+0.002&gt;AT103*1000000+SUM(V103,AN103)*10000+SUM(P103,AH103)*100+SUM(J103,AB103)+0.004,1,0)+IF(AW103*1000000+SUM(Y103,AQ103)*10000+SUM(S103,AK103)*100+SUM(M103,AE103)+0.001&gt;AT103*1000000+SUM(V103,AN103)*10000+SUM(P103,AH103)*100+SUM(J103,AB103)+0.004,1,0)=1,"A",IF(IF(AR103*1000000+SUM(T103,AL103)*10000+SUM(N103,AF103)*100+SUM(H103,Z103)+0.006&gt;AU103*1000000+SUM(W103,AO103)*10000+SUM(Q103,AI103)*100+SUM(K103,AC103)+0.003,1,0)+IF(AS103*1000000+SUM(U103,AM103)*10000+SUM(O103,AG103)*100+SUM(I103,AA103)+0.005&gt;AU103*1000000+SUM(W103,AO103)*10000+SUM(Q103,AI103)*100+SUM(K103,AC103)+0.003,1,0)+IF(AT103*1000000+SUM(V103,AN103)*10000+SUM(P103,AH103)*100+SUM(J103,AB103)+0.004&gt;AU103*1000000+SUM(W103,AO103)*10000+SUM(Q103,AI103)*100+SUM(K103,AC103)+0.003,1,0)+IF(AV103*1000000+SUM(X103,AP103)*10000+SUM(R103,AJ103)*100+SUM(L103,AD103)+0.002&gt;AU103*1000000+SUM(W103,AO103)*10000+SUM(Q103,AI103)*100+SUM(K103,AC103)+0.003,1,0)+IF(AW103*1000000+SUM(Y103,AQ103)*10000+SUM(S103,AK103)*100+SUM(M103,AE103)+0.001&gt;AU103*1000000+SUM(W103,AO103)*10000+SUM(Q103,AI103)*100+SUM(K103,AC103)+0.003,1,0)=1,"S",IF(IF(AR103*1000000+SUM(T103,AL103)*10000+SUM(N103,AF103)*100+SUM(H103,Z103)+0.006&gt;AV103*1000000+SUM(X103,AP103)*10000+SUM(R103,AJ103)*100+SUM(L103,AD103)+0.002,1,0)+IF(AS103*1000000+SUM(U103,AM103)*10000+SUM(O103,AG103)*100+SUM(I103,AA103)+0.005&gt;AV103*1000000+SUM(X103,AP103)*10000+SUM(R103,AJ103)*100+SUM(L103,AD103)+0.002,1,0)+IF(AT103*1000000+SUM(V103,AN103)*10000+SUM(P103,AH103)*100+SUM(J103,AB103)+0.004&gt;AV103*1000000+SUM(X103,AP103)*10000+SUM(R103,AJ103)*100+SUM(L103,AD103)+0.002,1,0)+IF(AU103*1000000+SUM(W103,AO103)*10000+SUM(Q103,AI103)*100+SUM(K103,AC103)+0.003&gt;AV103*1000000+SUM(X103,AP103)*10000+SUM(R103,AJ103)*100+SUM(L103,AD103)+0.002,1,0)+IF(AW103*1000000+SUM(Y103,AQ103)*10000+SUM(S103,AK103)*100+SUM(M103,AE103)+0.001&gt;AV103*1000000+SUM(X103,AP103)*10000+SUM(R103,AJ103)*100+SUM(L103,AD103)+0.002,1,0)=1,"E",IF(IF(AR103*1000000+SUM(T103,AL103)*10000+SUM(N103,AF103)*100+SUM(H103,Z103)+0.006&gt;AW103*1000000+SUM(Y103,AQ103)*10000+SUM(S103,AK103)*100+SUM(M103,AE103)+0.001,1,0)+IF(AS103*1000000+SUM(U103,AM103)*10000+SUM(O103,AG103)*100+SUM(I103,AA103)+0.005&gt;AW103*1000000+SUM(Y103,AQ103)*10000+SUM(S103,AK103)*100+SUM(M103,AE103)+0.001,1,0)+IF(AT103*1000000+SUM(V103,AN103)*10000+SUM(P103,AH103)*100+SUM(J103,AB103)+0.004&gt;AW103*1000000+SUM(Y103,AQ103)*10000+SUM(S103,AK103)*100+SUM(M103,AE103)+0.001,1,0)+IF(AU103*1000000+SUM(W103,AO103)*10000+SUM(Q103,AI103)*100+SUM(K103,AC103)+0.003&gt;AW103*1000000+SUM(Y103,AQ103)*10000+SUM(S103,AK103)*100+SUM(M103,AE103)+0.001,1,0)+IF(AV103*1000000+SUM(X103,AP103)*10000+SUM(R103,AJ103)*100+SUM(L103,AD103)+0.002&gt;AW103*1000000+SUM(Y103,AQ103)*10000+SUM(S103,AK103)*100+SUM(M103,AE103)+0.001,1,0)=1,"C",""))))))&amp;IF(IF(AS103*1000000+SUM(U103,AM103)*10000+SUM(O103,AG103)*100+SUM(I103,AA103)+0.005&gt;AR103*1000000+SUM(T103,AL103)*10000+SUM(N103,AF103)*100+SUM(H103,Z103)+0.006,1,0)+IF(AT103*1000000+SUM(V103,AN103)*10000+SUM(P103,AH103)*100+SUM(J103,AB103)+0.004&gt;AR103*1000000+SUM(T103,AL103)*10000+SUM(N103,AF103)*100+SUM(H103,Z103)+0.006,1,0)+IF(AU103*1000000+SUM(W103,AO103)*10000+SUM(Q103,AI103)*100+SUM(K103,AC103)+0.003&gt;AR103*1000000+SUM(T103,AL103)*10000+SUM(N103,AF103)*100+SUM(H103,Z103)+0.006,1,0)+IF(AV103*1000000+SUM(X103,AP103)*10000+SUM(R103,AJ103)*100+SUM(L103,AD103)+0.002&gt;AR103*1000000+SUM(T103,AL103)*10000+SUM(N103,AF103)*100+SUM(H103,Z103)+0.006,1,0)+IF(AW103*1000000+SUM(Y103,AQ103)*10000+SUM(S103,AK103)*100+SUM(M103,AE103)+0.001&gt;AR103*1000000+SUM(T103,AL103)*10000+SUM(N103,AF103)*100+SUM(H103,Z103)+0.006,1,0)=2,"R",IF(IF(AR103*1000000+SUM(T103,AL103)*10000+SUM(N103,AF103)*100+SUM(H103,Z103)+0.006&gt;AS103*1000000+SUM(U103,AM103)*10000+SUM(O103,AG103)*100+SUM(I103,AA103)+0.005,1,0)+IF(AT103*1000000+SUM(V103,AN103)*10000+SUM(P103,AH103)*100+SUM(J103,AB103)+0.004&gt;AS103*1000000+SUM(U103,AM103)*10000+SUM(O103,AG103)*100+SUM(I103,AA103)+0.005,1,0)+IF(AU103*1000000+SUM(W103,AO103)*10000+SUM(Q103,AI103)*100+SUM(K103,AC103)+0.003&gt;AS103*1000000+SUM(U103,AM103)*10000+SUM(O103,AG103)*100+SUM(I103,AA103)+0.005,1,0)+IF(AV103*1000000+SUM(X103,AP103)*10000+SUM(R103,AJ103)*100+SUM(L103,AD103)+0.002&gt;AS103*1000000+SUM(U103,AM103)*10000+SUM(O103,AG103)*100+SUM(I103,AA103)+0.005,1,0)+IF(AW103*1000000+SUM(Y103,AQ103)*10000+SUM(S103,AK103)*100+SUM(M103,AE103)+0.001&gt;AS103*1000000+SUM(U103,AM103)*10000+SUM(O103,AG103)*100+SUM(I103,AA103)+0.005,1,0)=2,"I",IF(IF(AR103*1000000+SUM(T103,AL103)*10000+SUM(N103,AF103)*100+SUM(H103,Z103)+0.006&gt;AT103*1000000+SUM(V103,AN103)*10000+SUM(P103,AH103)*100+SUM(J103,AB103)+0.004,1,0)+IF(AS103*1000000+SUM(U103,AM103)*10000+SUM(O103,AG103)*100+SUM(I103,AA103)+0.005&gt;AT103*1000000+SUM(V103,AN103)*10000+SUM(P103,AH103)*100+SUM(J103,AB103)+0.004,1,0)+IF(AU103*1000000+SUM(W103,AO103)*10000+SUM(Q103,AI103)*100+SUM(K103,AC103)+0.003&gt;AT103*1000000+SUM(V103,AN103)*10000+SUM(P103,AH103)*100+SUM(J103,AB103)+0.004,1,0)+IF(AV103*1000000+SUM(X103,AP103)*10000+SUM(R103,AJ103)*100+SUM(L103,AD103)+0.002&gt;AT103*1000000+SUM(V103,AN103)*10000+SUM(P103,AH103)*100+SUM(J103,AB103)+0.004,1,0)+IF(AW103*1000000+SUM(Y103,AQ103)*10000+SUM(S103,AK103)*100+SUM(M103,AE103)+0.001&gt;AT103*1000000+SUM(V103,AN103)*10000+SUM(P103,AH103)*100+SUM(J103,AB103)+0.004,1,0)=2,"A",IF(IF(AR103*1000000+SUM(T103,AL103)*10000+SUM(N103,AF103)*100+SUM(H103,Z103)+0.006&gt;AU103*1000000+SUM(W103,AO103)*10000+SUM(Q103,AI103)*100+SUM(K103,AC103)+0.003,1,0)+IF(AS103*1000000+SUM(U103,AM103)*10000+SUM(O103,AG103)*100+SUM(I103,AA103)+0.005&gt;AU103*1000000+SUM(W103,AO103)*10000+SUM(Q103,AI103)*100+SUM(K103,AC103)+0.003,1,0)+IF(AT103*1000000+SUM(V103,AN103)*10000+SUM(P103,AH103)*100+SUM(J103,AB103)+0.004&gt;AU103*1000000+SUM(W103,AO103)*10000+SUM(Q103,AI103)*100+SUM(K103,AC103)+0.003,1,0)+IF(AV103*1000000+SUM(X103,AP103)*10000+SUM(R103,AJ103)*100+SUM(L103,AD103)+0.002&gt;AU103*1000000+SUM(W103,AO103)*10000+SUM(Q103,AI103)*100+SUM(K103,AC103)+0.003,1,0)+IF(AW103*1000000+SUM(Y103,AQ103)*10000+SUM(S103,AK103)*100+SUM(M103,AE103)+0.001&gt;AU103*1000000+SUM(W103,AO103)*10000+SUM(Q103,AI103)*100+SUM(K103,AC103)+0.003,1,0)=2,"S",IF(IF(AR103*1000000+SUM(T103,AL103)*10000+SUM(N103,AF103)*100+SUM(H103,Z103)+0.006&gt;AV103*1000000+SUM(X103,AP103)*10000+SUM(R103,AJ103)*100+SUM(L103,AD103)+0.002,1,0)+IF(AS103*1000000+SUM(U103,AM103)*10000+SUM(O103,AG103)*100+SUM(I103,AA103)+0.005&gt;AV103*1000000+SUM(X103,AP103)*10000+SUM(R103,AJ103)*100+SUM(L103,AD103)+0.002,1,0)+IF(AT103*1000000+SUM(V103,AN103)*10000+SUM(P103,AH103)*100+SUM(J103,AB103)+0.004&gt;AV103*1000000+SUM(X103,AP103)*10000+SUM(R103,AJ103)*100+SUM(L103,AD103)+0.002,1,0)+IF(AU103*1000000+SUM(W103,AO103)*10000+SUM(Q103,AI103)*100+SUM(K103,AC103)+0.003&gt;AV103*1000000+SUM(X103,AP103)*10000+SUM(R103,AJ103)*100+SUM(L103,AD103)+0.002,1,0)+IF(AW103*1000000+SUM(Y103,AQ103)*10000+SUM(S103,AK103)*100+SUM(M103,AE103)+0.001&gt;AV103*1000000+SUM(X103,AP103)*10000+SUM(R103,AJ103)*100+SUM(L103,AD103)+0.002,1,0)=2,"E",IF(IF(AR103*1000000+SUM(T103,AL103)*10000+SUM(N103,AF103)*100+SUM(H103,Z103)+0.006&gt;AW103*1000000+SUM(Y103,AQ103)*10000+SUM(S103,AK103)*100+SUM(M103,AE103)+0.001,1,0)+IF(AS103*1000000+SUM(U103,AM103)*10000+SUM(O103,AG103)*100+SUM(I103,AA103)+0.005&gt;AW103*1000000+SUM(Y103,AQ103)*10000+SUM(S103,AK103)*100+SUM(M103,AE103)+0.001,1,0)+IF(AT103*1000000+SUM(V103,AN103)*10000+SUM(P103,AH103)*100+SUM(J103,AB103)+0.004&gt;AW103*1000000+SUM(Y103,AQ103)*10000+SUM(S103,AK103)*100+SUM(M103,AE103)+0.001,1,0)+IF(AU103*1000000+SUM(W103,AO103)*10000+SUM(Q103,AI103)*100+SUM(K103,AC103)+0.003&gt;AW103*1000000+SUM(Y103,AQ103)*10000+SUM(S103,AK103)*100+SUM(M103,AE103)+0.001,1,0)+IF(AV103*1000000+SUM(X103,AP103)*10000+SUM(R103,AJ103)*100+SUM(L103,AD103)+0.002&gt;AW103*1000000+SUM(Y103,AQ103)*10000+SUM(S103,AK103)*100+SUM(M103,AE103)+0.001,1,0)=2,"C","")))))))</x:f>
      </x:c>
      <x:c r="AY103" s="27" t="str">
        <x:f>IF(C103="","",IF(LEFT(AX103,1)="R","นักปฏิบัติ",IF(LEFT(AX103,1)="I","นักคิดวิเคราะห์",IF(LEFT(AX103,1)="A","นักสร้างสรรค์",IF(LEFT(AX103,1)="S","ผู้เข้าใจผู้คน",IF(LEFT(AX103,1)="E","ผู้นำการเปลี่ยนแปลง","ผู้จัดระบบ"))))))</x:f>
      </x:c>
    </x:row>
    <x:row r="104">
      <x:c r="A104" s="27"/>
      <x:c r="B104" s="28"/>
      <x:c r="C104" s="27"/>
      <x:c r="D104" s="27"/>
      <x:c r="E104" s="27"/>
      <x:c r="F104" s="27"/>
      <x:c r="G104" s="27"/>
      <x:c r="H104" s="27"/>
      <x:c r="I104" s="27"/>
      <x:c r="J104" s="27"/>
      <x:c r="K104" s="27"/>
      <x:c r="L104" s="27"/>
      <x:c r="M104" s="27"/>
      <x:c r="N104" s="27"/>
      <x:c r="O104" s="27"/>
      <x:c r="P104" s="27"/>
      <x:c r="Q104" s="27"/>
      <x:c r="R104" s="27"/>
      <x:c r="S104" s="27"/>
      <x:c r="T104" s="27"/>
      <x:c r="U104" s="27"/>
      <x:c r="V104" s="27"/>
      <x:c r="W104" s="27"/>
      <x:c r="X104" s="27"/>
      <x:c r="Y104" s="27"/>
      <x:c r="Z104" s="27"/>
      <x:c r="AA104" s="27"/>
      <x:c r="AB104" s="27"/>
      <x:c r="AC104" s="27"/>
      <x:c r="AD104" s="27"/>
      <x:c r="AE104" s="27"/>
      <x:c r="AF104" s="27"/>
      <x:c r="AG104" s="27"/>
      <x:c r="AH104" s="27"/>
      <x:c r="AI104" s="27"/>
      <x:c r="AJ104" s="27"/>
      <x:c r="AK104" s="27"/>
      <x:c r="AL104" s="27"/>
      <x:c r="AM104" s="27"/>
      <x:c r="AN104" s="27"/>
      <x:c r="AO104" s="27"/>
      <x:c r="AP104" s="27"/>
      <x:c r="AQ104" s="27"/>
      <x:c r="AR104" s="27" t="str">
        <x:f>IF(C104="","",SUM(H104,N104,T104,Z104,AF104,AL104))</x:f>
      </x:c>
      <x:c r="AS104" s="27" t="str">
        <x:f>IF(C104="","",SUM(I104,O104,U104,AA104,AG104,AM104))</x:f>
      </x:c>
      <x:c r="AT104" s="27" t="str">
        <x:f>IF(C104="","",SUM(J104,P104,V104,AB104,AH104,AN104))</x:f>
      </x:c>
      <x:c r="AU104" s="27" t="str">
        <x:f>IF(C104="","",SUM(K104,Q104,W104,AC104,AI104,AO104))</x:f>
      </x:c>
      <x:c r="AV104" s="27" t="str">
        <x:f>IF(C104="","",SUM(L104,R104,X104,AD104,AJ104,AP104))</x:f>
      </x:c>
      <x:c r="AW104" s="27" t="str">
        <x:f>IF(C104="","",SUM(M104,S104,Y104,AE104,AK104,AQ104))</x:f>
      </x:c>
      <x:c r="AX104" s="27" t="str">
        <x:f>IF(C104="","",IF(IF(AS104*1000000+SUM(U104,AM104)*10000+SUM(O104,AG104)*100+SUM(I104,AA104)+0.005&gt;AR104*1000000+SUM(T104,AL104)*10000+SUM(N104,AF104)*100+SUM(H104,Z104)+0.006,1,0)+IF(AT104*1000000+SUM(V104,AN104)*10000+SUM(P104,AH104)*100+SUM(J104,AB104)+0.004&gt;AR104*1000000+SUM(T104,AL104)*10000+SUM(N104,AF104)*100+SUM(H104,Z104)+0.006,1,0)+IF(AU104*1000000+SUM(W104,AO104)*10000+SUM(Q104,AI104)*100+SUM(K104,AC104)+0.003&gt;AR104*1000000+SUM(T104,AL104)*10000+SUM(N104,AF104)*100+SUM(H104,Z104)+0.006,1,0)+IF(AV104*1000000+SUM(X104,AP104)*10000+SUM(R104,AJ104)*100+SUM(L104,AD104)+0.002&gt;AR104*1000000+SUM(T104,AL104)*10000+SUM(N104,AF104)*100+SUM(H104,Z104)+0.006,1,0)+IF(AW104*1000000+SUM(Y104,AQ104)*10000+SUM(S104,AK104)*100+SUM(M104,AE104)+0.001&gt;AR104*1000000+SUM(T104,AL104)*10000+SUM(N104,AF104)*100+SUM(H104,Z104)+0.006,1,0)=0,"R",IF(IF(AR104*1000000+SUM(T104,AL104)*10000+SUM(N104,AF104)*100+SUM(H104,Z104)+0.006&gt;AS104*1000000+SUM(U104,AM104)*10000+SUM(O104,AG104)*100+SUM(I104,AA104)+0.005,1,0)+IF(AT104*1000000+SUM(V104,AN104)*10000+SUM(P104,AH104)*100+SUM(J104,AB104)+0.004&gt;AS104*1000000+SUM(U104,AM104)*10000+SUM(O104,AG104)*100+SUM(I104,AA104)+0.005,1,0)+IF(AU104*1000000+SUM(W104,AO104)*10000+SUM(Q104,AI104)*100+SUM(K104,AC104)+0.003&gt;AS104*1000000+SUM(U104,AM104)*10000+SUM(O104,AG104)*100+SUM(I104,AA104)+0.005,1,0)+IF(AV104*1000000+SUM(X104,AP104)*10000+SUM(R104,AJ104)*100+SUM(L104,AD104)+0.002&gt;AS104*1000000+SUM(U104,AM104)*10000+SUM(O104,AG104)*100+SUM(I104,AA104)+0.005,1,0)+IF(AW104*1000000+SUM(Y104,AQ104)*10000+SUM(S104,AK104)*100+SUM(M104,AE104)+0.001&gt;AS104*1000000+SUM(U104,AM104)*10000+SUM(O104,AG104)*100+SUM(I104,AA104)+0.005,1,0)=0,"I",IF(IF(AR104*1000000+SUM(T104,AL104)*10000+SUM(N104,AF104)*100+SUM(H104,Z104)+0.006&gt;AT104*1000000+SUM(V104,AN104)*10000+SUM(P104,AH104)*100+SUM(J104,AB104)+0.004,1,0)+IF(AS104*1000000+SUM(U104,AM104)*10000+SUM(O104,AG104)*100+SUM(I104,AA104)+0.005&gt;AT104*1000000+SUM(V104,AN104)*10000+SUM(P104,AH104)*100+SUM(J104,AB104)+0.004,1,0)+IF(AU104*1000000+SUM(W104,AO104)*10000+SUM(Q104,AI104)*100+SUM(K104,AC104)+0.003&gt;AT104*1000000+SUM(V104,AN104)*10000+SUM(P104,AH104)*100+SUM(J104,AB104)+0.004,1,0)+IF(AV104*1000000+SUM(X104,AP104)*10000+SUM(R104,AJ104)*100+SUM(L104,AD104)+0.002&gt;AT104*1000000+SUM(V104,AN104)*10000+SUM(P104,AH104)*100+SUM(J104,AB104)+0.004,1,0)+IF(AW104*1000000+SUM(Y104,AQ104)*10000+SUM(S104,AK104)*100+SUM(M104,AE104)+0.001&gt;AT104*1000000+SUM(V104,AN104)*10000+SUM(P104,AH104)*100+SUM(J104,AB104)+0.004,1,0)=0,"A",IF(IF(AR104*1000000+SUM(T104,AL104)*10000+SUM(N104,AF104)*100+SUM(H104,Z104)+0.006&gt;AU104*1000000+SUM(W104,AO104)*10000+SUM(Q104,AI104)*100+SUM(K104,AC104)+0.003,1,0)+IF(AS104*1000000+SUM(U104,AM104)*10000+SUM(O104,AG104)*100+SUM(I104,AA104)+0.005&gt;AU104*1000000+SUM(W104,AO104)*10000+SUM(Q104,AI104)*100+SUM(K104,AC104)+0.003,1,0)+IF(AT104*1000000+SUM(V104,AN104)*10000+SUM(P104,AH104)*100+SUM(J104,AB104)+0.004&gt;AU104*1000000+SUM(W104,AO104)*10000+SUM(Q104,AI104)*100+SUM(K104,AC104)+0.003,1,0)+IF(AV104*1000000+SUM(X104,AP104)*10000+SUM(R104,AJ104)*100+SUM(L104,AD104)+0.002&gt;AU104*1000000+SUM(W104,AO104)*10000+SUM(Q104,AI104)*100+SUM(K104,AC104)+0.003,1,0)+IF(AW104*1000000+SUM(Y104,AQ104)*10000+SUM(S104,AK104)*100+SUM(M104,AE104)+0.001&gt;AU104*1000000+SUM(W104,AO104)*10000+SUM(Q104,AI104)*100+SUM(K104,AC104)+0.003,1,0)=0,"S",IF(IF(AR104*1000000+SUM(T104,AL104)*10000+SUM(N104,AF104)*100+SUM(H104,Z104)+0.006&gt;AV104*1000000+SUM(X104,AP104)*10000+SUM(R104,AJ104)*100+SUM(L104,AD104)+0.002,1,0)+IF(AS104*1000000+SUM(U104,AM104)*10000+SUM(O104,AG104)*100+SUM(I104,AA104)+0.005&gt;AV104*1000000+SUM(X104,AP104)*10000+SUM(R104,AJ104)*100+SUM(L104,AD104)+0.002,1,0)+IF(AT104*1000000+SUM(V104,AN104)*10000+SUM(P104,AH104)*100+SUM(J104,AB104)+0.004&gt;AV104*1000000+SUM(X104,AP104)*10000+SUM(R104,AJ104)*100+SUM(L104,AD104)+0.002,1,0)+IF(AU104*1000000+SUM(W104,AO104)*10000+SUM(Q104,AI104)*100+SUM(K104,AC104)+0.003&gt;AV104*1000000+SUM(X104,AP104)*10000+SUM(R104,AJ104)*100+SUM(L104,AD104)+0.002,1,0)+IF(AW104*1000000+SUM(Y104,AQ104)*10000+SUM(S104,AK104)*100+SUM(M104,AE104)+0.001&gt;AV104*1000000+SUM(X104,AP104)*10000+SUM(R104,AJ104)*100+SUM(L104,AD104)+0.002,1,0)=0,"E",IF(IF(AR104*1000000+SUM(T104,AL104)*10000+SUM(N104,AF104)*100+SUM(H104,Z104)+0.006&gt;AW104*1000000+SUM(Y104,AQ104)*10000+SUM(S104,AK104)*100+SUM(M104,AE104)+0.001,1,0)+IF(AS104*1000000+SUM(U104,AM104)*10000+SUM(O104,AG104)*100+SUM(I104,AA104)+0.005&gt;AW104*1000000+SUM(Y104,AQ104)*10000+SUM(S104,AK104)*100+SUM(M104,AE104)+0.001,1,0)+IF(AT104*1000000+SUM(V104,AN104)*10000+SUM(P104,AH104)*100+SUM(J104,AB104)+0.004&gt;AW104*1000000+SUM(Y104,AQ104)*10000+SUM(S104,AK104)*100+SUM(M104,AE104)+0.001,1,0)+IF(AU104*1000000+SUM(W104,AO104)*10000+SUM(Q104,AI104)*100+SUM(K104,AC104)+0.003&gt;AW104*1000000+SUM(Y104,AQ104)*10000+SUM(S104,AK104)*100+SUM(M104,AE104)+0.001,1,0)+IF(AV104*1000000+SUM(X104,AP104)*10000+SUM(R104,AJ104)*100+SUM(L104,AD104)+0.002&gt;AW104*1000000+SUM(Y104,AQ104)*10000+SUM(S104,AK104)*100+SUM(M104,AE104)+0.001,1,0)=0,"C",""))))))&amp;IF(IF(AS104*1000000+SUM(U104,AM104)*10000+SUM(O104,AG104)*100+SUM(I104,AA104)+0.005&gt;AR104*1000000+SUM(T104,AL104)*10000+SUM(N104,AF104)*100+SUM(H104,Z104)+0.006,1,0)+IF(AT104*1000000+SUM(V104,AN104)*10000+SUM(P104,AH104)*100+SUM(J104,AB104)+0.004&gt;AR104*1000000+SUM(T104,AL104)*10000+SUM(N104,AF104)*100+SUM(H104,Z104)+0.006,1,0)+IF(AU104*1000000+SUM(W104,AO104)*10000+SUM(Q104,AI104)*100+SUM(K104,AC104)+0.003&gt;AR104*1000000+SUM(T104,AL104)*10000+SUM(N104,AF104)*100+SUM(H104,Z104)+0.006,1,0)+IF(AV104*1000000+SUM(X104,AP104)*10000+SUM(R104,AJ104)*100+SUM(L104,AD104)+0.002&gt;AR104*1000000+SUM(T104,AL104)*10000+SUM(N104,AF104)*100+SUM(H104,Z104)+0.006,1,0)+IF(AW104*1000000+SUM(Y104,AQ104)*10000+SUM(S104,AK104)*100+SUM(M104,AE104)+0.001&gt;AR104*1000000+SUM(T104,AL104)*10000+SUM(N104,AF104)*100+SUM(H104,Z104)+0.006,1,0)=1,"R",IF(IF(AR104*1000000+SUM(T104,AL104)*10000+SUM(N104,AF104)*100+SUM(H104,Z104)+0.006&gt;AS104*1000000+SUM(U104,AM104)*10000+SUM(O104,AG104)*100+SUM(I104,AA104)+0.005,1,0)+IF(AT104*1000000+SUM(V104,AN104)*10000+SUM(P104,AH104)*100+SUM(J104,AB104)+0.004&gt;AS104*1000000+SUM(U104,AM104)*10000+SUM(O104,AG104)*100+SUM(I104,AA104)+0.005,1,0)+IF(AU104*1000000+SUM(W104,AO104)*10000+SUM(Q104,AI104)*100+SUM(K104,AC104)+0.003&gt;AS104*1000000+SUM(U104,AM104)*10000+SUM(O104,AG104)*100+SUM(I104,AA104)+0.005,1,0)+IF(AV104*1000000+SUM(X104,AP104)*10000+SUM(R104,AJ104)*100+SUM(L104,AD104)+0.002&gt;AS104*1000000+SUM(U104,AM104)*10000+SUM(O104,AG104)*100+SUM(I104,AA104)+0.005,1,0)+IF(AW104*1000000+SUM(Y104,AQ104)*10000+SUM(S104,AK104)*100+SUM(M104,AE104)+0.001&gt;AS104*1000000+SUM(U104,AM104)*10000+SUM(O104,AG104)*100+SUM(I104,AA104)+0.005,1,0)=1,"I",IF(IF(AR104*1000000+SUM(T104,AL104)*10000+SUM(N104,AF104)*100+SUM(H104,Z104)+0.006&gt;AT104*1000000+SUM(V104,AN104)*10000+SUM(P104,AH104)*100+SUM(J104,AB104)+0.004,1,0)+IF(AS104*1000000+SUM(U104,AM104)*10000+SUM(O104,AG104)*100+SUM(I104,AA104)+0.005&gt;AT104*1000000+SUM(V104,AN104)*10000+SUM(P104,AH104)*100+SUM(J104,AB104)+0.004,1,0)+IF(AU104*1000000+SUM(W104,AO104)*10000+SUM(Q104,AI104)*100+SUM(K104,AC104)+0.003&gt;AT104*1000000+SUM(V104,AN104)*10000+SUM(P104,AH104)*100+SUM(J104,AB104)+0.004,1,0)+IF(AV104*1000000+SUM(X104,AP104)*10000+SUM(R104,AJ104)*100+SUM(L104,AD104)+0.002&gt;AT104*1000000+SUM(V104,AN104)*10000+SUM(P104,AH104)*100+SUM(J104,AB104)+0.004,1,0)+IF(AW104*1000000+SUM(Y104,AQ104)*10000+SUM(S104,AK104)*100+SUM(M104,AE104)+0.001&gt;AT104*1000000+SUM(V104,AN104)*10000+SUM(P104,AH104)*100+SUM(J104,AB104)+0.004,1,0)=1,"A",IF(IF(AR104*1000000+SUM(T104,AL104)*10000+SUM(N104,AF104)*100+SUM(H104,Z104)+0.006&gt;AU104*1000000+SUM(W104,AO104)*10000+SUM(Q104,AI104)*100+SUM(K104,AC104)+0.003,1,0)+IF(AS104*1000000+SUM(U104,AM104)*10000+SUM(O104,AG104)*100+SUM(I104,AA104)+0.005&gt;AU104*1000000+SUM(W104,AO104)*10000+SUM(Q104,AI104)*100+SUM(K104,AC104)+0.003,1,0)+IF(AT104*1000000+SUM(V104,AN104)*10000+SUM(P104,AH104)*100+SUM(J104,AB104)+0.004&gt;AU104*1000000+SUM(W104,AO104)*10000+SUM(Q104,AI104)*100+SUM(K104,AC104)+0.003,1,0)+IF(AV104*1000000+SUM(X104,AP104)*10000+SUM(R104,AJ104)*100+SUM(L104,AD104)+0.002&gt;AU104*1000000+SUM(W104,AO104)*10000+SUM(Q104,AI104)*100+SUM(K104,AC104)+0.003,1,0)+IF(AW104*1000000+SUM(Y104,AQ104)*10000+SUM(S104,AK104)*100+SUM(M104,AE104)+0.001&gt;AU104*1000000+SUM(W104,AO104)*10000+SUM(Q104,AI104)*100+SUM(K104,AC104)+0.003,1,0)=1,"S",IF(IF(AR104*1000000+SUM(T104,AL104)*10000+SUM(N104,AF104)*100+SUM(H104,Z104)+0.006&gt;AV104*1000000+SUM(X104,AP104)*10000+SUM(R104,AJ104)*100+SUM(L104,AD104)+0.002,1,0)+IF(AS104*1000000+SUM(U104,AM104)*10000+SUM(O104,AG104)*100+SUM(I104,AA104)+0.005&gt;AV104*1000000+SUM(X104,AP104)*10000+SUM(R104,AJ104)*100+SUM(L104,AD104)+0.002,1,0)+IF(AT104*1000000+SUM(V104,AN104)*10000+SUM(P104,AH104)*100+SUM(J104,AB104)+0.004&gt;AV104*1000000+SUM(X104,AP104)*10000+SUM(R104,AJ104)*100+SUM(L104,AD104)+0.002,1,0)+IF(AU104*1000000+SUM(W104,AO104)*10000+SUM(Q104,AI104)*100+SUM(K104,AC104)+0.003&gt;AV104*1000000+SUM(X104,AP104)*10000+SUM(R104,AJ104)*100+SUM(L104,AD104)+0.002,1,0)+IF(AW104*1000000+SUM(Y104,AQ104)*10000+SUM(S104,AK104)*100+SUM(M104,AE104)+0.001&gt;AV104*1000000+SUM(X104,AP104)*10000+SUM(R104,AJ104)*100+SUM(L104,AD104)+0.002,1,0)=1,"E",IF(IF(AR104*1000000+SUM(T104,AL104)*10000+SUM(N104,AF104)*100+SUM(H104,Z104)+0.006&gt;AW104*1000000+SUM(Y104,AQ104)*10000+SUM(S104,AK104)*100+SUM(M104,AE104)+0.001,1,0)+IF(AS104*1000000+SUM(U104,AM104)*10000+SUM(O104,AG104)*100+SUM(I104,AA104)+0.005&gt;AW104*1000000+SUM(Y104,AQ104)*10000+SUM(S104,AK104)*100+SUM(M104,AE104)+0.001,1,0)+IF(AT104*1000000+SUM(V104,AN104)*10000+SUM(P104,AH104)*100+SUM(J104,AB104)+0.004&gt;AW104*1000000+SUM(Y104,AQ104)*10000+SUM(S104,AK104)*100+SUM(M104,AE104)+0.001,1,0)+IF(AU104*1000000+SUM(W104,AO104)*10000+SUM(Q104,AI104)*100+SUM(K104,AC104)+0.003&gt;AW104*1000000+SUM(Y104,AQ104)*10000+SUM(S104,AK104)*100+SUM(M104,AE104)+0.001,1,0)+IF(AV104*1000000+SUM(X104,AP104)*10000+SUM(R104,AJ104)*100+SUM(L104,AD104)+0.002&gt;AW104*1000000+SUM(Y104,AQ104)*10000+SUM(S104,AK104)*100+SUM(M104,AE104)+0.001,1,0)=1,"C",""))))))&amp;IF(IF(AS104*1000000+SUM(U104,AM104)*10000+SUM(O104,AG104)*100+SUM(I104,AA104)+0.005&gt;AR104*1000000+SUM(T104,AL104)*10000+SUM(N104,AF104)*100+SUM(H104,Z104)+0.006,1,0)+IF(AT104*1000000+SUM(V104,AN104)*10000+SUM(P104,AH104)*100+SUM(J104,AB104)+0.004&gt;AR104*1000000+SUM(T104,AL104)*10000+SUM(N104,AF104)*100+SUM(H104,Z104)+0.006,1,0)+IF(AU104*1000000+SUM(W104,AO104)*10000+SUM(Q104,AI104)*100+SUM(K104,AC104)+0.003&gt;AR104*1000000+SUM(T104,AL104)*10000+SUM(N104,AF104)*100+SUM(H104,Z104)+0.006,1,0)+IF(AV104*1000000+SUM(X104,AP104)*10000+SUM(R104,AJ104)*100+SUM(L104,AD104)+0.002&gt;AR104*1000000+SUM(T104,AL104)*10000+SUM(N104,AF104)*100+SUM(H104,Z104)+0.006,1,0)+IF(AW104*1000000+SUM(Y104,AQ104)*10000+SUM(S104,AK104)*100+SUM(M104,AE104)+0.001&gt;AR104*1000000+SUM(T104,AL104)*10000+SUM(N104,AF104)*100+SUM(H104,Z104)+0.006,1,0)=2,"R",IF(IF(AR104*1000000+SUM(T104,AL104)*10000+SUM(N104,AF104)*100+SUM(H104,Z104)+0.006&gt;AS104*1000000+SUM(U104,AM104)*10000+SUM(O104,AG104)*100+SUM(I104,AA104)+0.005,1,0)+IF(AT104*1000000+SUM(V104,AN104)*10000+SUM(P104,AH104)*100+SUM(J104,AB104)+0.004&gt;AS104*1000000+SUM(U104,AM104)*10000+SUM(O104,AG104)*100+SUM(I104,AA104)+0.005,1,0)+IF(AU104*1000000+SUM(W104,AO104)*10000+SUM(Q104,AI104)*100+SUM(K104,AC104)+0.003&gt;AS104*1000000+SUM(U104,AM104)*10000+SUM(O104,AG104)*100+SUM(I104,AA104)+0.005,1,0)+IF(AV104*1000000+SUM(X104,AP104)*10000+SUM(R104,AJ104)*100+SUM(L104,AD104)+0.002&gt;AS104*1000000+SUM(U104,AM104)*10000+SUM(O104,AG104)*100+SUM(I104,AA104)+0.005,1,0)+IF(AW104*1000000+SUM(Y104,AQ104)*10000+SUM(S104,AK104)*100+SUM(M104,AE104)+0.001&gt;AS104*1000000+SUM(U104,AM104)*10000+SUM(O104,AG104)*100+SUM(I104,AA104)+0.005,1,0)=2,"I",IF(IF(AR104*1000000+SUM(T104,AL104)*10000+SUM(N104,AF104)*100+SUM(H104,Z104)+0.006&gt;AT104*1000000+SUM(V104,AN104)*10000+SUM(P104,AH104)*100+SUM(J104,AB104)+0.004,1,0)+IF(AS104*1000000+SUM(U104,AM104)*10000+SUM(O104,AG104)*100+SUM(I104,AA104)+0.005&gt;AT104*1000000+SUM(V104,AN104)*10000+SUM(P104,AH104)*100+SUM(J104,AB104)+0.004,1,0)+IF(AU104*1000000+SUM(W104,AO104)*10000+SUM(Q104,AI104)*100+SUM(K104,AC104)+0.003&gt;AT104*1000000+SUM(V104,AN104)*10000+SUM(P104,AH104)*100+SUM(J104,AB104)+0.004,1,0)+IF(AV104*1000000+SUM(X104,AP104)*10000+SUM(R104,AJ104)*100+SUM(L104,AD104)+0.002&gt;AT104*1000000+SUM(V104,AN104)*10000+SUM(P104,AH104)*100+SUM(J104,AB104)+0.004,1,0)+IF(AW104*1000000+SUM(Y104,AQ104)*10000+SUM(S104,AK104)*100+SUM(M104,AE104)+0.001&gt;AT104*1000000+SUM(V104,AN104)*10000+SUM(P104,AH104)*100+SUM(J104,AB104)+0.004,1,0)=2,"A",IF(IF(AR104*1000000+SUM(T104,AL104)*10000+SUM(N104,AF104)*100+SUM(H104,Z104)+0.006&gt;AU104*1000000+SUM(W104,AO104)*10000+SUM(Q104,AI104)*100+SUM(K104,AC104)+0.003,1,0)+IF(AS104*1000000+SUM(U104,AM104)*10000+SUM(O104,AG104)*100+SUM(I104,AA104)+0.005&gt;AU104*1000000+SUM(W104,AO104)*10000+SUM(Q104,AI104)*100+SUM(K104,AC104)+0.003,1,0)+IF(AT104*1000000+SUM(V104,AN104)*10000+SUM(P104,AH104)*100+SUM(J104,AB104)+0.004&gt;AU104*1000000+SUM(W104,AO104)*10000+SUM(Q104,AI104)*100+SUM(K104,AC104)+0.003,1,0)+IF(AV104*1000000+SUM(X104,AP104)*10000+SUM(R104,AJ104)*100+SUM(L104,AD104)+0.002&gt;AU104*1000000+SUM(W104,AO104)*10000+SUM(Q104,AI104)*100+SUM(K104,AC104)+0.003,1,0)+IF(AW104*1000000+SUM(Y104,AQ104)*10000+SUM(S104,AK104)*100+SUM(M104,AE104)+0.001&gt;AU104*1000000+SUM(W104,AO104)*10000+SUM(Q104,AI104)*100+SUM(K104,AC104)+0.003,1,0)=2,"S",IF(IF(AR104*1000000+SUM(T104,AL104)*10000+SUM(N104,AF104)*100+SUM(H104,Z104)+0.006&gt;AV104*1000000+SUM(X104,AP104)*10000+SUM(R104,AJ104)*100+SUM(L104,AD104)+0.002,1,0)+IF(AS104*1000000+SUM(U104,AM104)*10000+SUM(O104,AG104)*100+SUM(I104,AA104)+0.005&gt;AV104*1000000+SUM(X104,AP104)*10000+SUM(R104,AJ104)*100+SUM(L104,AD104)+0.002,1,0)+IF(AT104*1000000+SUM(V104,AN104)*10000+SUM(P104,AH104)*100+SUM(J104,AB104)+0.004&gt;AV104*1000000+SUM(X104,AP104)*10000+SUM(R104,AJ104)*100+SUM(L104,AD104)+0.002,1,0)+IF(AU104*1000000+SUM(W104,AO104)*10000+SUM(Q104,AI104)*100+SUM(K104,AC104)+0.003&gt;AV104*1000000+SUM(X104,AP104)*10000+SUM(R104,AJ104)*100+SUM(L104,AD104)+0.002,1,0)+IF(AW104*1000000+SUM(Y104,AQ104)*10000+SUM(S104,AK104)*100+SUM(M104,AE104)+0.001&gt;AV104*1000000+SUM(X104,AP104)*10000+SUM(R104,AJ104)*100+SUM(L104,AD104)+0.002,1,0)=2,"E",IF(IF(AR104*1000000+SUM(T104,AL104)*10000+SUM(N104,AF104)*100+SUM(H104,Z104)+0.006&gt;AW104*1000000+SUM(Y104,AQ104)*10000+SUM(S104,AK104)*100+SUM(M104,AE104)+0.001,1,0)+IF(AS104*1000000+SUM(U104,AM104)*10000+SUM(O104,AG104)*100+SUM(I104,AA104)+0.005&gt;AW104*1000000+SUM(Y104,AQ104)*10000+SUM(S104,AK104)*100+SUM(M104,AE104)+0.001,1,0)+IF(AT104*1000000+SUM(V104,AN104)*10000+SUM(P104,AH104)*100+SUM(J104,AB104)+0.004&gt;AW104*1000000+SUM(Y104,AQ104)*10000+SUM(S104,AK104)*100+SUM(M104,AE104)+0.001,1,0)+IF(AU104*1000000+SUM(W104,AO104)*10000+SUM(Q104,AI104)*100+SUM(K104,AC104)+0.003&gt;AW104*1000000+SUM(Y104,AQ104)*10000+SUM(S104,AK104)*100+SUM(M104,AE104)+0.001,1,0)+IF(AV104*1000000+SUM(X104,AP104)*10000+SUM(R104,AJ104)*100+SUM(L104,AD104)+0.002&gt;AW104*1000000+SUM(Y104,AQ104)*10000+SUM(S104,AK104)*100+SUM(M104,AE104)+0.001,1,0)=2,"C","")))))))</x:f>
      </x:c>
      <x:c r="AY104" s="27" t="str">
        <x:f>IF(C104="","",IF(LEFT(AX104,1)="R","นักปฏิบัติ",IF(LEFT(AX104,1)="I","นักคิดวิเคราะห์",IF(LEFT(AX104,1)="A","นักสร้างสรรค์",IF(LEFT(AX104,1)="S","ผู้เข้าใจผู้คน",IF(LEFT(AX104,1)="E","ผู้นำการเปลี่ยนแปลง","ผู้จัดระบบ"))))))</x:f>
      </x:c>
    </x:row>
    <x:row r="105">
      <x:c r="A105" s="27"/>
      <x:c r="B105" s="28"/>
      <x:c r="C105" s="27"/>
      <x:c r="D105" s="27"/>
      <x:c r="E105" s="27"/>
      <x:c r="F105" s="27"/>
      <x:c r="G105" s="27"/>
      <x:c r="H105" s="27"/>
      <x:c r="I105" s="27"/>
      <x:c r="J105" s="27"/>
      <x:c r="K105" s="27"/>
      <x:c r="L105" s="27"/>
      <x:c r="M105" s="27"/>
      <x:c r="N105" s="27"/>
      <x:c r="O105" s="27"/>
      <x:c r="P105" s="27"/>
      <x:c r="Q105" s="27"/>
      <x:c r="R105" s="27"/>
      <x:c r="S105" s="27"/>
      <x:c r="T105" s="27"/>
      <x:c r="U105" s="27"/>
      <x:c r="V105" s="27"/>
      <x:c r="W105" s="27"/>
      <x:c r="X105" s="27"/>
      <x:c r="Y105" s="27"/>
      <x:c r="Z105" s="27"/>
      <x:c r="AA105" s="27"/>
      <x:c r="AB105" s="27"/>
      <x:c r="AC105" s="27"/>
      <x:c r="AD105" s="27"/>
      <x:c r="AE105" s="27"/>
      <x:c r="AF105" s="27"/>
      <x:c r="AG105" s="27"/>
      <x:c r="AH105" s="27"/>
      <x:c r="AI105" s="27"/>
      <x:c r="AJ105" s="27"/>
      <x:c r="AK105" s="27"/>
      <x:c r="AL105" s="27"/>
      <x:c r="AM105" s="27"/>
      <x:c r="AN105" s="27"/>
      <x:c r="AO105" s="27"/>
      <x:c r="AP105" s="27"/>
      <x:c r="AQ105" s="27"/>
      <x:c r="AR105" s="27" t="str">
        <x:f>IF(C105="","",SUM(H105,N105,T105,Z105,AF105,AL105))</x:f>
      </x:c>
      <x:c r="AS105" s="27" t="str">
        <x:f>IF(C105="","",SUM(I105,O105,U105,AA105,AG105,AM105))</x:f>
      </x:c>
      <x:c r="AT105" s="27" t="str">
        <x:f>IF(C105="","",SUM(J105,P105,V105,AB105,AH105,AN105))</x:f>
      </x:c>
      <x:c r="AU105" s="27" t="str">
        <x:f>IF(C105="","",SUM(K105,Q105,W105,AC105,AI105,AO105))</x:f>
      </x:c>
      <x:c r="AV105" s="27" t="str">
        <x:f>IF(C105="","",SUM(L105,R105,X105,AD105,AJ105,AP105))</x:f>
      </x:c>
      <x:c r="AW105" s="27" t="str">
        <x:f>IF(C105="","",SUM(M105,S105,Y105,AE105,AK105,AQ105))</x:f>
      </x:c>
      <x:c r="AX105" s="27" t="str">
        <x:f>IF(C105="","",IF(IF(AS105*1000000+SUM(U105,AM105)*10000+SUM(O105,AG105)*100+SUM(I105,AA105)+0.005&gt;AR105*1000000+SUM(T105,AL105)*10000+SUM(N105,AF105)*100+SUM(H105,Z105)+0.006,1,0)+IF(AT105*1000000+SUM(V105,AN105)*10000+SUM(P105,AH105)*100+SUM(J105,AB105)+0.004&gt;AR105*1000000+SUM(T105,AL105)*10000+SUM(N105,AF105)*100+SUM(H105,Z105)+0.006,1,0)+IF(AU105*1000000+SUM(W105,AO105)*10000+SUM(Q105,AI105)*100+SUM(K105,AC105)+0.003&gt;AR105*1000000+SUM(T105,AL105)*10000+SUM(N105,AF105)*100+SUM(H105,Z105)+0.006,1,0)+IF(AV105*1000000+SUM(X105,AP105)*10000+SUM(R105,AJ105)*100+SUM(L105,AD105)+0.002&gt;AR105*1000000+SUM(T105,AL105)*10000+SUM(N105,AF105)*100+SUM(H105,Z105)+0.006,1,0)+IF(AW105*1000000+SUM(Y105,AQ105)*10000+SUM(S105,AK105)*100+SUM(M105,AE105)+0.001&gt;AR105*1000000+SUM(T105,AL105)*10000+SUM(N105,AF105)*100+SUM(H105,Z105)+0.006,1,0)=0,"R",IF(IF(AR105*1000000+SUM(T105,AL105)*10000+SUM(N105,AF105)*100+SUM(H105,Z105)+0.006&gt;AS105*1000000+SUM(U105,AM105)*10000+SUM(O105,AG105)*100+SUM(I105,AA105)+0.005,1,0)+IF(AT105*1000000+SUM(V105,AN105)*10000+SUM(P105,AH105)*100+SUM(J105,AB105)+0.004&gt;AS105*1000000+SUM(U105,AM105)*10000+SUM(O105,AG105)*100+SUM(I105,AA105)+0.005,1,0)+IF(AU105*1000000+SUM(W105,AO105)*10000+SUM(Q105,AI105)*100+SUM(K105,AC105)+0.003&gt;AS105*1000000+SUM(U105,AM105)*10000+SUM(O105,AG105)*100+SUM(I105,AA105)+0.005,1,0)+IF(AV105*1000000+SUM(X105,AP105)*10000+SUM(R105,AJ105)*100+SUM(L105,AD105)+0.002&gt;AS105*1000000+SUM(U105,AM105)*10000+SUM(O105,AG105)*100+SUM(I105,AA105)+0.005,1,0)+IF(AW105*1000000+SUM(Y105,AQ105)*10000+SUM(S105,AK105)*100+SUM(M105,AE105)+0.001&gt;AS105*1000000+SUM(U105,AM105)*10000+SUM(O105,AG105)*100+SUM(I105,AA105)+0.005,1,0)=0,"I",IF(IF(AR105*1000000+SUM(T105,AL105)*10000+SUM(N105,AF105)*100+SUM(H105,Z105)+0.006&gt;AT105*1000000+SUM(V105,AN105)*10000+SUM(P105,AH105)*100+SUM(J105,AB105)+0.004,1,0)+IF(AS105*1000000+SUM(U105,AM105)*10000+SUM(O105,AG105)*100+SUM(I105,AA105)+0.005&gt;AT105*1000000+SUM(V105,AN105)*10000+SUM(P105,AH105)*100+SUM(J105,AB105)+0.004,1,0)+IF(AU105*1000000+SUM(W105,AO105)*10000+SUM(Q105,AI105)*100+SUM(K105,AC105)+0.003&gt;AT105*1000000+SUM(V105,AN105)*10000+SUM(P105,AH105)*100+SUM(J105,AB105)+0.004,1,0)+IF(AV105*1000000+SUM(X105,AP105)*10000+SUM(R105,AJ105)*100+SUM(L105,AD105)+0.002&gt;AT105*1000000+SUM(V105,AN105)*10000+SUM(P105,AH105)*100+SUM(J105,AB105)+0.004,1,0)+IF(AW105*1000000+SUM(Y105,AQ105)*10000+SUM(S105,AK105)*100+SUM(M105,AE105)+0.001&gt;AT105*1000000+SUM(V105,AN105)*10000+SUM(P105,AH105)*100+SUM(J105,AB105)+0.004,1,0)=0,"A",IF(IF(AR105*1000000+SUM(T105,AL105)*10000+SUM(N105,AF105)*100+SUM(H105,Z105)+0.006&gt;AU105*1000000+SUM(W105,AO105)*10000+SUM(Q105,AI105)*100+SUM(K105,AC105)+0.003,1,0)+IF(AS105*1000000+SUM(U105,AM105)*10000+SUM(O105,AG105)*100+SUM(I105,AA105)+0.005&gt;AU105*1000000+SUM(W105,AO105)*10000+SUM(Q105,AI105)*100+SUM(K105,AC105)+0.003,1,0)+IF(AT105*1000000+SUM(V105,AN105)*10000+SUM(P105,AH105)*100+SUM(J105,AB105)+0.004&gt;AU105*1000000+SUM(W105,AO105)*10000+SUM(Q105,AI105)*100+SUM(K105,AC105)+0.003,1,0)+IF(AV105*1000000+SUM(X105,AP105)*10000+SUM(R105,AJ105)*100+SUM(L105,AD105)+0.002&gt;AU105*1000000+SUM(W105,AO105)*10000+SUM(Q105,AI105)*100+SUM(K105,AC105)+0.003,1,0)+IF(AW105*1000000+SUM(Y105,AQ105)*10000+SUM(S105,AK105)*100+SUM(M105,AE105)+0.001&gt;AU105*1000000+SUM(W105,AO105)*10000+SUM(Q105,AI105)*100+SUM(K105,AC105)+0.003,1,0)=0,"S",IF(IF(AR105*1000000+SUM(T105,AL105)*10000+SUM(N105,AF105)*100+SUM(H105,Z105)+0.006&gt;AV105*1000000+SUM(X105,AP105)*10000+SUM(R105,AJ105)*100+SUM(L105,AD105)+0.002,1,0)+IF(AS105*1000000+SUM(U105,AM105)*10000+SUM(O105,AG105)*100+SUM(I105,AA105)+0.005&gt;AV105*1000000+SUM(X105,AP105)*10000+SUM(R105,AJ105)*100+SUM(L105,AD105)+0.002,1,0)+IF(AT105*1000000+SUM(V105,AN105)*10000+SUM(P105,AH105)*100+SUM(J105,AB105)+0.004&gt;AV105*1000000+SUM(X105,AP105)*10000+SUM(R105,AJ105)*100+SUM(L105,AD105)+0.002,1,0)+IF(AU105*1000000+SUM(W105,AO105)*10000+SUM(Q105,AI105)*100+SUM(K105,AC105)+0.003&gt;AV105*1000000+SUM(X105,AP105)*10000+SUM(R105,AJ105)*100+SUM(L105,AD105)+0.002,1,0)+IF(AW105*1000000+SUM(Y105,AQ105)*10000+SUM(S105,AK105)*100+SUM(M105,AE105)+0.001&gt;AV105*1000000+SUM(X105,AP105)*10000+SUM(R105,AJ105)*100+SUM(L105,AD105)+0.002,1,0)=0,"E",IF(IF(AR105*1000000+SUM(T105,AL105)*10000+SUM(N105,AF105)*100+SUM(H105,Z105)+0.006&gt;AW105*1000000+SUM(Y105,AQ105)*10000+SUM(S105,AK105)*100+SUM(M105,AE105)+0.001,1,0)+IF(AS105*1000000+SUM(U105,AM105)*10000+SUM(O105,AG105)*100+SUM(I105,AA105)+0.005&gt;AW105*1000000+SUM(Y105,AQ105)*10000+SUM(S105,AK105)*100+SUM(M105,AE105)+0.001,1,0)+IF(AT105*1000000+SUM(V105,AN105)*10000+SUM(P105,AH105)*100+SUM(J105,AB105)+0.004&gt;AW105*1000000+SUM(Y105,AQ105)*10000+SUM(S105,AK105)*100+SUM(M105,AE105)+0.001,1,0)+IF(AU105*1000000+SUM(W105,AO105)*10000+SUM(Q105,AI105)*100+SUM(K105,AC105)+0.003&gt;AW105*1000000+SUM(Y105,AQ105)*10000+SUM(S105,AK105)*100+SUM(M105,AE105)+0.001,1,0)+IF(AV105*1000000+SUM(X105,AP105)*10000+SUM(R105,AJ105)*100+SUM(L105,AD105)+0.002&gt;AW105*1000000+SUM(Y105,AQ105)*10000+SUM(S105,AK105)*100+SUM(M105,AE105)+0.001,1,0)=0,"C",""))))))&amp;IF(IF(AS105*1000000+SUM(U105,AM105)*10000+SUM(O105,AG105)*100+SUM(I105,AA105)+0.005&gt;AR105*1000000+SUM(T105,AL105)*10000+SUM(N105,AF105)*100+SUM(H105,Z105)+0.006,1,0)+IF(AT105*1000000+SUM(V105,AN105)*10000+SUM(P105,AH105)*100+SUM(J105,AB105)+0.004&gt;AR105*1000000+SUM(T105,AL105)*10000+SUM(N105,AF105)*100+SUM(H105,Z105)+0.006,1,0)+IF(AU105*1000000+SUM(W105,AO105)*10000+SUM(Q105,AI105)*100+SUM(K105,AC105)+0.003&gt;AR105*1000000+SUM(T105,AL105)*10000+SUM(N105,AF105)*100+SUM(H105,Z105)+0.006,1,0)+IF(AV105*1000000+SUM(X105,AP105)*10000+SUM(R105,AJ105)*100+SUM(L105,AD105)+0.002&gt;AR105*1000000+SUM(T105,AL105)*10000+SUM(N105,AF105)*100+SUM(H105,Z105)+0.006,1,0)+IF(AW105*1000000+SUM(Y105,AQ105)*10000+SUM(S105,AK105)*100+SUM(M105,AE105)+0.001&gt;AR105*1000000+SUM(T105,AL105)*10000+SUM(N105,AF105)*100+SUM(H105,Z105)+0.006,1,0)=1,"R",IF(IF(AR105*1000000+SUM(T105,AL105)*10000+SUM(N105,AF105)*100+SUM(H105,Z105)+0.006&gt;AS105*1000000+SUM(U105,AM105)*10000+SUM(O105,AG105)*100+SUM(I105,AA105)+0.005,1,0)+IF(AT105*1000000+SUM(V105,AN105)*10000+SUM(P105,AH105)*100+SUM(J105,AB105)+0.004&gt;AS105*1000000+SUM(U105,AM105)*10000+SUM(O105,AG105)*100+SUM(I105,AA105)+0.005,1,0)+IF(AU105*1000000+SUM(W105,AO105)*10000+SUM(Q105,AI105)*100+SUM(K105,AC105)+0.003&gt;AS105*1000000+SUM(U105,AM105)*10000+SUM(O105,AG105)*100+SUM(I105,AA105)+0.005,1,0)+IF(AV105*1000000+SUM(X105,AP105)*10000+SUM(R105,AJ105)*100+SUM(L105,AD105)+0.002&gt;AS105*1000000+SUM(U105,AM105)*10000+SUM(O105,AG105)*100+SUM(I105,AA105)+0.005,1,0)+IF(AW105*1000000+SUM(Y105,AQ105)*10000+SUM(S105,AK105)*100+SUM(M105,AE105)+0.001&gt;AS105*1000000+SUM(U105,AM105)*10000+SUM(O105,AG105)*100+SUM(I105,AA105)+0.005,1,0)=1,"I",IF(IF(AR105*1000000+SUM(T105,AL105)*10000+SUM(N105,AF105)*100+SUM(H105,Z105)+0.006&gt;AT105*1000000+SUM(V105,AN105)*10000+SUM(P105,AH105)*100+SUM(J105,AB105)+0.004,1,0)+IF(AS105*1000000+SUM(U105,AM105)*10000+SUM(O105,AG105)*100+SUM(I105,AA105)+0.005&gt;AT105*1000000+SUM(V105,AN105)*10000+SUM(P105,AH105)*100+SUM(J105,AB105)+0.004,1,0)+IF(AU105*1000000+SUM(W105,AO105)*10000+SUM(Q105,AI105)*100+SUM(K105,AC105)+0.003&gt;AT105*1000000+SUM(V105,AN105)*10000+SUM(P105,AH105)*100+SUM(J105,AB105)+0.004,1,0)+IF(AV105*1000000+SUM(X105,AP105)*10000+SUM(R105,AJ105)*100+SUM(L105,AD105)+0.002&gt;AT105*1000000+SUM(V105,AN105)*10000+SUM(P105,AH105)*100+SUM(J105,AB105)+0.004,1,0)+IF(AW105*1000000+SUM(Y105,AQ105)*10000+SUM(S105,AK105)*100+SUM(M105,AE105)+0.001&gt;AT105*1000000+SUM(V105,AN105)*10000+SUM(P105,AH105)*100+SUM(J105,AB105)+0.004,1,0)=1,"A",IF(IF(AR105*1000000+SUM(T105,AL105)*10000+SUM(N105,AF105)*100+SUM(H105,Z105)+0.006&gt;AU105*1000000+SUM(W105,AO105)*10000+SUM(Q105,AI105)*100+SUM(K105,AC105)+0.003,1,0)+IF(AS105*1000000+SUM(U105,AM105)*10000+SUM(O105,AG105)*100+SUM(I105,AA105)+0.005&gt;AU105*1000000+SUM(W105,AO105)*10000+SUM(Q105,AI105)*100+SUM(K105,AC105)+0.003,1,0)+IF(AT105*1000000+SUM(V105,AN105)*10000+SUM(P105,AH105)*100+SUM(J105,AB105)+0.004&gt;AU105*1000000+SUM(W105,AO105)*10000+SUM(Q105,AI105)*100+SUM(K105,AC105)+0.003,1,0)+IF(AV105*1000000+SUM(X105,AP105)*10000+SUM(R105,AJ105)*100+SUM(L105,AD105)+0.002&gt;AU105*1000000+SUM(W105,AO105)*10000+SUM(Q105,AI105)*100+SUM(K105,AC105)+0.003,1,0)+IF(AW105*1000000+SUM(Y105,AQ105)*10000+SUM(S105,AK105)*100+SUM(M105,AE105)+0.001&gt;AU105*1000000+SUM(W105,AO105)*10000+SUM(Q105,AI105)*100+SUM(K105,AC105)+0.003,1,0)=1,"S",IF(IF(AR105*1000000+SUM(T105,AL105)*10000+SUM(N105,AF105)*100+SUM(H105,Z105)+0.006&gt;AV105*1000000+SUM(X105,AP105)*10000+SUM(R105,AJ105)*100+SUM(L105,AD105)+0.002,1,0)+IF(AS105*1000000+SUM(U105,AM105)*10000+SUM(O105,AG105)*100+SUM(I105,AA105)+0.005&gt;AV105*1000000+SUM(X105,AP105)*10000+SUM(R105,AJ105)*100+SUM(L105,AD105)+0.002,1,0)+IF(AT105*1000000+SUM(V105,AN105)*10000+SUM(P105,AH105)*100+SUM(J105,AB105)+0.004&gt;AV105*1000000+SUM(X105,AP105)*10000+SUM(R105,AJ105)*100+SUM(L105,AD105)+0.002,1,0)+IF(AU105*1000000+SUM(W105,AO105)*10000+SUM(Q105,AI105)*100+SUM(K105,AC105)+0.003&gt;AV105*1000000+SUM(X105,AP105)*10000+SUM(R105,AJ105)*100+SUM(L105,AD105)+0.002,1,0)+IF(AW105*1000000+SUM(Y105,AQ105)*10000+SUM(S105,AK105)*100+SUM(M105,AE105)+0.001&gt;AV105*1000000+SUM(X105,AP105)*10000+SUM(R105,AJ105)*100+SUM(L105,AD105)+0.002,1,0)=1,"E",IF(IF(AR105*1000000+SUM(T105,AL105)*10000+SUM(N105,AF105)*100+SUM(H105,Z105)+0.006&gt;AW105*1000000+SUM(Y105,AQ105)*10000+SUM(S105,AK105)*100+SUM(M105,AE105)+0.001,1,0)+IF(AS105*1000000+SUM(U105,AM105)*10000+SUM(O105,AG105)*100+SUM(I105,AA105)+0.005&gt;AW105*1000000+SUM(Y105,AQ105)*10000+SUM(S105,AK105)*100+SUM(M105,AE105)+0.001,1,0)+IF(AT105*1000000+SUM(V105,AN105)*10000+SUM(P105,AH105)*100+SUM(J105,AB105)+0.004&gt;AW105*1000000+SUM(Y105,AQ105)*10000+SUM(S105,AK105)*100+SUM(M105,AE105)+0.001,1,0)+IF(AU105*1000000+SUM(W105,AO105)*10000+SUM(Q105,AI105)*100+SUM(K105,AC105)+0.003&gt;AW105*1000000+SUM(Y105,AQ105)*10000+SUM(S105,AK105)*100+SUM(M105,AE105)+0.001,1,0)+IF(AV105*1000000+SUM(X105,AP105)*10000+SUM(R105,AJ105)*100+SUM(L105,AD105)+0.002&gt;AW105*1000000+SUM(Y105,AQ105)*10000+SUM(S105,AK105)*100+SUM(M105,AE105)+0.001,1,0)=1,"C",""))))))&amp;IF(IF(AS105*1000000+SUM(U105,AM105)*10000+SUM(O105,AG105)*100+SUM(I105,AA105)+0.005&gt;AR105*1000000+SUM(T105,AL105)*10000+SUM(N105,AF105)*100+SUM(H105,Z105)+0.006,1,0)+IF(AT105*1000000+SUM(V105,AN105)*10000+SUM(P105,AH105)*100+SUM(J105,AB105)+0.004&gt;AR105*1000000+SUM(T105,AL105)*10000+SUM(N105,AF105)*100+SUM(H105,Z105)+0.006,1,0)+IF(AU105*1000000+SUM(W105,AO105)*10000+SUM(Q105,AI105)*100+SUM(K105,AC105)+0.003&gt;AR105*1000000+SUM(T105,AL105)*10000+SUM(N105,AF105)*100+SUM(H105,Z105)+0.006,1,0)+IF(AV105*1000000+SUM(X105,AP105)*10000+SUM(R105,AJ105)*100+SUM(L105,AD105)+0.002&gt;AR105*1000000+SUM(T105,AL105)*10000+SUM(N105,AF105)*100+SUM(H105,Z105)+0.006,1,0)+IF(AW105*1000000+SUM(Y105,AQ105)*10000+SUM(S105,AK105)*100+SUM(M105,AE105)+0.001&gt;AR105*1000000+SUM(T105,AL105)*10000+SUM(N105,AF105)*100+SUM(H105,Z105)+0.006,1,0)=2,"R",IF(IF(AR105*1000000+SUM(T105,AL105)*10000+SUM(N105,AF105)*100+SUM(H105,Z105)+0.006&gt;AS105*1000000+SUM(U105,AM105)*10000+SUM(O105,AG105)*100+SUM(I105,AA105)+0.005,1,0)+IF(AT105*1000000+SUM(V105,AN105)*10000+SUM(P105,AH105)*100+SUM(J105,AB105)+0.004&gt;AS105*1000000+SUM(U105,AM105)*10000+SUM(O105,AG105)*100+SUM(I105,AA105)+0.005,1,0)+IF(AU105*1000000+SUM(W105,AO105)*10000+SUM(Q105,AI105)*100+SUM(K105,AC105)+0.003&gt;AS105*1000000+SUM(U105,AM105)*10000+SUM(O105,AG105)*100+SUM(I105,AA105)+0.005,1,0)+IF(AV105*1000000+SUM(X105,AP105)*10000+SUM(R105,AJ105)*100+SUM(L105,AD105)+0.002&gt;AS105*1000000+SUM(U105,AM105)*10000+SUM(O105,AG105)*100+SUM(I105,AA105)+0.005,1,0)+IF(AW105*1000000+SUM(Y105,AQ105)*10000+SUM(S105,AK105)*100+SUM(M105,AE105)+0.001&gt;AS105*1000000+SUM(U105,AM105)*10000+SUM(O105,AG105)*100+SUM(I105,AA105)+0.005,1,0)=2,"I",IF(IF(AR105*1000000+SUM(T105,AL105)*10000+SUM(N105,AF105)*100+SUM(H105,Z105)+0.006&gt;AT105*1000000+SUM(V105,AN105)*10000+SUM(P105,AH105)*100+SUM(J105,AB105)+0.004,1,0)+IF(AS105*1000000+SUM(U105,AM105)*10000+SUM(O105,AG105)*100+SUM(I105,AA105)+0.005&gt;AT105*1000000+SUM(V105,AN105)*10000+SUM(P105,AH105)*100+SUM(J105,AB105)+0.004,1,0)+IF(AU105*1000000+SUM(W105,AO105)*10000+SUM(Q105,AI105)*100+SUM(K105,AC105)+0.003&gt;AT105*1000000+SUM(V105,AN105)*10000+SUM(P105,AH105)*100+SUM(J105,AB105)+0.004,1,0)+IF(AV105*1000000+SUM(X105,AP105)*10000+SUM(R105,AJ105)*100+SUM(L105,AD105)+0.002&gt;AT105*1000000+SUM(V105,AN105)*10000+SUM(P105,AH105)*100+SUM(J105,AB105)+0.004,1,0)+IF(AW105*1000000+SUM(Y105,AQ105)*10000+SUM(S105,AK105)*100+SUM(M105,AE105)+0.001&gt;AT105*1000000+SUM(V105,AN105)*10000+SUM(P105,AH105)*100+SUM(J105,AB105)+0.004,1,0)=2,"A",IF(IF(AR105*1000000+SUM(T105,AL105)*10000+SUM(N105,AF105)*100+SUM(H105,Z105)+0.006&gt;AU105*1000000+SUM(W105,AO105)*10000+SUM(Q105,AI105)*100+SUM(K105,AC105)+0.003,1,0)+IF(AS105*1000000+SUM(U105,AM105)*10000+SUM(O105,AG105)*100+SUM(I105,AA105)+0.005&gt;AU105*1000000+SUM(W105,AO105)*10000+SUM(Q105,AI105)*100+SUM(K105,AC105)+0.003,1,0)+IF(AT105*1000000+SUM(V105,AN105)*10000+SUM(P105,AH105)*100+SUM(J105,AB105)+0.004&gt;AU105*1000000+SUM(W105,AO105)*10000+SUM(Q105,AI105)*100+SUM(K105,AC105)+0.003,1,0)+IF(AV105*1000000+SUM(X105,AP105)*10000+SUM(R105,AJ105)*100+SUM(L105,AD105)+0.002&gt;AU105*1000000+SUM(W105,AO105)*10000+SUM(Q105,AI105)*100+SUM(K105,AC105)+0.003,1,0)+IF(AW105*1000000+SUM(Y105,AQ105)*10000+SUM(S105,AK105)*100+SUM(M105,AE105)+0.001&gt;AU105*1000000+SUM(W105,AO105)*10000+SUM(Q105,AI105)*100+SUM(K105,AC105)+0.003,1,0)=2,"S",IF(IF(AR105*1000000+SUM(T105,AL105)*10000+SUM(N105,AF105)*100+SUM(H105,Z105)+0.006&gt;AV105*1000000+SUM(X105,AP105)*10000+SUM(R105,AJ105)*100+SUM(L105,AD105)+0.002,1,0)+IF(AS105*1000000+SUM(U105,AM105)*10000+SUM(O105,AG105)*100+SUM(I105,AA105)+0.005&gt;AV105*1000000+SUM(X105,AP105)*10000+SUM(R105,AJ105)*100+SUM(L105,AD105)+0.002,1,0)+IF(AT105*1000000+SUM(V105,AN105)*10000+SUM(P105,AH105)*100+SUM(J105,AB105)+0.004&gt;AV105*1000000+SUM(X105,AP105)*10000+SUM(R105,AJ105)*100+SUM(L105,AD105)+0.002,1,0)+IF(AU105*1000000+SUM(W105,AO105)*10000+SUM(Q105,AI105)*100+SUM(K105,AC105)+0.003&gt;AV105*1000000+SUM(X105,AP105)*10000+SUM(R105,AJ105)*100+SUM(L105,AD105)+0.002,1,0)+IF(AW105*1000000+SUM(Y105,AQ105)*10000+SUM(S105,AK105)*100+SUM(M105,AE105)+0.001&gt;AV105*1000000+SUM(X105,AP105)*10000+SUM(R105,AJ105)*100+SUM(L105,AD105)+0.002,1,0)=2,"E",IF(IF(AR105*1000000+SUM(T105,AL105)*10000+SUM(N105,AF105)*100+SUM(H105,Z105)+0.006&gt;AW105*1000000+SUM(Y105,AQ105)*10000+SUM(S105,AK105)*100+SUM(M105,AE105)+0.001,1,0)+IF(AS105*1000000+SUM(U105,AM105)*10000+SUM(O105,AG105)*100+SUM(I105,AA105)+0.005&gt;AW105*1000000+SUM(Y105,AQ105)*10000+SUM(S105,AK105)*100+SUM(M105,AE105)+0.001,1,0)+IF(AT105*1000000+SUM(V105,AN105)*10000+SUM(P105,AH105)*100+SUM(J105,AB105)+0.004&gt;AW105*1000000+SUM(Y105,AQ105)*10000+SUM(S105,AK105)*100+SUM(M105,AE105)+0.001,1,0)+IF(AU105*1000000+SUM(W105,AO105)*10000+SUM(Q105,AI105)*100+SUM(K105,AC105)+0.003&gt;AW105*1000000+SUM(Y105,AQ105)*10000+SUM(S105,AK105)*100+SUM(M105,AE105)+0.001,1,0)+IF(AV105*1000000+SUM(X105,AP105)*10000+SUM(R105,AJ105)*100+SUM(L105,AD105)+0.002&gt;AW105*1000000+SUM(Y105,AQ105)*10000+SUM(S105,AK105)*100+SUM(M105,AE105)+0.001,1,0)=2,"C","")))))))</x:f>
      </x:c>
      <x:c r="AY105" s="27" t="str">
        <x:f>IF(C105="","",IF(LEFT(AX105,1)="R","นักปฏิบัติ",IF(LEFT(AX105,1)="I","นักคิดวิเคราะห์",IF(LEFT(AX105,1)="A","นักสร้างสรรค์",IF(LEFT(AX105,1)="S","ผู้เข้าใจผู้คน",IF(LEFT(AX105,1)="E","ผู้นำการเปลี่ยนแปลง","ผู้จัดระบบ"))))))</x:f>
      </x:c>
    </x:row>
    <x:row r="106">
      <x:c r="A106" s="27"/>
      <x:c r="B106" s="28"/>
      <x:c r="C106" s="27"/>
      <x:c r="D106" s="27"/>
      <x:c r="E106" s="27"/>
      <x:c r="F106" s="27"/>
      <x:c r="G106" s="27"/>
      <x:c r="H106" s="27"/>
      <x:c r="I106" s="27"/>
      <x:c r="J106" s="27"/>
      <x:c r="K106" s="27"/>
      <x:c r="L106" s="27"/>
      <x:c r="M106" s="27"/>
      <x:c r="N106" s="27"/>
      <x:c r="O106" s="27"/>
      <x:c r="P106" s="27"/>
      <x:c r="Q106" s="27"/>
      <x:c r="R106" s="27"/>
      <x:c r="S106" s="27"/>
      <x:c r="T106" s="27"/>
      <x:c r="U106" s="27"/>
      <x:c r="V106" s="27"/>
      <x:c r="W106" s="27"/>
      <x:c r="X106" s="27"/>
      <x:c r="Y106" s="27"/>
      <x:c r="Z106" s="27"/>
      <x:c r="AA106" s="27"/>
      <x:c r="AB106" s="27"/>
      <x:c r="AC106" s="27"/>
      <x:c r="AD106" s="27"/>
      <x:c r="AE106" s="27"/>
      <x:c r="AF106" s="27"/>
      <x:c r="AG106" s="27"/>
      <x:c r="AH106" s="27"/>
      <x:c r="AI106" s="27"/>
      <x:c r="AJ106" s="27"/>
      <x:c r="AK106" s="27"/>
      <x:c r="AL106" s="27"/>
      <x:c r="AM106" s="27"/>
      <x:c r="AN106" s="27"/>
      <x:c r="AO106" s="27"/>
      <x:c r="AP106" s="27"/>
      <x:c r="AQ106" s="27"/>
      <x:c r="AR106" s="27" t="str">
        <x:f>IF(C106="","",SUM(H106,N106,T106,Z106,AF106,AL106))</x:f>
      </x:c>
      <x:c r="AS106" s="27" t="str">
        <x:f>IF(C106="","",SUM(I106,O106,U106,AA106,AG106,AM106))</x:f>
      </x:c>
      <x:c r="AT106" s="27" t="str">
        <x:f>IF(C106="","",SUM(J106,P106,V106,AB106,AH106,AN106))</x:f>
      </x:c>
      <x:c r="AU106" s="27" t="str">
        <x:f>IF(C106="","",SUM(K106,Q106,W106,AC106,AI106,AO106))</x:f>
      </x:c>
      <x:c r="AV106" s="27" t="str">
        <x:f>IF(C106="","",SUM(L106,R106,X106,AD106,AJ106,AP106))</x:f>
      </x:c>
      <x:c r="AW106" s="27" t="str">
        <x:f>IF(C106="","",SUM(M106,S106,Y106,AE106,AK106,AQ106))</x:f>
      </x:c>
      <x:c r="AX106" s="27" t="str">
        <x:f>IF(C106="","",IF(IF(AS106*1000000+SUM(U106,AM106)*10000+SUM(O106,AG106)*100+SUM(I106,AA106)+0.005&gt;AR106*1000000+SUM(T106,AL106)*10000+SUM(N106,AF106)*100+SUM(H106,Z106)+0.006,1,0)+IF(AT106*1000000+SUM(V106,AN106)*10000+SUM(P106,AH106)*100+SUM(J106,AB106)+0.004&gt;AR106*1000000+SUM(T106,AL106)*10000+SUM(N106,AF106)*100+SUM(H106,Z106)+0.006,1,0)+IF(AU106*1000000+SUM(W106,AO106)*10000+SUM(Q106,AI106)*100+SUM(K106,AC106)+0.003&gt;AR106*1000000+SUM(T106,AL106)*10000+SUM(N106,AF106)*100+SUM(H106,Z106)+0.006,1,0)+IF(AV106*1000000+SUM(X106,AP106)*10000+SUM(R106,AJ106)*100+SUM(L106,AD106)+0.002&gt;AR106*1000000+SUM(T106,AL106)*10000+SUM(N106,AF106)*100+SUM(H106,Z106)+0.006,1,0)+IF(AW106*1000000+SUM(Y106,AQ106)*10000+SUM(S106,AK106)*100+SUM(M106,AE106)+0.001&gt;AR106*1000000+SUM(T106,AL106)*10000+SUM(N106,AF106)*100+SUM(H106,Z106)+0.006,1,0)=0,"R",IF(IF(AR106*1000000+SUM(T106,AL106)*10000+SUM(N106,AF106)*100+SUM(H106,Z106)+0.006&gt;AS106*1000000+SUM(U106,AM106)*10000+SUM(O106,AG106)*100+SUM(I106,AA106)+0.005,1,0)+IF(AT106*1000000+SUM(V106,AN106)*10000+SUM(P106,AH106)*100+SUM(J106,AB106)+0.004&gt;AS106*1000000+SUM(U106,AM106)*10000+SUM(O106,AG106)*100+SUM(I106,AA106)+0.005,1,0)+IF(AU106*1000000+SUM(W106,AO106)*10000+SUM(Q106,AI106)*100+SUM(K106,AC106)+0.003&gt;AS106*1000000+SUM(U106,AM106)*10000+SUM(O106,AG106)*100+SUM(I106,AA106)+0.005,1,0)+IF(AV106*1000000+SUM(X106,AP106)*10000+SUM(R106,AJ106)*100+SUM(L106,AD106)+0.002&gt;AS106*1000000+SUM(U106,AM106)*10000+SUM(O106,AG106)*100+SUM(I106,AA106)+0.005,1,0)+IF(AW106*1000000+SUM(Y106,AQ106)*10000+SUM(S106,AK106)*100+SUM(M106,AE106)+0.001&gt;AS106*1000000+SUM(U106,AM106)*10000+SUM(O106,AG106)*100+SUM(I106,AA106)+0.005,1,0)=0,"I",IF(IF(AR106*1000000+SUM(T106,AL106)*10000+SUM(N106,AF106)*100+SUM(H106,Z106)+0.006&gt;AT106*1000000+SUM(V106,AN106)*10000+SUM(P106,AH106)*100+SUM(J106,AB106)+0.004,1,0)+IF(AS106*1000000+SUM(U106,AM106)*10000+SUM(O106,AG106)*100+SUM(I106,AA106)+0.005&gt;AT106*1000000+SUM(V106,AN106)*10000+SUM(P106,AH106)*100+SUM(J106,AB106)+0.004,1,0)+IF(AU106*1000000+SUM(W106,AO106)*10000+SUM(Q106,AI106)*100+SUM(K106,AC106)+0.003&gt;AT106*1000000+SUM(V106,AN106)*10000+SUM(P106,AH106)*100+SUM(J106,AB106)+0.004,1,0)+IF(AV106*1000000+SUM(X106,AP106)*10000+SUM(R106,AJ106)*100+SUM(L106,AD106)+0.002&gt;AT106*1000000+SUM(V106,AN106)*10000+SUM(P106,AH106)*100+SUM(J106,AB106)+0.004,1,0)+IF(AW106*1000000+SUM(Y106,AQ106)*10000+SUM(S106,AK106)*100+SUM(M106,AE106)+0.001&gt;AT106*1000000+SUM(V106,AN106)*10000+SUM(P106,AH106)*100+SUM(J106,AB106)+0.004,1,0)=0,"A",IF(IF(AR106*1000000+SUM(T106,AL106)*10000+SUM(N106,AF106)*100+SUM(H106,Z106)+0.006&gt;AU106*1000000+SUM(W106,AO106)*10000+SUM(Q106,AI106)*100+SUM(K106,AC106)+0.003,1,0)+IF(AS106*1000000+SUM(U106,AM106)*10000+SUM(O106,AG106)*100+SUM(I106,AA106)+0.005&gt;AU106*1000000+SUM(W106,AO106)*10000+SUM(Q106,AI106)*100+SUM(K106,AC106)+0.003,1,0)+IF(AT106*1000000+SUM(V106,AN106)*10000+SUM(P106,AH106)*100+SUM(J106,AB106)+0.004&gt;AU106*1000000+SUM(W106,AO106)*10000+SUM(Q106,AI106)*100+SUM(K106,AC106)+0.003,1,0)+IF(AV106*1000000+SUM(X106,AP106)*10000+SUM(R106,AJ106)*100+SUM(L106,AD106)+0.002&gt;AU106*1000000+SUM(W106,AO106)*10000+SUM(Q106,AI106)*100+SUM(K106,AC106)+0.003,1,0)+IF(AW106*1000000+SUM(Y106,AQ106)*10000+SUM(S106,AK106)*100+SUM(M106,AE106)+0.001&gt;AU106*1000000+SUM(W106,AO106)*10000+SUM(Q106,AI106)*100+SUM(K106,AC106)+0.003,1,0)=0,"S",IF(IF(AR106*1000000+SUM(T106,AL106)*10000+SUM(N106,AF106)*100+SUM(H106,Z106)+0.006&gt;AV106*1000000+SUM(X106,AP106)*10000+SUM(R106,AJ106)*100+SUM(L106,AD106)+0.002,1,0)+IF(AS106*1000000+SUM(U106,AM106)*10000+SUM(O106,AG106)*100+SUM(I106,AA106)+0.005&gt;AV106*1000000+SUM(X106,AP106)*10000+SUM(R106,AJ106)*100+SUM(L106,AD106)+0.002,1,0)+IF(AT106*1000000+SUM(V106,AN106)*10000+SUM(P106,AH106)*100+SUM(J106,AB106)+0.004&gt;AV106*1000000+SUM(X106,AP106)*10000+SUM(R106,AJ106)*100+SUM(L106,AD106)+0.002,1,0)+IF(AU106*1000000+SUM(W106,AO106)*10000+SUM(Q106,AI106)*100+SUM(K106,AC106)+0.003&gt;AV106*1000000+SUM(X106,AP106)*10000+SUM(R106,AJ106)*100+SUM(L106,AD106)+0.002,1,0)+IF(AW106*1000000+SUM(Y106,AQ106)*10000+SUM(S106,AK106)*100+SUM(M106,AE106)+0.001&gt;AV106*1000000+SUM(X106,AP106)*10000+SUM(R106,AJ106)*100+SUM(L106,AD106)+0.002,1,0)=0,"E",IF(IF(AR106*1000000+SUM(T106,AL106)*10000+SUM(N106,AF106)*100+SUM(H106,Z106)+0.006&gt;AW106*1000000+SUM(Y106,AQ106)*10000+SUM(S106,AK106)*100+SUM(M106,AE106)+0.001,1,0)+IF(AS106*1000000+SUM(U106,AM106)*10000+SUM(O106,AG106)*100+SUM(I106,AA106)+0.005&gt;AW106*1000000+SUM(Y106,AQ106)*10000+SUM(S106,AK106)*100+SUM(M106,AE106)+0.001,1,0)+IF(AT106*1000000+SUM(V106,AN106)*10000+SUM(P106,AH106)*100+SUM(J106,AB106)+0.004&gt;AW106*1000000+SUM(Y106,AQ106)*10000+SUM(S106,AK106)*100+SUM(M106,AE106)+0.001,1,0)+IF(AU106*1000000+SUM(W106,AO106)*10000+SUM(Q106,AI106)*100+SUM(K106,AC106)+0.003&gt;AW106*1000000+SUM(Y106,AQ106)*10000+SUM(S106,AK106)*100+SUM(M106,AE106)+0.001,1,0)+IF(AV106*1000000+SUM(X106,AP106)*10000+SUM(R106,AJ106)*100+SUM(L106,AD106)+0.002&gt;AW106*1000000+SUM(Y106,AQ106)*10000+SUM(S106,AK106)*100+SUM(M106,AE106)+0.001,1,0)=0,"C",""))))))&amp;IF(IF(AS106*1000000+SUM(U106,AM106)*10000+SUM(O106,AG106)*100+SUM(I106,AA106)+0.005&gt;AR106*1000000+SUM(T106,AL106)*10000+SUM(N106,AF106)*100+SUM(H106,Z106)+0.006,1,0)+IF(AT106*1000000+SUM(V106,AN106)*10000+SUM(P106,AH106)*100+SUM(J106,AB106)+0.004&gt;AR106*1000000+SUM(T106,AL106)*10000+SUM(N106,AF106)*100+SUM(H106,Z106)+0.006,1,0)+IF(AU106*1000000+SUM(W106,AO106)*10000+SUM(Q106,AI106)*100+SUM(K106,AC106)+0.003&gt;AR106*1000000+SUM(T106,AL106)*10000+SUM(N106,AF106)*100+SUM(H106,Z106)+0.006,1,0)+IF(AV106*1000000+SUM(X106,AP106)*10000+SUM(R106,AJ106)*100+SUM(L106,AD106)+0.002&gt;AR106*1000000+SUM(T106,AL106)*10000+SUM(N106,AF106)*100+SUM(H106,Z106)+0.006,1,0)+IF(AW106*1000000+SUM(Y106,AQ106)*10000+SUM(S106,AK106)*100+SUM(M106,AE106)+0.001&gt;AR106*1000000+SUM(T106,AL106)*10000+SUM(N106,AF106)*100+SUM(H106,Z106)+0.006,1,0)=1,"R",IF(IF(AR106*1000000+SUM(T106,AL106)*10000+SUM(N106,AF106)*100+SUM(H106,Z106)+0.006&gt;AS106*1000000+SUM(U106,AM106)*10000+SUM(O106,AG106)*100+SUM(I106,AA106)+0.005,1,0)+IF(AT106*1000000+SUM(V106,AN106)*10000+SUM(P106,AH106)*100+SUM(J106,AB106)+0.004&gt;AS106*1000000+SUM(U106,AM106)*10000+SUM(O106,AG106)*100+SUM(I106,AA106)+0.005,1,0)+IF(AU106*1000000+SUM(W106,AO106)*10000+SUM(Q106,AI106)*100+SUM(K106,AC106)+0.003&gt;AS106*1000000+SUM(U106,AM106)*10000+SUM(O106,AG106)*100+SUM(I106,AA106)+0.005,1,0)+IF(AV106*1000000+SUM(X106,AP106)*10000+SUM(R106,AJ106)*100+SUM(L106,AD106)+0.002&gt;AS106*1000000+SUM(U106,AM106)*10000+SUM(O106,AG106)*100+SUM(I106,AA106)+0.005,1,0)+IF(AW106*1000000+SUM(Y106,AQ106)*10000+SUM(S106,AK106)*100+SUM(M106,AE106)+0.001&gt;AS106*1000000+SUM(U106,AM106)*10000+SUM(O106,AG106)*100+SUM(I106,AA106)+0.005,1,0)=1,"I",IF(IF(AR106*1000000+SUM(T106,AL106)*10000+SUM(N106,AF106)*100+SUM(H106,Z106)+0.006&gt;AT106*1000000+SUM(V106,AN106)*10000+SUM(P106,AH106)*100+SUM(J106,AB106)+0.004,1,0)+IF(AS106*1000000+SUM(U106,AM106)*10000+SUM(O106,AG106)*100+SUM(I106,AA106)+0.005&gt;AT106*1000000+SUM(V106,AN106)*10000+SUM(P106,AH106)*100+SUM(J106,AB106)+0.004,1,0)+IF(AU106*1000000+SUM(W106,AO106)*10000+SUM(Q106,AI106)*100+SUM(K106,AC106)+0.003&gt;AT106*1000000+SUM(V106,AN106)*10000+SUM(P106,AH106)*100+SUM(J106,AB106)+0.004,1,0)+IF(AV106*1000000+SUM(X106,AP106)*10000+SUM(R106,AJ106)*100+SUM(L106,AD106)+0.002&gt;AT106*1000000+SUM(V106,AN106)*10000+SUM(P106,AH106)*100+SUM(J106,AB106)+0.004,1,0)+IF(AW106*1000000+SUM(Y106,AQ106)*10000+SUM(S106,AK106)*100+SUM(M106,AE106)+0.001&gt;AT106*1000000+SUM(V106,AN106)*10000+SUM(P106,AH106)*100+SUM(J106,AB106)+0.004,1,0)=1,"A",IF(IF(AR106*1000000+SUM(T106,AL106)*10000+SUM(N106,AF106)*100+SUM(H106,Z106)+0.006&gt;AU106*1000000+SUM(W106,AO106)*10000+SUM(Q106,AI106)*100+SUM(K106,AC106)+0.003,1,0)+IF(AS106*1000000+SUM(U106,AM106)*10000+SUM(O106,AG106)*100+SUM(I106,AA106)+0.005&gt;AU106*1000000+SUM(W106,AO106)*10000+SUM(Q106,AI106)*100+SUM(K106,AC106)+0.003,1,0)+IF(AT106*1000000+SUM(V106,AN106)*10000+SUM(P106,AH106)*100+SUM(J106,AB106)+0.004&gt;AU106*1000000+SUM(W106,AO106)*10000+SUM(Q106,AI106)*100+SUM(K106,AC106)+0.003,1,0)+IF(AV106*1000000+SUM(X106,AP106)*10000+SUM(R106,AJ106)*100+SUM(L106,AD106)+0.002&gt;AU106*1000000+SUM(W106,AO106)*10000+SUM(Q106,AI106)*100+SUM(K106,AC106)+0.003,1,0)+IF(AW106*1000000+SUM(Y106,AQ106)*10000+SUM(S106,AK106)*100+SUM(M106,AE106)+0.001&gt;AU106*1000000+SUM(W106,AO106)*10000+SUM(Q106,AI106)*100+SUM(K106,AC106)+0.003,1,0)=1,"S",IF(IF(AR106*1000000+SUM(T106,AL106)*10000+SUM(N106,AF106)*100+SUM(H106,Z106)+0.006&gt;AV106*1000000+SUM(X106,AP106)*10000+SUM(R106,AJ106)*100+SUM(L106,AD106)+0.002,1,0)+IF(AS106*1000000+SUM(U106,AM106)*10000+SUM(O106,AG106)*100+SUM(I106,AA106)+0.005&gt;AV106*1000000+SUM(X106,AP106)*10000+SUM(R106,AJ106)*100+SUM(L106,AD106)+0.002,1,0)+IF(AT106*1000000+SUM(V106,AN106)*10000+SUM(P106,AH106)*100+SUM(J106,AB106)+0.004&gt;AV106*1000000+SUM(X106,AP106)*10000+SUM(R106,AJ106)*100+SUM(L106,AD106)+0.002,1,0)+IF(AU106*1000000+SUM(W106,AO106)*10000+SUM(Q106,AI106)*100+SUM(K106,AC106)+0.003&gt;AV106*1000000+SUM(X106,AP106)*10000+SUM(R106,AJ106)*100+SUM(L106,AD106)+0.002,1,0)+IF(AW106*1000000+SUM(Y106,AQ106)*10000+SUM(S106,AK106)*100+SUM(M106,AE106)+0.001&gt;AV106*1000000+SUM(X106,AP106)*10000+SUM(R106,AJ106)*100+SUM(L106,AD106)+0.002,1,0)=1,"E",IF(IF(AR106*1000000+SUM(T106,AL106)*10000+SUM(N106,AF106)*100+SUM(H106,Z106)+0.006&gt;AW106*1000000+SUM(Y106,AQ106)*10000+SUM(S106,AK106)*100+SUM(M106,AE106)+0.001,1,0)+IF(AS106*1000000+SUM(U106,AM106)*10000+SUM(O106,AG106)*100+SUM(I106,AA106)+0.005&gt;AW106*1000000+SUM(Y106,AQ106)*10000+SUM(S106,AK106)*100+SUM(M106,AE106)+0.001,1,0)+IF(AT106*1000000+SUM(V106,AN106)*10000+SUM(P106,AH106)*100+SUM(J106,AB106)+0.004&gt;AW106*1000000+SUM(Y106,AQ106)*10000+SUM(S106,AK106)*100+SUM(M106,AE106)+0.001,1,0)+IF(AU106*1000000+SUM(W106,AO106)*10000+SUM(Q106,AI106)*100+SUM(K106,AC106)+0.003&gt;AW106*1000000+SUM(Y106,AQ106)*10000+SUM(S106,AK106)*100+SUM(M106,AE106)+0.001,1,0)+IF(AV106*1000000+SUM(X106,AP106)*10000+SUM(R106,AJ106)*100+SUM(L106,AD106)+0.002&gt;AW106*1000000+SUM(Y106,AQ106)*10000+SUM(S106,AK106)*100+SUM(M106,AE106)+0.001,1,0)=1,"C",""))))))&amp;IF(IF(AS106*1000000+SUM(U106,AM106)*10000+SUM(O106,AG106)*100+SUM(I106,AA106)+0.005&gt;AR106*1000000+SUM(T106,AL106)*10000+SUM(N106,AF106)*100+SUM(H106,Z106)+0.006,1,0)+IF(AT106*1000000+SUM(V106,AN106)*10000+SUM(P106,AH106)*100+SUM(J106,AB106)+0.004&gt;AR106*1000000+SUM(T106,AL106)*10000+SUM(N106,AF106)*100+SUM(H106,Z106)+0.006,1,0)+IF(AU106*1000000+SUM(W106,AO106)*10000+SUM(Q106,AI106)*100+SUM(K106,AC106)+0.003&gt;AR106*1000000+SUM(T106,AL106)*10000+SUM(N106,AF106)*100+SUM(H106,Z106)+0.006,1,0)+IF(AV106*1000000+SUM(X106,AP106)*10000+SUM(R106,AJ106)*100+SUM(L106,AD106)+0.002&gt;AR106*1000000+SUM(T106,AL106)*10000+SUM(N106,AF106)*100+SUM(H106,Z106)+0.006,1,0)+IF(AW106*1000000+SUM(Y106,AQ106)*10000+SUM(S106,AK106)*100+SUM(M106,AE106)+0.001&gt;AR106*1000000+SUM(T106,AL106)*10000+SUM(N106,AF106)*100+SUM(H106,Z106)+0.006,1,0)=2,"R",IF(IF(AR106*1000000+SUM(T106,AL106)*10000+SUM(N106,AF106)*100+SUM(H106,Z106)+0.006&gt;AS106*1000000+SUM(U106,AM106)*10000+SUM(O106,AG106)*100+SUM(I106,AA106)+0.005,1,0)+IF(AT106*1000000+SUM(V106,AN106)*10000+SUM(P106,AH106)*100+SUM(J106,AB106)+0.004&gt;AS106*1000000+SUM(U106,AM106)*10000+SUM(O106,AG106)*100+SUM(I106,AA106)+0.005,1,0)+IF(AU106*1000000+SUM(W106,AO106)*10000+SUM(Q106,AI106)*100+SUM(K106,AC106)+0.003&gt;AS106*1000000+SUM(U106,AM106)*10000+SUM(O106,AG106)*100+SUM(I106,AA106)+0.005,1,0)+IF(AV106*1000000+SUM(X106,AP106)*10000+SUM(R106,AJ106)*100+SUM(L106,AD106)+0.002&gt;AS106*1000000+SUM(U106,AM106)*10000+SUM(O106,AG106)*100+SUM(I106,AA106)+0.005,1,0)+IF(AW106*1000000+SUM(Y106,AQ106)*10000+SUM(S106,AK106)*100+SUM(M106,AE106)+0.001&gt;AS106*1000000+SUM(U106,AM106)*10000+SUM(O106,AG106)*100+SUM(I106,AA106)+0.005,1,0)=2,"I",IF(IF(AR106*1000000+SUM(T106,AL106)*10000+SUM(N106,AF106)*100+SUM(H106,Z106)+0.006&gt;AT106*1000000+SUM(V106,AN106)*10000+SUM(P106,AH106)*100+SUM(J106,AB106)+0.004,1,0)+IF(AS106*1000000+SUM(U106,AM106)*10000+SUM(O106,AG106)*100+SUM(I106,AA106)+0.005&gt;AT106*1000000+SUM(V106,AN106)*10000+SUM(P106,AH106)*100+SUM(J106,AB106)+0.004,1,0)+IF(AU106*1000000+SUM(W106,AO106)*10000+SUM(Q106,AI106)*100+SUM(K106,AC106)+0.003&gt;AT106*1000000+SUM(V106,AN106)*10000+SUM(P106,AH106)*100+SUM(J106,AB106)+0.004,1,0)+IF(AV106*1000000+SUM(X106,AP106)*10000+SUM(R106,AJ106)*100+SUM(L106,AD106)+0.002&gt;AT106*1000000+SUM(V106,AN106)*10000+SUM(P106,AH106)*100+SUM(J106,AB106)+0.004,1,0)+IF(AW106*1000000+SUM(Y106,AQ106)*10000+SUM(S106,AK106)*100+SUM(M106,AE106)+0.001&gt;AT106*1000000+SUM(V106,AN106)*10000+SUM(P106,AH106)*100+SUM(J106,AB106)+0.004,1,0)=2,"A",IF(IF(AR106*1000000+SUM(T106,AL106)*10000+SUM(N106,AF106)*100+SUM(H106,Z106)+0.006&gt;AU106*1000000+SUM(W106,AO106)*10000+SUM(Q106,AI106)*100+SUM(K106,AC106)+0.003,1,0)+IF(AS106*1000000+SUM(U106,AM106)*10000+SUM(O106,AG106)*100+SUM(I106,AA106)+0.005&gt;AU106*1000000+SUM(W106,AO106)*10000+SUM(Q106,AI106)*100+SUM(K106,AC106)+0.003,1,0)+IF(AT106*1000000+SUM(V106,AN106)*10000+SUM(P106,AH106)*100+SUM(J106,AB106)+0.004&gt;AU106*1000000+SUM(W106,AO106)*10000+SUM(Q106,AI106)*100+SUM(K106,AC106)+0.003,1,0)+IF(AV106*1000000+SUM(X106,AP106)*10000+SUM(R106,AJ106)*100+SUM(L106,AD106)+0.002&gt;AU106*1000000+SUM(W106,AO106)*10000+SUM(Q106,AI106)*100+SUM(K106,AC106)+0.003,1,0)+IF(AW106*1000000+SUM(Y106,AQ106)*10000+SUM(S106,AK106)*100+SUM(M106,AE106)+0.001&gt;AU106*1000000+SUM(W106,AO106)*10000+SUM(Q106,AI106)*100+SUM(K106,AC106)+0.003,1,0)=2,"S",IF(IF(AR106*1000000+SUM(T106,AL106)*10000+SUM(N106,AF106)*100+SUM(H106,Z106)+0.006&gt;AV106*1000000+SUM(X106,AP106)*10000+SUM(R106,AJ106)*100+SUM(L106,AD106)+0.002,1,0)+IF(AS106*1000000+SUM(U106,AM106)*10000+SUM(O106,AG106)*100+SUM(I106,AA106)+0.005&gt;AV106*1000000+SUM(X106,AP106)*10000+SUM(R106,AJ106)*100+SUM(L106,AD106)+0.002,1,0)+IF(AT106*1000000+SUM(V106,AN106)*10000+SUM(P106,AH106)*100+SUM(J106,AB106)+0.004&gt;AV106*1000000+SUM(X106,AP106)*10000+SUM(R106,AJ106)*100+SUM(L106,AD106)+0.002,1,0)+IF(AU106*1000000+SUM(W106,AO106)*10000+SUM(Q106,AI106)*100+SUM(K106,AC106)+0.003&gt;AV106*1000000+SUM(X106,AP106)*10000+SUM(R106,AJ106)*100+SUM(L106,AD106)+0.002,1,0)+IF(AW106*1000000+SUM(Y106,AQ106)*10000+SUM(S106,AK106)*100+SUM(M106,AE106)+0.001&gt;AV106*1000000+SUM(X106,AP106)*10000+SUM(R106,AJ106)*100+SUM(L106,AD106)+0.002,1,0)=2,"E",IF(IF(AR106*1000000+SUM(T106,AL106)*10000+SUM(N106,AF106)*100+SUM(H106,Z106)+0.006&gt;AW106*1000000+SUM(Y106,AQ106)*10000+SUM(S106,AK106)*100+SUM(M106,AE106)+0.001,1,0)+IF(AS106*1000000+SUM(U106,AM106)*10000+SUM(O106,AG106)*100+SUM(I106,AA106)+0.005&gt;AW106*1000000+SUM(Y106,AQ106)*10000+SUM(S106,AK106)*100+SUM(M106,AE106)+0.001,1,0)+IF(AT106*1000000+SUM(V106,AN106)*10000+SUM(P106,AH106)*100+SUM(J106,AB106)+0.004&gt;AW106*1000000+SUM(Y106,AQ106)*10000+SUM(S106,AK106)*100+SUM(M106,AE106)+0.001,1,0)+IF(AU106*1000000+SUM(W106,AO106)*10000+SUM(Q106,AI106)*100+SUM(K106,AC106)+0.003&gt;AW106*1000000+SUM(Y106,AQ106)*10000+SUM(S106,AK106)*100+SUM(M106,AE106)+0.001,1,0)+IF(AV106*1000000+SUM(X106,AP106)*10000+SUM(R106,AJ106)*100+SUM(L106,AD106)+0.002&gt;AW106*1000000+SUM(Y106,AQ106)*10000+SUM(S106,AK106)*100+SUM(M106,AE106)+0.001,1,0)=2,"C","")))))))</x:f>
      </x:c>
      <x:c r="AY106" s="27" t="str">
        <x:f>IF(C106="","",IF(LEFT(AX106,1)="R","นักปฏิบัติ",IF(LEFT(AX106,1)="I","นักคิดวิเคราะห์",IF(LEFT(AX106,1)="A","นักสร้างสรรค์",IF(LEFT(AX106,1)="S","ผู้เข้าใจผู้คน",IF(LEFT(AX106,1)="E","ผู้นำการเปลี่ยนแปลง","ผู้จัดระบบ"))))))</x:f>
      </x:c>
    </x:row>
    <x:row r="107">
      <x:c r="A107" s="27"/>
      <x:c r="B107" s="28"/>
      <x:c r="C107" s="27"/>
      <x:c r="D107" s="27"/>
      <x:c r="E107" s="27"/>
      <x:c r="F107" s="27"/>
      <x:c r="G107" s="27"/>
      <x:c r="H107" s="27"/>
      <x:c r="I107" s="27"/>
      <x:c r="J107" s="27"/>
      <x:c r="K107" s="27"/>
      <x:c r="L107" s="27"/>
      <x:c r="M107" s="27"/>
      <x:c r="N107" s="27"/>
      <x:c r="O107" s="27"/>
      <x:c r="P107" s="27"/>
      <x:c r="Q107" s="27"/>
      <x:c r="R107" s="27"/>
      <x:c r="S107" s="27"/>
      <x:c r="T107" s="27"/>
      <x:c r="U107" s="27"/>
      <x:c r="V107" s="27"/>
      <x:c r="W107" s="27"/>
      <x:c r="X107" s="27"/>
      <x:c r="Y107" s="27"/>
      <x:c r="Z107" s="27"/>
      <x:c r="AA107" s="27"/>
      <x:c r="AB107" s="27"/>
      <x:c r="AC107" s="27"/>
      <x:c r="AD107" s="27"/>
      <x:c r="AE107" s="27"/>
      <x:c r="AF107" s="27"/>
      <x:c r="AG107" s="27"/>
      <x:c r="AH107" s="27"/>
      <x:c r="AI107" s="27"/>
      <x:c r="AJ107" s="27"/>
      <x:c r="AK107" s="27"/>
      <x:c r="AL107" s="27"/>
      <x:c r="AM107" s="27"/>
      <x:c r="AN107" s="27"/>
      <x:c r="AO107" s="27"/>
      <x:c r="AP107" s="27"/>
      <x:c r="AQ107" s="27"/>
      <x:c r="AR107" s="27" t="str">
        <x:f>IF(C107="","",SUM(H107,N107,T107,Z107,AF107,AL107))</x:f>
      </x:c>
      <x:c r="AS107" s="27" t="str">
        <x:f>IF(C107="","",SUM(I107,O107,U107,AA107,AG107,AM107))</x:f>
      </x:c>
      <x:c r="AT107" s="27" t="str">
        <x:f>IF(C107="","",SUM(J107,P107,V107,AB107,AH107,AN107))</x:f>
      </x:c>
      <x:c r="AU107" s="27" t="str">
        <x:f>IF(C107="","",SUM(K107,Q107,W107,AC107,AI107,AO107))</x:f>
      </x:c>
      <x:c r="AV107" s="27" t="str">
        <x:f>IF(C107="","",SUM(L107,R107,X107,AD107,AJ107,AP107))</x:f>
      </x:c>
      <x:c r="AW107" s="27" t="str">
        <x:f>IF(C107="","",SUM(M107,S107,Y107,AE107,AK107,AQ107))</x:f>
      </x:c>
      <x:c r="AX107" s="27" t="str">
        <x:f>IF(C107="","",IF(IF(AS107*1000000+SUM(U107,AM107)*10000+SUM(O107,AG107)*100+SUM(I107,AA107)+0.005&gt;AR107*1000000+SUM(T107,AL107)*10000+SUM(N107,AF107)*100+SUM(H107,Z107)+0.006,1,0)+IF(AT107*1000000+SUM(V107,AN107)*10000+SUM(P107,AH107)*100+SUM(J107,AB107)+0.004&gt;AR107*1000000+SUM(T107,AL107)*10000+SUM(N107,AF107)*100+SUM(H107,Z107)+0.006,1,0)+IF(AU107*1000000+SUM(W107,AO107)*10000+SUM(Q107,AI107)*100+SUM(K107,AC107)+0.003&gt;AR107*1000000+SUM(T107,AL107)*10000+SUM(N107,AF107)*100+SUM(H107,Z107)+0.006,1,0)+IF(AV107*1000000+SUM(X107,AP107)*10000+SUM(R107,AJ107)*100+SUM(L107,AD107)+0.002&gt;AR107*1000000+SUM(T107,AL107)*10000+SUM(N107,AF107)*100+SUM(H107,Z107)+0.006,1,0)+IF(AW107*1000000+SUM(Y107,AQ107)*10000+SUM(S107,AK107)*100+SUM(M107,AE107)+0.001&gt;AR107*1000000+SUM(T107,AL107)*10000+SUM(N107,AF107)*100+SUM(H107,Z107)+0.006,1,0)=0,"R",IF(IF(AR107*1000000+SUM(T107,AL107)*10000+SUM(N107,AF107)*100+SUM(H107,Z107)+0.006&gt;AS107*1000000+SUM(U107,AM107)*10000+SUM(O107,AG107)*100+SUM(I107,AA107)+0.005,1,0)+IF(AT107*1000000+SUM(V107,AN107)*10000+SUM(P107,AH107)*100+SUM(J107,AB107)+0.004&gt;AS107*1000000+SUM(U107,AM107)*10000+SUM(O107,AG107)*100+SUM(I107,AA107)+0.005,1,0)+IF(AU107*1000000+SUM(W107,AO107)*10000+SUM(Q107,AI107)*100+SUM(K107,AC107)+0.003&gt;AS107*1000000+SUM(U107,AM107)*10000+SUM(O107,AG107)*100+SUM(I107,AA107)+0.005,1,0)+IF(AV107*1000000+SUM(X107,AP107)*10000+SUM(R107,AJ107)*100+SUM(L107,AD107)+0.002&gt;AS107*1000000+SUM(U107,AM107)*10000+SUM(O107,AG107)*100+SUM(I107,AA107)+0.005,1,0)+IF(AW107*1000000+SUM(Y107,AQ107)*10000+SUM(S107,AK107)*100+SUM(M107,AE107)+0.001&gt;AS107*1000000+SUM(U107,AM107)*10000+SUM(O107,AG107)*100+SUM(I107,AA107)+0.005,1,0)=0,"I",IF(IF(AR107*1000000+SUM(T107,AL107)*10000+SUM(N107,AF107)*100+SUM(H107,Z107)+0.006&gt;AT107*1000000+SUM(V107,AN107)*10000+SUM(P107,AH107)*100+SUM(J107,AB107)+0.004,1,0)+IF(AS107*1000000+SUM(U107,AM107)*10000+SUM(O107,AG107)*100+SUM(I107,AA107)+0.005&gt;AT107*1000000+SUM(V107,AN107)*10000+SUM(P107,AH107)*100+SUM(J107,AB107)+0.004,1,0)+IF(AU107*1000000+SUM(W107,AO107)*10000+SUM(Q107,AI107)*100+SUM(K107,AC107)+0.003&gt;AT107*1000000+SUM(V107,AN107)*10000+SUM(P107,AH107)*100+SUM(J107,AB107)+0.004,1,0)+IF(AV107*1000000+SUM(X107,AP107)*10000+SUM(R107,AJ107)*100+SUM(L107,AD107)+0.002&gt;AT107*1000000+SUM(V107,AN107)*10000+SUM(P107,AH107)*100+SUM(J107,AB107)+0.004,1,0)+IF(AW107*1000000+SUM(Y107,AQ107)*10000+SUM(S107,AK107)*100+SUM(M107,AE107)+0.001&gt;AT107*1000000+SUM(V107,AN107)*10000+SUM(P107,AH107)*100+SUM(J107,AB107)+0.004,1,0)=0,"A",IF(IF(AR107*1000000+SUM(T107,AL107)*10000+SUM(N107,AF107)*100+SUM(H107,Z107)+0.006&gt;AU107*1000000+SUM(W107,AO107)*10000+SUM(Q107,AI107)*100+SUM(K107,AC107)+0.003,1,0)+IF(AS107*1000000+SUM(U107,AM107)*10000+SUM(O107,AG107)*100+SUM(I107,AA107)+0.005&gt;AU107*1000000+SUM(W107,AO107)*10000+SUM(Q107,AI107)*100+SUM(K107,AC107)+0.003,1,0)+IF(AT107*1000000+SUM(V107,AN107)*10000+SUM(P107,AH107)*100+SUM(J107,AB107)+0.004&gt;AU107*1000000+SUM(W107,AO107)*10000+SUM(Q107,AI107)*100+SUM(K107,AC107)+0.003,1,0)+IF(AV107*1000000+SUM(X107,AP107)*10000+SUM(R107,AJ107)*100+SUM(L107,AD107)+0.002&gt;AU107*1000000+SUM(W107,AO107)*10000+SUM(Q107,AI107)*100+SUM(K107,AC107)+0.003,1,0)+IF(AW107*1000000+SUM(Y107,AQ107)*10000+SUM(S107,AK107)*100+SUM(M107,AE107)+0.001&gt;AU107*1000000+SUM(W107,AO107)*10000+SUM(Q107,AI107)*100+SUM(K107,AC107)+0.003,1,0)=0,"S",IF(IF(AR107*1000000+SUM(T107,AL107)*10000+SUM(N107,AF107)*100+SUM(H107,Z107)+0.006&gt;AV107*1000000+SUM(X107,AP107)*10000+SUM(R107,AJ107)*100+SUM(L107,AD107)+0.002,1,0)+IF(AS107*1000000+SUM(U107,AM107)*10000+SUM(O107,AG107)*100+SUM(I107,AA107)+0.005&gt;AV107*1000000+SUM(X107,AP107)*10000+SUM(R107,AJ107)*100+SUM(L107,AD107)+0.002,1,0)+IF(AT107*1000000+SUM(V107,AN107)*10000+SUM(P107,AH107)*100+SUM(J107,AB107)+0.004&gt;AV107*1000000+SUM(X107,AP107)*10000+SUM(R107,AJ107)*100+SUM(L107,AD107)+0.002,1,0)+IF(AU107*1000000+SUM(W107,AO107)*10000+SUM(Q107,AI107)*100+SUM(K107,AC107)+0.003&gt;AV107*1000000+SUM(X107,AP107)*10000+SUM(R107,AJ107)*100+SUM(L107,AD107)+0.002,1,0)+IF(AW107*1000000+SUM(Y107,AQ107)*10000+SUM(S107,AK107)*100+SUM(M107,AE107)+0.001&gt;AV107*1000000+SUM(X107,AP107)*10000+SUM(R107,AJ107)*100+SUM(L107,AD107)+0.002,1,0)=0,"E",IF(IF(AR107*1000000+SUM(T107,AL107)*10000+SUM(N107,AF107)*100+SUM(H107,Z107)+0.006&gt;AW107*1000000+SUM(Y107,AQ107)*10000+SUM(S107,AK107)*100+SUM(M107,AE107)+0.001,1,0)+IF(AS107*1000000+SUM(U107,AM107)*10000+SUM(O107,AG107)*100+SUM(I107,AA107)+0.005&gt;AW107*1000000+SUM(Y107,AQ107)*10000+SUM(S107,AK107)*100+SUM(M107,AE107)+0.001,1,0)+IF(AT107*1000000+SUM(V107,AN107)*10000+SUM(P107,AH107)*100+SUM(J107,AB107)+0.004&gt;AW107*1000000+SUM(Y107,AQ107)*10000+SUM(S107,AK107)*100+SUM(M107,AE107)+0.001,1,0)+IF(AU107*1000000+SUM(W107,AO107)*10000+SUM(Q107,AI107)*100+SUM(K107,AC107)+0.003&gt;AW107*1000000+SUM(Y107,AQ107)*10000+SUM(S107,AK107)*100+SUM(M107,AE107)+0.001,1,0)+IF(AV107*1000000+SUM(X107,AP107)*10000+SUM(R107,AJ107)*100+SUM(L107,AD107)+0.002&gt;AW107*1000000+SUM(Y107,AQ107)*10000+SUM(S107,AK107)*100+SUM(M107,AE107)+0.001,1,0)=0,"C",""))))))&amp;IF(IF(AS107*1000000+SUM(U107,AM107)*10000+SUM(O107,AG107)*100+SUM(I107,AA107)+0.005&gt;AR107*1000000+SUM(T107,AL107)*10000+SUM(N107,AF107)*100+SUM(H107,Z107)+0.006,1,0)+IF(AT107*1000000+SUM(V107,AN107)*10000+SUM(P107,AH107)*100+SUM(J107,AB107)+0.004&gt;AR107*1000000+SUM(T107,AL107)*10000+SUM(N107,AF107)*100+SUM(H107,Z107)+0.006,1,0)+IF(AU107*1000000+SUM(W107,AO107)*10000+SUM(Q107,AI107)*100+SUM(K107,AC107)+0.003&gt;AR107*1000000+SUM(T107,AL107)*10000+SUM(N107,AF107)*100+SUM(H107,Z107)+0.006,1,0)+IF(AV107*1000000+SUM(X107,AP107)*10000+SUM(R107,AJ107)*100+SUM(L107,AD107)+0.002&gt;AR107*1000000+SUM(T107,AL107)*10000+SUM(N107,AF107)*100+SUM(H107,Z107)+0.006,1,0)+IF(AW107*1000000+SUM(Y107,AQ107)*10000+SUM(S107,AK107)*100+SUM(M107,AE107)+0.001&gt;AR107*1000000+SUM(T107,AL107)*10000+SUM(N107,AF107)*100+SUM(H107,Z107)+0.006,1,0)=1,"R",IF(IF(AR107*1000000+SUM(T107,AL107)*10000+SUM(N107,AF107)*100+SUM(H107,Z107)+0.006&gt;AS107*1000000+SUM(U107,AM107)*10000+SUM(O107,AG107)*100+SUM(I107,AA107)+0.005,1,0)+IF(AT107*1000000+SUM(V107,AN107)*10000+SUM(P107,AH107)*100+SUM(J107,AB107)+0.004&gt;AS107*1000000+SUM(U107,AM107)*10000+SUM(O107,AG107)*100+SUM(I107,AA107)+0.005,1,0)+IF(AU107*1000000+SUM(W107,AO107)*10000+SUM(Q107,AI107)*100+SUM(K107,AC107)+0.003&gt;AS107*1000000+SUM(U107,AM107)*10000+SUM(O107,AG107)*100+SUM(I107,AA107)+0.005,1,0)+IF(AV107*1000000+SUM(X107,AP107)*10000+SUM(R107,AJ107)*100+SUM(L107,AD107)+0.002&gt;AS107*1000000+SUM(U107,AM107)*10000+SUM(O107,AG107)*100+SUM(I107,AA107)+0.005,1,0)+IF(AW107*1000000+SUM(Y107,AQ107)*10000+SUM(S107,AK107)*100+SUM(M107,AE107)+0.001&gt;AS107*1000000+SUM(U107,AM107)*10000+SUM(O107,AG107)*100+SUM(I107,AA107)+0.005,1,0)=1,"I",IF(IF(AR107*1000000+SUM(T107,AL107)*10000+SUM(N107,AF107)*100+SUM(H107,Z107)+0.006&gt;AT107*1000000+SUM(V107,AN107)*10000+SUM(P107,AH107)*100+SUM(J107,AB107)+0.004,1,0)+IF(AS107*1000000+SUM(U107,AM107)*10000+SUM(O107,AG107)*100+SUM(I107,AA107)+0.005&gt;AT107*1000000+SUM(V107,AN107)*10000+SUM(P107,AH107)*100+SUM(J107,AB107)+0.004,1,0)+IF(AU107*1000000+SUM(W107,AO107)*10000+SUM(Q107,AI107)*100+SUM(K107,AC107)+0.003&gt;AT107*1000000+SUM(V107,AN107)*10000+SUM(P107,AH107)*100+SUM(J107,AB107)+0.004,1,0)+IF(AV107*1000000+SUM(X107,AP107)*10000+SUM(R107,AJ107)*100+SUM(L107,AD107)+0.002&gt;AT107*1000000+SUM(V107,AN107)*10000+SUM(P107,AH107)*100+SUM(J107,AB107)+0.004,1,0)+IF(AW107*1000000+SUM(Y107,AQ107)*10000+SUM(S107,AK107)*100+SUM(M107,AE107)+0.001&gt;AT107*1000000+SUM(V107,AN107)*10000+SUM(P107,AH107)*100+SUM(J107,AB107)+0.004,1,0)=1,"A",IF(IF(AR107*1000000+SUM(T107,AL107)*10000+SUM(N107,AF107)*100+SUM(H107,Z107)+0.006&gt;AU107*1000000+SUM(W107,AO107)*10000+SUM(Q107,AI107)*100+SUM(K107,AC107)+0.003,1,0)+IF(AS107*1000000+SUM(U107,AM107)*10000+SUM(O107,AG107)*100+SUM(I107,AA107)+0.005&gt;AU107*1000000+SUM(W107,AO107)*10000+SUM(Q107,AI107)*100+SUM(K107,AC107)+0.003,1,0)+IF(AT107*1000000+SUM(V107,AN107)*10000+SUM(P107,AH107)*100+SUM(J107,AB107)+0.004&gt;AU107*1000000+SUM(W107,AO107)*10000+SUM(Q107,AI107)*100+SUM(K107,AC107)+0.003,1,0)+IF(AV107*1000000+SUM(X107,AP107)*10000+SUM(R107,AJ107)*100+SUM(L107,AD107)+0.002&gt;AU107*1000000+SUM(W107,AO107)*10000+SUM(Q107,AI107)*100+SUM(K107,AC107)+0.003,1,0)+IF(AW107*1000000+SUM(Y107,AQ107)*10000+SUM(S107,AK107)*100+SUM(M107,AE107)+0.001&gt;AU107*1000000+SUM(W107,AO107)*10000+SUM(Q107,AI107)*100+SUM(K107,AC107)+0.003,1,0)=1,"S",IF(IF(AR107*1000000+SUM(T107,AL107)*10000+SUM(N107,AF107)*100+SUM(H107,Z107)+0.006&gt;AV107*1000000+SUM(X107,AP107)*10000+SUM(R107,AJ107)*100+SUM(L107,AD107)+0.002,1,0)+IF(AS107*1000000+SUM(U107,AM107)*10000+SUM(O107,AG107)*100+SUM(I107,AA107)+0.005&gt;AV107*1000000+SUM(X107,AP107)*10000+SUM(R107,AJ107)*100+SUM(L107,AD107)+0.002,1,0)+IF(AT107*1000000+SUM(V107,AN107)*10000+SUM(P107,AH107)*100+SUM(J107,AB107)+0.004&gt;AV107*1000000+SUM(X107,AP107)*10000+SUM(R107,AJ107)*100+SUM(L107,AD107)+0.002,1,0)+IF(AU107*1000000+SUM(W107,AO107)*10000+SUM(Q107,AI107)*100+SUM(K107,AC107)+0.003&gt;AV107*1000000+SUM(X107,AP107)*10000+SUM(R107,AJ107)*100+SUM(L107,AD107)+0.002,1,0)+IF(AW107*1000000+SUM(Y107,AQ107)*10000+SUM(S107,AK107)*100+SUM(M107,AE107)+0.001&gt;AV107*1000000+SUM(X107,AP107)*10000+SUM(R107,AJ107)*100+SUM(L107,AD107)+0.002,1,0)=1,"E",IF(IF(AR107*1000000+SUM(T107,AL107)*10000+SUM(N107,AF107)*100+SUM(H107,Z107)+0.006&gt;AW107*1000000+SUM(Y107,AQ107)*10000+SUM(S107,AK107)*100+SUM(M107,AE107)+0.001,1,0)+IF(AS107*1000000+SUM(U107,AM107)*10000+SUM(O107,AG107)*100+SUM(I107,AA107)+0.005&gt;AW107*1000000+SUM(Y107,AQ107)*10000+SUM(S107,AK107)*100+SUM(M107,AE107)+0.001,1,0)+IF(AT107*1000000+SUM(V107,AN107)*10000+SUM(P107,AH107)*100+SUM(J107,AB107)+0.004&gt;AW107*1000000+SUM(Y107,AQ107)*10000+SUM(S107,AK107)*100+SUM(M107,AE107)+0.001,1,0)+IF(AU107*1000000+SUM(W107,AO107)*10000+SUM(Q107,AI107)*100+SUM(K107,AC107)+0.003&gt;AW107*1000000+SUM(Y107,AQ107)*10000+SUM(S107,AK107)*100+SUM(M107,AE107)+0.001,1,0)+IF(AV107*1000000+SUM(X107,AP107)*10000+SUM(R107,AJ107)*100+SUM(L107,AD107)+0.002&gt;AW107*1000000+SUM(Y107,AQ107)*10000+SUM(S107,AK107)*100+SUM(M107,AE107)+0.001,1,0)=1,"C",""))))))&amp;IF(IF(AS107*1000000+SUM(U107,AM107)*10000+SUM(O107,AG107)*100+SUM(I107,AA107)+0.005&gt;AR107*1000000+SUM(T107,AL107)*10000+SUM(N107,AF107)*100+SUM(H107,Z107)+0.006,1,0)+IF(AT107*1000000+SUM(V107,AN107)*10000+SUM(P107,AH107)*100+SUM(J107,AB107)+0.004&gt;AR107*1000000+SUM(T107,AL107)*10000+SUM(N107,AF107)*100+SUM(H107,Z107)+0.006,1,0)+IF(AU107*1000000+SUM(W107,AO107)*10000+SUM(Q107,AI107)*100+SUM(K107,AC107)+0.003&gt;AR107*1000000+SUM(T107,AL107)*10000+SUM(N107,AF107)*100+SUM(H107,Z107)+0.006,1,0)+IF(AV107*1000000+SUM(X107,AP107)*10000+SUM(R107,AJ107)*100+SUM(L107,AD107)+0.002&gt;AR107*1000000+SUM(T107,AL107)*10000+SUM(N107,AF107)*100+SUM(H107,Z107)+0.006,1,0)+IF(AW107*1000000+SUM(Y107,AQ107)*10000+SUM(S107,AK107)*100+SUM(M107,AE107)+0.001&gt;AR107*1000000+SUM(T107,AL107)*10000+SUM(N107,AF107)*100+SUM(H107,Z107)+0.006,1,0)=2,"R",IF(IF(AR107*1000000+SUM(T107,AL107)*10000+SUM(N107,AF107)*100+SUM(H107,Z107)+0.006&gt;AS107*1000000+SUM(U107,AM107)*10000+SUM(O107,AG107)*100+SUM(I107,AA107)+0.005,1,0)+IF(AT107*1000000+SUM(V107,AN107)*10000+SUM(P107,AH107)*100+SUM(J107,AB107)+0.004&gt;AS107*1000000+SUM(U107,AM107)*10000+SUM(O107,AG107)*100+SUM(I107,AA107)+0.005,1,0)+IF(AU107*1000000+SUM(W107,AO107)*10000+SUM(Q107,AI107)*100+SUM(K107,AC107)+0.003&gt;AS107*1000000+SUM(U107,AM107)*10000+SUM(O107,AG107)*100+SUM(I107,AA107)+0.005,1,0)+IF(AV107*1000000+SUM(X107,AP107)*10000+SUM(R107,AJ107)*100+SUM(L107,AD107)+0.002&gt;AS107*1000000+SUM(U107,AM107)*10000+SUM(O107,AG107)*100+SUM(I107,AA107)+0.005,1,0)+IF(AW107*1000000+SUM(Y107,AQ107)*10000+SUM(S107,AK107)*100+SUM(M107,AE107)+0.001&gt;AS107*1000000+SUM(U107,AM107)*10000+SUM(O107,AG107)*100+SUM(I107,AA107)+0.005,1,0)=2,"I",IF(IF(AR107*1000000+SUM(T107,AL107)*10000+SUM(N107,AF107)*100+SUM(H107,Z107)+0.006&gt;AT107*1000000+SUM(V107,AN107)*10000+SUM(P107,AH107)*100+SUM(J107,AB107)+0.004,1,0)+IF(AS107*1000000+SUM(U107,AM107)*10000+SUM(O107,AG107)*100+SUM(I107,AA107)+0.005&gt;AT107*1000000+SUM(V107,AN107)*10000+SUM(P107,AH107)*100+SUM(J107,AB107)+0.004,1,0)+IF(AU107*1000000+SUM(W107,AO107)*10000+SUM(Q107,AI107)*100+SUM(K107,AC107)+0.003&gt;AT107*1000000+SUM(V107,AN107)*10000+SUM(P107,AH107)*100+SUM(J107,AB107)+0.004,1,0)+IF(AV107*1000000+SUM(X107,AP107)*10000+SUM(R107,AJ107)*100+SUM(L107,AD107)+0.002&gt;AT107*1000000+SUM(V107,AN107)*10000+SUM(P107,AH107)*100+SUM(J107,AB107)+0.004,1,0)+IF(AW107*1000000+SUM(Y107,AQ107)*10000+SUM(S107,AK107)*100+SUM(M107,AE107)+0.001&gt;AT107*1000000+SUM(V107,AN107)*10000+SUM(P107,AH107)*100+SUM(J107,AB107)+0.004,1,0)=2,"A",IF(IF(AR107*1000000+SUM(T107,AL107)*10000+SUM(N107,AF107)*100+SUM(H107,Z107)+0.006&gt;AU107*1000000+SUM(W107,AO107)*10000+SUM(Q107,AI107)*100+SUM(K107,AC107)+0.003,1,0)+IF(AS107*1000000+SUM(U107,AM107)*10000+SUM(O107,AG107)*100+SUM(I107,AA107)+0.005&gt;AU107*1000000+SUM(W107,AO107)*10000+SUM(Q107,AI107)*100+SUM(K107,AC107)+0.003,1,0)+IF(AT107*1000000+SUM(V107,AN107)*10000+SUM(P107,AH107)*100+SUM(J107,AB107)+0.004&gt;AU107*1000000+SUM(W107,AO107)*10000+SUM(Q107,AI107)*100+SUM(K107,AC107)+0.003,1,0)+IF(AV107*1000000+SUM(X107,AP107)*10000+SUM(R107,AJ107)*100+SUM(L107,AD107)+0.002&gt;AU107*1000000+SUM(W107,AO107)*10000+SUM(Q107,AI107)*100+SUM(K107,AC107)+0.003,1,0)+IF(AW107*1000000+SUM(Y107,AQ107)*10000+SUM(S107,AK107)*100+SUM(M107,AE107)+0.001&gt;AU107*1000000+SUM(W107,AO107)*10000+SUM(Q107,AI107)*100+SUM(K107,AC107)+0.003,1,0)=2,"S",IF(IF(AR107*1000000+SUM(T107,AL107)*10000+SUM(N107,AF107)*100+SUM(H107,Z107)+0.006&gt;AV107*1000000+SUM(X107,AP107)*10000+SUM(R107,AJ107)*100+SUM(L107,AD107)+0.002,1,0)+IF(AS107*1000000+SUM(U107,AM107)*10000+SUM(O107,AG107)*100+SUM(I107,AA107)+0.005&gt;AV107*1000000+SUM(X107,AP107)*10000+SUM(R107,AJ107)*100+SUM(L107,AD107)+0.002,1,0)+IF(AT107*1000000+SUM(V107,AN107)*10000+SUM(P107,AH107)*100+SUM(J107,AB107)+0.004&gt;AV107*1000000+SUM(X107,AP107)*10000+SUM(R107,AJ107)*100+SUM(L107,AD107)+0.002,1,0)+IF(AU107*1000000+SUM(W107,AO107)*10000+SUM(Q107,AI107)*100+SUM(K107,AC107)+0.003&gt;AV107*1000000+SUM(X107,AP107)*10000+SUM(R107,AJ107)*100+SUM(L107,AD107)+0.002,1,0)+IF(AW107*1000000+SUM(Y107,AQ107)*10000+SUM(S107,AK107)*100+SUM(M107,AE107)+0.001&gt;AV107*1000000+SUM(X107,AP107)*10000+SUM(R107,AJ107)*100+SUM(L107,AD107)+0.002,1,0)=2,"E",IF(IF(AR107*1000000+SUM(T107,AL107)*10000+SUM(N107,AF107)*100+SUM(H107,Z107)+0.006&gt;AW107*1000000+SUM(Y107,AQ107)*10000+SUM(S107,AK107)*100+SUM(M107,AE107)+0.001,1,0)+IF(AS107*1000000+SUM(U107,AM107)*10000+SUM(O107,AG107)*100+SUM(I107,AA107)+0.005&gt;AW107*1000000+SUM(Y107,AQ107)*10000+SUM(S107,AK107)*100+SUM(M107,AE107)+0.001,1,0)+IF(AT107*1000000+SUM(V107,AN107)*10000+SUM(P107,AH107)*100+SUM(J107,AB107)+0.004&gt;AW107*1000000+SUM(Y107,AQ107)*10000+SUM(S107,AK107)*100+SUM(M107,AE107)+0.001,1,0)+IF(AU107*1000000+SUM(W107,AO107)*10000+SUM(Q107,AI107)*100+SUM(K107,AC107)+0.003&gt;AW107*1000000+SUM(Y107,AQ107)*10000+SUM(S107,AK107)*100+SUM(M107,AE107)+0.001,1,0)+IF(AV107*1000000+SUM(X107,AP107)*10000+SUM(R107,AJ107)*100+SUM(L107,AD107)+0.002&gt;AW107*1000000+SUM(Y107,AQ107)*10000+SUM(S107,AK107)*100+SUM(M107,AE107)+0.001,1,0)=2,"C","")))))))</x:f>
      </x:c>
      <x:c r="AY107" s="27" t="str">
        <x:f>IF(C107="","",IF(LEFT(AX107,1)="R","นักปฏิบัติ",IF(LEFT(AX107,1)="I","นักคิดวิเคราะห์",IF(LEFT(AX107,1)="A","นักสร้างสรรค์",IF(LEFT(AX107,1)="S","ผู้เข้าใจผู้คน",IF(LEFT(AX107,1)="E","ผู้นำการเปลี่ยนแปลง","ผู้จัดระบบ"))))))</x:f>
      </x:c>
    </x:row>
    <x:row r="108">
      <x:c r="A108" s="27"/>
      <x:c r="B108" s="28"/>
      <x:c r="C108" s="27"/>
      <x:c r="D108" s="27"/>
      <x:c r="E108" s="27"/>
      <x:c r="F108" s="27"/>
      <x:c r="G108" s="27"/>
      <x:c r="H108" s="27"/>
      <x:c r="I108" s="27"/>
      <x:c r="J108" s="27"/>
      <x:c r="K108" s="27"/>
      <x:c r="L108" s="27"/>
      <x:c r="M108" s="27"/>
      <x:c r="N108" s="27"/>
      <x:c r="O108" s="27"/>
      <x:c r="P108" s="27"/>
      <x:c r="Q108" s="27"/>
      <x:c r="R108" s="27"/>
      <x:c r="S108" s="27"/>
      <x:c r="T108" s="27"/>
      <x:c r="U108" s="27"/>
      <x:c r="V108" s="27"/>
      <x:c r="W108" s="27"/>
      <x:c r="X108" s="27"/>
      <x:c r="Y108" s="27"/>
      <x:c r="Z108" s="27"/>
      <x:c r="AA108" s="27"/>
      <x:c r="AB108" s="27"/>
      <x:c r="AC108" s="27"/>
      <x:c r="AD108" s="27"/>
      <x:c r="AE108" s="27"/>
      <x:c r="AF108" s="27"/>
      <x:c r="AG108" s="27"/>
      <x:c r="AH108" s="27"/>
      <x:c r="AI108" s="27"/>
      <x:c r="AJ108" s="27"/>
      <x:c r="AK108" s="27"/>
      <x:c r="AL108" s="27"/>
      <x:c r="AM108" s="27"/>
      <x:c r="AN108" s="27"/>
      <x:c r="AO108" s="27"/>
      <x:c r="AP108" s="27"/>
      <x:c r="AQ108" s="27"/>
      <x:c r="AR108" s="27" t="str">
        <x:f>IF(C108="","",SUM(H108,N108,T108,Z108,AF108,AL108))</x:f>
      </x:c>
      <x:c r="AS108" s="27" t="str">
        <x:f>IF(C108="","",SUM(I108,O108,U108,AA108,AG108,AM108))</x:f>
      </x:c>
      <x:c r="AT108" s="27" t="str">
        <x:f>IF(C108="","",SUM(J108,P108,V108,AB108,AH108,AN108))</x:f>
      </x:c>
      <x:c r="AU108" s="27" t="str">
        <x:f>IF(C108="","",SUM(K108,Q108,W108,AC108,AI108,AO108))</x:f>
      </x:c>
      <x:c r="AV108" s="27" t="str">
        <x:f>IF(C108="","",SUM(L108,R108,X108,AD108,AJ108,AP108))</x:f>
      </x:c>
      <x:c r="AW108" s="27" t="str">
        <x:f>IF(C108="","",SUM(M108,S108,Y108,AE108,AK108,AQ108))</x:f>
      </x:c>
      <x:c r="AX108" s="27" t="str">
        <x:f>IF(C108="","",IF(IF(AS108*1000000+SUM(U108,AM108)*10000+SUM(O108,AG108)*100+SUM(I108,AA108)+0.005&gt;AR108*1000000+SUM(T108,AL108)*10000+SUM(N108,AF108)*100+SUM(H108,Z108)+0.006,1,0)+IF(AT108*1000000+SUM(V108,AN108)*10000+SUM(P108,AH108)*100+SUM(J108,AB108)+0.004&gt;AR108*1000000+SUM(T108,AL108)*10000+SUM(N108,AF108)*100+SUM(H108,Z108)+0.006,1,0)+IF(AU108*1000000+SUM(W108,AO108)*10000+SUM(Q108,AI108)*100+SUM(K108,AC108)+0.003&gt;AR108*1000000+SUM(T108,AL108)*10000+SUM(N108,AF108)*100+SUM(H108,Z108)+0.006,1,0)+IF(AV108*1000000+SUM(X108,AP108)*10000+SUM(R108,AJ108)*100+SUM(L108,AD108)+0.002&gt;AR108*1000000+SUM(T108,AL108)*10000+SUM(N108,AF108)*100+SUM(H108,Z108)+0.006,1,0)+IF(AW108*1000000+SUM(Y108,AQ108)*10000+SUM(S108,AK108)*100+SUM(M108,AE108)+0.001&gt;AR108*1000000+SUM(T108,AL108)*10000+SUM(N108,AF108)*100+SUM(H108,Z108)+0.006,1,0)=0,"R",IF(IF(AR108*1000000+SUM(T108,AL108)*10000+SUM(N108,AF108)*100+SUM(H108,Z108)+0.006&gt;AS108*1000000+SUM(U108,AM108)*10000+SUM(O108,AG108)*100+SUM(I108,AA108)+0.005,1,0)+IF(AT108*1000000+SUM(V108,AN108)*10000+SUM(P108,AH108)*100+SUM(J108,AB108)+0.004&gt;AS108*1000000+SUM(U108,AM108)*10000+SUM(O108,AG108)*100+SUM(I108,AA108)+0.005,1,0)+IF(AU108*1000000+SUM(W108,AO108)*10000+SUM(Q108,AI108)*100+SUM(K108,AC108)+0.003&gt;AS108*1000000+SUM(U108,AM108)*10000+SUM(O108,AG108)*100+SUM(I108,AA108)+0.005,1,0)+IF(AV108*1000000+SUM(X108,AP108)*10000+SUM(R108,AJ108)*100+SUM(L108,AD108)+0.002&gt;AS108*1000000+SUM(U108,AM108)*10000+SUM(O108,AG108)*100+SUM(I108,AA108)+0.005,1,0)+IF(AW108*1000000+SUM(Y108,AQ108)*10000+SUM(S108,AK108)*100+SUM(M108,AE108)+0.001&gt;AS108*1000000+SUM(U108,AM108)*10000+SUM(O108,AG108)*100+SUM(I108,AA108)+0.005,1,0)=0,"I",IF(IF(AR108*1000000+SUM(T108,AL108)*10000+SUM(N108,AF108)*100+SUM(H108,Z108)+0.006&gt;AT108*1000000+SUM(V108,AN108)*10000+SUM(P108,AH108)*100+SUM(J108,AB108)+0.004,1,0)+IF(AS108*1000000+SUM(U108,AM108)*10000+SUM(O108,AG108)*100+SUM(I108,AA108)+0.005&gt;AT108*1000000+SUM(V108,AN108)*10000+SUM(P108,AH108)*100+SUM(J108,AB108)+0.004,1,0)+IF(AU108*1000000+SUM(W108,AO108)*10000+SUM(Q108,AI108)*100+SUM(K108,AC108)+0.003&gt;AT108*1000000+SUM(V108,AN108)*10000+SUM(P108,AH108)*100+SUM(J108,AB108)+0.004,1,0)+IF(AV108*1000000+SUM(X108,AP108)*10000+SUM(R108,AJ108)*100+SUM(L108,AD108)+0.002&gt;AT108*1000000+SUM(V108,AN108)*10000+SUM(P108,AH108)*100+SUM(J108,AB108)+0.004,1,0)+IF(AW108*1000000+SUM(Y108,AQ108)*10000+SUM(S108,AK108)*100+SUM(M108,AE108)+0.001&gt;AT108*1000000+SUM(V108,AN108)*10000+SUM(P108,AH108)*100+SUM(J108,AB108)+0.004,1,0)=0,"A",IF(IF(AR108*1000000+SUM(T108,AL108)*10000+SUM(N108,AF108)*100+SUM(H108,Z108)+0.006&gt;AU108*1000000+SUM(W108,AO108)*10000+SUM(Q108,AI108)*100+SUM(K108,AC108)+0.003,1,0)+IF(AS108*1000000+SUM(U108,AM108)*10000+SUM(O108,AG108)*100+SUM(I108,AA108)+0.005&gt;AU108*1000000+SUM(W108,AO108)*10000+SUM(Q108,AI108)*100+SUM(K108,AC108)+0.003,1,0)+IF(AT108*1000000+SUM(V108,AN108)*10000+SUM(P108,AH108)*100+SUM(J108,AB108)+0.004&gt;AU108*1000000+SUM(W108,AO108)*10000+SUM(Q108,AI108)*100+SUM(K108,AC108)+0.003,1,0)+IF(AV108*1000000+SUM(X108,AP108)*10000+SUM(R108,AJ108)*100+SUM(L108,AD108)+0.002&gt;AU108*1000000+SUM(W108,AO108)*10000+SUM(Q108,AI108)*100+SUM(K108,AC108)+0.003,1,0)+IF(AW108*1000000+SUM(Y108,AQ108)*10000+SUM(S108,AK108)*100+SUM(M108,AE108)+0.001&gt;AU108*1000000+SUM(W108,AO108)*10000+SUM(Q108,AI108)*100+SUM(K108,AC108)+0.003,1,0)=0,"S",IF(IF(AR108*1000000+SUM(T108,AL108)*10000+SUM(N108,AF108)*100+SUM(H108,Z108)+0.006&gt;AV108*1000000+SUM(X108,AP108)*10000+SUM(R108,AJ108)*100+SUM(L108,AD108)+0.002,1,0)+IF(AS108*1000000+SUM(U108,AM108)*10000+SUM(O108,AG108)*100+SUM(I108,AA108)+0.005&gt;AV108*1000000+SUM(X108,AP108)*10000+SUM(R108,AJ108)*100+SUM(L108,AD108)+0.002,1,0)+IF(AT108*1000000+SUM(V108,AN108)*10000+SUM(P108,AH108)*100+SUM(J108,AB108)+0.004&gt;AV108*1000000+SUM(X108,AP108)*10000+SUM(R108,AJ108)*100+SUM(L108,AD108)+0.002,1,0)+IF(AU108*1000000+SUM(W108,AO108)*10000+SUM(Q108,AI108)*100+SUM(K108,AC108)+0.003&gt;AV108*1000000+SUM(X108,AP108)*10000+SUM(R108,AJ108)*100+SUM(L108,AD108)+0.002,1,0)+IF(AW108*1000000+SUM(Y108,AQ108)*10000+SUM(S108,AK108)*100+SUM(M108,AE108)+0.001&gt;AV108*1000000+SUM(X108,AP108)*10000+SUM(R108,AJ108)*100+SUM(L108,AD108)+0.002,1,0)=0,"E",IF(IF(AR108*1000000+SUM(T108,AL108)*10000+SUM(N108,AF108)*100+SUM(H108,Z108)+0.006&gt;AW108*1000000+SUM(Y108,AQ108)*10000+SUM(S108,AK108)*100+SUM(M108,AE108)+0.001,1,0)+IF(AS108*1000000+SUM(U108,AM108)*10000+SUM(O108,AG108)*100+SUM(I108,AA108)+0.005&gt;AW108*1000000+SUM(Y108,AQ108)*10000+SUM(S108,AK108)*100+SUM(M108,AE108)+0.001,1,0)+IF(AT108*1000000+SUM(V108,AN108)*10000+SUM(P108,AH108)*100+SUM(J108,AB108)+0.004&gt;AW108*1000000+SUM(Y108,AQ108)*10000+SUM(S108,AK108)*100+SUM(M108,AE108)+0.001,1,0)+IF(AU108*1000000+SUM(W108,AO108)*10000+SUM(Q108,AI108)*100+SUM(K108,AC108)+0.003&gt;AW108*1000000+SUM(Y108,AQ108)*10000+SUM(S108,AK108)*100+SUM(M108,AE108)+0.001,1,0)+IF(AV108*1000000+SUM(X108,AP108)*10000+SUM(R108,AJ108)*100+SUM(L108,AD108)+0.002&gt;AW108*1000000+SUM(Y108,AQ108)*10000+SUM(S108,AK108)*100+SUM(M108,AE108)+0.001,1,0)=0,"C",""))))))&amp;IF(IF(AS108*1000000+SUM(U108,AM108)*10000+SUM(O108,AG108)*100+SUM(I108,AA108)+0.005&gt;AR108*1000000+SUM(T108,AL108)*10000+SUM(N108,AF108)*100+SUM(H108,Z108)+0.006,1,0)+IF(AT108*1000000+SUM(V108,AN108)*10000+SUM(P108,AH108)*100+SUM(J108,AB108)+0.004&gt;AR108*1000000+SUM(T108,AL108)*10000+SUM(N108,AF108)*100+SUM(H108,Z108)+0.006,1,0)+IF(AU108*1000000+SUM(W108,AO108)*10000+SUM(Q108,AI108)*100+SUM(K108,AC108)+0.003&gt;AR108*1000000+SUM(T108,AL108)*10000+SUM(N108,AF108)*100+SUM(H108,Z108)+0.006,1,0)+IF(AV108*1000000+SUM(X108,AP108)*10000+SUM(R108,AJ108)*100+SUM(L108,AD108)+0.002&gt;AR108*1000000+SUM(T108,AL108)*10000+SUM(N108,AF108)*100+SUM(H108,Z108)+0.006,1,0)+IF(AW108*1000000+SUM(Y108,AQ108)*10000+SUM(S108,AK108)*100+SUM(M108,AE108)+0.001&gt;AR108*1000000+SUM(T108,AL108)*10000+SUM(N108,AF108)*100+SUM(H108,Z108)+0.006,1,0)=1,"R",IF(IF(AR108*1000000+SUM(T108,AL108)*10000+SUM(N108,AF108)*100+SUM(H108,Z108)+0.006&gt;AS108*1000000+SUM(U108,AM108)*10000+SUM(O108,AG108)*100+SUM(I108,AA108)+0.005,1,0)+IF(AT108*1000000+SUM(V108,AN108)*10000+SUM(P108,AH108)*100+SUM(J108,AB108)+0.004&gt;AS108*1000000+SUM(U108,AM108)*10000+SUM(O108,AG108)*100+SUM(I108,AA108)+0.005,1,0)+IF(AU108*1000000+SUM(W108,AO108)*10000+SUM(Q108,AI108)*100+SUM(K108,AC108)+0.003&gt;AS108*1000000+SUM(U108,AM108)*10000+SUM(O108,AG108)*100+SUM(I108,AA108)+0.005,1,0)+IF(AV108*1000000+SUM(X108,AP108)*10000+SUM(R108,AJ108)*100+SUM(L108,AD108)+0.002&gt;AS108*1000000+SUM(U108,AM108)*10000+SUM(O108,AG108)*100+SUM(I108,AA108)+0.005,1,0)+IF(AW108*1000000+SUM(Y108,AQ108)*10000+SUM(S108,AK108)*100+SUM(M108,AE108)+0.001&gt;AS108*1000000+SUM(U108,AM108)*10000+SUM(O108,AG108)*100+SUM(I108,AA108)+0.005,1,0)=1,"I",IF(IF(AR108*1000000+SUM(T108,AL108)*10000+SUM(N108,AF108)*100+SUM(H108,Z108)+0.006&gt;AT108*1000000+SUM(V108,AN108)*10000+SUM(P108,AH108)*100+SUM(J108,AB108)+0.004,1,0)+IF(AS108*1000000+SUM(U108,AM108)*10000+SUM(O108,AG108)*100+SUM(I108,AA108)+0.005&gt;AT108*1000000+SUM(V108,AN108)*10000+SUM(P108,AH108)*100+SUM(J108,AB108)+0.004,1,0)+IF(AU108*1000000+SUM(W108,AO108)*10000+SUM(Q108,AI108)*100+SUM(K108,AC108)+0.003&gt;AT108*1000000+SUM(V108,AN108)*10000+SUM(P108,AH108)*100+SUM(J108,AB108)+0.004,1,0)+IF(AV108*1000000+SUM(X108,AP108)*10000+SUM(R108,AJ108)*100+SUM(L108,AD108)+0.002&gt;AT108*1000000+SUM(V108,AN108)*10000+SUM(P108,AH108)*100+SUM(J108,AB108)+0.004,1,0)+IF(AW108*1000000+SUM(Y108,AQ108)*10000+SUM(S108,AK108)*100+SUM(M108,AE108)+0.001&gt;AT108*1000000+SUM(V108,AN108)*10000+SUM(P108,AH108)*100+SUM(J108,AB108)+0.004,1,0)=1,"A",IF(IF(AR108*1000000+SUM(T108,AL108)*10000+SUM(N108,AF108)*100+SUM(H108,Z108)+0.006&gt;AU108*1000000+SUM(W108,AO108)*10000+SUM(Q108,AI108)*100+SUM(K108,AC108)+0.003,1,0)+IF(AS108*1000000+SUM(U108,AM108)*10000+SUM(O108,AG108)*100+SUM(I108,AA108)+0.005&gt;AU108*1000000+SUM(W108,AO108)*10000+SUM(Q108,AI108)*100+SUM(K108,AC108)+0.003,1,0)+IF(AT108*1000000+SUM(V108,AN108)*10000+SUM(P108,AH108)*100+SUM(J108,AB108)+0.004&gt;AU108*1000000+SUM(W108,AO108)*10000+SUM(Q108,AI108)*100+SUM(K108,AC108)+0.003,1,0)+IF(AV108*1000000+SUM(X108,AP108)*10000+SUM(R108,AJ108)*100+SUM(L108,AD108)+0.002&gt;AU108*1000000+SUM(W108,AO108)*10000+SUM(Q108,AI108)*100+SUM(K108,AC108)+0.003,1,0)+IF(AW108*1000000+SUM(Y108,AQ108)*10000+SUM(S108,AK108)*100+SUM(M108,AE108)+0.001&gt;AU108*1000000+SUM(W108,AO108)*10000+SUM(Q108,AI108)*100+SUM(K108,AC108)+0.003,1,0)=1,"S",IF(IF(AR108*1000000+SUM(T108,AL108)*10000+SUM(N108,AF108)*100+SUM(H108,Z108)+0.006&gt;AV108*1000000+SUM(X108,AP108)*10000+SUM(R108,AJ108)*100+SUM(L108,AD108)+0.002,1,0)+IF(AS108*1000000+SUM(U108,AM108)*10000+SUM(O108,AG108)*100+SUM(I108,AA108)+0.005&gt;AV108*1000000+SUM(X108,AP108)*10000+SUM(R108,AJ108)*100+SUM(L108,AD108)+0.002,1,0)+IF(AT108*1000000+SUM(V108,AN108)*10000+SUM(P108,AH108)*100+SUM(J108,AB108)+0.004&gt;AV108*1000000+SUM(X108,AP108)*10000+SUM(R108,AJ108)*100+SUM(L108,AD108)+0.002,1,0)+IF(AU108*1000000+SUM(W108,AO108)*10000+SUM(Q108,AI108)*100+SUM(K108,AC108)+0.003&gt;AV108*1000000+SUM(X108,AP108)*10000+SUM(R108,AJ108)*100+SUM(L108,AD108)+0.002,1,0)+IF(AW108*1000000+SUM(Y108,AQ108)*10000+SUM(S108,AK108)*100+SUM(M108,AE108)+0.001&gt;AV108*1000000+SUM(X108,AP108)*10000+SUM(R108,AJ108)*100+SUM(L108,AD108)+0.002,1,0)=1,"E",IF(IF(AR108*1000000+SUM(T108,AL108)*10000+SUM(N108,AF108)*100+SUM(H108,Z108)+0.006&gt;AW108*1000000+SUM(Y108,AQ108)*10000+SUM(S108,AK108)*100+SUM(M108,AE108)+0.001,1,0)+IF(AS108*1000000+SUM(U108,AM108)*10000+SUM(O108,AG108)*100+SUM(I108,AA108)+0.005&gt;AW108*1000000+SUM(Y108,AQ108)*10000+SUM(S108,AK108)*100+SUM(M108,AE108)+0.001,1,0)+IF(AT108*1000000+SUM(V108,AN108)*10000+SUM(P108,AH108)*100+SUM(J108,AB108)+0.004&gt;AW108*1000000+SUM(Y108,AQ108)*10000+SUM(S108,AK108)*100+SUM(M108,AE108)+0.001,1,0)+IF(AU108*1000000+SUM(W108,AO108)*10000+SUM(Q108,AI108)*100+SUM(K108,AC108)+0.003&gt;AW108*1000000+SUM(Y108,AQ108)*10000+SUM(S108,AK108)*100+SUM(M108,AE108)+0.001,1,0)+IF(AV108*1000000+SUM(X108,AP108)*10000+SUM(R108,AJ108)*100+SUM(L108,AD108)+0.002&gt;AW108*1000000+SUM(Y108,AQ108)*10000+SUM(S108,AK108)*100+SUM(M108,AE108)+0.001,1,0)=1,"C",""))))))&amp;IF(IF(AS108*1000000+SUM(U108,AM108)*10000+SUM(O108,AG108)*100+SUM(I108,AA108)+0.005&gt;AR108*1000000+SUM(T108,AL108)*10000+SUM(N108,AF108)*100+SUM(H108,Z108)+0.006,1,0)+IF(AT108*1000000+SUM(V108,AN108)*10000+SUM(P108,AH108)*100+SUM(J108,AB108)+0.004&gt;AR108*1000000+SUM(T108,AL108)*10000+SUM(N108,AF108)*100+SUM(H108,Z108)+0.006,1,0)+IF(AU108*1000000+SUM(W108,AO108)*10000+SUM(Q108,AI108)*100+SUM(K108,AC108)+0.003&gt;AR108*1000000+SUM(T108,AL108)*10000+SUM(N108,AF108)*100+SUM(H108,Z108)+0.006,1,0)+IF(AV108*1000000+SUM(X108,AP108)*10000+SUM(R108,AJ108)*100+SUM(L108,AD108)+0.002&gt;AR108*1000000+SUM(T108,AL108)*10000+SUM(N108,AF108)*100+SUM(H108,Z108)+0.006,1,0)+IF(AW108*1000000+SUM(Y108,AQ108)*10000+SUM(S108,AK108)*100+SUM(M108,AE108)+0.001&gt;AR108*1000000+SUM(T108,AL108)*10000+SUM(N108,AF108)*100+SUM(H108,Z108)+0.006,1,0)=2,"R",IF(IF(AR108*1000000+SUM(T108,AL108)*10000+SUM(N108,AF108)*100+SUM(H108,Z108)+0.006&gt;AS108*1000000+SUM(U108,AM108)*10000+SUM(O108,AG108)*100+SUM(I108,AA108)+0.005,1,0)+IF(AT108*1000000+SUM(V108,AN108)*10000+SUM(P108,AH108)*100+SUM(J108,AB108)+0.004&gt;AS108*1000000+SUM(U108,AM108)*10000+SUM(O108,AG108)*100+SUM(I108,AA108)+0.005,1,0)+IF(AU108*1000000+SUM(W108,AO108)*10000+SUM(Q108,AI108)*100+SUM(K108,AC108)+0.003&gt;AS108*1000000+SUM(U108,AM108)*10000+SUM(O108,AG108)*100+SUM(I108,AA108)+0.005,1,0)+IF(AV108*1000000+SUM(X108,AP108)*10000+SUM(R108,AJ108)*100+SUM(L108,AD108)+0.002&gt;AS108*1000000+SUM(U108,AM108)*10000+SUM(O108,AG108)*100+SUM(I108,AA108)+0.005,1,0)+IF(AW108*1000000+SUM(Y108,AQ108)*10000+SUM(S108,AK108)*100+SUM(M108,AE108)+0.001&gt;AS108*1000000+SUM(U108,AM108)*10000+SUM(O108,AG108)*100+SUM(I108,AA108)+0.005,1,0)=2,"I",IF(IF(AR108*1000000+SUM(T108,AL108)*10000+SUM(N108,AF108)*100+SUM(H108,Z108)+0.006&gt;AT108*1000000+SUM(V108,AN108)*10000+SUM(P108,AH108)*100+SUM(J108,AB108)+0.004,1,0)+IF(AS108*1000000+SUM(U108,AM108)*10000+SUM(O108,AG108)*100+SUM(I108,AA108)+0.005&gt;AT108*1000000+SUM(V108,AN108)*10000+SUM(P108,AH108)*100+SUM(J108,AB108)+0.004,1,0)+IF(AU108*1000000+SUM(W108,AO108)*10000+SUM(Q108,AI108)*100+SUM(K108,AC108)+0.003&gt;AT108*1000000+SUM(V108,AN108)*10000+SUM(P108,AH108)*100+SUM(J108,AB108)+0.004,1,0)+IF(AV108*1000000+SUM(X108,AP108)*10000+SUM(R108,AJ108)*100+SUM(L108,AD108)+0.002&gt;AT108*1000000+SUM(V108,AN108)*10000+SUM(P108,AH108)*100+SUM(J108,AB108)+0.004,1,0)+IF(AW108*1000000+SUM(Y108,AQ108)*10000+SUM(S108,AK108)*100+SUM(M108,AE108)+0.001&gt;AT108*1000000+SUM(V108,AN108)*10000+SUM(P108,AH108)*100+SUM(J108,AB108)+0.004,1,0)=2,"A",IF(IF(AR108*1000000+SUM(T108,AL108)*10000+SUM(N108,AF108)*100+SUM(H108,Z108)+0.006&gt;AU108*1000000+SUM(W108,AO108)*10000+SUM(Q108,AI108)*100+SUM(K108,AC108)+0.003,1,0)+IF(AS108*1000000+SUM(U108,AM108)*10000+SUM(O108,AG108)*100+SUM(I108,AA108)+0.005&gt;AU108*1000000+SUM(W108,AO108)*10000+SUM(Q108,AI108)*100+SUM(K108,AC108)+0.003,1,0)+IF(AT108*1000000+SUM(V108,AN108)*10000+SUM(P108,AH108)*100+SUM(J108,AB108)+0.004&gt;AU108*1000000+SUM(W108,AO108)*10000+SUM(Q108,AI108)*100+SUM(K108,AC108)+0.003,1,0)+IF(AV108*1000000+SUM(X108,AP108)*10000+SUM(R108,AJ108)*100+SUM(L108,AD108)+0.002&gt;AU108*1000000+SUM(W108,AO108)*10000+SUM(Q108,AI108)*100+SUM(K108,AC108)+0.003,1,0)+IF(AW108*1000000+SUM(Y108,AQ108)*10000+SUM(S108,AK108)*100+SUM(M108,AE108)+0.001&gt;AU108*1000000+SUM(W108,AO108)*10000+SUM(Q108,AI108)*100+SUM(K108,AC108)+0.003,1,0)=2,"S",IF(IF(AR108*1000000+SUM(T108,AL108)*10000+SUM(N108,AF108)*100+SUM(H108,Z108)+0.006&gt;AV108*1000000+SUM(X108,AP108)*10000+SUM(R108,AJ108)*100+SUM(L108,AD108)+0.002,1,0)+IF(AS108*1000000+SUM(U108,AM108)*10000+SUM(O108,AG108)*100+SUM(I108,AA108)+0.005&gt;AV108*1000000+SUM(X108,AP108)*10000+SUM(R108,AJ108)*100+SUM(L108,AD108)+0.002,1,0)+IF(AT108*1000000+SUM(V108,AN108)*10000+SUM(P108,AH108)*100+SUM(J108,AB108)+0.004&gt;AV108*1000000+SUM(X108,AP108)*10000+SUM(R108,AJ108)*100+SUM(L108,AD108)+0.002,1,0)+IF(AU108*1000000+SUM(W108,AO108)*10000+SUM(Q108,AI108)*100+SUM(K108,AC108)+0.003&gt;AV108*1000000+SUM(X108,AP108)*10000+SUM(R108,AJ108)*100+SUM(L108,AD108)+0.002,1,0)+IF(AW108*1000000+SUM(Y108,AQ108)*10000+SUM(S108,AK108)*100+SUM(M108,AE108)+0.001&gt;AV108*1000000+SUM(X108,AP108)*10000+SUM(R108,AJ108)*100+SUM(L108,AD108)+0.002,1,0)=2,"E",IF(IF(AR108*1000000+SUM(T108,AL108)*10000+SUM(N108,AF108)*100+SUM(H108,Z108)+0.006&gt;AW108*1000000+SUM(Y108,AQ108)*10000+SUM(S108,AK108)*100+SUM(M108,AE108)+0.001,1,0)+IF(AS108*1000000+SUM(U108,AM108)*10000+SUM(O108,AG108)*100+SUM(I108,AA108)+0.005&gt;AW108*1000000+SUM(Y108,AQ108)*10000+SUM(S108,AK108)*100+SUM(M108,AE108)+0.001,1,0)+IF(AT108*1000000+SUM(V108,AN108)*10000+SUM(P108,AH108)*100+SUM(J108,AB108)+0.004&gt;AW108*1000000+SUM(Y108,AQ108)*10000+SUM(S108,AK108)*100+SUM(M108,AE108)+0.001,1,0)+IF(AU108*1000000+SUM(W108,AO108)*10000+SUM(Q108,AI108)*100+SUM(K108,AC108)+0.003&gt;AW108*1000000+SUM(Y108,AQ108)*10000+SUM(S108,AK108)*100+SUM(M108,AE108)+0.001,1,0)+IF(AV108*1000000+SUM(X108,AP108)*10000+SUM(R108,AJ108)*100+SUM(L108,AD108)+0.002&gt;AW108*1000000+SUM(Y108,AQ108)*10000+SUM(S108,AK108)*100+SUM(M108,AE108)+0.001,1,0)=2,"C","")))))))</x:f>
      </x:c>
      <x:c r="AY108" s="27" t="str">
        <x:f>IF(C108="","",IF(LEFT(AX108,1)="R","นักปฏิบัติ",IF(LEFT(AX108,1)="I","นักคิดวิเคราะห์",IF(LEFT(AX108,1)="A","นักสร้างสรรค์",IF(LEFT(AX108,1)="S","ผู้เข้าใจผู้คน",IF(LEFT(AX108,1)="E","ผู้นำการเปลี่ยนแปลง","ผู้จัดระบบ"))))))</x:f>
      </x:c>
    </x:row>
    <x:row r="109">
      <x:c r="A109" s="27"/>
      <x:c r="B109" s="28"/>
      <x:c r="C109" s="27"/>
      <x:c r="D109" s="27"/>
      <x:c r="E109" s="27"/>
      <x:c r="F109" s="27"/>
      <x:c r="G109" s="27"/>
      <x:c r="H109" s="27"/>
      <x:c r="I109" s="27"/>
      <x:c r="J109" s="27"/>
      <x:c r="K109" s="27"/>
      <x:c r="L109" s="27"/>
      <x:c r="M109" s="27"/>
      <x:c r="N109" s="27"/>
      <x:c r="O109" s="27"/>
      <x:c r="P109" s="27"/>
      <x:c r="Q109" s="27"/>
      <x:c r="R109" s="27"/>
      <x:c r="S109" s="27"/>
      <x:c r="T109" s="27"/>
      <x:c r="U109" s="27"/>
      <x:c r="V109" s="27"/>
      <x:c r="W109" s="27"/>
      <x:c r="X109" s="27"/>
      <x:c r="Y109" s="27"/>
      <x:c r="Z109" s="27"/>
      <x:c r="AA109" s="27"/>
      <x:c r="AB109" s="27"/>
      <x:c r="AC109" s="27"/>
      <x:c r="AD109" s="27"/>
      <x:c r="AE109" s="27"/>
      <x:c r="AF109" s="27"/>
      <x:c r="AG109" s="27"/>
      <x:c r="AH109" s="27"/>
      <x:c r="AI109" s="27"/>
      <x:c r="AJ109" s="27"/>
      <x:c r="AK109" s="27"/>
      <x:c r="AL109" s="27"/>
      <x:c r="AM109" s="27"/>
      <x:c r="AN109" s="27"/>
      <x:c r="AO109" s="27"/>
      <x:c r="AP109" s="27"/>
      <x:c r="AQ109" s="27"/>
      <x:c r="AR109" s="27" t="str">
        <x:f>IF(C109="","",SUM(H109,N109,T109,Z109,AF109,AL109))</x:f>
      </x:c>
      <x:c r="AS109" s="27" t="str">
        <x:f>IF(C109="","",SUM(I109,O109,U109,AA109,AG109,AM109))</x:f>
      </x:c>
      <x:c r="AT109" s="27" t="str">
        <x:f>IF(C109="","",SUM(J109,P109,V109,AB109,AH109,AN109))</x:f>
      </x:c>
      <x:c r="AU109" s="27" t="str">
        <x:f>IF(C109="","",SUM(K109,Q109,W109,AC109,AI109,AO109))</x:f>
      </x:c>
      <x:c r="AV109" s="27" t="str">
        <x:f>IF(C109="","",SUM(L109,R109,X109,AD109,AJ109,AP109))</x:f>
      </x:c>
      <x:c r="AW109" s="27" t="str">
        <x:f>IF(C109="","",SUM(M109,S109,Y109,AE109,AK109,AQ109))</x:f>
      </x:c>
      <x:c r="AX109" s="27" t="str">
        <x:f>IF(C109="","",IF(IF(AS109*1000000+SUM(U109,AM109)*10000+SUM(O109,AG109)*100+SUM(I109,AA109)+0.005&gt;AR109*1000000+SUM(T109,AL109)*10000+SUM(N109,AF109)*100+SUM(H109,Z109)+0.006,1,0)+IF(AT109*1000000+SUM(V109,AN109)*10000+SUM(P109,AH109)*100+SUM(J109,AB109)+0.004&gt;AR109*1000000+SUM(T109,AL109)*10000+SUM(N109,AF109)*100+SUM(H109,Z109)+0.006,1,0)+IF(AU109*1000000+SUM(W109,AO109)*10000+SUM(Q109,AI109)*100+SUM(K109,AC109)+0.003&gt;AR109*1000000+SUM(T109,AL109)*10000+SUM(N109,AF109)*100+SUM(H109,Z109)+0.006,1,0)+IF(AV109*1000000+SUM(X109,AP109)*10000+SUM(R109,AJ109)*100+SUM(L109,AD109)+0.002&gt;AR109*1000000+SUM(T109,AL109)*10000+SUM(N109,AF109)*100+SUM(H109,Z109)+0.006,1,0)+IF(AW109*1000000+SUM(Y109,AQ109)*10000+SUM(S109,AK109)*100+SUM(M109,AE109)+0.001&gt;AR109*1000000+SUM(T109,AL109)*10000+SUM(N109,AF109)*100+SUM(H109,Z109)+0.006,1,0)=0,"R",IF(IF(AR109*1000000+SUM(T109,AL109)*10000+SUM(N109,AF109)*100+SUM(H109,Z109)+0.006&gt;AS109*1000000+SUM(U109,AM109)*10000+SUM(O109,AG109)*100+SUM(I109,AA109)+0.005,1,0)+IF(AT109*1000000+SUM(V109,AN109)*10000+SUM(P109,AH109)*100+SUM(J109,AB109)+0.004&gt;AS109*1000000+SUM(U109,AM109)*10000+SUM(O109,AG109)*100+SUM(I109,AA109)+0.005,1,0)+IF(AU109*1000000+SUM(W109,AO109)*10000+SUM(Q109,AI109)*100+SUM(K109,AC109)+0.003&gt;AS109*1000000+SUM(U109,AM109)*10000+SUM(O109,AG109)*100+SUM(I109,AA109)+0.005,1,0)+IF(AV109*1000000+SUM(X109,AP109)*10000+SUM(R109,AJ109)*100+SUM(L109,AD109)+0.002&gt;AS109*1000000+SUM(U109,AM109)*10000+SUM(O109,AG109)*100+SUM(I109,AA109)+0.005,1,0)+IF(AW109*1000000+SUM(Y109,AQ109)*10000+SUM(S109,AK109)*100+SUM(M109,AE109)+0.001&gt;AS109*1000000+SUM(U109,AM109)*10000+SUM(O109,AG109)*100+SUM(I109,AA109)+0.005,1,0)=0,"I",IF(IF(AR109*1000000+SUM(T109,AL109)*10000+SUM(N109,AF109)*100+SUM(H109,Z109)+0.006&gt;AT109*1000000+SUM(V109,AN109)*10000+SUM(P109,AH109)*100+SUM(J109,AB109)+0.004,1,0)+IF(AS109*1000000+SUM(U109,AM109)*10000+SUM(O109,AG109)*100+SUM(I109,AA109)+0.005&gt;AT109*1000000+SUM(V109,AN109)*10000+SUM(P109,AH109)*100+SUM(J109,AB109)+0.004,1,0)+IF(AU109*1000000+SUM(W109,AO109)*10000+SUM(Q109,AI109)*100+SUM(K109,AC109)+0.003&gt;AT109*1000000+SUM(V109,AN109)*10000+SUM(P109,AH109)*100+SUM(J109,AB109)+0.004,1,0)+IF(AV109*1000000+SUM(X109,AP109)*10000+SUM(R109,AJ109)*100+SUM(L109,AD109)+0.002&gt;AT109*1000000+SUM(V109,AN109)*10000+SUM(P109,AH109)*100+SUM(J109,AB109)+0.004,1,0)+IF(AW109*1000000+SUM(Y109,AQ109)*10000+SUM(S109,AK109)*100+SUM(M109,AE109)+0.001&gt;AT109*1000000+SUM(V109,AN109)*10000+SUM(P109,AH109)*100+SUM(J109,AB109)+0.004,1,0)=0,"A",IF(IF(AR109*1000000+SUM(T109,AL109)*10000+SUM(N109,AF109)*100+SUM(H109,Z109)+0.006&gt;AU109*1000000+SUM(W109,AO109)*10000+SUM(Q109,AI109)*100+SUM(K109,AC109)+0.003,1,0)+IF(AS109*1000000+SUM(U109,AM109)*10000+SUM(O109,AG109)*100+SUM(I109,AA109)+0.005&gt;AU109*1000000+SUM(W109,AO109)*10000+SUM(Q109,AI109)*100+SUM(K109,AC109)+0.003,1,0)+IF(AT109*1000000+SUM(V109,AN109)*10000+SUM(P109,AH109)*100+SUM(J109,AB109)+0.004&gt;AU109*1000000+SUM(W109,AO109)*10000+SUM(Q109,AI109)*100+SUM(K109,AC109)+0.003,1,0)+IF(AV109*1000000+SUM(X109,AP109)*10000+SUM(R109,AJ109)*100+SUM(L109,AD109)+0.002&gt;AU109*1000000+SUM(W109,AO109)*10000+SUM(Q109,AI109)*100+SUM(K109,AC109)+0.003,1,0)+IF(AW109*1000000+SUM(Y109,AQ109)*10000+SUM(S109,AK109)*100+SUM(M109,AE109)+0.001&gt;AU109*1000000+SUM(W109,AO109)*10000+SUM(Q109,AI109)*100+SUM(K109,AC109)+0.003,1,0)=0,"S",IF(IF(AR109*1000000+SUM(T109,AL109)*10000+SUM(N109,AF109)*100+SUM(H109,Z109)+0.006&gt;AV109*1000000+SUM(X109,AP109)*10000+SUM(R109,AJ109)*100+SUM(L109,AD109)+0.002,1,0)+IF(AS109*1000000+SUM(U109,AM109)*10000+SUM(O109,AG109)*100+SUM(I109,AA109)+0.005&gt;AV109*1000000+SUM(X109,AP109)*10000+SUM(R109,AJ109)*100+SUM(L109,AD109)+0.002,1,0)+IF(AT109*1000000+SUM(V109,AN109)*10000+SUM(P109,AH109)*100+SUM(J109,AB109)+0.004&gt;AV109*1000000+SUM(X109,AP109)*10000+SUM(R109,AJ109)*100+SUM(L109,AD109)+0.002,1,0)+IF(AU109*1000000+SUM(W109,AO109)*10000+SUM(Q109,AI109)*100+SUM(K109,AC109)+0.003&gt;AV109*1000000+SUM(X109,AP109)*10000+SUM(R109,AJ109)*100+SUM(L109,AD109)+0.002,1,0)+IF(AW109*1000000+SUM(Y109,AQ109)*10000+SUM(S109,AK109)*100+SUM(M109,AE109)+0.001&gt;AV109*1000000+SUM(X109,AP109)*10000+SUM(R109,AJ109)*100+SUM(L109,AD109)+0.002,1,0)=0,"E",IF(IF(AR109*1000000+SUM(T109,AL109)*10000+SUM(N109,AF109)*100+SUM(H109,Z109)+0.006&gt;AW109*1000000+SUM(Y109,AQ109)*10000+SUM(S109,AK109)*100+SUM(M109,AE109)+0.001,1,0)+IF(AS109*1000000+SUM(U109,AM109)*10000+SUM(O109,AG109)*100+SUM(I109,AA109)+0.005&gt;AW109*1000000+SUM(Y109,AQ109)*10000+SUM(S109,AK109)*100+SUM(M109,AE109)+0.001,1,0)+IF(AT109*1000000+SUM(V109,AN109)*10000+SUM(P109,AH109)*100+SUM(J109,AB109)+0.004&gt;AW109*1000000+SUM(Y109,AQ109)*10000+SUM(S109,AK109)*100+SUM(M109,AE109)+0.001,1,0)+IF(AU109*1000000+SUM(W109,AO109)*10000+SUM(Q109,AI109)*100+SUM(K109,AC109)+0.003&gt;AW109*1000000+SUM(Y109,AQ109)*10000+SUM(S109,AK109)*100+SUM(M109,AE109)+0.001,1,0)+IF(AV109*1000000+SUM(X109,AP109)*10000+SUM(R109,AJ109)*100+SUM(L109,AD109)+0.002&gt;AW109*1000000+SUM(Y109,AQ109)*10000+SUM(S109,AK109)*100+SUM(M109,AE109)+0.001,1,0)=0,"C",""))))))&amp;IF(IF(AS109*1000000+SUM(U109,AM109)*10000+SUM(O109,AG109)*100+SUM(I109,AA109)+0.005&gt;AR109*1000000+SUM(T109,AL109)*10000+SUM(N109,AF109)*100+SUM(H109,Z109)+0.006,1,0)+IF(AT109*1000000+SUM(V109,AN109)*10000+SUM(P109,AH109)*100+SUM(J109,AB109)+0.004&gt;AR109*1000000+SUM(T109,AL109)*10000+SUM(N109,AF109)*100+SUM(H109,Z109)+0.006,1,0)+IF(AU109*1000000+SUM(W109,AO109)*10000+SUM(Q109,AI109)*100+SUM(K109,AC109)+0.003&gt;AR109*1000000+SUM(T109,AL109)*10000+SUM(N109,AF109)*100+SUM(H109,Z109)+0.006,1,0)+IF(AV109*1000000+SUM(X109,AP109)*10000+SUM(R109,AJ109)*100+SUM(L109,AD109)+0.002&gt;AR109*1000000+SUM(T109,AL109)*10000+SUM(N109,AF109)*100+SUM(H109,Z109)+0.006,1,0)+IF(AW109*1000000+SUM(Y109,AQ109)*10000+SUM(S109,AK109)*100+SUM(M109,AE109)+0.001&gt;AR109*1000000+SUM(T109,AL109)*10000+SUM(N109,AF109)*100+SUM(H109,Z109)+0.006,1,0)=1,"R",IF(IF(AR109*1000000+SUM(T109,AL109)*10000+SUM(N109,AF109)*100+SUM(H109,Z109)+0.006&gt;AS109*1000000+SUM(U109,AM109)*10000+SUM(O109,AG109)*100+SUM(I109,AA109)+0.005,1,0)+IF(AT109*1000000+SUM(V109,AN109)*10000+SUM(P109,AH109)*100+SUM(J109,AB109)+0.004&gt;AS109*1000000+SUM(U109,AM109)*10000+SUM(O109,AG109)*100+SUM(I109,AA109)+0.005,1,0)+IF(AU109*1000000+SUM(W109,AO109)*10000+SUM(Q109,AI109)*100+SUM(K109,AC109)+0.003&gt;AS109*1000000+SUM(U109,AM109)*10000+SUM(O109,AG109)*100+SUM(I109,AA109)+0.005,1,0)+IF(AV109*1000000+SUM(X109,AP109)*10000+SUM(R109,AJ109)*100+SUM(L109,AD109)+0.002&gt;AS109*1000000+SUM(U109,AM109)*10000+SUM(O109,AG109)*100+SUM(I109,AA109)+0.005,1,0)+IF(AW109*1000000+SUM(Y109,AQ109)*10000+SUM(S109,AK109)*100+SUM(M109,AE109)+0.001&gt;AS109*1000000+SUM(U109,AM109)*10000+SUM(O109,AG109)*100+SUM(I109,AA109)+0.005,1,0)=1,"I",IF(IF(AR109*1000000+SUM(T109,AL109)*10000+SUM(N109,AF109)*100+SUM(H109,Z109)+0.006&gt;AT109*1000000+SUM(V109,AN109)*10000+SUM(P109,AH109)*100+SUM(J109,AB109)+0.004,1,0)+IF(AS109*1000000+SUM(U109,AM109)*10000+SUM(O109,AG109)*100+SUM(I109,AA109)+0.005&gt;AT109*1000000+SUM(V109,AN109)*10000+SUM(P109,AH109)*100+SUM(J109,AB109)+0.004,1,0)+IF(AU109*1000000+SUM(W109,AO109)*10000+SUM(Q109,AI109)*100+SUM(K109,AC109)+0.003&gt;AT109*1000000+SUM(V109,AN109)*10000+SUM(P109,AH109)*100+SUM(J109,AB109)+0.004,1,0)+IF(AV109*1000000+SUM(X109,AP109)*10000+SUM(R109,AJ109)*100+SUM(L109,AD109)+0.002&gt;AT109*1000000+SUM(V109,AN109)*10000+SUM(P109,AH109)*100+SUM(J109,AB109)+0.004,1,0)+IF(AW109*1000000+SUM(Y109,AQ109)*10000+SUM(S109,AK109)*100+SUM(M109,AE109)+0.001&gt;AT109*1000000+SUM(V109,AN109)*10000+SUM(P109,AH109)*100+SUM(J109,AB109)+0.004,1,0)=1,"A",IF(IF(AR109*1000000+SUM(T109,AL109)*10000+SUM(N109,AF109)*100+SUM(H109,Z109)+0.006&gt;AU109*1000000+SUM(W109,AO109)*10000+SUM(Q109,AI109)*100+SUM(K109,AC109)+0.003,1,0)+IF(AS109*1000000+SUM(U109,AM109)*10000+SUM(O109,AG109)*100+SUM(I109,AA109)+0.005&gt;AU109*1000000+SUM(W109,AO109)*10000+SUM(Q109,AI109)*100+SUM(K109,AC109)+0.003,1,0)+IF(AT109*1000000+SUM(V109,AN109)*10000+SUM(P109,AH109)*100+SUM(J109,AB109)+0.004&gt;AU109*1000000+SUM(W109,AO109)*10000+SUM(Q109,AI109)*100+SUM(K109,AC109)+0.003,1,0)+IF(AV109*1000000+SUM(X109,AP109)*10000+SUM(R109,AJ109)*100+SUM(L109,AD109)+0.002&gt;AU109*1000000+SUM(W109,AO109)*10000+SUM(Q109,AI109)*100+SUM(K109,AC109)+0.003,1,0)+IF(AW109*1000000+SUM(Y109,AQ109)*10000+SUM(S109,AK109)*100+SUM(M109,AE109)+0.001&gt;AU109*1000000+SUM(W109,AO109)*10000+SUM(Q109,AI109)*100+SUM(K109,AC109)+0.003,1,0)=1,"S",IF(IF(AR109*1000000+SUM(T109,AL109)*10000+SUM(N109,AF109)*100+SUM(H109,Z109)+0.006&gt;AV109*1000000+SUM(X109,AP109)*10000+SUM(R109,AJ109)*100+SUM(L109,AD109)+0.002,1,0)+IF(AS109*1000000+SUM(U109,AM109)*10000+SUM(O109,AG109)*100+SUM(I109,AA109)+0.005&gt;AV109*1000000+SUM(X109,AP109)*10000+SUM(R109,AJ109)*100+SUM(L109,AD109)+0.002,1,0)+IF(AT109*1000000+SUM(V109,AN109)*10000+SUM(P109,AH109)*100+SUM(J109,AB109)+0.004&gt;AV109*1000000+SUM(X109,AP109)*10000+SUM(R109,AJ109)*100+SUM(L109,AD109)+0.002,1,0)+IF(AU109*1000000+SUM(W109,AO109)*10000+SUM(Q109,AI109)*100+SUM(K109,AC109)+0.003&gt;AV109*1000000+SUM(X109,AP109)*10000+SUM(R109,AJ109)*100+SUM(L109,AD109)+0.002,1,0)+IF(AW109*1000000+SUM(Y109,AQ109)*10000+SUM(S109,AK109)*100+SUM(M109,AE109)+0.001&gt;AV109*1000000+SUM(X109,AP109)*10000+SUM(R109,AJ109)*100+SUM(L109,AD109)+0.002,1,0)=1,"E",IF(IF(AR109*1000000+SUM(T109,AL109)*10000+SUM(N109,AF109)*100+SUM(H109,Z109)+0.006&gt;AW109*1000000+SUM(Y109,AQ109)*10000+SUM(S109,AK109)*100+SUM(M109,AE109)+0.001,1,0)+IF(AS109*1000000+SUM(U109,AM109)*10000+SUM(O109,AG109)*100+SUM(I109,AA109)+0.005&gt;AW109*1000000+SUM(Y109,AQ109)*10000+SUM(S109,AK109)*100+SUM(M109,AE109)+0.001,1,0)+IF(AT109*1000000+SUM(V109,AN109)*10000+SUM(P109,AH109)*100+SUM(J109,AB109)+0.004&gt;AW109*1000000+SUM(Y109,AQ109)*10000+SUM(S109,AK109)*100+SUM(M109,AE109)+0.001,1,0)+IF(AU109*1000000+SUM(W109,AO109)*10000+SUM(Q109,AI109)*100+SUM(K109,AC109)+0.003&gt;AW109*1000000+SUM(Y109,AQ109)*10000+SUM(S109,AK109)*100+SUM(M109,AE109)+0.001,1,0)+IF(AV109*1000000+SUM(X109,AP109)*10000+SUM(R109,AJ109)*100+SUM(L109,AD109)+0.002&gt;AW109*1000000+SUM(Y109,AQ109)*10000+SUM(S109,AK109)*100+SUM(M109,AE109)+0.001,1,0)=1,"C",""))))))&amp;IF(IF(AS109*1000000+SUM(U109,AM109)*10000+SUM(O109,AG109)*100+SUM(I109,AA109)+0.005&gt;AR109*1000000+SUM(T109,AL109)*10000+SUM(N109,AF109)*100+SUM(H109,Z109)+0.006,1,0)+IF(AT109*1000000+SUM(V109,AN109)*10000+SUM(P109,AH109)*100+SUM(J109,AB109)+0.004&gt;AR109*1000000+SUM(T109,AL109)*10000+SUM(N109,AF109)*100+SUM(H109,Z109)+0.006,1,0)+IF(AU109*1000000+SUM(W109,AO109)*10000+SUM(Q109,AI109)*100+SUM(K109,AC109)+0.003&gt;AR109*1000000+SUM(T109,AL109)*10000+SUM(N109,AF109)*100+SUM(H109,Z109)+0.006,1,0)+IF(AV109*1000000+SUM(X109,AP109)*10000+SUM(R109,AJ109)*100+SUM(L109,AD109)+0.002&gt;AR109*1000000+SUM(T109,AL109)*10000+SUM(N109,AF109)*100+SUM(H109,Z109)+0.006,1,0)+IF(AW109*1000000+SUM(Y109,AQ109)*10000+SUM(S109,AK109)*100+SUM(M109,AE109)+0.001&gt;AR109*1000000+SUM(T109,AL109)*10000+SUM(N109,AF109)*100+SUM(H109,Z109)+0.006,1,0)=2,"R",IF(IF(AR109*1000000+SUM(T109,AL109)*10000+SUM(N109,AF109)*100+SUM(H109,Z109)+0.006&gt;AS109*1000000+SUM(U109,AM109)*10000+SUM(O109,AG109)*100+SUM(I109,AA109)+0.005,1,0)+IF(AT109*1000000+SUM(V109,AN109)*10000+SUM(P109,AH109)*100+SUM(J109,AB109)+0.004&gt;AS109*1000000+SUM(U109,AM109)*10000+SUM(O109,AG109)*100+SUM(I109,AA109)+0.005,1,0)+IF(AU109*1000000+SUM(W109,AO109)*10000+SUM(Q109,AI109)*100+SUM(K109,AC109)+0.003&gt;AS109*1000000+SUM(U109,AM109)*10000+SUM(O109,AG109)*100+SUM(I109,AA109)+0.005,1,0)+IF(AV109*1000000+SUM(X109,AP109)*10000+SUM(R109,AJ109)*100+SUM(L109,AD109)+0.002&gt;AS109*1000000+SUM(U109,AM109)*10000+SUM(O109,AG109)*100+SUM(I109,AA109)+0.005,1,0)+IF(AW109*1000000+SUM(Y109,AQ109)*10000+SUM(S109,AK109)*100+SUM(M109,AE109)+0.001&gt;AS109*1000000+SUM(U109,AM109)*10000+SUM(O109,AG109)*100+SUM(I109,AA109)+0.005,1,0)=2,"I",IF(IF(AR109*1000000+SUM(T109,AL109)*10000+SUM(N109,AF109)*100+SUM(H109,Z109)+0.006&gt;AT109*1000000+SUM(V109,AN109)*10000+SUM(P109,AH109)*100+SUM(J109,AB109)+0.004,1,0)+IF(AS109*1000000+SUM(U109,AM109)*10000+SUM(O109,AG109)*100+SUM(I109,AA109)+0.005&gt;AT109*1000000+SUM(V109,AN109)*10000+SUM(P109,AH109)*100+SUM(J109,AB109)+0.004,1,0)+IF(AU109*1000000+SUM(W109,AO109)*10000+SUM(Q109,AI109)*100+SUM(K109,AC109)+0.003&gt;AT109*1000000+SUM(V109,AN109)*10000+SUM(P109,AH109)*100+SUM(J109,AB109)+0.004,1,0)+IF(AV109*1000000+SUM(X109,AP109)*10000+SUM(R109,AJ109)*100+SUM(L109,AD109)+0.002&gt;AT109*1000000+SUM(V109,AN109)*10000+SUM(P109,AH109)*100+SUM(J109,AB109)+0.004,1,0)+IF(AW109*1000000+SUM(Y109,AQ109)*10000+SUM(S109,AK109)*100+SUM(M109,AE109)+0.001&gt;AT109*1000000+SUM(V109,AN109)*10000+SUM(P109,AH109)*100+SUM(J109,AB109)+0.004,1,0)=2,"A",IF(IF(AR109*1000000+SUM(T109,AL109)*10000+SUM(N109,AF109)*100+SUM(H109,Z109)+0.006&gt;AU109*1000000+SUM(W109,AO109)*10000+SUM(Q109,AI109)*100+SUM(K109,AC109)+0.003,1,0)+IF(AS109*1000000+SUM(U109,AM109)*10000+SUM(O109,AG109)*100+SUM(I109,AA109)+0.005&gt;AU109*1000000+SUM(W109,AO109)*10000+SUM(Q109,AI109)*100+SUM(K109,AC109)+0.003,1,0)+IF(AT109*1000000+SUM(V109,AN109)*10000+SUM(P109,AH109)*100+SUM(J109,AB109)+0.004&gt;AU109*1000000+SUM(W109,AO109)*10000+SUM(Q109,AI109)*100+SUM(K109,AC109)+0.003,1,0)+IF(AV109*1000000+SUM(X109,AP109)*10000+SUM(R109,AJ109)*100+SUM(L109,AD109)+0.002&gt;AU109*1000000+SUM(W109,AO109)*10000+SUM(Q109,AI109)*100+SUM(K109,AC109)+0.003,1,0)+IF(AW109*1000000+SUM(Y109,AQ109)*10000+SUM(S109,AK109)*100+SUM(M109,AE109)+0.001&gt;AU109*1000000+SUM(W109,AO109)*10000+SUM(Q109,AI109)*100+SUM(K109,AC109)+0.003,1,0)=2,"S",IF(IF(AR109*1000000+SUM(T109,AL109)*10000+SUM(N109,AF109)*100+SUM(H109,Z109)+0.006&gt;AV109*1000000+SUM(X109,AP109)*10000+SUM(R109,AJ109)*100+SUM(L109,AD109)+0.002,1,0)+IF(AS109*1000000+SUM(U109,AM109)*10000+SUM(O109,AG109)*100+SUM(I109,AA109)+0.005&gt;AV109*1000000+SUM(X109,AP109)*10000+SUM(R109,AJ109)*100+SUM(L109,AD109)+0.002,1,0)+IF(AT109*1000000+SUM(V109,AN109)*10000+SUM(P109,AH109)*100+SUM(J109,AB109)+0.004&gt;AV109*1000000+SUM(X109,AP109)*10000+SUM(R109,AJ109)*100+SUM(L109,AD109)+0.002,1,0)+IF(AU109*1000000+SUM(W109,AO109)*10000+SUM(Q109,AI109)*100+SUM(K109,AC109)+0.003&gt;AV109*1000000+SUM(X109,AP109)*10000+SUM(R109,AJ109)*100+SUM(L109,AD109)+0.002,1,0)+IF(AW109*1000000+SUM(Y109,AQ109)*10000+SUM(S109,AK109)*100+SUM(M109,AE109)+0.001&gt;AV109*1000000+SUM(X109,AP109)*10000+SUM(R109,AJ109)*100+SUM(L109,AD109)+0.002,1,0)=2,"E",IF(IF(AR109*1000000+SUM(T109,AL109)*10000+SUM(N109,AF109)*100+SUM(H109,Z109)+0.006&gt;AW109*1000000+SUM(Y109,AQ109)*10000+SUM(S109,AK109)*100+SUM(M109,AE109)+0.001,1,0)+IF(AS109*1000000+SUM(U109,AM109)*10000+SUM(O109,AG109)*100+SUM(I109,AA109)+0.005&gt;AW109*1000000+SUM(Y109,AQ109)*10000+SUM(S109,AK109)*100+SUM(M109,AE109)+0.001,1,0)+IF(AT109*1000000+SUM(V109,AN109)*10000+SUM(P109,AH109)*100+SUM(J109,AB109)+0.004&gt;AW109*1000000+SUM(Y109,AQ109)*10000+SUM(S109,AK109)*100+SUM(M109,AE109)+0.001,1,0)+IF(AU109*1000000+SUM(W109,AO109)*10000+SUM(Q109,AI109)*100+SUM(K109,AC109)+0.003&gt;AW109*1000000+SUM(Y109,AQ109)*10000+SUM(S109,AK109)*100+SUM(M109,AE109)+0.001,1,0)+IF(AV109*1000000+SUM(X109,AP109)*10000+SUM(R109,AJ109)*100+SUM(L109,AD109)+0.002&gt;AW109*1000000+SUM(Y109,AQ109)*10000+SUM(S109,AK109)*100+SUM(M109,AE109)+0.001,1,0)=2,"C","")))))))</x:f>
      </x:c>
      <x:c r="AY109" s="27" t="str">
        <x:f>IF(C109="","",IF(LEFT(AX109,1)="R","นักปฏิบัติ",IF(LEFT(AX109,1)="I","นักคิดวิเคราะห์",IF(LEFT(AX109,1)="A","นักสร้างสรรค์",IF(LEFT(AX109,1)="S","ผู้เข้าใจผู้คน",IF(LEFT(AX109,1)="E","ผู้นำการเปลี่ยนแปลง","ผู้จัดระบบ"))))))</x:f>
      </x:c>
    </x:row>
    <x:row r="110">
      <x:c r="A110" s="27"/>
      <x:c r="B110" s="28"/>
      <x:c r="C110" s="27"/>
      <x:c r="D110" s="27"/>
      <x:c r="E110" s="27"/>
      <x:c r="F110" s="27"/>
      <x:c r="G110" s="27"/>
      <x:c r="H110" s="27"/>
      <x:c r="I110" s="27"/>
      <x:c r="J110" s="27"/>
      <x:c r="K110" s="27"/>
      <x:c r="L110" s="27"/>
      <x:c r="M110" s="27"/>
      <x:c r="N110" s="27"/>
      <x:c r="O110" s="27"/>
      <x:c r="P110" s="27"/>
      <x:c r="Q110" s="27"/>
      <x:c r="R110" s="27"/>
      <x:c r="S110" s="27"/>
      <x:c r="T110" s="27"/>
      <x:c r="U110" s="27"/>
      <x:c r="V110" s="27"/>
      <x:c r="W110" s="27"/>
      <x:c r="X110" s="27"/>
      <x:c r="Y110" s="27"/>
      <x:c r="Z110" s="27"/>
      <x:c r="AA110" s="27"/>
      <x:c r="AB110" s="27"/>
      <x:c r="AC110" s="27"/>
      <x:c r="AD110" s="27"/>
      <x:c r="AE110" s="27"/>
      <x:c r="AF110" s="27"/>
      <x:c r="AG110" s="27"/>
      <x:c r="AH110" s="27"/>
      <x:c r="AI110" s="27"/>
      <x:c r="AJ110" s="27"/>
      <x:c r="AK110" s="27"/>
      <x:c r="AL110" s="27"/>
      <x:c r="AM110" s="27"/>
      <x:c r="AN110" s="27"/>
      <x:c r="AO110" s="27"/>
      <x:c r="AP110" s="27"/>
      <x:c r="AQ110" s="27"/>
      <x:c r="AR110" s="27" t="str">
        <x:f>IF(C110="","",SUM(H110,N110,T110,Z110,AF110,AL110))</x:f>
      </x:c>
      <x:c r="AS110" s="27" t="str">
        <x:f>IF(C110="","",SUM(I110,O110,U110,AA110,AG110,AM110))</x:f>
      </x:c>
      <x:c r="AT110" s="27" t="str">
        <x:f>IF(C110="","",SUM(J110,P110,V110,AB110,AH110,AN110))</x:f>
      </x:c>
      <x:c r="AU110" s="27" t="str">
        <x:f>IF(C110="","",SUM(K110,Q110,W110,AC110,AI110,AO110))</x:f>
      </x:c>
      <x:c r="AV110" s="27" t="str">
        <x:f>IF(C110="","",SUM(L110,R110,X110,AD110,AJ110,AP110))</x:f>
      </x:c>
      <x:c r="AW110" s="27" t="str">
        <x:f>IF(C110="","",SUM(M110,S110,Y110,AE110,AK110,AQ110))</x:f>
      </x:c>
      <x:c r="AX110" s="27" t="str">
        <x:f>IF(C110="","",IF(IF(AS110*1000000+SUM(U110,AM110)*10000+SUM(O110,AG110)*100+SUM(I110,AA110)+0.005&gt;AR110*1000000+SUM(T110,AL110)*10000+SUM(N110,AF110)*100+SUM(H110,Z110)+0.006,1,0)+IF(AT110*1000000+SUM(V110,AN110)*10000+SUM(P110,AH110)*100+SUM(J110,AB110)+0.004&gt;AR110*1000000+SUM(T110,AL110)*10000+SUM(N110,AF110)*100+SUM(H110,Z110)+0.006,1,0)+IF(AU110*1000000+SUM(W110,AO110)*10000+SUM(Q110,AI110)*100+SUM(K110,AC110)+0.003&gt;AR110*1000000+SUM(T110,AL110)*10000+SUM(N110,AF110)*100+SUM(H110,Z110)+0.006,1,0)+IF(AV110*1000000+SUM(X110,AP110)*10000+SUM(R110,AJ110)*100+SUM(L110,AD110)+0.002&gt;AR110*1000000+SUM(T110,AL110)*10000+SUM(N110,AF110)*100+SUM(H110,Z110)+0.006,1,0)+IF(AW110*1000000+SUM(Y110,AQ110)*10000+SUM(S110,AK110)*100+SUM(M110,AE110)+0.001&gt;AR110*1000000+SUM(T110,AL110)*10000+SUM(N110,AF110)*100+SUM(H110,Z110)+0.006,1,0)=0,"R",IF(IF(AR110*1000000+SUM(T110,AL110)*10000+SUM(N110,AF110)*100+SUM(H110,Z110)+0.006&gt;AS110*1000000+SUM(U110,AM110)*10000+SUM(O110,AG110)*100+SUM(I110,AA110)+0.005,1,0)+IF(AT110*1000000+SUM(V110,AN110)*10000+SUM(P110,AH110)*100+SUM(J110,AB110)+0.004&gt;AS110*1000000+SUM(U110,AM110)*10000+SUM(O110,AG110)*100+SUM(I110,AA110)+0.005,1,0)+IF(AU110*1000000+SUM(W110,AO110)*10000+SUM(Q110,AI110)*100+SUM(K110,AC110)+0.003&gt;AS110*1000000+SUM(U110,AM110)*10000+SUM(O110,AG110)*100+SUM(I110,AA110)+0.005,1,0)+IF(AV110*1000000+SUM(X110,AP110)*10000+SUM(R110,AJ110)*100+SUM(L110,AD110)+0.002&gt;AS110*1000000+SUM(U110,AM110)*10000+SUM(O110,AG110)*100+SUM(I110,AA110)+0.005,1,0)+IF(AW110*1000000+SUM(Y110,AQ110)*10000+SUM(S110,AK110)*100+SUM(M110,AE110)+0.001&gt;AS110*1000000+SUM(U110,AM110)*10000+SUM(O110,AG110)*100+SUM(I110,AA110)+0.005,1,0)=0,"I",IF(IF(AR110*1000000+SUM(T110,AL110)*10000+SUM(N110,AF110)*100+SUM(H110,Z110)+0.006&gt;AT110*1000000+SUM(V110,AN110)*10000+SUM(P110,AH110)*100+SUM(J110,AB110)+0.004,1,0)+IF(AS110*1000000+SUM(U110,AM110)*10000+SUM(O110,AG110)*100+SUM(I110,AA110)+0.005&gt;AT110*1000000+SUM(V110,AN110)*10000+SUM(P110,AH110)*100+SUM(J110,AB110)+0.004,1,0)+IF(AU110*1000000+SUM(W110,AO110)*10000+SUM(Q110,AI110)*100+SUM(K110,AC110)+0.003&gt;AT110*1000000+SUM(V110,AN110)*10000+SUM(P110,AH110)*100+SUM(J110,AB110)+0.004,1,0)+IF(AV110*1000000+SUM(X110,AP110)*10000+SUM(R110,AJ110)*100+SUM(L110,AD110)+0.002&gt;AT110*1000000+SUM(V110,AN110)*10000+SUM(P110,AH110)*100+SUM(J110,AB110)+0.004,1,0)+IF(AW110*1000000+SUM(Y110,AQ110)*10000+SUM(S110,AK110)*100+SUM(M110,AE110)+0.001&gt;AT110*1000000+SUM(V110,AN110)*10000+SUM(P110,AH110)*100+SUM(J110,AB110)+0.004,1,0)=0,"A",IF(IF(AR110*1000000+SUM(T110,AL110)*10000+SUM(N110,AF110)*100+SUM(H110,Z110)+0.006&gt;AU110*1000000+SUM(W110,AO110)*10000+SUM(Q110,AI110)*100+SUM(K110,AC110)+0.003,1,0)+IF(AS110*1000000+SUM(U110,AM110)*10000+SUM(O110,AG110)*100+SUM(I110,AA110)+0.005&gt;AU110*1000000+SUM(W110,AO110)*10000+SUM(Q110,AI110)*100+SUM(K110,AC110)+0.003,1,0)+IF(AT110*1000000+SUM(V110,AN110)*10000+SUM(P110,AH110)*100+SUM(J110,AB110)+0.004&gt;AU110*1000000+SUM(W110,AO110)*10000+SUM(Q110,AI110)*100+SUM(K110,AC110)+0.003,1,0)+IF(AV110*1000000+SUM(X110,AP110)*10000+SUM(R110,AJ110)*100+SUM(L110,AD110)+0.002&gt;AU110*1000000+SUM(W110,AO110)*10000+SUM(Q110,AI110)*100+SUM(K110,AC110)+0.003,1,0)+IF(AW110*1000000+SUM(Y110,AQ110)*10000+SUM(S110,AK110)*100+SUM(M110,AE110)+0.001&gt;AU110*1000000+SUM(W110,AO110)*10000+SUM(Q110,AI110)*100+SUM(K110,AC110)+0.003,1,0)=0,"S",IF(IF(AR110*1000000+SUM(T110,AL110)*10000+SUM(N110,AF110)*100+SUM(H110,Z110)+0.006&gt;AV110*1000000+SUM(X110,AP110)*10000+SUM(R110,AJ110)*100+SUM(L110,AD110)+0.002,1,0)+IF(AS110*1000000+SUM(U110,AM110)*10000+SUM(O110,AG110)*100+SUM(I110,AA110)+0.005&gt;AV110*1000000+SUM(X110,AP110)*10000+SUM(R110,AJ110)*100+SUM(L110,AD110)+0.002,1,0)+IF(AT110*1000000+SUM(V110,AN110)*10000+SUM(P110,AH110)*100+SUM(J110,AB110)+0.004&gt;AV110*1000000+SUM(X110,AP110)*10000+SUM(R110,AJ110)*100+SUM(L110,AD110)+0.002,1,0)+IF(AU110*1000000+SUM(W110,AO110)*10000+SUM(Q110,AI110)*100+SUM(K110,AC110)+0.003&gt;AV110*1000000+SUM(X110,AP110)*10000+SUM(R110,AJ110)*100+SUM(L110,AD110)+0.002,1,0)+IF(AW110*1000000+SUM(Y110,AQ110)*10000+SUM(S110,AK110)*100+SUM(M110,AE110)+0.001&gt;AV110*1000000+SUM(X110,AP110)*10000+SUM(R110,AJ110)*100+SUM(L110,AD110)+0.002,1,0)=0,"E",IF(IF(AR110*1000000+SUM(T110,AL110)*10000+SUM(N110,AF110)*100+SUM(H110,Z110)+0.006&gt;AW110*1000000+SUM(Y110,AQ110)*10000+SUM(S110,AK110)*100+SUM(M110,AE110)+0.001,1,0)+IF(AS110*1000000+SUM(U110,AM110)*10000+SUM(O110,AG110)*100+SUM(I110,AA110)+0.005&gt;AW110*1000000+SUM(Y110,AQ110)*10000+SUM(S110,AK110)*100+SUM(M110,AE110)+0.001,1,0)+IF(AT110*1000000+SUM(V110,AN110)*10000+SUM(P110,AH110)*100+SUM(J110,AB110)+0.004&gt;AW110*1000000+SUM(Y110,AQ110)*10000+SUM(S110,AK110)*100+SUM(M110,AE110)+0.001,1,0)+IF(AU110*1000000+SUM(W110,AO110)*10000+SUM(Q110,AI110)*100+SUM(K110,AC110)+0.003&gt;AW110*1000000+SUM(Y110,AQ110)*10000+SUM(S110,AK110)*100+SUM(M110,AE110)+0.001,1,0)+IF(AV110*1000000+SUM(X110,AP110)*10000+SUM(R110,AJ110)*100+SUM(L110,AD110)+0.002&gt;AW110*1000000+SUM(Y110,AQ110)*10000+SUM(S110,AK110)*100+SUM(M110,AE110)+0.001,1,0)=0,"C",""))))))&amp;IF(IF(AS110*1000000+SUM(U110,AM110)*10000+SUM(O110,AG110)*100+SUM(I110,AA110)+0.005&gt;AR110*1000000+SUM(T110,AL110)*10000+SUM(N110,AF110)*100+SUM(H110,Z110)+0.006,1,0)+IF(AT110*1000000+SUM(V110,AN110)*10000+SUM(P110,AH110)*100+SUM(J110,AB110)+0.004&gt;AR110*1000000+SUM(T110,AL110)*10000+SUM(N110,AF110)*100+SUM(H110,Z110)+0.006,1,0)+IF(AU110*1000000+SUM(W110,AO110)*10000+SUM(Q110,AI110)*100+SUM(K110,AC110)+0.003&gt;AR110*1000000+SUM(T110,AL110)*10000+SUM(N110,AF110)*100+SUM(H110,Z110)+0.006,1,0)+IF(AV110*1000000+SUM(X110,AP110)*10000+SUM(R110,AJ110)*100+SUM(L110,AD110)+0.002&gt;AR110*1000000+SUM(T110,AL110)*10000+SUM(N110,AF110)*100+SUM(H110,Z110)+0.006,1,0)+IF(AW110*1000000+SUM(Y110,AQ110)*10000+SUM(S110,AK110)*100+SUM(M110,AE110)+0.001&gt;AR110*1000000+SUM(T110,AL110)*10000+SUM(N110,AF110)*100+SUM(H110,Z110)+0.006,1,0)=1,"R",IF(IF(AR110*1000000+SUM(T110,AL110)*10000+SUM(N110,AF110)*100+SUM(H110,Z110)+0.006&gt;AS110*1000000+SUM(U110,AM110)*10000+SUM(O110,AG110)*100+SUM(I110,AA110)+0.005,1,0)+IF(AT110*1000000+SUM(V110,AN110)*10000+SUM(P110,AH110)*100+SUM(J110,AB110)+0.004&gt;AS110*1000000+SUM(U110,AM110)*10000+SUM(O110,AG110)*100+SUM(I110,AA110)+0.005,1,0)+IF(AU110*1000000+SUM(W110,AO110)*10000+SUM(Q110,AI110)*100+SUM(K110,AC110)+0.003&gt;AS110*1000000+SUM(U110,AM110)*10000+SUM(O110,AG110)*100+SUM(I110,AA110)+0.005,1,0)+IF(AV110*1000000+SUM(X110,AP110)*10000+SUM(R110,AJ110)*100+SUM(L110,AD110)+0.002&gt;AS110*1000000+SUM(U110,AM110)*10000+SUM(O110,AG110)*100+SUM(I110,AA110)+0.005,1,0)+IF(AW110*1000000+SUM(Y110,AQ110)*10000+SUM(S110,AK110)*100+SUM(M110,AE110)+0.001&gt;AS110*1000000+SUM(U110,AM110)*10000+SUM(O110,AG110)*100+SUM(I110,AA110)+0.005,1,0)=1,"I",IF(IF(AR110*1000000+SUM(T110,AL110)*10000+SUM(N110,AF110)*100+SUM(H110,Z110)+0.006&gt;AT110*1000000+SUM(V110,AN110)*10000+SUM(P110,AH110)*100+SUM(J110,AB110)+0.004,1,0)+IF(AS110*1000000+SUM(U110,AM110)*10000+SUM(O110,AG110)*100+SUM(I110,AA110)+0.005&gt;AT110*1000000+SUM(V110,AN110)*10000+SUM(P110,AH110)*100+SUM(J110,AB110)+0.004,1,0)+IF(AU110*1000000+SUM(W110,AO110)*10000+SUM(Q110,AI110)*100+SUM(K110,AC110)+0.003&gt;AT110*1000000+SUM(V110,AN110)*10000+SUM(P110,AH110)*100+SUM(J110,AB110)+0.004,1,0)+IF(AV110*1000000+SUM(X110,AP110)*10000+SUM(R110,AJ110)*100+SUM(L110,AD110)+0.002&gt;AT110*1000000+SUM(V110,AN110)*10000+SUM(P110,AH110)*100+SUM(J110,AB110)+0.004,1,0)+IF(AW110*1000000+SUM(Y110,AQ110)*10000+SUM(S110,AK110)*100+SUM(M110,AE110)+0.001&gt;AT110*1000000+SUM(V110,AN110)*10000+SUM(P110,AH110)*100+SUM(J110,AB110)+0.004,1,0)=1,"A",IF(IF(AR110*1000000+SUM(T110,AL110)*10000+SUM(N110,AF110)*100+SUM(H110,Z110)+0.006&gt;AU110*1000000+SUM(W110,AO110)*10000+SUM(Q110,AI110)*100+SUM(K110,AC110)+0.003,1,0)+IF(AS110*1000000+SUM(U110,AM110)*10000+SUM(O110,AG110)*100+SUM(I110,AA110)+0.005&gt;AU110*1000000+SUM(W110,AO110)*10000+SUM(Q110,AI110)*100+SUM(K110,AC110)+0.003,1,0)+IF(AT110*1000000+SUM(V110,AN110)*10000+SUM(P110,AH110)*100+SUM(J110,AB110)+0.004&gt;AU110*1000000+SUM(W110,AO110)*10000+SUM(Q110,AI110)*100+SUM(K110,AC110)+0.003,1,0)+IF(AV110*1000000+SUM(X110,AP110)*10000+SUM(R110,AJ110)*100+SUM(L110,AD110)+0.002&gt;AU110*1000000+SUM(W110,AO110)*10000+SUM(Q110,AI110)*100+SUM(K110,AC110)+0.003,1,0)+IF(AW110*1000000+SUM(Y110,AQ110)*10000+SUM(S110,AK110)*100+SUM(M110,AE110)+0.001&gt;AU110*1000000+SUM(W110,AO110)*10000+SUM(Q110,AI110)*100+SUM(K110,AC110)+0.003,1,0)=1,"S",IF(IF(AR110*1000000+SUM(T110,AL110)*10000+SUM(N110,AF110)*100+SUM(H110,Z110)+0.006&gt;AV110*1000000+SUM(X110,AP110)*10000+SUM(R110,AJ110)*100+SUM(L110,AD110)+0.002,1,0)+IF(AS110*1000000+SUM(U110,AM110)*10000+SUM(O110,AG110)*100+SUM(I110,AA110)+0.005&gt;AV110*1000000+SUM(X110,AP110)*10000+SUM(R110,AJ110)*100+SUM(L110,AD110)+0.002,1,0)+IF(AT110*1000000+SUM(V110,AN110)*10000+SUM(P110,AH110)*100+SUM(J110,AB110)+0.004&gt;AV110*1000000+SUM(X110,AP110)*10000+SUM(R110,AJ110)*100+SUM(L110,AD110)+0.002,1,0)+IF(AU110*1000000+SUM(W110,AO110)*10000+SUM(Q110,AI110)*100+SUM(K110,AC110)+0.003&gt;AV110*1000000+SUM(X110,AP110)*10000+SUM(R110,AJ110)*100+SUM(L110,AD110)+0.002,1,0)+IF(AW110*1000000+SUM(Y110,AQ110)*10000+SUM(S110,AK110)*100+SUM(M110,AE110)+0.001&gt;AV110*1000000+SUM(X110,AP110)*10000+SUM(R110,AJ110)*100+SUM(L110,AD110)+0.002,1,0)=1,"E",IF(IF(AR110*1000000+SUM(T110,AL110)*10000+SUM(N110,AF110)*100+SUM(H110,Z110)+0.006&gt;AW110*1000000+SUM(Y110,AQ110)*10000+SUM(S110,AK110)*100+SUM(M110,AE110)+0.001,1,0)+IF(AS110*1000000+SUM(U110,AM110)*10000+SUM(O110,AG110)*100+SUM(I110,AA110)+0.005&gt;AW110*1000000+SUM(Y110,AQ110)*10000+SUM(S110,AK110)*100+SUM(M110,AE110)+0.001,1,0)+IF(AT110*1000000+SUM(V110,AN110)*10000+SUM(P110,AH110)*100+SUM(J110,AB110)+0.004&gt;AW110*1000000+SUM(Y110,AQ110)*10000+SUM(S110,AK110)*100+SUM(M110,AE110)+0.001,1,0)+IF(AU110*1000000+SUM(W110,AO110)*10000+SUM(Q110,AI110)*100+SUM(K110,AC110)+0.003&gt;AW110*1000000+SUM(Y110,AQ110)*10000+SUM(S110,AK110)*100+SUM(M110,AE110)+0.001,1,0)+IF(AV110*1000000+SUM(X110,AP110)*10000+SUM(R110,AJ110)*100+SUM(L110,AD110)+0.002&gt;AW110*1000000+SUM(Y110,AQ110)*10000+SUM(S110,AK110)*100+SUM(M110,AE110)+0.001,1,0)=1,"C",""))))))&amp;IF(IF(AS110*1000000+SUM(U110,AM110)*10000+SUM(O110,AG110)*100+SUM(I110,AA110)+0.005&gt;AR110*1000000+SUM(T110,AL110)*10000+SUM(N110,AF110)*100+SUM(H110,Z110)+0.006,1,0)+IF(AT110*1000000+SUM(V110,AN110)*10000+SUM(P110,AH110)*100+SUM(J110,AB110)+0.004&gt;AR110*1000000+SUM(T110,AL110)*10000+SUM(N110,AF110)*100+SUM(H110,Z110)+0.006,1,0)+IF(AU110*1000000+SUM(W110,AO110)*10000+SUM(Q110,AI110)*100+SUM(K110,AC110)+0.003&gt;AR110*1000000+SUM(T110,AL110)*10000+SUM(N110,AF110)*100+SUM(H110,Z110)+0.006,1,0)+IF(AV110*1000000+SUM(X110,AP110)*10000+SUM(R110,AJ110)*100+SUM(L110,AD110)+0.002&gt;AR110*1000000+SUM(T110,AL110)*10000+SUM(N110,AF110)*100+SUM(H110,Z110)+0.006,1,0)+IF(AW110*1000000+SUM(Y110,AQ110)*10000+SUM(S110,AK110)*100+SUM(M110,AE110)+0.001&gt;AR110*1000000+SUM(T110,AL110)*10000+SUM(N110,AF110)*100+SUM(H110,Z110)+0.006,1,0)=2,"R",IF(IF(AR110*1000000+SUM(T110,AL110)*10000+SUM(N110,AF110)*100+SUM(H110,Z110)+0.006&gt;AS110*1000000+SUM(U110,AM110)*10000+SUM(O110,AG110)*100+SUM(I110,AA110)+0.005,1,0)+IF(AT110*1000000+SUM(V110,AN110)*10000+SUM(P110,AH110)*100+SUM(J110,AB110)+0.004&gt;AS110*1000000+SUM(U110,AM110)*10000+SUM(O110,AG110)*100+SUM(I110,AA110)+0.005,1,0)+IF(AU110*1000000+SUM(W110,AO110)*10000+SUM(Q110,AI110)*100+SUM(K110,AC110)+0.003&gt;AS110*1000000+SUM(U110,AM110)*10000+SUM(O110,AG110)*100+SUM(I110,AA110)+0.005,1,0)+IF(AV110*1000000+SUM(X110,AP110)*10000+SUM(R110,AJ110)*100+SUM(L110,AD110)+0.002&gt;AS110*1000000+SUM(U110,AM110)*10000+SUM(O110,AG110)*100+SUM(I110,AA110)+0.005,1,0)+IF(AW110*1000000+SUM(Y110,AQ110)*10000+SUM(S110,AK110)*100+SUM(M110,AE110)+0.001&gt;AS110*1000000+SUM(U110,AM110)*10000+SUM(O110,AG110)*100+SUM(I110,AA110)+0.005,1,0)=2,"I",IF(IF(AR110*1000000+SUM(T110,AL110)*10000+SUM(N110,AF110)*100+SUM(H110,Z110)+0.006&gt;AT110*1000000+SUM(V110,AN110)*10000+SUM(P110,AH110)*100+SUM(J110,AB110)+0.004,1,0)+IF(AS110*1000000+SUM(U110,AM110)*10000+SUM(O110,AG110)*100+SUM(I110,AA110)+0.005&gt;AT110*1000000+SUM(V110,AN110)*10000+SUM(P110,AH110)*100+SUM(J110,AB110)+0.004,1,0)+IF(AU110*1000000+SUM(W110,AO110)*10000+SUM(Q110,AI110)*100+SUM(K110,AC110)+0.003&gt;AT110*1000000+SUM(V110,AN110)*10000+SUM(P110,AH110)*100+SUM(J110,AB110)+0.004,1,0)+IF(AV110*1000000+SUM(X110,AP110)*10000+SUM(R110,AJ110)*100+SUM(L110,AD110)+0.002&gt;AT110*1000000+SUM(V110,AN110)*10000+SUM(P110,AH110)*100+SUM(J110,AB110)+0.004,1,0)+IF(AW110*1000000+SUM(Y110,AQ110)*10000+SUM(S110,AK110)*100+SUM(M110,AE110)+0.001&gt;AT110*1000000+SUM(V110,AN110)*10000+SUM(P110,AH110)*100+SUM(J110,AB110)+0.004,1,0)=2,"A",IF(IF(AR110*1000000+SUM(T110,AL110)*10000+SUM(N110,AF110)*100+SUM(H110,Z110)+0.006&gt;AU110*1000000+SUM(W110,AO110)*10000+SUM(Q110,AI110)*100+SUM(K110,AC110)+0.003,1,0)+IF(AS110*1000000+SUM(U110,AM110)*10000+SUM(O110,AG110)*100+SUM(I110,AA110)+0.005&gt;AU110*1000000+SUM(W110,AO110)*10000+SUM(Q110,AI110)*100+SUM(K110,AC110)+0.003,1,0)+IF(AT110*1000000+SUM(V110,AN110)*10000+SUM(P110,AH110)*100+SUM(J110,AB110)+0.004&gt;AU110*1000000+SUM(W110,AO110)*10000+SUM(Q110,AI110)*100+SUM(K110,AC110)+0.003,1,0)+IF(AV110*1000000+SUM(X110,AP110)*10000+SUM(R110,AJ110)*100+SUM(L110,AD110)+0.002&gt;AU110*1000000+SUM(W110,AO110)*10000+SUM(Q110,AI110)*100+SUM(K110,AC110)+0.003,1,0)+IF(AW110*1000000+SUM(Y110,AQ110)*10000+SUM(S110,AK110)*100+SUM(M110,AE110)+0.001&gt;AU110*1000000+SUM(W110,AO110)*10000+SUM(Q110,AI110)*100+SUM(K110,AC110)+0.003,1,0)=2,"S",IF(IF(AR110*1000000+SUM(T110,AL110)*10000+SUM(N110,AF110)*100+SUM(H110,Z110)+0.006&gt;AV110*1000000+SUM(X110,AP110)*10000+SUM(R110,AJ110)*100+SUM(L110,AD110)+0.002,1,0)+IF(AS110*1000000+SUM(U110,AM110)*10000+SUM(O110,AG110)*100+SUM(I110,AA110)+0.005&gt;AV110*1000000+SUM(X110,AP110)*10000+SUM(R110,AJ110)*100+SUM(L110,AD110)+0.002,1,0)+IF(AT110*1000000+SUM(V110,AN110)*10000+SUM(P110,AH110)*100+SUM(J110,AB110)+0.004&gt;AV110*1000000+SUM(X110,AP110)*10000+SUM(R110,AJ110)*100+SUM(L110,AD110)+0.002,1,0)+IF(AU110*1000000+SUM(W110,AO110)*10000+SUM(Q110,AI110)*100+SUM(K110,AC110)+0.003&gt;AV110*1000000+SUM(X110,AP110)*10000+SUM(R110,AJ110)*100+SUM(L110,AD110)+0.002,1,0)+IF(AW110*1000000+SUM(Y110,AQ110)*10000+SUM(S110,AK110)*100+SUM(M110,AE110)+0.001&gt;AV110*1000000+SUM(X110,AP110)*10000+SUM(R110,AJ110)*100+SUM(L110,AD110)+0.002,1,0)=2,"E",IF(IF(AR110*1000000+SUM(T110,AL110)*10000+SUM(N110,AF110)*100+SUM(H110,Z110)+0.006&gt;AW110*1000000+SUM(Y110,AQ110)*10000+SUM(S110,AK110)*100+SUM(M110,AE110)+0.001,1,0)+IF(AS110*1000000+SUM(U110,AM110)*10000+SUM(O110,AG110)*100+SUM(I110,AA110)+0.005&gt;AW110*1000000+SUM(Y110,AQ110)*10000+SUM(S110,AK110)*100+SUM(M110,AE110)+0.001,1,0)+IF(AT110*1000000+SUM(V110,AN110)*10000+SUM(P110,AH110)*100+SUM(J110,AB110)+0.004&gt;AW110*1000000+SUM(Y110,AQ110)*10000+SUM(S110,AK110)*100+SUM(M110,AE110)+0.001,1,0)+IF(AU110*1000000+SUM(W110,AO110)*10000+SUM(Q110,AI110)*100+SUM(K110,AC110)+0.003&gt;AW110*1000000+SUM(Y110,AQ110)*10000+SUM(S110,AK110)*100+SUM(M110,AE110)+0.001,1,0)+IF(AV110*1000000+SUM(X110,AP110)*10000+SUM(R110,AJ110)*100+SUM(L110,AD110)+0.002&gt;AW110*1000000+SUM(Y110,AQ110)*10000+SUM(S110,AK110)*100+SUM(M110,AE110)+0.001,1,0)=2,"C","")))))))</x:f>
      </x:c>
      <x:c r="AY110" s="27" t="str">
        <x:f>IF(C110="","",IF(LEFT(AX110,1)="R","นักปฏิบัติ",IF(LEFT(AX110,1)="I","นักคิดวิเคราะห์",IF(LEFT(AX110,1)="A","นักสร้างสรรค์",IF(LEFT(AX110,1)="S","ผู้เข้าใจผู้คน",IF(LEFT(AX110,1)="E","ผู้นำการเปลี่ยนแปลง","ผู้จัดระบบ"))))))</x:f>
      </x:c>
    </x:row>
    <x:row r="111">
      <x:c r="A111" s="27"/>
      <x:c r="B111" s="28"/>
      <x:c r="C111" s="27"/>
      <x:c r="D111" s="27"/>
      <x:c r="E111" s="27"/>
      <x:c r="F111" s="27"/>
      <x:c r="G111" s="27"/>
      <x:c r="H111" s="27"/>
      <x:c r="I111" s="27"/>
      <x:c r="J111" s="27"/>
      <x:c r="K111" s="27"/>
      <x:c r="L111" s="27"/>
      <x:c r="M111" s="27"/>
      <x:c r="N111" s="27"/>
      <x:c r="O111" s="27"/>
      <x:c r="P111" s="27"/>
      <x:c r="Q111" s="27"/>
      <x:c r="R111" s="27"/>
      <x:c r="S111" s="27"/>
      <x:c r="T111" s="27"/>
      <x:c r="U111" s="27"/>
      <x:c r="V111" s="27"/>
      <x:c r="W111" s="27"/>
      <x:c r="X111" s="27"/>
      <x:c r="Y111" s="27"/>
      <x:c r="Z111" s="27"/>
      <x:c r="AA111" s="27"/>
      <x:c r="AB111" s="27"/>
      <x:c r="AC111" s="27"/>
      <x:c r="AD111" s="27"/>
      <x:c r="AE111" s="27"/>
      <x:c r="AF111" s="27"/>
      <x:c r="AG111" s="27"/>
      <x:c r="AH111" s="27"/>
      <x:c r="AI111" s="27"/>
      <x:c r="AJ111" s="27"/>
      <x:c r="AK111" s="27"/>
      <x:c r="AL111" s="27"/>
      <x:c r="AM111" s="27"/>
      <x:c r="AN111" s="27"/>
      <x:c r="AO111" s="27"/>
      <x:c r="AP111" s="27"/>
      <x:c r="AQ111" s="27"/>
      <x:c r="AR111" s="27" t="str">
        <x:f>IF(C111="","",SUM(H111,N111,T111,Z111,AF111,AL111))</x:f>
      </x:c>
      <x:c r="AS111" s="27" t="str">
        <x:f>IF(C111="","",SUM(I111,O111,U111,AA111,AG111,AM111))</x:f>
      </x:c>
      <x:c r="AT111" s="27" t="str">
        <x:f>IF(C111="","",SUM(J111,P111,V111,AB111,AH111,AN111))</x:f>
      </x:c>
      <x:c r="AU111" s="27" t="str">
        <x:f>IF(C111="","",SUM(K111,Q111,W111,AC111,AI111,AO111))</x:f>
      </x:c>
      <x:c r="AV111" s="27" t="str">
        <x:f>IF(C111="","",SUM(L111,R111,X111,AD111,AJ111,AP111))</x:f>
      </x:c>
      <x:c r="AW111" s="27" t="str">
        <x:f>IF(C111="","",SUM(M111,S111,Y111,AE111,AK111,AQ111))</x:f>
      </x:c>
      <x:c r="AX111" s="27" t="str">
        <x:f>IF(C111="","",IF(IF(AS111*1000000+SUM(U111,AM111)*10000+SUM(O111,AG111)*100+SUM(I111,AA111)+0.005&gt;AR111*1000000+SUM(T111,AL111)*10000+SUM(N111,AF111)*100+SUM(H111,Z111)+0.006,1,0)+IF(AT111*1000000+SUM(V111,AN111)*10000+SUM(P111,AH111)*100+SUM(J111,AB111)+0.004&gt;AR111*1000000+SUM(T111,AL111)*10000+SUM(N111,AF111)*100+SUM(H111,Z111)+0.006,1,0)+IF(AU111*1000000+SUM(W111,AO111)*10000+SUM(Q111,AI111)*100+SUM(K111,AC111)+0.003&gt;AR111*1000000+SUM(T111,AL111)*10000+SUM(N111,AF111)*100+SUM(H111,Z111)+0.006,1,0)+IF(AV111*1000000+SUM(X111,AP111)*10000+SUM(R111,AJ111)*100+SUM(L111,AD111)+0.002&gt;AR111*1000000+SUM(T111,AL111)*10000+SUM(N111,AF111)*100+SUM(H111,Z111)+0.006,1,0)+IF(AW111*1000000+SUM(Y111,AQ111)*10000+SUM(S111,AK111)*100+SUM(M111,AE111)+0.001&gt;AR111*1000000+SUM(T111,AL111)*10000+SUM(N111,AF111)*100+SUM(H111,Z111)+0.006,1,0)=0,"R",IF(IF(AR111*1000000+SUM(T111,AL111)*10000+SUM(N111,AF111)*100+SUM(H111,Z111)+0.006&gt;AS111*1000000+SUM(U111,AM111)*10000+SUM(O111,AG111)*100+SUM(I111,AA111)+0.005,1,0)+IF(AT111*1000000+SUM(V111,AN111)*10000+SUM(P111,AH111)*100+SUM(J111,AB111)+0.004&gt;AS111*1000000+SUM(U111,AM111)*10000+SUM(O111,AG111)*100+SUM(I111,AA111)+0.005,1,0)+IF(AU111*1000000+SUM(W111,AO111)*10000+SUM(Q111,AI111)*100+SUM(K111,AC111)+0.003&gt;AS111*1000000+SUM(U111,AM111)*10000+SUM(O111,AG111)*100+SUM(I111,AA111)+0.005,1,0)+IF(AV111*1000000+SUM(X111,AP111)*10000+SUM(R111,AJ111)*100+SUM(L111,AD111)+0.002&gt;AS111*1000000+SUM(U111,AM111)*10000+SUM(O111,AG111)*100+SUM(I111,AA111)+0.005,1,0)+IF(AW111*1000000+SUM(Y111,AQ111)*10000+SUM(S111,AK111)*100+SUM(M111,AE111)+0.001&gt;AS111*1000000+SUM(U111,AM111)*10000+SUM(O111,AG111)*100+SUM(I111,AA111)+0.005,1,0)=0,"I",IF(IF(AR111*1000000+SUM(T111,AL111)*10000+SUM(N111,AF111)*100+SUM(H111,Z111)+0.006&gt;AT111*1000000+SUM(V111,AN111)*10000+SUM(P111,AH111)*100+SUM(J111,AB111)+0.004,1,0)+IF(AS111*1000000+SUM(U111,AM111)*10000+SUM(O111,AG111)*100+SUM(I111,AA111)+0.005&gt;AT111*1000000+SUM(V111,AN111)*10000+SUM(P111,AH111)*100+SUM(J111,AB111)+0.004,1,0)+IF(AU111*1000000+SUM(W111,AO111)*10000+SUM(Q111,AI111)*100+SUM(K111,AC111)+0.003&gt;AT111*1000000+SUM(V111,AN111)*10000+SUM(P111,AH111)*100+SUM(J111,AB111)+0.004,1,0)+IF(AV111*1000000+SUM(X111,AP111)*10000+SUM(R111,AJ111)*100+SUM(L111,AD111)+0.002&gt;AT111*1000000+SUM(V111,AN111)*10000+SUM(P111,AH111)*100+SUM(J111,AB111)+0.004,1,0)+IF(AW111*1000000+SUM(Y111,AQ111)*10000+SUM(S111,AK111)*100+SUM(M111,AE111)+0.001&gt;AT111*1000000+SUM(V111,AN111)*10000+SUM(P111,AH111)*100+SUM(J111,AB111)+0.004,1,0)=0,"A",IF(IF(AR111*1000000+SUM(T111,AL111)*10000+SUM(N111,AF111)*100+SUM(H111,Z111)+0.006&gt;AU111*1000000+SUM(W111,AO111)*10000+SUM(Q111,AI111)*100+SUM(K111,AC111)+0.003,1,0)+IF(AS111*1000000+SUM(U111,AM111)*10000+SUM(O111,AG111)*100+SUM(I111,AA111)+0.005&gt;AU111*1000000+SUM(W111,AO111)*10000+SUM(Q111,AI111)*100+SUM(K111,AC111)+0.003,1,0)+IF(AT111*1000000+SUM(V111,AN111)*10000+SUM(P111,AH111)*100+SUM(J111,AB111)+0.004&gt;AU111*1000000+SUM(W111,AO111)*10000+SUM(Q111,AI111)*100+SUM(K111,AC111)+0.003,1,0)+IF(AV111*1000000+SUM(X111,AP111)*10000+SUM(R111,AJ111)*100+SUM(L111,AD111)+0.002&gt;AU111*1000000+SUM(W111,AO111)*10000+SUM(Q111,AI111)*100+SUM(K111,AC111)+0.003,1,0)+IF(AW111*1000000+SUM(Y111,AQ111)*10000+SUM(S111,AK111)*100+SUM(M111,AE111)+0.001&gt;AU111*1000000+SUM(W111,AO111)*10000+SUM(Q111,AI111)*100+SUM(K111,AC111)+0.003,1,0)=0,"S",IF(IF(AR111*1000000+SUM(T111,AL111)*10000+SUM(N111,AF111)*100+SUM(H111,Z111)+0.006&gt;AV111*1000000+SUM(X111,AP111)*10000+SUM(R111,AJ111)*100+SUM(L111,AD111)+0.002,1,0)+IF(AS111*1000000+SUM(U111,AM111)*10000+SUM(O111,AG111)*100+SUM(I111,AA111)+0.005&gt;AV111*1000000+SUM(X111,AP111)*10000+SUM(R111,AJ111)*100+SUM(L111,AD111)+0.002,1,0)+IF(AT111*1000000+SUM(V111,AN111)*10000+SUM(P111,AH111)*100+SUM(J111,AB111)+0.004&gt;AV111*1000000+SUM(X111,AP111)*10000+SUM(R111,AJ111)*100+SUM(L111,AD111)+0.002,1,0)+IF(AU111*1000000+SUM(W111,AO111)*10000+SUM(Q111,AI111)*100+SUM(K111,AC111)+0.003&gt;AV111*1000000+SUM(X111,AP111)*10000+SUM(R111,AJ111)*100+SUM(L111,AD111)+0.002,1,0)+IF(AW111*1000000+SUM(Y111,AQ111)*10000+SUM(S111,AK111)*100+SUM(M111,AE111)+0.001&gt;AV111*1000000+SUM(X111,AP111)*10000+SUM(R111,AJ111)*100+SUM(L111,AD111)+0.002,1,0)=0,"E",IF(IF(AR111*1000000+SUM(T111,AL111)*10000+SUM(N111,AF111)*100+SUM(H111,Z111)+0.006&gt;AW111*1000000+SUM(Y111,AQ111)*10000+SUM(S111,AK111)*100+SUM(M111,AE111)+0.001,1,0)+IF(AS111*1000000+SUM(U111,AM111)*10000+SUM(O111,AG111)*100+SUM(I111,AA111)+0.005&gt;AW111*1000000+SUM(Y111,AQ111)*10000+SUM(S111,AK111)*100+SUM(M111,AE111)+0.001,1,0)+IF(AT111*1000000+SUM(V111,AN111)*10000+SUM(P111,AH111)*100+SUM(J111,AB111)+0.004&gt;AW111*1000000+SUM(Y111,AQ111)*10000+SUM(S111,AK111)*100+SUM(M111,AE111)+0.001,1,0)+IF(AU111*1000000+SUM(W111,AO111)*10000+SUM(Q111,AI111)*100+SUM(K111,AC111)+0.003&gt;AW111*1000000+SUM(Y111,AQ111)*10000+SUM(S111,AK111)*100+SUM(M111,AE111)+0.001,1,0)+IF(AV111*1000000+SUM(X111,AP111)*10000+SUM(R111,AJ111)*100+SUM(L111,AD111)+0.002&gt;AW111*1000000+SUM(Y111,AQ111)*10000+SUM(S111,AK111)*100+SUM(M111,AE111)+0.001,1,0)=0,"C",""))))))&amp;IF(IF(AS111*1000000+SUM(U111,AM111)*10000+SUM(O111,AG111)*100+SUM(I111,AA111)+0.005&gt;AR111*1000000+SUM(T111,AL111)*10000+SUM(N111,AF111)*100+SUM(H111,Z111)+0.006,1,0)+IF(AT111*1000000+SUM(V111,AN111)*10000+SUM(P111,AH111)*100+SUM(J111,AB111)+0.004&gt;AR111*1000000+SUM(T111,AL111)*10000+SUM(N111,AF111)*100+SUM(H111,Z111)+0.006,1,0)+IF(AU111*1000000+SUM(W111,AO111)*10000+SUM(Q111,AI111)*100+SUM(K111,AC111)+0.003&gt;AR111*1000000+SUM(T111,AL111)*10000+SUM(N111,AF111)*100+SUM(H111,Z111)+0.006,1,0)+IF(AV111*1000000+SUM(X111,AP111)*10000+SUM(R111,AJ111)*100+SUM(L111,AD111)+0.002&gt;AR111*1000000+SUM(T111,AL111)*10000+SUM(N111,AF111)*100+SUM(H111,Z111)+0.006,1,0)+IF(AW111*1000000+SUM(Y111,AQ111)*10000+SUM(S111,AK111)*100+SUM(M111,AE111)+0.001&gt;AR111*1000000+SUM(T111,AL111)*10000+SUM(N111,AF111)*100+SUM(H111,Z111)+0.006,1,0)=1,"R",IF(IF(AR111*1000000+SUM(T111,AL111)*10000+SUM(N111,AF111)*100+SUM(H111,Z111)+0.006&gt;AS111*1000000+SUM(U111,AM111)*10000+SUM(O111,AG111)*100+SUM(I111,AA111)+0.005,1,0)+IF(AT111*1000000+SUM(V111,AN111)*10000+SUM(P111,AH111)*100+SUM(J111,AB111)+0.004&gt;AS111*1000000+SUM(U111,AM111)*10000+SUM(O111,AG111)*100+SUM(I111,AA111)+0.005,1,0)+IF(AU111*1000000+SUM(W111,AO111)*10000+SUM(Q111,AI111)*100+SUM(K111,AC111)+0.003&gt;AS111*1000000+SUM(U111,AM111)*10000+SUM(O111,AG111)*100+SUM(I111,AA111)+0.005,1,0)+IF(AV111*1000000+SUM(X111,AP111)*10000+SUM(R111,AJ111)*100+SUM(L111,AD111)+0.002&gt;AS111*1000000+SUM(U111,AM111)*10000+SUM(O111,AG111)*100+SUM(I111,AA111)+0.005,1,0)+IF(AW111*1000000+SUM(Y111,AQ111)*10000+SUM(S111,AK111)*100+SUM(M111,AE111)+0.001&gt;AS111*1000000+SUM(U111,AM111)*10000+SUM(O111,AG111)*100+SUM(I111,AA111)+0.005,1,0)=1,"I",IF(IF(AR111*1000000+SUM(T111,AL111)*10000+SUM(N111,AF111)*100+SUM(H111,Z111)+0.006&gt;AT111*1000000+SUM(V111,AN111)*10000+SUM(P111,AH111)*100+SUM(J111,AB111)+0.004,1,0)+IF(AS111*1000000+SUM(U111,AM111)*10000+SUM(O111,AG111)*100+SUM(I111,AA111)+0.005&gt;AT111*1000000+SUM(V111,AN111)*10000+SUM(P111,AH111)*100+SUM(J111,AB111)+0.004,1,0)+IF(AU111*1000000+SUM(W111,AO111)*10000+SUM(Q111,AI111)*100+SUM(K111,AC111)+0.003&gt;AT111*1000000+SUM(V111,AN111)*10000+SUM(P111,AH111)*100+SUM(J111,AB111)+0.004,1,0)+IF(AV111*1000000+SUM(X111,AP111)*10000+SUM(R111,AJ111)*100+SUM(L111,AD111)+0.002&gt;AT111*1000000+SUM(V111,AN111)*10000+SUM(P111,AH111)*100+SUM(J111,AB111)+0.004,1,0)+IF(AW111*1000000+SUM(Y111,AQ111)*10000+SUM(S111,AK111)*100+SUM(M111,AE111)+0.001&gt;AT111*1000000+SUM(V111,AN111)*10000+SUM(P111,AH111)*100+SUM(J111,AB111)+0.004,1,0)=1,"A",IF(IF(AR111*1000000+SUM(T111,AL111)*10000+SUM(N111,AF111)*100+SUM(H111,Z111)+0.006&gt;AU111*1000000+SUM(W111,AO111)*10000+SUM(Q111,AI111)*100+SUM(K111,AC111)+0.003,1,0)+IF(AS111*1000000+SUM(U111,AM111)*10000+SUM(O111,AG111)*100+SUM(I111,AA111)+0.005&gt;AU111*1000000+SUM(W111,AO111)*10000+SUM(Q111,AI111)*100+SUM(K111,AC111)+0.003,1,0)+IF(AT111*1000000+SUM(V111,AN111)*10000+SUM(P111,AH111)*100+SUM(J111,AB111)+0.004&gt;AU111*1000000+SUM(W111,AO111)*10000+SUM(Q111,AI111)*100+SUM(K111,AC111)+0.003,1,0)+IF(AV111*1000000+SUM(X111,AP111)*10000+SUM(R111,AJ111)*100+SUM(L111,AD111)+0.002&gt;AU111*1000000+SUM(W111,AO111)*10000+SUM(Q111,AI111)*100+SUM(K111,AC111)+0.003,1,0)+IF(AW111*1000000+SUM(Y111,AQ111)*10000+SUM(S111,AK111)*100+SUM(M111,AE111)+0.001&gt;AU111*1000000+SUM(W111,AO111)*10000+SUM(Q111,AI111)*100+SUM(K111,AC111)+0.003,1,0)=1,"S",IF(IF(AR111*1000000+SUM(T111,AL111)*10000+SUM(N111,AF111)*100+SUM(H111,Z111)+0.006&gt;AV111*1000000+SUM(X111,AP111)*10000+SUM(R111,AJ111)*100+SUM(L111,AD111)+0.002,1,0)+IF(AS111*1000000+SUM(U111,AM111)*10000+SUM(O111,AG111)*100+SUM(I111,AA111)+0.005&gt;AV111*1000000+SUM(X111,AP111)*10000+SUM(R111,AJ111)*100+SUM(L111,AD111)+0.002,1,0)+IF(AT111*1000000+SUM(V111,AN111)*10000+SUM(P111,AH111)*100+SUM(J111,AB111)+0.004&gt;AV111*1000000+SUM(X111,AP111)*10000+SUM(R111,AJ111)*100+SUM(L111,AD111)+0.002,1,0)+IF(AU111*1000000+SUM(W111,AO111)*10000+SUM(Q111,AI111)*100+SUM(K111,AC111)+0.003&gt;AV111*1000000+SUM(X111,AP111)*10000+SUM(R111,AJ111)*100+SUM(L111,AD111)+0.002,1,0)+IF(AW111*1000000+SUM(Y111,AQ111)*10000+SUM(S111,AK111)*100+SUM(M111,AE111)+0.001&gt;AV111*1000000+SUM(X111,AP111)*10000+SUM(R111,AJ111)*100+SUM(L111,AD111)+0.002,1,0)=1,"E",IF(IF(AR111*1000000+SUM(T111,AL111)*10000+SUM(N111,AF111)*100+SUM(H111,Z111)+0.006&gt;AW111*1000000+SUM(Y111,AQ111)*10000+SUM(S111,AK111)*100+SUM(M111,AE111)+0.001,1,0)+IF(AS111*1000000+SUM(U111,AM111)*10000+SUM(O111,AG111)*100+SUM(I111,AA111)+0.005&gt;AW111*1000000+SUM(Y111,AQ111)*10000+SUM(S111,AK111)*100+SUM(M111,AE111)+0.001,1,0)+IF(AT111*1000000+SUM(V111,AN111)*10000+SUM(P111,AH111)*100+SUM(J111,AB111)+0.004&gt;AW111*1000000+SUM(Y111,AQ111)*10000+SUM(S111,AK111)*100+SUM(M111,AE111)+0.001,1,0)+IF(AU111*1000000+SUM(W111,AO111)*10000+SUM(Q111,AI111)*100+SUM(K111,AC111)+0.003&gt;AW111*1000000+SUM(Y111,AQ111)*10000+SUM(S111,AK111)*100+SUM(M111,AE111)+0.001,1,0)+IF(AV111*1000000+SUM(X111,AP111)*10000+SUM(R111,AJ111)*100+SUM(L111,AD111)+0.002&gt;AW111*1000000+SUM(Y111,AQ111)*10000+SUM(S111,AK111)*100+SUM(M111,AE111)+0.001,1,0)=1,"C",""))))))&amp;IF(IF(AS111*1000000+SUM(U111,AM111)*10000+SUM(O111,AG111)*100+SUM(I111,AA111)+0.005&gt;AR111*1000000+SUM(T111,AL111)*10000+SUM(N111,AF111)*100+SUM(H111,Z111)+0.006,1,0)+IF(AT111*1000000+SUM(V111,AN111)*10000+SUM(P111,AH111)*100+SUM(J111,AB111)+0.004&gt;AR111*1000000+SUM(T111,AL111)*10000+SUM(N111,AF111)*100+SUM(H111,Z111)+0.006,1,0)+IF(AU111*1000000+SUM(W111,AO111)*10000+SUM(Q111,AI111)*100+SUM(K111,AC111)+0.003&gt;AR111*1000000+SUM(T111,AL111)*10000+SUM(N111,AF111)*100+SUM(H111,Z111)+0.006,1,0)+IF(AV111*1000000+SUM(X111,AP111)*10000+SUM(R111,AJ111)*100+SUM(L111,AD111)+0.002&gt;AR111*1000000+SUM(T111,AL111)*10000+SUM(N111,AF111)*100+SUM(H111,Z111)+0.006,1,0)+IF(AW111*1000000+SUM(Y111,AQ111)*10000+SUM(S111,AK111)*100+SUM(M111,AE111)+0.001&gt;AR111*1000000+SUM(T111,AL111)*10000+SUM(N111,AF111)*100+SUM(H111,Z111)+0.006,1,0)=2,"R",IF(IF(AR111*1000000+SUM(T111,AL111)*10000+SUM(N111,AF111)*100+SUM(H111,Z111)+0.006&gt;AS111*1000000+SUM(U111,AM111)*10000+SUM(O111,AG111)*100+SUM(I111,AA111)+0.005,1,0)+IF(AT111*1000000+SUM(V111,AN111)*10000+SUM(P111,AH111)*100+SUM(J111,AB111)+0.004&gt;AS111*1000000+SUM(U111,AM111)*10000+SUM(O111,AG111)*100+SUM(I111,AA111)+0.005,1,0)+IF(AU111*1000000+SUM(W111,AO111)*10000+SUM(Q111,AI111)*100+SUM(K111,AC111)+0.003&gt;AS111*1000000+SUM(U111,AM111)*10000+SUM(O111,AG111)*100+SUM(I111,AA111)+0.005,1,0)+IF(AV111*1000000+SUM(X111,AP111)*10000+SUM(R111,AJ111)*100+SUM(L111,AD111)+0.002&gt;AS111*1000000+SUM(U111,AM111)*10000+SUM(O111,AG111)*100+SUM(I111,AA111)+0.005,1,0)+IF(AW111*1000000+SUM(Y111,AQ111)*10000+SUM(S111,AK111)*100+SUM(M111,AE111)+0.001&gt;AS111*1000000+SUM(U111,AM111)*10000+SUM(O111,AG111)*100+SUM(I111,AA111)+0.005,1,0)=2,"I",IF(IF(AR111*1000000+SUM(T111,AL111)*10000+SUM(N111,AF111)*100+SUM(H111,Z111)+0.006&gt;AT111*1000000+SUM(V111,AN111)*10000+SUM(P111,AH111)*100+SUM(J111,AB111)+0.004,1,0)+IF(AS111*1000000+SUM(U111,AM111)*10000+SUM(O111,AG111)*100+SUM(I111,AA111)+0.005&gt;AT111*1000000+SUM(V111,AN111)*10000+SUM(P111,AH111)*100+SUM(J111,AB111)+0.004,1,0)+IF(AU111*1000000+SUM(W111,AO111)*10000+SUM(Q111,AI111)*100+SUM(K111,AC111)+0.003&gt;AT111*1000000+SUM(V111,AN111)*10000+SUM(P111,AH111)*100+SUM(J111,AB111)+0.004,1,0)+IF(AV111*1000000+SUM(X111,AP111)*10000+SUM(R111,AJ111)*100+SUM(L111,AD111)+0.002&gt;AT111*1000000+SUM(V111,AN111)*10000+SUM(P111,AH111)*100+SUM(J111,AB111)+0.004,1,0)+IF(AW111*1000000+SUM(Y111,AQ111)*10000+SUM(S111,AK111)*100+SUM(M111,AE111)+0.001&gt;AT111*1000000+SUM(V111,AN111)*10000+SUM(P111,AH111)*100+SUM(J111,AB111)+0.004,1,0)=2,"A",IF(IF(AR111*1000000+SUM(T111,AL111)*10000+SUM(N111,AF111)*100+SUM(H111,Z111)+0.006&gt;AU111*1000000+SUM(W111,AO111)*10000+SUM(Q111,AI111)*100+SUM(K111,AC111)+0.003,1,0)+IF(AS111*1000000+SUM(U111,AM111)*10000+SUM(O111,AG111)*100+SUM(I111,AA111)+0.005&gt;AU111*1000000+SUM(W111,AO111)*10000+SUM(Q111,AI111)*100+SUM(K111,AC111)+0.003,1,0)+IF(AT111*1000000+SUM(V111,AN111)*10000+SUM(P111,AH111)*100+SUM(J111,AB111)+0.004&gt;AU111*1000000+SUM(W111,AO111)*10000+SUM(Q111,AI111)*100+SUM(K111,AC111)+0.003,1,0)+IF(AV111*1000000+SUM(X111,AP111)*10000+SUM(R111,AJ111)*100+SUM(L111,AD111)+0.002&gt;AU111*1000000+SUM(W111,AO111)*10000+SUM(Q111,AI111)*100+SUM(K111,AC111)+0.003,1,0)+IF(AW111*1000000+SUM(Y111,AQ111)*10000+SUM(S111,AK111)*100+SUM(M111,AE111)+0.001&gt;AU111*1000000+SUM(W111,AO111)*10000+SUM(Q111,AI111)*100+SUM(K111,AC111)+0.003,1,0)=2,"S",IF(IF(AR111*1000000+SUM(T111,AL111)*10000+SUM(N111,AF111)*100+SUM(H111,Z111)+0.006&gt;AV111*1000000+SUM(X111,AP111)*10000+SUM(R111,AJ111)*100+SUM(L111,AD111)+0.002,1,0)+IF(AS111*1000000+SUM(U111,AM111)*10000+SUM(O111,AG111)*100+SUM(I111,AA111)+0.005&gt;AV111*1000000+SUM(X111,AP111)*10000+SUM(R111,AJ111)*100+SUM(L111,AD111)+0.002,1,0)+IF(AT111*1000000+SUM(V111,AN111)*10000+SUM(P111,AH111)*100+SUM(J111,AB111)+0.004&gt;AV111*1000000+SUM(X111,AP111)*10000+SUM(R111,AJ111)*100+SUM(L111,AD111)+0.002,1,0)+IF(AU111*1000000+SUM(W111,AO111)*10000+SUM(Q111,AI111)*100+SUM(K111,AC111)+0.003&gt;AV111*1000000+SUM(X111,AP111)*10000+SUM(R111,AJ111)*100+SUM(L111,AD111)+0.002,1,0)+IF(AW111*1000000+SUM(Y111,AQ111)*10000+SUM(S111,AK111)*100+SUM(M111,AE111)+0.001&gt;AV111*1000000+SUM(X111,AP111)*10000+SUM(R111,AJ111)*100+SUM(L111,AD111)+0.002,1,0)=2,"E",IF(IF(AR111*1000000+SUM(T111,AL111)*10000+SUM(N111,AF111)*100+SUM(H111,Z111)+0.006&gt;AW111*1000000+SUM(Y111,AQ111)*10000+SUM(S111,AK111)*100+SUM(M111,AE111)+0.001,1,0)+IF(AS111*1000000+SUM(U111,AM111)*10000+SUM(O111,AG111)*100+SUM(I111,AA111)+0.005&gt;AW111*1000000+SUM(Y111,AQ111)*10000+SUM(S111,AK111)*100+SUM(M111,AE111)+0.001,1,0)+IF(AT111*1000000+SUM(V111,AN111)*10000+SUM(P111,AH111)*100+SUM(J111,AB111)+0.004&gt;AW111*1000000+SUM(Y111,AQ111)*10000+SUM(S111,AK111)*100+SUM(M111,AE111)+0.001,1,0)+IF(AU111*1000000+SUM(W111,AO111)*10000+SUM(Q111,AI111)*100+SUM(K111,AC111)+0.003&gt;AW111*1000000+SUM(Y111,AQ111)*10000+SUM(S111,AK111)*100+SUM(M111,AE111)+0.001,1,0)+IF(AV111*1000000+SUM(X111,AP111)*10000+SUM(R111,AJ111)*100+SUM(L111,AD111)+0.002&gt;AW111*1000000+SUM(Y111,AQ111)*10000+SUM(S111,AK111)*100+SUM(M111,AE111)+0.001,1,0)=2,"C","")))))))</x:f>
      </x:c>
      <x:c r="AY111" s="27" t="str">
        <x:f>IF(C111="","",IF(LEFT(AX111,1)="R","นักปฏิบัติ",IF(LEFT(AX111,1)="I","นักคิดวิเคราะห์",IF(LEFT(AX111,1)="A","นักสร้างสรรค์",IF(LEFT(AX111,1)="S","ผู้เข้าใจผู้คน",IF(LEFT(AX111,1)="E","ผู้นำการเปลี่ยนแปลง","ผู้จัดระบบ"))))))</x:f>
      </x:c>
    </x:row>
    <x:row r="112">
      <x:c r="A112" s="27"/>
      <x:c r="B112" s="28"/>
      <x:c r="C112" s="27"/>
      <x:c r="D112" s="27"/>
      <x:c r="E112" s="27"/>
      <x:c r="F112" s="27"/>
      <x:c r="G112" s="27"/>
      <x:c r="H112" s="27"/>
      <x:c r="I112" s="27"/>
      <x:c r="J112" s="27"/>
      <x:c r="K112" s="27"/>
      <x:c r="L112" s="27"/>
      <x:c r="M112" s="27"/>
      <x:c r="N112" s="27"/>
      <x:c r="O112" s="27"/>
      <x:c r="P112" s="27"/>
      <x:c r="Q112" s="27"/>
      <x:c r="R112" s="27"/>
      <x:c r="S112" s="27"/>
      <x:c r="T112" s="27"/>
      <x:c r="U112" s="27"/>
      <x:c r="V112" s="27"/>
      <x:c r="W112" s="27"/>
      <x:c r="X112" s="27"/>
      <x:c r="Y112" s="27"/>
      <x:c r="Z112" s="27"/>
      <x:c r="AA112" s="27"/>
      <x:c r="AB112" s="27"/>
      <x:c r="AC112" s="27"/>
      <x:c r="AD112" s="27"/>
      <x:c r="AE112" s="27"/>
      <x:c r="AF112" s="27"/>
      <x:c r="AG112" s="27"/>
      <x:c r="AH112" s="27"/>
      <x:c r="AI112" s="27"/>
      <x:c r="AJ112" s="27"/>
      <x:c r="AK112" s="27"/>
      <x:c r="AL112" s="27"/>
      <x:c r="AM112" s="27"/>
      <x:c r="AN112" s="27"/>
      <x:c r="AO112" s="27"/>
      <x:c r="AP112" s="27"/>
      <x:c r="AQ112" s="27"/>
      <x:c r="AR112" s="27" t="str">
        <x:f>IF(C112="","",SUM(H112,N112,T112,Z112,AF112,AL112))</x:f>
      </x:c>
      <x:c r="AS112" s="27" t="str">
        <x:f>IF(C112="","",SUM(I112,O112,U112,AA112,AG112,AM112))</x:f>
      </x:c>
      <x:c r="AT112" s="27" t="str">
        <x:f>IF(C112="","",SUM(J112,P112,V112,AB112,AH112,AN112))</x:f>
      </x:c>
      <x:c r="AU112" s="27" t="str">
        <x:f>IF(C112="","",SUM(K112,Q112,W112,AC112,AI112,AO112))</x:f>
      </x:c>
      <x:c r="AV112" s="27" t="str">
        <x:f>IF(C112="","",SUM(L112,R112,X112,AD112,AJ112,AP112))</x:f>
      </x:c>
      <x:c r="AW112" s="27" t="str">
        <x:f>IF(C112="","",SUM(M112,S112,Y112,AE112,AK112,AQ112))</x:f>
      </x:c>
      <x:c r="AX112" s="27" t="str">
        <x:f>IF(C112="","",IF(IF(AS112*1000000+SUM(U112,AM112)*10000+SUM(O112,AG112)*100+SUM(I112,AA112)+0.005&gt;AR112*1000000+SUM(T112,AL112)*10000+SUM(N112,AF112)*100+SUM(H112,Z112)+0.006,1,0)+IF(AT112*1000000+SUM(V112,AN112)*10000+SUM(P112,AH112)*100+SUM(J112,AB112)+0.004&gt;AR112*1000000+SUM(T112,AL112)*10000+SUM(N112,AF112)*100+SUM(H112,Z112)+0.006,1,0)+IF(AU112*1000000+SUM(W112,AO112)*10000+SUM(Q112,AI112)*100+SUM(K112,AC112)+0.003&gt;AR112*1000000+SUM(T112,AL112)*10000+SUM(N112,AF112)*100+SUM(H112,Z112)+0.006,1,0)+IF(AV112*1000000+SUM(X112,AP112)*10000+SUM(R112,AJ112)*100+SUM(L112,AD112)+0.002&gt;AR112*1000000+SUM(T112,AL112)*10000+SUM(N112,AF112)*100+SUM(H112,Z112)+0.006,1,0)+IF(AW112*1000000+SUM(Y112,AQ112)*10000+SUM(S112,AK112)*100+SUM(M112,AE112)+0.001&gt;AR112*1000000+SUM(T112,AL112)*10000+SUM(N112,AF112)*100+SUM(H112,Z112)+0.006,1,0)=0,"R",IF(IF(AR112*1000000+SUM(T112,AL112)*10000+SUM(N112,AF112)*100+SUM(H112,Z112)+0.006&gt;AS112*1000000+SUM(U112,AM112)*10000+SUM(O112,AG112)*100+SUM(I112,AA112)+0.005,1,0)+IF(AT112*1000000+SUM(V112,AN112)*10000+SUM(P112,AH112)*100+SUM(J112,AB112)+0.004&gt;AS112*1000000+SUM(U112,AM112)*10000+SUM(O112,AG112)*100+SUM(I112,AA112)+0.005,1,0)+IF(AU112*1000000+SUM(W112,AO112)*10000+SUM(Q112,AI112)*100+SUM(K112,AC112)+0.003&gt;AS112*1000000+SUM(U112,AM112)*10000+SUM(O112,AG112)*100+SUM(I112,AA112)+0.005,1,0)+IF(AV112*1000000+SUM(X112,AP112)*10000+SUM(R112,AJ112)*100+SUM(L112,AD112)+0.002&gt;AS112*1000000+SUM(U112,AM112)*10000+SUM(O112,AG112)*100+SUM(I112,AA112)+0.005,1,0)+IF(AW112*1000000+SUM(Y112,AQ112)*10000+SUM(S112,AK112)*100+SUM(M112,AE112)+0.001&gt;AS112*1000000+SUM(U112,AM112)*10000+SUM(O112,AG112)*100+SUM(I112,AA112)+0.005,1,0)=0,"I",IF(IF(AR112*1000000+SUM(T112,AL112)*10000+SUM(N112,AF112)*100+SUM(H112,Z112)+0.006&gt;AT112*1000000+SUM(V112,AN112)*10000+SUM(P112,AH112)*100+SUM(J112,AB112)+0.004,1,0)+IF(AS112*1000000+SUM(U112,AM112)*10000+SUM(O112,AG112)*100+SUM(I112,AA112)+0.005&gt;AT112*1000000+SUM(V112,AN112)*10000+SUM(P112,AH112)*100+SUM(J112,AB112)+0.004,1,0)+IF(AU112*1000000+SUM(W112,AO112)*10000+SUM(Q112,AI112)*100+SUM(K112,AC112)+0.003&gt;AT112*1000000+SUM(V112,AN112)*10000+SUM(P112,AH112)*100+SUM(J112,AB112)+0.004,1,0)+IF(AV112*1000000+SUM(X112,AP112)*10000+SUM(R112,AJ112)*100+SUM(L112,AD112)+0.002&gt;AT112*1000000+SUM(V112,AN112)*10000+SUM(P112,AH112)*100+SUM(J112,AB112)+0.004,1,0)+IF(AW112*1000000+SUM(Y112,AQ112)*10000+SUM(S112,AK112)*100+SUM(M112,AE112)+0.001&gt;AT112*1000000+SUM(V112,AN112)*10000+SUM(P112,AH112)*100+SUM(J112,AB112)+0.004,1,0)=0,"A",IF(IF(AR112*1000000+SUM(T112,AL112)*10000+SUM(N112,AF112)*100+SUM(H112,Z112)+0.006&gt;AU112*1000000+SUM(W112,AO112)*10000+SUM(Q112,AI112)*100+SUM(K112,AC112)+0.003,1,0)+IF(AS112*1000000+SUM(U112,AM112)*10000+SUM(O112,AG112)*100+SUM(I112,AA112)+0.005&gt;AU112*1000000+SUM(W112,AO112)*10000+SUM(Q112,AI112)*100+SUM(K112,AC112)+0.003,1,0)+IF(AT112*1000000+SUM(V112,AN112)*10000+SUM(P112,AH112)*100+SUM(J112,AB112)+0.004&gt;AU112*1000000+SUM(W112,AO112)*10000+SUM(Q112,AI112)*100+SUM(K112,AC112)+0.003,1,0)+IF(AV112*1000000+SUM(X112,AP112)*10000+SUM(R112,AJ112)*100+SUM(L112,AD112)+0.002&gt;AU112*1000000+SUM(W112,AO112)*10000+SUM(Q112,AI112)*100+SUM(K112,AC112)+0.003,1,0)+IF(AW112*1000000+SUM(Y112,AQ112)*10000+SUM(S112,AK112)*100+SUM(M112,AE112)+0.001&gt;AU112*1000000+SUM(W112,AO112)*10000+SUM(Q112,AI112)*100+SUM(K112,AC112)+0.003,1,0)=0,"S",IF(IF(AR112*1000000+SUM(T112,AL112)*10000+SUM(N112,AF112)*100+SUM(H112,Z112)+0.006&gt;AV112*1000000+SUM(X112,AP112)*10000+SUM(R112,AJ112)*100+SUM(L112,AD112)+0.002,1,0)+IF(AS112*1000000+SUM(U112,AM112)*10000+SUM(O112,AG112)*100+SUM(I112,AA112)+0.005&gt;AV112*1000000+SUM(X112,AP112)*10000+SUM(R112,AJ112)*100+SUM(L112,AD112)+0.002,1,0)+IF(AT112*1000000+SUM(V112,AN112)*10000+SUM(P112,AH112)*100+SUM(J112,AB112)+0.004&gt;AV112*1000000+SUM(X112,AP112)*10000+SUM(R112,AJ112)*100+SUM(L112,AD112)+0.002,1,0)+IF(AU112*1000000+SUM(W112,AO112)*10000+SUM(Q112,AI112)*100+SUM(K112,AC112)+0.003&gt;AV112*1000000+SUM(X112,AP112)*10000+SUM(R112,AJ112)*100+SUM(L112,AD112)+0.002,1,0)+IF(AW112*1000000+SUM(Y112,AQ112)*10000+SUM(S112,AK112)*100+SUM(M112,AE112)+0.001&gt;AV112*1000000+SUM(X112,AP112)*10000+SUM(R112,AJ112)*100+SUM(L112,AD112)+0.002,1,0)=0,"E",IF(IF(AR112*1000000+SUM(T112,AL112)*10000+SUM(N112,AF112)*100+SUM(H112,Z112)+0.006&gt;AW112*1000000+SUM(Y112,AQ112)*10000+SUM(S112,AK112)*100+SUM(M112,AE112)+0.001,1,0)+IF(AS112*1000000+SUM(U112,AM112)*10000+SUM(O112,AG112)*100+SUM(I112,AA112)+0.005&gt;AW112*1000000+SUM(Y112,AQ112)*10000+SUM(S112,AK112)*100+SUM(M112,AE112)+0.001,1,0)+IF(AT112*1000000+SUM(V112,AN112)*10000+SUM(P112,AH112)*100+SUM(J112,AB112)+0.004&gt;AW112*1000000+SUM(Y112,AQ112)*10000+SUM(S112,AK112)*100+SUM(M112,AE112)+0.001,1,0)+IF(AU112*1000000+SUM(W112,AO112)*10000+SUM(Q112,AI112)*100+SUM(K112,AC112)+0.003&gt;AW112*1000000+SUM(Y112,AQ112)*10000+SUM(S112,AK112)*100+SUM(M112,AE112)+0.001,1,0)+IF(AV112*1000000+SUM(X112,AP112)*10000+SUM(R112,AJ112)*100+SUM(L112,AD112)+0.002&gt;AW112*1000000+SUM(Y112,AQ112)*10000+SUM(S112,AK112)*100+SUM(M112,AE112)+0.001,1,0)=0,"C",""))))))&amp;IF(IF(AS112*1000000+SUM(U112,AM112)*10000+SUM(O112,AG112)*100+SUM(I112,AA112)+0.005&gt;AR112*1000000+SUM(T112,AL112)*10000+SUM(N112,AF112)*100+SUM(H112,Z112)+0.006,1,0)+IF(AT112*1000000+SUM(V112,AN112)*10000+SUM(P112,AH112)*100+SUM(J112,AB112)+0.004&gt;AR112*1000000+SUM(T112,AL112)*10000+SUM(N112,AF112)*100+SUM(H112,Z112)+0.006,1,0)+IF(AU112*1000000+SUM(W112,AO112)*10000+SUM(Q112,AI112)*100+SUM(K112,AC112)+0.003&gt;AR112*1000000+SUM(T112,AL112)*10000+SUM(N112,AF112)*100+SUM(H112,Z112)+0.006,1,0)+IF(AV112*1000000+SUM(X112,AP112)*10000+SUM(R112,AJ112)*100+SUM(L112,AD112)+0.002&gt;AR112*1000000+SUM(T112,AL112)*10000+SUM(N112,AF112)*100+SUM(H112,Z112)+0.006,1,0)+IF(AW112*1000000+SUM(Y112,AQ112)*10000+SUM(S112,AK112)*100+SUM(M112,AE112)+0.001&gt;AR112*1000000+SUM(T112,AL112)*10000+SUM(N112,AF112)*100+SUM(H112,Z112)+0.006,1,0)=1,"R",IF(IF(AR112*1000000+SUM(T112,AL112)*10000+SUM(N112,AF112)*100+SUM(H112,Z112)+0.006&gt;AS112*1000000+SUM(U112,AM112)*10000+SUM(O112,AG112)*100+SUM(I112,AA112)+0.005,1,0)+IF(AT112*1000000+SUM(V112,AN112)*10000+SUM(P112,AH112)*100+SUM(J112,AB112)+0.004&gt;AS112*1000000+SUM(U112,AM112)*10000+SUM(O112,AG112)*100+SUM(I112,AA112)+0.005,1,0)+IF(AU112*1000000+SUM(W112,AO112)*10000+SUM(Q112,AI112)*100+SUM(K112,AC112)+0.003&gt;AS112*1000000+SUM(U112,AM112)*10000+SUM(O112,AG112)*100+SUM(I112,AA112)+0.005,1,0)+IF(AV112*1000000+SUM(X112,AP112)*10000+SUM(R112,AJ112)*100+SUM(L112,AD112)+0.002&gt;AS112*1000000+SUM(U112,AM112)*10000+SUM(O112,AG112)*100+SUM(I112,AA112)+0.005,1,0)+IF(AW112*1000000+SUM(Y112,AQ112)*10000+SUM(S112,AK112)*100+SUM(M112,AE112)+0.001&gt;AS112*1000000+SUM(U112,AM112)*10000+SUM(O112,AG112)*100+SUM(I112,AA112)+0.005,1,0)=1,"I",IF(IF(AR112*1000000+SUM(T112,AL112)*10000+SUM(N112,AF112)*100+SUM(H112,Z112)+0.006&gt;AT112*1000000+SUM(V112,AN112)*10000+SUM(P112,AH112)*100+SUM(J112,AB112)+0.004,1,0)+IF(AS112*1000000+SUM(U112,AM112)*10000+SUM(O112,AG112)*100+SUM(I112,AA112)+0.005&gt;AT112*1000000+SUM(V112,AN112)*10000+SUM(P112,AH112)*100+SUM(J112,AB112)+0.004,1,0)+IF(AU112*1000000+SUM(W112,AO112)*10000+SUM(Q112,AI112)*100+SUM(K112,AC112)+0.003&gt;AT112*1000000+SUM(V112,AN112)*10000+SUM(P112,AH112)*100+SUM(J112,AB112)+0.004,1,0)+IF(AV112*1000000+SUM(X112,AP112)*10000+SUM(R112,AJ112)*100+SUM(L112,AD112)+0.002&gt;AT112*1000000+SUM(V112,AN112)*10000+SUM(P112,AH112)*100+SUM(J112,AB112)+0.004,1,0)+IF(AW112*1000000+SUM(Y112,AQ112)*10000+SUM(S112,AK112)*100+SUM(M112,AE112)+0.001&gt;AT112*1000000+SUM(V112,AN112)*10000+SUM(P112,AH112)*100+SUM(J112,AB112)+0.004,1,0)=1,"A",IF(IF(AR112*1000000+SUM(T112,AL112)*10000+SUM(N112,AF112)*100+SUM(H112,Z112)+0.006&gt;AU112*1000000+SUM(W112,AO112)*10000+SUM(Q112,AI112)*100+SUM(K112,AC112)+0.003,1,0)+IF(AS112*1000000+SUM(U112,AM112)*10000+SUM(O112,AG112)*100+SUM(I112,AA112)+0.005&gt;AU112*1000000+SUM(W112,AO112)*10000+SUM(Q112,AI112)*100+SUM(K112,AC112)+0.003,1,0)+IF(AT112*1000000+SUM(V112,AN112)*10000+SUM(P112,AH112)*100+SUM(J112,AB112)+0.004&gt;AU112*1000000+SUM(W112,AO112)*10000+SUM(Q112,AI112)*100+SUM(K112,AC112)+0.003,1,0)+IF(AV112*1000000+SUM(X112,AP112)*10000+SUM(R112,AJ112)*100+SUM(L112,AD112)+0.002&gt;AU112*1000000+SUM(W112,AO112)*10000+SUM(Q112,AI112)*100+SUM(K112,AC112)+0.003,1,0)+IF(AW112*1000000+SUM(Y112,AQ112)*10000+SUM(S112,AK112)*100+SUM(M112,AE112)+0.001&gt;AU112*1000000+SUM(W112,AO112)*10000+SUM(Q112,AI112)*100+SUM(K112,AC112)+0.003,1,0)=1,"S",IF(IF(AR112*1000000+SUM(T112,AL112)*10000+SUM(N112,AF112)*100+SUM(H112,Z112)+0.006&gt;AV112*1000000+SUM(X112,AP112)*10000+SUM(R112,AJ112)*100+SUM(L112,AD112)+0.002,1,0)+IF(AS112*1000000+SUM(U112,AM112)*10000+SUM(O112,AG112)*100+SUM(I112,AA112)+0.005&gt;AV112*1000000+SUM(X112,AP112)*10000+SUM(R112,AJ112)*100+SUM(L112,AD112)+0.002,1,0)+IF(AT112*1000000+SUM(V112,AN112)*10000+SUM(P112,AH112)*100+SUM(J112,AB112)+0.004&gt;AV112*1000000+SUM(X112,AP112)*10000+SUM(R112,AJ112)*100+SUM(L112,AD112)+0.002,1,0)+IF(AU112*1000000+SUM(W112,AO112)*10000+SUM(Q112,AI112)*100+SUM(K112,AC112)+0.003&gt;AV112*1000000+SUM(X112,AP112)*10000+SUM(R112,AJ112)*100+SUM(L112,AD112)+0.002,1,0)+IF(AW112*1000000+SUM(Y112,AQ112)*10000+SUM(S112,AK112)*100+SUM(M112,AE112)+0.001&gt;AV112*1000000+SUM(X112,AP112)*10000+SUM(R112,AJ112)*100+SUM(L112,AD112)+0.002,1,0)=1,"E",IF(IF(AR112*1000000+SUM(T112,AL112)*10000+SUM(N112,AF112)*100+SUM(H112,Z112)+0.006&gt;AW112*1000000+SUM(Y112,AQ112)*10000+SUM(S112,AK112)*100+SUM(M112,AE112)+0.001,1,0)+IF(AS112*1000000+SUM(U112,AM112)*10000+SUM(O112,AG112)*100+SUM(I112,AA112)+0.005&gt;AW112*1000000+SUM(Y112,AQ112)*10000+SUM(S112,AK112)*100+SUM(M112,AE112)+0.001,1,0)+IF(AT112*1000000+SUM(V112,AN112)*10000+SUM(P112,AH112)*100+SUM(J112,AB112)+0.004&gt;AW112*1000000+SUM(Y112,AQ112)*10000+SUM(S112,AK112)*100+SUM(M112,AE112)+0.001,1,0)+IF(AU112*1000000+SUM(W112,AO112)*10000+SUM(Q112,AI112)*100+SUM(K112,AC112)+0.003&gt;AW112*1000000+SUM(Y112,AQ112)*10000+SUM(S112,AK112)*100+SUM(M112,AE112)+0.001,1,0)+IF(AV112*1000000+SUM(X112,AP112)*10000+SUM(R112,AJ112)*100+SUM(L112,AD112)+0.002&gt;AW112*1000000+SUM(Y112,AQ112)*10000+SUM(S112,AK112)*100+SUM(M112,AE112)+0.001,1,0)=1,"C",""))))))&amp;IF(IF(AS112*1000000+SUM(U112,AM112)*10000+SUM(O112,AG112)*100+SUM(I112,AA112)+0.005&gt;AR112*1000000+SUM(T112,AL112)*10000+SUM(N112,AF112)*100+SUM(H112,Z112)+0.006,1,0)+IF(AT112*1000000+SUM(V112,AN112)*10000+SUM(P112,AH112)*100+SUM(J112,AB112)+0.004&gt;AR112*1000000+SUM(T112,AL112)*10000+SUM(N112,AF112)*100+SUM(H112,Z112)+0.006,1,0)+IF(AU112*1000000+SUM(W112,AO112)*10000+SUM(Q112,AI112)*100+SUM(K112,AC112)+0.003&gt;AR112*1000000+SUM(T112,AL112)*10000+SUM(N112,AF112)*100+SUM(H112,Z112)+0.006,1,0)+IF(AV112*1000000+SUM(X112,AP112)*10000+SUM(R112,AJ112)*100+SUM(L112,AD112)+0.002&gt;AR112*1000000+SUM(T112,AL112)*10000+SUM(N112,AF112)*100+SUM(H112,Z112)+0.006,1,0)+IF(AW112*1000000+SUM(Y112,AQ112)*10000+SUM(S112,AK112)*100+SUM(M112,AE112)+0.001&gt;AR112*1000000+SUM(T112,AL112)*10000+SUM(N112,AF112)*100+SUM(H112,Z112)+0.006,1,0)=2,"R",IF(IF(AR112*1000000+SUM(T112,AL112)*10000+SUM(N112,AF112)*100+SUM(H112,Z112)+0.006&gt;AS112*1000000+SUM(U112,AM112)*10000+SUM(O112,AG112)*100+SUM(I112,AA112)+0.005,1,0)+IF(AT112*1000000+SUM(V112,AN112)*10000+SUM(P112,AH112)*100+SUM(J112,AB112)+0.004&gt;AS112*1000000+SUM(U112,AM112)*10000+SUM(O112,AG112)*100+SUM(I112,AA112)+0.005,1,0)+IF(AU112*1000000+SUM(W112,AO112)*10000+SUM(Q112,AI112)*100+SUM(K112,AC112)+0.003&gt;AS112*1000000+SUM(U112,AM112)*10000+SUM(O112,AG112)*100+SUM(I112,AA112)+0.005,1,0)+IF(AV112*1000000+SUM(X112,AP112)*10000+SUM(R112,AJ112)*100+SUM(L112,AD112)+0.002&gt;AS112*1000000+SUM(U112,AM112)*10000+SUM(O112,AG112)*100+SUM(I112,AA112)+0.005,1,0)+IF(AW112*1000000+SUM(Y112,AQ112)*10000+SUM(S112,AK112)*100+SUM(M112,AE112)+0.001&gt;AS112*1000000+SUM(U112,AM112)*10000+SUM(O112,AG112)*100+SUM(I112,AA112)+0.005,1,0)=2,"I",IF(IF(AR112*1000000+SUM(T112,AL112)*10000+SUM(N112,AF112)*100+SUM(H112,Z112)+0.006&gt;AT112*1000000+SUM(V112,AN112)*10000+SUM(P112,AH112)*100+SUM(J112,AB112)+0.004,1,0)+IF(AS112*1000000+SUM(U112,AM112)*10000+SUM(O112,AG112)*100+SUM(I112,AA112)+0.005&gt;AT112*1000000+SUM(V112,AN112)*10000+SUM(P112,AH112)*100+SUM(J112,AB112)+0.004,1,0)+IF(AU112*1000000+SUM(W112,AO112)*10000+SUM(Q112,AI112)*100+SUM(K112,AC112)+0.003&gt;AT112*1000000+SUM(V112,AN112)*10000+SUM(P112,AH112)*100+SUM(J112,AB112)+0.004,1,0)+IF(AV112*1000000+SUM(X112,AP112)*10000+SUM(R112,AJ112)*100+SUM(L112,AD112)+0.002&gt;AT112*1000000+SUM(V112,AN112)*10000+SUM(P112,AH112)*100+SUM(J112,AB112)+0.004,1,0)+IF(AW112*1000000+SUM(Y112,AQ112)*10000+SUM(S112,AK112)*100+SUM(M112,AE112)+0.001&gt;AT112*1000000+SUM(V112,AN112)*10000+SUM(P112,AH112)*100+SUM(J112,AB112)+0.004,1,0)=2,"A",IF(IF(AR112*1000000+SUM(T112,AL112)*10000+SUM(N112,AF112)*100+SUM(H112,Z112)+0.006&gt;AU112*1000000+SUM(W112,AO112)*10000+SUM(Q112,AI112)*100+SUM(K112,AC112)+0.003,1,0)+IF(AS112*1000000+SUM(U112,AM112)*10000+SUM(O112,AG112)*100+SUM(I112,AA112)+0.005&gt;AU112*1000000+SUM(W112,AO112)*10000+SUM(Q112,AI112)*100+SUM(K112,AC112)+0.003,1,0)+IF(AT112*1000000+SUM(V112,AN112)*10000+SUM(P112,AH112)*100+SUM(J112,AB112)+0.004&gt;AU112*1000000+SUM(W112,AO112)*10000+SUM(Q112,AI112)*100+SUM(K112,AC112)+0.003,1,0)+IF(AV112*1000000+SUM(X112,AP112)*10000+SUM(R112,AJ112)*100+SUM(L112,AD112)+0.002&gt;AU112*1000000+SUM(W112,AO112)*10000+SUM(Q112,AI112)*100+SUM(K112,AC112)+0.003,1,0)+IF(AW112*1000000+SUM(Y112,AQ112)*10000+SUM(S112,AK112)*100+SUM(M112,AE112)+0.001&gt;AU112*1000000+SUM(W112,AO112)*10000+SUM(Q112,AI112)*100+SUM(K112,AC112)+0.003,1,0)=2,"S",IF(IF(AR112*1000000+SUM(T112,AL112)*10000+SUM(N112,AF112)*100+SUM(H112,Z112)+0.006&gt;AV112*1000000+SUM(X112,AP112)*10000+SUM(R112,AJ112)*100+SUM(L112,AD112)+0.002,1,0)+IF(AS112*1000000+SUM(U112,AM112)*10000+SUM(O112,AG112)*100+SUM(I112,AA112)+0.005&gt;AV112*1000000+SUM(X112,AP112)*10000+SUM(R112,AJ112)*100+SUM(L112,AD112)+0.002,1,0)+IF(AT112*1000000+SUM(V112,AN112)*10000+SUM(P112,AH112)*100+SUM(J112,AB112)+0.004&gt;AV112*1000000+SUM(X112,AP112)*10000+SUM(R112,AJ112)*100+SUM(L112,AD112)+0.002,1,0)+IF(AU112*1000000+SUM(W112,AO112)*10000+SUM(Q112,AI112)*100+SUM(K112,AC112)+0.003&gt;AV112*1000000+SUM(X112,AP112)*10000+SUM(R112,AJ112)*100+SUM(L112,AD112)+0.002,1,0)+IF(AW112*1000000+SUM(Y112,AQ112)*10000+SUM(S112,AK112)*100+SUM(M112,AE112)+0.001&gt;AV112*1000000+SUM(X112,AP112)*10000+SUM(R112,AJ112)*100+SUM(L112,AD112)+0.002,1,0)=2,"E",IF(IF(AR112*1000000+SUM(T112,AL112)*10000+SUM(N112,AF112)*100+SUM(H112,Z112)+0.006&gt;AW112*1000000+SUM(Y112,AQ112)*10000+SUM(S112,AK112)*100+SUM(M112,AE112)+0.001,1,0)+IF(AS112*1000000+SUM(U112,AM112)*10000+SUM(O112,AG112)*100+SUM(I112,AA112)+0.005&gt;AW112*1000000+SUM(Y112,AQ112)*10000+SUM(S112,AK112)*100+SUM(M112,AE112)+0.001,1,0)+IF(AT112*1000000+SUM(V112,AN112)*10000+SUM(P112,AH112)*100+SUM(J112,AB112)+0.004&gt;AW112*1000000+SUM(Y112,AQ112)*10000+SUM(S112,AK112)*100+SUM(M112,AE112)+0.001,1,0)+IF(AU112*1000000+SUM(W112,AO112)*10000+SUM(Q112,AI112)*100+SUM(K112,AC112)+0.003&gt;AW112*1000000+SUM(Y112,AQ112)*10000+SUM(S112,AK112)*100+SUM(M112,AE112)+0.001,1,0)+IF(AV112*1000000+SUM(X112,AP112)*10000+SUM(R112,AJ112)*100+SUM(L112,AD112)+0.002&gt;AW112*1000000+SUM(Y112,AQ112)*10000+SUM(S112,AK112)*100+SUM(M112,AE112)+0.001,1,0)=2,"C","")))))))</x:f>
      </x:c>
      <x:c r="AY112" s="27" t="str">
        <x:f>IF(C112="","",IF(LEFT(AX112,1)="R","นักปฏิบัติ",IF(LEFT(AX112,1)="I","นักคิดวิเคราะห์",IF(LEFT(AX112,1)="A","นักสร้างสรรค์",IF(LEFT(AX112,1)="S","ผู้เข้าใจผู้คน",IF(LEFT(AX112,1)="E","ผู้นำการเปลี่ยนแปลง","ผู้จัดระบบ"))))))</x:f>
      </x:c>
    </x:row>
    <x:row r="113">
      <x:c r="A113" s="27"/>
      <x:c r="B113" s="28"/>
      <x:c r="C113" s="27"/>
      <x:c r="D113" s="27"/>
      <x:c r="E113" s="27"/>
      <x:c r="F113" s="27"/>
      <x:c r="G113" s="27"/>
      <x:c r="H113" s="27"/>
      <x:c r="I113" s="27"/>
      <x:c r="J113" s="27"/>
      <x:c r="K113" s="27"/>
      <x:c r="L113" s="27"/>
      <x:c r="M113" s="27"/>
      <x:c r="N113" s="27"/>
      <x:c r="O113" s="27"/>
      <x:c r="P113" s="27"/>
      <x:c r="Q113" s="27"/>
      <x:c r="R113" s="27"/>
      <x:c r="S113" s="27"/>
      <x:c r="T113" s="27"/>
      <x:c r="U113" s="27"/>
      <x:c r="V113" s="27"/>
      <x:c r="W113" s="27"/>
      <x:c r="X113" s="27"/>
      <x:c r="Y113" s="27"/>
      <x:c r="Z113" s="27"/>
      <x:c r="AA113" s="27"/>
      <x:c r="AB113" s="27"/>
      <x:c r="AC113" s="27"/>
      <x:c r="AD113" s="27"/>
      <x:c r="AE113" s="27"/>
      <x:c r="AF113" s="27"/>
      <x:c r="AG113" s="27"/>
      <x:c r="AH113" s="27"/>
      <x:c r="AI113" s="27"/>
      <x:c r="AJ113" s="27"/>
      <x:c r="AK113" s="27"/>
      <x:c r="AL113" s="27"/>
      <x:c r="AM113" s="27"/>
      <x:c r="AN113" s="27"/>
      <x:c r="AO113" s="27"/>
      <x:c r="AP113" s="27"/>
      <x:c r="AQ113" s="27"/>
      <x:c r="AR113" s="27" t="str">
        <x:f>IF(C113="","",SUM(H113,N113,T113,Z113,AF113,AL113))</x:f>
      </x:c>
      <x:c r="AS113" s="27" t="str">
        <x:f>IF(C113="","",SUM(I113,O113,U113,AA113,AG113,AM113))</x:f>
      </x:c>
      <x:c r="AT113" s="27" t="str">
        <x:f>IF(C113="","",SUM(J113,P113,V113,AB113,AH113,AN113))</x:f>
      </x:c>
      <x:c r="AU113" s="27" t="str">
        <x:f>IF(C113="","",SUM(K113,Q113,W113,AC113,AI113,AO113))</x:f>
      </x:c>
      <x:c r="AV113" s="27" t="str">
        <x:f>IF(C113="","",SUM(L113,R113,X113,AD113,AJ113,AP113))</x:f>
      </x:c>
      <x:c r="AW113" s="27" t="str">
        <x:f>IF(C113="","",SUM(M113,S113,Y113,AE113,AK113,AQ113))</x:f>
      </x:c>
      <x:c r="AX113" s="27" t="str">
        <x:f>IF(C113="","",IF(IF(AS113*1000000+SUM(U113,AM113)*10000+SUM(O113,AG113)*100+SUM(I113,AA113)+0.005&gt;AR113*1000000+SUM(T113,AL113)*10000+SUM(N113,AF113)*100+SUM(H113,Z113)+0.006,1,0)+IF(AT113*1000000+SUM(V113,AN113)*10000+SUM(P113,AH113)*100+SUM(J113,AB113)+0.004&gt;AR113*1000000+SUM(T113,AL113)*10000+SUM(N113,AF113)*100+SUM(H113,Z113)+0.006,1,0)+IF(AU113*1000000+SUM(W113,AO113)*10000+SUM(Q113,AI113)*100+SUM(K113,AC113)+0.003&gt;AR113*1000000+SUM(T113,AL113)*10000+SUM(N113,AF113)*100+SUM(H113,Z113)+0.006,1,0)+IF(AV113*1000000+SUM(X113,AP113)*10000+SUM(R113,AJ113)*100+SUM(L113,AD113)+0.002&gt;AR113*1000000+SUM(T113,AL113)*10000+SUM(N113,AF113)*100+SUM(H113,Z113)+0.006,1,0)+IF(AW113*1000000+SUM(Y113,AQ113)*10000+SUM(S113,AK113)*100+SUM(M113,AE113)+0.001&gt;AR113*1000000+SUM(T113,AL113)*10000+SUM(N113,AF113)*100+SUM(H113,Z113)+0.006,1,0)=0,"R",IF(IF(AR113*1000000+SUM(T113,AL113)*10000+SUM(N113,AF113)*100+SUM(H113,Z113)+0.006&gt;AS113*1000000+SUM(U113,AM113)*10000+SUM(O113,AG113)*100+SUM(I113,AA113)+0.005,1,0)+IF(AT113*1000000+SUM(V113,AN113)*10000+SUM(P113,AH113)*100+SUM(J113,AB113)+0.004&gt;AS113*1000000+SUM(U113,AM113)*10000+SUM(O113,AG113)*100+SUM(I113,AA113)+0.005,1,0)+IF(AU113*1000000+SUM(W113,AO113)*10000+SUM(Q113,AI113)*100+SUM(K113,AC113)+0.003&gt;AS113*1000000+SUM(U113,AM113)*10000+SUM(O113,AG113)*100+SUM(I113,AA113)+0.005,1,0)+IF(AV113*1000000+SUM(X113,AP113)*10000+SUM(R113,AJ113)*100+SUM(L113,AD113)+0.002&gt;AS113*1000000+SUM(U113,AM113)*10000+SUM(O113,AG113)*100+SUM(I113,AA113)+0.005,1,0)+IF(AW113*1000000+SUM(Y113,AQ113)*10000+SUM(S113,AK113)*100+SUM(M113,AE113)+0.001&gt;AS113*1000000+SUM(U113,AM113)*10000+SUM(O113,AG113)*100+SUM(I113,AA113)+0.005,1,0)=0,"I",IF(IF(AR113*1000000+SUM(T113,AL113)*10000+SUM(N113,AF113)*100+SUM(H113,Z113)+0.006&gt;AT113*1000000+SUM(V113,AN113)*10000+SUM(P113,AH113)*100+SUM(J113,AB113)+0.004,1,0)+IF(AS113*1000000+SUM(U113,AM113)*10000+SUM(O113,AG113)*100+SUM(I113,AA113)+0.005&gt;AT113*1000000+SUM(V113,AN113)*10000+SUM(P113,AH113)*100+SUM(J113,AB113)+0.004,1,0)+IF(AU113*1000000+SUM(W113,AO113)*10000+SUM(Q113,AI113)*100+SUM(K113,AC113)+0.003&gt;AT113*1000000+SUM(V113,AN113)*10000+SUM(P113,AH113)*100+SUM(J113,AB113)+0.004,1,0)+IF(AV113*1000000+SUM(X113,AP113)*10000+SUM(R113,AJ113)*100+SUM(L113,AD113)+0.002&gt;AT113*1000000+SUM(V113,AN113)*10000+SUM(P113,AH113)*100+SUM(J113,AB113)+0.004,1,0)+IF(AW113*1000000+SUM(Y113,AQ113)*10000+SUM(S113,AK113)*100+SUM(M113,AE113)+0.001&gt;AT113*1000000+SUM(V113,AN113)*10000+SUM(P113,AH113)*100+SUM(J113,AB113)+0.004,1,0)=0,"A",IF(IF(AR113*1000000+SUM(T113,AL113)*10000+SUM(N113,AF113)*100+SUM(H113,Z113)+0.006&gt;AU113*1000000+SUM(W113,AO113)*10000+SUM(Q113,AI113)*100+SUM(K113,AC113)+0.003,1,0)+IF(AS113*1000000+SUM(U113,AM113)*10000+SUM(O113,AG113)*100+SUM(I113,AA113)+0.005&gt;AU113*1000000+SUM(W113,AO113)*10000+SUM(Q113,AI113)*100+SUM(K113,AC113)+0.003,1,0)+IF(AT113*1000000+SUM(V113,AN113)*10000+SUM(P113,AH113)*100+SUM(J113,AB113)+0.004&gt;AU113*1000000+SUM(W113,AO113)*10000+SUM(Q113,AI113)*100+SUM(K113,AC113)+0.003,1,0)+IF(AV113*1000000+SUM(X113,AP113)*10000+SUM(R113,AJ113)*100+SUM(L113,AD113)+0.002&gt;AU113*1000000+SUM(W113,AO113)*10000+SUM(Q113,AI113)*100+SUM(K113,AC113)+0.003,1,0)+IF(AW113*1000000+SUM(Y113,AQ113)*10000+SUM(S113,AK113)*100+SUM(M113,AE113)+0.001&gt;AU113*1000000+SUM(W113,AO113)*10000+SUM(Q113,AI113)*100+SUM(K113,AC113)+0.003,1,0)=0,"S",IF(IF(AR113*1000000+SUM(T113,AL113)*10000+SUM(N113,AF113)*100+SUM(H113,Z113)+0.006&gt;AV113*1000000+SUM(X113,AP113)*10000+SUM(R113,AJ113)*100+SUM(L113,AD113)+0.002,1,0)+IF(AS113*1000000+SUM(U113,AM113)*10000+SUM(O113,AG113)*100+SUM(I113,AA113)+0.005&gt;AV113*1000000+SUM(X113,AP113)*10000+SUM(R113,AJ113)*100+SUM(L113,AD113)+0.002,1,0)+IF(AT113*1000000+SUM(V113,AN113)*10000+SUM(P113,AH113)*100+SUM(J113,AB113)+0.004&gt;AV113*1000000+SUM(X113,AP113)*10000+SUM(R113,AJ113)*100+SUM(L113,AD113)+0.002,1,0)+IF(AU113*1000000+SUM(W113,AO113)*10000+SUM(Q113,AI113)*100+SUM(K113,AC113)+0.003&gt;AV113*1000000+SUM(X113,AP113)*10000+SUM(R113,AJ113)*100+SUM(L113,AD113)+0.002,1,0)+IF(AW113*1000000+SUM(Y113,AQ113)*10000+SUM(S113,AK113)*100+SUM(M113,AE113)+0.001&gt;AV113*1000000+SUM(X113,AP113)*10000+SUM(R113,AJ113)*100+SUM(L113,AD113)+0.002,1,0)=0,"E",IF(IF(AR113*1000000+SUM(T113,AL113)*10000+SUM(N113,AF113)*100+SUM(H113,Z113)+0.006&gt;AW113*1000000+SUM(Y113,AQ113)*10000+SUM(S113,AK113)*100+SUM(M113,AE113)+0.001,1,0)+IF(AS113*1000000+SUM(U113,AM113)*10000+SUM(O113,AG113)*100+SUM(I113,AA113)+0.005&gt;AW113*1000000+SUM(Y113,AQ113)*10000+SUM(S113,AK113)*100+SUM(M113,AE113)+0.001,1,0)+IF(AT113*1000000+SUM(V113,AN113)*10000+SUM(P113,AH113)*100+SUM(J113,AB113)+0.004&gt;AW113*1000000+SUM(Y113,AQ113)*10000+SUM(S113,AK113)*100+SUM(M113,AE113)+0.001,1,0)+IF(AU113*1000000+SUM(W113,AO113)*10000+SUM(Q113,AI113)*100+SUM(K113,AC113)+0.003&gt;AW113*1000000+SUM(Y113,AQ113)*10000+SUM(S113,AK113)*100+SUM(M113,AE113)+0.001,1,0)+IF(AV113*1000000+SUM(X113,AP113)*10000+SUM(R113,AJ113)*100+SUM(L113,AD113)+0.002&gt;AW113*1000000+SUM(Y113,AQ113)*10000+SUM(S113,AK113)*100+SUM(M113,AE113)+0.001,1,0)=0,"C",""))))))&amp;IF(IF(AS113*1000000+SUM(U113,AM113)*10000+SUM(O113,AG113)*100+SUM(I113,AA113)+0.005&gt;AR113*1000000+SUM(T113,AL113)*10000+SUM(N113,AF113)*100+SUM(H113,Z113)+0.006,1,0)+IF(AT113*1000000+SUM(V113,AN113)*10000+SUM(P113,AH113)*100+SUM(J113,AB113)+0.004&gt;AR113*1000000+SUM(T113,AL113)*10000+SUM(N113,AF113)*100+SUM(H113,Z113)+0.006,1,0)+IF(AU113*1000000+SUM(W113,AO113)*10000+SUM(Q113,AI113)*100+SUM(K113,AC113)+0.003&gt;AR113*1000000+SUM(T113,AL113)*10000+SUM(N113,AF113)*100+SUM(H113,Z113)+0.006,1,0)+IF(AV113*1000000+SUM(X113,AP113)*10000+SUM(R113,AJ113)*100+SUM(L113,AD113)+0.002&gt;AR113*1000000+SUM(T113,AL113)*10000+SUM(N113,AF113)*100+SUM(H113,Z113)+0.006,1,0)+IF(AW113*1000000+SUM(Y113,AQ113)*10000+SUM(S113,AK113)*100+SUM(M113,AE113)+0.001&gt;AR113*1000000+SUM(T113,AL113)*10000+SUM(N113,AF113)*100+SUM(H113,Z113)+0.006,1,0)=1,"R",IF(IF(AR113*1000000+SUM(T113,AL113)*10000+SUM(N113,AF113)*100+SUM(H113,Z113)+0.006&gt;AS113*1000000+SUM(U113,AM113)*10000+SUM(O113,AG113)*100+SUM(I113,AA113)+0.005,1,0)+IF(AT113*1000000+SUM(V113,AN113)*10000+SUM(P113,AH113)*100+SUM(J113,AB113)+0.004&gt;AS113*1000000+SUM(U113,AM113)*10000+SUM(O113,AG113)*100+SUM(I113,AA113)+0.005,1,0)+IF(AU113*1000000+SUM(W113,AO113)*10000+SUM(Q113,AI113)*100+SUM(K113,AC113)+0.003&gt;AS113*1000000+SUM(U113,AM113)*10000+SUM(O113,AG113)*100+SUM(I113,AA113)+0.005,1,0)+IF(AV113*1000000+SUM(X113,AP113)*10000+SUM(R113,AJ113)*100+SUM(L113,AD113)+0.002&gt;AS113*1000000+SUM(U113,AM113)*10000+SUM(O113,AG113)*100+SUM(I113,AA113)+0.005,1,0)+IF(AW113*1000000+SUM(Y113,AQ113)*10000+SUM(S113,AK113)*100+SUM(M113,AE113)+0.001&gt;AS113*1000000+SUM(U113,AM113)*10000+SUM(O113,AG113)*100+SUM(I113,AA113)+0.005,1,0)=1,"I",IF(IF(AR113*1000000+SUM(T113,AL113)*10000+SUM(N113,AF113)*100+SUM(H113,Z113)+0.006&gt;AT113*1000000+SUM(V113,AN113)*10000+SUM(P113,AH113)*100+SUM(J113,AB113)+0.004,1,0)+IF(AS113*1000000+SUM(U113,AM113)*10000+SUM(O113,AG113)*100+SUM(I113,AA113)+0.005&gt;AT113*1000000+SUM(V113,AN113)*10000+SUM(P113,AH113)*100+SUM(J113,AB113)+0.004,1,0)+IF(AU113*1000000+SUM(W113,AO113)*10000+SUM(Q113,AI113)*100+SUM(K113,AC113)+0.003&gt;AT113*1000000+SUM(V113,AN113)*10000+SUM(P113,AH113)*100+SUM(J113,AB113)+0.004,1,0)+IF(AV113*1000000+SUM(X113,AP113)*10000+SUM(R113,AJ113)*100+SUM(L113,AD113)+0.002&gt;AT113*1000000+SUM(V113,AN113)*10000+SUM(P113,AH113)*100+SUM(J113,AB113)+0.004,1,0)+IF(AW113*1000000+SUM(Y113,AQ113)*10000+SUM(S113,AK113)*100+SUM(M113,AE113)+0.001&gt;AT113*1000000+SUM(V113,AN113)*10000+SUM(P113,AH113)*100+SUM(J113,AB113)+0.004,1,0)=1,"A",IF(IF(AR113*1000000+SUM(T113,AL113)*10000+SUM(N113,AF113)*100+SUM(H113,Z113)+0.006&gt;AU113*1000000+SUM(W113,AO113)*10000+SUM(Q113,AI113)*100+SUM(K113,AC113)+0.003,1,0)+IF(AS113*1000000+SUM(U113,AM113)*10000+SUM(O113,AG113)*100+SUM(I113,AA113)+0.005&gt;AU113*1000000+SUM(W113,AO113)*10000+SUM(Q113,AI113)*100+SUM(K113,AC113)+0.003,1,0)+IF(AT113*1000000+SUM(V113,AN113)*10000+SUM(P113,AH113)*100+SUM(J113,AB113)+0.004&gt;AU113*1000000+SUM(W113,AO113)*10000+SUM(Q113,AI113)*100+SUM(K113,AC113)+0.003,1,0)+IF(AV113*1000000+SUM(X113,AP113)*10000+SUM(R113,AJ113)*100+SUM(L113,AD113)+0.002&gt;AU113*1000000+SUM(W113,AO113)*10000+SUM(Q113,AI113)*100+SUM(K113,AC113)+0.003,1,0)+IF(AW113*1000000+SUM(Y113,AQ113)*10000+SUM(S113,AK113)*100+SUM(M113,AE113)+0.001&gt;AU113*1000000+SUM(W113,AO113)*10000+SUM(Q113,AI113)*100+SUM(K113,AC113)+0.003,1,0)=1,"S",IF(IF(AR113*1000000+SUM(T113,AL113)*10000+SUM(N113,AF113)*100+SUM(H113,Z113)+0.006&gt;AV113*1000000+SUM(X113,AP113)*10000+SUM(R113,AJ113)*100+SUM(L113,AD113)+0.002,1,0)+IF(AS113*1000000+SUM(U113,AM113)*10000+SUM(O113,AG113)*100+SUM(I113,AA113)+0.005&gt;AV113*1000000+SUM(X113,AP113)*10000+SUM(R113,AJ113)*100+SUM(L113,AD113)+0.002,1,0)+IF(AT113*1000000+SUM(V113,AN113)*10000+SUM(P113,AH113)*100+SUM(J113,AB113)+0.004&gt;AV113*1000000+SUM(X113,AP113)*10000+SUM(R113,AJ113)*100+SUM(L113,AD113)+0.002,1,0)+IF(AU113*1000000+SUM(W113,AO113)*10000+SUM(Q113,AI113)*100+SUM(K113,AC113)+0.003&gt;AV113*1000000+SUM(X113,AP113)*10000+SUM(R113,AJ113)*100+SUM(L113,AD113)+0.002,1,0)+IF(AW113*1000000+SUM(Y113,AQ113)*10000+SUM(S113,AK113)*100+SUM(M113,AE113)+0.001&gt;AV113*1000000+SUM(X113,AP113)*10000+SUM(R113,AJ113)*100+SUM(L113,AD113)+0.002,1,0)=1,"E",IF(IF(AR113*1000000+SUM(T113,AL113)*10000+SUM(N113,AF113)*100+SUM(H113,Z113)+0.006&gt;AW113*1000000+SUM(Y113,AQ113)*10000+SUM(S113,AK113)*100+SUM(M113,AE113)+0.001,1,0)+IF(AS113*1000000+SUM(U113,AM113)*10000+SUM(O113,AG113)*100+SUM(I113,AA113)+0.005&gt;AW113*1000000+SUM(Y113,AQ113)*10000+SUM(S113,AK113)*100+SUM(M113,AE113)+0.001,1,0)+IF(AT113*1000000+SUM(V113,AN113)*10000+SUM(P113,AH113)*100+SUM(J113,AB113)+0.004&gt;AW113*1000000+SUM(Y113,AQ113)*10000+SUM(S113,AK113)*100+SUM(M113,AE113)+0.001,1,0)+IF(AU113*1000000+SUM(W113,AO113)*10000+SUM(Q113,AI113)*100+SUM(K113,AC113)+0.003&gt;AW113*1000000+SUM(Y113,AQ113)*10000+SUM(S113,AK113)*100+SUM(M113,AE113)+0.001,1,0)+IF(AV113*1000000+SUM(X113,AP113)*10000+SUM(R113,AJ113)*100+SUM(L113,AD113)+0.002&gt;AW113*1000000+SUM(Y113,AQ113)*10000+SUM(S113,AK113)*100+SUM(M113,AE113)+0.001,1,0)=1,"C",""))))))&amp;IF(IF(AS113*1000000+SUM(U113,AM113)*10000+SUM(O113,AG113)*100+SUM(I113,AA113)+0.005&gt;AR113*1000000+SUM(T113,AL113)*10000+SUM(N113,AF113)*100+SUM(H113,Z113)+0.006,1,0)+IF(AT113*1000000+SUM(V113,AN113)*10000+SUM(P113,AH113)*100+SUM(J113,AB113)+0.004&gt;AR113*1000000+SUM(T113,AL113)*10000+SUM(N113,AF113)*100+SUM(H113,Z113)+0.006,1,0)+IF(AU113*1000000+SUM(W113,AO113)*10000+SUM(Q113,AI113)*100+SUM(K113,AC113)+0.003&gt;AR113*1000000+SUM(T113,AL113)*10000+SUM(N113,AF113)*100+SUM(H113,Z113)+0.006,1,0)+IF(AV113*1000000+SUM(X113,AP113)*10000+SUM(R113,AJ113)*100+SUM(L113,AD113)+0.002&gt;AR113*1000000+SUM(T113,AL113)*10000+SUM(N113,AF113)*100+SUM(H113,Z113)+0.006,1,0)+IF(AW113*1000000+SUM(Y113,AQ113)*10000+SUM(S113,AK113)*100+SUM(M113,AE113)+0.001&gt;AR113*1000000+SUM(T113,AL113)*10000+SUM(N113,AF113)*100+SUM(H113,Z113)+0.006,1,0)=2,"R",IF(IF(AR113*1000000+SUM(T113,AL113)*10000+SUM(N113,AF113)*100+SUM(H113,Z113)+0.006&gt;AS113*1000000+SUM(U113,AM113)*10000+SUM(O113,AG113)*100+SUM(I113,AA113)+0.005,1,0)+IF(AT113*1000000+SUM(V113,AN113)*10000+SUM(P113,AH113)*100+SUM(J113,AB113)+0.004&gt;AS113*1000000+SUM(U113,AM113)*10000+SUM(O113,AG113)*100+SUM(I113,AA113)+0.005,1,0)+IF(AU113*1000000+SUM(W113,AO113)*10000+SUM(Q113,AI113)*100+SUM(K113,AC113)+0.003&gt;AS113*1000000+SUM(U113,AM113)*10000+SUM(O113,AG113)*100+SUM(I113,AA113)+0.005,1,0)+IF(AV113*1000000+SUM(X113,AP113)*10000+SUM(R113,AJ113)*100+SUM(L113,AD113)+0.002&gt;AS113*1000000+SUM(U113,AM113)*10000+SUM(O113,AG113)*100+SUM(I113,AA113)+0.005,1,0)+IF(AW113*1000000+SUM(Y113,AQ113)*10000+SUM(S113,AK113)*100+SUM(M113,AE113)+0.001&gt;AS113*1000000+SUM(U113,AM113)*10000+SUM(O113,AG113)*100+SUM(I113,AA113)+0.005,1,0)=2,"I",IF(IF(AR113*1000000+SUM(T113,AL113)*10000+SUM(N113,AF113)*100+SUM(H113,Z113)+0.006&gt;AT113*1000000+SUM(V113,AN113)*10000+SUM(P113,AH113)*100+SUM(J113,AB113)+0.004,1,0)+IF(AS113*1000000+SUM(U113,AM113)*10000+SUM(O113,AG113)*100+SUM(I113,AA113)+0.005&gt;AT113*1000000+SUM(V113,AN113)*10000+SUM(P113,AH113)*100+SUM(J113,AB113)+0.004,1,0)+IF(AU113*1000000+SUM(W113,AO113)*10000+SUM(Q113,AI113)*100+SUM(K113,AC113)+0.003&gt;AT113*1000000+SUM(V113,AN113)*10000+SUM(P113,AH113)*100+SUM(J113,AB113)+0.004,1,0)+IF(AV113*1000000+SUM(X113,AP113)*10000+SUM(R113,AJ113)*100+SUM(L113,AD113)+0.002&gt;AT113*1000000+SUM(V113,AN113)*10000+SUM(P113,AH113)*100+SUM(J113,AB113)+0.004,1,0)+IF(AW113*1000000+SUM(Y113,AQ113)*10000+SUM(S113,AK113)*100+SUM(M113,AE113)+0.001&gt;AT113*1000000+SUM(V113,AN113)*10000+SUM(P113,AH113)*100+SUM(J113,AB113)+0.004,1,0)=2,"A",IF(IF(AR113*1000000+SUM(T113,AL113)*10000+SUM(N113,AF113)*100+SUM(H113,Z113)+0.006&gt;AU113*1000000+SUM(W113,AO113)*10000+SUM(Q113,AI113)*100+SUM(K113,AC113)+0.003,1,0)+IF(AS113*1000000+SUM(U113,AM113)*10000+SUM(O113,AG113)*100+SUM(I113,AA113)+0.005&gt;AU113*1000000+SUM(W113,AO113)*10000+SUM(Q113,AI113)*100+SUM(K113,AC113)+0.003,1,0)+IF(AT113*1000000+SUM(V113,AN113)*10000+SUM(P113,AH113)*100+SUM(J113,AB113)+0.004&gt;AU113*1000000+SUM(W113,AO113)*10000+SUM(Q113,AI113)*100+SUM(K113,AC113)+0.003,1,0)+IF(AV113*1000000+SUM(X113,AP113)*10000+SUM(R113,AJ113)*100+SUM(L113,AD113)+0.002&gt;AU113*1000000+SUM(W113,AO113)*10000+SUM(Q113,AI113)*100+SUM(K113,AC113)+0.003,1,0)+IF(AW113*1000000+SUM(Y113,AQ113)*10000+SUM(S113,AK113)*100+SUM(M113,AE113)+0.001&gt;AU113*1000000+SUM(W113,AO113)*10000+SUM(Q113,AI113)*100+SUM(K113,AC113)+0.003,1,0)=2,"S",IF(IF(AR113*1000000+SUM(T113,AL113)*10000+SUM(N113,AF113)*100+SUM(H113,Z113)+0.006&gt;AV113*1000000+SUM(X113,AP113)*10000+SUM(R113,AJ113)*100+SUM(L113,AD113)+0.002,1,0)+IF(AS113*1000000+SUM(U113,AM113)*10000+SUM(O113,AG113)*100+SUM(I113,AA113)+0.005&gt;AV113*1000000+SUM(X113,AP113)*10000+SUM(R113,AJ113)*100+SUM(L113,AD113)+0.002,1,0)+IF(AT113*1000000+SUM(V113,AN113)*10000+SUM(P113,AH113)*100+SUM(J113,AB113)+0.004&gt;AV113*1000000+SUM(X113,AP113)*10000+SUM(R113,AJ113)*100+SUM(L113,AD113)+0.002,1,0)+IF(AU113*1000000+SUM(W113,AO113)*10000+SUM(Q113,AI113)*100+SUM(K113,AC113)+0.003&gt;AV113*1000000+SUM(X113,AP113)*10000+SUM(R113,AJ113)*100+SUM(L113,AD113)+0.002,1,0)+IF(AW113*1000000+SUM(Y113,AQ113)*10000+SUM(S113,AK113)*100+SUM(M113,AE113)+0.001&gt;AV113*1000000+SUM(X113,AP113)*10000+SUM(R113,AJ113)*100+SUM(L113,AD113)+0.002,1,0)=2,"E",IF(IF(AR113*1000000+SUM(T113,AL113)*10000+SUM(N113,AF113)*100+SUM(H113,Z113)+0.006&gt;AW113*1000000+SUM(Y113,AQ113)*10000+SUM(S113,AK113)*100+SUM(M113,AE113)+0.001,1,0)+IF(AS113*1000000+SUM(U113,AM113)*10000+SUM(O113,AG113)*100+SUM(I113,AA113)+0.005&gt;AW113*1000000+SUM(Y113,AQ113)*10000+SUM(S113,AK113)*100+SUM(M113,AE113)+0.001,1,0)+IF(AT113*1000000+SUM(V113,AN113)*10000+SUM(P113,AH113)*100+SUM(J113,AB113)+0.004&gt;AW113*1000000+SUM(Y113,AQ113)*10000+SUM(S113,AK113)*100+SUM(M113,AE113)+0.001,1,0)+IF(AU113*1000000+SUM(W113,AO113)*10000+SUM(Q113,AI113)*100+SUM(K113,AC113)+0.003&gt;AW113*1000000+SUM(Y113,AQ113)*10000+SUM(S113,AK113)*100+SUM(M113,AE113)+0.001,1,0)+IF(AV113*1000000+SUM(X113,AP113)*10000+SUM(R113,AJ113)*100+SUM(L113,AD113)+0.002&gt;AW113*1000000+SUM(Y113,AQ113)*10000+SUM(S113,AK113)*100+SUM(M113,AE113)+0.001,1,0)=2,"C","")))))))</x:f>
      </x:c>
      <x:c r="AY113" s="27" t="str">
        <x:f>IF(C113="","",IF(LEFT(AX113,1)="R","นักปฏิบัติ",IF(LEFT(AX113,1)="I","นักคิดวิเคราะห์",IF(LEFT(AX113,1)="A","นักสร้างสรรค์",IF(LEFT(AX113,1)="S","ผู้เข้าใจผู้คน",IF(LEFT(AX113,1)="E","ผู้นำการเปลี่ยนแปลง","ผู้จัดระบบ"))))))</x:f>
      </x:c>
    </x:row>
    <x:row r="114">
      <x:c r="A114" s="27"/>
      <x:c r="B114" s="28"/>
      <x:c r="C114" s="27"/>
      <x:c r="D114" s="27"/>
      <x:c r="E114" s="27"/>
      <x:c r="F114" s="27"/>
      <x:c r="G114" s="27"/>
      <x:c r="H114" s="27"/>
      <x:c r="I114" s="27"/>
      <x:c r="J114" s="27"/>
      <x:c r="K114" s="27"/>
      <x:c r="L114" s="27"/>
      <x:c r="M114" s="27"/>
      <x:c r="N114" s="27"/>
      <x:c r="O114" s="27"/>
      <x:c r="P114" s="27"/>
      <x:c r="Q114" s="27"/>
      <x:c r="R114" s="27"/>
      <x:c r="S114" s="27"/>
      <x:c r="T114" s="27"/>
      <x:c r="U114" s="27"/>
      <x:c r="V114" s="27"/>
      <x:c r="W114" s="27"/>
      <x:c r="X114" s="27"/>
      <x:c r="Y114" s="27"/>
      <x:c r="Z114" s="27"/>
      <x:c r="AA114" s="27"/>
      <x:c r="AB114" s="27"/>
      <x:c r="AC114" s="27"/>
      <x:c r="AD114" s="27"/>
      <x:c r="AE114" s="27"/>
      <x:c r="AF114" s="27"/>
      <x:c r="AG114" s="27"/>
      <x:c r="AH114" s="27"/>
      <x:c r="AI114" s="27"/>
      <x:c r="AJ114" s="27"/>
      <x:c r="AK114" s="27"/>
      <x:c r="AL114" s="27"/>
      <x:c r="AM114" s="27"/>
      <x:c r="AN114" s="27"/>
      <x:c r="AO114" s="27"/>
      <x:c r="AP114" s="27"/>
      <x:c r="AQ114" s="27"/>
      <x:c r="AR114" s="27" t="str">
        <x:f>IF(C114="","",SUM(H114,N114,T114,Z114,AF114,AL114))</x:f>
      </x:c>
      <x:c r="AS114" s="27" t="str">
        <x:f>IF(C114="","",SUM(I114,O114,U114,AA114,AG114,AM114))</x:f>
      </x:c>
      <x:c r="AT114" s="27" t="str">
        <x:f>IF(C114="","",SUM(J114,P114,V114,AB114,AH114,AN114))</x:f>
      </x:c>
      <x:c r="AU114" s="27" t="str">
        <x:f>IF(C114="","",SUM(K114,Q114,W114,AC114,AI114,AO114))</x:f>
      </x:c>
      <x:c r="AV114" s="27" t="str">
        <x:f>IF(C114="","",SUM(L114,R114,X114,AD114,AJ114,AP114))</x:f>
      </x:c>
      <x:c r="AW114" s="27" t="str">
        <x:f>IF(C114="","",SUM(M114,S114,Y114,AE114,AK114,AQ114))</x:f>
      </x:c>
      <x:c r="AX114" s="27" t="str">
        <x:f>IF(C114="","",IF(IF(AS114*1000000+SUM(U114,AM114)*10000+SUM(O114,AG114)*100+SUM(I114,AA114)+0.005&gt;AR114*1000000+SUM(T114,AL114)*10000+SUM(N114,AF114)*100+SUM(H114,Z114)+0.006,1,0)+IF(AT114*1000000+SUM(V114,AN114)*10000+SUM(P114,AH114)*100+SUM(J114,AB114)+0.004&gt;AR114*1000000+SUM(T114,AL114)*10000+SUM(N114,AF114)*100+SUM(H114,Z114)+0.006,1,0)+IF(AU114*1000000+SUM(W114,AO114)*10000+SUM(Q114,AI114)*100+SUM(K114,AC114)+0.003&gt;AR114*1000000+SUM(T114,AL114)*10000+SUM(N114,AF114)*100+SUM(H114,Z114)+0.006,1,0)+IF(AV114*1000000+SUM(X114,AP114)*10000+SUM(R114,AJ114)*100+SUM(L114,AD114)+0.002&gt;AR114*1000000+SUM(T114,AL114)*10000+SUM(N114,AF114)*100+SUM(H114,Z114)+0.006,1,0)+IF(AW114*1000000+SUM(Y114,AQ114)*10000+SUM(S114,AK114)*100+SUM(M114,AE114)+0.001&gt;AR114*1000000+SUM(T114,AL114)*10000+SUM(N114,AF114)*100+SUM(H114,Z114)+0.006,1,0)=0,"R",IF(IF(AR114*1000000+SUM(T114,AL114)*10000+SUM(N114,AF114)*100+SUM(H114,Z114)+0.006&gt;AS114*1000000+SUM(U114,AM114)*10000+SUM(O114,AG114)*100+SUM(I114,AA114)+0.005,1,0)+IF(AT114*1000000+SUM(V114,AN114)*10000+SUM(P114,AH114)*100+SUM(J114,AB114)+0.004&gt;AS114*1000000+SUM(U114,AM114)*10000+SUM(O114,AG114)*100+SUM(I114,AA114)+0.005,1,0)+IF(AU114*1000000+SUM(W114,AO114)*10000+SUM(Q114,AI114)*100+SUM(K114,AC114)+0.003&gt;AS114*1000000+SUM(U114,AM114)*10000+SUM(O114,AG114)*100+SUM(I114,AA114)+0.005,1,0)+IF(AV114*1000000+SUM(X114,AP114)*10000+SUM(R114,AJ114)*100+SUM(L114,AD114)+0.002&gt;AS114*1000000+SUM(U114,AM114)*10000+SUM(O114,AG114)*100+SUM(I114,AA114)+0.005,1,0)+IF(AW114*1000000+SUM(Y114,AQ114)*10000+SUM(S114,AK114)*100+SUM(M114,AE114)+0.001&gt;AS114*1000000+SUM(U114,AM114)*10000+SUM(O114,AG114)*100+SUM(I114,AA114)+0.005,1,0)=0,"I",IF(IF(AR114*1000000+SUM(T114,AL114)*10000+SUM(N114,AF114)*100+SUM(H114,Z114)+0.006&gt;AT114*1000000+SUM(V114,AN114)*10000+SUM(P114,AH114)*100+SUM(J114,AB114)+0.004,1,0)+IF(AS114*1000000+SUM(U114,AM114)*10000+SUM(O114,AG114)*100+SUM(I114,AA114)+0.005&gt;AT114*1000000+SUM(V114,AN114)*10000+SUM(P114,AH114)*100+SUM(J114,AB114)+0.004,1,0)+IF(AU114*1000000+SUM(W114,AO114)*10000+SUM(Q114,AI114)*100+SUM(K114,AC114)+0.003&gt;AT114*1000000+SUM(V114,AN114)*10000+SUM(P114,AH114)*100+SUM(J114,AB114)+0.004,1,0)+IF(AV114*1000000+SUM(X114,AP114)*10000+SUM(R114,AJ114)*100+SUM(L114,AD114)+0.002&gt;AT114*1000000+SUM(V114,AN114)*10000+SUM(P114,AH114)*100+SUM(J114,AB114)+0.004,1,0)+IF(AW114*1000000+SUM(Y114,AQ114)*10000+SUM(S114,AK114)*100+SUM(M114,AE114)+0.001&gt;AT114*1000000+SUM(V114,AN114)*10000+SUM(P114,AH114)*100+SUM(J114,AB114)+0.004,1,0)=0,"A",IF(IF(AR114*1000000+SUM(T114,AL114)*10000+SUM(N114,AF114)*100+SUM(H114,Z114)+0.006&gt;AU114*1000000+SUM(W114,AO114)*10000+SUM(Q114,AI114)*100+SUM(K114,AC114)+0.003,1,0)+IF(AS114*1000000+SUM(U114,AM114)*10000+SUM(O114,AG114)*100+SUM(I114,AA114)+0.005&gt;AU114*1000000+SUM(W114,AO114)*10000+SUM(Q114,AI114)*100+SUM(K114,AC114)+0.003,1,0)+IF(AT114*1000000+SUM(V114,AN114)*10000+SUM(P114,AH114)*100+SUM(J114,AB114)+0.004&gt;AU114*1000000+SUM(W114,AO114)*10000+SUM(Q114,AI114)*100+SUM(K114,AC114)+0.003,1,0)+IF(AV114*1000000+SUM(X114,AP114)*10000+SUM(R114,AJ114)*100+SUM(L114,AD114)+0.002&gt;AU114*1000000+SUM(W114,AO114)*10000+SUM(Q114,AI114)*100+SUM(K114,AC114)+0.003,1,0)+IF(AW114*1000000+SUM(Y114,AQ114)*10000+SUM(S114,AK114)*100+SUM(M114,AE114)+0.001&gt;AU114*1000000+SUM(W114,AO114)*10000+SUM(Q114,AI114)*100+SUM(K114,AC114)+0.003,1,0)=0,"S",IF(IF(AR114*1000000+SUM(T114,AL114)*10000+SUM(N114,AF114)*100+SUM(H114,Z114)+0.006&gt;AV114*1000000+SUM(X114,AP114)*10000+SUM(R114,AJ114)*100+SUM(L114,AD114)+0.002,1,0)+IF(AS114*1000000+SUM(U114,AM114)*10000+SUM(O114,AG114)*100+SUM(I114,AA114)+0.005&gt;AV114*1000000+SUM(X114,AP114)*10000+SUM(R114,AJ114)*100+SUM(L114,AD114)+0.002,1,0)+IF(AT114*1000000+SUM(V114,AN114)*10000+SUM(P114,AH114)*100+SUM(J114,AB114)+0.004&gt;AV114*1000000+SUM(X114,AP114)*10000+SUM(R114,AJ114)*100+SUM(L114,AD114)+0.002,1,0)+IF(AU114*1000000+SUM(W114,AO114)*10000+SUM(Q114,AI114)*100+SUM(K114,AC114)+0.003&gt;AV114*1000000+SUM(X114,AP114)*10000+SUM(R114,AJ114)*100+SUM(L114,AD114)+0.002,1,0)+IF(AW114*1000000+SUM(Y114,AQ114)*10000+SUM(S114,AK114)*100+SUM(M114,AE114)+0.001&gt;AV114*1000000+SUM(X114,AP114)*10000+SUM(R114,AJ114)*100+SUM(L114,AD114)+0.002,1,0)=0,"E",IF(IF(AR114*1000000+SUM(T114,AL114)*10000+SUM(N114,AF114)*100+SUM(H114,Z114)+0.006&gt;AW114*1000000+SUM(Y114,AQ114)*10000+SUM(S114,AK114)*100+SUM(M114,AE114)+0.001,1,0)+IF(AS114*1000000+SUM(U114,AM114)*10000+SUM(O114,AG114)*100+SUM(I114,AA114)+0.005&gt;AW114*1000000+SUM(Y114,AQ114)*10000+SUM(S114,AK114)*100+SUM(M114,AE114)+0.001,1,0)+IF(AT114*1000000+SUM(V114,AN114)*10000+SUM(P114,AH114)*100+SUM(J114,AB114)+0.004&gt;AW114*1000000+SUM(Y114,AQ114)*10000+SUM(S114,AK114)*100+SUM(M114,AE114)+0.001,1,0)+IF(AU114*1000000+SUM(W114,AO114)*10000+SUM(Q114,AI114)*100+SUM(K114,AC114)+0.003&gt;AW114*1000000+SUM(Y114,AQ114)*10000+SUM(S114,AK114)*100+SUM(M114,AE114)+0.001,1,0)+IF(AV114*1000000+SUM(X114,AP114)*10000+SUM(R114,AJ114)*100+SUM(L114,AD114)+0.002&gt;AW114*1000000+SUM(Y114,AQ114)*10000+SUM(S114,AK114)*100+SUM(M114,AE114)+0.001,1,0)=0,"C",""))))))&amp;IF(IF(AS114*1000000+SUM(U114,AM114)*10000+SUM(O114,AG114)*100+SUM(I114,AA114)+0.005&gt;AR114*1000000+SUM(T114,AL114)*10000+SUM(N114,AF114)*100+SUM(H114,Z114)+0.006,1,0)+IF(AT114*1000000+SUM(V114,AN114)*10000+SUM(P114,AH114)*100+SUM(J114,AB114)+0.004&gt;AR114*1000000+SUM(T114,AL114)*10000+SUM(N114,AF114)*100+SUM(H114,Z114)+0.006,1,0)+IF(AU114*1000000+SUM(W114,AO114)*10000+SUM(Q114,AI114)*100+SUM(K114,AC114)+0.003&gt;AR114*1000000+SUM(T114,AL114)*10000+SUM(N114,AF114)*100+SUM(H114,Z114)+0.006,1,0)+IF(AV114*1000000+SUM(X114,AP114)*10000+SUM(R114,AJ114)*100+SUM(L114,AD114)+0.002&gt;AR114*1000000+SUM(T114,AL114)*10000+SUM(N114,AF114)*100+SUM(H114,Z114)+0.006,1,0)+IF(AW114*1000000+SUM(Y114,AQ114)*10000+SUM(S114,AK114)*100+SUM(M114,AE114)+0.001&gt;AR114*1000000+SUM(T114,AL114)*10000+SUM(N114,AF114)*100+SUM(H114,Z114)+0.006,1,0)=1,"R",IF(IF(AR114*1000000+SUM(T114,AL114)*10000+SUM(N114,AF114)*100+SUM(H114,Z114)+0.006&gt;AS114*1000000+SUM(U114,AM114)*10000+SUM(O114,AG114)*100+SUM(I114,AA114)+0.005,1,0)+IF(AT114*1000000+SUM(V114,AN114)*10000+SUM(P114,AH114)*100+SUM(J114,AB114)+0.004&gt;AS114*1000000+SUM(U114,AM114)*10000+SUM(O114,AG114)*100+SUM(I114,AA114)+0.005,1,0)+IF(AU114*1000000+SUM(W114,AO114)*10000+SUM(Q114,AI114)*100+SUM(K114,AC114)+0.003&gt;AS114*1000000+SUM(U114,AM114)*10000+SUM(O114,AG114)*100+SUM(I114,AA114)+0.005,1,0)+IF(AV114*1000000+SUM(X114,AP114)*10000+SUM(R114,AJ114)*100+SUM(L114,AD114)+0.002&gt;AS114*1000000+SUM(U114,AM114)*10000+SUM(O114,AG114)*100+SUM(I114,AA114)+0.005,1,0)+IF(AW114*1000000+SUM(Y114,AQ114)*10000+SUM(S114,AK114)*100+SUM(M114,AE114)+0.001&gt;AS114*1000000+SUM(U114,AM114)*10000+SUM(O114,AG114)*100+SUM(I114,AA114)+0.005,1,0)=1,"I",IF(IF(AR114*1000000+SUM(T114,AL114)*10000+SUM(N114,AF114)*100+SUM(H114,Z114)+0.006&gt;AT114*1000000+SUM(V114,AN114)*10000+SUM(P114,AH114)*100+SUM(J114,AB114)+0.004,1,0)+IF(AS114*1000000+SUM(U114,AM114)*10000+SUM(O114,AG114)*100+SUM(I114,AA114)+0.005&gt;AT114*1000000+SUM(V114,AN114)*10000+SUM(P114,AH114)*100+SUM(J114,AB114)+0.004,1,0)+IF(AU114*1000000+SUM(W114,AO114)*10000+SUM(Q114,AI114)*100+SUM(K114,AC114)+0.003&gt;AT114*1000000+SUM(V114,AN114)*10000+SUM(P114,AH114)*100+SUM(J114,AB114)+0.004,1,0)+IF(AV114*1000000+SUM(X114,AP114)*10000+SUM(R114,AJ114)*100+SUM(L114,AD114)+0.002&gt;AT114*1000000+SUM(V114,AN114)*10000+SUM(P114,AH114)*100+SUM(J114,AB114)+0.004,1,0)+IF(AW114*1000000+SUM(Y114,AQ114)*10000+SUM(S114,AK114)*100+SUM(M114,AE114)+0.001&gt;AT114*1000000+SUM(V114,AN114)*10000+SUM(P114,AH114)*100+SUM(J114,AB114)+0.004,1,0)=1,"A",IF(IF(AR114*1000000+SUM(T114,AL114)*10000+SUM(N114,AF114)*100+SUM(H114,Z114)+0.006&gt;AU114*1000000+SUM(W114,AO114)*10000+SUM(Q114,AI114)*100+SUM(K114,AC114)+0.003,1,0)+IF(AS114*1000000+SUM(U114,AM114)*10000+SUM(O114,AG114)*100+SUM(I114,AA114)+0.005&gt;AU114*1000000+SUM(W114,AO114)*10000+SUM(Q114,AI114)*100+SUM(K114,AC114)+0.003,1,0)+IF(AT114*1000000+SUM(V114,AN114)*10000+SUM(P114,AH114)*100+SUM(J114,AB114)+0.004&gt;AU114*1000000+SUM(W114,AO114)*10000+SUM(Q114,AI114)*100+SUM(K114,AC114)+0.003,1,0)+IF(AV114*1000000+SUM(X114,AP114)*10000+SUM(R114,AJ114)*100+SUM(L114,AD114)+0.002&gt;AU114*1000000+SUM(W114,AO114)*10000+SUM(Q114,AI114)*100+SUM(K114,AC114)+0.003,1,0)+IF(AW114*1000000+SUM(Y114,AQ114)*10000+SUM(S114,AK114)*100+SUM(M114,AE114)+0.001&gt;AU114*1000000+SUM(W114,AO114)*10000+SUM(Q114,AI114)*100+SUM(K114,AC114)+0.003,1,0)=1,"S",IF(IF(AR114*1000000+SUM(T114,AL114)*10000+SUM(N114,AF114)*100+SUM(H114,Z114)+0.006&gt;AV114*1000000+SUM(X114,AP114)*10000+SUM(R114,AJ114)*100+SUM(L114,AD114)+0.002,1,0)+IF(AS114*1000000+SUM(U114,AM114)*10000+SUM(O114,AG114)*100+SUM(I114,AA114)+0.005&gt;AV114*1000000+SUM(X114,AP114)*10000+SUM(R114,AJ114)*100+SUM(L114,AD114)+0.002,1,0)+IF(AT114*1000000+SUM(V114,AN114)*10000+SUM(P114,AH114)*100+SUM(J114,AB114)+0.004&gt;AV114*1000000+SUM(X114,AP114)*10000+SUM(R114,AJ114)*100+SUM(L114,AD114)+0.002,1,0)+IF(AU114*1000000+SUM(W114,AO114)*10000+SUM(Q114,AI114)*100+SUM(K114,AC114)+0.003&gt;AV114*1000000+SUM(X114,AP114)*10000+SUM(R114,AJ114)*100+SUM(L114,AD114)+0.002,1,0)+IF(AW114*1000000+SUM(Y114,AQ114)*10000+SUM(S114,AK114)*100+SUM(M114,AE114)+0.001&gt;AV114*1000000+SUM(X114,AP114)*10000+SUM(R114,AJ114)*100+SUM(L114,AD114)+0.002,1,0)=1,"E",IF(IF(AR114*1000000+SUM(T114,AL114)*10000+SUM(N114,AF114)*100+SUM(H114,Z114)+0.006&gt;AW114*1000000+SUM(Y114,AQ114)*10000+SUM(S114,AK114)*100+SUM(M114,AE114)+0.001,1,0)+IF(AS114*1000000+SUM(U114,AM114)*10000+SUM(O114,AG114)*100+SUM(I114,AA114)+0.005&gt;AW114*1000000+SUM(Y114,AQ114)*10000+SUM(S114,AK114)*100+SUM(M114,AE114)+0.001,1,0)+IF(AT114*1000000+SUM(V114,AN114)*10000+SUM(P114,AH114)*100+SUM(J114,AB114)+0.004&gt;AW114*1000000+SUM(Y114,AQ114)*10000+SUM(S114,AK114)*100+SUM(M114,AE114)+0.001,1,0)+IF(AU114*1000000+SUM(W114,AO114)*10000+SUM(Q114,AI114)*100+SUM(K114,AC114)+0.003&gt;AW114*1000000+SUM(Y114,AQ114)*10000+SUM(S114,AK114)*100+SUM(M114,AE114)+0.001,1,0)+IF(AV114*1000000+SUM(X114,AP114)*10000+SUM(R114,AJ114)*100+SUM(L114,AD114)+0.002&gt;AW114*1000000+SUM(Y114,AQ114)*10000+SUM(S114,AK114)*100+SUM(M114,AE114)+0.001,1,0)=1,"C",""))))))&amp;IF(IF(AS114*1000000+SUM(U114,AM114)*10000+SUM(O114,AG114)*100+SUM(I114,AA114)+0.005&gt;AR114*1000000+SUM(T114,AL114)*10000+SUM(N114,AF114)*100+SUM(H114,Z114)+0.006,1,0)+IF(AT114*1000000+SUM(V114,AN114)*10000+SUM(P114,AH114)*100+SUM(J114,AB114)+0.004&gt;AR114*1000000+SUM(T114,AL114)*10000+SUM(N114,AF114)*100+SUM(H114,Z114)+0.006,1,0)+IF(AU114*1000000+SUM(W114,AO114)*10000+SUM(Q114,AI114)*100+SUM(K114,AC114)+0.003&gt;AR114*1000000+SUM(T114,AL114)*10000+SUM(N114,AF114)*100+SUM(H114,Z114)+0.006,1,0)+IF(AV114*1000000+SUM(X114,AP114)*10000+SUM(R114,AJ114)*100+SUM(L114,AD114)+0.002&gt;AR114*1000000+SUM(T114,AL114)*10000+SUM(N114,AF114)*100+SUM(H114,Z114)+0.006,1,0)+IF(AW114*1000000+SUM(Y114,AQ114)*10000+SUM(S114,AK114)*100+SUM(M114,AE114)+0.001&gt;AR114*1000000+SUM(T114,AL114)*10000+SUM(N114,AF114)*100+SUM(H114,Z114)+0.006,1,0)=2,"R",IF(IF(AR114*1000000+SUM(T114,AL114)*10000+SUM(N114,AF114)*100+SUM(H114,Z114)+0.006&gt;AS114*1000000+SUM(U114,AM114)*10000+SUM(O114,AG114)*100+SUM(I114,AA114)+0.005,1,0)+IF(AT114*1000000+SUM(V114,AN114)*10000+SUM(P114,AH114)*100+SUM(J114,AB114)+0.004&gt;AS114*1000000+SUM(U114,AM114)*10000+SUM(O114,AG114)*100+SUM(I114,AA114)+0.005,1,0)+IF(AU114*1000000+SUM(W114,AO114)*10000+SUM(Q114,AI114)*100+SUM(K114,AC114)+0.003&gt;AS114*1000000+SUM(U114,AM114)*10000+SUM(O114,AG114)*100+SUM(I114,AA114)+0.005,1,0)+IF(AV114*1000000+SUM(X114,AP114)*10000+SUM(R114,AJ114)*100+SUM(L114,AD114)+0.002&gt;AS114*1000000+SUM(U114,AM114)*10000+SUM(O114,AG114)*100+SUM(I114,AA114)+0.005,1,0)+IF(AW114*1000000+SUM(Y114,AQ114)*10000+SUM(S114,AK114)*100+SUM(M114,AE114)+0.001&gt;AS114*1000000+SUM(U114,AM114)*10000+SUM(O114,AG114)*100+SUM(I114,AA114)+0.005,1,0)=2,"I",IF(IF(AR114*1000000+SUM(T114,AL114)*10000+SUM(N114,AF114)*100+SUM(H114,Z114)+0.006&gt;AT114*1000000+SUM(V114,AN114)*10000+SUM(P114,AH114)*100+SUM(J114,AB114)+0.004,1,0)+IF(AS114*1000000+SUM(U114,AM114)*10000+SUM(O114,AG114)*100+SUM(I114,AA114)+0.005&gt;AT114*1000000+SUM(V114,AN114)*10000+SUM(P114,AH114)*100+SUM(J114,AB114)+0.004,1,0)+IF(AU114*1000000+SUM(W114,AO114)*10000+SUM(Q114,AI114)*100+SUM(K114,AC114)+0.003&gt;AT114*1000000+SUM(V114,AN114)*10000+SUM(P114,AH114)*100+SUM(J114,AB114)+0.004,1,0)+IF(AV114*1000000+SUM(X114,AP114)*10000+SUM(R114,AJ114)*100+SUM(L114,AD114)+0.002&gt;AT114*1000000+SUM(V114,AN114)*10000+SUM(P114,AH114)*100+SUM(J114,AB114)+0.004,1,0)+IF(AW114*1000000+SUM(Y114,AQ114)*10000+SUM(S114,AK114)*100+SUM(M114,AE114)+0.001&gt;AT114*1000000+SUM(V114,AN114)*10000+SUM(P114,AH114)*100+SUM(J114,AB114)+0.004,1,0)=2,"A",IF(IF(AR114*1000000+SUM(T114,AL114)*10000+SUM(N114,AF114)*100+SUM(H114,Z114)+0.006&gt;AU114*1000000+SUM(W114,AO114)*10000+SUM(Q114,AI114)*100+SUM(K114,AC114)+0.003,1,0)+IF(AS114*1000000+SUM(U114,AM114)*10000+SUM(O114,AG114)*100+SUM(I114,AA114)+0.005&gt;AU114*1000000+SUM(W114,AO114)*10000+SUM(Q114,AI114)*100+SUM(K114,AC114)+0.003,1,0)+IF(AT114*1000000+SUM(V114,AN114)*10000+SUM(P114,AH114)*100+SUM(J114,AB114)+0.004&gt;AU114*1000000+SUM(W114,AO114)*10000+SUM(Q114,AI114)*100+SUM(K114,AC114)+0.003,1,0)+IF(AV114*1000000+SUM(X114,AP114)*10000+SUM(R114,AJ114)*100+SUM(L114,AD114)+0.002&gt;AU114*1000000+SUM(W114,AO114)*10000+SUM(Q114,AI114)*100+SUM(K114,AC114)+0.003,1,0)+IF(AW114*1000000+SUM(Y114,AQ114)*10000+SUM(S114,AK114)*100+SUM(M114,AE114)+0.001&gt;AU114*1000000+SUM(W114,AO114)*10000+SUM(Q114,AI114)*100+SUM(K114,AC114)+0.003,1,0)=2,"S",IF(IF(AR114*1000000+SUM(T114,AL114)*10000+SUM(N114,AF114)*100+SUM(H114,Z114)+0.006&gt;AV114*1000000+SUM(X114,AP114)*10000+SUM(R114,AJ114)*100+SUM(L114,AD114)+0.002,1,0)+IF(AS114*1000000+SUM(U114,AM114)*10000+SUM(O114,AG114)*100+SUM(I114,AA114)+0.005&gt;AV114*1000000+SUM(X114,AP114)*10000+SUM(R114,AJ114)*100+SUM(L114,AD114)+0.002,1,0)+IF(AT114*1000000+SUM(V114,AN114)*10000+SUM(P114,AH114)*100+SUM(J114,AB114)+0.004&gt;AV114*1000000+SUM(X114,AP114)*10000+SUM(R114,AJ114)*100+SUM(L114,AD114)+0.002,1,0)+IF(AU114*1000000+SUM(W114,AO114)*10000+SUM(Q114,AI114)*100+SUM(K114,AC114)+0.003&gt;AV114*1000000+SUM(X114,AP114)*10000+SUM(R114,AJ114)*100+SUM(L114,AD114)+0.002,1,0)+IF(AW114*1000000+SUM(Y114,AQ114)*10000+SUM(S114,AK114)*100+SUM(M114,AE114)+0.001&gt;AV114*1000000+SUM(X114,AP114)*10000+SUM(R114,AJ114)*100+SUM(L114,AD114)+0.002,1,0)=2,"E",IF(IF(AR114*1000000+SUM(T114,AL114)*10000+SUM(N114,AF114)*100+SUM(H114,Z114)+0.006&gt;AW114*1000000+SUM(Y114,AQ114)*10000+SUM(S114,AK114)*100+SUM(M114,AE114)+0.001,1,0)+IF(AS114*1000000+SUM(U114,AM114)*10000+SUM(O114,AG114)*100+SUM(I114,AA114)+0.005&gt;AW114*1000000+SUM(Y114,AQ114)*10000+SUM(S114,AK114)*100+SUM(M114,AE114)+0.001,1,0)+IF(AT114*1000000+SUM(V114,AN114)*10000+SUM(P114,AH114)*100+SUM(J114,AB114)+0.004&gt;AW114*1000000+SUM(Y114,AQ114)*10000+SUM(S114,AK114)*100+SUM(M114,AE114)+0.001,1,0)+IF(AU114*1000000+SUM(W114,AO114)*10000+SUM(Q114,AI114)*100+SUM(K114,AC114)+0.003&gt;AW114*1000000+SUM(Y114,AQ114)*10000+SUM(S114,AK114)*100+SUM(M114,AE114)+0.001,1,0)+IF(AV114*1000000+SUM(X114,AP114)*10000+SUM(R114,AJ114)*100+SUM(L114,AD114)+0.002&gt;AW114*1000000+SUM(Y114,AQ114)*10000+SUM(S114,AK114)*100+SUM(M114,AE114)+0.001,1,0)=2,"C","")))))))</x:f>
      </x:c>
      <x:c r="AY114" s="27" t="str">
        <x:f>IF(C114="","",IF(LEFT(AX114,1)="R","นักปฏิบัติ",IF(LEFT(AX114,1)="I","นักคิดวิเคราะห์",IF(LEFT(AX114,1)="A","นักสร้างสรรค์",IF(LEFT(AX114,1)="S","ผู้เข้าใจผู้คน",IF(LEFT(AX114,1)="E","ผู้นำการเปลี่ยนแปลง","ผู้จัดระบบ"))))))</x:f>
      </x:c>
    </x:row>
    <x:row r="115">
      <x:c r="A115" s="27"/>
      <x:c r="B115" s="28"/>
      <x:c r="C115" s="27"/>
      <x:c r="D115" s="27"/>
      <x:c r="E115" s="27"/>
      <x:c r="F115" s="27"/>
      <x:c r="G115" s="27"/>
      <x:c r="H115" s="27"/>
      <x:c r="I115" s="27"/>
      <x:c r="J115" s="27"/>
      <x:c r="K115" s="27"/>
      <x:c r="L115" s="27"/>
      <x:c r="M115" s="27"/>
      <x:c r="N115" s="27"/>
      <x:c r="O115" s="27"/>
      <x:c r="P115" s="27"/>
      <x:c r="Q115" s="27"/>
      <x:c r="R115" s="27"/>
      <x:c r="S115" s="27"/>
      <x:c r="T115" s="27"/>
      <x:c r="U115" s="27"/>
      <x:c r="V115" s="27"/>
      <x:c r="W115" s="27"/>
      <x:c r="X115" s="27"/>
      <x:c r="Y115" s="27"/>
      <x:c r="Z115" s="27"/>
      <x:c r="AA115" s="27"/>
      <x:c r="AB115" s="27"/>
      <x:c r="AC115" s="27"/>
      <x:c r="AD115" s="27"/>
      <x:c r="AE115" s="27"/>
      <x:c r="AF115" s="27"/>
      <x:c r="AG115" s="27"/>
      <x:c r="AH115" s="27"/>
      <x:c r="AI115" s="27"/>
      <x:c r="AJ115" s="27"/>
      <x:c r="AK115" s="27"/>
      <x:c r="AL115" s="27"/>
      <x:c r="AM115" s="27"/>
      <x:c r="AN115" s="27"/>
      <x:c r="AO115" s="27"/>
      <x:c r="AP115" s="27"/>
      <x:c r="AQ115" s="27"/>
      <x:c r="AR115" s="27" t="str">
        <x:f>IF(C115="","",SUM(H115,N115,T115,Z115,AF115,AL115))</x:f>
      </x:c>
      <x:c r="AS115" s="27" t="str">
        <x:f>IF(C115="","",SUM(I115,O115,U115,AA115,AG115,AM115))</x:f>
      </x:c>
      <x:c r="AT115" s="27" t="str">
        <x:f>IF(C115="","",SUM(J115,P115,V115,AB115,AH115,AN115))</x:f>
      </x:c>
      <x:c r="AU115" s="27" t="str">
        <x:f>IF(C115="","",SUM(K115,Q115,W115,AC115,AI115,AO115))</x:f>
      </x:c>
      <x:c r="AV115" s="27" t="str">
        <x:f>IF(C115="","",SUM(L115,R115,X115,AD115,AJ115,AP115))</x:f>
      </x:c>
      <x:c r="AW115" s="27" t="str">
        <x:f>IF(C115="","",SUM(M115,S115,Y115,AE115,AK115,AQ115))</x:f>
      </x:c>
      <x:c r="AX115" s="27" t="str">
        <x:f>IF(C115="","",IF(IF(AS115*1000000+SUM(U115,AM115)*10000+SUM(O115,AG115)*100+SUM(I115,AA115)+0.005&gt;AR115*1000000+SUM(T115,AL115)*10000+SUM(N115,AF115)*100+SUM(H115,Z115)+0.006,1,0)+IF(AT115*1000000+SUM(V115,AN115)*10000+SUM(P115,AH115)*100+SUM(J115,AB115)+0.004&gt;AR115*1000000+SUM(T115,AL115)*10000+SUM(N115,AF115)*100+SUM(H115,Z115)+0.006,1,0)+IF(AU115*1000000+SUM(W115,AO115)*10000+SUM(Q115,AI115)*100+SUM(K115,AC115)+0.003&gt;AR115*1000000+SUM(T115,AL115)*10000+SUM(N115,AF115)*100+SUM(H115,Z115)+0.006,1,0)+IF(AV115*1000000+SUM(X115,AP115)*10000+SUM(R115,AJ115)*100+SUM(L115,AD115)+0.002&gt;AR115*1000000+SUM(T115,AL115)*10000+SUM(N115,AF115)*100+SUM(H115,Z115)+0.006,1,0)+IF(AW115*1000000+SUM(Y115,AQ115)*10000+SUM(S115,AK115)*100+SUM(M115,AE115)+0.001&gt;AR115*1000000+SUM(T115,AL115)*10000+SUM(N115,AF115)*100+SUM(H115,Z115)+0.006,1,0)=0,"R",IF(IF(AR115*1000000+SUM(T115,AL115)*10000+SUM(N115,AF115)*100+SUM(H115,Z115)+0.006&gt;AS115*1000000+SUM(U115,AM115)*10000+SUM(O115,AG115)*100+SUM(I115,AA115)+0.005,1,0)+IF(AT115*1000000+SUM(V115,AN115)*10000+SUM(P115,AH115)*100+SUM(J115,AB115)+0.004&gt;AS115*1000000+SUM(U115,AM115)*10000+SUM(O115,AG115)*100+SUM(I115,AA115)+0.005,1,0)+IF(AU115*1000000+SUM(W115,AO115)*10000+SUM(Q115,AI115)*100+SUM(K115,AC115)+0.003&gt;AS115*1000000+SUM(U115,AM115)*10000+SUM(O115,AG115)*100+SUM(I115,AA115)+0.005,1,0)+IF(AV115*1000000+SUM(X115,AP115)*10000+SUM(R115,AJ115)*100+SUM(L115,AD115)+0.002&gt;AS115*1000000+SUM(U115,AM115)*10000+SUM(O115,AG115)*100+SUM(I115,AA115)+0.005,1,0)+IF(AW115*1000000+SUM(Y115,AQ115)*10000+SUM(S115,AK115)*100+SUM(M115,AE115)+0.001&gt;AS115*1000000+SUM(U115,AM115)*10000+SUM(O115,AG115)*100+SUM(I115,AA115)+0.005,1,0)=0,"I",IF(IF(AR115*1000000+SUM(T115,AL115)*10000+SUM(N115,AF115)*100+SUM(H115,Z115)+0.006&gt;AT115*1000000+SUM(V115,AN115)*10000+SUM(P115,AH115)*100+SUM(J115,AB115)+0.004,1,0)+IF(AS115*1000000+SUM(U115,AM115)*10000+SUM(O115,AG115)*100+SUM(I115,AA115)+0.005&gt;AT115*1000000+SUM(V115,AN115)*10000+SUM(P115,AH115)*100+SUM(J115,AB115)+0.004,1,0)+IF(AU115*1000000+SUM(W115,AO115)*10000+SUM(Q115,AI115)*100+SUM(K115,AC115)+0.003&gt;AT115*1000000+SUM(V115,AN115)*10000+SUM(P115,AH115)*100+SUM(J115,AB115)+0.004,1,0)+IF(AV115*1000000+SUM(X115,AP115)*10000+SUM(R115,AJ115)*100+SUM(L115,AD115)+0.002&gt;AT115*1000000+SUM(V115,AN115)*10000+SUM(P115,AH115)*100+SUM(J115,AB115)+0.004,1,0)+IF(AW115*1000000+SUM(Y115,AQ115)*10000+SUM(S115,AK115)*100+SUM(M115,AE115)+0.001&gt;AT115*1000000+SUM(V115,AN115)*10000+SUM(P115,AH115)*100+SUM(J115,AB115)+0.004,1,0)=0,"A",IF(IF(AR115*1000000+SUM(T115,AL115)*10000+SUM(N115,AF115)*100+SUM(H115,Z115)+0.006&gt;AU115*1000000+SUM(W115,AO115)*10000+SUM(Q115,AI115)*100+SUM(K115,AC115)+0.003,1,0)+IF(AS115*1000000+SUM(U115,AM115)*10000+SUM(O115,AG115)*100+SUM(I115,AA115)+0.005&gt;AU115*1000000+SUM(W115,AO115)*10000+SUM(Q115,AI115)*100+SUM(K115,AC115)+0.003,1,0)+IF(AT115*1000000+SUM(V115,AN115)*10000+SUM(P115,AH115)*100+SUM(J115,AB115)+0.004&gt;AU115*1000000+SUM(W115,AO115)*10000+SUM(Q115,AI115)*100+SUM(K115,AC115)+0.003,1,0)+IF(AV115*1000000+SUM(X115,AP115)*10000+SUM(R115,AJ115)*100+SUM(L115,AD115)+0.002&gt;AU115*1000000+SUM(W115,AO115)*10000+SUM(Q115,AI115)*100+SUM(K115,AC115)+0.003,1,0)+IF(AW115*1000000+SUM(Y115,AQ115)*10000+SUM(S115,AK115)*100+SUM(M115,AE115)+0.001&gt;AU115*1000000+SUM(W115,AO115)*10000+SUM(Q115,AI115)*100+SUM(K115,AC115)+0.003,1,0)=0,"S",IF(IF(AR115*1000000+SUM(T115,AL115)*10000+SUM(N115,AF115)*100+SUM(H115,Z115)+0.006&gt;AV115*1000000+SUM(X115,AP115)*10000+SUM(R115,AJ115)*100+SUM(L115,AD115)+0.002,1,0)+IF(AS115*1000000+SUM(U115,AM115)*10000+SUM(O115,AG115)*100+SUM(I115,AA115)+0.005&gt;AV115*1000000+SUM(X115,AP115)*10000+SUM(R115,AJ115)*100+SUM(L115,AD115)+0.002,1,0)+IF(AT115*1000000+SUM(V115,AN115)*10000+SUM(P115,AH115)*100+SUM(J115,AB115)+0.004&gt;AV115*1000000+SUM(X115,AP115)*10000+SUM(R115,AJ115)*100+SUM(L115,AD115)+0.002,1,0)+IF(AU115*1000000+SUM(W115,AO115)*10000+SUM(Q115,AI115)*100+SUM(K115,AC115)+0.003&gt;AV115*1000000+SUM(X115,AP115)*10000+SUM(R115,AJ115)*100+SUM(L115,AD115)+0.002,1,0)+IF(AW115*1000000+SUM(Y115,AQ115)*10000+SUM(S115,AK115)*100+SUM(M115,AE115)+0.001&gt;AV115*1000000+SUM(X115,AP115)*10000+SUM(R115,AJ115)*100+SUM(L115,AD115)+0.002,1,0)=0,"E",IF(IF(AR115*1000000+SUM(T115,AL115)*10000+SUM(N115,AF115)*100+SUM(H115,Z115)+0.006&gt;AW115*1000000+SUM(Y115,AQ115)*10000+SUM(S115,AK115)*100+SUM(M115,AE115)+0.001,1,0)+IF(AS115*1000000+SUM(U115,AM115)*10000+SUM(O115,AG115)*100+SUM(I115,AA115)+0.005&gt;AW115*1000000+SUM(Y115,AQ115)*10000+SUM(S115,AK115)*100+SUM(M115,AE115)+0.001,1,0)+IF(AT115*1000000+SUM(V115,AN115)*10000+SUM(P115,AH115)*100+SUM(J115,AB115)+0.004&gt;AW115*1000000+SUM(Y115,AQ115)*10000+SUM(S115,AK115)*100+SUM(M115,AE115)+0.001,1,0)+IF(AU115*1000000+SUM(W115,AO115)*10000+SUM(Q115,AI115)*100+SUM(K115,AC115)+0.003&gt;AW115*1000000+SUM(Y115,AQ115)*10000+SUM(S115,AK115)*100+SUM(M115,AE115)+0.001,1,0)+IF(AV115*1000000+SUM(X115,AP115)*10000+SUM(R115,AJ115)*100+SUM(L115,AD115)+0.002&gt;AW115*1000000+SUM(Y115,AQ115)*10000+SUM(S115,AK115)*100+SUM(M115,AE115)+0.001,1,0)=0,"C",""))))))&amp;IF(IF(AS115*1000000+SUM(U115,AM115)*10000+SUM(O115,AG115)*100+SUM(I115,AA115)+0.005&gt;AR115*1000000+SUM(T115,AL115)*10000+SUM(N115,AF115)*100+SUM(H115,Z115)+0.006,1,0)+IF(AT115*1000000+SUM(V115,AN115)*10000+SUM(P115,AH115)*100+SUM(J115,AB115)+0.004&gt;AR115*1000000+SUM(T115,AL115)*10000+SUM(N115,AF115)*100+SUM(H115,Z115)+0.006,1,0)+IF(AU115*1000000+SUM(W115,AO115)*10000+SUM(Q115,AI115)*100+SUM(K115,AC115)+0.003&gt;AR115*1000000+SUM(T115,AL115)*10000+SUM(N115,AF115)*100+SUM(H115,Z115)+0.006,1,0)+IF(AV115*1000000+SUM(X115,AP115)*10000+SUM(R115,AJ115)*100+SUM(L115,AD115)+0.002&gt;AR115*1000000+SUM(T115,AL115)*10000+SUM(N115,AF115)*100+SUM(H115,Z115)+0.006,1,0)+IF(AW115*1000000+SUM(Y115,AQ115)*10000+SUM(S115,AK115)*100+SUM(M115,AE115)+0.001&gt;AR115*1000000+SUM(T115,AL115)*10000+SUM(N115,AF115)*100+SUM(H115,Z115)+0.006,1,0)=1,"R",IF(IF(AR115*1000000+SUM(T115,AL115)*10000+SUM(N115,AF115)*100+SUM(H115,Z115)+0.006&gt;AS115*1000000+SUM(U115,AM115)*10000+SUM(O115,AG115)*100+SUM(I115,AA115)+0.005,1,0)+IF(AT115*1000000+SUM(V115,AN115)*10000+SUM(P115,AH115)*100+SUM(J115,AB115)+0.004&gt;AS115*1000000+SUM(U115,AM115)*10000+SUM(O115,AG115)*100+SUM(I115,AA115)+0.005,1,0)+IF(AU115*1000000+SUM(W115,AO115)*10000+SUM(Q115,AI115)*100+SUM(K115,AC115)+0.003&gt;AS115*1000000+SUM(U115,AM115)*10000+SUM(O115,AG115)*100+SUM(I115,AA115)+0.005,1,0)+IF(AV115*1000000+SUM(X115,AP115)*10000+SUM(R115,AJ115)*100+SUM(L115,AD115)+0.002&gt;AS115*1000000+SUM(U115,AM115)*10000+SUM(O115,AG115)*100+SUM(I115,AA115)+0.005,1,0)+IF(AW115*1000000+SUM(Y115,AQ115)*10000+SUM(S115,AK115)*100+SUM(M115,AE115)+0.001&gt;AS115*1000000+SUM(U115,AM115)*10000+SUM(O115,AG115)*100+SUM(I115,AA115)+0.005,1,0)=1,"I",IF(IF(AR115*1000000+SUM(T115,AL115)*10000+SUM(N115,AF115)*100+SUM(H115,Z115)+0.006&gt;AT115*1000000+SUM(V115,AN115)*10000+SUM(P115,AH115)*100+SUM(J115,AB115)+0.004,1,0)+IF(AS115*1000000+SUM(U115,AM115)*10000+SUM(O115,AG115)*100+SUM(I115,AA115)+0.005&gt;AT115*1000000+SUM(V115,AN115)*10000+SUM(P115,AH115)*100+SUM(J115,AB115)+0.004,1,0)+IF(AU115*1000000+SUM(W115,AO115)*10000+SUM(Q115,AI115)*100+SUM(K115,AC115)+0.003&gt;AT115*1000000+SUM(V115,AN115)*10000+SUM(P115,AH115)*100+SUM(J115,AB115)+0.004,1,0)+IF(AV115*1000000+SUM(X115,AP115)*10000+SUM(R115,AJ115)*100+SUM(L115,AD115)+0.002&gt;AT115*1000000+SUM(V115,AN115)*10000+SUM(P115,AH115)*100+SUM(J115,AB115)+0.004,1,0)+IF(AW115*1000000+SUM(Y115,AQ115)*10000+SUM(S115,AK115)*100+SUM(M115,AE115)+0.001&gt;AT115*1000000+SUM(V115,AN115)*10000+SUM(P115,AH115)*100+SUM(J115,AB115)+0.004,1,0)=1,"A",IF(IF(AR115*1000000+SUM(T115,AL115)*10000+SUM(N115,AF115)*100+SUM(H115,Z115)+0.006&gt;AU115*1000000+SUM(W115,AO115)*10000+SUM(Q115,AI115)*100+SUM(K115,AC115)+0.003,1,0)+IF(AS115*1000000+SUM(U115,AM115)*10000+SUM(O115,AG115)*100+SUM(I115,AA115)+0.005&gt;AU115*1000000+SUM(W115,AO115)*10000+SUM(Q115,AI115)*100+SUM(K115,AC115)+0.003,1,0)+IF(AT115*1000000+SUM(V115,AN115)*10000+SUM(P115,AH115)*100+SUM(J115,AB115)+0.004&gt;AU115*1000000+SUM(W115,AO115)*10000+SUM(Q115,AI115)*100+SUM(K115,AC115)+0.003,1,0)+IF(AV115*1000000+SUM(X115,AP115)*10000+SUM(R115,AJ115)*100+SUM(L115,AD115)+0.002&gt;AU115*1000000+SUM(W115,AO115)*10000+SUM(Q115,AI115)*100+SUM(K115,AC115)+0.003,1,0)+IF(AW115*1000000+SUM(Y115,AQ115)*10000+SUM(S115,AK115)*100+SUM(M115,AE115)+0.001&gt;AU115*1000000+SUM(W115,AO115)*10000+SUM(Q115,AI115)*100+SUM(K115,AC115)+0.003,1,0)=1,"S",IF(IF(AR115*1000000+SUM(T115,AL115)*10000+SUM(N115,AF115)*100+SUM(H115,Z115)+0.006&gt;AV115*1000000+SUM(X115,AP115)*10000+SUM(R115,AJ115)*100+SUM(L115,AD115)+0.002,1,0)+IF(AS115*1000000+SUM(U115,AM115)*10000+SUM(O115,AG115)*100+SUM(I115,AA115)+0.005&gt;AV115*1000000+SUM(X115,AP115)*10000+SUM(R115,AJ115)*100+SUM(L115,AD115)+0.002,1,0)+IF(AT115*1000000+SUM(V115,AN115)*10000+SUM(P115,AH115)*100+SUM(J115,AB115)+0.004&gt;AV115*1000000+SUM(X115,AP115)*10000+SUM(R115,AJ115)*100+SUM(L115,AD115)+0.002,1,0)+IF(AU115*1000000+SUM(W115,AO115)*10000+SUM(Q115,AI115)*100+SUM(K115,AC115)+0.003&gt;AV115*1000000+SUM(X115,AP115)*10000+SUM(R115,AJ115)*100+SUM(L115,AD115)+0.002,1,0)+IF(AW115*1000000+SUM(Y115,AQ115)*10000+SUM(S115,AK115)*100+SUM(M115,AE115)+0.001&gt;AV115*1000000+SUM(X115,AP115)*10000+SUM(R115,AJ115)*100+SUM(L115,AD115)+0.002,1,0)=1,"E",IF(IF(AR115*1000000+SUM(T115,AL115)*10000+SUM(N115,AF115)*100+SUM(H115,Z115)+0.006&gt;AW115*1000000+SUM(Y115,AQ115)*10000+SUM(S115,AK115)*100+SUM(M115,AE115)+0.001,1,0)+IF(AS115*1000000+SUM(U115,AM115)*10000+SUM(O115,AG115)*100+SUM(I115,AA115)+0.005&gt;AW115*1000000+SUM(Y115,AQ115)*10000+SUM(S115,AK115)*100+SUM(M115,AE115)+0.001,1,0)+IF(AT115*1000000+SUM(V115,AN115)*10000+SUM(P115,AH115)*100+SUM(J115,AB115)+0.004&gt;AW115*1000000+SUM(Y115,AQ115)*10000+SUM(S115,AK115)*100+SUM(M115,AE115)+0.001,1,0)+IF(AU115*1000000+SUM(W115,AO115)*10000+SUM(Q115,AI115)*100+SUM(K115,AC115)+0.003&gt;AW115*1000000+SUM(Y115,AQ115)*10000+SUM(S115,AK115)*100+SUM(M115,AE115)+0.001,1,0)+IF(AV115*1000000+SUM(X115,AP115)*10000+SUM(R115,AJ115)*100+SUM(L115,AD115)+0.002&gt;AW115*1000000+SUM(Y115,AQ115)*10000+SUM(S115,AK115)*100+SUM(M115,AE115)+0.001,1,0)=1,"C",""))))))&amp;IF(IF(AS115*1000000+SUM(U115,AM115)*10000+SUM(O115,AG115)*100+SUM(I115,AA115)+0.005&gt;AR115*1000000+SUM(T115,AL115)*10000+SUM(N115,AF115)*100+SUM(H115,Z115)+0.006,1,0)+IF(AT115*1000000+SUM(V115,AN115)*10000+SUM(P115,AH115)*100+SUM(J115,AB115)+0.004&gt;AR115*1000000+SUM(T115,AL115)*10000+SUM(N115,AF115)*100+SUM(H115,Z115)+0.006,1,0)+IF(AU115*1000000+SUM(W115,AO115)*10000+SUM(Q115,AI115)*100+SUM(K115,AC115)+0.003&gt;AR115*1000000+SUM(T115,AL115)*10000+SUM(N115,AF115)*100+SUM(H115,Z115)+0.006,1,0)+IF(AV115*1000000+SUM(X115,AP115)*10000+SUM(R115,AJ115)*100+SUM(L115,AD115)+0.002&gt;AR115*1000000+SUM(T115,AL115)*10000+SUM(N115,AF115)*100+SUM(H115,Z115)+0.006,1,0)+IF(AW115*1000000+SUM(Y115,AQ115)*10000+SUM(S115,AK115)*100+SUM(M115,AE115)+0.001&gt;AR115*1000000+SUM(T115,AL115)*10000+SUM(N115,AF115)*100+SUM(H115,Z115)+0.006,1,0)=2,"R",IF(IF(AR115*1000000+SUM(T115,AL115)*10000+SUM(N115,AF115)*100+SUM(H115,Z115)+0.006&gt;AS115*1000000+SUM(U115,AM115)*10000+SUM(O115,AG115)*100+SUM(I115,AA115)+0.005,1,0)+IF(AT115*1000000+SUM(V115,AN115)*10000+SUM(P115,AH115)*100+SUM(J115,AB115)+0.004&gt;AS115*1000000+SUM(U115,AM115)*10000+SUM(O115,AG115)*100+SUM(I115,AA115)+0.005,1,0)+IF(AU115*1000000+SUM(W115,AO115)*10000+SUM(Q115,AI115)*100+SUM(K115,AC115)+0.003&gt;AS115*1000000+SUM(U115,AM115)*10000+SUM(O115,AG115)*100+SUM(I115,AA115)+0.005,1,0)+IF(AV115*1000000+SUM(X115,AP115)*10000+SUM(R115,AJ115)*100+SUM(L115,AD115)+0.002&gt;AS115*1000000+SUM(U115,AM115)*10000+SUM(O115,AG115)*100+SUM(I115,AA115)+0.005,1,0)+IF(AW115*1000000+SUM(Y115,AQ115)*10000+SUM(S115,AK115)*100+SUM(M115,AE115)+0.001&gt;AS115*1000000+SUM(U115,AM115)*10000+SUM(O115,AG115)*100+SUM(I115,AA115)+0.005,1,0)=2,"I",IF(IF(AR115*1000000+SUM(T115,AL115)*10000+SUM(N115,AF115)*100+SUM(H115,Z115)+0.006&gt;AT115*1000000+SUM(V115,AN115)*10000+SUM(P115,AH115)*100+SUM(J115,AB115)+0.004,1,0)+IF(AS115*1000000+SUM(U115,AM115)*10000+SUM(O115,AG115)*100+SUM(I115,AA115)+0.005&gt;AT115*1000000+SUM(V115,AN115)*10000+SUM(P115,AH115)*100+SUM(J115,AB115)+0.004,1,0)+IF(AU115*1000000+SUM(W115,AO115)*10000+SUM(Q115,AI115)*100+SUM(K115,AC115)+0.003&gt;AT115*1000000+SUM(V115,AN115)*10000+SUM(P115,AH115)*100+SUM(J115,AB115)+0.004,1,0)+IF(AV115*1000000+SUM(X115,AP115)*10000+SUM(R115,AJ115)*100+SUM(L115,AD115)+0.002&gt;AT115*1000000+SUM(V115,AN115)*10000+SUM(P115,AH115)*100+SUM(J115,AB115)+0.004,1,0)+IF(AW115*1000000+SUM(Y115,AQ115)*10000+SUM(S115,AK115)*100+SUM(M115,AE115)+0.001&gt;AT115*1000000+SUM(V115,AN115)*10000+SUM(P115,AH115)*100+SUM(J115,AB115)+0.004,1,0)=2,"A",IF(IF(AR115*1000000+SUM(T115,AL115)*10000+SUM(N115,AF115)*100+SUM(H115,Z115)+0.006&gt;AU115*1000000+SUM(W115,AO115)*10000+SUM(Q115,AI115)*100+SUM(K115,AC115)+0.003,1,0)+IF(AS115*1000000+SUM(U115,AM115)*10000+SUM(O115,AG115)*100+SUM(I115,AA115)+0.005&gt;AU115*1000000+SUM(W115,AO115)*10000+SUM(Q115,AI115)*100+SUM(K115,AC115)+0.003,1,0)+IF(AT115*1000000+SUM(V115,AN115)*10000+SUM(P115,AH115)*100+SUM(J115,AB115)+0.004&gt;AU115*1000000+SUM(W115,AO115)*10000+SUM(Q115,AI115)*100+SUM(K115,AC115)+0.003,1,0)+IF(AV115*1000000+SUM(X115,AP115)*10000+SUM(R115,AJ115)*100+SUM(L115,AD115)+0.002&gt;AU115*1000000+SUM(W115,AO115)*10000+SUM(Q115,AI115)*100+SUM(K115,AC115)+0.003,1,0)+IF(AW115*1000000+SUM(Y115,AQ115)*10000+SUM(S115,AK115)*100+SUM(M115,AE115)+0.001&gt;AU115*1000000+SUM(W115,AO115)*10000+SUM(Q115,AI115)*100+SUM(K115,AC115)+0.003,1,0)=2,"S",IF(IF(AR115*1000000+SUM(T115,AL115)*10000+SUM(N115,AF115)*100+SUM(H115,Z115)+0.006&gt;AV115*1000000+SUM(X115,AP115)*10000+SUM(R115,AJ115)*100+SUM(L115,AD115)+0.002,1,0)+IF(AS115*1000000+SUM(U115,AM115)*10000+SUM(O115,AG115)*100+SUM(I115,AA115)+0.005&gt;AV115*1000000+SUM(X115,AP115)*10000+SUM(R115,AJ115)*100+SUM(L115,AD115)+0.002,1,0)+IF(AT115*1000000+SUM(V115,AN115)*10000+SUM(P115,AH115)*100+SUM(J115,AB115)+0.004&gt;AV115*1000000+SUM(X115,AP115)*10000+SUM(R115,AJ115)*100+SUM(L115,AD115)+0.002,1,0)+IF(AU115*1000000+SUM(W115,AO115)*10000+SUM(Q115,AI115)*100+SUM(K115,AC115)+0.003&gt;AV115*1000000+SUM(X115,AP115)*10000+SUM(R115,AJ115)*100+SUM(L115,AD115)+0.002,1,0)+IF(AW115*1000000+SUM(Y115,AQ115)*10000+SUM(S115,AK115)*100+SUM(M115,AE115)+0.001&gt;AV115*1000000+SUM(X115,AP115)*10000+SUM(R115,AJ115)*100+SUM(L115,AD115)+0.002,1,0)=2,"E",IF(IF(AR115*1000000+SUM(T115,AL115)*10000+SUM(N115,AF115)*100+SUM(H115,Z115)+0.006&gt;AW115*1000000+SUM(Y115,AQ115)*10000+SUM(S115,AK115)*100+SUM(M115,AE115)+0.001,1,0)+IF(AS115*1000000+SUM(U115,AM115)*10000+SUM(O115,AG115)*100+SUM(I115,AA115)+0.005&gt;AW115*1000000+SUM(Y115,AQ115)*10000+SUM(S115,AK115)*100+SUM(M115,AE115)+0.001,1,0)+IF(AT115*1000000+SUM(V115,AN115)*10000+SUM(P115,AH115)*100+SUM(J115,AB115)+0.004&gt;AW115*1000000+SUM(Y115,AQ115)*10000+SUM(S115,AK115)*100+SUM(M115,AE115)+0.001,1,0)+IF(AU115*1000000+SUM(W115,AO115)*10000+SUM(Q115,AI115)*100+SUM(K115,AC115)+0.003&gt;AW115*1000000+SUM(Y115,AQ115)*10000+SUM(S115,AK115)*100+SUM(M115,AE115)+0.001,1,0)+IF(AV115*1000000+SUM(X115,AP115)*10000+SUM(R115,AJ115)*100+SUM(L115,AD115)+0.002&gt;AW115*1000000+SUM(Y115,AQ115)*10000+SUM(S115,AK115)*100+SUM(M115,AE115)+0.001,1,0)=2,"C","")))))))</x:f>
      </x:c>
      <x:c r="AY115" s="27" t="str">
        <x:f>IF(C115="","",IF(LEFT(AX115,1)="R","นักปฏิบัติ",IF(LEFT(AX115,1)="I","นักคิดวิเคราะห์",IF(LEFT(AX115,1)="A","นักสร้างสรรค์",IF(LEFT(AX115,1)="S","ผู้เข้าใจผู้คน",IF(LEFT(AX115,1)="E","ผู้นำการเปลี่ยนแปลง","ผู้จัดระบบ"))))))</x:f>
      </x:c>
    </x:row>
    <x:row r="116">
      <x:c r="A116" s="27"/>
      <x:c r="B116" s="28"/>
      <x:c r="C116" s="27"/>
      <x:c r="D116" s="27"/>
      <x:c r="E116" s="27"/>
      <x:c r="F116" s="27"/>
      <x:c r="G116" s="27"/>
      <x:c r="H116" s="27"/>
      <x:c r="I116" s="27"/>
      <x:c r="J116" s="27"/>
      <x:c r="K116" s="27"/>
      <x:c r="L116" s="27"/>
      <x:c r="M116" s="27"/>
      <x:c r="N116" s="27"/>
      <x:c r="O116" s="27"/>
      <x:c r="P116" s="27"/>
      <x:c r="Q116" s="27"/>
      <x:c r="R116" s="27"/>
      <x:c r="S116" s="27"/>
      <x:c r="T116" s="27"/>
      <x:c r="U116" s="27"/>
      <x:c r="V116" s="27"/>
      <x:c r="W116" s="27"/>
      <x:c r="X116" s="27"/>
      <x:c r="Y116" s="27"/>
      <x:c r="Z116" s="27"/>
      <x:c r="AA116" s="27"/>
      <x:c r="AB116" s="27"/>
      <x:c r="AC116" s="27"/>
      <x:c r="AD116" s="27"/>
      <x:c r="AE116" s="27"/>
      <x:c r="AF116" s="27"/>
      <x:c r="AG116" s="27"/>
      <x:c r="AH116" s="27"/>
      <x:c r="AI116" s="27"/>
      <x:c r="AJ116" s="27"/>
      <x:c r="AK116" s="27"/>
      <x:c r="AL116" s="27"/>
      <x:c r="AM116" s="27"/>
      <x:c r="AN116" s="27"/>
      <x:c r="AO116" s="27"/>
      <x:c r="AP116" s="27"/>
      <x:c r="AQ116" s="27"/>
      <x:c r="AR116" s="27" t="str">
        <x:f>IF(C116="","",SUM(H116,N116,T116,Z116,AF116,AL116))</x:f>
      </x:c>
      <x:c r="AS116" s="27" t="str">
        <x:f>IF(C116="","",SUM(I116,O116,U116,AA116,AG116,AM116))</x:f>
      </x:c>
      <x:c r="AT116" s="27" t="str">
        <x:f>IF(C116="","",SUM(J116,P116,V116,AB116,AH116,AN116))</x:f>
      </x:c>
      <x:c r="AU116" s="27" t="str">
        <x:f>IF(C116="","",SUM(K116,Q116,W116,AC116,AI116,AO116))</x:f>
      </x:c>
      <x:c r="AV116" s="27" t="str">
        <x:f>IF(C116="","",SUM(L116,R116,X116,AD116,AJ116,AP116))</x:f>
      </x:c>
      <x:c r="AW116" s="27" t="str">
        <x:f>IF(C116="","",SUM(M116,S116,Y116,AE116,AK116,AQ116))</x:f>
      </x:c>
      <x:c r="AX116" s="27" t="str">
        <x:f>IF(C116="","",IF(IF(AS116*1000000+SUM(U116,AM116)*10000+SUM(O116,AG116)*100+SUM(I116,AA116)+0.005&gt;AR116*1000000+SUM(T116,AL116)*10000+SUM(N116,AF116)*100+SUM(H116,Z116)+0.006,1,0)+IF(AT116*1000000+SUM(V116,AN116)*10000+SUM(P116,AH116)*100+SUM(J116,AB116)+0.004&gt;AR116*1000000+SUM(T116,AL116)*10000+SUM(N116,AF116)*100+SUM(H116,Z116)+0.006,1,0)+IF(AU116*1000000+SUM(W116,AO116)*10000+SUM(Q116,AI116)*100+SUM(K116,AC116)+0.003&gt;AR116*1000000+SUM(T116,AL116)*10000+SUM(N116,AF116)*100+SUM(H116,Z116)+0.006,1,0)+IF(AV116*1000000+SUM(X116,AP116)*10000+SUM(R116,AJ116)*100+SUM(L116,AD116)+0.002&gt;AR116*1000000+SUM(T116,AL116)*10000+SUM(N116,AF116)*100+SUM(H116,Z116)+0.006,1,0)+IF(AW116*1000000+SUM(Y116,AQ116)*10000+SUM(S116,AK116)*100+SUM(M116,AE116)+0.001&gt;AR116*1000000+SUM(T116,AL116)*10000+SUM(N116,AF116)*100+SUM(H116,Z116)+0.006,1,0)=0,"R",IF(IF(AR116*1000000+SUM(T116,AL116)*10000+SUM(N116,AF116)*100+SUM(H116,Z116)+0.006&gt;AS116*1000000+SUM(U116,AM116)*10000+SUM(O116,AG116)*100+SUM(I116,AA116)+0.005,1,0)+IF(AT116*1000000+SUM(V116,AN116)*10000+SUM(P116,AH116)*100+SUM(J116,AB116)+0.004&gt;AS116*1000000+SUM(U116,AM116)*10000+SUM(O116,AG116)*100+SUM(I116,AA116)+0.005,1,0)+IF(AU116*1000000+SUM(W116,AO116)*10000+SUM(Q116,AI116)*100+SUM(K116,AC116)+0.003&gt;AS116*1000000+SUM(U116,AM116)*10000+SUM(O116,AG116)*100+SUM(I116,AA116)+0.005,1,0)+IF(AV116*1000000+SUM(X116,AP116)*10000+SUM(R116,AJ116)*100+SUM(L116,AD116)+0.002&gt;AS116*1000000+SUM(U116,AM116)*10000+SUM(O116,AG116)*100+SUM(I116,AA116)+0.005,1,0)+IF(AW116*1000000+SUM(Y116,AQ116)*10000+SUM(S116,AK116)*100+SUM(M116,AE116)+0.001&gt;AS116*1000000+SUM(U116,AM116)*10000+SUM(O116,AG116)*100+SUM(I116,AA116)+0.005,1,0)=0,"I",IF(IF(AR116*1000000+SUM(T116,AL116)*10000+SUM(N116,AF116)*100+SUM(H116,Z116)+0.006&gt;AT116*1000000+SUM(V116,AN116)*10000+SUM(P116,AH116)*100+SUM(J116,AB116)+0.004,1,0)+IF(AS116*1000000+SUM(U116,AM116)*10000+SUM(O116,AG116)*100+SUM(I116,AA116)+0.005&gt;AT116*1000000+SUM(V116,AN116)*10000+SUM(P116,AH116)*100+SUM(J116,AB116)+0.004,1,0)+IF(AU116*1000000+SUM(W116,AO116)*10000+SUM(Q116,AI116)*100+SUM(K116,AC116)+0.003&gt;AT116*1000000+SUM(V116,AN116)*10000+SUM(P116,AH116)*100+SUM(J116,AB116)+0.004,1,0)+IF(AV116*1000000+SUM(X116,AP116)*10000+SUM(R116,AJ116)*100+SUM(L116,AD116)+0.002&gt;AT116*1000000+SUM(V116,AN116)*10000+SUM(P116,AH116)*100+SUM(J116,AB116)+0.004,1,0)+IF(AW116*1000000+SUM(Y116,AQ116)*10000+SUM(S116,AK116)*100+SUM(M116,AE116)+0.001&gt;AT116*1000000+SUM(V116,AN116)*10000+SUM(P116,AH116)*100+SUM(J116,AB116)+0.004,1,0)=0,"A",IF(IF(AR116*1000000+SUM(T116,AL116)*10000+SUM(N116,AF116)*100+SUM(H116,Z116)+0.006&gt;AU116*1000000+SUM(W116,AO116)*10000+SUM(Q116,AI116)*100+SUM(K116,AC116)+0.003,1,0)+IF(AS116*1000000+SUM(U116,AM116)*10000+SUM(O116,AG116)*100+SUM(I116,AA116)+0.005&gt;AU116*1000000+SUM(W116,AO116)*10000+SUM(Q116,AI116)*100+SUM(K116,AC116)+0.003,1,0)+IF(AT116*1000000+SUM(V116,AN116)*10000+SUM(P116,AH116)*100+SUM(J116,AB116)+0.004&gt;AU116*1000000+SUM(W116,AO116)*10000+SUM(Q116,AI116)*100+SUM(K116,AC116)+0.003,1,0)+IF(AV116*1000000+SUM(X116,AP116)*10000+SUM(R116,AJ116)*100+SUM(L116,AD116)+0.002&gt;AU116*1000000+SUM(W116,AO116)*10000+SUM(Q116,AI116)*100+SUM(K116,AC116)+0.003,1,0)+IF(AW116*1000000+SUM(Y116,AQ116)*10000+SUM(S116,AK116)*100+SUM(M116,AE116)+0.001&gt;AU116*1000000+SUM(W116,AO116)*10000+SUM(Q116,AI116)*100+SUM(K116,AC116)+0.003,1,0)=0,"S",IF(IF(AR116*1000000+SUM(T116,AL116)*10000+SUM(N116,AF116)*100+SUM(H116,Z116)+0.006&gt;AV116*1000000+SUM(X116,AP116)*10000+SUM(R116,AJ116)*100+SUM(L116,AD116)+0.002,1,0)+IF(AS116*1000000+SUM(U116,AM116)*10000+SUM(O116,AG116)*100+SUM(I116,AA116)+0.005&gt;AV116*1000000+SUM(X116,AP116)*10000+SUM(R116,AJ116)*100+SUM(L116,AD116)+0.002,1,0)+IF(AT116*1000000+SUM(V116,AN116)*10000+SUM(P116,AH116)*100+SUM(J116,AB116)+0.004&gt;AV116*1000000+SUM(X116,AP116)*10000+SUM(R116,AJ116)*100+SUM(L116,AD116)+0.002,1,0)+IF(AU116*1000000+SUM(W116,AO116)*10000+SUM(Q116,AI116)*100+SUM(K116,AC116)+0.003&gt;AV116*1000000+SUM(X116,AP116)*10000+SUM(R116,AJ116)*100+SUM(L116,AD116)+0.002,1,0)+IF(AW116*1000000+SUM(Y116,AQ116)*10000+SUM(S116,AK116)*100+SUM(M116,AE116)+0.001&gt;AV116*1000000+SUM(X116,AP116)*10000+SUM(R116,AJ116)*100+SUM(L116,AD116)+0.002,1,0)=0,"E",IF(IF(AR116*1000000+SUM(T116,AL116)*10000+SUM(N116,AF116)*100+SUM(H116,Z116)+0.006&gt;AW116*1000000+SUM(Y116,AQ116)*10000+SUM(S116,AK116)*100+SUM(M116,AE116)+0.001,1,0)+IF(AS116*1000000+SUM(U116,AM116)*10000+SUM(O116,AG116)*100+SUM(I116,AA116)+0.005&gt;AW116*1000000+SUM(Y116,AQ116)*10000+SUM(S116,AK116)*100+SUM(M116,AE116)+0.001,1,0)+IF(AT116*1000000+SUM(V116,AN116)*10000+SUM(P116,AH116)*100+SUM(J116,AB116)+0.004&gt;AW116*1000000+SUM(Y116,AQ116)*10000+SUM(S116,AK116)*100+SUM(M116,AE116)+0.001,1,0)+IF(AU116*1000000+SUM(W116,AO116)*10000+SUM(Q116,AI116)*100+SUM(K116,AC116)+0.003&gt;AW116*1000000+SUM(Y116,AQ116)*10000+SUM(S116,AK116)*100+SUM(M116,AE116)+0.001,1,0)+IF(AV116*1000000+SUM(X116,AP116)*10000+SUM(R116,AJ116)*100+SUM(L116,AD116)+0.002&gt;AW116*1000000+SUM(Y116,AQ116)*10000+SUM(S116,AK116)*100+SUM(M116,AE116)+0.001,1,0)=0,"C",""))))))&amp;IF(IF(AS116*1000000+SUM(U116,AM116)*10000+SUM(O116,AG116)*100+SUM(I116,AA116)+0.005&gt;AR116*1000000+SUM(T116,AL116)*10000+SUM(N116,AF116)*100+SUM(H116,Z116)+0.006,1,0)+IF(AT116*1000000+SUM(V116,AN116)*10000+SUM(P116,AH116)*100+SUM(J116,AB116)+0.004&gt;AR116*1000000+SUM(T116,AL116)*10000+SUM(N116,AF116)*100+SUM(H116,Z116)+0.006,1,0)+IF(AU116*1000000+SUM(W116,AO116)*10000+SUM(Q116,AI116)*100+SUM(K116,AC116)+0.003&gt;AR116*1000000+SUM(T116,AL116)*10000+SUM(N116,AF116)*100+SUM(H116,Z116)+0.006,1,0)+IF(AV116*1000000+SUM(X116,AP116)*10000+SUM(R116,AJ116)*100+SUM(L116,AD116)+0.002&gt;AR116*1000000+SUM(T116,AL116)*10000+SUM(N116,AF116)*100+SUM(H116,Z116)+0.006,1,0)+IF(AW116*1000000+SUM(Y116,AQ116)*10000+SUM(S116,AK116)*100+SUM(M116,AE116)+0.001&gt;AR116*1000000+SUM(T116,AL116)*10000+SUM(N116,AF116)*100+SUM(H116,Z116)+0.006,1,0)=1,"R",IF(IF(AR116*1000000+SUM(T116,AL116)*10000+SUM(N116,AF116)*100+SUM(H116,Z116)+0.006&gt;AS116*1000000+SUM(U116,AM116)*10000+SUM(O116,AG116)*100+SUM(I116,AA116)+0.005,1,0)+IF(AT116*1000000+SUM(V116,AN116)*10000+SUM(P116,AH116)*100+SUM(J116,AB116)+0.004&gt;AS116*1000000+SUM(U116,AM116)*10000+SUM(O116,AG116)*100+SUM(I116,AA116)+0.005,1,0)+IF(AU116*1000000+SUM(W116,AO116)*10000+SUM(Q116,AI116)*100+SUM(K116,AC116)+0.003&gt;AS116*1000000+SUM(U116,AM116)*10000+SUM(O116,AG116)*100+SUM(I116,AA116)+0.005,1,0)+IF(AV116*1000000+SUM(X116,AP116)*10000+SUM(R116,AJ116)*100+SUM(L116,AD116)+0.002&gt;AS116*1000000+SUM(U116,AM116)*10000+SUM(O116,AG116)*100+SUM(I116,AA116)+0.005,1,0)+IF(AW116*1000000+SUM(Y116,AQ116)*10000+SUM(S116,AK116)*100+SUM(M116,AE116)+0.001&gt;AS116*1000000+SUM(U116,AM116)*10000+SUM(O116,AG116)*100+SUM(I116,AA116)+0.005,1,0)=1,"I",IF(IF(AR116*1000000+SUM(T116,AL116)*10000+SUM(N116,AF116)*100+SUM(H116,Z116)+0.006&gt;AT116*1000000+SUM(V116,AN116)*10000+SUM(P116,AH116)*100+SUM(J116,AB116)+0.004,1,0)+IF(AS116*1000000+SUM(U116,AM116)*10000+SUM(O116,AG116)*100+SUM(I116,AA116)+0.005&gt;AT116*1000000+SUM(V116,AN116)*10000+SUM(P116,AH116)*100+SUM(J116,AB116)+0.004,1,0)+IF(AU116*1000000+SUM(W116,AO116)*10000+SUM(Q116,AI116)*100+SUM(K116,AC116)+0.003&gt;AT116*1000000+SUM(V116,AN116)*10000+SUM(P116,AH116)*100+SUM(J116,AB116)+0.004,1,0)+IF(AV116*1000000+SUM(X116,AP116)*10000+SUM(R116,AJ116)*100+SUM(L116,AD116)+0.002&gt;AT116*1000000+SUM(V116,AN116)*10000+SUM(P116,AH116)*100+SUM(J116,AB116)+0.004,1,0)+IF(AW116*1000000+SUM(Y116,AQ116)*10000+SUM(S116,AK116)*100+SUM(M116,AE116)+0.001&gt;AT116*1000000+SUM(V116,AN116)*10000+SUM(P116,AH116)*100+SUM(J116,AB116)+0.004,1,0)=1,"A",IF(IF(AR116*1000000+SUM(T116,AL116)*10000+SUM(N116,AF116)*100+SUM(H116,Z116)+0.006&gt;AU116*1000000+SUM(W116,AO116)*10000+SUM(Q116,AI116)*100+SUM(K116,AC116)+0.003,1,0)+IF(AS116*1000000+SUM(U116,AM116)*10000+SUM(O116,AG116)*100+SUM(I116,AA116)+0.005&gt;AU116*1000000+SUM(W116,AO116)*10000+SUM(Q116,AI116)*100+SUM(K116,AC116)+0.003,1,0)+IF(AT116*1000000+SUM(V116,AN116)*10000+SUM(P116,AH116)*100+SUM(J116,AB116)+0.004&gt;AU116*1000000+SUM(W116,AO116)*10000+SUM(Q116,AI116)*100+SUM(K116,AC116)+0.003,1,0)+IF(AV116*1000000+SUM(X116,AP116)*10000+SUM(R116,AJ116)*100+SUM(L116,AD116)+0.002&gt;AU116*1000000+SUM(W116,AO116)*10000+SUM(Q116,AI116)*100+SUM(K116,AC116)+0.003,1,0)+IF(AW116*1000000+SUM(Y116,AQ116)*10000+SUM(S116,AK116)*100+SUM(M116,AE116)+0.001&gt;AU116*1000000+SUM(W116,AO116)*10000+SUM(Q116,AI116)*100+SUM(K116,AC116)+0.003,1,0)=1,"S",IF(IF(AR116*1000000+SUM(T116,AL116)*10000+SUM(N116,AF116)*100+SUM(H116,Z116)+0.006&gt;AV116*1000000+SUM(X116,AP116)*10000+SUM(R116,AJ116)*100+SUM(L116,AD116)+0.002,1,0)+IF(AS116*1000000+SUM(U116,AM116)*10000+SUM(O116,AG116)*100+SUM(I116,AA116)+0.005&gt;AV116*1000000+SUM(X116,AP116)*10000+SUM(R116,AJ116)*100+SUM(L116,AD116)+0.002,1,0)+IF(AT116*1000000+SUM(V116,AN116)*10000+SUM(P116,AH116)*100+SUM(J116,AB116)+0.004&gt;AV116*1000000+SUM(X116,AP116)*10000+SUM(R116,AJ116)*100+SUM(L116,AD116)+0.002,1,0)+IF(AU116*1000000+SUM(W116,AO116)*10000+SUM(Q116,AI116)*100+SUM(K116,AC116)+0.003&gt;AV116*1000000+SUM(X116,AP116)*10000+SUM(R116,AJ116)*100+SUM(L116,AD116)+0.002,1,0)+IF(AW116*1000000+SUM(Y116,AQ116)*10000+SUM(S116,AK116)*100+SUM(M116,AE116)+0.001&gt;AV116*1000000+SUM(X116,AP116)*10000+SUM(R116,AJ116)*100+SUM(L116,AD116)+0.002,1,0)=1,"E",IF(IF(AR116*1000000+SUM(T116,AL116)*10000+SUM(N116,AF116)*100+SUM(H116,Z116)+0.006&gt;AW116*1000000+SUM(Y116,AQ116)*10000+SUM(S116,AK116)*100+SUM(M116,AE116)+0.001,1,0)+IF(AS116*1000000+SUM(U116,AM116)*10000+SUM(O116,AG116)*100+SUM(I116,AA116)+0.005&gt;AW116*1000000+SUM(Y116,AQ116)*10000+SUM(S116,AK116)*100+SUM(M116,AE116)+0.001,1,0)+IF(AT116*1000000+SUM(V116,AN116)*10000+SUM(P116,AH116)*100+SUM(J116,AB116)+0.004&gt;AW116*1000000+SUM(Y116,AQ116)*10000+SUM(S116,AK116)*100+SUM(M116,AE116)+0.001,1,0)+IF(AU116*1000000+SUM(W116,AO116)*10000+SUM(Q116,AI116)*100+SUM(K116,AC116)+0.003&gt;AW116*1000000+SUM(Y116,AQ116)*10000+SUM(S116,AK116)*100+SUM(M116,AE116)+0.001,1,0)+IF(AV116*1000000+SUM(X116,AP116)*10000+SUM(R116,AJ116)*100+SUM(L116,AD116)+0.002&gt;AW116*1000000+SUM(Y116,AQ116)*10000+SUM(S116,AK116)*100+SUM(M116,AE116)+0.001,1,0)=1,"C",""))))))&amp;IF(IF(AS116*1000000+SUM(U116,AM116)*10000+SUM(O116,AG116)*100+SUM(I116,AA116)+0.005&gt;AR116*1000000+SUM(T116,AL116)*10000+SUM(N116,AF116)*100+SUM(H116,Z116)+0.006,1,0)+IF(AT116*1000000+SUM(V116,AN116)*10000+SUM(P116,AH116)*100+SUM(J116,AB116)+0.004&gt;AR116*1000000+SUM(T116,AL116)*10000+SUM(N116,AF116)*100+SUM(H116,Z116)+0.006,1,0)+IF(AU116*1000000+SUM(W116,AO116)*10000+SUM(Q116,AI116)*100+SUM(K116,AC116)+0.003&gt;AR116*1000000+SUM(T116,AL116)*10000+SUM(N116,AF116)*100+SUM(H116,Z116)+0.006,1,0)+IF(AV116*1000000+SUM(X116,AP116)*10000+SUM(R116,AJ116)*100+SUM(L116,AD116)+0.002&gt;AR116*1000000+SUM(T116,AL116)*10000+SUM(N116,AF116)*100+SUM(H116,Z116)+0.006,1,0)+IF(AW116*1000000+SUM(Y116,AQ116)*10000+SUM(S116,AK116)*100+SUM(M116,AE116)+0.001&gt;AR116*1000000+SUM(T116,AL116)*10000+SUM(N116,AF116)*100+SUM(H116,Z116)+0.006,1,0)=2,"R",IF(IF(AR116*1000000+SUM(T116,AL116)*10000+SUM(N116,AF116)*100+SUM(H116,Z116)+0.006&gt;AS116*1000000+SUM(U116,AM116)*10000+SUM(O116,AG116)*100+SUM(I116,AA116)+0.005,1,0)+IF(AT116*1000000+SUM(V116,AN116)*10000+SUM(P116,AH116)*100+SUM(J116,AB116)+0.004&gt;AS116*1000000+SUM(U116,AM116)*10000+SUM(O116,AG116)*100+SUM(I116,AA116)+0.005,1,0)+IF(AU116*1000000+SUM(W116,AO116)*10000+SUM(Q116,AI116)*100+SUM(K116,AC116)+0.003&gt;AS116*1000000+SUM(U116,AM116)*10000+SUM(O116,AG116)*100+SUM(I116,AA116)+0.005,1,0)+IF(AV116*1000000+SUM(X116,AP116)*10000+SUM(R116,AJ116)*100+SUM(L116,AD116)+0.002&gt;AS116*1000000+SUM(U116,AM116)*10000+SUM(O116,AG116)*100+SUM(I116,AA116)+0.005,1,0)+IF(AW116*1000000+SUM(Y116,AQ116)*10000+SUM(S116,AK116)*100+SUM(M116,AE116)+0.001&gt;AS116*1000000+SUM(U116,AM116)*10000+SUM(O116,AG116)*100+SUM(I116,AA116)+0.005,1,0)=2,"I",IF(IF(AR116*1000000+SUM(T116,AL116)*10000+SUM(N116,AF116)*100+SUM(H116,Z116)+0.006&gt;AT116*1000000+SUM(V116,AN116)*10000+SUM(P116,AH116)*100+SUM(J116,AB116)+0.004,1,0)+IF(AS116*1000000+SUM(U116,AM116)*10000+SUM(O116,AG116)*100+SUM(I116,AA116)+0.005&gt;AT116*1000000+SUM(V116,AN116)*10000+SUM(P116,AH116)*100+SUM(J116,AB116)+0.004,1,0)+IF(AU116*1000000+SUM(W116,AO116)*10000+SUM(Q116,AI116)*100+SUM(K116,AC116)+0.003&gt;AT116*1000000+SUM(V116,AN116)*10000+SUM(P116,AH116)*100+SUM(J116,AB116)+0.004,1,0)+IF(AV116*1000000+SUM(X116,AP116)*10000+SUM(R116,AJ116)*100+SUM(L116,AD116)+0.002&gt;AT116*1000000+SUM(V116,AN116)*10000+SUM(P116,AH116)*100+SUM(J116,AB116)+0.004,1,0)+IF(AW116*1000000+SUM(Y116,AQ116)*10000+SUM(S116,AK116)*100+SUM(M116,AE116)+0.001&gt;AT116*1000000+SUM(V116,AN116)*10000+SUM(P116,AH116)*100+SUM(J116,AB116)+0.004,1,0)=2,"A",IF(IF(AR116*1000000+SUM(T116,AL116)*10000+SUM(N116,AF116)*100+SUM(H116,Z116)+0.006&gt;AU116*1000000+SUM(W116,AO116)*10000+SUM(Q116,AI116)*100+SUM(K116,AC116)+0.003,1,0)+IF(AS116*1000000+SUM(U116,AM116)*10000+SUM(O116,AG116)*100+SUM(I116,AA116)+0.005&gt;AU116*1000000+SUM(W116,AO116)*10000+SUM(Q116,AI116)*100+SUM(K116,AC116)+0.003,1,0)+IF(AT116*1000000+SUM(V116,AN116)*10000+SUM(P116,AH116)*100+SUM(J116,AB116)+0.004&gt;AU116*1000000+SUM(W116,AO116)*10000+SUM(Q116,AI116)*100+SUM(K116,AC116)+0.003,1,0)+IF(AV116*1000000+SUM(X116,AP116)*10000+SUM(R116,AJ116)*100+SUM(L116,AD116)+0.002&gt;AU116*1000000+SUM(W116,AO116)*10000+SUM(Q116,AI116)*100+SUM(K116,AC116)+0.003,1,0)+IF(AW116*1000000+SUM(Y116,AQ116)*10000+SUM(S116,AK116)*100+SUM(M116,AE116)+0.001&gt;AU116*1000000+SUM(W116,AO116)*10000+SUM(Q116,AI116)*100+SUM(K116,AC116)+0.003,1,0)=2,"S",IF(IF(AR116*1000000+SUM(T116,AL116)*10000+SUM(N116,AF116)*100+SUM(H116,Z116)+0.006&gt;AV116*1000000+SUM(X116,AP116)*10000+SUM(R116,AJ116)*100+SUM(L116,AD116)+0.002,1,0)+IF(AS116*1000000+SUM(U116,AM116)*10000+SUM(O116,AG116)*100+SUM(I116,AA116)+0.005&gt;AV116*1000000+SUM(X116,AP116)*10000+SUM(R116,AJ116)*100+SUM(L116,AD116)+0.002,1,0)+IF(AT116*1000000+SUM(V116,AN116)*10000+SUM(P116,AH116)*100+SUM(J116,AB116)+0.004&gt;AV116*1000000+SUM(X116,AP116)*10000+SUM(R116,AJ116)*100+SUM(L116,AD116)+0.002,1,0)+IF(AU116*1000000+SUM(W116,AO116)*10000+SUM(Q116,AI116)*100+SUM(K116,AC116)+0.003&gt;AV116*1000000+SUM(X116,AP116)*10000+SUM(R116,AJ116)*100+SUM(L116,AD116)+0.002,1,0)+IF(AW116*1000000+SUM(Y116,AQ116)*10000+SUM(S116,AK116)*100+SUM(M116,AE116)+0.001&gt;AV116*1000000+SUM(X116,AP116)*10000+SUM(R116,AJ116)*100+SUM(L116,AD116)+0.002,1,0)=2,"E",IF(IF(AR116*1000000+SUM(T116,AL116)*10000+SUM(N116,AF116)*100+SUM(H116,Z116)+0.006&gt;AW116*1000000+SUM(Y116,AQ116)*10000+SUM(S116,AK116)*100+SUM(M116,AE116)+0.001,1,0)+IF(AS116*1000000+SUM(U116,AM116)*10000+SUM(O116,AG116)*100+SUM(I116,AA116)+0.005&gt;AW116*1000000+SUM(Y116,AQ116)*10000+SUM(S116,AK116)*100+SUM(M116,AE116)+0.001,1,0)+IF(AT116*1000000+SUM(V116,AN116)*10000+SUM(P116,AH116)*100+SUM(J116,AB116)+0.004&gt;AW116*1000000+SUM(Y116,AQ116)*10000+SUM(S116,AK116)*100+SUM(M116,AE116)+0.001,1,0)+IF(AU116*1000000+SUM(W116,AO116)*10000+SUM(Q116,AI116)*100+SUM(K116,AC116)+0.003&gt;AW116*1000000+SUM(Y116,AQ116)*10000+SUM(S116,AK116)*100+SUM(M116,AE116)+0.001,1,0)+IF(AV116*1000000+SUM(X116,AP116)*10000+SUM(R116,AJ116)*100+SUM(L116,AD116)+0.002&gt;AW116*1000000+SUM(Y116,AQ116)*10000+SUM(S116,AK116)*100+SUM(M116,AE116)+0.001,1,0)=2,"C","")))))))</x:f>
      </x:c>
      <x:c r="AY116" s="27" t="str">
        <x:f>IF(C116="","",IF(LEFT(AX116,1)="R","นักปฏิบัติ",IF(LEFT(AX116,1)="I","นักคิดวิเคราะห์",IF(LEFT(AX116,1)="A","นักสร้างสรรค์",IF(LEFT(AX116,1)="S","ผู้เข้าใจผู้คน",IF(LEFT(AX116,1)="E","ผู้นำการเปลี่ยนแปลง","ผู้จัดระบบ"))))))</x:f>
      </x:c>
    </x:row>
    <x:row r="117">
      <x:c r="A117" s="27"/>
      <x:c r="B117" s="28"/>
      <x:c r="C117" s="27"/>
      <x:c r="D117" s="27"/>
      <x:c r="E117" s="27"/>
      <x:c r="F117" s="27"/>
      <x:c r="G117" s="27"/>
      <x:c r="H117" s="27"/>
      <x:c r="I117" s="27"/>
      <x:c r="J117" s="27"/>
      <x:c r="K117" s="27"/>
      <x:c r="L117" s="27"/>
      <x:c r="M117" s="27"/>
      <x:c r="N117" s="27"/>
      <x:c r="O117" s="27"/>
      <x:c r="P117" s="27"/>
      <x:c r="Q117" s="27"/>
      <x:c r="R117" s="27"/>
      <x:c r="S117" s="27"/>
      <x:c r="T117" s="27"/>
      <x:c r="U117" s="27"/>
      <x:c r="V117" s="27"/>
      <x:c r="W117" s="27"/>
      <x:c r="X117" s="27"/>
      <x:c r="Y117" s="27"/>
      <x:c r="Z117" s="27"/>
      <x:c r="AA117" s="27"/>
      <x:c r="AB117" s="27"/>
      <x:c r="AC117" s="27"/>
      <x:c r="AD117" s="27"/>
      <x:c r="AE117" s="27"/>
      <x:c r="AF117" s="27"/>
      <x:c r="AG117" s="27"/>
      <x:c r="AH117" s="27"/>
      <x:c r="AI117" s="27"/>
      <x:c r="AJ117" s="27"/>
      <x:c r="AK117" s="27"/>
      <x:c r="AL117" s="27"/>
      <x:c r="AM117" s="27"/>
      <x:c r="AN117" s="27"/>
      <x:c r="AO117" s="27"/>
      <x:c r="AP117" s="27"/>
      <x:c r="AQ117" s="27"/>
      <x:c r="AR117" s="27" t="str">
        <x:f>IF(C117="","",SUM(H117,N117,T117,Z117,AF117,AL117))</x:f>
      </x:c>
      <x:c r="AS117" s="27" t="str">
        <x:f>IF(C117="","",SUM(I117,O117,U117,AA117,AG117,AM117))</x:f>
      </x:c>
      <x:c r="AT117" s="27" t="str">
        <x:f>IF(C117="","",SUM(J117,P117,V117,AB117,AH117,AN117))</x:f>
      </x:c>
      <x:c r="AU117" s="27" t="str">
        <x:f>IF(C117="","",SUM(K117,Q117,W117,AC117,AI117,AO117))</x:f>
      </x:c>
      <x:c r="AV117" s="27" t="str">
        <x:f>IF(C117="","",SUM(L117,R117,X117,AD117,AJ117,AP117))</x:f>
      </x:c>
      <x:c r="AW117" s="27" t="str">
        <x:f>IF(C117="","",SUM(M117,S117,Y117,AE117,AK117,AQ117))</x:f>
      </x:c>
      <x:c r="AX117" s="27" t="str">
        <x:f>IF(C117="","",IF(IF(AS117*1000000+SUM(U117,AM117)*10000+SUM(O117,AG117)*100+SUM(I117,AA117)+0.005&gt;AR117*1000000+SUM(T117,AL117)*10000+SUM(N117,AF117)*100+SUM(H117,Z117)+0.006,1,0)+IF(AT117*1000000+SUM(V117,AN117)*10000+SUM(P117,AH117)*100+SUM(J117,AB117)+0.004&gt;AR117*1000000+SUM(T117,AL117)*10000+SUM(N117,AF117)*100+SUM(H117,Z117)+0.006,1,0)+IF(AU117*1000000+SUM(W117,AO117)*10000+SUM(Q117,AI117)*100+SUM(K117,AC117)+0.003&gt;AR117*1000000+SUM(T117,AL117)*10000+SUM(N117,AF117)*100+SUM(H117,Z117)+0.006,1,0)+IF(AV117*1000000+SUM(X117,AP117)*10000+SUM(R117,AJ117)*100+SUM(L117,AD117)+0.002&gt;AR117*1000000+SUM(T117,AL117)*10000+SUM(N117,AF117)*100+SUM(H117,Z117)+0.006,1,0)+IF(AW117*1000000+SUM(Y117,AQ117)*10000+SUM(S117,AK117)*100+SUM(M117,AE117)+0.001&gt;AR117*1000000+SUM(T117,AL117)*10000+SUM(N117,AF117)*100+SUM(H117,Z117)+0.006,1,0)=0,"R",IF(IF(AR117*1000000+SUM(T117,AL117)*10000+SUM(N117,AF117)*100+SUM(H117,Z117)+0.006&gt;AS117*1000000+SUM(U117,AM117)*10000+SUM(O117,AG117)*100+SUM(I117,AA117)+0.005,1,0)+IF(AT117*1000000+SUM(V117,AN117)*10000+SUM(P117,AH117)*100+SUM(J117,AB117)+0.004&gt;AS117*1000000+SUM(U117,AM117)*10000+SUM(O117,AG117)*100+SUM(I117,AA117)+0.005,1,0)+IF(AU117*1000000+SUM(W117,AO117)*10000+SUM(Q117,AI117)*100+SUM(K117,AC117)+0.003&gt;AS117*1000000+SUM(U117,AM117)*10000+SUM(O117,AG117)*100+SUM(I117,AA117)+0.005,1,0)+IF(AV117*1000000+SUM(X117,AP117)*10000+SUM(R117,AJ117)*100+SUM(L117,AD117)+0.002&gt;AS117*1000000+SUM(U117,AM117)*10000+SUM(O117,AG117)*100+SUM(I117,AA117)+0.005,1,0)+IF(AW117*1000000+SUM(Y117,AQ117)*10000+SUM(S117,AK117)*100+SUM(M117,AE117)+0.001&gt;AS117*1000000+SUM(U117,AM117)*10000+SUM(O117,AG117)*100+SUM(I117,AA117)+0.005,1,0)=0,"I",IF(IF(AR117*1000000+SUM(T117,AL117)*10000+SUM(N117,AF117)*100+SUM(H117,Z117)+0.006&gt;AT117*1000000+SUM(V117,AN117)*10000+SUM(P117,AH117)*100+SUM(J117,AB117)+0.004,1,0)+IF(AS117*1000000+SUM(U117,AM117)*10000+SUM(O117,AG117)*100+SUM(I117,AA117)+0.005&gt;AT117*1000000+SUM(V117,AN117)*10000+SUM(P117,AH117)*100+SUM(J117,AB117)+0.004,1,0)+IF(AU117*1000000+SUM(W117,AO117)*10000+SUM(Q117,AI117)*100+SUM(K117,AC117)+0.003&gt;AT117*1000000+SUM(V117,AN117)*10000+SUM(P117,AH117)*100+SUM(J117,AB117)+0.004,1,0)+IF(AV117*1000000+SUM(X117,AP117)*10000+SUM(R117,AJ117)*100+SUM(L117,AD117)+0.002&gt;AT117*1000000+SUM(V117,AN117)*10000+SUM(P117,AH117)*100+SUM(J117,AB117)+0.004,1,0)+IF(AW117*1000000+SUM(Y117,AQ117)*10000+SUM(S117,AK117)*100+SUM(M117,AE117)+0.001&gt;AT117*1000000+SUM(V117,AN117)*10000+SUM(P117,AH117)*100+SUM(J117,AB117)+0.004,1,0)=0,"A",IF(IF(AR117*1000000+SUM(T117,AL117)*10000+SUM(N117,AF117)*100+SUM(H117,Z117)+0.006&gt;AU117*1000000+SUM(W117,AO117)*10000+SUM(Q117,AI117)*100+SUM(K117,AC117)+0.003,1,0)+IF(AS117*1000000+SUM(U117,AM117)*10000+SUM(O117,AG117)*100+SUM(I117,AA117)+0.005&gt;AU117*1000000+SUM(W117,AO117)*10000+SUM(Q117,AI117)*100+SUM(K117,AC117)+0.003,1,0)+IF(AT117*1000000+SUM(V117,AN117)*10000+SUM(P117,AH117)*100+SUM(J117,AB117)+0.004&gt;AU117*1000000+SUM(W117,AO117)*10000+SUM(Q117,AI117)*100+SUM(K117,AC117)+0.003,1,0)+IF(AV117*1000000+SUM(X117,AP117)*10000+SUM(R117,AJ117)*100+SUM(L117,AD117)+0.002&gt;AU117*1000000+SUM(W117,AO117)*10000+SUM(Q117,AI117)*100+SUM(K117,AC117)+0.003,1,0)+IF(AW117*1000000+SUM(Y117,AQ117)*10000+SUM(S117,AK117)*100+SUM(M117,AE117)+0.001&gt;AU117*1000000+SUM(W117,AO117)*10000+SUM(Q117,AI117)*100+SUM(K117,AC117)+0.003,1,0)=0,"S",IF(IF(AR117*1000000+SUM(T117,AL117)*10000+SUM(N117,AF117)*100+SUM(H117,Z117)+0.006&gt;AV117*1000000+SUM(X117,AP117)*10000+SUM(R117,AJ117)*100+SUM(L117,AD117)+0.002,1,0)+IF(AS117*1000000+SUM(U117,AM117)*10000+SUM(O117,AG117)*100+SUM(I117,AA117)+0.005&gt;AV117*1000000+SUM(X117,AP117)*10000+SUM(R117,AJ117)*100+SUM(L117,AD117)+0.002,1,0)+IF(AT117*1000000+SUM(V117,AN117)*10000+SUM(P117,AH117)*100+SUM(J117,AB117)+0.004&gt;AV117*1000000+SUM(X117,AP117)*10000+SUM(R117,AJ117)*100+SUM(L117,AD117)+0.002,1,0)+IF(AU117*1000000+SUM(W117,AO117)*10000+SUM(Q117,AI117)*100+SUM(K117,AC117)+0.003&gt;AV117*1000000+SUM(X117,AP117)*10000+SUM(R117,AJ117)*100+SUM(L117,AD117)+0.002,1,0)+IF(AW117*1000000+SUM(Y117,AQ117)*10000+SUM(S117,AK117)*100+SUM(M117,AE117)+0.001&gt;AV117*1000000+SUM(X117,AP117)*10000+SUM(R117,AJ117)*100+SUM(L117,AD117)+0.002,1,0)=0,"E",IF(IF(AR117*1000000+SUM(T117,AL117)*10000+SUM(N117,AF117)*100+SUM(H117,Z117)+0.006&gt;AW117*1000000+SUM(Y117,AQ117)*10000+SUM(S117,AK117)*100+SUM(M117,AE117)+0.001,1,0)+IF(AS117*1000000+SUM(U117,AM117)*10000+SUM(O117,AG117)*100+SUM(I117,AA117)+0.005&gt;AW117*1000000+SUM(Y117,AQ117)*10000+SUM(S117,AK117)*100+SUM(M117,AE117)+0.001,1,0)+IF(AT117*1000000+SUM(V117,AN117)*10000+SUM(P117,AH117)*100+SUM(J117,AB117)+0.004&gt;AW117*1000000+SUM(Y117,AQ117)*10000+SUM(S117,AK117)*100+SUM(M117,AE117)+0.001,1,0)+IF(AU117*1000000+SUM(W117,AO117)*10000+SUM(Q117,AI117)*100+SUM(K117,AC117)+0.003&gt;AW117*1000000+SUM(Y117,AQ117)*10000+SUM(S117,AK117)*100+SUM(M117,AE117)+0.001,1,0)+IF(AV117*1000000+SUM(X117,AP117)*10000+SUM(R117,AJ117)*100+SUM(L117,AD117)+0.002&gt;AW117*1000000+SUM(Y117,AQ117)*10000+SUM(S117,AK117)*100+SUM(M117,AE117)+0.001,1,0)=0,"C",""))))))&amp;IF(IF(AS117*1000000+SUM(U117,AM117)*10000+SUM(O117,AG117)*100+SUM(I117,AA117)+0.005&gt;AR117*1000000+SUM(T117,AL117)*10000+SUM(N117,AF117)*100+SUM(H117,Z117)+0.006,1,0)+IF(AT117*1000000+SUM(V117,AN117)*10000+SUM(P117,AH117)*100+SUM(J117,AB117)+0.004&gt;AR117*1000000+SUM(T117,AL117)*10000+SUM(N117,AF117)*100+SUM(H117,Z117)+0.006,1,0)+IF(AU117*1000000+SUM(W117,AO117)*10000+SUM(Q117,AI117)*100+SUM(K117,AC117)+0.003&gt;AR117*1000000+SUM(T117,AL117)*10000+SUM(N117,AF117)*100+SUM(H117,Z117)+0.006,1,0)+IF(AV117*1000000+SUM(X117,AP117)*10000+SUM(R117,AJ117)*100+SUM(L117,AD117)+0.002&gt;AR117*1000000+SUM(T117,AL117)*10000+SUM(N117,AF117)*100+SUM(H117,Z117)+0.006,1,0)+IF(AW117*1000000+SUM(Y117,AQ117)*10000+SUM(S117,AK117)*100+SUM(M117,AE117)+0.001&gt;AR117*1000000+SUM(T117,AL117)*10000+SUM(N117,AF117)*100+SUM(H117,Z117)+0.006,1,0)=1,"R",IF(IF(AR117*1000000+SUM(T117,AL117)*10000+SUM(N117,AF117)*100+SUM(H117,Z117)+0.006&gt;AS117*1000000+SUM(U117,AM117)*10000+SUM(O117,AG117)*100+SUM(I117,AA117)+0.005,1,0)+IF(AT117*1000000+SUM(V117,AN117)*10000+SUM(P117,AH117)*100+SUM(J117,AB117)+0.004&gt;AS117*1000000+SUM(U117,AM117)*10000+SUM(O117,AG117)*100+SUM(I117,AA117)+0.005,1,0)+IF(AU117*1000000+SUM(W117,AO117)*10000+SUM(Q117,AI117)*100+SUM(K117,AC117)+0.003&gt;AS117*1000000+SUM(U117,AM117)*10000+SUM(O117,AG117)*100+SUM(I117,AA117)+0.005,1,0)+IF(AV117*1000000+SUM(X117,AP117)*10000+SUM(R117,AJ117)*100+SUM(L117,AD117)+0.002&gt;AS117*1000000+SUM(U117,AM117)*10000+SUM(O117,AG117)*100+SUM(I117,AA117)+0.005,1,0)+IF(AW117*1000000+SUM(Y117,AQ117)*10000+SUM(S117,AK117)*100+SUM(M117,AE117)+0.001&gt;AS117*1000000+SUM(U117,AM117)*10000+SUM(O117,AG117)*100+SUM(I117,AA117)+0.005,1,0)=1,"I",IF(IF(AR117*1000000+SUM(T117,AL117)*10000+SUM(N117,AF117)*100+SUM(H117,Z117)+0.006&gt;AT117*1000000+SUM(V117,AN117)*10000+SUM(P117,AH117)*100+SUM(J117,AB117)+0.004,1,0)+IF(AS117*1000000+SUM(U117,AM117)*10000+SUM(O117,AG117)*100+SUM(I117,AA117)+0.005&gt;AT117*1000000+SUM(V117,AN117)*10000+SUM(P117,AH117)*100+SUM(J117,AB117)+0.004,1,0)+IF(AU117*1000000+SUM(W117,AO117)*10000+SUM(Q117,AI117)*100+SUM(K117,AC117)+0.003&gt;AT117*1000000+SUM(V117,AN117)*10000+SUM(P117,AH117)*100+SUM(J117,AB117)+0.004,1,0)+IF(AV117*1000000+SUM(X117,AP117)*10000+SUM(R117,AJ117)*100+SUM(L117,AD117)+0.002&gt;AT117*1000000+SUM(V117,AN117)*10000+SUM(P117,AH117)*100+SUM(J117,AB117)+0.004,1,0)+IF(AW117*1000000+SUM(Y117,AQ117)*10000+SUM(S117,AK117)*100+SUM(M117,AE117)+0.001&gt;AT117*1000000+SUM(V117,AN117)*10000+SUM(P117,AH117)*100+SUM(J117,AB117)+0.004,1,0)=1,"A",IF(IF(AR117*1000000+SUM(T117,AL117)*10000+SUM(N117,AF117)*100+SUM(H117,Z117)+0.006&gt;AU117*1000000+SUM(W117,AO117)*10000+SUM(Q117,AI117)*100+SUM(K117,AC117)+0.003,1,0)+IF(AS117*1000000+SUM(U117,AM117)*10000+SUM(O117,AG117)*100+SUM(I117,AA117)+0.005&gt;AU117*1000000+SUM(W117,AO117)*10000+SUM(Q117,AI117)*100+SUM(K117,AC117)+0.003,1,0)+IF(AT117*1000000+SUM(V117,AN117)*10000+SUM(P117,AH117)*100+SUM(J117,AB117)+0.004&gt;AU117*1000000+SUM(W117,AO117)*10000+SUM(Q117,AI117)*100+SUM(K117,AC117)+0.003,1,0)+IF(AV117*1000000+SUM(X117,AP117)*10000+SUM(R117,AJ117)*100+SUM(L117,AD117)+0.002&gt;AU117*1000000+SUM(W117,AO117)*10000+SUM(Q117,AI117)*100+SUM(K117,AC117)+0.003,1,0)+IF(AW117*1000000+SUM(Y117,AQ117)*10000+SUM(S117,AK117)*100+SUM(M117,AE117)+0.001&gt;AU117*1000000+SUM(W117,AO117)*10000+SUM(Q117,AI117)*100+SUM(K117,AC117)+0.003,1,0)=1,"S",IF(IF(AR117*1000000+SUM(T117,AL117)*10000+SUM(N117,AF117)*100+SUM(H117,Z117)+0.006&gt;AV117*1000000+SUM(X117,AP117)*10000+SUM(R117,AJ117)*100+SUM(L117,AD117)+0.002,1,0)+IF(AS117*1000000+SUM(U117,AM117)*10000+SUM(O117,AG117)*100+SUM(I117,AA117)+0.005&gt;AV117*1000000+SUM(X117,AP117)*10000+SUM(R117,AJ117)*100+SUM(L117,AD117)+0.002,1,0)+IF(AT117*1000000+SUM(V117,AN117)*10000+SUM(P117,AH117)*100+SUM(J117,AB117)+0.004&gt;AV117*1000000+SUM(X117,AP117)*10000+SUM(R117,AJ117)*100+SUM(L117,AD117)+0.002,1,0)+IF(AU117*1000000+SUM(W117,AO117)*10000+SUM(Q117,AI117)*100+SUM(K117,AC117)+0.003&gt;AV117*1000000+SUM(X117,AP117)*10000+SUM(R117,AJ117)*100+SUM(L117,AD117)+0.002,1,0)+IF(AW117*1000000+SUM(Y117,AQ117)*10000+SUM(S117,AK117)*100+SUM(M117,AE117)+0.001&gt;AV117*1000000+SUM(X117,AP117)*10000+SUM(R117,AJ117)*100+SUM(L117,AD117)+0.002,1,0)=1,"E",IF(IF(AR117*1000000+SUM(T117,AL117)*10000+SUM(N117,AF117)*100+SUM(H117,Z117)+0.006&gt;AW117*1000000+SUM(Y117,AQ117)*10000+SUM(S117,AK117)*100+SUM(M117,AE117)+0.001,1,0)+IF(AS117*1000000+SUM(U117,AM117)*10000+SUM(O117,AG117)*100+SUM(I117,AA117)+0.005&gt;AW117*1000000+SUM(Y117,AQ117)*10000+SUM(S117,AK117)*100+SUM(M117,AE117)+0.001,1,0)+IF(AT117*1000000+SUM(V117,AN117)*10000+SUM(P117,AH117)*100+SUM(J117,AB117)+0.004&gt;AW117*1000000+SUM(Y117,AQ117)*10000+SUM(S117,AK117)*100+SUM(M117,AE117)+0.001,1,0)+IF(AU117*1000000+SUM(W117,AO117)*10000+SUM(Q117,AI117)*100+SUM(K117,AC117)+0.003&gt;AW117*1000000+SUM(Y117,AQ117)*10000+SUM(S117,AK117)*100+SUM(M117,AE117)+0.001,1,0)+IF(AV117*1000000+SUM(X117,AP117)*10000+SUM(R117,AJ117)*100+SUM(L117,AD117)+0.002&gt;AW117*1000000+SUM(Y117,AQ117)*10000+SUM(S117,AK117)*100+SUM(M117,AE117)+0.001,1,0)=1,"C",""))))))&amp;IF(IF(AS117*1000000+SUM(U117,AM117)*10000+SUM(O117,AG117)*100+SUM(I117,AA117)+0.005&gt;AR117*1000000+SUM(T117,AL117)*10000+SUM(N117,AF117)*100+SUM(H117,Z117)+0.006,1,0)+IF(AT117*1000000+SUM(V117,AN117)*10000+SUM(P117,AH117)*100+SUM(J117,AB117)+0.004&gt;AR117*1000000+SUM(T117,AL117)*10000+SUM(N117,AF117)*100+SUM(H117,Z117)+0.006,1,0)+IF(AU117*1000000+SUM(W117,AO117)*10000+SUM(Q117,AI117)*100+SUM(K117,AC117)+0.003&gt;AR117*1000000+SUM(T117,AL117)*10000+SUM(N117,AF117)*100+SUM(H117,Z117)+0.006,1,0)+IF(AV117*1000000+SUM(X117,AP117)*10000+SUM(R117,AJ117)*100+SUM(L117,AD117)+0.002&gt;AR117*1000000+SUM(T117,AL117)*10000+SUM(N117,AF117)*100+SUM(H117,Z117)+0.006,1,0)+IF(AW117*1000000+SUM(Y117,AQ117)*10000+SUM(S117,AK117)*100+SUM(M117,AE117)+0.001&gt;AR117*1000000+SUM(T117,AL117)*10000+SUM(N117,AF117)*100+SUM(H117,Z117)+0.006,1,0)=2,"R",IF(IF(AR117*1000000+SUM(T117,AL117)*10000+SUM(N117,AF117)*100+SUM(H117,Z117)+0.006&gt;AS117*1000000+SUM(U117,AM117)*10000+SUM(O117,AG117)*100+SUM(I117,AA117)+0.005,1,0)+IF(AT117*1000000+SUM(V117,AN117)*10000+SUM(P117,AH117)*100+SUM(J117,AB117)+0.004&gt;AS117*1000000+SUM(U117,AM117)*10000+SUM(O117,AG117)*100+SUM(I117,AA117)+0.005,1,0)+IF(AU117*1000000+SUM(W117,AO117)*10000+SUM(Q117,AI117)*100+SUM(K117,AC117)+0.003&gt;AS117*1000000+SUM(U117,AM117)*10000+SUM(O117,AG117)*100+SUM(I117,AA117)+0.005,1,0)+IF(AV117*1000000+SUM(X117,AP117)*10000+SUM(R117,AJ117)*100+SUM(L117,AD117)+0.002&gt;AS117*1000000+SUM(U117,AM117)*10000+SUM(O117,AG117)*100+SUM(I117,AA117)+0.005,1,0)+IF(AW117*1000000+SUM(Y117,AQ117)*10000+SUM(S117,AK117)*100+SUM(M117,AE117)+0.001&gt;AS117*1000000+SUM(U117,AM117)*10000+SUM(O117,AG117)*100+SUM(I117,AA117)+0.005,1,0)=2,"I",IF(IF(AR117*1000000+SUM(T117,AL117)*10000+SUM(N117,AF117)*100+SUM(H117,Z117)+0.006&gt;AT117*1000000+SUM(V117,AN117)*10000+SUM(P117,AH117)*100+SUM(J117,AB117)+0.004,1,0)+IF(AS117*1000000+SUM(U117,AM117)*10000+SUM(O117,AG117)*100+SUM(I117,AA117)+0.005&gt;AT117*1000000+SUM(V117,AN117)*10000+SUM(P117,AH117)*100+SUM(J117,AB117)+0.004,1,0)+IF(AU117*1000000+SUM(W117,AO117)*10000+SUM(Q117,AI117)*100+SUM(K117,AC117)+0.003&gt;AT117*1000000+SUM(V117,AN117)*10000+SUM(P117,AH117)*100+SUM(J117,AB117)+0.004,1,0)+IF(AV117*1000000+SUM(X117,AP117)*10000+SUM(R117,AJ117)*100+SUM(L117,AD117)+0.002&gt;AT117*1000000+SUM(V117,AN117)*10000+SUM(P117,AH117)*100+SUM(J117,AB117)+0.004,1,0)+IF(AW117*1000000+SUM(Y117,AQ117)*10000+SUM(S117,AK117)*100+SUM(M117,AE117)+0.001&gt;AT117*1000000+SUM(V117,AN117)*10000+SUM(P117,AH117)*100+SUM(J117,AB117)+0.004,1,0)=2,"A",IF(IF(AR117*1000000+SUM(T117,AL117)*10000+SUM(N117,AF117)*100+SUM(H117,Z117)+0.006&gt;AU117*1000000+SUM(W117,AO117)*10000+SUM(Q117,AI117)*100+SUM(K117,AC117)+0.003,1,0)+IF(AS117*1000000+SUM(U117,AM117)*10000+SUM(O117,AG117)*100+SUM(I117,AA117)+0.005&gt;AU117*1000000+SUM(W117,AO117)*10000+SUM(Q117,AI117)*100+SUM(K117,AC117)+0.003,1,0)+IF(AT117*1000000+SUM(V117,AN117)*10000+SUM(P117,AH117)*100+SUM(J117,AB117)+0.004&gt;AU117*1000000+SUM(W117,AO117)*10000+SUM(Q117,AI117)*100+SUM(K117,AC117)+0.003,1,0)+IF(AV117*1000000+SUM(X117,AP117)*10000+SUM(R117,AJ117)*100+SUM(L117,AD117)+0.002&gt;AU117*1000000+SUM(W117,AO117)*10000+SUM(Q117,AI117)*100+SUM(K117,AC117)+0.003,1,0)+IF(AW117*1000000+SUM(Y117,AQ117)*10000+SUM(S117,AK117)*100+SUM(M117,AE117)+0.001&gt;AU117*1000000+SUM(W117,AO117)*10000+SUM(Q117,AI117)*100+SUM(K117,AC117)+0.003,1,0)=2,"S",IF(IF(AR117*1000000+SUM(T117,AL117)*10000+SUM(N117,AF117)*100+SUM(H117,Z117)+0.006&gt;AV117*1000000+SUM(X117,AP117)*10000+SUM(R117,AJ117)*100+SUM(L117,AD117)+0.002,1,0)+IF(AS117*1000000+SUM(U117,AM117)*10000+SUM(O117,AG117)*100+SUM(I117,AA117)+0.005&gt;AV117*1000000+SUM(X117,AP117)*10000+SUM(R117,AJ117)*100+SUM(L117,AD117)+0.002,1,0)+IF(AT117*1000000+SUM(V117,AN117)*10000+SUM(P117,AH117)*100+SUM(J117,AB117)+0.004&gt;AV117*1000000+SUM(X117,AP117)*10000+SUM(R117,AJ117)*100+SUM(L117,AD117)+0.002,1,0)+IF(AU117*1000000+SUM(W117,AO117)*10000+SUM(Q117,AI117)*100+SUM(K117,AC117)+0.003&gt;AV117*1000000+SUM(X117,AP117)*10000+SUM(R117,AJ117)*100+SUM(L117,AD117)+0.002,1,0)+IF(AW117*1000000+SUM(Y117,AQ117)*10000+SUM(S117,AK117)*100+SUM(M117,AE117)+0.001&gt;AV117*1000000+SUM(X117,AP117)*10000+SUM(R117,AJ117)*100+SUM(L117,AD117)+0.002,1,0)=2,"E",IF(IF(AR117*1000000+SUM(T117,AL117)*10000+SUM(N117,AF117)*100+SUM(H117,Z117)+0.006&gt;AW117*1000000+SUM(Y117,AQ117)*10000+SUM(S117,AK117)*100+SUM(M117,AE117)+0.001,1,0)+IF(AS117*1000000+SUM(U117,AM117)*10000+SUM(O117,AG117)*100+SUM(I117,AA117)+0.005&gt;AW117*1000000+SUM(Y117,AQ117)*10000+SUM(S117,AK117)*100+SUM(M117,AE117)+0.001,1,0)+IF(AT117*1000000+SUM(V117,AN117)*10000+SUM(P117,AH117)*100+SUM(J117,AB117)+0.004&gt;AW117*1000000+SUM(Y117,AQ117)*10000+SUM(S117,AK117)*100+SUM(M117,AE117)+0.001,1,0)+IF(AU117*1000000+SUM(W117,AO117)*10000+SUM(Q117,AI117)*100+SUM(K117,AC117)+0.003&gt;AW117*1000000+SUM(Y117,AQ117)*10000+SUM(S117,AK117)*100+SUM(M117,AE117)+0.001,1,0)+IF(AV117*1000000+SUM(X117,AP117)*10000+SUM(R117,AJ117)*100+SUM(L117,AD117)+0.002&gt;AW117*1000000+SUM(Y117,AQ117)*10000+SUM(S117,AK117)*100+SUM(M117,AE117)+0.001,1,0)=2,"C","")))))))</x:f>
      </x:c>
      <x:c r="AY117" s="27" t="str">
        <x:f>IF(C117="","",IF(LEFT(AX117,1)="R","นักปฏิบัติ",IF(LEFT(AX117,1)="I","นักคิดวิเคราะห์",IF(LEFT(AX117,1)="A","นักสร้างสรรค์",IF(LEFT(AX117,1)="S","ผู้เข้าใจผู้คน",IF(LEFT(AX117,1)="E","ผู้นำการเปลี่ยนแปลง","ผู้จัดระบบ"))))))</x:f>
      </x:c>
    </x:row>
    <x:row r="118">
      <x:c r="A118" s="27"/>
      <x:c r="B118" s="28"/>
      <x:c r="C118" s="27"/>
      <x:c r="D118" s="27"/>
      <x:c r="E118" s="27"/>
      <x:c r="F118" s="27"/>
      <x:c r="G118" s="27"/>
      <x:c r="H118" s="27"/>
      <x:c r="I118" s="27"/>
      <x:c r="J118" s="27"/>
      <x:c r="K118" s="27"/>
      <x:c r="L118" s="27"/>
      <x:c r="M118" s="27"/>
      <x:c r="N118" s="27"/>
      <x:c r="O118" s="27"/>
      <x:c r="P118" s="27"/>
      <x:c r="Q118" s="27"/>
      <x:c r="R118" s="27"/>
      <x:c r="S118" s="27"/>
      <x:c r="T118" s="27"/>
      <x:c r="U118" s="27"/>
      <x:c r="V118" s="27"/>
      <x:c r="W118" s="27"/>
      <x:c r="X118" s="27"/>
      <x:c r="Y118" s="27"/>
      <x:c r="Z118" s="27"/>
      <x:c r="AA118" s="27"/>
      <x:c r="AB118" s="27"/>
      <x:c r="AC118" s="27"/>
      <x:c r="AD118" s="27"/>
      <x:c r="AE118" s="27"/>
      <x:c r="AF118" s="27"/>
      <x:c r="AG118" s="27"/>
      <x:c r="AH118" s="27"/>
      <x:c r="AI118" s="27"/>
      <x:c r="AJ118" s="27"/>
      <x:c r="AK118" s="27"/>
      <x:c r="AL118" s="27"/>
      <x:c r="AM118" s="27"/>
      <x:c r="AN118" s="27"/>
      <x:c r="AO118" s="27"/>
      <x:c r="AP118" s="27"/>
      <x:c r="AQ118" s="27"/>
      <x:c r="AR118" s="27" t="str">
        <x:f>IF(C118="","",SUM(H118,N118,T118,Z118,AF118,AL118))</x:f>
      </x:c>
      <x:c r="AS118" s="27" t="str">
        <x:f>IF(C118="","",SUM(I118,O118,U118,AA118,AG118,AM118))</x:f>
      </x:c>
      <x:c r="AT118" s="27" t="str">
        <x:f>IF(C118="","",SUM(J118,P118,V118,AB118,AH118,AN118))</x:f>
      </x:c>
      <x:c r="AU118" s="27" t="str">
        <x:f>IF(C118="","",SUM(K118,Q118,W118,AC118,AI118,AO118))</x:f>
      </x:c>
      <x:c r="AV118" s="27" t="str">
        <x:f>IF(C118="","",SUM(L118,R118,X118,AD118,AJ118,AP118))</x:f>
      </x:c>
      <x:c r="AW118" s="27" t="str">
        <x:f>IF(C118="","",SUM(M118,S118,Y118,AE118,AK118,AQ118))</x:f>
      </x:c>
      <x:c r="AX118" s="27" t="str">
        <x:f>IF(C118="","",IF(IF(AS118*1000000+SUM(U118,AM118)*10000+SUM(O118,AG118)*100+SUM(I118,AA118)+0.005&gt;AR118*1000000+SUM(T118,AL118)*10000+SUM(N118,AF118)*100+SUM(H118,Z118)+0.006,1,0)+IF(AT118*1000000+SUM(V118,AN118)*10000+SUM(P118,AH118)*100+SUM(J118,AB118)+0.004&gt;AR118*1000000+SUM(T118,AL118)*10000+SUM(N118,AF118)*100+SUM(H118,Z118)+0.006,1,0)+IF(AU118*1000000+SUM(W118,AO118)*10000+SUM(Q118,AI118)*100+SUM(K118,AC118)+0.003&gt;AR118*1000000+SUM(T118,AL118)*10000+SUM(N118,AF118)*100+SUM(H118,Z118)+0.006,1,0)+IF(AV118*1000000+SUM(X118,AP118)*10000+SUM(R118,AJ118)*100+SUM(L118,AD118)+0.002&gt;AR118*1000000+SUM(T118,AL118)*10000+SUM(N118,AF118)*100+SUM(H118,Z118)+0.006,1,0)+IF(AW118*1000000+SUM(Y118,AQ118)*10000+SUM(S118,AK118)*100+SUM(M118,AE118)+0.001&gt;AR118*1000000+SUM(T118,AL118)*10000+SUM(N118,AF118)*100+SUM(H118,Z118)+0.006,1,0)=0,"R",IF(IF(AR118*1000000+SUM(T118,AL118)*10000+SUM(N118,AF118)*100+SUM(H118,Z118)+0.006&gt;AS118*1000000+SUM(U118,AM118)*10000+SUM(O118,AG118)*100+SUM(I118,AA118)+0.005,1,0)+IF(AT118*1000000+SUM(V118,AN118)*10000+SUM(P118,AH118)*100+SUM(J118,AB118)+0.004&gt;AS118*1000000+SUM(U118,AM118)*10000+SUM(O118,AG118)*100+SUM(I118,AA118)+0.005,1,0)+IF(AU118*1000000+SUM(W118,AO118)*10000+SUM(Q118,AI118)*100+SUM(K118,AC118)+0.003&gt;AS118*1000000+SUM(U118,AM118)*10000+SUM(O118,AG118)*100+SUM(I118,AA118)+0.005,1,0)+IF(AV118*1000000+SUM(X118,AP118)*10000+SUM(R118,AJ118)*100+SUM(L118,AD118)+0.002&gt;AS118*1000000+SUM(U118,AM118)*10000+SUM(O118,AG118)*100+SUM(I118,AA118)+0.005,1,0)+IF(AW118*1000000+SUM(Y118,AQ118)*10000+SUM(S118,AK118)*100+SUM(M118,AE118)+0.001&gt;AS118*1000000+SUM(U118,AM118)*10000+SUM(O118,AG118)*100+SUM(I118,AA118)+0.005,1,0)=0,"I",IF(IF(AR118*1000000+SUM(T118,AL118)*10000+SUM(N118,AF118)*100+SUM(H118,Z118)+0.006&gt;AT118*1000000+SUM(V118,AN118)*10000+SUM(P118,AH118)*100+SUM(J118,AB118)+0.004,1,0)+IF(AS118*1000000+SUM(U118,AM118)*10000+SUM(O118,AG118)*100+SUM(I118,AA118)+0.005&gt;AT118*1000000+SUM(V118,AN118)*10000+SUM(P118,AH118)*100+SUM(J118,AB118)+0.004,1,0)+IF(AU118*1000000+SUM(W118,AO118)*10000+SUM(Q118,AI118)*100+SUM(K118,AC118)+0.003&gt;AT118*1000000+SUM(V118,AN118)*10000+SUM(P118,AH118)*100+SUM(J118,AB118)+0.004,1,0)+IF(AV118*1000000+SUM(X118,AP118)*10000+SUM(R118,AJ118)*100+SUM(L118,AD118)+0.002&gt;AT118*1000000+SUM(V118,AN118)*10000+SUM(P118,AH118)*100+SUM(J118,AB118)+0.004,1,0)+IF(AW118*1000000+SUM(Y118,AQ118)*10000+SUM(S118,AK118)*100+SUM(M118,AE118)+0.001&gt;AT118*1000000+SUM(V118,AN118)*10000+SUM(P118,AH118)*100+SUM(J118,AB118)+0.004,1,0)=0,"A",IF(IF(AR118*1000000+SUM(T118,AL118)*10000+SUM(N118,AF118)*100+SUM(H118,Z118)+0.006&gt;AU118*1000000+SUM(W118,AO118)*10000+SUM(Q118,AI118)*100+SUM(K118,AC118)+0.003,1,0)+IF(AS118*1000000+SUM(U118,AM118)*10000+SUM(O118,AG118)*100+SUM(I118,AA118)+0.005&gt;AU118*1000000+SUM(W118,AO118)*10000+SUM(Q118,AI118)*100+SUM(K118,AC118)+0.003,1,0)+IF(AT118*1000000+SUM(V118,AN118)*10000+SUM(P118,AH118)*100+SUM(J118,AB118)+0.004&gt;AU118*1000000+SUM(W118,AO118)*10000+SUM(Q118,AI118)*100+SUM(K118,AC118)+0.003,1,0)+IF(AV118*1000000+SUM(X118,AP118)*10000+SUM(R118,AJ118)*100+SUM(L118,AD118)+0.002&gt;AU118*1000000+SUM(W118,AO118)*10000+SUM(Q118,AI118)*100+SUM(K118,AC118)+0.003,1,0)+IF(AW118*1000000+SUM(Y118,AQ118)*10000+SUM(S118,AK118)*100+SUM(M118,AE118)+0.001&gt;AU118*1000000+SUM(W118,AO118)*10000+SUM(Q118,AI118)*100+SUM(K118,AC118)+0.003,1,0)=0,"S",IF(IF(AR118*1000000+SUM(T118,AL118)*10000+SUM(N118,AF118)*100+SUM(H118,Z118)+0.006&gt;AV118*1000000+SUM(X118,AP118)*10000+SUM(R118,AJ118)*100+SUM(L118,AD118)+0.002,1,0)+IF(AS118*1000000+SUM(U118,AM118)*10000+SUM(O118,AG118)*100+SUM(I118,AA118)+0.005&gt;AV118*1000000+SUM(X118,AP118)*10000+SUM(R118,AJ118)*100+SUM(L118,AD118)+0.002,1,0)+IF(AT118*1000000+SUM(V118,AN118)*10000+SUM(P118,AH118)*100+SUM(J118,AB118)+0.004&gt;AV118*1000000+SUM(X118,AP118)*10000+SUM(R118,AJ118)*100+SUM(L118,AD118)+0.002,1,0)+IF(AU118*1000000+SUM(W118,AO118)*10000+SUM(Q118,AI118)*100+SUM(K118,AC118)+0.003&gt;AV118*1000000+SUM(X118,AP118)*10000+SUM(R118,AJ118)*100+SUM(L118,AD118)+0.002,1,0)+IF(AW118*1000000+SUM(Y118,AQ118)*10000+SUM(S118,AK118)*100+SUM(M118,AE118)+0.001&gt;AV118*1000000+SUM(X118,AP118)*10000+SUM(R118,AJ118)*100+SUM(L118,AD118)+0.002,1,0)=0,"E",IF(IF(AR118*1000000+SUM(T118,AL118)*10000+SUM(N118,AF118)*100+SUM(H118,Z118)+0.006&gt;AW118*1000000+SUM(Y118,AQ118)*10000+SUM(S118,AK118)*100+SUM(M118,AE118)+0.001,1,0)+IF(AS118*1000000+SUM(U118,AM118)*10000+SUM(O118,AG118)*100+SUM(I118,AA118)+0.005&gt;AW118*1000000+SUM(Y118,AQ118)*10000+SUM(S118,AK118)*100+SUM(M118,AE118)+0.001,1,0)+IF(AT118*1000000+SUM(V118,AN118)*10000+SUM(P118,AH118)*100+SUM(J118,AB118)+0.004&gt;AW118*1000000+SUM(Y118,AQ118)*10000+SUM(S118,AK118)*100+SUM(M118,AE118)+0.001,1,0)+IF(AU118*1000000+SUM(W118,AO118)*10000+SUM(Q118,AI118)*100+SUM(K118,AC118)+0.003&gt;AW118*1000000+SUM(Y118,AQ118)*10000+SUM(S118,AK118)*100+SUM(M118,AE118)+0.001,1,0)+IF(AV118*1000000+SUM(X118,AP118)*10000+SUM(R118,AJ118)*100+SUM(L118,AD118)+0.002&gt;AW118*1000000+SUM(Y118,AQ118)*10000+SUM(S118,AK118)*100+SUM(M118,AE118)+0.001,1,0)=0,"C",""))))))&amp;IF(IF(AS118*1000000+SUM(U118,AM118)*10000+SUM(O118,AG118)*100+SUM(I118,AA118)+0.005&gt;AR118*1000000+SUM(T118,AL118)*10000+SUM(N118,AF118)*100+SUM(H118,Z118)+0.006,1,0)+IF(AT118*1000000+SUM(V118,AN118)*10000+SUM(P118,AH118)*100+SUM(J118,AB118)+0.004&gt;AR118*1000000+SUM(T118,AL118)*10000+SUM(N118,AF118)*100+SUM(H118,Z118)+0.006,1,0)+IF(AU118*1000000+SUM(W118,AO118)*10000+SUM(Q118,AI118)*100+SUM(K118,AC118)+0.003&gt;AR118*1000000+SUM(T118,AL118)*10000+SUM(N118,AF118)*100+SUM(H118,Z118)+0.006,1,0)+IF(AV118*1000000+SUM(X118,AP118)*10000+SUM(R118,AJ118)*100+SUM(L118,AD118)+0.002&gt;AR118*1000000+SUM(T118,AL118)*10000+SUM(N118,AF118)*100+SUM(H118,Z118)+0.006,1,0)+IF(AW118*1000000+SUM(Y118,AQ118)*10000+SUM(S118,AK118)*100+SUM(M118,AE118)+0.001&gt;AR118*1000000+SUM(T118,AL118)*10000+SUM(N118,AF118)*100+SUM(H118,Z118)+0.006,1,0)=1,"R",IF(IF(AR118*1000000+SUM(T118,AL118)*10000+SUM(N118,AF118)*100+SUM(H118,Z118)+0.006&gt;AS118*1000000+SUM(U118,AM118)*10000+SUM(O118,AG118)*100+SUM(I118,AA118)+0.005,1,0)+IF(AT118*1000000+SUM(V118,AN118)*10000+SUM(P118,AH118)*100+SUM(J118,AB118)+0.004&gt;AS118*1000000+SUM(U118,AM118)*10000+SUM(O118,AG118)*100+SUM(I118,AA118)+0.005,1,0)+IF(AU118*1000000+SUM(W118,AO118)*10000+SUM(Q118,AI118)*100+SUM(K118,AC118)+0.003&gt;AS118*1000000+SUM(U118,AM118)*10000+SUM(O118,AG118)*100+SUM(I118,AA118)+0.005,1,0)+IF(AV118*1000000+SUM(X118,AP118)*10000+SUM(R118,AJ118)*100+SUM(L118,AD118)+0.002&gt;AS118*1000000+SUM(U118,AM118)*10000+SUM(O118,AG118)*100+SUM(I118,AA118)+0.005,1,0)+IF(AW118*1000000+SUM(Y118,AQ118)*10000+SUM(S118,AK118)*100+SUM(M118,AE118)+0.001&gt;AS118*1000000+SUM(U118,AM118)*10000+SUM(O118,AG118)*100+SUM(I118,AA118)+0.005,1,0)=1,"I",IF(IF(AR118*1000000+SUM(T118,AL118)*10000+SUM(N118,AF118)*100+SUM(H118,Z118)+0.006&gt;AT118*1000000+SUM(V118,AN118)*10000+SUM(P118,AH118)*100+SUM(J118,AB118)+0.004,1,0)+IF(AS118*1000000+SUM(U118,AM118)*10000+SUM(O118,AG118)*100+SUM(I118,AA118)+0.005&gt;AT118*1000000+SUM(V118,AN118)*10000+SUM(P118,AH118)*100+SUM(J118,AB118)+0.004,1,0)+IF(AU118*1000000+SUM(W118,AO118)*10000+SUM(Q118,AI118)*100+SUM(K118,AC118)+0.003&gt;AT118*1000000+SUM(V118,AN118)*10000+SUM(P118,AH118)*100+SUM(J118,AB118)+0.004,1,0)+IF(AV118*1000000+SUM(X118,AP118)*10000+SUM(R118,AJ118)*100+SUM(L118,AD118)+0.002&gt;AT118*1000000+SUM(V118,AN118)*10000+SUM(P118,AH118)*100+SUM(J118,AB118)+0.004,1,0)+IF(AW118*1000000+SUM(Y118,AQ118)*10000+SUM(S118,AK118)*100+SUM(M118,AE118)+0.001&gt;AT118*1000000+SUM(V118,AN118)*10000+SUM(P118,AH118)*100+SUM(J118,AB118)+0.004,1,0)=1,"A",IF(IF(AR118*1000000+SUM(T118,AL118)*10000+SUM(N118,AF118)*100+SUM(H118,Z118)+0.006&gt;AU118*1000000+SUM(W118,AO118)*10000+SUM(Q118,AI118)*100+SUM(K118,AC118)+0.003,1,0)+IF(AS118*1000000+SUM(U118,AM118)*10000+SUM(O118,AG118)*100+SUM(I118,AA118)+0.005&gt;AU118*1000000+SUM(W118,AO118)*10000+SUM(Q118,AI118)*100+SUM(K118,AC118)+0.003,1,0)+IF(AT118*1000000+SUM(V118,AN118)*10000+SUM(P118,AH118)*100+SUM(J118,AB118)+0.004&gt;AU118*1000000+SUM(W118,AO118)*10000+SUM(Q118,AI118)*100+SUM(K118,AC118)+0.003,1,0)+IF(AV118*1000000+SUM(X118,AP118)*10000+SUM(R118,AJ118)*100+SUM(L118,AD118)+0.002&gt;AU118*1000000+SUM(W118,AO118)*10000+SUM(Q118,AI118)*100+SUM(K118,AC118)+0.003,1,0)+IF(AW118*1000000+SUM(Y118,AQ118)*10000+SUM(S118,AK118)*100+SUM(M118,AE118)+0.001&gt;AU118*1000000+SUM(W118,AO118)*10000+SUM(Q118,AI118)*100+SUM(K118,AC118)+0.003,1,0)=1,"S",IF(IF(AR118*1000000+SUM(T118,AL118)*10000+SUM(N118,AF118)*100+SUM(H118,Z118)+0.006&gt;AV118*1000000+SUM(X118,AP118)*10000+SUM(R118,AJ118)*100+SUM(L118,AD118)+0.002,1,0)+IF(AS118*1000000+SUM(U118,AM118)*10000+SUM(O118,AG118)*100+SUM(I118,AA118)+0.005&gt;AV118*1000000+SUM(X118,AP118)*10000+SUM(R118,AJ118)*100+SUM(L118,AD118)+0.002,1,0)+IF(AT118*1000000+SUM(V118,AN118)*10000+SUM(P118,AH118)*100+SUM(J118,AB118)+0.004&gt;AV118*1000000+SUM(X118,AP118)*10000+SUM(R118,AJ118)*100+SUM(L118,AD118)+0.002,1,0)+IF(AU118*1000000+SUM(W118,AO118)*10000+SUM(Q118,AI118)*100+SUM(K118,AC118)+0.003&gt;AV118*1000000+SUM(X118,AP118)*10000+SUM(R118,AJ118)*100+SUM(L118,AD118)+0.002,1,0)+IF(AW118*1000000+SUM(Y118,AQ118)*10000+SUM(S118,AK118)*100+SUM(M118,AE118)+0.001&gt;AV118*1000000+SUM(X118,AP118)*10000+SUM(R118,AJ118)*100+SUM(L118,AD118)+0.002,1,0)=1,"E",IF(IF(AR118*1000000+SUM(T118,AL118)*10000+SUM(N118,AF118)*100+SUM(H118,Z118)+0.006&gt;AW118*1000000+SUM(Y118,AQ118)*10000+SUM(S118,AK118)*100+SUM(M118,AE118)+0.001,1,0)+IF(AS118*1000000+SUM(U118,AM118)*10000+SUM(O118,AG118)*100+SUM(I118,AA118)+0.005&gt;AW118*1000000+SUM(Y118,AQ118)*10000+SUM(S118,AK118)*100+SUM(M118,AE118)+0.001,1,0)+IF(AT118*1000000+SUM(V118,AN118)*10000+SUM(P118,AH118)*100+SUM(J118,AB118)+0.004&gt;AW118*1000000+SUM(Y118,AQ118)*10000+SUM(S118,AK118)*100+SUM(M118,AE118)+0.001,1,0)+IF(AU118*1000000+SUM(W118,AO118)*10000+SUM(Q118,AI118)*100+SUM(K118,AC118)+0.003&gt;AW118*1000000+SUM(Y118,AQ118)*10000+SUM(S118,AK118)*100+SUM(M118,AE118)+0.001,1,0)+IF(AV118*1000000+SUM(X118,AP118)*10000+SUM(R118,AJ118)*100+SUM(L118,AD118)+0.002&gt;AW118*1000000+SUM(Y118,AQ118)*10000+SUM(S118,AK118)*100+SUM(M118,AE118)+0.001,1,0)=1,"C",""))))))&amp;IF(IF(AS118*1000000+SUM(U118,AM118)*10000+SUM(O118,AG118)*100+SUM(I118,AA118)+0.005&gt;AR118*1000000+SUM(T118,AL118)*10000+SUM(N118,AF118)*100+SUM(H118,Z118)+0.006,1,0)+IF(AT118*1000000+SUM(V118,AN118)*10000+SUM(P118,AH118)*100+SUM(J118,AB118)+0.004&gt;AR118*1000000+SUM(T118,AL118)*10000+SUM(N118,AF118)*100+SUM(H118,Z118)+0.006,1,0)+IF(AU118*1000000+SUM(W118,AO118)*10000+SUM(Q118,AI118)*100+SUM(K118,AC118)+0.003&gt;AR118*1000000+SUM(T118,AL118)*10000+SUM(N118,AF118)*100+SUM(H118,Z118)+0.006,1,0)+IF(AV118*1000000+SUM(X118,AP118)*10000+SUM(R118,AJ118)*100+SUM(L118,AD118)+0.002&gt;AR118*1000000+SUM(T118,AL118)*10000+SUM(N118,AF118)*100+SUM(H118,Z118)+0.006,1,0)+IF(AW118*1000000+SUM(Y118,AQ118)*10000+SUM(S118,AK118)*100+SUM(M118,AE118)+0.001&gt;AR118*1000000+SUM(T118,AL118)*10000+SUM(N118,AF118)*100+SUM(H118,Z118)+0.006,1,0)=2,"R",IF(IF(AR118*1000000+SUM(T118,AL118)*10000+SUM(N118,AF118)*100+SUM(H118,Z118)+0.006&gt;AS118*1000000+SUM(U118,AM118)*10000+SUM(O118,AG118)*100+SUM(I118,AA118)+0.005,1,0)+IF(AT118*1000000+SUM(V118,AN118)*10000+SUM(P118,AH118)*100+SUM(J118,AB118)+0.004&gt;AS118*1000000+SUM(U118,AM118)*10000+SUM(O118,AG118)*100+SUM(I118,AA118)+0.005,1,0)+IF(AU118*1000000+SUM(W118,AO118)*10000+SUM(Q118,AI118)*100+SUM(K118,AC118)+0.003&gt;AS118*1000000+SUM(U118,AM118)*10000+SUM(O118,AG118)*100+SUM(I118,AA118)+0.005,1,0)+IF(AV118*1000000+SUM(X118,AP118)*10000+SUM(R118,AJ118)*100+SUM(L118,AD118)+0.002&gt;AS118*1000000+SUM(U118,AM118)*10000+SUM(O118,AG118)*100+SUM(I118,AA118)+0.005,1,0)+IF(AW118*1000000+SUM(Y118,AQ118)*10000+SUM(S118,AK118)*100+SUM(M118,AE118)+0.001&gt;AS118*1000000+SUM(U118,AM118)*10000+SUM(O118,AG118)*100+SUM(I118,AA118)+0.005,1,0)=2,"I",IF(IF(AR118*1000000+SUM(T118,AL118)*10000+SUM(N118,AF118)*100+SUM(H118,Z118)+0.006&gt;AT118*1000000+SUM(V118,AN118)*10000+SUM(P118,AH118)*100+SUM(J118,AB118)+0.004,1,0)+IF(AS118*1000000+SUM(U118,AM118)*10000+SUM(O118,AG118)*100+SUM(I118,AA118)+0.005&gt;AT118*1000000+SUM(V118,AN118)*10000+SUM(P118,AH118)*100+SUM(J118,AB118)+0.004,1,0)+IF(AU118*1000000+SUM(W118,AO118)*10000+SUM(Q118,AI118)*100+SUM(K118,AC118)+0.003&gt;AT118*1000000+SUM(V118,AN118)*10000+SUM(P118,AH118)*100+SUM(J118,AB118)+0.004,1,0)+IF(AV118*1000000+SUM(X118,AP118)*10000+SUM(R118,AJ118)*100+SUM(L118,AD118)+0.002&gt;AT118*1000000+SUM(V118,AN118)*10000+SUM(P118,AH118)*100+SUM(J118,AB118)+0.004,1,0)+IF(AW118*1000000+SUM(Y118,AQ118)*10000+SUM(S118,AK118)*100+SUM(M118,AE118)+0.001&gt;AT118*1000000+SUM(V118,AN118)*10000+SUM(P118,AH118)*100+SUM(J118,AB118)+0.004,1,0)=2,"A",IF(IF(AR118*1000000+SUM(T118,AL118)*10000+SUM(N118,AF118)*100+SUM(H118,Z118)+0.006&gt;AU118*1000000+SUM(W118,AO118)*10000+SUM(Q118,AI118)*100+SUM(K118,AC118)+0.003,1,0)+IF(AS118*1000000+SUM(U118,AM118)*10000+SUM(O118,AG118)*100+SUM(I118,AA118)+0.005&gt;AU118*1000000+SUM(W118,AO118)*10000+SUM(Q118,AI118)*100+SUM(K118,AC118)+0.003,1,0)+IF(AT118*1000000+SUM(V118,AN118)*10000+SUM(P118,AH118)*100+SUM(J118,AB118)+0.004&gt;AU118*1000000+SUM(W118,AO118)*10000+SUM(Q118,AI118)*100+SUM(K118,AC118)+0.003,1,0)+IF(AV118*1000000+SUM(X118,AP118)*10000+SUM(R118,AJ118)*100+SUM(L118,AD118)+0.002&gt;AU118*1000000+SUM(W118,AO118)*10000+SUM(Q118,AI118)*100+SUM(K118,AC118)+0.003,1,0)+IF(AW118*1000000+SUM(Y118,AQ118)*10000+SUM(S118,AK118)*100+SUM(M118,AE118)+0.001&gt;AU118*1000000+SUM(W118,AO118)*10000+SUM(Q118,AI118)*100+SUM(K118,AC118)+0.003,1,0)=2,"S",IF(IF(AR118*1000000+SUM(T118,AL118)*10000+SUM(N118,AF118)*100+SUM(H118,Z118)+0.006&gt;AV118*1000000+SUM(X118,AP118)*10000+SUM(R118,AJ118)*100+SUM(L118,AD118)+0.002,1,0)+IF(AS118*1000000+SUM(U118,AM118)*10000+SUM(O118,AG118)*100+SUM(I118,AA118)+0.005&gt;AV118*1000000+SUM(X118,AP118)*10000+SUM(R118,AJ118)*100+SUM(L118,AD118)+0.002,1,0)+IF(AT118*1000000+SUM(V118,AN118)*10000+SUM(P118,AH118)*100+SUM(J118,AB118)+0.004&gt;AV118*1000000+SUM(X118,AP118)*10000+SUM(R118,AJ118)*100+SUM(L118,AD118)+0.002,1,0)+IF(AU118*1000000+SUM(W118,AO118)*10000+SUM(Q118,AI118)*100+SUM(K118,AC118)+0.003&gt;AV118*1000000+SUM(X118,AP118)*10000+SUM(R118,AJ118)*100+SUM(L118,AD118)+0.002,1,0)+IF(AW118*1000000+SUM(Y118,AQ118)*10000+SUM(S118,AK118)*100+SUM(M118,AE118)+0.001&gt;AV118*1000000+SUM(X118,AP118)*10000+SUM(R118,AJ118)*100+SUM(L118,AD118)+0.002,1,0)=2,"E",IF(IF(AR118*1000000+SUM(T118,AL118)*10000+SUM(N118,AF118)*100+SUM(H118,Z118)+0.006&gt;AW118*1000000+SUM(Y118,AQ118)*10000+SUM(S118,AK118)*100+SUM(M118,AE118)+0.001,1,0)+IF(AS118*1000000+SUM(U118,AM118)*10000+SUM(O118,AG118)*100+SUM(I118,AA118)+0.005&gt;AW118*1000000+SUM(Y118,AQ118)*10000+SUM(S118,AK118)*100+SUM(M118,AE118)+0.001,1,0)+IF(AT118*1000000+SUM(V118,AN118)*10000+SUM(P118,AH118)*100+SUM(J118,AB118)+0.004&gt;AW118*1000000+SUM(Y118,AQ118)*10000+SUM(S118,AK118)*100+SUM(M118,AE118)+0.001,1,0)+IF(AU118*1000000+SUM(W118,AO118)*10000+SUM(Q118,AI118)*100+SUM(K118,AC118)+0.003&gt;AW118*1000000+SUM(Y118,AQ118)*10000+SUM(S118,AK118)*100+SUM(M118,AE118)+0.001,1,0)+IF(AV118*1000000+SUM(X118,AP118)*10000+SUM(R118,AJ118)*100+SUM(L118,AD118)+0.002&gt;AW118*1000000+SUM(Y118,AQ118)*10000+SUM(S118,AK118)*100+SUM(M118,AE118)+0.001,1,0)=2,"C","")))))))</x:f>
      </x:c>
      <x:c r="AY118" s="27" t="str">
        <x:f>IF(C118="","",IF(LEFT(AX118,1)="R","นักปฏิบัติ",IF(LEFT(AX118,1)="I","นักคิดวิเคราะห์",IF(LEFT(AX118,1)="A","นักสร้างสรรค์",IF(LEFT(AX118,1)="S","ผู้เข้าใจผู้คน",IF(LEFT(AX118,1)="E","ผู้นำการเปลี่ยนแปลง","ผู้จัดระบบ"))))))</x:f>
      </x:c>
    </x:row>
    <x:row r="119">
      <x:c r="A119" s="27"/>
      <x:c r="B119" s="28"/>
      <x:c r="C119" s="27"/>
      <x:c r="D119" s="27"/>
      <x:c r="E119" s="27"/>
      <x:c r="F119" s="27"/>
      <x:c r="G119" s="27"/>
      <x:c r="H119" s="27"/>
      <x:c r="I119" s="27"/>
      <x:c r="J119" s="27"/>
      <x:c r="K119" s="27"/>
      <x:c r="L119" s="27"/>
      <x:c r="M119" s="27"/>
      <x:c r="N119" s="27"/>
      <x:c r="O119" s="27"/>
      <x:c r="P119" s="27"/>
      <x:c r="Q119" s="27"/>
      <x:c r="R119" s="27"/>
      <x:c r="S119" s="27"/>
      <x:c r="T119" s="27"/>
      <x:c r="U119" s="27"/>
      <x:c r="V119" s="27"/>
      <x:c r="W119" s="27"/>
      <x:c r="X119" s="27"/>
      <x:c r="Y119" s="27"/>
      <x:c r="Z119" s="27"/>
      <x:c r="AA119" s="27"/>
      <x:c r="AB119" s="27"/>
      <x:c r="AC119" s="27"/>
      <x:c r="AD119" s="27"/>
      <x:c r="AE119" s="27"/>
      <x:c r="AF119" s="27"/>
      <x:c r="AG119" s="27"/>
      <x:c r="AH119" s="27"/>
      <x:c r="AI119" s="27"/>
      <x:c r="AJ119" s="27"/>
      <x:c r="AK119" s="27"/>
      <x:c r="AL119" s="27"/>
      <x:c r="AM119" s="27"/>
      <x:c r="AN119" s="27"/>
      <x:c r="AO119" s="27"/>
      <x:c r="AP119" s="27"/>
      <x:c r="AQ119" s="27"/>
      <x:c r="AR119" s="27" t="str">
        <x:f>IF(C119="","",SUM(H119,N119,T119,Z119,AF119,AL119))</x:f>
      </x:c>
      <x:c r="AS119" s="27" t="str">
        <x:f>IF(C119="","",SUM(I119,O119,U119,AA119,AG119,AM119))</x:f>
      </x:c>
      <x:c r="AT119" s="27" t="str">
        <x:f>IF(C119="","",SUM(J119,P119,V119,AB119,AH119,AN119))</x:f>
      </x:c>
      <x:c r="AU119" s="27" t="str">
        <x:f>IF(C119="","",SUM(K119,Q119,W119,AC119,AI119,AO119))</x:f>
      </x:c>
      <x:c r="AV119" s="27" t="str">
        <x:f>IF(C119="","",SUM(L119,R119,X119,AD119,AJ119,AP119))</x:f>
      </x:c>
      <x:c r="AW119" s="27" t="str">
        <x:f>IF(C119="","",SUM(M119,S119,Y119,AE119,AK119,AQ119))</x:f>
      </x:c>
      <x:c r="AX119" s="27" t="str">
        <x:f>IF(C119="","",IF(IF(AS119*1000000+SUM(U119,AM119)*10000+SUM(O119,AG119)*100+SUM(I119,AA119)+0.005&gt;AR119*1000000+SUM(T119,AL119)*10000+SUM(N119,AF119)*100+SUM(H119,Z119)+0.006,1,0)+IF(AT119*1000000+SUM(V119,AN119)*10000+SUM(P119,AH119)*100+SUM(J119,AB119)+0.004&gt;AR119*1000000+SUM(T119,AL119)*10000+SUM(N119,AF119)*100+SUM(H119,Z119)+0.006,1,0)+IF(AU119*1000000+SUM(W119,AO119)*10000+SUM(Q119,AI119)*100+SUM(K119,AC119)+0.003&gt;AR119*1000000+SUM(T119,AL119)*10000+SUM(N119,AF119)*100+SUM(H119,Z119)+0.006,1,0)+IF(AV119*1000000+SUM(X119,AP119)*10000+SUM(R119,AJ119)*100+SUM(L119,AD119)+0.002&gt;AR119*1000000+SUM(T119,AL119)*10000+SUM(N119,AF119)*100+SUM(H119,Z119)+0.006,1,0)+IF(AW119*1000000+SUM(Y119,AQ119)*10000+SUM(S119,AK119)*100+SUM(M119,AE119)+0.001&gt;AR119*1000000+SUM(T119,AL119)*10000+SUM(N119,AF119)*100+SUM(H119,Z119)+0.006,1,0)=0,"R",IF(IF(AR119*1000000+SUM(T119,AL119)*10000+SUM(N119,AF119)*100+SUM(H119,Z119)+0.006&gt;AS119*1000000+SUM(U119,AM119)*10000+SUM(O119,AG119)*100+SUM(I119,AA119)+0.005,1,0)+IF(AT119*1000000+SUM(V119,AN119)*10000+SUM(P119,AH119)*100+SUM(J119,AB119)+0.004&gt;AS119*1000000+SUM(U119,AM119)*10000+SUM(O119,AG119)*100+SUM(I119,AA119)+0.005,1,0)+IF(AU119*1000000+SUM(W119,AO119)*10000+SUM(Q119,AI119)*100+SUM(K119,AC119)+0.003&gt;AS119*1000000+SUM(U119,AM119)*10000+SUM(O119,AG119)*100+SUM(I119,AA119)+0.005,1,0)+IF(AV119*1000000+SUM(X119,AP119)*10000+SUM(R119,AJ119)*100+SUM(L119,AD119)+0.002&gt;AS119*1000000+SUM(U119,AM119)*10000+SUM(O119,AG119)*100+SUM(I119,AA119)+0.005,1,0)+IF(AW119*1000000+SUM(Y119,AQ119)*10000+SUM(S119,AK119)*100+SUM(M119,AE119)+0.001&gt;AS119*1000000+SUM(U119,AM119)*10000+SUM(O119,AG119)*100+SUM(I119,AA119)+0.005,1,0)=0,"I",IF(IF(AR119*1000000+SUM(T119,AL119)*10000+SUM(N119,AF119)*100+SUM(H119,Z119)+0.006&gt;AT119*1000000+SUM(V119,AN119)*10000+SUM(P119,AH119)*100+SUM(J119,AB119)+0.004,1,0)+IF(AS119*1000000+SUM(U119,AM119)*10000+SUM(O119,AG119)*100+SUM(I119,AA119)+0.005&gt;AT119*1000000+SUM(V119,AN119)*10000+SUM(P119,AH119)*100+SUM(J119,AB119)+0.004,1,0)+IF(AU119*1000000+SUM(W119,AO119)*10000+SUM(Q119,AI119)*100+SUM(K119,AC119)+0.003&gt;AT119*1000000+SUM(V119,AN119)*10000+SUM(P119,AH119)*100+SUM(J119,AB119)+0.004,1,0)+IF(AV119*1000000+SUM(X119,AP119)*10000+SUM(R119,AJ119)*100+SUM(L119,AD119)+0.002&gt;AT119*1000000+SUM(V119,AN119)*10000+SUM(P119,AH119)*100+SUM(J119,AB119)+0.004,1,0)+IF(AW119*1000000+SUM(Y119,AQ119)*10000+SUM(S119,AK119)*100+SUM(M119,AE119)+0.001&gt;AT119*1000000+SUM(V119,AN119)*10000+SUM(P119,AH119)*100+SUM(J119,AB119)+0.004,1,0)=0,"A",IF(IF(AR119*1000000+SUM(T119,AL119)*10000+SUM(N119,AF119)*100+SUM(H119,Z119)+0.006&gt;AU119*1000000+SUM(W119,AO119)*10000+SUM(Q119,AI119)*100+SUM(K119,AC119)+0.003,1,0)+IF(AS119*1000000+SUM(U119,AM119)*10000+SUM(O119,AG119)*100+SUM(I119,AA119)+0.005&gt;AU119*1000000+SUM(W119,AO119)*10000+SUM(Q119,AI119)*100+SUM(K119,AC119)+0.003,1,0)+IF(AT119*1000000+SUM(V119,AN119)*10000+SUM(P119,AH119)*100+SUM(J119,AB119)+0.004&gt;AU119*1000000+SUM(W119,AO119)*10000+SUM(Q119,AI119)*100+SUM(K119,AC119)+0.003,1,0)+IF(AV119*1000000+SUM(X119,AP119)*10000+SUM(R119,AJ119)*100+SUM(L119,AD119)+0.002&gt;AU119*1000000+SUM(W119,AO119)*10000+SUM(Q119,AI119)*100+SUM(K119,AC119)+0.003,1,0)+IF(AW119*1000000+SUM(Y119,AQ119)*10000+SUM(S119,AK119)*100+SUM(M119,AE119)+0.001&gt;AU119*1000000+SUM(W119,AO119)*10000+SUM(Q119,AI119)*100+SUM(K119,AC119)+0.003,1,0)=0,"S",IF(IF(AR119*1000000+SUM(T119,AL119)*10000+SUM(N119,AF119)*100+SUM(H119,Z119)+0.006&gt;AV119*1000000+SUM(X119,AP119)*10000+SUM(R119,AJ119)*100+SUM(L119,AD119)+0.002,1,0)+IF(AS119*1000000+SUM(U119,AM119)*10000+SUM(O119,AG119)*100+SUM(I119,AA119)+0.005&gt;AV119*1000000+SUM(X119,AP119)*10000+SUM(R119,AJ119)*100+SUM(L119,AD119)+0.002,1,0)+IF(AT119*1000000+SUM(V119,AN119)*10000+SUM(P119,AH119)*100+SUM(J119,AB119)+0.004&gt;AV119*1000000+SUM(X119,AP119)*10000+SUM(R119,AJ119)*100+SUM(L119,AD119)+0.002,1,0)+IF(AU119*1000000+SUM(W119,AO119)*10000+SUM(Q119,AI119)*100+SUM(K119,AC119)+0.003&gt;AV119*1000000+SUM(X119,AP119)*10000+SUM(R119,AJ119)*100+SUM(L119,AD119)+0.002,1,0)+IF(AW119*1000000+SUM(Y119,AQ119)*10000+SUM(S119,AK119)*100+SUM(M119,AE119)+0.001&gt;AV119*1000000+SUM(X119,AP119)*10000+SUM(R119,AJ119)*100+SUM(L119,AD119)+0.002,1,0)=0,"E",IF(IF(AR119*1000000+SUM(T119,AL119)*10000+SUM(N119,AF119)*100+SUM(H119,Z119)+0.006&gt;AW119*1000000+SUM(Y119,AQ119)*10000+SUM(S119,AK119)*100+SUM(M119,AE119)+0.001,1,0)+IF(AS119*1000000+SUM(U119,AM119)*10000+SUM(O119,AG119)*100+SUM(I119,AA119)+0.005&gt;AW119*1000000+SUM(Y119,AQ119)*10000+SUM(S119,AK119)*100+SUM(M119,AE119)+0.001,1,0)+IF(AT119*1000000+SUM(V119,AN119)*10000+SUM(P119,AH119)*100+SUM(J119,AB119)+0.004&gt;AW119*1000000+SUM(Y119,AQ119)*10000+SUM(S119,AK119)*100+SUM(M119,AE119)+0.001,1,0)+IF(AU119*1000000+SUM(W119,AO119)*10000+SUM(Q119,AI119)*100+SUM(K119,AC119)+0.003&gt;AW119*1000000+SUM(Y119,AQ119)*10000+SUM(S119,AK119)*100+SUM(M119,AE119)+0.001,1,0)+IF(AV119*1000000+SUM(X119,AP119)*10000+SUM(R119,AJ119)*100+SUM(L119,AD119)+0.002&gt;AW119*1000000+SUM(Y119,AQ119)*10000+SUM(S119,AK119)*100+SUM(M119,AE119)+0.001,1,0)=0,"C",""))))))&amp;IF(IF(AS119*1000000+SUM(U119,AM119)*10000+SUM(O119,AG119)*100+SUM(I119,AA119)+0.005&gt;AR119*1000000+SUM(T119,AL119)*10000+SUM(N119,AF119)*100+SUM(H119,Z119)+0.006,1,0)+IF(AT119*1000000+SUM(V119,AN119)*10000+SUM(P119,AH119)*100+SUM(J119,AB119)+0.004&gt;AR119*1000000+SUM(T119,AL119)*10000+SUM(N119,AF119)*100+SUM(H119,Z119)+0.006,1,0)+IF(AU119*1000000+SUM(W119,AO119)*10000+SUM(Q119,AI119)*100+SUM(K119,AC119)+0.003&gt;AR119*1000000+SUM(T119,AL119)*10000+SUM(N119,AF119)*100+SUM(H119,Z119)+0.006,1,0)+IF(AV119*1000000+SUM(X119,AP119)*10000+SUM(R119,AJ119)*100+SUM(L119,AD119)+0.002&gt;AR119*1000000+SUM(T119,AL119)*10000+SUM(N119,AF119)*100+SUM(H119,Z119)+0.006,1,0)+IF(AW119*1000000+SUM(Y119,AQ119)*10000+SUM(S119,AK119)*100+SUM(M119,AE119)+0.001&gt;AR119*1000000+SUM(T119,AL119)*10000+SUM(N119,AF119)*100+SUM(H119,Z119)+0.006,1,0)=1,"R",IF(IF(AR119*1000000+SUM(T119,AL119)*10000+SUM(N119,AF119)*100+SUM(H119,Z119)+0.006&gt;AS119*1000000+SUM(U119,AM119)*10000+SUM(O119,AG119)*100+SUM(I119,AA119)+0.005,1,0)+IF(AT119*1000000+SUM(V119,AN119)*10000+SUM(P119,AH119)*100+SUM(J119,AB119)+0.004&gt;AS119*1000000+SUM(U119,AM119)*10000+SUM(O119,AG119)*100+SUM(I119,AA119)+0.005,1,0)+IF(AU119*1000000+SUM(W119,AO119)*10000+SUM(Q119,AI119)*100+SUM(K119,AC119)+0.003&gt;AS119*1000000+SUM(U119,AM119)*10000+SUM(O119,AG119)*100+SUM(I119,AA119)+0.005,1,0)+IF(AV119*1000000+SUM(X119,AP119)*10000+SUM(R119,AJ119)*100+SUM(L119,AD119)+0.002&gt;AS119*1000000+SUM(U119,AM119)*10000+SUM(O119,AG119)*100+SUM(I119,AA119)+0.005,1,0)+IF(AW119*1000000+SUM(Y119,AQ119)*10000+SUM(S119,AK119)*100+SUM(M119,AE119)+0.001&gt;AS119*1000000+SUM(U119,AM119)*10000+SUM(O119,AG119)*100+SUM(I119,AA119)+0.005,1,0)=1,"I",IF(IF(AR119*1000000+SUM(T119,AL119)*10000+SUM(N119,AF119)*100+SUM(H119,Z119)+0.006&gt;AT119*1000000+SUM(V119,AN119)*10000+SUM(P119,AH119)*100+SUM(J119,AB119)+0.004,1,0)+IF(AS119*1000000+SUM(U119,AM119)*10000+SUM(O119,AG119)*100+SUM(I119,AA119)+0.005&gt;AT119*1000000+SUM(V119,AN119)*10000+SUM(P119,AH119)*100+SUM(J119,AB119)+0.004,1,0)+IF(AU119*1000000+SUM(W119,AO119)*10000+SUM(Q119,AI119)*100+SUM(K119,AC119)+0.003&gt;AT119*1000000+SUM(V119,AN119)*10000+SUM(P119,AH119)*100+SUM(J119,AB119)+0.004,1,0)+IF(AV119*1000000+SUM(X119,AP119)*10000+SUM(R119,AJ119)*100+SUM(L119,AD119)+0.002&gt;AT119*1000000+SUM(V119,AN119)*10000+SUM(P119,AH119)*100+SUM(J119,AB119)+0.004,1,0)+IF(AW119*1000000+SUM(Y119,AQ119)*10000+SUM(S119,AK119)*100+SUM(M119,AE119)+0.001&gt;AT119*1000000+SUM(V119,AN119)*10000+SUM(P119,AH119)*100+SUM(J119,AB119)+0.004,1,0)=1,"A",IF(IF(AR119*1000000+SUM(T119,AL119)*10000+SUM(N119,AF119)*100+SUM(H119,Z119)+0.006&gt;AU119*1000000+SUM(W119,AO119)*10000+SUM(Q119,AI119)*100+SUM(K119,AC119)+0.003,1,0)+IF(AS119*1000000+SUM(U119,AM119)*10000+SUM(O119,AG119)*100+SUM(I119,AA119)+0.005&gt;AU119*1000000+SUM(W119,AO119)*10000+SUM(Q119,AI119)*100+SUM(K119,AC119)+0.003,1,0)+IF(AT119*1000000+SUM(V119,AN119)*10000+SUM(P119,AH119)*100+SUM(J119,AB119)+0.004&gt;AU119*1000000+SUM(W119,AO119)*10000+SUM(Q119,AI119)*100+SUM(K119,AC119)+0.003,1,0)+IF(AV119*1000000+SUM(X119,AP119)*10000+SUM(R119,AJ119)*100+SUM(L119,AD119)+0.002&gt;AU119*1000000+SUM(W119,AO119)*10000+SUM(Q119,AI119)*100+SUM(K119,AC119)+0.003,1,0)+IF(AW119*1000000+SUM(Y119,AQ119)*10000+SUM(S119,AK119)*100+SUM(M119,AE119)+0.001&gt;AU119*1000000+SUM(W119,AO119)*10000+SUM(Q119,AI119)*100+SUM(K119,AC119)+0.003,1,0)=1,"S",IF(IF(AR119*1000000+SUM(T119,AL119)*10000+SUM(N119,AF119)*100+SUM(H119,Z119)+0.006&gt;AV119*1000000+SUM(X119,AP119)*10000+SUM(R119,AJ119)*100+SUM(L119,AD119)+0.002,1,0)+IF(AS119*1000000+SUM(U119,AM119)*10000+SUM(O119,AG119)*100+SUM(I119,AA119)+0.005&gt;AV119*1000000+SUM(X119,AP119)*10000+SUM(R119,AJ119)*100+SUM(L119,AD119)+0.002,1,0)+IF(AT119*1000000+SUM(V119,AN119)*10000+SUM(P119,AH119)*100+SUM(J119,AB119)+0.004&gt;AV119*1000000+SUM(X119,AP119)*10000+SUM(R119,AJ119)*100+SUM(L119,AD119)+0.002,1,0)+IF(AU119*1000000+SUM(W119,AO119)*10000+SUM(Q119,AI119)*100+SUM(K119,AC119)+0.003&gt;AV119*1000000+SUM(X119,AP119)*10000+SUM(R119,AJ119)*100+SUM(L119,AD119)+0.002,1,0)+IF(AW119*1000000+SUM(Y119,AQ119)*10000+SUM(S119,AK119)*100+SUM(M119,AE119)+0.001&gt;AV119*1000000+SUM(X119,AP119)*10000+SUM(R119,AJ119)*100+SUM(L119,AD119)+0.002,1,0)=1,"E",IF(IF(AR119*1000000+SUM(T119,AL119)*10000+SUM(N119,AF119)*100+SUM(H119,Z119)+0.006&gt;AW119*1000000+SUM(Y119,AQ119)*10000+SUM(S119,AK119)*100+SUM(M119,AE119)+0.001,1,0)+IF(AS119*1000000+SUM(U119,AM119)*10000+SUM(O119,AG119)*100+SUM(I119,AA119)+0.005&gt;AW119*1000000+SUM(Y119,AQ119)*10000+SUM(S119,AK119)*100+SUM(M119,AE119)+0.001,1,0)+IF(AT119*1000000+SUM(V119,AN119)*10000+SUM(P119,AH119)*100+SUM(J119,AB119)+0.004&gt;AW119*1000000+SUM(Y119,AQ119)*10000+SUM(S119,AK119)*100+SUM(M119,AE119)+0.001,1,0)+IF(AU119*1000000+SUM(W119,AO119)*10000+SUM(Q119,AI119)*100+SUM(K119,AC119)+0.003&gt;AW119*1000000+SUM(Y119,AQ119)*10000+SUM(S119,AK119)*100+SUM(M119,AE119)+0.001,1,0)+IF(AV119*1000000+SUM(X119,AP119)*10000+SUM(R119,AJ119)*100+SUM(L119,AD119)+0.002&gt;AW119*1000000+SUM(Y119,AQ119)*10000+SUM(S119,AK119)*100+SUM(M119,AE119)+0.001,1,0)=1,"C",""))))))&amp;IF(IF(AS119*1000000+SUM(U119,AM119)*10000+SUM(O119,AG119)*100+SUM(I119,AA119)+0.005&gt;AR119*1000000+SUM(T119,AL119)*10000+SUM(N119,AF119)*100+SUM(H119,Z119)+0.006,1,0)+IF(AT119*1000000+SUM(V119,AN119)*10000+SUM(P119,AH119)*100+SUM(J119,AB119)+0.004&gt;AR119*1000000+SUM(T119,AL119)*10000+SUM(N119,AF119)*100+SUM(H119,Z119)+0.006,1,0)+IF(AU119*1000000+SUM(W119,AO119)*10000+SUM(Q119,AI119)*100+SUM(K119,AC119)+0.003&gt;AR119*1000000+SUM(T119,AL119)*10000+SUM(N119,AF119)*100+SUM(H119,Z119)+0.006,1,0)+IF(AV119*1000000+SUM(X119,AP119)*10000+SUM(R119,AJ119)*100+SUM(L119,AD119)+0.002&gt;AR119*1000000+SUM(T119,AL119)*10000+SUM(N119,AF119)*100+SUM(H119,Z119)+0.006,1,0)+IF(AW119*1000000+SUM(Y119,AQ119)*10000+SUM(S119,AK119)*100+SUM(M119,AE119)+0.001&gt;AR119*1000000+SUM(T119,AL119)*10000+SUM(N119,AF119)*100+SUM(H119,Z119)+0.006,1,0)=2,"R",IF(IF(AR119*1000000+SUM(T119,AL119)*10000+SUM(N119,AF119)*100+SUM(H119,Z119)+0.006&gt;AS119*1000000+SUM(U119,AM119)*10000+SUM(O119,AG119)*100+SUM(I119,AA119)+0.005,1,0)+IF(AT119*1000000+SUM(V119,AN119)*10000+SUM(P119,AH119)*100+SUM(J119,AB119)+0.004&gt;AS119*1000000+SUM(U119,AM119)*10000+SUM(O119,AG119)*100+SUM(I119,AA119)+0.005,1,0)+IF(AU119*1000000+SUM(W119,AO119)*10000+SUM(Q119,AI119)*100+SUM(K119,AC119)+0.003&gt;AS119*1000000+SUM(U119,AM119)*10000+SUM(O119,AG119)*100+SUM(I119,AA119)+0.005,1,0)+IF(AV119*1000000+SUM(X119,AP119)*10000+SUM(R119,AJ119)*100+SUM(L119,AD119)+0.002&gt;AS119*1000000+SUM(U119,AM119)*10000+SUM(O119,AG119)*100+SUM(I119,AA119)+0.005,1,0)+IF(AW119*1000000+SUM(Y119,AQ119)*10000+SUM(S119,AK119)*100+SUM(M119,AE119)+0.001&gt;AS119*1000000+SUM(U119,AM119)*10000+SUM(O119,AG119)*100+SUM(I119,AA119)+0.005,1,0)=2,"I",IF(IF(AR119*1000000+SUM(T119,AL119)*10000+SUM(N119,AF119)*100+SUM(H119,Z119)+0.006&gt;AT119*1000000+SUM(V119,AN119)*10000+SUM(P119,AH119)*100+SUM(J119,AB119)+0.004,1,0)+IF(AS119*1000000+SUM(U119,AM119)*10000+SUM(O119,AG119)*100+SUM(I119,AA119)+0.005&gt;AT119*1000000+SUM(V119,AN119)*10000+SUM(P119,AH119)*100+SUM(J119,AB119)+0.004,1,0)+IF(AU119*1000000+SUM(W119,AO119)*10000+SUM(Q119,AI119)*100+SUM(K119,AC119)+0.003&gt;AT119*1000000+SUM(V119,AN119)*10000+SUM(P119,AH119)*100+SUM(J119,AB119)+0.004,1,0)+IF(AV119*1000000+SUM(X119,AP119)*10000+SUM(R119,AJ119)*100+SUM(L119,AD119)+0.002&gt;AT119*1000000+SUM(V119,AN119)*10000+SUM(P119,AH119)*100+SUM(J119,AB119)+0.004,1,0)+IF(AW119*1000000+SUM(Y119,AQ119)*10000+SUM(S119,AK119)*100+SUM(M119,AE119)+0.001&gt;AT119*1000000+SUM(V119,AN119)*10000+SUM(P119,AH119)*100+SUM(J119,AB119)+0.004,1,0)=2,"A",IF(IF(AR119*1000000+SUM(T119,AL119)*10000+SUM(N119,AF119)*100+SUM(H119,Z119)+0.006&gt;AU119*1000000+SUM(W119,AO119)*10000+SUM(Q119,AI119)*100+SUM(K119,AC119)+0.003,1,0)+IF(AS119*1000000+SUM(U119,AM119)*10000+SUM(O119,AG119)*100+SUM(I119,AA119)+0.005&gt;AU119*1000000+SUM(W119,AO119)*10000+SUM(Q119,AI119)*100+SUM(K119,AC119)+0.003,1,0)+IF(AT119*1000000+SUM(V119,AN119)*10000+SUM(P119,AH119)*100+SUM(J119,AB119)+0.004&gt;AU119*1000000+SUM(W119,AO119)*10000+SUM(Q119,AI119)*100+SUM(K119,AC119)+0.003,1,0)+IF(AV119*1000000+SUM(X119,AP119)*10000+SUM(R119,AJ119)*100+SUM(L119,AD119)+0.002&gt;AU119*1000000+SUM(W119,AO119)*10000+SUM(Q119,AI119)*100+SUM(K119,AC119)+0.003,1,0)+IF(AW119*1000000+SUM(Y119,AQ119)*10000+SUM(S119,AK119)*100+SUM(M119,AE119)+0.001&gt;AU119*1000000+SUM(W119,AO119)*10000+SUM(Q119,AI119)*100+SUM(K119,AC119)+0.003,1,0)=2,"S",IF(IF(AR119*1000000+SUM(T119,AL119)*10000+SUM(N119,AF119)*100+SUM(H119,Z119)+0.006&gt;AV119*1000000+SUM(X119,AP119)*10000+SUM(R119,AJ119)*100+SUM(L119,AD119)+0.002,1,0)+IF(AS119*1000000+SUM(U119,AM119)*10000+SUM(O119,AG119)*100+SUM(I119,AA119)+0.005&gt;AV119*1000000+SUM(X119,AP119)*10000+SUM(R119,AJ119)*100+SUM(L119,AD119)+0.002,1,0)+IF(AT119*1000000+SUM(V119,AN119)*10000+SUM(P119,AH119)*100+SUM(J119,AB119)+0.004&gt;AV119*1000000+SUM(X119,AP119)*10000+SUM(R119,AJ119)*100+SUM(L119,AD119)+0.002,1,0)+IF(AU119*1000000+SUM(W119,AO119)*10000+SUM(Q119,AI119)*100+SUM(K119,AC119)+0.003&gt;AV119*1000000+SUM(X119,AP119)*10000+SUM(R119,AJ119)*100+SUM(L119,AD119)+0.002,1,0)+IF(AW119*1000000+SUM(Y119,AQ119)*10000+SUM(S119,AK119)*100+SUM(M119,AE119)+0.001&gt;AV119*1000000+SUM(X119,AP119)*10000+SUM(R119,AJ119)*100+SUM(L119,AD119)+0.002,1,0)=2,"E",IF(IF(AR119*1000000+SUM(T119,AL119)*10000+SUM(N119,AF119)*100+SUM(H119,Z119)+0.006&gt;AW119*1000000+SUM(Y119,AQ119)*10000+SUM(S119,AK119)*100+SUM(M119,AE119)+0.001,1,0)+IF(AS119*1000000+SUM(U119,AM119)*10000+SUM(O119,AG119)*100+SUM(I119,AA119)+0.005&gt;AW119*1000000+SUM(Y119,AQ119)*10000+SUM(S119,AK119)*100+SUM(M119,AE119)+0.001,1,0)+IF(AT119*1000000+SUM(V119,AN119)*10000+SUM(P119,AH119)*100+SUM(J119,AB119)+0.004&gt;AW119*1000000+SUM(Y119,AQ119)*10000+SUM(S119,AK119)*100+SUM(M119,AE119)+0.001,1,0)+IF(AU119*1000000+SUM(W119,AO119)*10000+SUM(Q119,AI119)*100+SUM(K119,AC119)+0.003&gt;AW119*1000000+SUM(Y119,AQ119)*10000+SUM(S119,AK119)*100+SUM(M119,AE119)+0.001,1,0)+IF(AV119*1000000+SUM(X119,AP119)*10000+SUM(R119,AJ119)*100+SUM(L119,AD119)+0.002&gt;AW119*1000000+SUM(Y119,AQ119)*10000+SUM(S119,AK119)*100+SUM(M119,AE119)+0.001,1,0)=2,"C","")))))))</x:f>
      </x:c>
      <x:c r="AY119" s="27" t="str">
        <x:f>IF(C119="","",IF(LEFT(AX119,1)="R","นักปฏิบัติ",IF(LEFT(AX119,1)="I","นักคิดวิเคราะห์",IF(LEFT(AX119,1)="A","นักสร้างสรรค์",IF(LEFT(AX119,1)="S","ผู้เข้าใจผู้คน",IF(LEFT(AX119,1)="E","ผู้นำการเปลี่ยนแปลง","ผู้จัดระบบ"))))))</x:f>
      </x:c>
    </x:row>
    <x:row r="120">
      <x:c r="A120" s="27"/>
      <x:c r="B120" s="28"/>
      <x:c r="C120" s="27"/>
      <x:c r="D120" s="27"/>
      <x:c r="E120" s="27"/>
      <x:c r="F120" s="27"/>
      <x:c r="G120" s="27"/>
      <x:c r="H120" s="27"/>
      <x:c r="I120" s="27"/>
      <x:c r="J120" s="27"/>
      <x:c r="K120" s="27"/>
      <x:c r="L120" s="27"/>
      <x:c r="M120" s="27"/>
      <x:c r="N120" s="27"/>
      <x:c r="O120" s="27"/>
      <x:c r="P120" s="27"/>
      <x:c r="Q120" s="27"/>
      <x:c r="R120" s="27"/>
      <x:c r="S120" s="27"/>
      <x:c r="T120" s="27"/>
      <x:c r="U120" s="27"/>
      <x:c r="V120" s="27"/>
      <x:c r="W120" s="27"/>
      <x:c r="X120" s="27"/>
      <x:c r="Y120" s="27"/>
      <x:c r="Z120" s="27"/>
      <x:c r="AA120" s="27"/>
      <x:c r="AB120" s="27"/>
      <x:c r="AC120" s="27"/>
      <x:c r="AD120" s="27"/>
      <x:c r="AE120" s="27"/>
      <x:c r="AF120" s="27"/>
      <x:c r="AG120" s="27"/>
      <x:c r="AH120" s="27"/>
      <x:c r="AI120" s="27"/>
      <x:c r="AJ120" s="27"/>
      <x:c r="AK120" s="27"/>
      <x:c r="AL120" s="27"/>
      <x:c r="AM120" s="27"/>
      <x:c r="AN120" s="27"/>
      <x:c r="AO120" s="27"/>
      <x:c r="AP120" s="27"/>
      <x:c r="AQ120" s="27"/>
      <x:c r="AR120" s="27" t="str">
        <x:f>IF(C120="","",SUM(H120,N120,T120,Z120,AF120,AL120))</x:f>
      </x:c>
      <x:c r="AS120" s="27" t="str">
        <x:f>IF(C120="","",SUM(I120,O120,U120,AA120,AG120,AM120))</x:f>
      </x:c>
      <x:c r="AT120" s="27" t="str">
        <x:f>IF(C120="","",SUM(J120,P120,V120,AB120,AH120,AN120))</x:f>
      </x:c>
      <x:c r="AU120" s="27" t="str">
        <x:f>IF(C120="","",SUM(K120,Q120,W120,AC120,AI120,AO120))</x:f>
      </x:c>
      <x:c r="AV120" s="27" t="str">
        <x:f>IF(C120="","",SUM(L120,R120,X120,AD120,AJ120,AP120))</x:f>
      </x:c>
      <x:c r="AW120" s="27" t="str">
        <x:f>IF(C120="","",SUM(M120,S120,Y120,AE120,AK120,AQ120))</x:f>
      </x:c>
      <x:c r="AX120" s="27" t="str">
        <x:f>IF(C120="","",IF(IF(AS120*1000000+SUM(U120,AM120)*10000+SUM(O120,AG120)*100+SUM(I120,AA120)+0.005&gt;AR120*1000000+SUM(T120,AL120)*10000+SUM(N120,AF120)*100+SUM(H120,Z120)+0.006,1,0)+IF(AT120*1000000+SUM(V120,AN120)*10000+SUM(P120,AH120)*100+SUM(J120,AB120)+0.004&gt;AR120*1000000+SUM(T120,AL120)*10000+SUM(N120,AF120)*100+SUM(H120,Z120)+0.006,1,0)+IF(AU120*1000000+SUM(W120,AO120)*10000+SUM(Q120,AI120)*100+SUM(K120,AC120)+0.003&gt;AR120*1000000+SUM(T120,AL120)*10000+SUM(N120,AF120)*100+SUM(H120,Z120)+0.006,1,0)+IF(AV120*1000000+SUM(X120,AP120)*10000+SUM(R120,AJ120)*100+SUM(L120,AD120)+0.002&gt;AR120*1000000+SUM(T120,AL120)*10000+SUM(N120,AF120)*100+SUM(H120,Z120)+0.006,1,0)+IF(AW120*1000000+SUM(Y120,AQ120)*10000+SUM(S120,AK120)*100+SUM(M120,AE120)+0.001&gt;AR120*1000000+SUM(T120,AL120)*10000+SUM(N120,AF120)*100+SUM(H120,Z120)+0.006,1,0)=0,"R",IF(IF(AR120*1000000+SUM(T120,AL120)*10000+SUM(N120,AF120)*100+SUM(H120,Z120)+0.006&gt;AS120*1000000+SUM(U120,AM120)*10000+SUM(O120,AG120)*100+SUM(I120,AA120)+0.005,1,0)+IF(AT120*1000000+SUM(V120,AN120)*10000+SUM(P120,AH120)*100+SUM(J120,AB120)+0.004&gt;AS120*1000000+SUM(U120,AM120)*10000+SUM(O120,AG120)*100+SUM(I120,AA120)+0.005,1,0)+IF(AU120*1000000+SUM(W120,AO120)*10000+SUM(Q120,AI120)*100+SUM(K120,AC120)+0.003&gt;AS120*1000000+SUM(U120,AM120)*10000+SUM(O120,AG120)*100+SUM(I120,AA120)+0.005,1,0)+IF(AV120*1000000+SUM(X120,AP120)*10000+SUM(R120,AJ120)*100+SUM(L120,AD120)+0.002&gt;AS120*1000000+SUM(U120,AM120)*10000+SUM(O120,AG120)*100+SUM(I120,AA120)+0.005,1,0)+IF(AW120*1000000+SUM(Y120,AQ120)*10000+SUM(S120,AK120)*100+SUM(M120,AE120)+0.001&gt;AS120*1000000+SUM(U120,AM120)*10000+SUM(O120,AG120)*100+SUM(I120,AA120)+0.005,1,0)=0,"I",IF(IF(AR120*1000000+SUM(T120,AL120)*10000+SUM(N120,AF120)*100+SUM(H120,Z120)+0.006&gt;AT120*1000000+SUM(V120,AN120)*10000+SUM(P120,AH120)*100+SUM(J120,AB120)+0.004,1,0)+IF(AS120*1000000+SUM(U120,AM120)*10000+SUM(O120,AG120)*100+SUM(I120,AA120)+0.005&gt;AT120*1000000+SUM(V120,AN120)*10000+SUM(P120,AH120)*100+SUM(J120,AB120)+0.004,1,0)+IF(AU120*1000000+SUM(W120,AO120)*10000+SUM(Q120,AI120)*100+SUM(K120,AC120)+0.003&gt;AT120*1000000+SUM(V120,AN120)*10000+SUM(P120,AH120)*100+SUM(J120,AB120)+0.004,1,0)+IF(AV120*1000000+SUM(X120,AP120)*10000+SUM(R120,AJ120)*100+SUM(L120,AD120)+0.002&gt;AT120*1000000+SUM(V120,AN120)*10000+SUM(P120,AH120)*100+SUM(J120,AB120)+0.004,1,0)+IF(AW120*1000000+SUM(Y120,AQ120)*10000+SUM(S120,AK120)*100+SUM(M120,AE120)+0.001&gt;AT120*1000000+SUM(V120,AN120)*10000+SUM(P120,AH120)*100+SUM(J120,AB120)+0.004,1,0)=0,"A",IF(IF(AR120*1000000+SUM(T120,AL120)*10000+SUM(N120,AF120)*100+SUM(H120,Z120)+0.006&gt;AU120*1000000+SUM(W120,AO120)*10000+SUM(Q120,AI120)*100+SUM(K120,AC120)+0.003,1,0)+IF(AS120*1000000+SUM(U120,AM120)*10000+SUM(O120,AG120)*100+SUM(I120,AA120)+0.005&gt;AU120*1000000+SUM(W120,AO120)*10000+SUM(Q120,AI120)*100+SUM(K120,AC120)+0.003,1,0)+IF(AT120*1000000+SUM(V120,AN120)*10000+SUM(P120,AH120)*100+SUM(J120,AB120)+0.004&gt;AU120*1000000+SUM(W120,AO120)*10000+SUM(Q120,AI120)*100+SUM(K120,AC120)+0.003,1,0)+IF(AV120*1000000+SUM(X120,AP120)*10000+SUM(R120,AJ120)*100+SUM(L120,AD120)+0.002&gt;AU120*1000000+SUM(W120,AO120)*10000+SUM(Q120,AI120)*100+SUM(K120,AC120)+0.003,1,0)+IF(AW120*1000000+SUM(Y120,AQ120)*10000+SUM(S120,AK120)*100+SUM(M120,AE120)+0.001&gt;AU120*1000000+SUM(W120,AO120)*10000+SUM(Q120,AI120)*100+SUM(K120,AC120)+0.003,1,0)=0,"S",IF(IF(AR120*1000000+SUM(T120,AL120)*10000+SUM(N120,AF120)*100+SUM(H120,Z120)+0.006&gt;AV120*1000000+SUM(X120,AP120)*10000+SUM(R120,AJ120)*100+SUM(L120,AD120)+0.002,1,0)+IF(AS120*1000000+SUM(U120,AM120)*10000+SUM(O120,AG120)*100+SUM(I120,AA120)+0.005&gt;AV120*1000000+SUM(X120,AP120)*10000+SUM(R120,AJ120)*100+SUM(L120,AD120)+0.002,1,0)+IF(AT120*1000000+SUM(V120,AN120)*10000+SUM(P120,AH120)*100+SUM(J120,AB120)+0.004&gt;AV120*1000000+SUM(X120,AP120)*10000+SUM(R120,AJ120)*100+SUM(L120,AD120)+0.002,1,0)+IF(AU120*1000000+SUM(W120,AO120)*10000+SUM(Q120,AI120)*100+SUM(K120,AC120)+0.003&gt;AV120*1000000+SUM(X120,AP120)*10000+SUM(R120,AJ120)*100+SUM(L120,AD120)+0.002,1,0)+IF(AW120*1000000+SUM(Y120,AQ120)*10000+SUM(S120,AK120)*100+SUM(M120,AE120)+0.001&gt;AV120*1000000+SUM(X120,AP120)*10000+SUM(R120,AJ120)*100+SUM(L120,AD120)+0.002,1,0)=0,"E",IF(IF(AR120*1000000+SUM(T120,AL120)*10000+SUM(N120,AF120)*100+SUM(H120,Z120)+0.006&gt;AW120*1000000+SUM(Y120,AQ120)*10000+SUM(S120,AK120)*100+SUM(M120,AE120)+0.001,1,0)+IF(AS120*1000000+SUM(U120,AM120)*10000+SUM(O120,AG120)*100+SUM(I120,AA120)+0.005&gt;AW120*1000000+SUM(Y120,AQ120)*10000+SUM(S120,AK120)*100+SUM(M120,AE120)+0.001,1,0)+IF(AT120*1000000+SUM(V120,AN120)*10000+SUM(P120,AH120)*100+SUM(J120,AB120)+0.004&gt;AW120*1000000+SUM(Y120,AQ120)*10000+SUM(S120,AK120)*100+SUM(M120,AE120)+0.001,1,0)+IF(AU120*1000000+SUM(W120,AO120)*10000+SUM(Q120,AI120)*100+SUM(K120,AC120)+0.003&gt;AW120*1000000+SUM(Y120,AQ120)*10000+SUM(S120,AK120)*100+SUM(M120,AE120)+0.001,1,0)+IF(AV120*1000000+SUM(X120,AP120)*10000+SUM(R120,AJ120)*100+SUM(L120,AD120)+0.002&gt;AW120*1000000+SUM(Y120,AQ120)*10000+SUM(S120,AK120)*100+SUM(M120,AE120)+0.001,1,0)=0,"C",""))))))&amp;IF(IF(AS120*1000000+SUM(U120,AM120)*10000+SUM(O120,AG120)*100+SUM(I120,AA120)+0.005&gt;AR120*1000000+SUM(T120,AL120)*10000+SUM(N120,AF120)*100+SUM(H120,Z120)+0.006,1,0)+IF(AT120*1000000+SUM(V120,AN120)*10000+SUM(P120,AH120)*100+SUM(J120,AB120)+0.004&gt;AR120*1000000+SUM(T120,AL120)*10000+SUM(N120,AF120)*100+SUM(H120,Z120)+0.006,1,0)+IF(AU120*1000000+SUM(W120,AO120)*10000+SUM(Q120,AI120)*100+SUM(K120,AC120)+0.003&gt;AR120*1000000+SUM(T120,AL120)*10000+SUM(N120,AF120)*100+SUM(H120,Z120)+0.006,1,0)+IF(AV120*1000000+SUM(X120,AP120)*10000+SUM(R120,AJ120)*100+SUM(L120,AD120)+0.002&gt;AR120*1000000+SUM(T120,AL120)*10000+SUM(N120,AF120)*100+SUM(H120,Z120)+0.006,1,0)+IF(AW120*1000000+SUM(Y120,AQ120)*10000+SUM(S120,AK120)*100+SUM(M120,AE120)+0.001&gt;AR120*1000000+SUM(T120,AL120)*10000+SUM(N120,AF120)*100+SUM(H120,Z120)+0.006,1,0)=1,"R",IF(IF(AR120*1000000+SUM(T120,AL120)*10000+SUM(N120,AF120)*100+SUM(H120,Z120)+0.006&gt;AS120*1000000+SUM(U120,AM120)*10000+SUM(O120,AG120)*100+SUM(I120,AA120)+0.005,1,0)+IF(AT120*1000000+SUM(V120,AN120)*10000+SUM(P120,AH120)*100+SUM(J120,AB120)+0.004&gt;AS120*1000000+SUM(U120,AM120)*10000+SUM(O120,AG120)*100+SUM(I120,AA120)+0.005,1,0)+IF(AU120*1000000+SUM(W120,AO120)*10000+SUM(Q120,AI120)*100+SUM(K120,AC120)+0.003&gt;AS120*1000000+SUM(U120,AM120)*10000+SUM(O120,AG120)*100+SUM(I120,AA120)+0.005,1,0)+IF(AV120*1000000+SUM(X120,AP120)*10000+SUM(R120,AJ120)*100+SUM(L120,AD120)+0.002&gt;AS120*1000000+SUM(U120,AM120)*10000+SUM(O120,AG120)*100+SUM(I120,AA120)+0.005,1,0)+IF(AW120*1000000+SUM(Y120,AQ120)*10000+SUM(S120,AK120)*100+SUM(M120,AE120)+0.001&gt;AS120*1000000+SUM(U120,AM120)*10000+SUM(O120,AG120)*100+SUM(I120,AA120)+0.005,1,0)=1,"I",IF(IF(AR120*1000000+SUM(T120,AL120)*10000+SUM(N120,AF120)*100+SUM(H120,Z120)+0.006&gt;AT120*1000000+SUM(V120,AN120)*10000+SUM(P120,AH120)*100+SUM(J120,AB120)+0.004,1,0)+IF(AS120*1000000+SUM(U120,AM120)*10000+SUM(O120,AG120)*100+SUM(I120,AA120)+0.005&gt;AT120*1000000+SUM(V120,AN120)*10000+SUM(P120,AH120)*100+SUM(J120,AB120)+0.004,1,0)+IF(AU120*1000000+SUM(W120,AO120)*10000+SUM(Q120,AI120)*100+SUM(K120,AC120)+0.003&gt;AT120*1000000+SUM(V120,AN120)*10000+SUM(P120,AH120)*100+SUM(J120,AB120)+0.004,1,0)+IF(AV120*1000000+SUM(X120,AP120)*10000+SUM(R120,AJ120)*100+SUM(L120,AD120)+0.002&gt;AT120*1000000+SUM(V120,AN120)*10000+SUM(P120,AH120)*100+SUM(J120,AB120)+0.004,1,0)+IF(AW120*1000000+SUM(Y120,AQ120)*10000+SUM(S120,AK120)*100+SUM(M120,AE120)+0.001&gt;AT120*1000000+SUM(V120,AN120)*10000+SUM(P120,AH120)*100+SUM(J120,AB120)+0.004,1,0)=1,"A",IF(IF(AR120*1000000+SUM(T120,AL120)*10000+SUM(N120,AF120)*100+SUM(H120,Z120)+0.006&gt;AU120*1000000+SUM(W120,AO120)*10000+SUM(Q120,AI120)*100+SUM(K120,AC120)+0.003,1,0)+IF(AS120*1000000+SUM(U120,AM120)*10000+SUM(O120,AG120)*100+SUM(I120,AA120)+0.005&gt;AU120*1000000+SUM(W120,AO120)*10000+SUM(Q120,AI120)*100+SUM(K120,AC120)+0.003,1,0)+IF(AT120*1000000+SUM(V120,AN120)*10000+SUM(P120,AH120)*100+SUM(J120,AB120)+0.004&gt;AU120*1000000+SUM(W120,AO120)*10000+SUM(Q120,AI120)*100+SUM(K120,AC120)+0.003,1,0)+IF(AV120*1000000+SUM(X120,AP120)*10000+SUM(R120,AJ120)*100+SUM(L120,AD120)+0.002&gt;AU120*1000000+SUM(W120,AO120)*10000+SUM(Q120,AI120)*100+SUM(K120,AC120)+0.003,1,0)+IF(AW120*1000000+SUM(Y120,AQ120)*10000+SUM(S120,AK120)*100+SUM(M120,AE120)+0.001&gt;AU120*1000000+SUM(W120,AO120)*10000+SUM(Q120,AI120)*100+SUM(K120,AC120)+0.003,1,0)=1,"S",IF(IF(AR120*1000000+SUM(T120,AL120)*10000+SUM(N120,AF120)*100+SUM(H120,Z120)+0.006&gt;AV120*1000000+SUM(X120,AP120)*10000+SUM(R120,AJ120)*100+SUM(L120,AD120)+0.002,1,0)+IF(AS120*1000000+SUM(U120,AM120)*10000+SUM(O120,AG120)*100+SUM(I120,AA120)+0.005&gt;AV120*1000000+SUM(X120,AP120)*10000+SUM(R120,AJ120)*100+SUM(L120,AD120)+0.002,1,0)+IF(AT120*1000000+SUM(V120,AN120)*10000+SUM(P120,AH120)*100+SUM(J120,AB120)+0.004&gt;AV120*1000000+SUM(X120,AP120)*10000+SUM(R120,AJ120)*100+SUM(L120,AD120)+0.002,1,0)+IF(AU120*1000000+SUM(W120,AO120)*10000+SUM(Q120,AI120)*100+SUM(K120,AC120)+0.003&gt;AV120*1000000+SUM(X120,AP120)*10000+SUM(R120,AJ120)*100+SUM(L120,AD120)+0.002,1,0)+IF(AW120*1000000+SUM(Y120,AQ120)*10000+SUM(S120,AK120)*100+SUM(M120,AE120)+0.001&gt;AV120*1000000+SUM(X120,AP120)*10000+SUM(R120,AJ120)*100+SUM(L120,AD120)+0.002,1,0)=1,"E",IF(IF(AR120*1000000+SUM(T120,AL120)*10000+SUM(N120,AF120)*100+SUM(H120,Z120)+0.006&gt;AW120*1000000+SUM(Y120,AQ120)*10000+SUM(S120,AK120)*100+SUM(M120,AE120)+0.001,1,0)+IF(AS120*1000000+SUM(U120,AM120)*10000+SUM(O120,AG120)*100+SUM(I120,AA120)+0.005&gt;AW120*1000000+SUM(Y120,AQ120)*10000+SUM(S120,AK120)*100+SUM(M120,AE120)+0.001,1,0)+IF(AT120*1000000+SUM(V120,AN120)*10000+SUM(P120,AH120)*100+SUM(J120,AB120)+0.004&gt;AW120*1000000+SUM(Y120,AQ120)*10000+SUM(S120,AK120)*100+SUM(M120,AE120)+0.001,1,0)+IF(AU120*1000000+SUM(W120,AO120)*10000+SUM(Q120,AI120)*100+SUM(K120,AC120)+0.003&gt;AW120*1000000+SUM(Y120,AQ120)*10000+SUM(S120,AK120)*100+SUM(M120,AE120)+0.001,1,0)+IF(AV120*1000000+SUM(X120,AP120)*10000+SUM(R120,AJ120)*100+SUM(L120,AD120)+0.002&gt;AW120*1000000+SUM(Y120,AQ120)*10000+SUM(S120,AK120)*100+SUM(M120,AE120)+0.001,1,0)=1,"C",""))))))&amp;IF(IF(AS120*1000000+SUM(U120,AM120)*10000+SUM(O120,AG120)*100+SUM(I120,AA120)+0.005&gt;AR120*1000000+SUM(T120,AL120)*10000+SUM(N120,AF120)*100+SUM(H120,Z120)+0.006,1,0)+IF(AT120*1000000+SUM(V120,AN120)*10000+SUM(P120,AH120)*100+SUM(J120,AB120)+0.004&gt;AR120*1000000+SUM(T120,AL120)*10000+SUM(N120,AF120)*100+SUM(H120,Z120)+0.006,1,0)+IF(AU120*1000000+SUM(W120,AO120)*10000+SUM(Q120,AI120)*100+SUM(K120,AC120)+0.003&gt;AR120*1000000+SUM(T120,AL120)*10000+SUM(N120,AF120)*100+SUM(H120,Z120)+0.006,1,0)+IF(AV120*1000000+SUM(X120,AP120)*10000+SUM(R120,AJ120)*100+SUM(L120,AD120)+0.002&gt;AR120*1000000+SUM(T120,AL120)*10000+SUM(N120,AF120)*100+SUM(H120,Z120)+0.006,1,0)+IF(AW120*1000000+SUM(Y120,AQ120)*10000+SUM(S120,AK120)*100+SUM(M120,AE120)+0.001&gt;AR120*1000000+SUM(T120,AL120)*10000+SUM(N120,AF120)*100+SUM(H120,Z120)+0.006,1,0)=2,"R",IF(IF(AR120*1000000+SUM(T120,AL120)*10000+SUM(N120,AF120)*100+SUM(H120,Z120)+0.006&gt;AS120*1000000+SUM(U120,AM120)*10000+SUM(O120,AG120)*100+SUM(I120,AA120)+0.005,1,0)+IF(AT120*1000000+SUM(V120,AN120)*10000+SUM(P120,AH120)*100+SUM(J120,AB120)+0.004&gt;AS120*1000000+SUM(U120,AM120)*10000+SUM(O120,AG120)*100+SUM(I120,AA120)+0.005,1,0)+IF(AU120*1000000+SUM(W120,AO120)*10000+SUM(Q120,AI120)*100+SUM(K120,AC120)+0.003&gt;AS120*1000000+SUM(U120,AM120)*10000+SUM(O120,AG120)*100+SUM(I120,AA120)+0.005,1,0)+IF(AV120*1000000+SUM(X120,AP120)*10000+SUM(R120,AJ120)*100+SUM(L120,AD120)+0.002&gt;AS120*1000000+SUM(U120,AM120)*10000+SUM(O120,AG120)*100+SUM(I120,AA120)+0.005,1,0)+IF(AW120*1000000+SUM(Y120,AQ120)*10000+SUM(S120,AK120)*100+SUM(M120,AE120)+0.001&gt;AS120*1000000+SUM(U120,AM120)*10000+SUM(O120,AG120)*100+SUM(I120,AA120)+0.005,1,0)=2,"I",IF(IF(AR120*1000000+SUM(T120,AL120)*10000+SUM(N120,AF120)*100+SUM(H120,Z120)+0.006&gt;AT120*1000000+SUM(V120,AN120)*10000+SUM(P120,AH120)*100+SUM(J120,AB120)+0.004,1,0)+IF(AS120*1000000+SUM(U120,AM120)*10000+SUM(O120,AG120)*100+SUM(I120,AA120)+0.005&gt;AT120*1000000+SUM(V120,AN120)*10000+SUM(P120,AH120)*100+SUM(J120,AB120)+0.004,1,0)+IF(AU120*1000000+SUM(W120,AO120)*10000+SUM(Q120,AI120)*100+SUM(K120,AC120)+0.003&gt;AT120*1000000+SUM(V120,AN120)*10000+SUM(P120,AH120)*100+SUM(J120,AB120)+0.004,1,0)+IF(AV120*1000000+SUM(X120,AP120)*10000+SUM(R120,AJ120)*100+SUM(L120,AD120)+0.002&gt;AT120*1000000+SUM(V120,AN120)*10000+SUM(P120,AH120)*100+SUM(J120,AB120)+0.004,1,0)+IF(AW120*1000000+SUM(Y120,AQ120)*10000+SUM(S120,AK120)*100+SUM(M120,AE120)+0.001&gt;AT120*1000000+SUM(V120,AN120)*10000+SUM(P120,AH120)*100+SUM(J120,AB120)+0.004,1,0)=2,"A",IF(IF(AR120*1000000+SUM(T120,AL120)*10000+SUM(N120,AF120)*100+SUM(H120,Z120)+0.006&gt;AU120*1000000+SUM(W120,AO120)*10000+SUM(Q120,AI120)*100+SUM(K120,AC120)+0.003,1,0)+IF(AS120*1000000+SUM(U120,AM120)*10000+SUM(O120,AG120)*100+SUM(I120,AA120)+0.005&gt;AU120*1000000+SUM(W120,AO120)*10000+SUM(Q120,AI120)*100+SUM(K120,AC120)+0.003,1,0)+IF(AT120*1000000+SUM(V120,AN120)*10000+SUM(P120,AH120)*100+SUM(J120,AB120)+0.004&gt;AU120*1000000+SUM(W120,AO120)*10000+SUM(Q120,AI120)*100+SUM(K120,AC120)+0.003,1,0)+IF(AV120*1000000+SUM(X120,AP120)*10000+SUM(R120,AJ120)*100+SUM(L120,AD120)+0.002&gt;AU120*1000000+SUM(W120,AO120)*10000+SUM(Q120,AI120)*100+SUM(K120,AC120)+0.003,1,0)+IF(AW120*1000000+SUM(Y120,AQ120)*10000+SUM(S120,AK120)*100+SUM(M120,AE120)+0.001&gt;AU120*1000000+SUM(W120,AO120)*10000+SUM(Q120,AI120)*100+SUM(K120,AC120)+0.003,1,0)=2,"S",IF(IF(AR120*1000000+SUM(T120,AL120)*10000+SUM(N120,AF120)*100+SUM(H120,Z120)+0.006&gt;AV120*1000000+SUM(X120,AP120)*10000+SUM(R120,AJ120)*100+SUM(L120,AD120)+0.002,1,0)+IF(AS120*1000000+SUM(U120,AM120)*10000+SUM(O120,AG120)*100+SUM(I120,AA120)+0.005&gt;AV120*1000000+SUM(X120,AP120)*10000+SUM(R120,AJ120)*100+SUM(L120,AD120)+0.002,1,0)+IF(AT120*1000000+SUM(V120,AN120)*10000+SUM(P120,AH120)*100+SUM(J120,AB120)+0.004&gt;AV120*1000000+SUM(X120,AP120)*10000+SUM(R120,AJ120)*100+SUM(L120,AD120)+0.002,1,0)+IF(AU120*1000000+SUM(W120,AO120)*10000+SUM(Q120,AI120)*100+SUM(K120,AC120)+0.003&gt;AV120*1000000+SUM(X120,AP120)*10000+SUM(R120,AJ120)*100+SUM(L120,AD120)+0.002,1,0)+IF(AW120*1000000+SUM(Y120,AQ120)*10000+SUM(S120,AK120)*100+SUM(M120,AE120)+0.001&gt;AV120*1000000+SUM(X120,AP120)*10000+SUM(R120,AJ120)*100+SUM(L120,AD120)+0.002,1,0)=2,"E",IF(IF(AR120*1000000+SUM(T120,AL120)*10000+SUM(N120,AF120)*100+SUM(H120,Z120)+0.006&gt;AW120*1000000+SUM(Y120,AQ120)*10000+SUM(S120,AK120)*100+SUM(M120,AE120)+0.001,1,0)+IF(AS120*1000000+SUM(U120,AM120)*10000+SUM(O120,AG120)*100+SUM(I120,AA120)+0.005&gt;AW120*1000000+SUM(Y120,AQ120)*10000+SUM(S120,AK120)*100+SUM(M120,AE120)+0.001,1,0)+IF(AT120*1000000+SUM(V120,AN120)*10000+SUM(P120,AH120)*100+SUM(J120,AB120)+0.004&gt;AW120*1000000+SUM(Y120,AQ120)*10000+SUM(S120,AK120)*100+SUM(M120,AE120)+0.001,1,0)+IF(AU120*1000000+SUM(W120,AO120)*10000+SUM(Q120,AI120)*100+SUM(K120,AC120)+0.003&gt;AW120*1000000+SUM(Y120,AQ120)*10000+SUM(S120,AK120)*100+SUM(M120,AE120)+0.001,1,0)+IF(AV120*1000000+SUM(X120,AP120)*10000+SUM(R120,AJ120)*100+SUM(L120,AD120)+0.002&gt;AW120*1000000+SUM(Y120,AQ120)*10000+SUM(S120,AK120)*100+SUM(M120,AE120)+0.001,1,0)=2,"C","")))))))</x:f>
      </x:c>
      <x:c r="AY120" s="27" t="str">
        <x:f>IF(C120="","",IF(LEFT(AX120,1)="R","นักปฏิบัติ",IF(LEFT(AX120,1)="I","นักคิดวิเคราะห์",IF(LEFT(AX120,1)="A","นักสร้างสรรค์",IF(LEFT(AX120,1)="S","ผู้เข้าใจผู้คน",IF(LEFT(AX120,1)="E","ผู้นำการเปลี่ยนแปลง","ผู้จัดระบบ"))))))</x:f>
      </x:c>
    </x:row>
    <x:row r="121">
      <x:c r="A121" s="27"/>
      <x:c r="B121" s="28"/>
      <x:c r="C121" s="27"/>
      <x:c r="D121" s="27"/>
      <x:c r="E121" s="27"/>
      <x:c r="F121" s="27"/>
      <x:c r="G121" s="27"/>
      <x:c r="H121" s="27"/>
      <x:c r="I121" s="27"/>
      <x:c r="J121" s="27"/>
      <x:c r="K121" s="27"/>
      <x:c r="L121" s="27"/>
      <x:c r="M121" s="27"/>
      <x:c r="N121" s="27"/>
      <x:c r="O121" s="27"/>
      <x:c r="P121" s="27"/>
      <x:c r="Q121" s="27"/>
      <x:c r="R121" s="27"/>
      <x:c r="S121" s="27"/>
      <x:c r="T121" s="27"/>
      <x:c r="U121" s="27"/>
      <x:c r="V121" s="27"/>
      <x:c r="W121" s="27"/>
      <x:c r="X121" s="27"/>
      <x:c r="Y121" s="27"/>
      <x:c r="Z121" s="27"/>
      <x:c r="AA121" s="27"/>
      <x:c r="AB121" s="27"/>
      <x:c r="AC121" s="27"/>
      <x:c r="AD121" s="27"/>
      <x:c r="AE121" s="27"/>
      <x:c r="AF121" s="27"/>
      <x:c r="AG121" s="27"/>
      <x:c r="AH121" s="27"/>
      <x:c r="AI121" s="27"/>
      <x:c r="AJ121" s="27"/>
      <x:c r="AK121" s="27"/>
      <x:c r="AL121" s="27"/>
      <x:c r="AM121" s="27"/>
      <x:c r="AN121" s="27"/>
      <x:c r="AO121" s="27"/>
      <x:c r="AP121" s="27"/>
      <x:c r="AQ121" s="27"/>
      <x:c r="AR121" s="27" t="str">
        <x:f>IF(C121="","",SUM(H121,N121,T121,Z121,AF121,AL121))</x:f>
      </x:c>
      <x:c r="AS121" s="27" t="str">
        <x:f>IF(C121="","",SUM(I121,O121,U121,AA121,AG121,AM121))</x:f>
      </x:c>
      <x:c r="AT121" s="27" t="str">
        <x:f>IF(C121="","",SUM(J121,P121,V121,AB121,AH121,AN121))</x:f>
      </x:c>
      <x:c r="AU121" s="27" t="str">
        <x:f>IF(C121="","",SUM(K121,Q121,W121,AC121,AI121,AO121))</x:f>
      </x:c>
      <x:c r="AV121" s="27" t="str">
        <x:f>IF(C121="","",SUM(L121,R121,X121,AD121,AJ121,AP121))</x:f>
      </x:c>
      <x:c r="AW121" s="27" t="str">
        <x:f>IF(C121="","",SUM(M121,S121,Y121,AE121,AK121,AQ121))</x:f>
      </x:c>
      <x:c r="AX121" s="27" t="str">
        <x:f>IF(C121="","",IF(IF(AS121*1000000+SUM(U121,AM121)*10000+SUM(O121,AG121)*100+SUM(I121,AA121)+0.005&gt;AR121*1000000+SUM(T121,AL121)*10000+SUM(N121,AF121)*100+SUM(H121,Z121)+0.006,1,0)+IF(AT121*1000000+SUM(V121,AN121)*10000+SUM(P121,AH121)*100+SUM(J121,AB121)+0.004&gt;AR121*1000000+SUM(T121,AL121)*10000+SUM(N121,AF121)*100+SUM(H121,Z121)+0.006,1,0)+IF(AU121*1000000+SUM(W121,AO121)*10000+SUM(Q121,AI121)*100+SUM(K121,AC121)+0.003&gt;AR121*1000000+SUM(T121,AL121)*10000+SUM(N121,AF121)*100+SUM(H121,Z121)+0.006,1,0)+IF(AV121*1000000+SUM(X121,AP121)*10000+SUM(R121,AJ121)*100+SUM(L121,AD121)+0.002&gt;AR121*1000000+SUM(T121,AL121)*10000+SUM(N121,AF121)*100+SUM(H121,Z121)+0.006,1,0)+IF(AW121*1000000+SUM(Y121,AQ121)*10000+SUM(S121,AK121)*100+SUM(M121,AE121)+0.001&gt;AR121*1000000+SUM(T121,AL121)*10000+SUM(N121,AF121)*100+SUM(H121,Z121)+0.006,1,0)=0,"R",IF(IF(AR121*1000000+SUM(T121,AL121)*10000+SUM(N121,AF121)*100+SUM(H121,Z121)+0.006&gt;AS121*1000000+SUM(U121,AM121)*10000+SUM(O121,AG121)*100+SUM(I121,AA121)+0.005,1,0)+IF(AT121*1000000+SUM(V121,AN121)*10000+SUM(P121,AH121)*100+SUM(J121,AB121)+0.004&gt;AS121*1000000+SUM(U121,AM121)*10000+SUM(O121,AG121)*100+SUM(I121,AA121)+0.005,1,0)+IF(AU121*1000000+SUM(W121,AO121)*10000+SUM(Q121,AI121)*100+SUM(K121,AC121)+0.003&gt;AS121*1000000+SUM(U121,AM121)*10000+SUM(O121,AG121)*100+SUM(I121,AA121)+0.005,1,0)+IF(AV121*1000000+SUM(X121,AP121)*10000+SUM(R121,AJ121)*100+SUM(L121,AD121)+0.002&gt;AS121*1000000+SUM(U121,AM121)*10000+SUM(O121,AG121)*100+SUM(I121,AA121)+0.005,1,0)+IF(AW121*1000000+SUM(Y121,AQ121)*10000+SUM(S121,AK121)*100+SUM(M121,AE121)+0.001&gt;AS121*1000000+SUM(U121,AM121)*10000+SUM(O121,AG121)*100+SUM(I121,AA121)+0.005,1,0)=0,"I",IF(IF(AR121*1000000+SUM(T121,AL121)*10000+SUM(N121,AF121)*100+SUM(H121,Z121)+0.006&gt;AT121*1000000+SUM(V121,AN121)*10000+SUM(P121,AH121)*100+SUM(J121,AB121)+0.004,1,0)+IF(AS121*1000000+SUM(U121,AM121)*10000+SUM(O121,AG121)*100+SUM(I121,AA121)+0.005&gt;AT121*1000000+SUM(V121,AN121)*10000+SUM(P121,AH121)*100+SUM(J121,AB121)+0.004,1,0)+IF(AU121*1000000+SUM(W121,AO121)*10000+SUM(Q121,AI121)*100+SUM(K121,AC121)+0.003&gt;AT121*1000000+SUM(V121,AN121)*10000+SUM(P121,AH121)*100+SUM(J121,AB121)+0.004,1,0)+IF(AV121*1000000+SUM(X121,AP121)*10000+SUM(R121,AJ121)*100+SUM(L121,AD121)+0.002&gt;AT121*1000000+SUM(V121,AN121)*10000+SUM(P121,AH121)*100+SUM(J121,AB121)+0.004,1,0)+IF(AW121*1000000+SUM(Y121,AQ121)*10000+SUM(S121,AK121)*100+SUM(M121,AE121)+0.001&gt;AT121*1000000+SUM(V121,AN121)*10000+SUM(P121,AH121)*100+SUM(J121,AB121)+0.004,1,0)=0,"A",IF(IF(AR121*1000000+SUM(T121,AL121)*10000+SUM(N121,AF121)*100+SUM(H121,Z121)+0.006&gt;AU121*1000000+SUM(W121,AO121)*10000+SUM(Q121,AI121)*100+SUM(K121,AC121)+0.003,1,0)+IF(AS121*1000000+SUM(U121,AM121)*10000+SUM(O121,AG121)*100+SUM(I121,AA121)+0.005&gt;AU121*1000000+SUM(W121,AO121)*10000+SUM(Q121,AI121)*100+SUM(K121,AC121)+0.003,1,0)+IF(AT121*1000000+SUM(V121,AN121)*10000+SUM(P121,AH121)*100+SUM(J121,AB121)+0.004&gt;AU121*1000000+SUM(W121,AO121)*10000+SUM(Q121,AI121)*100+SUM(K121,AC121)+0.003,1,0)+IF(AV121*1000000+SUM(X121,AP121)*10000+SUM(R121,AJ121)*100+SUM(L121,AD121)+0.002&gt;AU121*1000000+SUM(W121,AO121)*10000+SUM(Q121,AI121)*100+SUM(K121,AC121)+0.003,1,0)+IF(AW121*1000000+SUM(Y121,AQ121)*10000+SUM(S121,AK121)*100+SUM(M121,AE121)+0.001&gt;AU121*1000000+SUM(W121,AO121)*10000+SUM(Q121,AI121)*100+SUM(K121,AC121)+0.003,1,0)=0,"S",IF(IF(AR121*1000000+SUM(T121,AL121)*10000+SUM(N121,AF121)*100+SUM(H121,Z121)+0.006&gt;AV121*1000000+SUM(X121,AP121)*10000+SUM(R121,AJ121)*100+SUM(L121,AD121)+0.002,1,0)+IF(AS121*1000000+SUM(U121,AM121)*10000+SUM(O121,AG121)*100+SUM(I121,AA121)+0.005&gt;AV121*1000000+SUM(X121,AP121)*10000+SUM(R121,AJ121)*100+SUM(L121,AD121)+0.002,1,0)+IF(AT121*1000000+SUM(V121,AN121)*10000+SUM(P121,AH121)*100+SUM(J121,AB121)+0.004&gt;AV121*1000000+SUM(X121,AP121)*10000+SUM(R121,AJ121)*100+SUM(L121,AD121)+0.002,1,0)+IF(AU121*1000000+SUM(W121,AO121)*10000+SUM(Q121,AI121)*100+SUM(K121,AC121)+0.003&gt;AV121*1000000+SUM(X121,AP121)*10000+SUM(R121,AJ121)*100+SUM(L121,AD121)+0.002,1,0)+IF(AW121*1000000+SUM(Y121,AQ121)*10000+SUM(S121,AK121)*100+SUM(M121,AE121)+0.001&gt;AV121*1000000+SUM(X121,AP121)*10000+SUM(R121,AJ121)*100+SUM(L121,AD121)+0.002,1,0)=0,"E",IF(IF(AR121*1000000+SUM(T121,AL121)*10000+SUM(N121,AF121)*100+SUM(H121,Z121)+0.006&gt;AW121*1000000+SUM(Y121,AQ121)*10000+SUM(S121,AK121)*100+SUM(M121,AE121)+0.001,1,0)+IF(AS121*1000000+SUM(U121,AM121)*10000+SUM(O121,AG121)*100+SUM(I121,AA121)+0.005&gt;AW121*1000000+SUM(Y121,AQ121)*10000+SUM(S121,AK121)*100+SUM(M121,AE121)+0.001,1,0)+IF(AT121*1000000+SUM(V121,AN121)*10000+SUM(P121,AH121)*100+SUM(J121,AB121)+0.004&gt;AW121*1000000+SUM(Y121,AQ121)*10000+SUM(S121,AK121)*100+SUM(M121,AE121)+0.001,1,0)+IF(AU121*1000000+SUM(W121,AO121)*10000+SUM(Q121,AI121)*100+SUM(K121,AC121)+0.003&gt;AW121*1000000+SUM(Y121,AQ121)*10000+SUM(S121,AK121)*100+SUM(M121,AE121)+0.001,1,0)+IF(AV121*1000000+SUM(X121,AP121)*10000+SUM(R121,AJ121)*100+SUM(L121,AD121)+0.002&gt;AW121*1000000+SUM(Y121,AQ121)*10000+SUM(S121,AK121)*100+SUM(M121,AE121)+0.001,1,0)=0,"C",""))))))&amp;IF(IF(AS121*1000000+SUM(U121,AM121)*10000+SUM(O121,AG121)*100+SUM(I121,AA121)+0.005&gt;AR121*1000000+SUM(T121,AL121)*10000+SUM(N121,AF121)*100+SUM(H121,Z121)+0.006,1,0)+IF(AT121*1000000+SUM(V121,AN121)*10000+SUM(P121,AH121)*100+SUM(J121,AB121)+0.004&gt;AR121*1000000+SUM(T121,AL121)*10000+SUM(N121,AF121)*100+SUM(H121,Z121)+0.006,1,0)+IF(AU121*1000000+SUM(W121,AO121)*10000+SUM(Q121,AI121)*100+SUM(K121,AC121)+0.003&gt;AR121*1000000+SUM(T121,AL121)*10000+SUM(N121,AF121)*100+SUM(H121,Z121)+0.006,1,0)+IF(AV121*1000000+SUM(X121,AP121)*10000+SUM(R121,AJ121)*100+SUM(L121,AD121)+0.002&gt;AR121*1000000+SUM(T121,AL121)*10000+SUM(N121,AF121)*100+SUM(H121,Z121)+0.006,1,0)+IF(AW121*1000000+SUM(Y121,AQ121)*10000+SUM(S121,AK121)*100+SUM(M121,AE121)+0.001&gt;AR121*1000000+SUM(T121,AL121)*10000+SUM(N121,AF121)*100+SUM(H121,Z121)+0.006,1,0)=1,"R",IF(IF(AR121*1000000+SUM(T121,AL121)*10000+SUM(N121,AF121)*100+SUM(H121,Z121)+0.006&gt;AS121*1000000+SUM(U121,AM121)*10000+SUM(O121,AG121)*100+SUM(I121,AA121)+0.005,1,0)+IF(AT121*1000000+SUM(V121,AN121)*10000+SUM(P121,AH121)*100+SUM(J121,AB121)+0.004&gt;AS121*1000000+SUM(U121,AM121)*10000+SUM(O121,AG121)*100+SUM(I121,AA121)+0.005,1,0)+IF(AU121*1000000+SUM(W121,AO121)*10000+SUM(Q121,AI121)*100+SUM(K121,AC121)+0.003&gt;AS121*1000000+SUM(U121,AM121)*10000+SUM(O121,AG121)*100+SUM(I121,AA121)+0.005,1,0)+IF(AV121*1000000+SUM(X121,AP121)*10000+SUM(R121,AJ121)*100+SUM(L121,AD121)+0.002&gt;AS121*1000000+SUM(U121,AM121)*10000+SUM(O121,AG121)*100+SUM(I121,AA121)+0.005,1,0)+IF(AW121*1000000+SUM(Y121,AQ121)*10000+SUM(S121,AK121)*100+SUM(M121,AE121)+0.001&gt;AS121*1000000+SUM(U121,AM121)*10000+SUM(O121,AG121)*100+SUM(I121,AA121)+0.005,1,0)=1,"I",IF(IF(AR121*1000000+SUM(T121,AL121)*10000+SUM(N121,AF121)*100+SUM(H121,Z121)+0.006&gt;AT121*1000000+SUM(V121,AN121)*10000+SUM(P121,AH121)*100+SUM(J121,AB121)+0.004,1,0)+IF(AS121*1000000+SUM(U121,AM121)*10000+SUM(O121,AG121)*100+SUM(I121,AA121)+0.005&gt;AT121*1000000+SUM(V121,AN121)*10000+SUM(P121,AH121)*100+SUM(J121,AB121)+0.004,1,0)+IF(AU121*1000000+SUM(W121,AO121)*10000+SUM(Q121,AI121)*100+SUM(K121,AC121)+0.003&gt;AT121*1000000+SUM(V121,AN121)*10000+SUM(P121,AH121)*100+SUM(J121,AB121)+0.004,1,0)+IF(AV121*1000000+SUM(X121,AP121)*10000+SUM(R121,AJ121)*100+SUM(L121,AD121)+0.002&gt;AT121*1000000+SUM(V121,AN121)*10000+SUM(P121,AH121)*100+SUM(J121,AB121)+0.004,1,0)+IF(AW121*1000000+SUM(Y121,AQ121)*10000+SUM(S121,AK121)*100+SUM(M121,AE121)+0.001&gt;AT121*1000000+SUM(V121,AN121)*10000+SUM(P121,AH121)*100+SUM(J121,AB121)+0.004,1,0)=1,"A",IF(IF(AR121*1000000+SUM(T121,AL121)*10000+SUM(N121,AF121)*100+SUM(H121,Z121)+0.006&gt;AU121*1000000+SUM(W121,AO121)*10000+SUM(Q121,AI121)*100+SUM(K121,AC121)+0.003,1,0)+IF(AS121*1000000+SUM(U121,AM121)*10000+SUM(O121,AG121)*100+SUM(I121,AA121)+0.005&gt;AU121*1000000+SUM(W121,AO121)*10000+SUM(Q121,AI121)*100+SUM(K121,AC121)+0.003,1,0)+IF(AT121*1000000+SUM(V121,AN121)*10000+SUM(P121,AH121)*100+SUM(J121,AB121)+0.004&gt;AU121*1000000+SUM(W121,AO121)*10000+SUM(Q121,AI121)*100+SUM(K121,AC121)+0.003,1,0)+IF(AV121*1000000+SUM(X121,AP121)*10000+SUM(R121,AJ121)*100+SUM(L121,AD121)+0.002&gt;AU121*1000000+SUM(W121,AO121)*10000+SUM(Q121,AI121)*100+SUM(K121,AC121)+0.003,1,0)+IF(AW121*1000000+SUM(Y121,AQ121)*10000+SUM(S121,AK121)*100+SUM(M121,AE121)+0.001&gt;AU121*1000000+SUM(W121,AO121)*10000+SUM(Q121,AI121)*100+SUM(K121,AC121)+0.003,1,0)=1,"S",IF(IF(AR121*1000000+SUM(T121,AL121)*10000+SUM(N121,AF121)*100+SUM(H121,Z121)+0.006&gt;AV121*1000000+SUM(X121,AP121)*10000+SUM(R121,AJ121)*100+SUM(L121,AD121)+0.002,1,0)+IF(AS121*1000000+SUM(U121,AM121)*10000+SUM(O121,AG121)*100+SUM(I121,AA121)+0.005&gt;AV121*1000000+SUM(X121,AP121)*10000+SUM(R121,AJ121)*100+SUM(L121,AD121)+0.002,1,0)+IF(AT121*1000000+SUM(V121,AN121)*10000+SUM(P121,AH121)*100+SUM(J121,AB121)+0.004&gt;AV121*1000000+SUM(X121,AP121)*10000+SUM(R121,AJ121)*100+SUM(L121,AD121)+0.002,1,0)+IF(AU121*1000000+SUM(W121,AO121)*10000+SUM(Q121,AI121)*100+SUM(K121,AC121)+0.003&gt;AV121*1000000+SUM(X121,AP121)*10000+SUM(R121,AJ121)*100+SUM(L121,AD121)+0.002,1,0)+IF(AW121*1000000+SUM(Y121,AQ121)*10000+SUM(S121,AK121)*100+SUM(M121,AE121)+0.001&gt;AV121*1000000+SUM(X121,AP121)*10000+SUM(R121,AJ121)*100+SUM(L121,AD121)+0.002,1,0)=1,"E",IF(IF(AR121*1000000+SUM(T121,AL121)*10000+SUM(N121,AF121)*100+SUM(H121,Z121)+0.006&gt;AW121*1000000+SUM(Y121,AQ121)*10000+SUM(S121,AK121)*100+SUM(M121,AE121)+0.001,1,0)+IF(AS121*1000000+SUM(U121,AM121)*10000+SUM(O121,AG121)*100+SUM(I121,AA121)+0.005&gt;AW121*1000000+SUM(Y121,AQ121)*10000+SUM(S121,AK121)*100+SUM(M121,AE121)+0.001,1,0)+IF(AT121*1000000+SUM(V121,AN121)*10000+SUM(P121,AH121)*100+SUM(J121,AB121)+0.004&gt;AW121*1000000+SUM(Y121,AQ121)*10000+SUM(S121,AK121)*100+SUM(M121,AE121)+0.001,1,0)+IF(AU121*1000000+SUM(W121,AO121)*10000+SUM(Q121,AI121)*100+SUM(K121,AC121)+0.003&gt;AW121*1000000+SUM(Y121,AQ121)*10000+SUM(S121,AK121)*100+SUM(M121,AE121)+0.001,1,0)+IF(AV121*1000000+SUM(X121,AP121)*10000+SUM(R121,AJ121)*100+SUM(L121,AD121)+0.002&gt;AW121*1000000+SUM(Y121,AQ121)*10000+SUM(S121,AK121)*100+SUM(M121,AE121)+0.001,1,0)=1,"C",""))))))&amp;IF(IF(AS121*1000000+SUM(U121,AM121)*10000+SUM(O121,AG121)*100+SUM(I121,AA121)+0.005&gt;AR121*1000000+SUM(T121,AL121)*10000+SUM(N121,AF121)*100+SUM(H121,Z121)+0.006,1,0)+IF(AT121*1000000+SUM(V121,AN121)*10000+SUM(P121,AH121)*100+SUM(J121,AB121)+0.004&gt;AR121*1000000+SUM(T121,AL121)*10000+SUM(N121,AF121)*100+SUM(H121,Z121)+0.006,1,0)+IF(AU121*1000000+SUM(W121,AO121)*10000+SUM(Q121,AI121)*100+SUM(K121,AC121)+0.003&gt;AR121*1000000+SUM(T121,AL121)*10000+SUM(N121,AF121)*100+SUM(H121,Z121)+0.006,1,0)+IF(AV121*1000000+SUM(X121,AP121)*10000+SUM(R121,AJ121)*100+SUM(L121,AD121)+0.002&gt;AR121*1000000+SUM(T121,AL121)*10000+SUM(N121,AF121)*100+SUM(H121,Z121)+0.006,1,0)+IF(AW121*1000000+SUM(Y121,AQ121)*10000+SUM(S121,AK121)*100+SUM(M121,AE121)+0.001&gt;AR121*1000000+SUM(T121,AL121)*10000+SUM(N121,AF121)*100+SUM(H121,Z121)+0.006,1,0)=2,"R",IF(IF(AR121*1000000+SUM(T121,AL121)*10000+SUM(N121,AF121)*100+SUM(H121,Z121)+0.006&gt;AS121*1000000+SUM(U121,AM121)*10000+SUM(O121,AG121)*100+SUM(I121,AA121)+0.005,1,0)+IF(AT121*1000000+SUM(V121,AN121)*10000+SUM(P121,AH121)*100+SUM(J121,AB121)+0.004&gt;AS121*1000000+SUM(U121,AM121)*10000+SUM(O121,AG121)*100+SUM(I121,AA121)+0.005,1,0)+IF(AU121*1000000+SUM(W121,AO121)*10000+SUM(Q121,AI121)*100+SUM(K121,AC121)+0.003&gt;AS121*1000000+SUM(U121,AM121)*10000+SUM(O121,AG121)*100+SUM(I121,AA121)+0.005,1,0)+IF(AV121*1000000+SUM(X121,AP121)*10000+SUM(R121,AJ121)*100+SUM(L121,AD121)+0.002&gt;AS121*1000000+SUM(U121,AM121)*10000+SUM(O121,AG121)*100+SUM(I121,AA121)+0.005,1,0)+IF(AW121*1000000+SUM(Y121,AQ121)*10000+SUM(S121,AK121)*100+SUM(M121,AE121)+0.001&gt;AS121*1000000+SUM(U121,AM121)*10000+SUM(O121,AG121)*100+SUM(I121,AA121)+0.005,1,0)=2,"I",IF(IF(AR121*1000000+SUM(T121,AL121)*10000+SUM(N121,AF121)*100+SUM(H121,Z121)+0.006&gt;AT121*1000000+SUM(V121,AN121)*10000+SUM(P121,AH121)*100+SUM(J121,AB121)+0.004,1,0)+IF(AS121*1000000+SUM(U121,AM121)*10000+SUM(O121,AG121)*100+SUM(I121,AA121)+0.005&gt;AT121*1000000+SUM(V121,AN121)*10000+SUM(P121,AH121)*100+SUM(J121,AB121)+0.004,1,0)+IF(AU121*1000000+SUM(W121,AO121)*10000+SUM(Q121,AI121)*100+SUM(K121,AC121)+0.003&gt;AT121*1000000+SUM(V121,AN121)*10000+SUM(P121,AH121)*100+SUM(J121,AB121)+0.004,1,0)+IF(AV121*1000000+SUM(X121,AP121)*10000+SUM(R121,AJ121)*100+SUM(L121,AD121)+0.002&gt;AT121*1000000+SUM(V121,AN121)*10000+SUM(P121,AH121)*100+SUM(J121,AB121)+0.004,1,0)+IF(AW121*1000000+SUM(Y121,AQ121)*10000+SUM(S121,AK121)*100+SUM(M121,AE121)+0.001&gt;AT121*1000000+SUM(V121,AN121)*10000+SUM(P121,AH121)*100+SUM(J121,AB121)+0.004,1,0)=2,"A",IF(IF(AR121*1000000+SUM(T121,AL121)*10000+SUM(N121,AF121)*100+SUM(H121,Z121)+0.006&gt;AU121*1000000+SUM(W121,AO121)*10000+SUM(Q121,AI121)*100+SUM(K121,AC121)+0.003,1,0)+IF(AS121*1000000+SUM(U121,AM121)*10000+SUM(O121,AG121)*100+SUM(I121,AA121)+0.005&gt;AU121*1000000+SUM(W121,AO121)*10000+SUM(Q121,AI121)*100+SUM(K121,AC121)+0.003,1,0)+IF(AT121*1000000+SUM(V121,AN121)*10000+SUM(P121,AH121)*100+SUM(J121,AB121)+0.004&gt;AU121*1000000+SUM(W121,AO121)*10000+SUM(Q121,AI121)*100+SUM(K121,AC121)+0.003,1,0)+IF(AV121*1000000+SUM(X121,AP121)*10000+SUM(R121,AJ121)*100+SUM(L121,AD121)+0.002&gt;AU121*1000000+SUM(W121,AO121)*10000+SUM(Q121,AI121)*100+SUM(K121,AC121)+0.003,1,0)+IF(AW121*1000000+SUM(Y121,AQ121)*10000+SUM(S121,AK121)*100+SUM(M121,AE121)+0.001&gt;AU121*1000000+SUM(W121,AO121)*10000+SUM(Q121,AI121)*100+SUM(K121,AC121)+0.003,1,0)=2,"S",IF(IF(AR121*1000000+SUM(T121,AL121)*10000+SUM(N121,AF121)*100+SUM(H121,Z121)+0.006&gt;AV121*1000000+SUM(X121,AP121)*10000+SUM(R121,AJ121)*100+SUM(L121,AD121)+0.002,1,0)+IF(AS121*1000000+SUM(U121,AM121)*10000+SUM(O121,AG121)*100+SUM(I121,AA121)+0.005&gt;AV121*1000000+SUM(X121,AP121)*10000+SUM(R121,AJ121)*100+SUM(L121,AD121)+0.002,1,0)+IF(AT121*1000000+SUM(V121,AN121)*10000+SUM(P121,AH121)*100+SUM(J121,AB121)+0.004&gt;AV121*1000000+SUM(X121,AP121)*10000+SUM(R121,AJ121)*100+SUM(L121,AD121)+0.002,1,0)+IF(AU121*1000000+SUM(W121,AO121)*10000+SUM(Q121,AI121)*100+SUM(K121,AC121)+0.003&gt;AV121*1000000+SUM(X121,AP121)*10000+SUM(R121,AJ121)*100+SUM(L121,AD121)+0.002,1,0)+IF(AW121*1000000+SUM(Y121,AQ121)*10000+SUM(S121,AK121)*100+SUM(M121,AE121)+0.001&gt;AV121*1000000+SUM(X121,AP121)*10000+SUM(R121,AJ121)*100+SUM(L121,AD121)+0.002,1,0)=2,"E",IF(IF(AR121*1000000+SUM(T121,AL121)*10000+SUM(N121,AF121)*100+SUM(H121,Z121)+0.006&gt;AW121*1000000+SUM(Y121,AQ121)*10000+SUM(S121,AK121)*100+SUM(M121,AE121)+0.001,1,0)+IF(AS121*1000000+SUM(U121,AM121)*10000+SUM(O121,AG121)*100+SUM(I121,AA121)+0.005&gt;AW121*1000000+SUM(Y121,AQ121)*10000+SUM(S121,AK121)*100+SUM(M121,AE121)+0.001,1,0)+IF(AT121*1000000+SUM(V121,AN121)*10000+SUM(P121,AH121)*100+SUM(J121,AB121)+0.004&gt;AW121*1000000+SUM(Y121,AQ121)*10000+SUM(S121,AK121)*100+SUM(M121,AE121)+0.001,1,0)+IF(AU121*1000000+SUM(W121,AO121)*10000+SUM(Q121,AI121)*100+SUM(K121,AC121)+0.003&gt;AW121*1000000+SUM(Y121,AQ121)*10000+SUM(S121,AK121)*100+SUM(M121,AE121)+0.001,1,0)+IF(AV121*1000000+SUM(X121,AP121)*10000+SUM(R121,AJ121)*100+SUM(L121,AD121)+0.002&gt;AW121*1000000+SUM(Y121,AQ121)*10000+SUM(S121,AK121)*100+SUM(M121,AE121)+0.001,1,0)=2,"C","")))))))</x:f>
      </x:c>
      <x:c r="AY121" s="27" t="str">
        <x:f>IF(C121="","",IF(LEFT(AX121,1)="R","นักปฏิบัติ",IF(LEFT(AX121,1)="I","นักคิดวิเคราะห์",IF(LEFT(AX121,1)="A","นักสร้างสรรค์",IF(LEFT(AX121,1)="S","ผู้เข้าใจผู้คน",IF(LEFT(AX121,1)="E","ผู้นำการเปลี่ยนแปลง","ผู้จัดระบบ"))))))</x:f>
      </x:c>
    </x:row>
    <x:row r="122">
      <x:c r="A122" s="27"/>
      <x:c r="B122" s="28"/>
      <x:c r="C122" s="27"/>
      <x:c r="D122" s="27"/>
      <x:c r="E122" s="27"/>
      <x:c r="F122" s="27"/>
      <x:c r="G122" s="27"/>
      <x:c r="H122" s="27"/>
      <x:c r="I122" s="27"/>
      <x:c r="J122" s="27"/>
      <x:c r="K122" s="27"/>
      <x:c r="L122" s="27"/>
      <x:c r="M122" s="27"/>
      <x:c r="N122" s="27"/>
      <x:c r="O122" s="27"/>
      <x:c r="P122" s="27"/>
      <x:c r="Q122" s="27"/>
      <x:c r="R122" s="27"/>
      <x:c r="S122" s="27"/>
      <x:c r="T122" s="27"/>
      <x:c r="U122" s="27"/>
      <x:c r="V122" s="27"/>
      <x:c r="W122" s="27"/>
      <x:c r="X122" s="27"/>
      <x:c r="Y122" s="27"/>
      <x:c r="Z122" s="27"/>
      <x:c r="AA122" s="27"/>
      <x:c r="AB122" s="27"/>
      <x:c r="AC122" s="27"/>
      <x:c r="AD122" s="27"/>
      <x:c r="AE122" s="27"/>
      <x:c r="AF122" s="27"/>
      <x:c r="AG122" s="27"/>
      <x:c r="AH122" s="27"/>
      <x:c r="AI122" s="27"/>
      <x:c r="AJ122" s="27"/>
      <x:c r="AK122" s="27"/>
      <x:c r="AL122" s="27"/>
      <x:c r="AM122" s="27"/>
      <x:c r="AN122" s="27"/>
      <x:c r="AO122" s="27"/>
      <x:c r="AP122" s="27"/>
      <x:c r="AQ122" s="27"/>
      <x:c r="AR122" s="27" t="str">
        <x:f>IF(C122="","",SUM(H122,N122,T122,Z122,AF122,AL122))</x:f>
      </x:c>
      <x:c r="AS122" s="27" t="str">
        <x:f>IF(C122="","",SUM(I122,O122,U122,AA122,AG122,AM122))</x:f>
      </x:c>
      <x:c r="AT122" s="27" t="str">
        <x:f>IF(C122="","",SUM(J122,P122,V122,AB122,AH122,AN122))</x:f>
      </x:c>
      <x:c r="AU122" s="27" t="str">
        <x:f>IF(C122="","",SUM(K122,Q122,W122,AC122,AI122,AO122))</x:f>
      </x:c>
      <x:c r="AV122" s="27" t="str">
        <x:f>IF(C122="","",SUM(L122,R122,X122,AD122,AJ122,AP122))</x:f>
      </x:c>
      <x:c r="AW122" s="27" t="str">
        <x:f>IF(C122="","",SUM(M122,S122,Y122,AE122,AK122,AQ122))</x:f>
      </x:c>
      <x:c r="AX122" s="27" t="str">
        <x:f>IF(C122="","",IF(IF(AS122*1000000+SUM(U122,AM122)*10000+SUM(O122,AG122)*100+SUM(I122,AA122)+0.005&gt;AR122*1000000+SUM(T122,AL122)*10000+SUM(N122,AF122)*100+SUM(H122,Z122)+0.006,1,0)+IF(AT122*1000000+SUM(V122,AN122)*10000+SUM(P122,AH122)*100+SUM(J122,AB122)+0.004&gt;AR122*1000000+SUM(T122,AL122)*10000+SUM(N122,AF122)*100+SUM(H122,Z122)+0.006,1,0)+IF(AU122*1000000+SUM(W122,AO122)*10000+SUM(Q122,AI122)*100+SUM(K122,AC122)+0.003&gt;AR122*1000000+SUM(T122,AL122)*10000+SUM(N122,AF122)*100+SUM(H122,Z122)+0.006,1,0)+IF(AV122*1000000+SUM(X122,AP122)*10000+SUM(R122,AJ122)*100+SUM(L122,AD122)+0.002&gt;AR122*1000000+SUM(T122,AL122)*10000+SUM(N122,AF122)*100+SUM(H122,Z122)+0.006,1,0)+IF(AW122*1000000+SUM(Y122,AQ122)*10000+SUM(S122,AK122)*100+SUM(M122,AE122)+0.001&gt;AR122*1000000+SUM(T122,AL122)*10000+SUM(N122,AF122)*100+SUM(H122,Z122)+0.006,1,0)=0,"R",IF(IF(AR122*1000000+SUM(T122,AL122)*10000+SUM(N122,AF122)*100+SUM(H122,Z122)+0.006&gt;AS122*1000000+SUM(U122,AM122)*10000+SUM(O122,AG122)*100+SUM(I122,AA122)+0.005,1,0)+IF(AT122*1000000+SUM(V122,AN122)*10000+SUM(P122,AH122)*100+SUM(J122,AB122)+0.004&gt;AS122*1000000+SUM(U122,AM122)*10000+SUM(O122,AG122)*100+SUM(I122,AA122)+0.005,1,0)+IF(AU122*1000000+SUM(W122,AO122)*10000+SUM(Q122,AI122)*100+SUM(K122,AC122)+0.003&gt;AS122*1000000+SUM(U122,AM122)*10000+SUM(O122,AG122)*100+SUM(I122,AA122)+0.005,1,0)+IF(AV122*1000000+SUM(X122,AP122)*10000+SUM(R122,AJ122)*100+SUM(L122,AD122)+0.002&gt;AS122*1000000+SUM(U122,AM122)*10000+SUM(O122,AG122)*100+SUM(I122,AA122)+0.005,1,0)+IF(AW122*1000000+SUM(Y122,AQ122)*10000+SUM(S122,AK122)*100+SUM(M122,AE122)+0.001&gt;AS122*1000000+SUM(U122,AM122)*10000+SUM(O122,AG122)*100+SUM(I122,AA122)+0.005,1,0)=0,"I",IF(IF(AR122*1000000+SUM(T122,AL122)*10000+SUM(N122,AF122)*100+SUM(H122,Z122)+0.006&gt;AT122*1000000+SUM(V122,AN122)*10000+SUM(P122,AH122)*100+SUM(J122,AB122)+0.004,1,0)+IF(AS122*1000000+SUM(U122,AM122)*10000+SUM(O122,AG122)*100+SUM(I122,AA122)+0.005&gt;AT122*1000000+SUM(V122,AN122)*10000+SUM(P122,AH122)*100+SUM(J122,AB122)+0.004,1,0)+IF(AU122*1000000+SUM(W122,AO122)*10000+SUM(Q122,AI122)*100+SUM(K122,AC122)+0.003&gt;AT122*1000000+SUM(V122,AN122)*10000+SUM(P122,AH122)*100+SUM(J122,AB122)+0.004,1,0)+IF(AV122*1000000+SUM(X122,AP122)*10000+SUM(R122,AJ122)*100+SUM(L122,AD122)+0.002&gt;AT122*1000000+SUM(V122,AN122)*10000+SUM(P122,AH122)*100+SUM(J122,AB122)+0.004,1,0)+IF(AW122*1000000+SUM(Y122,AQ122)*10000+SUM(S122,AK122)*100+SUM(M122,AE122)+0.001&gt;AT122*1000000+SUM(V122,AN122)*10000+SUM(P122,AH122)*100+SUM(J122,AB122)+0.004,1,0)=0,"A",IF(IF(AR122*1000000+SUM(T122,AL122)*10000+SUM(N122,AF122)*100+SUM(H122,Z122)+0.006&gt;AU122*1000000+SUM(W122,AO122)*10000+SUM(Q122,AI122)*100+SUM(K122,AC122)+0.003,1,0)+IF(AS122*1000000+SUM(U122,AM122)*10000+SUM(O122,AG122)*100+SUM(I122,AA122)+0.005&gt;AU122*1000000+SUM(W122,AO122)*10000+SUM(Q122,AI122)*100+SUM(K122,AC122)+0.003,1,0)+IF(AT122*1000000+SUM(V122,AN122)*10000+SUM(P122,AH122)*100+SUM(J122,AB122)+0.004&gt;AU122*1000000+SUM(W122,AO122)*10000+SUM(Q122,AI122)*100+SUM(K122,AC122)+0.003,1,0)+IF(AV122*1000000+SUM(X122,AP122)*10000+SUM(R122,AJ122)*100+SUM(L122,AD122)+0.002&gt;AU122*1000000+SUM(W122,AO122)*10000+SUM(Q122,AI122)*100+SUM(K122,AC122)+0.003,1,0)+IF(AW122*1000000+SUM(Y122,AQ122)*10000+SUM(S122,AK122)*100+SUM(M122,AE122)+0.001&gt;AU122*1000000+SUM(W122,AO122)*10000+SUM(Q122,AI122)*100+SUM(K122,AC122)+0.003,1,0)=0,"S",IF(IF(AR122*1000000+SUM(T122,AL122)*10000+SUM(N122,AF122)*100+SUM(H122,Z122)+0.006&gt;AV122*1000000+SUM(X122,AP122)*10000+SUM(R122,AJ122)*100+SUM(L122,AD122)+0.002,1,0)+IF(AS122*1000000+SUM(U122,AM122)*10000+SUM(O122,AG122)*100+SUM(I122,AA122)+0.005&gt;AV122*1000000+SUM(X122,AP122)*10000+SUM(R122,AJ122)*100+SUM(L122,AD122)+0.002,1,0)+IF(AT122*1000000+SUM(V122,AN122)*10000+SUM(P122,AH122)*100+SUM(J122,AB122)+0.004&gt;AV122*1000000+SUM(X122,AP122)*10000+SUM(R122,AJ122)*100+SUM(L122,AD122)+0.002,1,0)+IF(AU122*1000000+SUM(W122,AO122)*10000+SUM(Q122,AI122)*100+SUM(K122,AC122)+0.003&gt;AV122*1000000+SUM(X122,AP122)*10000+SUM(R122,AJ122)*100+SUM(L122,AD122)+0.002,1,0)+IF(AW122*1000000+SUM(Y122,AQ122)*10000+SUM(S122,AK122)*100+SUM(M122,AE122)+0.001&gt;AV122*1000000+SUM(X122,AP122)*10000+SUM(R122,AJ122)*100+SUM(L122,AD122)+0.002,1,0)=0,"E",IF(IF(AR122*1000000+SUM(T122,AL122)*10000+SUM(N122,AF122)*100+SUM(H122,Z122)+0.006&gt;AW122*1000000+SUM(Y122,AQ122)*10000+SUM(S122,AK122)*100+SUM(M122,AE122)+0.001,1,0)+IF(AS122*1000000+SUM(U122,AM122)*10000+SUM(O122,AG122)*100+SUM(I122,AA122)+0.005&gt;AW122*1000000+SUM(Y122,AQ122)*10000+SUM(S122,AK122)*100+SUM(M122,AE122)+0.001,1,0)+IF(AT122*1000000+SUM(V122,AN122)*10000+SUM(P122,AH122)*100+SUM(J122,AB122)+0.004&gt;AW122*1000000+SUM(Y122,AQ122)*10000+SUM(S122,AK122)*100+SUM(M122,AE122)+0.001,1,0)+IF(AU122*1000000+SUM(W122,AO122)*10000+SUM(Q122,AI122)*100+SUM(K122,AC122)+0.003&gt;AW122*1000000+SUM(Y122,AQ122)*10000+SUM(S122,AK122)*100+SUM(M122,AE122)+0.001,1,0)+IF(AV122*1000000+SUM(X122,AP122)*10000+SUM(R122,AJ122)*100+SUM(L122,AD122)+0.002&gt;AW122*1000000+SUM(Y122,AQ122)*10000+SUM(S122,AK122)*100+SUM(M122,AE122)+0.001,1,0)=0,"C",""))))))&amp;IF(IF(AS122*1000000+SUM(U122,AM122)*10000+SUM(O122,AG122)*100+SUM(I122,AA122)+0.005&gt;AR122*1000000+SUM(T122,AL122)*10000+SUM(N122,AF122)*100+SUM(H122,Z122)+0.006,1,0)+IF(AT122*1000000+SUM(V122,AN122)*10000+SUM(P122,AH122)*100+SUM(J122,AB122)+0.004&gt;AR122*1000000+SUM(T122,AL122)*10000+SUM(N122,AF122)*100+SUM(H122,Z122)+0.006,1,0)+IF(AU122*1000000+SUM(W122,AO122)*10000+SUM(Q122,AI122)*100+SUM(K122,AC122)+0.003&gt;AR122*1000000+SUM(T122,AL122)*10000+SUM(N122,AF122)*100+SUM(H122,Z122)+0.006,1,0)+IF(AV122*1000000+SUM(X122,AP122)*10000+SUM(R122,AJ122)*100+SUM(L122,AD122)+0.002&gt;AR122*1000000+SUM(T122,AL122)*10000+SUM(N122,AF122)*100+SUM(H122,Z122)+0.006,1,0)+IF(AW122*1000000+SUM(Y122,AQ122)*10000+SUM(S122,AK122)*100+SUM(M122,AE122)+0.001&gt;AR122*1000000+SUM(T122,AL122)*10000+SUM(N122,AF122)*100+SUM(H122,Z122)+0.006,1,0)=1,"R",IF(IF(AR122*1000000+SUM(T122,AL122)*10000+SUM(N122,AF122)*100+SUM(H122,Z122)+0.006&gt;AS122*1000000+SUM(U122,AM122)*10000+SUM(O122,AG122)*100+SUM(I122,AA122)+0.005,1,0)+IF(AT122*1000000+SUM(V122,AN122)*10000+SUM(P122,AH122)*100+SUM(J122,AB122)+0.004&gt;AS122*1000000+SUM(U122,AM122)*10000+SUM(O122,AG122)*100+SUM(I122,AA122)+0.005,1,0)+IF(AU122*1000000+SUM(W122,AO122)*10000+SUM(Q122,AI122)*100+SUM(K122,AC122)+0.003&gt;AS122*1000000+SUM(U122,AM122)*10000+SUM(O122,AG122)*100+SUM(I122,AA122)+0.005,1,0)+IF(AV122*1000000+SUM(X122,AP122)*10000+SUM(R122,AJ122)*100+SUM(L122,AD122)+0.002&gt;AS122*1000000+SUM(U122,AM122)*10000+SUM(O122,AG122)*100+SUM(I122,AA122)+0.005,1,0)+IF(AW122*1000000+SUM(Y122,AQ122)*10000+SUM(S122,AK122)*100+SUM(M122,AE122)+0.001&gt;AS122*1000000+SUM(U122,AM122)*10000+SUM(O122,AG122)*100+SUM(I122,AA122)+0.005,1,0)=1,"I",IF(IF(AR122*1000000+SUM(T122,AL122)*10000+SUM(N122,AF122)*100+SUM(H122,Z122)+0.006&gt;AT122*1000000+SUM(V122,AN122)*10000+SUM(P122,AH122)*100+SUM(J122,AB122)+0.004,1,0)+IF(AS122*1000000+SUM(U122,AM122)*10000+SUM(O122,AG122)*100+SUM(I122,AA122)+0.005&gt;AT122*1000000+SUM(V122,AN122)*10000+SUM(P122,AH122)*100+SUM(J122,AB122)+0.004,1,0)+IF(AU122*1000000+SUM(W122,AO122)*10000+SUM(Q122,AI122)*100+SUM(K122,AC122)+0.003&gt;AT122*1000000+SUM(V122,AN122)*10000+SUM(P122,AH122)*100+SUM(J122,AB122)+0.004,1,0)+IF(AV122*1000000+SUM(X122,AP122)*10000+SUM(R122,AJ122)*100+SUM(L122,AD122)+0.002&gt;AT122*1000000+SUM(V122,AN122)*10000+SUM(P122,AH122)*100+SUM(J122,AB122)+0.004,1,0)+IF(AW122*1000000+SUM(Y122,AQ122)*10000+SUM(S122,AK122)*100+SUM(M122,AE122)+0.001&gt;AT122*1000000+SUM(V122,AN122)*10000+SUM(P122,AH122)*100+SUM(J122,AB122)+0.004,1,0)=1,"A",IF(IF(AR122*1000000+SUM(T122,AL122)*10000+SUM(N122,AF122)*100+SUM(H122,Z122)+0.006&gt;AU122*1000000+SUM(W122,AO122)*10000+SUM(Q122,AI122)*100+SUM(K122,AC122)+0.003,1,0)+IF(AS122*1000000+SUM(U122,AM122)*10000+SUM(O122,AG122)*100+SUM(I122,AA122)+0.005&gt;AU122*1000000+SUM(W122,AO122)*10000+SUM(Q122,AI122)*100+SUM(K122,AC122)+0.003,1,0)+IF(AT122*1000000+SUM(V122,AN122)*10000+SUM(P122,AH122)*100+SUM(J122,AB122)+0.004&gt;AU122*1000000+SUM(W122,AO122)*10000+SUM(Q122,AI122)*100+SUM(K122,AC122)+0.003,1,0)+IF(AV122*1000000+SUM(X122,AP122)*10000+SUM(R122,AJ122)*100+SUM(L122,AD122)+0.002&gt;AU122*1000000+SUM(W122,AO122)*10000+SUM(Q122,AI122)*100+SUM(K122,AC122)+0.003,1,0)+IF(AW122*1000000+SUM(Y122,AQ122)*10000+SUM(S122,AK122)*100+SUM(M122,AE122)+0.001&gt;AU122*1000000+SUM(W122,AO122)*10000+SUM(Q122,AI122)*100+SUM(K122,AC122)+0.003,1,0)=1,"S",IF(IF(AR122*1000000+SUM(T122,AL122)*10000+SUM(N122,AF122)*100+SUM(H122,Z122)+0.006&gt;AV122*1000000+SUM(X122,AP122)*10000+SUM(R122,AJ122)*100+SUM(L122,AD122)+0.002,1,0)+IF(AS122*1000000+SUM(U122,AM122)*10000+SUM(O122,AG122)*100+SUM(I122,AA122)+0.005&gt;AV122*1000000+SUM(X122,AP122)*10000+SUM(R122,AJ122)*100+SUM(L122,AD122)+0.002,1,0)+IF(AT122*1000000+SUM(V122,AN122)*10000+SUM(P122,AH122)*100+SUM(J122,AB122)+0.004&gt;AV122*1000000+SUM(X122,AP122)*10000+SUM(R122,AJ122)*100+SUM(L122,AD122)+0.002,1,0)+IF(AU122*1000000+SUM(W122,AO122)*10000+SUM(Q122,AI122)*100+SUM(K122,AC122)+0.003&gt;AV122*1000000+SUM(X122,AP122)*10000+SUM(R122,AJ122)*100+SUM(L122,AD122)+0.002,1,0)+IF(AW122*1000000+SUM(Y122,AQ122)*10000+SUM(S122,AK122)*100+SUM(M122,AE122)+0.001&gt;AV122*1000000+SUM(X122,AP122)*10000+SUM(R122,AJ122)*100+SUM(L122,AD122)+0.002,1,0)=1,"E",IF(IF(AR122*1000000+SUM(T122,AL122)*10000+SUM(N122,AF122)*100+SUM(H122,Z122)+0.006&gt;AW122*1000000+SUM(Y122,AQ122)*10000+SUM(S122,AK122)*100+SUM(M122,AE122)+0.001,1,0)+IF(AS122*1000000+SUM(U122,AM122)*10000+SUM(O122,AG122)*100+SUM(I122,AA122)+0.005&gt;AW122*1000000+SUM(Y122,AQ122)*10000+SUM(S122,AK122)*100+SUM(M122,AE122)+0.001,1,0)+IF(AT122*1000000+SUM(V122,AN122)*10000+SUM(P122,AH122)*100+SUM(J122,AB122)+0.004&gt;AW122*1000000+SUM(Y122,AQ122)*10000+SUM(S122,AK122)*100+SUM(M122,AE122)+0.001,1,0)+IF(AU122*1000000+SUM(W122,AO122)*10000+SUM(Q122,AI122)*100+SUM(K122,AC122)+0.003&gt;AW122*1000000+SUM(Y122,AQ122)*10000+SUM(S122,AK122)*100+SUM(M122,AE122)+0.001,1,0)+IF(AV122*1000000+SUM(X122,AP122)*10000+SUM(R122,AJ122)*100+SUM(L122,AD122)+0.002&gt;AW122*1000000+SUM(Y122,AQ122)*10000+SUM(S122,AK122)*100+SUM(M122,AE122)+0.001,1,0)=1,"C",""))))))&amp;IF(IF(AS122*1000000+SUM(U122,AM122)*10000+SUM(O122,AG122)*100+SUM(I122,AA122)+0.005&gt;AR122*1000000+SUM(T122,AL122)*10000+SUM(N122,AF122)*100+SUM(H122,Z122)+0.006,1,0)+IF(AT122*1000000+SUM(V122,AN122)*10000+SUM(P122,AH122)*100+SUM(J122,AB122)+0.004&gt;AR122*1000000+SUM(T122,AL122)*10000+SUM(N122,AF122)*100+SUM(H122,Z122)+0.006,1,0)+IF(AU122*1000000+SUM(W122,AO122)*10000+SUM(Q122,AI122)*100+SUM(K122,AC122)+0.003&gt;AR122*1000000+SUM(T122,AL122)*10000+SUM(N122,AF122)*100+SUM(H122,Z122)+0.006,1,0)+IF(AV122*1000000+SUM(X122,AP122)*10000+SUM(R122,AJ122)*100+SUM(L122,AD122)+0.002&gt;AR122*1000000+SUM(T122,AL122)*10000+SUM(N122,AF122)*100+SUM(H122,Z122)+0.006,1,0)+IF(AW122*1000000+SUM(Y122,AQ122)*10000+SUM(S122,AK122)*100+SUM(M122,AE122)+0.001&gt;AR122*1000000+SUM(T122,AL122)*10000+SUM(N122,AF122)*100+SUM(H122,Z122)+0.006,1,0)=2,"R",IF(IF(AR122*1000000+SUM(T122,AL122)*10000+SUM(N122,AF122)*100+SUM(H122,Z122)+0.006&gt;AS122*1000000+SUM(U122,AM122)*10000+SUM(O122,AG122)*100+SUM(I122,AA122)+0.005,1,0)+IF(AT122*1000000+SUM(V122,AN122)*10000+SUM(P122,AH122)*100+SUM(J122,AB122)+0.004&gt;AS122*1000000+SUM(U122,AM122)*10000+SUM(O122,AG122)*100+SUM(I122,AA122)+0.005,1,0)+IF(AU122*1000000+SUM(W122,AO122)*10000+SUM(Q122,AI122)*100+SUM(K122,AC122)+0.003&gt;AS122*1000000+SUM(U122,AM122)*10000+SUM(O122,AG122)*100+SUM(I122,AA122)+0.005,1,0)+IF(AV122*1000000+SUM(X122,AP122)*10000+SUM(R122,AJ122)*100+SUM(L122,AD122)+0.002&gt;AS122*1000000+SUM(U122,AM122)*10000+SUM(O122,AG122)*100+SUM(I122,AA122)+0.005,1,0)+IF(AW122*1000000+SUM(Y122,AQ122)*10000+SUM(S122,AK122)*100+SUM(M122,AE122)+0.001&gt;AS122*1000000+SUM(U122,AM122)*10000+SUM(O122,AG122)*100+SUM(I122,AA122)+0.005,1,0)=2,"I",IF(IF(AR122*1000000+SUM(T122,AL122)*10000+SUM(N122,AF122)*100+SUM(H122,Z122)+0.006&gt;AT122*1000000+SUM(V122,AN122)*10000+SUM(P122,AH122)*100+SUM(J122,AB122)+0.004,1,0)+IF(AS122*1000000+SUM(U122,AM122)*10000+SUM(O122,AG122)*100+SUM(I122,AA122)+0.005&gt;AT122*1000000+SUM(V122,AN122)*10000+SUM(P122,AH122)*100+SUM(J122,AB122)+0.004,1,0)+IF(AU122*1000000+SUM(W122,AO122)*10000+SUM(Q122,AI122)*100+SUM(K122,AC122)+0.003&gt;AT122*1000000+SUM(V122,AN122)*10000+SUM(P122,AH122)*100+SUM(J122,AB122)+0.004,1,0)+IF(AV122*1000000+SUM(X122,AP122)*10000+SUM(R122,AJ122)*100+SUM(L122,AD122)+0.002&gt;AT122*1000000+SUM(V122,AN122)*10000+SUM(P122,AH122)*100+SUM(J122,AB122)+0.004,1,0)+IF(AW122*1000000+SUM(Y122,AQ122)*10000+SUM(S122,AK122)*100+SUM(M122,AE122)+0.001&gt;AT122*1000000+SUM(V122,AN122)*10000+SUM(P122,AH122)*100+SUM(J122,AB122)+0.004,1,0)=2,"A",IF(IF(AR122*1000000+SUM(T122,AL122)*10000+SUM(N122,AF122)*100+SUM(H122,Z122)+0.006&gt;AU122*1000000+SUM(W122,AO122)*10000+SUM(Q122,AI122)*100+SUM(K122,AC122)+0.003,1,0)+IF(AS122*1000000+SUM(U122,AM122)*10000+SUM(O122,AG122)*100+SUM(I122,AA122)+0.005&gt;AU122*1000000+SUM(W122,AO122)*10000+SUM(Q122,AI122)*100+SUM(K122,AC122)+0.003,1,0)+IF(AT122*1000000+SUM(V122,AN122)*10000+SUM(P122,AH122)*100+SUM(J122,AB122)+0.004&gt;AU122*1000000+SUM(W122,AO122)*10000+SUM(Q122,AI122)*100+SUM(K122,AC122)+0.003,1,0)+IF(AV122*1000000+SUM(X122,AP122)*10000+SUM(R122,AJ122)*100+SUM(L122,AD122)+0.002&gt;AU122*1000000+SUM(W122,AO122)*10000+SUM(Q122,AI122)*100+SUM(K122,AC122)+0.003,1,0)+IF(AW122*1000000+SUM(Y122,AQ122)*10000+SUM(S122,AK122)*100+SUM(M122,AE122)+0.001&gt;AU122*1000000+SUM(W122,AO122)*10000+SUM(Q122,AI122)*100+SUM(K122,AC122)+0.003,1,0)=2,"S",IF(IF(AR122*1000000+SUM(T122,AL122)*10000+SUM(N122,AF122)*100+SUM(H122,Z122)+0.006&gt;AV122*1000000+SUM(X122,AP122)*10000+SUM(R122,AJ122)*100+SUM(L122,AD122)+0.002,1,0)+IF(AS122*1000000+SUM(U122,AM122)*10000+SUM(O122,AG122)*100+SUM(I122,AA122)+0.005&gt;AV122*1000000+SUM(X122,AP122)*10000+SUM(R122,AJ122)*100+SUM(L122,AD122)+0.002,1,0)+IF(AT122*1000000+SUM(V122,AN122)*10000+SUM(P122,AH122)*100+SUM(J122,AB122)+0.004&gt;AV122*1000000+SUM(X122,AP122)*10000+SUM(R122,AJ122)*100+SUM(L122,AD122)+0.002,1,0)+IF(AU122*1000000+SUM(W122,AO122)*10000+SUM(Q122,AI122)*100+SUM(K122,AC122)+0.003&gt;AV122*1000000+SUM(X122,AP122)*10000+SUM(R122,AJ122)*100+SUM(L122,AD122)+0.002,1,0)+IF(AW122*1000000+SUM(Y122,AQ122)*10000+SUM(S122,AK122)*100+SUM(M122,AE122)+0.001&gt;AV122*1000000+SUM(X122,AP122)*10000+SUM(R122,AJ122)*100+SUM(L122,AD122)+0.002,1,0)=2,"E",IF(IF(AR122*1000000+SUM(T122,AL122)*10000+SUM(N122,AF122)*100+SUM(H122,Z122)+0.006&gt;AW122*1000000+SUM(Y122,AQ122)*10000+SUM(S122,AK122)*100+SUM(M122,AE122)+0.001,1,0)+IF(AS122*1000000+SUM(U122,AM122)*10000+SUM(O122,AG122)*100+SUM(I122,AA122)+0.005&gt;AW122*1000000+SUM(Y122,AQ122)*10000+SUM(S122,AK122)*100+SUM(M122,AE122)+0.001,1,0)+IF(AT122*1000000+SUM(V122,AN122)*10000+SUM(P122,AH122)*100+SUM(J122,AB122)+0.004&gt;AW122*1000000+SUM(Y122,AQ122)*10000+SUM(S122,AK122)*100+SUM(M122,AE122)+0.001,1,0)+IF(AU122*1000000+SUM(W122,AO122)*10000+SUM(Q122,AI122)*100+SUM(K122,AC122)+0.003&gt;AW122*1000000+SUM(Y122,AQ122)*10000+SUM(S122,AK122)*100+SUM(M122,AE122)+0.001,1,0)+IF(AV122*1000000+SUM(X122,AP122)*10000+SUM(R122,AJ122)*100+SUM(L122,AD122)+0.002&gt;AW122*1000000+SUM(Y122,AQ122)*10000+SUM(S122,AK122)*100+SUM(M122,AE122)+0.001,1,0)=2,"C","")))))))</x:f>
      </x:c>
      <x:c r="AY122" s="27" t="str">
        <x:f>IF(C122="","",IF(LEFT(AX122,1)="R","นักปฏิบัติ",IF(LEFT(AX122,1)="I","นักคิดวิเคราะห์",IF(LEFT(AX122,1)="A","นักสร้างสรรค์",IF(LEFT(AX122,1)="S","ผู้เข้าใจผู้คน",IF(LEFT(AX122,1)="E","ผู้นำการเปลี่ยนแปลง","ผู้จัดระบบ"))))))</x:f>
      </x:c>
    </x:row>
    <x:row r="123">
      <x:c r="A123" s="27"/>
      <x:c r="B123" s="28"/>
      <x:c r="C123" s="27"/>
      <x:c r="D123" s="27"/>
      <x:c r="E123" s="27"/>
      <x:c r="F123" s="27"/>
      <x:c r="G123" s="27"/>
      <x:c r="H123" s="27"/>
      <x:c r="I123" s="27"/>
      <x:c r="J123" s="27"/>
      <x:c r="K123" s="27"/>
      <x:c r="L123" s="27"/>
      <x:c r="M123" s="27"/>
      <x:c r="N123" s="27"/>
      <x:c r="O123" s="27"/>
      <x:c r="P123" s="27"/>
      <x:c r="Q123" s="27"/>
      <x:c r="R123" s="27"/>
      <x:c r="S123" s="27"/>
      <x:c r="T123" s="27"/>
      <x:c r="U123" s="27"/>
      <x:c r="V123" s="27"/>
      <x:c r="W123" s="27"/>
      <x:c r="X123" s="27"/>
      <x:c r="Y123" s="27"/>
      <x:c r="Z123" s="27"/>
      <x:c r="AA123" s="27"/>
      <x:c r="AB123" s="27"/>
      <x:c r="AC123" s="27"/>
      <x:c r="AD123" s="27"/>
      <x:c r="AE123" s="27"/>
      <x:c r="AF123" s="27"/>
      <x:c r="AG123" s="27"/>
      <x:c r="AH123" s="27"/>
      <x:c r="AI123" s="27"/>
      <x:c r="AJ123" s="27"/>
      <x:c r="AK123" s="27"/>
      <x:c r="AL123" s="27"/>
      <x:c r="AM123" s="27"/>
      <x:c r="AN123" s="27"/>
      <x:c r="AO123" s="27"/>
      <x:c r="AP123" s="27"/>
      <x:c r="AQ123" s="27"/>
      <x:c r="AR123" s="27" t="str">
        <x:f>IF(C123="","",SUM(H123,N123,T123,Z123,AF123,AL123))</x:f>
      </x:c>
      <x:c r="AS123" s="27" t="str">
        <x:f>IF(C123="","",SUM(I123,O123,U123,AA123,AG123,AM123))</x:f>
      </x:c>
      <x:c r="AT123" s="27" t="str">
        <x:f>IF(C123="","",SUM(J123,P123,V123,AB123,AH123,AN123))</x:f>
      </x:c>
      <x:c r="AU123" s="27" t="str">
        <x:f>IF(C123="","",SUM(K123,Q123,W123,AC123,AI123,AO123))</x:f>
      </x:c>
      <x:c r="AV123" s="27" t="str">
        <x:f>IF(C123="","",SUM(L123,R123,X123,AD123,AJ123,AP123))</x:f>
      </x:c>
      <x:c r="AW123" s="27" t="str">
        <x:f>IF(C123="","",SUM(M123,S123,Y123,AE123,AK123,AQ123))</x:f>
      </x:c>
      <x:c r="AX123" s="27" t="str">
        <x:f>IF(C123="","",IF(IF(AS123*1000000+SUM(U123,AM123)*10000+SUM(O123,AG123)*100+SUM(I123,AA123)+0.005&gt;AR123*1000000+SUM(T123,AL123)*10000+SUM(N123,AF123)*100+SUM(H123,Z123)+0.006,1,0)+IF(AT123*1000000+SUM(V123,AN123)*10000+SUM(P123,AH123)*100+SUM(J123,AB123)+0.004&gt;AR123*1000000+SUM(T123,AL123)*10000+SUM(N123,AF123)*100+SUM(H123,Z123)+0.006,1,0)+IF(AU123*1000000+SUM(W123,AO123)*10000+SUM(Q123,AI123)*100+SUM(K123,AC123)+0.003&gt;AR123*1000000+SUM(T123,AL123)*10000+SUM(N123,AF123)*100+SUM(H123,Z123)+0.006,1,0)+IF(AV123*1000000+SUM(X123,AP123)*10000+SUM(R123,AJ123)*100+SUM(L123,AD123)+0.002&gt;AR123*1000000+SUM(T123,AL123)*10000+SUM(N123,AF123)*100+SUM(H123,Z123)+0.006,1,0)+IF(AW123*1000000+SUM(Y123,AQ123)*10000+SUM(S123,AK123)*100+SUM(M123,AE123)+0.001&gt;AR123*1000000+SUM(T123,AL123)*10000+SUM(N123,AF123)*100+SUM(H123,Z123)+0.006,1,0)=0,"R",IF(IF(AR123*1000000+SUM(T123,AL123)*10000+SUM(N123,AF123)*100+SUM(H123,Z123)+0.006&gt;AS123*1000000+SUM(U123,AM123)*10000+SUM(O123,AG123)*100+SUM(I123,AA123)+0.005,1,0)+IF(AT123*1000000+SUM(V123,AN123)*10000+SUM(P123,AH123)*100+SUM(J123,AB123)+0.004&gt;AS123*1000000+SUM(U123,AM123)*10000+SUM(O123,AG123)*100+SUM(I123,AA123)+0.005,1,0)+IF(AU123*1000000+SUM(W123,AO123)*10000+SUM(Q123,AI123)*100+SUM(K123,AC123)+0.003&gt;AS123*1000000+SUM(U123,AM123)*10000+SUM(O123,AG123)*100+SUM(I123,AA123)+0.005,1,0)+IF(AV123*1000000+SUM(X123,AP123)*10000+SUM(R123,AJ123)*100+SUM(L123,AD123)+0.002&gt;AS123*1000000+SUM(U123,AM123)*10000+SUM(O123,AG123)*100+SUM(I123,AA123)+0.005,1,0)+IF(AW123*1000000+SUM(Y123,AQ123)*10000+SUM(S123,AK123)*100+SUM(M123,AE123)+0.001&gt;AS123*1000000+SUM(U123,AM123)*10000+SUM(O123,AG123)*100+SUM(I123,AA123)+0.005,1,0)=0,"I",IF(IF(AR123*1000000+SUM(T123,AL123)*10000+SUM(N123,AF123)*100+SUM(H123,Z123)+0.006&gt;AT123*1000000+SUM(V123,AN123)*10000+SUM(P123,AH123)*100+SUM(J123,AB123)+0.004,1,0)+IF(AS123*1000000+SUM(U123,AM123)*10000+SUM(O123,AG123)*100+SUM(I123,AA123)+0.005&gt;AT123*1000000+SUM(V123,AN123)*10000+SUM(P123,AH123)*100+SUM(J123,AB123)+0.004,1,0)+IF(AU123*1000000+SUM(W123,AO123)*10000+SUM(Q123,AI123)*100+SUM(K123,AC123)+0.003&gt;AT123*1000000+SUM(V123,AN123)*10000+SUM(P123,AH123)*100+SUM(J123,AB123)+0.004,1,0)+IF(AV123*1000000+SUM(X123,AP123)*10000+SUM(R123,AJ123)*100+SUM(L123,AD123)+0.002&gt;AT123*1000000+SUM(V123,AN123)*10000+SUM(P123,AH123)*100+SUM(J123,AB123)+0.004,1,0)+IF(AW123*1000000+SUM(Y123,AQ123)*10000+SUM(S123,AK123)*100+SUM(M123,AE123)+0.001&gt;AT123*1000000+SUM(V123,AN123)*10000+SUM(P123,AH123)*100+SUM(J123,AB123)+0.004,1,0)=0,"A",IF(IF(AR123*1000000+SUM(T123,AL123)*10000+SUM(N123,AF123)*100+SUM(H123,Z123)+0.006&gt;AU123*1000000+SUM(W123,AO123)*10000+SUM(Q123,AI123)*100+SUM(K123,AC123)+0.003,1,0)+IF(AS123*1000000+SUM(U123,AM123)*10000+SUM(O123,AG123)*100+SUM(I123,AA123)+0.005&gt;AU123*1000000+SUM(W123,AO123)*10000+SUM(Q123,AI123)*100+SUM(K123,AC123)+0.003,1,0)+IF(AT123*1000000+SUM(V123,AN123)*10000+SUM(P123,AH123)*100+SUM(J123,AB123)+0.004&gt;AU123*1000000+SUM(W123,AO123)*10000+SUM(Q123,AI123)*100+SUM(K123,AC123)+0.003,1,0)+IF(AV123*1000000+SUM(X123,AP123)*10000+SUM(R123,AJ123)*100+SUM(L123,AD123)+0.002&gt;AU123*1000000+SUM(W123,AO123)*10000+SUM(Q123,AI123)*100+SUM(K123,AC123)+0.003,1,0)+IF(AW123*1000000+SUM(Y123,AQ123)*10000+SUM(S123,AK123)*100+SUM(M123,AE123)+0.001&gt;AU123*1000000+SUM(W123,AO123)*10000+SUM(Q123,AI123)*100+SUM(K123,AC123)+0.003,1,0)=0,"S",IF(IF(AR123*1000000+SUM(T123,AL123)*10000+SUM(N123,AF123)*100+SUM(H123,Z123)+0.006&gt;AV123*1000000+SUM(X123,AP123)*10000+SUM(R123,AJ123)*100+SUM(L123,AD123)+0.002,1,0)+IF(AS123*1000000+SUM(U123,AM123)*10000+SUM(O123,AG123)*100+SUM(I123,AA123)+0.005&gt;AV123*1000000+SUM(X123,AP123)*10000+SUM(R123,AJ123)*100+SUM(L123,AD123)+0.002,1,0)+IF(AT123*1000000+SUM(V123,AN123)*10000+SUM(P123,AH123)*100+SUM(J123,AB123)+0.004&gt;AV123*1000000+SUM(X123,AP123)*10000+SUM(R123,AJ123)*100+SUM(L123,AD123)+0.002,1,0)+IF(AU123*1000000+SUM(W123,AO123)*10000+SUM(Q123,AI123)*100+SUM(K123,AC123)+0.003&gt;AV123*1000000+SUM(X123,AP123)*10000+SUM(R123,AJ123)*100+SUM(L123,AD123)+0.002,1,0)+IF(AW123*1000000+SUM(Y123,AQ123)*10000+SUM(S123,AK123)*100+SUM(M123,AE123)+0.001&gt;AV123*1000000+SUM(X123,AP123)*10000+SUM(R123,AJ123)*100+SUM(L123,AD123)+0.002,1,0)=0,"E",IF(IF(AR123*1000000+SUM(T123,AL123)*10000+SUM(N123,AF123)*100+SUM(H123,Z123)+0.006&gt;AW123*1000000+SUM(Y123,AQ123)*10000+SUM(S123,AK123)*100+SUM(M123,AE123)+0.001,1,0)+IF(AS123*1000000+SUM(U123,AM123)*10000+SUM(O123,AG123)*100+SUM(I123,AA123)+0.005&gt;AW123*1000000+SUM(Y123,AQ123)*10000+SUM(S123,AK123)*100+SUM(M123,AE123)+0.001,1,0)+IF(AT123*1000000+SUM(V123,AN123)*10000+SUM(P123,AH123)*100+SUM(J123,AB123)+0.004&gt;AW123*1000000+SUM(Y123,AQ123)*10000+SUM(S123,AK123)*100+SUM(M123,AE123)+0.001,1,0)+IF(AU123*1000000+SUM(W123,AO123)*10000+SUM(Q123,AI123)*100+SUM(K123,AC123)+0.003&gt;AW123*1000000+SUM(Y123,AQ123)*10000+SUM(S123,AK123)*100+SUM(M123,AE123)+0.001,1,0)+IF(AV123*1000000+SUM(X123,AP123)*10000+SUM(R123,AJ123)*100+SUM(L123,AD123)+0.002&gt;AW123*1000000+SUM(Y123,AQ123)*10000+SUM(S123,AK123)*100+SUM(M123,AE123)+0.001,1,0)=0,"C",""))))))&amp;IF(IF(AS123*1000000+SUM(U123,AM123)*10000+SUM(O123,AG123)*100+SUM(I123,AA123)+0.005&gt;AR123*1000000+SUM(T123,AL123)*10000+SUM(N123,AF123)*100+SUM(H123,Z123)+0.006,1,0)+IF(AT123*1000000+SUM(V123,AN123)*10000+SUM(P123,AH123)*100+SUM(J123,AB123)+0.004&gt;AR123*1000000+SUM(T123,AL123)*10000+SUM(N123,AF123)*100+SUM(H123,Z123)+0.006,1,0)+IF(AU123*1000000+SUM(W123,AO123)*10000+SUM(Q123,AI123)*100+SUM(K123,AC123)+0.003&gt;AR123*1000000+SUM(T123,AL123)*10000+SUM(N123,AF123)*100+SUM(H123,Z123)+0.006,1,0)+IF(AV123*1000000+SUM(X123,AP123)*10000+SUM(R123,AJ123)*100+SUM(L123,AD123)+0.002&gt;AR123*1000000+SUM(T123,AL123)*10000+SUM(N123,AF123)*100+SUM(H123,Z123)+0.006,1,0)+IF(AW123*1000000+SUM(Y123,AQ123)*10000+SUM(S123,AK123)*100+SUM(M123,AE123)+0.001&gt;AR123*1000000+SUM(T123,AL123)*10000+SUM(N123,AF123)*100+SUM(H123,Z123)+0.006,1,0)=1,"R",IF(IF(AR123*1000000+SUM(T123,AL123)*10000+SUM(N123,AF123)*100+SUM(H123,Z123)+0.006&gt;AS123*1000000+SUM(U123,AM123)*10000+SUM(O123,AG123)*100+SUM(I123,AA123)+0.005,1,0)+IF(AT123*1000000+SUM(V123,AN123)*10000+SUM(P123,AH123)*100+SUM(J123,AB123)+0.004&gt;AS123*1000000+SUM(U123,AM123)*10000+SUM(O123,AG123)*100+SUM(I123,AA123)+0.005,1,0)+IF(AU123*1000000+SUM(W123,AO123)*10000+SUM(Q123,AI123)*100+SUM(K123,AC123)+0.003&gt;AS123*1000000+SUM(U123,AM123)*10000+SUM(O123,AG123)*100+SUM(I123,AA123)+0.005,1,0)+IF(AV123*1000000+SUM(X123,AP123)*10000+SUM(R123,AJ123)*100+SUM(L123,AD123)+0.002&gt;AS123*1000000+SUM(U123,AM123)*10000+SUM(O123,AG123)*100+SUM(I123,AA123)+0.005,1,0)+IF(AW123*1000000+SUM(Y123,AQ123)*10000+SUM(S123,AK123)*100+SUM(M123,AE123)+0.001&gt;AS123*1000000+SUM(U123,AM123)*10000+SUM(O123,AG123)*100+SUM(I123,AA123)+0.005,1,0)=1,"I",IF(IF(AR123*1000000+SUM(T123,AL123)*10000+SUM(N123,AF123)*100+SUM(H123,Z123)+0.006&gt;AT123*1000000+SUM(V123,AN123)*10000+SUM(P123,AH123)*100+SUM(J123,AB123)+0.004,1,0)+IF(AS123*1000000+SUM(U123,AM123)*10000+SUM(O123,AG123)*100+SUM(I123,AA123)+0.005&gt;AT123*1000000+SUM(V123,AN123)*10000+SUM(P123,AH123)*100+SUM(J123,AB123)+0.004,1,0)+IF(AU123*1000000+SUM(W123,AO123)*10000+SUM(Q123,AI123)*100+SUM(K123,AC123)+0.003&gt;AT123*1000000+SUM(V123,AN123)*10000+SUM(P123,AH123)*100+SUM(J123,AB123)+0.004,1,0)+IF(AV123*1000000+SUM(X123,AP123)*10000+SUM(R123,AJ123)*100+SUM(L123,AD123)+0.002&gt;AT123*1000000+SUM(V123,AN123)*10000+SUM(P123,AH123)*100+SUM(J123,AB123)+0.004,1,0)+IF(AW123*1000000+SUM(Y123,AQ123)*10000+SUM(S123,AK123)*100+SUM(M123,AE123)+0.001&gt;AT123*1000000+SUM(V123,AN123)*10000+SUM(P123,AH123)*100+SUM(J123,AB123)+0.004,1,0)=1,"A",IF(IF(AR123*1000000+SUM(T123,AL123)*10000+SUM(N123,AF123)*100+SUM(H123,Z123)+0.006&gt;AU123*1000000+SUM(W123,AO123)*10000+SUM(Q123,AI123)*100+SUM(K123,AC123)+0.003,1,0)+IF(AS123*1000000+SUM(U123,AM123)*10000+SUM(O123,AG123)*100+SUM(I123,AA123)+0.005&gt;AU123*1000000+SUM(W123,AO123)*10000+SUM(Q123,AI123)*100+SUM(K123,AC123)+0.003,1,0)+IF(AT123*1000000+SUM(V123,AN123)*10000+SUM(P123,AH123)*100+SUM(J123,AB123)+0.004&gt;AU123*1000000+SUM(W123,AO123)*10000+SUM(Q123,AI123)*100+SUM(K123,AC123)+0.003,1,0)+IF(AV123*1000000+SUM(X123,AP123)*10000+SUM(R123,AJ123)*100+SUM(L123,AD123)+0.002&gt;AU123*1000000+SUM(W123,AO123)*10000+SUM(Q123,AI123)*100+SUM(K123,AC123)+0.003,1,0)+IF(AW123*1000000+SUM(Y123,AQ123)*10000+SUM(S123,AK123)*100+SUM(M123,AE123)+0.001&gt;AU123*1000000+SUM(W123,AO123)*10000+SUM(Q123,AI123)*100+SUM(K123,AC123)+0.003,1,0)=1,"S",IF(IF(AR123*1000000+SUM(T123,AL123)*10000+SUM(N123,AF123)*100+SUM(H123,Z123)+0.006&gt;AV123*1000000+SUM(X123,AP123)*10000+SUM(R123,AJ123)*100+SUM(L123,AD123)+0.002,1,0)+IF(AS123*1000000+SUM(U123,AM123)*10000+SUM(O123,AG123)*100+SUM(I123,AA123)+0.005&gt;AV123*1000000+SUM(X123,AP123)*10000+SUM(R123,AJ123)*100+SUM(L123,AD123)+0.002,1,0)+IF(AT123*1000000+SUM(V123,AN123)*10000+SUM(P123,AH123)*100+SUM(J123,AB123)+0.004&gt;AV123*1000000+SUM(X123,AP123)*10000+SUM(R123,AJ123)*100+SUM(L123,AD123)+0.002,1,0)+IF(AU123*1000000+SUM(W123,AO123)*10000+SUM(Q123,AI123)*100+SUM(K123,AC123)+0.003&gt;AV123*1000000+SUM(X123,AP123)*10000+SUM(R123,AJ123)*100+SUM(L123,AD123)+0.002,1,0)+IF(AW123*1000000+SUM(Y123,AQ123)*10000+SUM(S123,AK123)*100+SUM(M123,AE123)+0.001&gt;AV123*1000000+SUM(X123,AP123)*10000+SUM(R123,AJ123)*100+SUM(L123,AD123)+0.002,1,0)=1,"E",IF(IF(AR123*1000000+SUM(T123,AL123)*10000+SUM(N123,AF123)*100+SUM(H123,Z123)+0.006&gt;AW123*1000000+SUM(Y123,AQ123)*10000+SUM(S123,AK123)*100+SUM(M123,AE123)+0.001,1,0)+IF(AS123*1000000+SUM(U123,AM123)*10000+SUM(O123,AG123)*100+SUM(I123,AA123)+0.005&gt;AW123*1000000+SUM(Y123,AQ123)*10000+SUM(S123,AK123)*100+SUM(M123,AE123)+0.001,1,0)+IF(AT123*1000000+SUM(V123,AN123)*10000+SUM(P123,AH123)*100+SUM(J123,AB123)+0.004&gt;AW123*1000000+SUM(Y123,AQ123)*10000+SUM(S123,AK123)*100+SUM(M123,AE123)+0.001,1,0)+IF(AU123*1000000+SUM(W123,AO123)*10000+SUM(Q123,AI123)*100+SUM(K123,AC123)+0.003&gt;AW123*1000000+SUM(Y123,AQ123)*10000+SUM(S123,AK123)*100+SUM(M123,AE123)+0.001,1,0)+IF(AV123*1000000+SUM(X123,AP123)*10000+SUM(R123,AJ123)*100+SUM(L123,AD123)+0.002&gt;AW123*1000000+SUM(Y123,AQ123)*10000+SUM(S123,AK123)*100+SUM(M123,AE123)+0.001,1,0)=1,"C",""))))))&amp;IF(IF(AS123*1000000+SUM(U123,AM123)*10000+SUM(O123,AG123)*100+SUM(I123,AA123)+0.005&gt;AR123*1000000+SUM(T123,AL123)*10000+SUM(N123,AF123)*100+SUM(H123,Z123)+0.006,1,0)+IF(AT123*1000000+SUM(V123,AN123)*10000+SUM(P123,AH123)*100+SUM(J123,AB123)+0.004&gt;AR123*1000000+SUM(T123,AL123)*10000+SUM(N123,AF123)*100+SUM(H123,Z123)+0.006,1,0)+IF(AU123*1000000+SUM(W123,AO123)*10000+SUM(Q123,AI123)*100+SUM(K123,AC123)+0.003&gt;AR123*1000000+SUM(T123,AL123)*10000+SUM(N123,AF123)*100+SUM(H123,Z123)+0.006,1,0)+IF(AV123*1000000+SUM(X123,AP123)*10000+SUM(R123,AJ123)*100+SUM(L123,AD123)+0.002&gt;AR123*1000000+SUM(T123,AL123)*10000+SUM(N123,AF123)*100+SUM(H123,Z123)+0.006,1,0)+IF(AW123*1000000+SUM(Y123,AQ123)*10000+SUM(S123,AK123)*100+SUM(M123,AE123)+0.001&gt;AR123*1000000+SUM(T123,AL123)*10000+SUM(N123,AF123)*100+SUM(H123,Z123)+0.006,1,0)=2,"R",IF(IF(AR123*1000000+SUM(T123,AL123)*10000+SUM(N123,AF123)*100+SUM(H123,Z123)+0.006&gt;AS123*1000000+SUM(U123,AM123)*10000+SUM(O123,AG123)*100+SUM(I123,AA123)+0.005,1,0)+IF(AT123*1000000+SUM(V123,AN123)*10000+SUM(P123,AH123)*100+SUM(J123,AB123)+0.004&gt;AS123*1000000+SUM(U123,AM123)*10000+SUM(O123,AG123)*100+SUM(I123,AA123)+0.005,1,0)+IF(AU123*1000000+SUM(W123,AO123)*10000+SUM(Q123,AI123)*100+SUM(K123,AC123)+0.003&gt;AS123*1000000+SUM(U123,AM123)*10000+SUM(O123,AG123)*100+SUM(I123,AA123)+0.005,1,0)+IF(AV123*1000000+SUM(X123,AP123)*10000+SUM(R123,AJ123)*100+SUM(L123,AD123)+0.002&gt;AS123*1000000+SUM(U123,AM123)*10000+SUM(O123,AG123)*100+SUM(I123,AA123)+0.005,1,0)+IF(AW123*1000000+SUM(Y123,AQ123)*10000+SUM(S123,AK123)*100+SUM(M123,AE123)+0.001&gt;AS123*1000000+SUM(U123,AM123)*10000+SUM(O123,AG123)*100+SUM(I123,AA123)+0.005,1,0)=2,"I",IF(IF(AR123*1000000+SUM(T123,AL123)*10000+SUM(N123,AF123)*100+SUM(H123,Z123)+0.006&gt;AT123*1000000+SUM(V123,AN123)*10000+SUM(P123,AH123)*100+SUM(J123,AB123)+0.004,1,0)+IF(AS123*1000000+SUM(U123,AM123)*10000+SUM(O123,AG123)*100+SUM(I123,AA123)+0.005&gt;AT123*1000000+SUM(V123,AN123)*10000+SUM(P123,AH123)*100+SUM(J123,AB123)+0.004,1,0)+IF(AU123*1000000+SUM(W123,AO123)*10000+SUM(Q123,AI123)*100+SUM(K123,AC123)+0.003&gt;AT123*1000000+SUM(V123,AN123)*10000+SUM(P123,AH123)*100+SUM(J123,AB123)+0.004,1,0)+IF(AV123*1000000+SUM(X123,AP123)*10000+SUM(R123,AJ123)*100+SUM(L123,AD123)+0.002&gt;AT123*1000000+SUM(V123,AN123)*10000+SUM(P123,AH123)*100+SUM(J123,AB123)+0.004,1,0)+IF(AW123*1000000+SUM(Y123,AQ123)*10000+SUM(S123,AK123)*100+SUM(M123,AE123)+0.001&gt;AT123*1000000+SUM(V123,AN123)*10000+SUM(P123,AH123)*100+SUM(J123,AB123)+0.004,1,0)=2,"A",IF(IF(AR123*1000000+SUM(T123,AL123)*10000+SUM(N123,AF123)*100+SUM(H123,Z123)+0.006&gt;AU123*1000000+SUM(W123,AO123)*10000+SUM(Q123,AI123)*100+SUM(K123,AC123)+0.003,1,0)+IF(AS123*1000000+SUM(U123,AM123)*10000+SUM(O123,AG123)*100+SUM(I123,AA123)+0.005&gt;AU123*1000000+SUM(W123,AO123)*10000+SUM(Q123,AI123)*100+SUM(K123,AC123)+0.003,1,0)+IF(AT123*1000000+SUM(V123,AN123)*10000+SUM(P123,AH123)*100+SUM(J123,AB123)+0.004&gt;AU123*1000000+SUM(W123,AO123)*10000+SUM(Q123,AI123)*100+SUM(K123,AC123)+0.003,1,0)+IF(AV123*1000000+SUM(X123,AP123)*10000+SUM(R123,AJ123)*100+SUM(L123,AD123)+0.002&gt;AU123*1000000+SUM(W123,AO123)*10000+SUM(Q123,AI123)*100+SUM(K123,AC123)+0.003,1,0)+IF(AW123*1000000+SUM(Y123,AQ123)*10000+SUM(S123,AK123)*100+SUM(M123,AE123)+0.001&gt;AU123*1000000+SUM(W123,AO123)*10000+SUM(Q123,AI123)*100+SUM(K123,AC123)+0.003,1,0)=2,"S",IF(IF(AR123*1000000+SUM(T123,AL123)*10000+SUM(N123,AF123)*100+SUM(H123,Z123)+0.006&gt;AV123*1000000+SUM(X123,AP123)*10000+SUM(R123,AJ123)*100+SUM(L123,AD123)+0.002,1,0)+IF(AS123*1000000+SUM(U123,AM123)*10000+SUM(O123,AG123)*100+SUM(I123,AA123)+0.005&gt;AV123*1000000+SUM(X123,AP123)*10000+SUM(R123,AJ123)*100+SUM(L123,AD123)+0.002,1,0)+IF(AT123*1000000+SUM(V123,AN123)*10000+SUM(P123,AH123)*100+SUM(J123,AB123)+0.004&gt;AV123*1000000+SUM(X123,AP123)*10000+SUM(R123,AJ123)*100+SUM(L123,AD123)+0.002,1,0)+IF(AU123*1000000+SUM(W123,AO123)*10000+SUM(Q123,AI123)*100+SUM(K123,AC123)+0.003&gt;AV123*1000000+SUM(X123,AP123)*10000+SUM(R123,AJ123)*100+SUM(L123,AD123)+0.002,1,0)+IF(AW123*1000000+SUM(Y123,AQ123)*10000+SUM(S123,AK123)*100+SUM(M123,AE123)+0.001&gt;AV123*1000000+SUM(X123,AP123)*10000+SUM(R123,AJ123)*100+SUM(L123,AD123)+0.002,1,0)=2,"E",IF(IF(AR123*1000000+SUM(T123,AL123)*10000+SUM(N123,AF123)*100+SUM(H123,Z123)+0.006&gt;AW123*1000000+SUM(Y123,AQ123)*10000+SUM(S123,AK123)*100+SUM(M123,AE123)+0.001,1,0)+IF(AS123*1000000+SUM(U123,AM123)*10000+SUM(O123,AG123)*100+SUM(I123,AA123)+0.005&gt;AW123*1000000+SUM(Y123,AQ123)*10000+SUM(S123,AK123)*100+SUM(M123,AE123)+0.001,1,0)+IF(AT123*1000000+SUM(V123,AN123)*10000+SUM(P123,AH123)*100+SUM(J123,AB123)+0.004&gt;AW123*1000000+SUM(Y123,AQ123)*10000+SUM(S123,AK123)*100+SUM(M123,AE123)+0.001,1,0)+IF(AU123*1000000+SUM(W123,AO123)*10000+SUM(Q123,AI123)*100+SUM(K123,AC123)+0.003&gt;AW123*1000000+SUM(Y123,AQ123)*10000+SUM(S123,AK123)*100+SUM(M123,AE123)+0.001,1,0)+IF(AV123*1000000+SUM(X123,AP123)*10000+SUM(R123,AJ123)*100+SUM(L123,AD123)+0.002&gt;AW123*1000000+SUM(Y123,AQ123)*10000+SUM(S123,AK123)*100+SUM(M123,AE123)+0.001,1,0)=2,"C","")))))))</x:f>
      </x:c>
      <x:c r="AY123" s="27" t="str">
        <x:f>IF(C123="","",IF(LEFT(AX123,1)="R","นักปฏิบัติ",IF(LEFT(AX123,1)="I","นักคิดวิเคราะห์",IF(LEFT(AX123,1)="A","นักสร้างสรรค์",IF(LEFT(AX123,1)="S","ผู้เข้าใจผู้คน",IF(LEFT(AX123,1)="E","ผู้นำการเปลี่ยนแปลง","ผู้จัดระบบ"))))))</x:f>
      </x:c>
    </x:row>
    <x:row r="124">
      <x:c r="A124" s="27"/>
      <x:c r="B124" s="28"/>
      <x:c r="C124" s="27"/>
      <x:c r="D124" s="27"/>
      <x:c r="E124" s="27"/>
      <x:c r="F124" s="27"/>
      <x:c r="G124" s="27"/>
      <x:c r="H124" s="27"/>
      <x:c r="I124" s="27"/>
      <x:c r="J124" s="27"/>
      <x:c r="K124" s="27"/>
      <x:c r="L124" s="27"/>
      <x:c r="M124" s="27"/>
      <x:c r="N124" s="27"/>
      <x:c r="O124" s="27"/>
      <x:c r="P124" s="27"/>
      <x:c r="Q124" s="27"/>
      <x:c r="R124" s="27"/>
      <x:c r="S124" s="27"/>
      <x:c r="T124" s="27"/>
      <x:c r="U124" s="27"/>
      <x:c r="V124" s="27"/>
      <x:c r="W124" s="27"/>
      <x:c r="X124" s="27"/>
      <x:c r="Y124" s="27"/>
      <x:c r="Z124" s="27"/>
      <x:c r="AA124" s="27"/>
      <x:c r="AB124" s="27"/>
      <x:c r="AC124" s="27"/>
      <x:c r="AD124" s="27"/>
      <x:c r="AE124" s="27"/>
      <x:c r="AF124" s="27"/>
      <x:c r="AG124" s="27"/>
      <x:c r="AH124" s="27"/>
      <x:c r="AI124" s="27"/>
      <x:c r="AJ124" s="27"/>
      <x:c r="AK124" s="27"/>
      <x:c r="AL124" s="27"/>
      <x:c r="AM124" s="27"/>
      <x:c r="AN124" s="27"/>
      <x:c r="AO124" s="27"/>
      <x:c r="AP124" s="27"/>
      <x:c r="AQ124" s="27"/>
      <x:c r="AR124" s="27" t="str">
        <x:f>IF(C124="","",SUM(H124,N124,T124,Z124,AF124,AL124))</x:f>
      </x:c>
      <x:c r="AS124" s="27" t="str">
        <x:f>IF(C124="","",SUM(I124,O124,U124,AA124,AG124,AM124))</x:f>
      </x:c>
      <x:c r="AT124" s="27" t="str">
        <x:f>IF(C124="","",SUM(J124,P124,V124,AB124,AH124,AN124))</x:f>
      </x:c>
      <x:c r="AU124" s="27" t="str">
        <x:f>IF(C124="","",SUM(K124,Q124,W124,AC124,AI124,AO124))</x:f>
      </x:c>
      <x:c r="AV124" s="27" t="str">
        <x:f>IF(C124="","",SUM(L124,R124,X124,AD124,AJ124,AP124))</x:f>
      </x:c>
      <x:c r="AW124" s="27" t="str">
        <x:f>IF(C124="","",SUM(M124,S124,Y124,AE124,AK124,AQ124))</x:f>
      </x:c>
      <x:c r="AX124" s="27" t="str">
        <x:f>IF(C124="","",IF(IF(AS124*1000000+SUM(U124,AM124)*10000+SUM(O124,AG124)*100+SUM(I124,AA124)+0.005&gt;AR124*1000000+SUM(T124,AL124)*10000+SUM(N124,AF124)*100+SUM(H124,Z124)+0.006,1,0)+IF(AT124*1000000+SUM(V124,AN124)*10000+SUM(P124,AH124)*100+SUM(J124,AB124)+0.004&gt;AR124*1000000+SUM(T124,AL124)*10000+SUM(N124,AF124)*100+SUM(H124,Z124)+0.006,1,0)+IF(AU124*1000000+SUM(W124,AO124)*10000+SUM(Q124,AI124)*100+SUM(K124,AC124)+0.003&gt;AR124*1000000+SUM(T124,AL124)*10000+SUM(N124,AF124)*100+SUM(H124,Z124)+0.006,1,0)+IF(AV124*1000000+SUM(X124,AP124)*10000+SUM(R124,AJ124)*100+SUM(L124,AD124)+0.002&gt;AR124*1000000+SUM(T124,AL124)*10000+SUM(N124,AF124)*100+SUM(H124,Z124)+0.006,1,0)+IF(AW124*1000000+SUM(Y124,AQ124)*10000+SUM(S124,AK124)*100+SUM(M124,AE124)+0.001&gt;AR124*1000000+SUM(T124,AL124)*10000+SUM(N124,AF124)*100+SUM(H124,Z124)+0.006,1,0)=0,"R",IF(IF(AR124*1000000+SUM(T124,AL124)*10000+SUM(N124,AF124)*100+SUM(H124,Z124)+0.006&gt;AS124*1000000+SUM(U124,AM124)*10000+SUM(O124,AG124)*100+SUM(I124,AA124)+0.005,1,0)+IF(AT124*1000000+SUM(V124,AN124)*10000+SUM(P124,AH124)*100+SUM(J124,AB124)+0.004&gt;AS124*1000000+SUM(U124,AM124)*10000+SUM(O124,AG124)*100+SUM(I124,AA124)+0.005,1,0)+IF(AU124*1000000+SUM(W124,AO124)*10000+SUM(Q124,AI124)*100+SUM(K124,AC124)+0.003&gt;AS124*1000000+SUM(U124,AM124)*10000+SUM(O124,AG124)*100+SUM(I124,AA124)+0.005,1,0)+IF(AV124*1000000+SUM(X124,AP124)*10000+SUM(R124,AJ124)*100+SUM(L124,AD124)+0.002&gt;AS124*1000000+SUM(U124,AM124)*10000+SUM(O124,AG124)*100+SUM(I124,AA124)+0.005,1,0)+IF(AW124*1000000+SUM(Y124,AQ124)*10000+SUM(S124,AK124)*100+SUM(M124,AE124)+0.001&gt;AS124*1000000+SUM(U124,AM124)*10000+SUM(O124,AG124)*100+SUM(I124,AA124)+0.005,1,0)=0,"I",IF(IF(AR124*1000000+SUM(T124,AL124)*10000+SUM(N124,AF124)*100+SUM(H124,Z124)+0.006&gt;AT124*1000000+SUM(V124,AN124)*10000+SUM(P124,AH124)*100+SUM(J124,AB124)+0.004,1,0)+IF(AS124*1000000+SUM(U124,AM124)*10000+SUM(O124,AG124)*100+SUM(I124,AA124)+0.005&gt;AT124*1000000+SUM(V124,AN124)*10000+SUM(P124,AH124)*100+SUM(J124,AB124)+0.004,1,0)+IF(AU124*1000000+SUM(W124,AO124)*10000+SUM(Q124,AI124)*100+SUM(K124,AC124)+0.003&gt;AT124*1000000+SUM(V124,AN124)*10000+SUM(P124,AH124)*100+SUM(J124,AB124)+0.004,1,0)+IF(AV124*1000000+SUM(X124,AP124)*10000+SUM(R124,AJ124)*100+SUM(L124,AD124)+0.002&gt;AT124*1000000+SUM(V124,AN124)*10000+SUM(P124,AH124)*100+SUM(J124,AB124)+0.004,1,0)+IF(AW124*1000000+SUM(Y124,AQ124)*10000+SUM(S124,AK124)*100+SUM(M124,AE124)+0.001&gt;AT124*1000000+SUM(V124,AN124)*10000+SUM(P124,AH124)*100+SUM(J124,AB124)+0.004,1,0)=0,"A",IF(IF(AR124*1000000+SUM(T124,AL124)*10000+SUM(N124,AF124)*100+SUM(H124,Z124)+0.006&gt;AU124*1000000+SUM(W124,AO124)*10000+SUM(Q124,AI124)*100+SUM(K124,AC124)+0.003,1,0)+IF(AS124*1000000+SUM(U124,AM124)*10000+SUM(O124,AG124)*100+SUM(I124,AA124)+0.005&gt;AU124*1000000+SUM(W124,AO124)*10000+SUM(Q124,AI124)*100+SUM(K124,AC124)+0.003,1,0)+IF(AT124*1000000+SUM(V124,AN124)*10000+SUM(P124,AH124)*100+SUM(J124,AB124)+0.004&gt;AU124*1000000+SUM(W124,AO124)*10000+SUM(Q124,AI124)*100+SUM(K124,AC124)+0.003,1,0)+IF(AV124*1000000+SUM(X124,AP124)*10000+SUM(R124,AJ124)*100+SUM(L124,AD124)+0.002&gt;AU124*1000000+SUM(W124,AO124)*10000+SUM(Q124,AI124)*100+SUM(K124,AC124)+0.003,1,0)+IF(AW124*1000000+SUM(Y124,AQ124)*10000+SUM(S124,AK124)*100+SUM(M124,AE124)+0.001&gt;AU124*1000000+SUM(W124,AO124)*10000+SUM(Q124,AI124)*100+SUM(K124,AC124)+0.003,1,0)=0,"S",IF(IF(AR124*1000000+SUM(T124,AL124)*10000+SUM(N124,AF124)*100+SUM(H124,Z124)+0.006&gt;AV124*1000000+SUM(X124,AP124)*10000+SUM(R124,AJ124)*100+SUM(L124,AD124)+0.002,1,0)+IF(AS124*1000000+SUM(U124,AM124)*10000+SUM(O124,AG124)*100+SUM(I124,AA124)+0.005&gt;AV124*1000000+SUM(X124,AP124)*10000+SUM(R124,AJ124)*100+SUM(L124,AD124)+0.002,1,0)+IF(AT124*1000000+SUM(V124,AN124)*10000+SUM(P124,AH124)*100+SUM(J124,AB124)+0.004&gt;AV124*1000000+SUM(X124,AP124)*10000+SUM(R124,AJ124)*100+SUM(L124,AD124)+0.002,1,0)+IF(AU124*1000000+SUM(W124,AO124)*10000+SUM(Q124,AI124)*100+SUM(K124,AC124)+0.003&gt;AV124*1000000+SUM(X124,AP124)*10000+SUM(R124,AJ124)*100+SUM(L124,AD124)+0.002,1,0)+IF(AW124*1000000+SUM(Y124,AQ124)*10000+SUM(S124,AK124)*100+SUM(M124,AE124)+0.001&gt;AV124*1000000+SUM(X124,AP124)*10000+SUM(R124,AJ124)*100+SUM(L124,AD124)+0.002,1,0)=0,"E",IF(IF(AR124*1000000+SUM(T124,AL124)*10000+SUM(N124,AF124)*100+SUM(H124,Z124)+0.006&gt;AW124*1000000+SUM(Y124,AQ124)*10000+SUM(S124,AK124)*100+SUM(M124,AE124)+0.001,1,0)+IF(AS124*1000000+SUM(U124,AM124)*10000+SUM(O124,AG124)*100+SUM(I124,AA124)+0.005&gt;AW124*1000000+SUM(Y124,AQ124)*10000+SUM(S124,AK124)*100+SUM(M124,AE124)+0.001,1,0)+IF(AT124*1000000+SUM(V124,AN124)*10000+SUM(P124,AH124)*100+SUM(J124,AB124)+0.004&gt;AW124*1000000+SUM(Y124,AQ124)*10000+SUM(S124,AK124)*100+SUM(M124,AE124)+0.001,1,0)+IF(AU124*1000000+SUM(W124,AO124)*10000+SUM(Q124,AI124)*100+SUM(K124,AC124)+0.003&gt;AW124*1000000+SUM(Y124,AQ124)*10000+SUM(S124,AK124)*100+SUM(M124,AE124)+0.001,1,0)+IF(AV124*1000000+SUM(X124,AP124)*10000+SUM(R124,AJ124)*100+SUM(L124,AD124)+0.002&gt;AW124*1000000+SUM(Y124,AQ124)*10000+SUM(S124,AK124)*100+SUM(M124,AE124)+0.001,1,0)=0,"C",""))))))&amp;IF(IF(AS124*1000000+SUM(U124,AM124)*10000+SUM(O124,AG124)*100+SUM(I124,AA124)+0.005&gt;AR124*1000000+SUM(T124,AL124)*10000+SUM(N124,AF124)*100+SUM(H124,Z124)+0.006,1,0)+IF(AT124*1000000+SUM(V124,AN124)*10000+SUM(P124,AH124)*100+SUM(J124,AB124)+0.004&gt;AR124*1000000+SUM(T124,AL124)*10000+SUM(N124,AF124)*100+SUM(H124,Z124)+0.006,1,0)+IF(AU124*1000000+SUM(W124,AO124)*10000+SUM(Q124,AI124)*100+SUM(K124,AC124)+0.003&gt;AR124*1000000+SUM(T124,AL124)*10000+SUM(N124,AF124)*100+SUM(H124,Z124)+0.006,1,0)+IF(AV124*1000000+SUM(X124,AP124)*10000+SUM(R124,AJ124)*100+SUM(L124,AD124)+0.002&gt;AR124*1000000+SUM(T124,AL124)*10000+SUM(N124,AF124)*100+SUM(H124,Z124)+0.006,1,0)+IF(AW124*1000000+SUM(Y124,AQ124)*10000+SUM(S124,AK124)*100+SUM(M124,AE124)+0.001&gt;AR124*1000000+SUM(T124,AL124)*10000+SUM(N124,AF124)*100+SUM(H124,Z124)+0.006,1,0)=1,"R",IF(IF(AR124*1000000+SUM(T124,AL124)*10000+SUM(N124,AF124)*100+SUM(H124,Z124)+0.006&gt;AS124*1000000+SUM(U124,AM124)*10000+SUM(O124,AG124)*100+SUM(I124,AA124)+0.005,1,0)+IF(AT124*1000000+SUM(V124,AN124)*10000+SUM(P124,AH124)*100+SUM(J124,AB124)+0.004&gt;AS124*1000000+SUM(U124,AM124)*10000+SUM(O124,AG124)*100+SUM(I124,AA124)+0.005,1,0)+IF(AU124*1000000+SUM(W124,AO124)*10000+SUM(Q124,AI124)*100+SUM(K124,AC124)+0.003&gt;AS124*1000000+SUM(U124,AM124)*10000+SUM(O124,AG124)*100+SUM(I124,AA124)+0.005,1,0)+IF(AV124*1000000+SUM(X124,AP124)*10000+SUM(R124,AJ124)*100+SUM(L124,AD124)+0.002&gt;AS124*1000000+SUM(U124,AM124)*10000+SUM(O124,AG124)*100+SUM(I124,AA124)+0.005,1,0)+IF(AW124*1000000+SUM(Y124,AQ124)*10000+SUM(S124,AK124)*100+SUM(M124,AE124)+0.001&gt;AS124*1000000+SUM(U124,AM124)*10000+SUM(O124,AG124)*100+SUM(I124,AA124)+0.005,1,0)=1,"I",IF(IF(AR124*1000000+SUM(T124,AL124)*10000+SUM(N124,AF124)*100+SUM(H124,Z124)+0.006&gt;AT124*1000000+SUM(V124,AN124)*10000+SUM(P124,AH124)*100+SUM(J124,AB124)+0.004,1,0)+IF(AS124*1000000+SUM(U124,AM124)*10000+SUM(O124,AG124)*100+SUM(I124,AA124)+0.005&gt;AT124*1000000+SUM(V124,AN124)*10000+SUM(P124,AH124)*100+SUM(J124,AB124)+0.004,1,0)+IF(AU124*1000000+SUM(W124,AO124)*10000+SUM(Q124,AI124)*100+SUM(K124,AC124)+0.003&gt;AT124*1000000+SUM(V124,AN124)*10000+SUM(P124,AH124)*100+SUM(J124,AB124)+0.004,1,0)+IF(AV124*1000000+SUM(X124,AP124)*10000+SUM(R124,AJ124)*100+SUM(L124,AD124)+0.002&gt;AT124*1000000+SUM(V124,AN124)*10000+SUM(P124,AH124)*100+SUM(J124,AB124)+0.004,1,0)+IF(AW124*1000000+SUM(Y124,AQ124)*10000+SUM(S124,AK124)*100+SUM(M124,AE124)+0.001&gt;AT124*1000000+SUM(V124,AN124)*10000+SUM(P124,AH124)*100+SUM(J124,AB124)+0.004,1,0)=1,"A",IF(IF(AR124*1000000+SUM(T124,AL124)*10000+SUM(N124,AF124)*100+SUM(H124,Z124)+0.006&gt;AU124*1000000+SUM(W124,AO124)*10000+SUM(Q124,AI124)*100+SUM(K124,AC124)+0.003,1,0)+IF(AS124*1000000+SUM(U124,AM124)*10000+SUM(O124,AG124)*100+SUM(I124,AA124)+0.005&gt;AU124*1000000+SUM(W124,AO124)*10000+SUM(Q124,AI124)*100+SUM(K124,AC124)+0.003,1,0)+IF(AT124*1000000+SUM(V124,AN124)*10000+SUM(P124,AH124)*100+SUM(J124,AB124)+0.004&gt;AU124*1000000+SUM(W124,AO124)*10000+SUM(Q124,AI124)*100+SUM(K124,AC124)+0.003,1,0)+IF(AV124*1000000+SUM(X124,AP124)*10000+SUM(R124,AJ124)*100+SUM(L124,AD124)+0.002&gt;AU124*1000000+SUM(W124,AO124)*10000+SUM(Q124,AI124)*100+SUM(K124,AC124)+0.003,1,0)+IF(AW124*1000000+SUM(Y124,AQ124)*10000+SUM(S124,AK124)*100+SUM(M124,AE124)+0.001&gt;AU124*1000000+SUM(W124,AO124)*10000+SUM(Q124,AI124)*100+SUM(K124,AC124)+0.003,1,0)=1,"S",IF(IF(AR124*1000000+SUM(T124,AL124)*10000+SUM(N124,AF124)*100+SUM(H124,Z124)+0.006&gt;AV124*1000000+SUM(X124,AP124)*10000+SUM(R124,AJ124)*100+SUM(L124,AD124)+0.002,1,0)+IF(AS124*1000000+SUM(U124,AM124)*10000+SUM(O124,AG124)*100+SUM(I124,AA124)+0.005&gt;AV124*1000000+SUM(X124,AP124)*10000+SUM(R124,AJ124)*100+SUM(L124,AD124)+0.002,1,0)+IF(AT124*1000000+SUM(V124,AN124)*10000+SUM(P124,AH124)*100+SUM(J124,AB124)+0.004&gt;AV124*1000000+SUM(X124,AP124)*10000+SUM(R124,AJ124)*100+SUM(L124,AD124)+0.002,1,0)+IF(AU124*1000000+SUM(W124,AO124)*10000+SUM(Q124,AI124)*100+SUM(K124,AC124)+0.003&gt;AV124*1000000+SUM(X124,AP124)*10000+SUM(R124,AJ124)*100+SUM(L124,AD124)+0.002,1,0)+IF(AW124*1000000+SUM(Y124,AQ124)*10000+SUM(S124,AK124)*100+SUM(M124,AE124)+0.001&gt;AV124*1000000+SUM(X124,AP124)*10000+SUM(R124,AJ124)*100+SUM(L124,AD124)+0.002,1,0)=1,"E",IF(IF(AR124*1000000+SUM(T124,AL124)*10000+SUM(N124,AF124)*100+SUM(H124,Z124)+0.006&gt;AW124*1000000+SUM(Y124,AQ124)*10000+SUM(S124,AK124)*100+SUM(M124,AE124)+0.001,1,0)+IF(AS124*1000000+SUM(U124,AM124)*10000+SUM(O124,AG124)*100+SUM(I124,AA124)+0.005&gt;AW124*1000000+SUM(Y124,AQ124)*10000+SUM(S124,AK124)*100+SUM(M124,AE124)+0.001,1,0)+IF(AT124*1000000+SUM(V124,AN124)*10000+SUM(P124,AH124)*100+SUM(J124,AB124)+0.004&gt;AW124*1000000+SUM(Y124,AQ124)*10000+SUM(S124,AK124)*100+SUM(M124,AE124)+0.001,1,0)+IF(AU124*1000000+SUM(W124,AO124)*10000+SUM(Q124,AI124)*100+SUM(K124,AC124)+0.003&gt;AW124*1000000+SUM(Y124,AQ124)*10000+SUM(S124,AK124)*100+SUM(M124,AE124)+0.001,1,0)+IF(AV124*1000000+SUM(X124,AP124)*10000+SUM(R124,AJ124)*100+SUM(L124,AD124)+0.002&gt;AW124*1000000+SUM(Y124,AQ124)*10000+SUM(S124,AK124)*100+SUM(M124,AE124)+0.001,1,0)=1,"C",""))))))&amp;IF(IF(AS124*1000000+SUM(U124,AM124)*10000+SUM(O124,AG124)*100+SUM(I124,AA124)+0.005&gt;AR124*1000000+SUM(T124,AL124)*10000+SUM(N124,AF124)*100+SUM(H124,Z124)+0.006,1,0)+IF(AT124*1000000+SUM(V124,AN124)*10000+SUM(P124,AH124)*100+SUM(J124,AB124)+0.004&gt;AR124*1000000+SUM(T124,AL124)*10000+SUM(N124,AF124)*100+SUM(H124,Z124)+0.006,1,0)+IF(AU124*1000000+SUM(W124,AO124)*10000+SUM(Q124,AI124)*100+SUM(K124,AC124)+0.003&gt;AR124*1000000+SUM(T124,AL124)*10000+SUM(N124,AF124)*100+SUM(H124,Z124)+0.006,1,0)+IF(AV124*1000000+SUM(X124,AP124)*10000+SUM(R124,AJ124)*100+SUM(L124,AD124)+0.002&gt;AR124*1000000+SUM(T124,AL124)*10000+SUM(N124,AF124)*100+SUM(H124,Z124)+0.006,1,0)+IF(AW124*1000000+SUM(Y124,AQ124)*10000+SUM(S124,AK124)*100+SUM(M124,AE124)+0.001&gt;AR124*1000000+SUM(T124,AL124)*10000+SUM(N124,AF124)*100+SUM(H124,Z124)+0.006,1,0)=2,"R",IF(IF(AR124*1000000+SUM(T124,AL124)*10000+SUM(N124,AF124)*100+SUM(H124,Z124)+0.006&gt;AS124*1000000+SUM(U124,AM124)*10000+SUM(O124,AG124)*100+SUM(I124,AA124)+0.005,1,0)+IF(AT124*1000000+SUM(V124,AN124)*10000+SUM(P124,AH124)*100+SUM(J124,AB124)+0.004&gt;AS124*1000000+SUM(U124,AM124)*10000+SUM(O124,AG124)*100+SUM(I124,AA124)+0.005,1,0)+IF(AU124*1000000+SUM(W124,AO124)*10000+SUM(Q124,AI124)*100+SUM(K124,AC124)+0.003&gt;AS124*1000000+SUM(U124,AM124)*10000+SUM(O124,AG124)*100+SUM(I124,AA124)+0.005,1,0)+IF(AV124*1000000+SUM(X124,AP124)*10000+SUM(R124,AJ124)*100+SUM(L124,AD124)+0.002&gt;AS124*1000000+SUM(U124,AM124)*10000+SUM(O124,AG124)*100+SUM(I124,AA124)+0.005,1,0)+IF(AW124*1000000+SUM(Y124,AQ124)*10000+SUM(S124,AK124)*100+SUM(M124,AE124)+0.001&gt;AS124*1000000+SUM(U124,AM124)*10000+SUM(O124,AG124)*100+SUM(I124,AA124)+0.005,1,0)=2,"I",IF(IF(AR124*1000000+SUM(T124,AL124)*10000+SUM(N124,AF124)*100+SUM(H124,Z124)+0.006&gt;AT124*1000000+SUM(V124,AN124)*10000+SUM(P124,AH124)*100+SUM(J124,AB124)+0.004,1,0)+IF(AS124*1000000+SUM(U124,AM124)*10000+SUM(O124,AG124)*100+SUM(I124,AA124)+0.005&gt;AT124*1000000+SUM(V124,AN124)*10000+SUM(P124,AH124)*100+SUM(J124,AB124)+0.004,1,0)+IF(AU124*1000000+SUM(W124,AO124)*10000+SUM(Q124,AI124)*100+SUM(K124,AC124)+0.003&gt;AT124*1000000+SUM(V124,AN124)*10000+SUM(P124,AH124)*100+SUM(J124,AB124)+0.004,1,0)+IF(AV124*1000000+SUM(X124,AP124)*10000+SUM(R124,AJ124)*100+SUM(L124,AD124)+0.002&gt;AT124*1000000+SUM(V124,AN124)*10000+SUM(P124,AH124)*100+SUM(J124,AB124)+0.004,1,0)+IF(AW124*1000000+SUM(Y124,AQ124)*10000+SUM(S124,AK124)*100+SUM(M124,AE124)+0.001&gt;AT124*1000000+SUM(V124,AN124)*10000+SUM(P124,AH124)*100+SUM(J124,AB124)+0.004,1,0)=2,"A",IF(IF(AR124*1000000+SUM(T124,AL124)*10000+SUM(N124,AF124)*100+SUM(H124,Z124)+0.006&gt;AU124*1000000+SUM(W124,AO124)*10000+SUM(Q124,AI124)*100+SUM(K124,AC124)+0.003,1,0)+IF(AS124*1000000+SUM(U124,AM124)*10000+SUM(O124,AG124)*100+SUM(I124,AA124)+0.005&gt;AU124*1000000+SUM(W124,AO124)*10000+SUM(Q124,AI124)*100+SUM(K124,AC124)+0.003,1,0)+IF(AT124*1000000+SUM(V124,AN124)*10000+SUM(P124,AH124)*100+SUM(J124,AB124)+0.004&gt;AU124*1000000+SUM(W124,AO124)*10000+SUM(Q124,AI124)*100+SUM(K124,AC124)+0.003,1,0)+IF(AV124*1000000+SUM(X124,AP124)*10000+SUM(R124,AJ124)*100+SUM(L124,AD124)+0.002&gt;AU124*1000000+SUM(W124,AO124)*10000+SUM(Q124,AI124)*100+SUM(K124,AC124)+0.003,1,0)+IF(AW124*1000000+SUM(Y124,AQ124)*10000+SUM(S124,AK124)*100+SUM(M124,AE124)+0.001&gt;AU124*1000000+SUM(W124,AO124)*10000+SUM(Q124,AI124)*100+SUM(K124,AC124)+0.003,1,0)=2,"S",IF(IF(AR124*1000000+SUM(T124,AL124)*10000+SUM(N124,AF124)*100+SUM(H124,Z124)+0.006&gt;AV124*1000000+SUM(X124,AP124)*10000+SUM(R124,AJ124)*100+SUM(L124,AD124)+0.002,1,0)+IF(AS124*1000000+SUM(U124,AM124)*10000+SUM(O124,AG124)*100+SUM(I124,AA124)+0.005&gt;AV124*1000000+SUM(X124,AP124)*10000+SUM(R124,AJ124)*100+SUM(L124,AD124)+0.002,1,0)+IF(AT124*1000000+SUM(V124,AN124)*10000+SUM(P124,AH124)*100+SUM(J124,AB124)+0.004&gt;AV124*1000000+SUM(X124,AP124)*10000+SUM(R124,AJ124)*100+SUM(L124,AD124)+0.002,1,0)+IF(AU124*1000000+SUM(W124,AO124)*10000+SUM(Q124,AI124)*100+SUM(K124,AC124)+0.003&gt;AV124*1000000+SUM(X124,AP124)*10000+SUM(R124,AJ124)*100+SUM(L124,AD124)+0.002,1,0)+IF(AW124*1000000+SUM(Y124,AQ124)*10000+SUM(S124,AK124)*100+SUM(M124,AE124)+0.001&gt;AV124*1000000+SUM(X124,AP124)*10000+SUM(R124,AJ124)*100+SUM(L124,AD124)+0.002,1,0)=2,"E",IF(IF(AR124*1000000+SUM(T124,AL124)*10000+SUM(N124,AF124)*100+SUM(H124,Z124)+0.006&gt;AW124*1000000+SUM(Y124,AQ124)*10000+SUM(S124,AK124)*100+SUM(M124,AE124)+0.001,1,0)+IF(AS124*1000000+SUM(U124,AM124)*10000+SUM(O124,AG124)*100+SUM(I124,AA124)+0.005&gt;AW124*1000000+SUM(Y124,AQ124)*10000+SUM(S124,AK124)*100+SUM(M124,AE124)+0.001,1,0)+IF(AT124*1000000+SUM(V124,AN124)*10000+SUM(P124,AH124)*100+SUM(J124,AB124)+0.004&gt;AW124*1000000+SUM(Y124,AQ124)*10000+SUM(S124,AK124)*100+SUM(M124,AE124)+0.001,1,0)+IF(AU124*1000000+SUM(W124,AO124)*10000+SUM(Q124,AI124)*100+SUM(K124,AC124)+0.003&gt;AW124*1000000+SUM(Y124,AQ124)*10000+SUM(S124,AK124)*100+SUM(M124,AE124)+0.001,1,0)+IF(AV124*1000000+SUM(X124,AP124)*10000+SUM(R124,AJ124)*100+SUM(L124,AD124)+0.002&gt;AW124*1000000+SUM(Y124,AQ124)*10000+SUM(S124,AK124)*100+SUM(M124,AE124)+0.001,1,0)=2,"C","")))))))</x:f>
      </x:c>
      <x:c r="AY124" s="27" t="str">
        <x:f>IF(C124="","",IF(LEFT(AX124,1)="R","นักปฏิบัติ",IF(LEFT(AX124,1)="I","นักคิดวิเคราะห์",IF(LEFT(AX124,1)="A","นักสร้างสรรค์",IF(LEFT(AX124,1)="S","ผู้เข้าใจผู้คน",IF(LEFT(AX124,1)="E","ผู้นำการเปลี่ยนแปลง","ผู้จัดระบบ"))))))</x:f>
      </x:c>
    </x:row>
    <x:row r="125">
      <x:c r="A125" s="27"/>
      <x:c r="B125" s="28"/>
      <x:c r="C125" s="27"/>
      <x:c r="D125" s="27"/>
      <x:c r="E125" s="27"/>
      <x:c r="F125" s="27"/>
      <x:c r="G125" s="27"/>
      <x:c r="H125" s="27"/>
      <x:c r="I125" s="27"/>
      <x:c r="J125" s="27"/>
      <x:c r="K125" s="27"/>
      <x:c r="L125" s="27"/>
      <x:c r="M125" s="27"/>
      <x:c r="N125" s="27"/>
      <x:c r="O125" s="27"/>
      <x:c r="P125" s="27"/>
      <x:c r="Q125" s="27"/>
      <x:c r="R125" s="27"/>
      <x:c r="S125" s="27"/>
      <x:c r="T125" s="27"/>
      <x:c r="U125" s="27"/>
      <x:c r="V125" s="27"/>
      <x:c r="W125" s="27"/>
      <x:c r="X125" s="27"/>
      <x:c r="Y125" s="27"/>
      <x:c r="Z125" s="27"/>
      <x:c r="AA125" s="27"/>
      <x:c r="AB125" s="27"/>
      <x:c r="AC125" s="27"/>
      <x:c r="AD125" s="27"/>
      <x:c r="AE125" s="27"/>
      <x:c r="AF125" s="27"/>
      <x:c r="AG125" s="27"/>
      <x:c r="AH125" s="27"/>
      <x:c r="AI125" s="27"/>
      <x:c r="AJ125" s="27"/>
      <x:c r="AK125" s="27"/>
      <x:c r="AL125" s="27"/>
      <x:c r="AM125" s="27"/>
      <x:c r="AN125" s="27"/>
      <x:c r="AO125" s="27"/>
      <x:c r="AP125" s="27"/>
      <x:c r="AQ125" s="27"/>
      <x:c r="AR125" s="27" t="str">
        <x:f>IF(C125="","",SUM(H125,N125,T125,Z125,AF125,AL125))</x:f>
      </x:c>
      <x:c r="AS125" s="27" t="str">
        <x:f>IF(C125="","",SUM(I125,O125,U125,AA125,AG125,AM125))</x:f>
      </x:c>
      <x:c r="AT125" s="27" t="str">
        <x:f>IF(C125="","",SUM(J125,P125,V125,AB125,AH125,AN125))</x:f>
      </x:c>
      <x:c r="AU125" s="27" t="str">
        <x:f>IF(C125="","",SUM(K125,Q125,W125,AC125,AI125,AO125))</x:f>
      </x:c>
      <x:c r="AV125" s="27" t="str">
        <x:f>IF(C125="","",SUM(L125,R125,X125,AD125,AJ125,AP125))</x:f>
      </x:c>
      <x:c r="AW125" s="27" t="str">
        <x:f>IF(C125="","",SUM(M125,S125,Y125,AE125,AK125,AQ125))</x:f>
      </x:c>
      <x:c r="AX125" s="27" t="str">
        <x:f>IF(C125="","",IF(IF(AS125*1000000+SUM(U125,AM125)*10000+SUM(O125,AG125)*100+SUM(I125,AA125)+0.005&gt;AR125*1000000+SUM(T125,AL125)*10000+SUM(N125,AF125)*100+SUM(H125,Z125)+0.006,1,0)+IF(AT125*1000000+SUM(V125,AN125)*10000+SUM(P125,AH125)*100+SUM(J125,AB125)+0.004&gt;AR125*1000000+SUM(T125,AL125)*10000+SUM(N125,AF125)*100+SUM(H125,Z125)+0.006,1,0)+IF(AU125*1000000+SUM(W125,AO125)*10000+SUM(Q125,AI125)*100+SUM(K125,AC125)+0.003&gt;AR125*1000000+SUM(T125,AL125)*10000+SUM(N125,AF125)*100+SUM(H125,Z125)+0.006,1,0)+IF(AV125*1000000+SUM(X125,AP125)*10000+SUM(R125,AJ125)*100+SUM(L125,AD125)+0.002&gt;AR125*1000000+SUM(T125,AL125)*10000+SUM(N125,AF125)*100+SUM(H125,Z125)+0.006,1,0)+IF(AW125*1000000+SUM(Y125,AQ125)*10000+SUM(S125,AK125)*100+SUM(M125,AE125)+0.001&gt;AR125*1000000+SUM(T125,AL125)*10000+SUM(N125,AF125)*100+SUM(H125,Z125)+0.006,1,0)=0,"R",IF(IF(AR125*1000000+SUM(T125,AL125)*10000+SUM(N125,AF125)*100+SUM(H125,Z125)+0.006&gt;AS125*1000000+SUM(U125,AM125)*10000+SUM(O125,AG125)*100+SUM(I125,AA125)+0.005,1,0)+IF(AT125*1000000+SUM(V125,AN125)*10000+SUM(P125,AH125)*100+SUM(J125,AB125)+0.004&gt;AS125*1000000+SUM(U125,AM125)*10000+SUM(O125,AG125)*100+SUM(I125,AA125)+0.005,1,0)+IF(AU125*1000000+SUM(W125,AO125)*10000+SUM(Q125,AI125)*100+SUM(K125,AC125)+0.003&gt;AS125*1000000+SUM(U125,AM125)*10000+SUM(O125,AG125)*100+SUM(I125,AA125)+0.005,1,0)+IF(AV125*1000000+SUM(X125,AP125)*10000+SUM(R125,AJ125)*100+SUM(L125,AD125)+0.002&gt;AS125*1000000+SUM(U125,AM125)*10000+SUM(O125,AG125)*100+SUM(I125,AA125)+0.005,1,0)+IF(AW125*1000000+SUM(Y125,AQ125)*10000+SUM(S125,AK125)*100+SUM(M125,AE125)+0.001&gt;AS125*1000000+SUM(U125,AM125)*10000+SUM(O125,AG125)*100+SUM(I125,AA125)+0.005,1,0)=0,"I",IF(IF(AR125*1000000+SUM(T125,AL125)*10000+SUM(N125,AF125)*100+SUM(H125,Z125)+0.006&gt;AT125*1000000+SUM(V125,AN125)*10000+SUM(P125,AH125)*100+SUM(J125,AB125)+0.004,1,0)+IF(AS125*1000000+SUM(U125,AM125)*10000+SUM(O125,AG125)*100+SUM(I125,AA125)+0.005&gt;AT125*1000000+SUM(V125,AN125)*10000+SUM(P125,AH125)*100+SUM(J125,AB125)+0.004,1,0)+IF(AU125*1000000+SUM(W125,AO125)*10000+SUM(Q125,AI125)*100+SUM(K125,AC125)+0.003&gt;AT125*1000000+SUM(V125,AN125)*10000+SUM(P125,AH125)*100+SUM(J125,AB125)+0.004,1,0)+IF(AV125*1000000+SUM(X125,AP125)*10000+SUM(R125,AJ125)*100+SUM(L125,AD125)+0.002&gt;AT125*1000000+SUM(V125,AN125)*10000+SUM(P125,AH125)*100+SUM(J125,AB125)+0.004,1,0)+IF(AW125*1000000+SUM(Y125,AQ125)*10000+SUM(S125,AK125)*100+SUM(M125,AE125)+0.001&gt;AT125*1000000+SUM(V125,AN125)*10000+SUM(P125,AH125)*100+SUM(J125,AB125)+0.004,1,0)=0,"A",IF(IF(AR125*1000000+SUM(T125,AL125)*10000+SUM(N125,AF125)*100+SUM(H125,Z125)+0.006&gt;AU125*1000000+SUM(W125,AO125)*10000+SUM(Q125,AI125)*100+SUM(K125,AC125)+0.003,1,0)+IF(AS125*1000000+SUM(U125,AM125)*10000+SUM(O125,AG125)*100+SUM(I125,AA125)+0.005&gt;AU125*1000000+SUM(W125,AO125)*10000+SUM(Q125,AI125)*100+SUM(K125,AC125)+0.003,1,0)+IF(AT125*1000000+SUM(V125,AN125)*10000+SUM(P125,AH125)*100+SUM(J125,AB125)+0.004&gt;AU125*1000000+SUM(W125,AO125)*10000+SUM(Q125,AI125)*100+SUM(K125,AC125)+0.003,1,0)+IF(AV125*1000000+SUM(X125,AP125)*10000+SUM(R125,AJ125)*100+SUM(L125,AD125)+0.002&gt;AU125*1000000+SUM(W125,AO125)*10000+SUM(Q125,AI125)*100+SUM(K125,AC125)+0.003,1,0)+IF(AW125*1000000+SUM(Y125,AQ125)*10000+SUM(S125,AK125)*100+SUM(M125,AE125)+0.001&gt;AU125*1000000+SUM(W125,AO125)*10000+SUM(Q125,AI125)*100+SUM(K125,AC125)+0.003,1,0)=0,"S",IF(IF(AR125*1000000+SUM(T125,AL125)*10000+SUM(N125,AF125)*100+SUM(H125,Z125)+0.006&gt;AV125*1000000+SUM(X125,AP125)*10000+SUM(R125,AJ125)*100+SUM(L125,AD125)+0.002,1,0)+IF(AS125*1000000+SUM(U125,AM125)*10000+SUM(O125,AG125)*100+SUM(I125,AA125)+0.005&gt;AV125*1000000+SUM(X125,AP125)*10000+SUM(R125,AJ125)*100+SUM(L125,AD125)+0.002,1,0)+IF(AT125*1000000+SUM(V125,AN125)*10000+SUM(P125,AH125)*100+SUM(J125,AB125)+0.004&gt;AV125*1000000+SUM(X125,AP125)*10000+SUM(R125,AJ125)*100+SUM(L125,AD125)+0.002,1,0)+IF(AU125*1000000+SUM(W125,AO125)*10000+SUM(Q125,AI125)*100+SUM(K125,AC125)+0.003&gt;AV125*1000000+SUM(X125,AP125)*10000+SUM(R125,AJ125)*100+SUM(L125,AD125)+0.002,1,0)+IF(AW125*1000000+SUM(Y125,AQ125)*10000+SUM(S125,AK125)*100+SUM(M125,AE125)+0.001&gt;AV125*1000000+SUM(X125,AP125)*10000+SUM(R125,AJ125)*100+SUM(L125,AD125)+0.002,1,0)=0,"E",IF(IF(AR125*1000000+SUM(T125,AL125)*10000+SUM(N125,AF125)*100+SUM(H125,Z125)+0.006&gt;AW125*1000000+SUM(Y125,AQ125)*10000+SUM(S125,AK125)*100+SUM(M125,AE125)+0.001,1,0)+IF(AS125*1000000+SUM(U125,AM125)*10000+SUM(O125,AG125)*100+SUM(I125,AA125)+0.005&gt;AW125*1000000+SUM(Y125,AQ125)*10000+SUM(S125,AK125)*100+SUM(M125,AE125)+0.001,1,0)+IF(AT125*1000000+SUM(V125,AN125)*10000+SUM(P125,AH125)*100+SUM(J125,AB125)+0.004&gt;AW125*1000000+SUM(Y125,AQ125)*10000+SUM(S125,AK125)*100+SUM(M125,AE125)+0.001,1,0)+IF(AU125*1000000+SUM(W125,AO125)*10000+SUM(Q125,AI125)*100+SUM(K125,AC125)+0.003&gt;AW125*1000000+SUM(Y125,AQ125)*10000+SUM(S125,AK125)*100+SUM(M125,AE125)+0.001,1,0)+IF(AV125*1000000+SUM(X125,AP125)*10000+SUM(R125,AJ125)*100+SUM(L125,AD125)+0.002&gt;AW125*1000000+SUM(Y125,AQ125)*10000+SUM(S125,AK125)*100+SUM(M125,AE125)+0.001,1,0)=0,"C",""))))))&amp;IF(IF(AS125*1000000+SUM(U125,AM125)*10000+SUM(O125,AG125)*100+SUM(I125,AA125)+0.005&gt;AR125*1000000+SUM(T125,AL125)*10000+SUM(N125,AF125)*100+SUM(H125,Z125)+0.006,1,0)+IF(AT125*1000000+SUM(V125,AN125)*10000+SUM(P125,AH125)*100+SUM(J125,AB125)+0.004&gt;AR125*1000000+SUM(T125,AL125)*10000+SUM(N125,AF125)*100+SUM(H125,Z125)+0.006,1,0)+IF(AU125*1000000+SUM(W125,AO125)*10000+SUM(Q125,AI125)*100+SUM(K125,AC125)+0.003&gt;AR125*1000000+SUM(T125,AL125)*10000+SUM(N125,AF125)*100+SUM(H125,Z125)+0.006,1,0)+IF(AV125*1000000+SUM(X125,AP125)*10000+SUM(R125,AJ125)*100+SUM(L125,AD125)+0.002&gt;AR125*1000000+SUM(T125,AL125)*10000+SUM(N125,AF125)*100+SUM(H125,Z125)+0.006,1,0)+IF(AW125*1000000+SUM(Y125,AQ125)*10000+SUM(S125,AK125)*100+SUM(M125,AE125)+0.001&gt;AR125*1000000+SUM(T125,AL125)*10000+SUM(N125,AF125)*100+SUM(H125,Z125)+0.006,1,0)=1,"R",IF(IF(AR125*1000000+SUM(T125,AL125)*10000+SUM(N125,AF125)*100+SUM(H125,Z125)+0.006&gt;AS125*1000000+SUM(U125,AM125)*10000+SUM(O125,AG125)*100+SUM(I125,AA125)+0.005,1,0)+IF(AT125*1000000+SUM(V125,AN125)*10000+SUM(P125,AH125)*100+SUM(J125,AB125)+0.004&gt;AS125*1000000+SUM(U125,AM125)*10000+SUM(O125,AG125)*100+SUM(I125,AA125)+0.005,1,0)+IF(AU125*1000000+SUM(W125,AO125)*10000+SUM(Q125,AI125)*100+SUM(K125,AC125)+0.003&gt;AS125*1000000+SUM(U125,AM125)*10000+SUM(O125,AG125)*100+SUM(I125,AA125)+0.005,1,0)+IF(AV125*1000000+SUM(X125,AP125)*10000+SUM(R125,AJ125)*100+SUM(L125,AD125)+0.002&gt;AS125*1000000+SUM(U125,AM125)*10000+SUM(O125,AG125)*100+SUM(I125,AA125)+0.005,1,0)+IF(AW125*1000000+SUM(Y125,AQ125)*10000+SUM(S125,AK125)*100+SUM(M125,AE125)+0.001&gt;AS125*1000000+SUM(U125,AM125)*10000+SUM(O125,AG125)*100+SUM(I125,AA125)+0.005,1,0)=1,"I",IF(IF(AR125*1000000+SUM(T125,AL125)*10000+SUM(N125,AF125)*100+SUM(H125,Z125)+0.006&gt;AT125*1000000+SUM(V125,AN125)*10000+SUM(P125,AH125)*100+SUM(J125,AB125)+0.004,1,0)+IF(AS125*1000000+SUM(U125,AM125)*10000+SUM(O125,AG125)*100+SUM(I125,AA125)+0.005&gt;AT125*1000000+SUM(V125,AN125)*10000+SUM(P125,AH125)*100+SUM(J125,AB125)+0.004,1,0)+IF(AU125*1000000+SUM(W125,AO125)*10000+SUM(Q125,AI125)*100+SUM(K125,AC125)+0.003&gt;AT125*1000000+SUM(V125,AN125)*10000+SUM(P125,AH125)*100+SUM(J125,AB125)+0.004,1,0)+IF(AV125*1000000+SUM(X125,AP125)*10000+SUM(R125,AJ125)*100+SUM(L125,AD125)+0.002&gt;AT125*1000000+SUM(V125,AN125)*10000+SUM(P125,AH125)*100+SUM(J125,AB125)+0.004,1,0)+IF(AW125*1000000+SUM(Y125,AQ125)*10000+SUM(S125,AK125)*100+SUM(M125,AE125)+0.001&gt;AT125*1000000+SUM(V125,AN125)*10000+SUM(P125,AH125)*100+SUM(J125,AB125)+0.004,1,0)=1,"A",IF(IF(AR125*1000000+SUM(T125,AL125)*10000+SUM(N125,AF125)*100+SUM(H125,Z125)+0.006&gt;AU125*1000000+SUM(W125,AO125)*10000+SUM(Q125,AI125)*100+SUM(K125,AC125)+0.003,1,0)+IF(AS125*1000000+SUM(U125,AM125)*10000+SUM(O125,AG125)*100+SUM(I125,AA125)+0.005&gt;AU125*1000000+SUM(W125,AO125)*10000+SUM(Q125,AI125)*100+SUM(K125,AC125)+0.003,1,0)+IF(AT125*1000000+SUM(V125,AN125)*10000+SUM(P125,AH125)*100+SUM(J125,AB125)+0.004&gt;AU125*1000000+SUM(W125,AO125)*10000+SUM(Q125,AI125)*100+SUM(K125,AC125)+0.003,1,0)+IF(AV125*1000000+SUM(X125,AP125)*10000+SUM(R125,AJ125)*100+SUM(L125,AD125)+0.002&gt;AU125*1000000+SUM(W125,AO125)*10000+SUM(Q125,AI125)*100+SUM(K125,AC125)+0.003,1,0)+IF(AW125*1000000+SUM(Y125,AQ125)*10000+SUM(S125,AK125)*100+SUM(M125,AE125)+0.001&gt;AU125*1000000+SUM(W125,AO125)*10000+SUM(Q125,AI125)*100+SUM(K125,AC125)+0.003,1,0)=1,"S",IF(IF(AR125*1000000+SUM(T125,AL125)*10000+SUM(N125,AF125)*100+SUM(H125,Z125)+0.006&gt;AV125*1000000+SUM(X125,AP125)*10000+SUM(R125,AJ125)*100+SUM(L125,AD125)+0.002,1,0)+IF(AS125*1000000+SUM(U125,AM125)*10000+SUM(O125,AG125)*100+SUM(I125,AA125)+0.005&gt;AV125*1000000+SUM(X125,AP125)*10000+SUM(R125,AJ125)*100+SUM(L125,AD125)+0.002,1,0)+IF(AT125*1000000+SUM(V125,AN125)*10000+SUM(P125,AH125)*100+SUM(J125,AB125)+0.004&gt;AV125*1000000+SUM(X125,AP125)*10000+SUM(R125,AJ125)*100+SUM(L125,AD125)+0.002,1,0)+IF(AU125*1000000+SUM(W125,AO125)*10000+SUM(Q125,AI125)*100+SUM(K125,AC125)+0.003&gt;AV125*1000000+SUM(X125,AP125)*10000+SUM(R125,AJ125)*100+SUM(L125,AD125)+0.002,1,0)+IF(AW125*1000000+SUM(Y125,AQ125)*10000+SUM(S125,AK125)*100+SUM(M125,AE125)+0.001&gt;AV125*1000000+SUM(X125,AP125)*10000+SUM(R125,AJ125)*100+SUM(L125,AD125)+0.002,1,0)=1,"E",IF(IF(AR125*1000000+SUM(T125,AL125)*10000+SUM(N125,AF125)*100+SUM(H125,Z125)+0.006&gt;AW125*1000000+SUM(Y125,AQ125)*10000+SUM(S125,AK125)*100+SUM(M125,AE125)+0.001,1,0)+IF(AS125*1000000+SUM(U125,AM125)*10000+SUM(O125,AG125)*100+SUM(I125,AA125)+0.005&gt;AW125*1000000+SUM(Y125,AQ125)*10000+SUM(S125,AK125)*100+SUM(M125,AE125)+0.001,1,0)+IF(AT125*1000000+SUM(V125,AN125)*10000+SUM(P125,AH125)*100+SUM(J125,AB125)+0.004&gt;AW125*1000000+SUM(Y125,AQ125)*10000+SUM(S125,AK125)*100+SUM(M125,AE125)+0.001,1,0)+IF(AU125*1000000+SUM(W125,AO125)*10000+SUM(Q125,AI125)*100+SUM(K125,AC125)+0.003&gt;AW125*1000000+SUM(Y125,AQ125)*10000+SUM(S125,AK125)*100+SUM(M125,AE125)+0.001,1,0)+IF(AV125*1000000+SUM(X125,AP125)*10000+SUM(R125,AJ125)*100+SUM(L125,AD125)+0.002&gt;AW125*1000000+SUM(Y125,AQ125)*10000+SUM(S125,AK125)*100+SUM(M125,AE125)+0.001,1,0)=1,"C",""))))))&amp;IF(IF(AS125*1000000+SUM(U125,AM125)*10000+SUM(O125,AG125)*100+SUM(I125,AA125)+0.005&gt;AR125*1000000+SUM(T125,AL125)*10000+SUM(N125,AF125)*100+SUM(H125,Z125)+0.006,1,0)+IF(AT125*1000000+SUM(V125,AN125)*10000+SUM(P125,AH125)*100+SUM(J125,AB125)+0.004&gt;AR125*1000000+SUM(T125,AL125)*10000+SUM(N125,AF125)*100+SUM(H125,Z125)+0.006,1,0)+IF(AU125*1000000+SUM(W125,AO125)*10000+SUM(Q125,AI125)*100+SUM(K125,AC125)+0.003&gt;AR125*1000000+SUM(T125,AL125)*10000+SUM(N125,AF125)*100+SUM(H125,Z125)+0.006,1,0)+IF(AV125*1000000+SUM(X125,AP125)*10000+SUM(R125,AJ125)*100+SUM(L125,AD125)+0.002&gt;AR125*1000000+SUM(T125,AL125)*10000+SUM(N125,AF125)*100+SUM(H125,Z125)+0.006,1,0)+IF(AW125*1000000+SUM(Y125,AQ125)*10000+SUM(S125,AK125)*100+SUM(M125,AE125)+0.001&gt;AR125*1000000+SUM(T125,AL125)*10000+SUM(N125,AF125)*100+SUM(H125,Z125)+0.006,1,0)=2,"R",IF(IF(AR125*1000000+SUM(T125,AL125)*10000+SUM(N125,AF125)*100+SUM(H125,Z125)+0.006&gt;AS125*1000000+SUM(U125,AM125)*10000+SUM(O125,AG125)*100+SUM(I125,AA125)+0.005,1,0)+IF(AT125*1000000+SUM(V125,AN125)*10000+SUM(P125,AH125)*100+SUM(J125,AB125)+0.004&gt;AS125*1000000+SUM(U125,AM125)*10000+SUM(O125,AG125)*100+SUM(I125,AA125)+0.005,1,0)+IF(AU125*1000000+SUM(W125,AO125)*10000+SUM(Q125,AI125)*100+SUM(K125,AC125)+0.003&gt;AS125*1000000+SUM(U125,AM125)*10000+SUM(O125,AG125)*100+SUM(I125,AA125)+0.005,1,0)+IF(AV125*1000000+SUM(X125,AP125)*10000+SUM(R125,AJ125)*100+SUM(L125,AD125)+0.002&gt;AS125*1000000+SUM(U125,AM125)*10000+SUM(O125,AG125)*100+SUM(I125,AA125)+0.005,1,0)+IF(AW125*1000000+SUM(Y125,AQ125)*10000+SUM(S125,AK125)*100+SUM(M125,AE125)+0.001&gt;AS125*1000000+SUM(U125,AM125)*10000+SUM(O125,AG125)*100+SUM(I125,AA125)+0.005,1,0)=2,"I",IF(IF(AR125*1000000+SUM(T125,AL125)*10000+SUM(N125,AF125)*100+SUM(H125,Z125)+0.006&gt;AT125*1000000+SUM(V125,AN125)*10000+SUM(P125,AH125)*100+SUM(J125,AB125)+0.004,1,0)+IF(AS125*1000000+SUM(U125,AM125)*10000+SUM(O125,AG125)*100+SUM(I125,AA125)+0.005&gt;AT125*1000000+SUM(V125,AN125)*10000+SUM(P125,AH125)*100+SUM(J125,AB125)+0.004,1,0)+IF(AU125*1000000+SUM(W125,AO125)*10000+SUM(Q125,AI125)*100+SUM(K125,AC125)+0.003&gt;AT125*1000000+SUM(V125,AN125)*10000+SUM(P125,AH125)*100+SUM(J125,AB125)+0.004,1,0)+IF(AV125*1000000+SUM(X125,AP125)*10000+SUM(R125,AJ125)*100+SUM(L125,AD125)+0.002&gt;AT125*1000000+SUM(V125,AN125)*10000+SUM(P125,AH125)*100+SUM(J125,AB125)+0.004,1,0)+IF(AW125*1000000+SUM(Y125,AQ125)*10000+SUM(S125,AK125)*100+SUM(M125,AE125)+0.001&gt;AT125*1000000+SUM(V125,AN125)*10000+SUM(P125,AH125)*100+SUM(J125,AB125)+0.004,1,0)=2,"A",IF(IF(AR125*1000000+SUM(T125,AL125)*10000+SUM(N125,AF125)*100+SUM(H125,Z125)+0.006&gt;AU125*1000000+SUM(W125,AO125)*10000+SUM(Q125,AI125)*100+SUM(K125,AC125)+0.003,1,0)+IF(AS125*1000000+SUM(U125,AM125)*10000+SUM(O125,AG125)*100+SUM(I125,AA125)+0.005&gt;AU125*1000000+SUM(W125,AO125)*10000+SUM(Q125,AI125)*100+SUM(K125,AC125)+0.003,1,0)+IF(AT125*1000000+SUM(V125,AN125)*10000+SUM(P125,AH125)*100+SUM(J125,AB125)+0.004&gt;AU125*1000000+SUM(W125,AO125)*10000+SUM(Q125,AI125)*100+SUM(K125,AC125)+0.003,1,0)+IF(AV125*1000000+SUM(X125,AP125)*10000+SUM(R125,AJ125)*100+SUM(L125,AD125)+0.002&gt;AU125*1000000+SUM(W125,AO125)*10000+SUM(Q125,AI125)*100+SUM(K125,AC125)+0.003,1,0)+IF(AW125*1000000+SUM(Y125,AQ125)*10000+SUM(S125,AK125)*100+SUM(M125,AE125)+0.001&gt;AU125*1000000+SUM(W125,AO125)*10000+SUM(Q125,AI125)*100+SUM(K125,AC125)+0.003,1,0)=2,"S",IF(IF(AR125*1000000+SUM(T125,AL125)*10000+SUM(N125,AF125)*100+SUM(H125,Z125)+0.006&gt;AV125*1000000+SUM(X125,AP125)*10000+SUM(R125,AJ125)*100+SUM(L125,AD125)+0.002,1,0)+IF(AS125*1000000+SUM(U125,AM125)*10000+SUM(O125,AG125)*100+SUM(I125,AA125)+0.005&gt;AV125*1000000+SUM(X125,AP125)*10000+SUM(R125,AJ125)*100+SUM(L125,AD125)+0.002,1,0)+IF(AT125*1000000+SUM(V125,AN125)*10000+SUM(P125,AH125)*100+SUM(J125,AB125)+0.004&gt;AV125*1000000+SUM(X125,AP125)*10000+SUM(R125,AJ125)*100+SUM(L125,AD125)+0.002,1,0)+IF(AU125*1000000+SUM(W125,AO125)*10000+SUM(Q125,AI125)*100+SUM(K125,AC125)+0.003&gt;AV125*1000000+SUM(X125,AP125)*10000+SUM(R125,AJ125)*100+SUM(L125,AD125)+0.002,1,0)+IF(AW125*1000000+SUM(Y125,AQ125)*10000+SUM(S125,AK125)*100+SUM(M125,AE125)+0.001&gt;AV125*1000000+SUM(X125,AP125)*10000+SUM(R125,AJ125)*100+SUM(L125,AD125)+0.002,1,0)=2,"E",IF(IF(AR125*1000000+SUM(T125,AL125)*10000+SUM(N125,AF125)*100+SUM(H125,Z125)+0.006&gt;AW125*1000000+SUM(Y125,AQ125)*10000+SUM(S125,AK125)*100+SUM(M125,AE125)+0.001,1,0)+IF(AS125*1000000+SUM(U125,AM125)*10000+SUM(O125,AG125)*100+SUM(I125,AA125)+0.005&gt;AW125*1000000+SUM(Y125,AQ125)*10000+SUM(S125,AK125)*100+SUM(M125,AE125)+0.001,1,0)+IF(AT125*1000000+SUM(V125,AN125)*10000+SUM(P125,AH125)*100+SUM(J125,AB125)+0.004&gt;AW125*1000000+SUM(Y125,AQ125)*10000+SUM(S125,AK125)*100+SUM(M125,AE125)+0.001,1,0)+IF(AU125*1000000+SUM(W125,AO125)*10000+SUM(Q125,AI125)*100+SUM(K125,AC125)+0.003&gt;AW125*1000000+SUM(Y125,AQ125)*10000+SUM(S125,AK125)*100+SUM(M125,AE125)+0.001,1,0)+IF(AV125*1000000+SUM(X125,AP125)*10000+SUM(R125,AJ125)*100+SUM(L125,AD125)+0.002&gt;AW125*1000000+SUM(Y125,AQ125)*10000+SUM(S125,AK125)*100+SUM(M125,AE125)+0.001,1,0)=2,"C","")))))))</x:f>
      </x:c>
      <x:c r="AY125" s="27" t="str">
        <x:f>IF(C125="","",IF(LEFT(AX125,1)="R","นักปฏิบัติ",IF(LEFT(AX125,1)="I","นักคิดวิเคราะห์",IF(LEFT(AX125,1)="A","นักสร้างสรรค์",IF(LEFT(AX125,1)="S","ผู้เข้าใจผู้คน",IF(LEFT(AX125,1)="E","ผู้นำการเปลี่ยนแปลง","ผู้จัดระบบ"))))))</x:f>
      </x:c>
    </x:row>
    <x:row r="126">
      <x:c r="A126" s="27"/>
      <x:c r="B126" s="28"/>
      <x:c r="C126" s="27"/>
      <x:c r="D126" s="27"/>
      <x:c r="E126" s="27"/>
      <x:c r="F126" s="27"/>
      <x:c r="G126" s="27"/>
      <x:c r="H126" s="27"/>
      <x:c r="I126" s="27"/>
      <x:c r="J126" s="27"/>
      <x:c r="K126" s="27"/>
      <x:c r="L126" s="27"/>
      <x:c r="M126" s="27"/>
      <x:c r="N126" s="27"/>
      <x:c r="O126" s="27"/>
      <x:c r="P126" s="27"/>
      <x:c r="Q126" s="27"/>
      <x:c r="R126" s="27"/>
      <x:c r="S126" s="27"/>
      <x:c r="T126" s="27"/>
      <x:c r="U126" s="27"/>
      <x:c r="V126" s="27"/>
      <x:c r="W126" s="27"/>
      <x:c r="X126" s="27"/>
      <x:c r="Y126" s="27"/>
      <x:c r="Z126" s="27"/>
      <x:c r="AA126" s="27"/>
      <x:c r="AB126" s="27"/>
      <x:c r="AC126" s="27"/>
      <x:c r="AD126" s="27"/>
      <x:c r="AE126" s="27"/>
      <x:c r="AF126" s="27"/>
      <x:c r="AG126" s="27"/>
      <x:c r="AH126" s="27"/>
      <x:c r="AI126" s="27"/>
      <x:c r="AJ126" s="27"/>
      <x:c r="AK126" s="27"/>
      <x:c r="AL126" s="27"/>
      <x:c r="AM126" s="27"/>
      <x:c r="AN126" s="27"/>
      <x:c r="AO126" s="27"/>
      <x:c r="AP126" s="27"/>
      <x:c r="AQ126" s="27"/>
      <x:c r="AR126" s="27" t="str">
        <x:f>IF(C126="","",SUM(H126,N126,T126,Z126,AF126,AL126))</x:f>
      </x:c>
      <x:c r="AS126" s="27" t="str">
        <x:f>IF(C126="","",SUM(I126,O126,U126,AA126,AG126,AM126))</x:f>
      </x:c>
      <x:c r="AT126" s="27" t="str">
        <x:f>IF(C126="","",SUM(J126,P126,V126,AB126,AH126,AN126))</x:f>
      </x:c>
      <x:c r="AU126" s="27" t="str">
        <x:f>IF(C126="","",SUM(K126,Q126,W126,AC126,AI126,AO126))</x:f>
      </x:c>
      <x:c r="AV126" s="27" t="str">
        <x:f>IF(C126="","",SUM(L126,R126,X126,AD126,AJ126,AP126))</x:f>
      </x:c>
      <x:c r="AW126" s="27" t="str">
        <x:f>IF(C126="","",SUM(M126,S126,Y126,AE126,AK126,AQ126))</x:f>
      </x:c>
      <x:c r="AX126" s="27" t="str">
        <x:f>IF(C126="","",IF(IF(AS126*1000000+SUM(U126,AM126)*10000+SUM(O126,AG126)*100+SUM(I126,AA126)+0.005&gt;AR126*1000000+SUM(T126,AL126)*10000+SUM(N126,AF126)*100+SUM(H126,Z126)+0.006,1,0)+IF(AT126*1000000+SUM(V126,AN126)*10000+SUM(P126,AH126)*100+SUM(J126,AB126)+0.004&gt;AR126*1000000+SUM(T126,AL126)*10000+SUM(N126,AF126)*100+SUM(H126,Z126)+0.006,1,0)+IF(AU126*1000000+SUM(W126,AO126)*10000+SUM(Q126,AI126)*100+SUM(K126,AC126)+0.003&gt;AR126*1000000+SUM(T126,AL126)*10000+SUM(N126,AF126)*100+SUM(H126,Z126)+0.006,1,0)+IF(AV126*1000000+SUM(X126,AP126)*10000+SUM(R126,AJ126)*100+SUM(L126,AD126)+0.002&gt;AR126*1000000+SUM(T126,AL126)*10000+SUM(N126,AF126)*100+SUM(H126,Z126)+0.006,1,0)+IF(AW126*1000000+SUM(Y126,AQ126)*10000+SUM(S126,AK126)*100+SUM(M126,AE126)+0.001&gt;AR126*1000000+SUM(T126,AL126)*10000+SUM(N126,AF126)*100+SUM(H126,Z126)+0.006,1,0)=0,"R",IF(IF(AR126*1000000+SUM(T126,AL126)*10000+SUM(N126,AF126)*100+SUM(H126,Z126)+0.006&gt;AS126*1000000+SUM(U126,AM126)*10000+SUM(O126,AG126)*100+SUM(I126,AA126)+0.005,1,0)+IF(AT126*1000000+SUM(V126,AN126)*10000+SUM(P126,AH126)*100+SUM(J126,AB126)+0.004&gt;AS126*1000000+SUM(U126,AM126)*10000+SUM(O126,AG126)*100+SUM(I126,AA126)+0.005,1,0)+IF(AU126*1000000+SUM(W126,AO126)*10000+SUM(Q126,AI126)*100+SUM(K126,AC126)+0.003&gt;AS126*1000000+SUM(U126,AM126)*10000+SUM(O126,AG126)*100+SUM(I126,AA126)+0.005,1,0)+IF(AV126*1000000+SUM(X126,AP126)*10000+SUM(R126,AJ126)*100+SUM(L126,AD126)+0.002&gt;AS126*1000000+SUM(U126,AM126)*10000+SUM(O126,AG126)*100+SUM(I126,AA126)+0.005,1,0)+IF(AW126*1000000+SUM(Y126,AQ126)*10000+SUM(S126,AK126)*100+SUM(M126,AE126)+0.001&gt;AS126*1000000+SUM(U126,AM126)*10000+SUM(O126,AG126)*100+SUM(I126,AA126)+0.005,1,0)=0,"I",IF(IF(AR126*1000000+SUM(T126,AL126)*10000+SUM(N126,AF126)*100+SUM(H126,Z126)+0.006&gt;AT126*1000000+SUM(V126,AN126)*10000+SUM(P126,AH126)*100+SUM(J126,AB126)+0.004,1,0)+IF(AS126*1000000+SUM(U126,AM126)*10000+SUM(O126,AG126)*100+SUM(I126,AA126)+0.005&gt;AT126*1000000+SUM(V126,AN126)*10000+SUM(P126,AH126)*100+SUM(J126,AB126)+0.004,1,0)+IF(AU126*1000000+SUM(W126,AO126)*10000+SUM(Q126,AI126)*100+SUM(K126,AC126)+0.003&gt;AT126*1000000+SUM(V126,AN126)*10000+SUM(P126,AH126)*100+SUM(J126,AB126)+0.004,1,0)+IF(AV126*1000000+SUM(X126,AP126)*10000+SUM(R126,AJ126)*100+SUM(L126,AD126)+0.002&gt;AT126*1000000+SUM(V126,AN126)*10000+SUM(P126,AH126)*100+SUM(J126,AB126)+0.004,1,0)+IF(AW126*1000000+SUM(Y126,AQ126)*10000+SUM(S126,AK126)*100+SUM(M126,AE126)+0.001&gt;AT126*1000000+SUM(V126,AN126)*10000+SUM(P126,AH126)*100+SUM(J126,AB126)+0.004,1,0)=0,"A",IF(IF(AR126*1000000+SUM(T126,AL126)*10000+SUM(N126,AF126)*100+SUM(H126,Z126)+0.006&gt;AU126*1000000+SUM(W126,AO126)*10000+SUM(Q126,AI126)*100+SUM(K126,AC126)+0.003,1,0)+IF(AS126*1000000+SUM(U126,AM126)*10000+SUM(O126,AG126)*100+SUM(I126,AA126)+0.005&gt;AU126*1000000+SUM(W126,AO126)*10000+SUM(Q126,AI126)*100+SUM(K126,AC126)+0.003,1,0)+IF(AT126*1000000+SUM(V126,AN126)*10000+SUM(P126,AH126)*100+SUM(J126,AB126)+0.004&gt;AU126*1000000+SUM(W126,AO126)*10000+SUM(Q126,AI126)*100+SUM(K126,AC126)+0.003,1,0)+IF(AV126*1000000+SUM(X126,AP126)*10000+SUM(R126,AJ126)*100+SUM(L126,AD126)+0.002&gt;AU126*1000000+SUM(W126,AO126)*10000+SUM(Q126,AI126)*100+SUM(K126,AC126)+0.003,1,0)+IF(AW126*1000000+SUM(Y126,AQ126)*10000+SUM(S126,AK126)*100+SUM(M126,AE126)+0.001&gt;AU126*1000000+SUM(W126,AO126)*10000+SUM(Q126,AI126)*100+SUM(K126,AC126)+0.003,1,0)=0,"S",IF(IF(AR126*1000000+SUM(T126,AL126)*10000+SUM(N126,AF126)*100+SUM(H126,Z126)+0.006&gt;AV126*1000000+SUM(X126,AP126)*10000+SUM(R126,AJ126)*100+SUM(L126,AD126)+0.002,1,0)+IF(AS126*1000000+SUM(U126,AM126)*10000+SUM(O126,AG126)*100+SUM(I126,AA126)+0.005&gt;AV126*1000000+SUM(X126,AP126)*10000+SUM(R126,AJ126)*100+SUM(L126,AD126)+0.002,1,0)+IF(AT126*1000000+SUM(V126,AN126)*10000+SUM(P126,AH126)*100+SUM(J126,AB126)+0.004&gt;AV126*1000000+SUM(X126,AP126)*10000+SUM(R126,AJ126)*100+SUM(L126,AD126)+0.002,1,0)+IF(AU126*1000000+SUM(W126,AO126)*10000+SUM(Q126,AI126)*100+SUM(K126,AC126)+0.003&gt;AV126*1000000+SUM(X126,AP126)*10000+SUM(R126,AJ126)*100+SUM(L126,AD126)+0.002,1,0)+IF(AW126*1000000+SUM(Y126,AQ126)*10000+SUM(S126,AK126)*100+SUM(M126,AE126)+0.001&gt;AV126*1000000+SUM(X126,AP126)*10000+SUM(R126,AJ126)*100+SUM(L126,AD126)+0.002,1,0)=0,"E",IF(IF(AR126*1000000+SUM(T126,AL126)*10000+SUM(N126,AF126)*100+SUM(H126,Z126)+0.006&gt;AW126*1000000+SUM(Y126,AQ126)*10000+SUM(S126,AK126)*100+SUM(M126,AE126)+0.001,1,0)+IF(AS126*1000000+SUM(U126,AM126)*10000+SUM(O126,AG126)*100+SUM(I126,AA126)+0.005&gt;AW126*1000000+SUM(Y126,AQ126)*10000+SUM(S126,AK126)*100+SUM(M126,AE126)+0.001,1,0)+IF(AT126*1000000+SUM(V126,AN126)*10000+SUM(P126,AH126)*100+SUM(J126,AB126)+0.004&gt;AW126*1000000+SUM(Y126,AQ126)*10000+SUM(S126,AK126)*100+SUM(M126,AE126)+0.001,1,0)+IF(AU126*1000000+SUM(W126,AO126)*10000+SUM(Q126,AI126)*100+SUM(K126,AC126)+0.003&gt;AW126*1000000+SUM(Y126,AQ126)*10000+SUM(S126,AK126)*100+SUM(M126,AE126)+0.001,1,0)+IF(AV126*1000000+SUM(X126,AP126)*10000+SUM(R126,AJ126)*100+SUM(L126,AD126)+0.002&gt;AW126*1000000+SUM(Y126,AQ126)*10000+SUM(S126,AK126)*100+SUM(M126,AE126)+0.001,1,0)=0,"C",""))))))&amp;IF(IF(AS126*1000000+SUM(U126,AM126)*10000+SUM(O126,AG126)*100+SUM(I126,AA126)+0.005&gt;AR126*1000000+SUM(T126,AL126)*10000+SUM(N126,AF126)*100+SUM(H126,Z126)+0.006,1,0)+IF(AT126*1000000+SUM(V126,AN126)*10000+SUM(P126,AH126)*100+SUM(J126,AB126)+0.004&gt;AR126*1000000+SUM(T126,AL126)*10000+SUM(N126,AF126)*100+SUM(H126,Z126)+0.006,1,0)+IF(AU126*1000000+SUM(W126,AO126)*10000+SUM(Q126,AI126)*100+SUM(K126,AC126)+0.003&gt;AR126*1000000+SUM(T126,AL126)*10000+SUM(N126,AF126)*100+SUM(H126,Z126)+0.006,1,0)+IF(AV126*1000000+SUM(X126,AP126)*10000+SUM(R126,AJ126)*100+SUM(L126,AD126)+0.002&gt;AR126*1000000+SUM(T126,AL126)*10000+SUM(N126,AF126)*100+SUM(H126,Z126)+0.006,1,0)+IF(AW126*1000000+SUM(Y126,AQ126)*10000+SUM(S126,AK126)*100+SUM(M126,AE126)+0.001&gt;AR126*1000000+SUM(T126,AL126)*10000+SUM(N126,AF126)*100+SUM(H126,Z126)+0.006,1,0)=1,"R",IF(IF(AR126*1000000+SUM(T126,AL126)*10000+SUM(N126,AF126)*100+SUM(H126,Z126)+0.006&gt;AS126*1000000+SUM(U126,AM126)*10000+SUM(O126,AG126)*100+SUM(I126,AA126)+0.005,1,0)+IF(AT126*1000000+SUM(V126,AN126)*10000+SUM(P126,AH126)*100+SUM(J126,AB126)+0.004&gt;AS126*1000000+SUM(U126,AM126)*10000+SUM(O126,AG126)*100+SUM(I126,AA126)+0.005,1,0)+IF(AU126*1000000+SUM(W126,AO126)*10000+SUM(Q126,AI126)*100+SUM(K126,AC126)+0.003&gt;AS126*1000000+SUM(U126,AM126)*10000+SUM(O126,AG126)*100+SUM(I126,AA126)+0.005,1,0)+IF(AV126*1000000+SUM(X126,AP126)*10000+SUM(R126,AJ126)*100+SUM(L126,AD126)+0.002&gt;AS126*1000000+SUM(U126,AM126)*10000+SUM(O126,AG126)*100+SUM(I126,AA126)+0.005,1,0)+IF(AW126*1000000+SUM(Y126,AQ126)*10000+SUM(S126,AK126)*100+SUM(M126,AE126)+0.001&gt;AS126*1000000+SUM(U126,AM126)*10000+SUM(O126,AG126)*100+SUM(I126,AA126)+0.005,1,0)=1,"I",IF(IF(AR126*1000000+SUM(T126,AL126)*10000+SUM(N126,AF126)*100+SUM(H126,Z126)+0.006&gt;AT126*1000000+SUM(V126,AN126)*10000+SUM(P126,AH126)*100+SUM(J126,AB126)+0.004,1,0)+IF(AS126*1000000+SUM(U126,AM126)*10000+SUM(O126,AG126)*100+SUM(I126,AA126)+0.005&gt;AT126*1000000+SUM(V126,AN126)*10000+SUM(P126,AH126)*100+SUM(J126,AB126)+0.004,1,0)+IF(AU126*1000000+SUM(W126,AO126)*10000+SUM(Q126,AI126)*100+SUM(K126,AC126)+0.003&gt;AT126*1000000+SUM(V126,AN126)*10000+SUM(P126,AH126)*100+SUM(J126,AB126)+0.004,1,0)+IF(AV126*1000000+SUM(X126,AP126)*10000+SUM(R126,AJ126)*100+SUM(L126,AD126)+0.002&gt;AT126*1000000+SUM(V126,AN126)*10000+SUM(P126,AH126)*100+SUM(J126,AB126)+0.004,1,0)+IF(AW126*1000000+SUM(Y126,AQ126)*10000+SUM(S126,AK126)*100+SUM(M126,AE126)+0.001&gt;AT126*1000000+SUM(V126,AN126)*10000+SUM(P126,AH126)*100+SUM(J126,AB126)+0.004,1,0)=1,"A",IF(IF(AR126*1000000+SUM(T126,AL126)*10000+SUM(N126,AF126)*100+SUM(H126,Z126)+0.006&gt;AU126*1000000+SUM(W126,AO126)*10000+SUM(Q126,AI126)*100+SUM(K126,AC126)+0.003,1,0)+IF(AS126*1000000+SUM(U126,AM126)*10000+SUM(O126,AG126)*100+SUM(I126,AA126)+0.005&gt;AU126*1000000+SUM(W126,AO126)*10000+SUM(Q126,AI126)*100+SUM(K126,AC126)+0.003,1,0)+IF(AT126*1000000+SUM(V126,AN126)*10000+SUM(P126,AH126)*100+SUM(J126,AB126)+0.004&gt;AU126*1000000+SUM(W126,AO126)*10000+SUM(Q126,AI126)*100+SUM(K126,AC126)+0.003,1,0)+IF(AV126*1000000+SUM(X126,AP126)*10000+SUM(R126,AJ126)*100+SUM(L126,AD126)+0.002&gt;AU126*1000000+SUM(W126,AO126)*10000+SUM(Q126,AI126)*100+SUM(K126,AC126)+0.003,1,0)+IF(AW126*1000000+SUM(Y126,AQ126)*10000+SUM(S126,AK126)*100+SUM(M126,AE126)+0.001&gt;AU126*1000000+SUM(W126,AO126)*10000+SUM(Q126,AI126)*100+SUM(K126,AC126)+0.003,1,0)=1,"S",IF(IF(AR126*1000000+SUM(T126,AL126)*10000+SUM(N126,AF126)*100+SUM(H126,Z126)+0.006&gt;AV126*1000000+SUM(X126,AP126)*10000+SUM(R126,AJ126)*100+SUM(L126,AD126)+0.002,1,0)+IF(AS126*1000000+SUM(U126,AM126)*10000+SUM(O126,AG126)*100+SUM(I126,AA126)+0.005&gt;AV126*1000000+SUM(X126,AP126)*10000+SUM(R126,AJ126)*100+SUM(L126,AD126)+0.002,1,0)+IF(AT126*1000000+SUM(V126,AN126)*10000+SUM(P126,AH126)*100+SUM(J126,AB126)+0.004&gt;AV126*1000000+SUM(X126,AP126)*10000+SUM(R126,AJ126)*100+SUM(L126,AD126)+0.002,1,0)+IF(AU126*1000000+SUM(W126,AO126)*10000+SUM(Q126,AI126)*100+SUM(K126,AC126)+0.003&gt;AV126*1000000+SUM(X126,AP126)*10000+SUM(R126,AJ126)*100+SUM(L126,AD126)+0.002,1,0)+IF(AW126*1000000+SUM(Y126,AQ126)*10000+SUM(S126,AK126)*100+SUM(M126,AE126)+0.001&gt;AV126*1000000+SUM(X126,AP126)*10000+SUM(R126,AJ126)*100+SUM(L126,AD126)+0.002,1,0)=1,"E",IF(IF(AR126*1000000+SUM(T126,AL126)*10000+SUM(N126,AF126)*100+SUM(H126,Z126)+0.006&gt;AW126*1000000+SUM(Y126,AQ126)*10000+SUM(S126,AK126)*100+SUM(M126,AE126)+0.001,1,0)+IF(AS126*1000000+SUM(U126,AM126)*10000+SUM(O126,AG126)*100+SUM(I126,AA126)+0.005&gt;AW126*1000000+SUM(Y126,AQ126)*10000+SUM(S126,AK126)*100+SUM(M126,AE126)+0.001,1,0)+IF(AT126*1000000+SUM(V126,AN126)*10000+SUM(P126,AH126)*100+SUM(J126,AB126)+0.004&gt;AW126*1000000+SUM(Y126,AQ126)*10000+SUM(S126,AK126)*100+SUM(M126,AE126)+0.001,1,0)+IF(AU126*1000000+SUM(W126,AO126)*10000+SUM(Q126,AI126)*100+SUM(K126,AC126)+0.003&gt;AW126*1000000+SUM(Y126,AQ126)*10000+SUM(S126,AK126)*100+SUM(M126,AE126)+0.001,1,0)+IF(AV126*1000000+SUM(X126,AP126)*10000+SUM(R126,AJ126)*100+SUM(L126,AD126)+0.002&gt;AW126*1000000+SUM(Y126,AQ126)*10000+SUM(S126,AK126)*100+SUM(M126,AE126)+0.001,1,0)=1,"C",""))))))&amp;IF(IF(AS126*1000000+SUM(U126,AM126)*10000+SUM(O126,AG126)*100+SUM(I126,AA126)+0.005&gt;AR126*1000000+SUM(T126,AL126)*10000+SUM(N126,AF126)*100+SUM(H126,Z126)+0.006,1,0)+IF(AT126*1000000+SUM(V126,AN126)*10000+SUM(P126,AH126)*100+SUM(J126,AB126)+0.004&gt;AR126*1000000+SUM(T126,AL126)*10000+SUM(N126,AF126)*100+SUM(H126,Z126)+0.006,1,0)+IF(AU126*1000000+SUM(W126,AO126)*10000+SUM(Q126,AI126)*100+SUM(K126,AC126)+0.003&gt;AR126*1000000+SUM(T126,AL126)*10000+SUM(N126,AF126)*100+SUM(H126,Z126)+0.006,1,0)+IF(AV126*1000000+SUM(X126,AP126)*10000+SUM(R126,AJ126)*100+SUM(L126,AD126)+0.002&gt;AR126*1000000+SUM(T126,AL126)*10000+SUM(N126,AF126)*100+SUM(H126,Z126)+0.006,1,0)+IF(AW126*1000000+SUM(Y126,AQ126)*10000+SUM(S126,AK126)*100+SUM(M126,AE126)+0.001&gt;AR126*1000000+SUM(T126,AL126)*10000+SUM(N126,AF126)*100+SUM(H126,Z126)+0.006,1,0)=2,"R",IF(IF(AR126*1000000+SUM(T126,AL126)*10000+SUM(N126,AF126)*100+SUM(H126,Z126)+0.006&gt;AS126*1000000+SUM(U126,AM126)*10000+SUM(O126,AG126)*100+SUM(I126,AA126)+0.005,1,0)+IF(AT126*1000000+SUM(V126,AN126)*10000+SUM(P126,AH126)*100+SUM(J126,AB126)+0.004&gt;AS126*1000000+SUM(U126,AM126)*10000+SUM(O126,AG126)*100+SUM(I126,AA126)+0.005,1,0)+IF(AU126*1000000+SUM(W126,AO126)*10000+SUM(Q126,AI126)*100+SUM(K126,AC126)+0.003&gt;AS126*1000000+SUM(U126,AM126)*10000+SUM(O126,AG126)*100+SUM(I126,AA126)+0.005,1,0)+IF(AV126*1000000+SUM(X126,AP126)*10000+SUM(R126,AJ126)*100+SUM(L126,AD126)+0.002&gt;AS126*1000000+SUM(U126,AM126)*10000+SUM(O126,AG126)*100+SUM(I126,AA126)+0.005,1,0)+IF(AW126*1000000+SUM(Y126,AQ126)*10000+SUM(S126,AK126)*100+SUM(M126,AE126)+0.001&gt;AS126*1000000+SUM(U126,AM126)*10000+SUM(O126,AG126)*100+SUM(I126,AA126)+0.005,1,0)=2,"I",IF(IF(AR126*1000000+SUM(T126,AL126)*10000+SUM(N126,AF126)*100+SUM(H126,Z126)+0.006&gt;AT126*1000000+SUM(V126,AN126)*10000+SUM(P126,AH126)*100+SUM(J126,AB126)+0.004,1,0)+IF(AS126*1000000+SUM(U126,AM126)*10000+SUM(O126,AG126)*100+SUM(I126,AA126)+0.005&gt;AT126*1000000+SUM(V126,AN126)*10000+SUM(P126,AH126)*100+SUM(J126,AB126)+0.004,1,0)+IF(AU126*1000000+SUM(W126,AO126)*10000+SUM(Q126,AI126)*100+SUM(K126,AC126)+0.003&gt;AT126*1000000+SUM(V126,AN126)*10000+SUM(P126,AH126)*100+SUM(J126,AB126)+0.004,1,0)+IF(AV126*1000000+SUM(X126,AP126)*10000+SUM(R126,AJ126)*100+SUM(L126,AD126)+0.002&gt;AT126*1000000+SUM(V126,AN126)*10000+SUM(P126,AH126)*100+SUM(J126,AB126)+0.004,1,0)+IF(AW126*1000000+SUM(Y126,AQ126)*10000+SUM(S126,AK126)*100+SUM(M126,AE126)+0.001&gt;AT126*1000000+SUM(V126,AN126)*10000+SUM(P126,AH126)*100+SUM(J126,AB126)+0.004,1,0)=2,"A",IF(IF(AR126*1000000+SUM(T126,AL126)*10000+SUM(N126,AF126)*100+SUM(H126,Z126)+0.006&gt;AU126*1000000+SUM(W126,AO126)*10000+SUM(Q126,AI126)*100+SUM(K126,AC126)+0.003,1,0)+IF(AS126*1000000+SUM(U126,AM126)*10000+SUM(O126,AG126)*100+SUM(I126,AA126)+0.005&gt;AU126*1000000+SUM(W126,AO126)*10000+SUM(Q126,AI126)*100+SUM(K126,AC126)+0.003,1,0)+IF(AT126*1000000+SUM(V126,AN126)*10000+SUM(P126,AH126)*100+SUM(J126,AB126)+0.004&gt;AU126*1000000+SUM(W126,AO126)*10000+SUM(Q126,AI126)*100+SUM(K126,AC126)+0.003,1,0)+IF(AV126*1000000+SUM(X126,AP126)*10000+SUM(R126,AJ126)*100+SUM(L126,AD126)+0.002&gt;AU126*1000000+SUM(W126,AO126)*10000+SUM(Q126,AI126)*100+SUM(K126,AC126)+0.003,1,0)+IF(AW126*1000000+SUM(Y126,AQ126)*10000+SUM(S126,AK126)*100+SUM(M126,AE126)+0.001&gt;AU126*1000000+SUM(W126,AO126)*10000+SUM(Q126,AI126)*100+SUM(K126,AC126)+0.003,1,0)=2,"S",IF(IF(AR126*1000000+SUM(T126,AL126)*10000+SUM(N126,AF126)*100+SUM(H126,Z126)+0.006&gt;AV126*1000000+SUM(X126,AP126)*10000+SUM(R126,AJ126)*100+SUM(L126,AD126)+0.002,1,0)+IF(AS126*1000000+SUM(U126,AM126)*10000+SUM(O126,AG126)*100+SUM(I126,AA126)+0.005&gt;AV126*1000000+SUM(X126,AP126)*10000+SUM(R126,AJ126)*100+SUM(L126,AD126)+0.002,1,0)+IF(AT126*1000000+SUM(V126,AN126)*10000+SUM(P126,AH126)*100+SUM(J126,AB126)+0.004&gt;AV126*1000000+SUM(X126,AP126)*10000+SUM(R126,AJ126)*100+SUM(L126,AD126)+0.002,1,0)+IF(AU126*1000000+SUM(W126,AO126)*10000+SUM(Q126,AI126)*100+SUM(K126,AC126)+0.003&gt;AV126*1000000+SUM(X126,AP126)*10000+SUM(R126,AJ126)*100+SUM(L126,AD126)+0.002,1,0)+IF(AW126*1000000+SUM(Y126,AQ126)*10000+SUM(S126,AK126)*100+SUM(M126,AE126)+0.001&gt;AV126*1000000+SUM(X126,AP126)*10000+SUM(R126,AJ126)*100+SUM(L126,AD126)+0.002,1,0)=2,"E",IF(IF(AR126*1000000+SUM(T126,AL126)*10000+SUM(N126,AF126)*100+SUM(H126,Z126)+0.006&gt;AW126*1000000+SUM(Y126,AQ126)*10000+SUM(S126,AK126)*100+SUM(M126,AE126)+0.001,1,0)+IF(AS126*1000000+SUM(U126,AM126)*10000+SUM(O126,AG126)*100+SUM(I126,AA126)+0.005&gt;AW126*1000000+SUM(Y126,AQ126)*10000+SUM(S126,AK126)*100+SUM(M126,AE126)+0.001,1,0)+IF(AT126*1000000+SUM(V126,AN126)*10000+SUM(P126,AH126)*100+SUM(J126,AB126)+0.004&gt;AW126*1000000+SUM(Y126,AQ126)*10000+SUM(S126,AK126)*100+SUM(M126,AE126)+0.001,1,0)+IF(AU126*1000000+SUM(W126,AO126)*10000+SUM(Q126,AI126)*100+SUM(K126,AC126)+0.003&gt;AW126*1000000+SUM(Y126,AQ126)*10000+SUM(S126,AK126)*100+SUM(M126,AE126)+0.001,1,0)+IF(AV126*1000000+SUM(X126,AP126)*10000+SUM(R126,AJ126)*100+SUM(L126,AD126)+0.002&gt;AW126*1000000+SUM(Y126,AQ126)*10000+SUM(S126,AK126)*100+SUM(M126,AE126)+0.001,1,0)=2,"C","")))))))</x:f>
      </x:c>
      <x:c r="AY126" s="27" t="str">
        <x:f>IF(C126="","",IF(LEFT(AX126,1)="R","นักปฏิบัติ",IF(LEFT(AX126,1)="I","นักคิดวิเคราะห์",IF(LEFT(AX126,1)="A","นักสร้างสรรค์",IF(LEFT(AX126,1)="S","ผู้เข้าใจผู้คน",IF(LEFT(AX126,1)="E","ผู้นำการเปลี่ยนแปลง","ผู้จัดระบบ"))))))</x:f>
      </x:c>
    </x:row>
    <x:row r="127">
      <x:c r="A127" s="27"/>
      <x:c r="B127" s="28"/>
      <x:c r="C127" s="27"/>
      <x:c r="D127" s="27"/>
      <x:c r="E127" s="27"/>
      <x:c r="F127" s="27"/>
      <x:c r="G127" s="27"/>
      <x:c r="H127" s="27"/>
      <x:c r="I127" s="27"/>
      <x:c r="J127" s="27"/>
      <x:c r="K127" s="27"/>
      <x:c r="L127" s="27"/>
      <x:c r="M127" s="27"/>
      <x:c r="N127" s="27"/>
      <x:c r="O127" s="27"/>
      <x:c r="P127" s="27"/>
      <x:c r="Q127" s="27"/>
      <x:c r="R127" s="27"/>
      <x:c r="S127" s="27"/>
      <x:c r="T127" s="27"/>
      <x:c r="U127" s="27"/>
      <x:c r="V127" s="27"/>
      <x:c r="W127" s="27"/>
      <x:c r="X127" s="27"/>
      <x:c r="Y127" s="27"/>
      <x:c r="Z127" s="27"/>
      <x:c r="AA127" s="27"/>
      <x:c r="AB127" s="27"/>
      <x:c r="AC127" s="27"/>
      <x:c r="AD127" s="27"/>
      <x:c r="AE127" s="27"/>
      <x:c r="AF127" s="27"/>
      <x:c r="AG127" s="27"/>
      <x:c r="AH127" s="27"/>
      <x:c r="AI127" s="27"/>
      <x:c r="AJ127" s="27"/>
      <x:c r="AK127" s="27"/>
      <x:c r="AL127" s="27"/>
      <x:c r="AM127" s="27"/>
      <x:c r="AN127" s="27"/>
      <x:c r="AO127" s="27"/>
      <x:c r="AP127" s="27"/>
      <x:c r="AQ127" s="27"/>
      <x:c r="AR127" s="27" t="str">
        <x:f>IF(C127="","",SUM(H127,N127,T127,Z127,AF127,AL127))</x:f>
      </x:c>
      <x:c r="AS127" s="27" t="str">
        <x:f>IF(C127="","",SUM(I127,O127,U127,AA127,AG127,AM127))</x:f>
      </x:c>
      <x:c r="AT127" s="27" t="str">
        <x:f>IF(C127="","",SUM(J127,P127,V127,AB127,AH127,AN127))</x:f>
      </x:c>
      <x:c r="AU127" s="27" t="str">
        <x:f>IF(C127="","",SUM(K127,Q127,W127,AC127,AI127,AO127))</x:f>
      </x:c>
      <x:c r="AV127" s="27" t="str">
        <x:f>IF(C127="","",SUM(L127,R127,X127,AD127,AJ127,AP127))</x:f>
      </x:c>
      <x:c r="AW127" s="27" t="str">
        <x:f>IF(C127="","",SUM(M127,S127,Y127,AE127,AK127,AQ127))</x:f>
      </x:c>
      <x:c r="AX127" s="27" t="str">
        <x:f>IF(C127="","",IF(IF(AS127*1000000+SUM(U127,AM127)*10000+SUM(O127,AG127)*100+SUM(I127,AA127)+0.005&gt;AR127*1000000+SUM(T127,AL127)*10000+SUM(N127,AF127)*100+SUM(H127,Z127)+0.006,1,0)+IF(AT127*1000000+SUM(V127,AN127)*10000+SUM(P127,AH127)*100+SUM(J127,AB127)+0.004&gt;AR127*1000000+SUM(T127,AL127)*10000+SUM(N127,AF127)*100+SUM(H127,Z127)+0.006,1,0)+IF(AU127*1000000+SUM(W127,AO127)*10000+SUM(Q127,AI127)*100+SUM(K127,AC127)+0.003&gt;AR127*1000000+SUM(T127,AL127)*10000+SUM(N127,AF127)*100+SUM(H127,Z127)+0.006,1,0)+IF(AV127*1000000+SUM(X127,AP127)*10000+SUM(R127,AJ127)*100+SUM(L127,AD127)+0.002&gt;AR127*1000000+SUM(T127,AL127)*10000+SUM(N127,AF127)*100+SUM(H127,Z127)+0.006,1,0)+IF(AW127*1000000+SUM(Y127,AQ127)*10000+SUM(S127,AK127)*100+SUM(M127,AE127)+0.001&gt;AR127*1000000+SUM(T127,AL127)*10000+SUM(N127,AF127)*100+SUM(H127,Z127)+0.006,1,0)=0,"R",IF(IF(AR127*1000000+SUM(T127,AL127)*10000+SUM(N127,AF127)*100+SUM(H127,Z127)+0.006&gt;AS127*1000000+SUM(U127,AM127)*10000+SUM(O127,AG127)*100+SUM(I127,AA127)+0.005,1,0)+IF(AT127*1000000+SUM(V127,AN127)*10000+SUM(P127,AH127)*100+SUM(J127,AB127)+0.004&gt;AS127*1000000+SUM(U127,AM127)*10000+SUM(O127,AG127)*100+SUM(I127,AA127)+0.005,1,0)+IF(AU127*1000000+SUM(W127,AO127)*10000+SUM(Q127,AI127)*100+SUM(K127,AC127)+0.003&gt;AS127*1000000+SUM(U127,AM127)*10000+SUM(O127,AG127)*100+SUM(I127,AA127)+0.005,1,0)+IF(AV127*1000000+SUM(X127,AP127)*10000+SUM(R127,AJ127)*100+SUM(L127,AD127)+0.002&gt;AS127*1000000+SUM(U127,AM127)*10000+SUM(O127,AG127)*100+SUM(I127,AA127)+0.005,1,0)+IF(AW127*1000000+SUM(Y127,AQ127)*10000+SUM(S127,AK127)*100+SUM(M127,AE127)+0.001&gt;AS127*1000000+SUM(U127,AM127)*10000+SUM(O127,AG127)*100+SUM(I127,AA127)+0.005,1,0)=0,"I",IF(IF(AR127*1000000+SUM(T127,AL127)*10000+SUM(N127,AF127)*100+SUM(H127,Z127)+0.006&gt;AT127*1000000+SUM(V127,AN127)*10000+SUM(P127,AH127)*100+SUM(J127,AB127)+0.004,1,0)+IF(AS127*1000000+SUM(U127,AM127)*10000+SUM(O127,AG127)*100+SUM(I127,AA127)+0.005&gt;AT127*1000000+SUM(V127,AN127)*10000+SUM(P127,AH127)*100+SUM(J127,AB127)+0.004,1,0)+IF(AU127*1000000+SUM(W127,AO127)*10000+SUM(Q127,AI127)*100+SUM(K127,AC127)+0.003&gt;AT127*1000000+SUM(V127,AN127)*10000+SUM(P127,AH127)*100+SUM(J127,AB127)+0.004,1,0)+IF(AV127*1000000+SUM(X127,AP127)*10000+SUM(R127,AJ127)*100+SUM(L127,AD127)+0.002&gt;AT127*1000000+SUM(V127,AN127)*10000+SUM(P127,AH127)*100+SUM(J127,AB127)+0.004,1,0)+IF(AW127*1000000+SUM(Y127,AQ127)*10000+SUM(S127,AK127)*100+SUM(M127,AE127)+0.001&gt;AT127*1000000+SUM(V127,AN127)*10000+SUM(P127,AH127)*100+SUM(J127,AB127)+0.004,1,0)=0,"A",IF(IF(AR127*1000000+SUM(T127,AL127)*10000+SUM(N127,AF127)*100+SUM(H127,Z127)+0.006&gt;AU127*1000000+SUM(W127,AO127)*10000+SUM(Q127,AI127)*100+SUM(K127,AC127)+0.003,1,0)+IF(AS127*1000000+SUM(U127,AM127)*10000+SUM(O127,AG127)*100+SUM(I127,AA127)+0.005&gt;AU127*1000000+SUM(W127,AO127)*10000+SUM(Q127,AI127)*100+SUM(K127,AC127)+0.003,1,0)+IF(AT127*1000000+SUM(V127,AN127)*10000+SUM(P127,AH127)*100+SUM(J127,AB127)+0.004&gt;AU127*1000000+SUM(W127,AO127)*10000+SUM(Q127,AI127)*100+SUM(K127,AC127)+0.003,1,0)+IF(AV127*1000000+SUM(X127,AP127)*10000+SUM(R127,AJ127)*100+SUM(L127,AD127)+0.002&gt;AU127*1000000+SUM(W127,AO127)*10000+SUM(Q127,AI127)*100+SUM(K127,AC127)+0.003,1,0)+IF(AW127*1000000+SUM(Y127,AQ127)*10000+SUM(S127,AK127)*100+SUM(M127,AE127)+0.001&gt;AU127*1000000+SUM(W127,AO127)*10000+SUM(Q127,AI127)*100+SUM(K127,AC127)+0.003,1,0)=0,"S",IF(IF(AR127*1000000+SUM(T127,AL127)*10000+SUM(N127,AF127)*100+SUM(H127,Z127)+0.006&gt;AV127*1000000+SUM(X127,AP127)*10000+SUM(R127,AJ127)*100+SUM(L127,AD127)+0.002,1,0)+IF(AS127*1000000+SUM(U127,AM127)*10000+SUM(O127,AG127)*100+SUM(I127,AA127)+0.005&gt;AV127*1000000+SUM(X127,AP127)*10000+SUM(R127,AJ127)*100+SUM(L127,AD127)+0.002,1,0)+IF(AT127*1000000+SUM(V127,AN127)*10000+SUM(P127,AH127)*100+SUM(J127,AB127)+0.004&gt;AV127*1000000+SUM(X127,AP127)*10000+SUM(R127,AJ127)*100+SUM(L127,AD127)+0.002,1,0)+IF(AU127*1000000+SUM(W127,AO127)*10000+SUM(Q127,AI127)*100+SUM(K127,AC127)+0.003&gt;AV127*1000000+SUM(X127,AP127)*10000+SUM(R127,AJ127)*100+SUM(L127,AD127)+0.002,1,0)+IF(AW127*1000000+SUM(Y127,AQ127)*10000+SUM(S127,AK127)*100+SUM(M127,AE127)+0.001&gt;AV127*1000000+SUM(X127,AP127)*10000+SUM(R127,AJ127)*100+SUM(L127,AD127)+0.002,1,0)=0,"E",IF(IF(AR127*1000000+SUM(T127,AL127)*10000+SUM(N127,AF127)*100+SUM(H127,Z127)+0.006&gt;AW127*1000000+SUM(Y127,AQ127)*10000+SUM(S127,AK127)*100+SUM(M127,AE127)+0.001,1,0)+IF(AS127*1000000+SUM(U127,AM127)*10000+SUM(O127,AG127)*100+SUM(I127,AA127)+0.005&gt;AW127*1000000+SUM(Y127,AQ127)*10000+SUM(S127,AK127)*100+SUM(M127,AE127)+0.001,1,0)+IF(AT127*1000000+SUM(V127,AN127)*10000+SUM(P127,AH127)*100+SUM(J127,AB127)+0.004&gt;AW127*1000000+SUM(Y127,AQ127)*10000+SUM(S127,AK127)*100+SUM(M127,AE127)+0.001,1,0)+IF(AU127*1000000+SUM(W127,AO127)*10000+SUM(Q127,AI127)*100+SUM(K127,AC127)+0.003&gt;AW127*1000000+SUM(Y127,AQ127)*10000+SUM(S127,AK127)*100+SUM(M127,AE127)+0.001,1,0)+IF(AV127*1000000+SUM(X127,AP127)*10000+SUM(R127,AJ127)*100+SUM(L127,AD127)+0.002&gt;AW127*1000000+SUM(Y127,AQ127)*10000+SUM(S127,AK127)*100+SUM(M127,AE127)+0.001,1,0)=0,"C",""))))))&amp;IF(IF(AS127*1000000+SUM(U127,AM127)*10000+SUM(O127,AG127)*100+SUM(I127,AA127)+0.005&gt;AR127*1000000+SUM(T127,AL127)*10000+SUM(N127,AF127)*100+SUM(H127,Z127)+0.006,1,0)+IF(AT127*1000000+SUM(V127,AN127)*10000+SUM(P127,AH127)*100+SUM(J127,AB127)+0.004&gt;AR127*1000000+SUM(T127,AL127)*10000+SUM(N127,AF127)*100+SUM(H127,Z127)+0.006,1,0)+IF(AU127*1000000+SUM(W127,AO127)*10000+SUM(Q127,AI127)*100+SUM(K127,AC127)+0.003&gt;AR127*1000000+SUM(T127,AL127)*10000+SUM(N127,AF127)*100+SUM(H127,Z127)+0.006,1,0)+IF(AV127*1000000+SUM(X127,AP127)*10000+SUM(R127,AJ127)*100+SUM(L127,AD127)+0.002&gt;AR127*1000000+SUM(T127,AL127)*10000+SUM(N127,AF127)*100+SUM(H127,Z127)+0.006,1,0)+IF(AW127*1000000+SUM(Y127,AQ127)*10000+SUM(S127,AK127)*100+SUM(M127,AE127)+0.001&gt;AR127*1000000+SUM(T127,AL127)*10000+SUM(N127,AF127)*100+SUM(H127,Z127)+0.006,1,0)=1,"R",IF(IF(AR127*1000000+SUM(T127,AL127)*10000+SUM(N127,AF127)*100+SUM(H127,Z127)+0.006&gt;AS127*1000000+SUM(U127,AM127)*10000+SUM(O127,AG127)*100+SUM(I127,AA127)+0.005,1,0)+IF(AT127*1000000+SUM(V127,AN127)*10000+SUM(P127,AH127)*100+SUM(J127,AB127)+0.004&gt;AS127*1000000+SUM(U127,AM127)*10000+SUM(O127,AG127)*100+SUM(I127,AA127)+0.005,1,0)+IF(AU127*1000000+SUM(W127,AO127)*10000+SUM(Q127,AI127)*100+SUM(K127,AC127)+0.003&gt;AS127*1000000+SUM(U127,AM127)*10000+SUM(O127,AG127)*100+SUM(I127,AA127)+0.005,1,0)+IF(AV127*1000000+SUM(X127,AP127)*10000+SUM(R127,AJ127)*100+SUM(L127,AD127)+0.002&gt;AS127*1000000+SUM(U127,AM127)*10000+SUM(O127,AG127)*100+SUM(I127,AA127)+0.005,1,0)+IF(AW127*1000000+SUM(Y127,AQ127)*10000+SUM(S127,AK127)*100+SUM(M127,AE127)+0.001&gt;AS127*1000000+SUM(U127,AM127)*10000+SUM(O127,AG127)*100+SUM(I127,AA127)+0.005,1,0)=1,"I",IF(IF(AR127*1000000+SUM(T127,AL127)*10000+SUM(N127,AF127)*100+SUM(H127,Z127)+0.006&gt;AT127*1000000+SUM(V127,AN127)*10000+SUM(P127,AH127)*100+SUM(J127,AB127)+0.004,1,0)+IF(AS127*1000000+SUM(U127,AM127)*10000+SUM(O127,AG127)*100+SUM(I127,AA127)+0.005&gt;AT127*1000000+SUM(V127,AN127)*10000+SUM(P127,AH127)*100+SUM(J127,AB127)+0.004,1,0)+IF(AU127*1000000+SUM(W127,AO127)*10000+SUM(Q127,AI127)*100+SUM(K127,AC127)+0.003&gt;AT127*1000000+SUM(V127,AN127)*10000+SUM(P127,AH127)*100+SUM(J127,AB127)+0.004,1,0)+IF(AV127*1000000+SUM(X127,AP127)*10000+SUM(R127,AJ127)*100+SUM(L127,AD127)+0.002&gt;AT127*1000000+SUM(V127,AN127)*10000+SUM(P127,AH127)*100+SUM(J127,AB127)+0.004,1,0)+IF(AW127*1000000+SUM(Y127,AQ127)*10000+SUM(S127,AK127)*100+SUM(M127,AE127)+0.001&gt;AT127*1000000+SUM(V127,AN127)*10000+SUM(P127,AH127)*100+SUM(J127,AB127)+0.004,1,0)=1,"A",IF(IF(AR127*1000000+SUM(T127,AL127)*10000+SUM(N127,AF127)*100+SUM(H127,Z127)+0.006&gt;AU127*1000000+SUM(W127,AO127)*10000+SUM(Q127,AI127)*100+SUM(K127,AC127)+0.003,1,0)+IF(AS127*1000000+SUM(U127,AM127)*10000+SUM(O127,AG127)*100+SUM(I127,AA127)+0.005&gt;AU127*1000000+SUM(W127,AO127)*10000+SUM(Q127,AI127)*100+SUM(K127,AC127)+0.003,1,0)+IF(AT127*1000000+SUM(V127,AN127)*10000+SUM(P127,AH127)*100+SUM(J127,AB127)+0.004&gt;AU127*1000000+SUM(W127,AO127)*10000+SUM(Q127,AI127)*100+SUM(K127,AC127)+0.003,1,0)+IF(AV127*1000000+SUM(X127,AP127)*10000+SUM(R127,AJ127)*100+SUM(L127,AD127)+0.002&gt;AU127*1000000+SUM(W127,AO127)*10000+SUM(Q127,AI127)*100+SUM(K127,AC127)+0.003,1,0)+IF(AW127*1000000+SUM(Y127,AQ127)*10000+SUM(S127,AK127)*100+SUM(M127,AE127)+0.001&gt;AU127*1000000+SUM(W127,AO127)*10000+SUM(Q127,AI127)*100+SUM(K127,AC127)+0.003,1,0)=1,"S",IF(IF(AR127*1000000+SUM(T127,AL127)*10000+SUM(N127,AF127)*100+SUM(H127,Z127)+0.006&gt;AV127*1000000+SUM(X127,AP127)*10000+SUM(R127,AJ127)*100+SUM(L127,AD127)+0.002,1,0)+IF(AS127*1000000+SUM(U127,AM127)*10000+SUM(O127,AG127)*100+SUM(I127,AA127)+0.005&gt;AV127*1000000+SUM(X127,AP127)*10000+SUM(R127,AJ127)*100+SUM(L127,AD127)+0.002,1,0)+IF(AT127*1000000+SUM(V127,AN127)*10000+SUM(P127,AH127)*100+SUM(J127,AB127)+0.004&gt;AV127*1000000+SUM(X127,AP127)*10000+SUM(R127,AJ127)*100+SUM(L127,AD127)+0.002,1,0)+IF(AU127*1000000+SUM(W127,AO127)*10000+SUM(Q127,AI127)*100+SUM(K127,AC127)+0.003&gt;AV127*1000000+SUM(X127,AP127)*10000+SUM(R127,AJ127)*100+SUM(L127,AD127)+0.002,1,0)+IF(AW127*1000000+SUM(Y127,AQ127)*10000+SUM(S127,AK127)*100+SUM(M127,AE127)+0.001&gt;AV127*1000000+SUM(X127,AP127)*10000+SUM(R127,AJ127)*100+SUM(L127,AD127)+0.002,1,0)=1,"E",IF(IF(AR127*1000000+SUM(T127,AL127)*10000+SUM(N127,AF127)*100+SUM(H127,Z127)+0.006&gt;AW127*1000000+SUM(Y127,AQ127)*10000+SUM(S127,AK127)*100+SUM(M127,AE127)+0.001,1,0)+IF(AS127*1000000+SUM(U127,AM127)*10000+SUM(O127,AG127)*100+SUM(I127,AA127)+0.005&gt;AW127*1000000+SUM(Y127,AQ127)*10000+SUM(S127,AK127)*100+SUM(M127,AE127)+0.001,1,0)+IF(AT127*1000000+SUM(V127,AN127)*10000+SUM(P127,AH127)*100+SUM(J127,AB127)+0.004&gt;AW127*1000000+SUM(Y127,AQ127)*10000+SUM(S127,AK127)*100+SUM(M127,AE127)+0.001,1,0)+IF(AU127*1000000+SUM(W127,AO127)*10000+SUM(Q127,AI127)*100+SUM(K127,AC127)+0.003&gt;AW127*1000000+SUM(Y127,AQ127)*10000+SUM(S127,AK127)*100+SUM(M127,AE127)+0.001,1,0)+IF(AV127*1000000+SUM(X127,AP127)*10000+SUM(R127,AJ127)*100+SUM(L127,AD127)+0.002&gt;AW127*1000000+SUM(Y127,AQ127)*10000+SUM(S127,AK127)*100+SUM(M127,AE127)+0.001,1,0)=1,"C",""))))))&amp;IF(IF(AS127*1000000+SUM(U127,AM127)*10000+SUM(O127,AG127)*100+SUM(I127,AA127)+0.005&gt;AR127*1000000+SUM(T127,AL127)*10000+SUM(N127,AF127)*100+SUM(H127,Z127)+0.006,1,0)+IF(AT127*1000000+SUM(V127,AN127)*10000+SUM(P127,AH127)*100+SUM(J127,AB127)+0.004&gt;AR127*1000000+SUM(T127,AL127)*10000+SUM(N127,AF127)*100+SUM(H127,Z127)+0.006,1,0)+IF(AU127*1000000+SUM(W127,AO127)*10000+SUM(Q127,AI127)*100+SUM(K127,AC127)+0.003&gt;AR127*1000000+SUM(T127,AL127)*10000+SUM(N127,AF127)*100+SUM(H127,Z127)+0.006,1,0)+IF(AV127*1000000+SUM(X127,AP127)*10000+SUM(R127,AJ127)*100+SUM(L127,AD127)+0.002&gt;AR127*1000000+SUM(T127,AL127)*10000+SUM(N127,AF127)*100+SUM(H127,Z127)+0.006,1,0)+IF(AW127*1000000+SUM(Y127,AQ127)*10000+SUM(S127,AK127)*100+SUM(M127,AE127)+0.001&gt;AR127*1000000+SUM(T127,AL127)*10000+SUM(N127,AF127)*100+SUM(H127,Z127)+0.006,1,0)=2,"R",IF(IF(AR127*1000000+SUM(T127,AL127)*10000+SUM(N127,AF127)*100+SUM(H127,Z127)+0.006&gt;AS127*1000000+SUM(U127,AM127)*10000+SUM(O127,AG127)*100+SUM(I127,AA127)+0.005,1,0)+IF(AT127*1000000+SUM(V127,AN127)*10000+SUM(P127,AH127)*100+SUM(J127,AB127)+0.004&gt;AS127*1000000+SUM(U127,AM127)*10000+SUM(O127,AG127)*100+SUM(I127,AA127)+0.005,1,0)+IF(AU127*1000000+SUM(W127,AO127)*10000+SUM(Q127,AI127)*100+SUM(K127,AC127)+0.003&gt;AS127*1000000+SUM(U127,AM127)*10000+SUM(O127,AG127)*100+SUM(I127,AA127)+0.005,1,0)+IF(AV127*1000000+SUM(X127,AP127)*10000+SUM(R127,AJ127)*100+SUM(L127,AD127)+0.002&gt;AS127*1000000+SUM(U127,AM127)*10000+SUM(O127,AG127)*100+SUM(I127,AA127)+0.005,1,0)+IF(AW127*1000000+SUM(Y127,AQ127)*10000+SUM(S127,AK127)*100+SUM(M127,AE127)+0.001&gt;AS127*1000000+SUM(U127,AM127)*10000+SUM(O127,AG127)*100+SUM(I127,AA127)+0.005,1,0)=2,"I",IF(IF(AR127*1000000+SUM(T127,AL127)*10000+SUM(N127,AF127)*100+SUM(H127,Z127)+0.006&gt;AT127*1000000+SUM(V127,AN127)*10000+SUM(P127,AH127)*100+SUM(J127,AB127)+0.004,1,0)+IF(AS127*1000000+SUM(U127,AM127)*10000+SUM(O127,AG127)*100+SUM(I127,AA127)+0.005&gt;AT127*1000000+SUM(V127,AN127)*10000+SUM(P127,AH127)*100+SUM(J127,AB127)+0.004,1,0)+IF(AU127*1000000+SUM(W127,AO127)*10000+SUM(Q127,AI127)*100+SUM(K127,AC127)+0.003&gt;AT127*1000000+SUM(V127,AN127)*10000+SUM(P127,AH127)*100+SUM(J127,AB127)+0.004,1,0)+IF(AV127*1000000+SUM(X127,AP127)*10000+SUM(R127,AJ127)*100+SUM(L127,AD127)+0.002&gt;AT127*1000000+SUM(V127,AN127)*10000+SUM(P127,AH127)*100+SUM(J127,AB127)+0.004,1,0)+IF(AW127*1000000+SUM(Y127,AQ127)*10000+SUM(S127,AK127)*100+SUM(M127,AE127)+0.001&gt;AT127*1000000+SUM(V127,AN127)*10000+SUM(P127,AH127)*100+SUM(J127,AB127)+0.004,1,0)=2,"A",IF(IF(AR127*1000000+SUM(T127,AL127)*10000+SUM(N127,AF127)*100+SUM(H127,Z127)+0.006&gt;AU127*1000000+SUM(W127,AO127)*10000+SUM(Q127,AI127)*100+SUM(K127,AC127)+0.003,1,0)+IF(AS127*1000000+SUM(U127,AM127)*10000+SUM(O127,AG127)*100+SUM(I127,AA127)+0.005&gt;AU127*1000000+SUM(W127,AO127)*10000+SUM(Q127,AI127)*100+SUM(K127,AC127)+0.003,1,0)+IF(AT127*1000000+SUM(V127,AN127)*10000+SUM(P127,AH127)*100+SUM(J127,AB127)+0.004&gt;AU127*1000000+SUM(W127,AO127)*10000+SUM(Q127,AI127)*100+SUM(K127,AC127)+0.003,1,0)+IF(AV127*1000000+SUM(X127,AP127)*10000+SUM(R127,AJ127)*100+SUM(L127,AD127)+0.002&gt;AU127*1000000+SUM(W127,AO127)*10000+SUM(Q127,AI127)*100+SUM(K127,AC127)+0.003,1,0)+IF(AW127*1000000+SUM(Y127,AQ127)*10000+SUM(S127,AK127)*100+SUM(M127,AE127)+0.001&gt;AU127*1000000+SUM(W127,AO127)*10000+SUM(Q127,AI127)*100+SUM(K127,AC127)+0.003,1,0)=2,"S",IF(IF(AR127*1000000+SUM(T127,AL127)*10000+SUM(N127,AF127)*100+SUM(H127,Z127)+0.006&gt;AV127*1000000+SUM(X127,AP127)*10000+SUM(R127,AJ127)*100+SUM(L127,AD127)+0.002,1,0)+IF(AS127*1000000+SUM(U127,AM127)*10000+SUM(O127,AG127)*100+SUM(I127,AA127)+0.005&gt;AV127*1000000+SUM(X127,AP127)*10000+SUM(R127,AJ127)*100+SUM(L127,AD127)+0.002,1,0)+IF(AT127*1000000+SUM(V127,AN127)*10000+SUM(P127,AH127)*100+SUM(J127,AB127)+0.004&gt;AV127*1000000+SUM(X127,AP127)*10000+SUM(R127,AJ127)*100+SUM(L127,AD127)+0.002,1,0)+IF(AU127*1000000+SUM(W127,AO127)*10000+SUM(Q127,AI127)*100+SUM(K127,AC127)+0.003&gt;AV127*1000000+SUM(X127,AP127)*10000+SUM(R127,AJ127)*100+SUM(L127,AD127)+0.002,1,0)+IF(AW127*1000000+SUM(Y127,AQ127)*10000+SUM(S127,AK127)*100+SUM(M127,AE127)+0.001&gt;AV127*1000000+SUM(X127,AP127)*10000+SUM(R127,AJ127)*100+SUM(L127,AD127)+0.002,1,0)=2,"E",IF(IF(AR127*1000000+SUM(T127,AL127)*10000+SUM(N127,AF127)*100+SUM(H127,Z127)+0.006&gt;AW127*1000000+SUM(Y127,AQ127)*10000+SUM(S127,AK127)*100+SUM(M127,AE127)+0.001,1,0)+IF(AS127*1000000+SUM(U127,AM127)*10000+SUM(O127,AG127)*100+SUM(I127,AA127)+0.005&gt;AW127*1000000+SUM(Y127,AQ127)*10000+SUM(S127,AK127)*100+SUM(M127,AE127)+0.001,1,0)+IF(AT127*1000000+SUM(V127,AN127)*10000+SUM(P127,AH127)*100+SUM(J127,AB127)+0.004&gt;AW127*1000000+SUM(Y127,AQ127)*10000+SUM(S127,AK127)*100+SUM(M127,AE127)+0.001,1,0)+IF(AU127*1000000+SUM(W127,AO127)*10000+SUM(Q127,AI127)*100+SUM(K127,AC127)+0.003&gt;AW127*1000000+SUM(Y127,AQ127)*10000+SUM(S127,AK127)*100+SUM(M127,AE127)+0.001,1,0)+IF(AV127*1000000+SUM(X127,AP127)*10000+SUM(R127,AJ127)*100+SUM(L127,AD127)+0.002&gt;AW127*1000000+SUM(Y127,AQ127)*10000+SUM(S127,AK127)*100+SUM(M127,AE127)+0.001,1,0)=2,"C","")))))))</x:f>
      </x:c>
      <x:c r="AY127" s="27" t="str">
        <x:f>IF(C127="","",IF(LEFT(AX127,1)="R","นักปฏิบัติ",IF(LEFT(AX127,1)="I","นักคิดวิเคราะห์",IF(LEFT(AX127,1)="A","นักสร้างสรรค์",IF(LEFT(AX127,1)="S","ผู้เข้าใจผู้คน",IF(LEFT(AX127,1)="E","ผู้นำการเปลี่ยนแปลง","ผู้จัดระบบ"))))))</x:f>
      </x:c>
    </x:row>
    <x:row r="128">
      <x:c r="A128" s="27"/>
      <x:c r="B128" s="28"/>
      <x:c r="C128" s="27"/>
      <x:c r="D128" s="27"/>
      <x:c r="E128" s="27"/>
      <x:c r="F128" s="27"/>
      <x:c r="G128" s="27"/>
      <x:c r="H128" s="27"/>
      <x:c r="I128" s="27"/>
      <x:c r="J128" s="27"/>
      <x:c r="K128" s="27"/>
      <x:c r="L128" s="27"/>
      <x:c r="M128" s="27"/>
      <x:c r="N128" s="27"/>
      <x:c r="O128" s="27"/>
      <x:c r="P128" s="27"/>
      <x:c r="Q128" s="27"/>
      <x:c r="R128" s="27"/>
      <x:c r="S128" s="27"/>
      <x:c r="T128" s="27"/>
      <x:c r="U128" s="27"/>
      <x:c r="V128" s="27"/>
      <x:c r="W128" s="27"/>
      <x:c r="X128" s="27"/>
      <x:c r="Y128" s="27"/>
      <x:c r="Z128" s="27"/>
      <x:c r="AA128" s="27"/>
      <x:c r="AB128" s="27"/>
      <x:c r="AC128" s="27"/>
      <x:c r="AD128" s="27"/>
      <x:c r="AE128" s="27"/>
      <x:c r="AF128" s="27"/>
      <x:c r="AG128" s="27"/>
      <x:c r="AH128" s="27"/>
      <x:c r="AI128" s="27"/>
      <x:c r="AJ128" s="27"/>
      <x:c r="AK128" s="27"/>
      <x:c r="AL128" s="27"/>
      <x:c r="AM128" s="27"/>
      <x:c r="AN128" s="27"/>
      <x:c r="AO128" s="27"/>
      <x:c r="AP128" s="27"/>
      <x:c r="AQ128" s="27"/>
      <x:c r="AR128" s="27" t="str">
        <x:f>IF(C128="","",SUM(H128,N128,T128,Z128,AF128,AL128))</x:f>
      </x:c>
      <x:c r="AS128" s="27" t="str">
        <x:f>IF(C128="","",SUM(I128,O128,U128,AA128,AG128,AM128))</x:f>
      </x:c>
      <x:c r="AT128" s="27" t="str">
        <x:f>IF(C128="","",SUM(J128,P128,V128,AB128,AH128,AN128))</x:f>
      </x:c>
      <x:c r="AU128" s="27" t="str">
        <x:f>IF(C128="","",SUM(K128,Q128,W128,AC128,AI128,AO128))</x:f>
      </x:c>
      <x:c r="AV128" s="27" t="str">
        <x:f>IF(C128="","",SUM(L128,R128,X128,AD128,AJ128,AP128))</x:f>
      </x:c>
      <x:c r="AW128" s="27" t="str">
        <x:f>IF(C128="","",SUM(M128,S128,Y128,AE128,AK128,AQ128))</x:f>
      </x:c>
      <x:c r="AX128" s="27" t="str">
        <x:f>IF(C128="","",IF(IF(AS128*1000000+SUM(U128,AM128)*10000+SUM(O128,AG128)*100+SUM(I128,AA128)+0.005&gt;AR128*1000000+SUM(T128,AL128)*10000+SUM(N128,AF128)*100+SUM(H128,Z128)+0.006,1,0)+IF(AT128*1000000+SUM(V128,AN128)*10000+SUM(P128,AH128)*100+SUM(J128,AB128)+0.004&gt;AR128*1000000+SUM(T128,AL128)*10000+SUM(N128,AF128)*100+SUM(H128,Z128)+0.006,1,0)+IF(AU128*1000000+SUM(W128,AO128)*10000+SUM(Q128,AI128)*100+SUM(K128,AC128)+0.003&gt;AR128*1000000+SUM(T128,AL128)*10000+SUM(N128,AF128)*100+SUM(H128,Z128)+0.006,1,0)+IF(AV128*1000000+SUM(X128,AP128)*10000+SUM(R128,AJ128)*100+SUM(L128,AD128)+0.002&gt;AR128*1000000+SUM(T128,AL128)*10000+SUM(N128,AF128)*100+SUM(H128,Z128)+0.006,1,0)+IF(AW128*1000000+SUM(Y128,AQ128)*10000+SUM(S128,AK128)*100+SUM(M128,AE128)+0.001&gt;AR128*1000000+SUM(T128,AL128)*10000+SUM(N128,AF128)*100+SUM(H128,Z128)+0.006,1,0)=0,"R",IF(IF(AR128*1000000+SUM(T128,AL128)*10000+SUM(N128,AF128)*100+SUM(H128,Z128)+0.006&gt;AS128*1000000+SUM(U128,AM128)*10000+SUM(O128,AG128)*100+SUM(I128,AA128)+0.005,1,0)+IF(AT128*1000000+SUM(V128,AN128)*10000+SUM(P128,AH128)*100+SUM(J128,AB128)+0.004&gt;AS128*1000000+SUM(U128,AM128)*10000+SUM(O128,AG128)*100+SUM(I128,AA128)+0.005,1,0)+IF(AU128*1000000+SUM(W128,AO128)*10000+SUM(Q128,AI128)*100+SUM(K128,AC128)+0.003&gt;AS128*1000000+SUM(U128,AM128)*10000+SUM(O128,AG128)*100+SUM(I128,AA128)+0.005,1,0)+IF(AV128*1000000+SUM(X128,AP128)*10000+SUM(R128,AJ128)*100+SUM(L128,AD128)+0.002&gt;AS128*1000000+SUM(U128,AM128)*10000+SUM(O128,AG128)*100+SUM(I128,AA128)+0.005,1,0)+IF(AW128*1000000+SUM(Y128,AQ128)*10000+SUM(S128,AK128)*100+SUM(M128,AE128)+0.001&gt;AS128*1000000+SUM(U128,AM128)*10000+SUM(O128,AG128)*100+SUM(I128,AA128)+0.005,1,0)=0,"I",IF(IF(AR128*1000000+SUM(T128,AL128)*10000+SUM(N128,AF128)*100+SUM(H128,Z128)+0.006&gt;AT128*1000000+SUM(V128,AN128)*10000+SUM(P128,AH128)*100+SUM(J128,AB128)+0.004,1,0)+IF(AS128*1000000+SUM(U128,AM128)*10000+SUM(O128,AG128)*100+SUM(I128,AA128)+0.005&gt;AT128*1000000+SUM(V128,AN128)*10000+SUM(P128,AH128)*100+SUM(J128,AB128)+0.004,1,0)+IF(AU128*1000000+SUM(W128,AO128)*10000+SUM(Q128,AI128)*100+SUM(K128,AC128)+0.003&gt;AT128*1000000+SUM(V128,AN128)*10000+SUM(P128,AH128)*100+SUM(J128,AB128)+0.004,1,0)+IF(AV128*1000000+SUM(X128,AP128)*10000+SUM(R128,AJ128)*100+SUM(L128,AD128)+0.002&gt;AT128*1000000+SUM(V128,AN128)*10000+SUM(P128,AH128)*100+SUM(J128,AB128)+0.004,1,0)+IF(AW128*1000000+SUM(Y128,AQ128)*10000+SUM(S128,AK128)*100+SUM(M128,AE128)+0.001&gt;AT128*1000000+SUM(V128,AN128)*10000+SUM(P128,AH128)*100+SUM(J128,AB128)+0.004,1,0)=0,"A",IF(IF(AR128*1000000+SUM(T128,AL128)*10000+SUM(N128,AF128)*100+SUM(H128,Z128)+0.006&gt;AU128*1000000+SUM(W128,AO128)*10000+SUM(Q128,AI128)*100+SUM(K128,AC128)+0.003,1,0)+IF(AS128*1000000+SUM(U128,AM128)*10000+SUM(O128,AG128)*100+SUM(I128,AA128)+0.005&gt;AU128*1000000+SUM(W128,AO128)*10000+SUM(Q128,AI128)*100+SUM(K128,AC128)+0.003,1,0)+IF(AT128*1000000+SUM(V128,AN128)*10000+SUM(P128,AH128)*100+SUM(J128,AB128)+0.004&gt;AU128*1000000+SUM(W128,AO128)*10000+SUM(Q128,AI128)*100+SUM(K128,AC128)+0.003,1,0)+IF(AV128*1000000+SUM(X128,AP128)*10000+SUM(R128,AJ128)*100+SUM(L128,AD128)+0.002&gt;AU128*1000000+SUM(W128,AO128)*10000+SUM(Q128,AI128)*100+SUM(K128,AC128)+0.003,1,0)+IF(AW128*1000000+SUM(Y128,AQ128)*10000+SUM(S128,AK128)*100+SUM(M128,AE128)+0.001&gt;AU128*1000000+SUM(W128,AO128)*10000+SUM(Q128,AI128)*100+SUM(K128,AC128)+0.003,1,0)=0,"S",IF(IF(AR128*1000000+SUM(T128,AL128)*10000+SUM(N128,AF128)*100+SUM(H128,Z128)+0.006&gt;AV128*1000000+SUM(X128,AP128)*10000+SUM(R128,AJ128)*100+SUM(L128,AD128)+0.002,1,0)+IF(AS128*1000000+SUM(U128,AM128)*10000+SUM(O128,AG128)*100+SUM(I128,AA128)+0.005&gt;AV128*1000000+SUM(X128,AP128)*10000+SUM(R128,AJ128)*100+SUM(L128,AD128)+0.002,1,0)+IF(AT128*1000000+SUM(V128,AN128)*10000+SUM(P128,AH128)*100+SUM(J128,AB128)+0.004&gt;AV128*1000000+SUM(X128,AP128)*10000+SUM(R128,AJ128)*100+SUM(L128,AD128)+0.002,1,0)+IF(AU128*1000000+SUM(W128,AO128)*10000+SUM(Q128,AI128)*100+SUM(K128,AC128)+0.003&gt;AV128*1000000+SUM(X128,AP128)*10000+SUM(R128,AJ128)*100+SUM(L128,AD128)+0.002,1,0)+IF(AW128*1000000+SUM(Y128,AQ128)*10000+SUM(S128,AK128)*100+SUM(M128,AE128)+0.001&gt;AV128*1000000+SUM(X128,AP128)*10000+SUM(R128,AJ128)*100+SUM(L128,AD128)+0.002,1,0)=0,"E",IF(IF(AR128*1000000+SUM(T128,AL128)*10000+SUM(N128,AF128)*100+SUM(H128,Z128)+0.006&gt;AW128*1000000+SUM(Y128,AQ128)*10000+SUM(S128,AK128)*100+SUM(M128,AE128)+0.001,1,0)+IF(AS128*1000000+SUM(U128,AM128)*10000+SUM(O128,AG128)*100+SUM(I128,AA128)+0.005&gt;AW128*1000000+SUM(Y128,AQ128)*10000+SUM(S128,AK128)*100+SUM(M128,AE128)+0.001,1,0)+IF(AT128*1000000+SUM(V128,AN128)*10000+SUM(P128,AH128)*100+SUM(J128,AB128)+0.004&gt;AW128*1000000+SUM(Y128,AQ128)*10000+SUM(S128,AK128)*100+SUM(M128,AE128)+0.001,1,0)+IF(AU128*1000000+SUM(W128,AO128)*10000+SUM(Q128,AI128)*100+SUM(K128,AC128)+0.003&gt;AW128*1000000+SUM(Y128,AQ128)*10000+SUM(S128,AK128)*100+SUM(M128,AE128)+0.001,1,0)+IF(AV128*1000000+SUM(X128,AP128)*10000+SUM(R128,AJ128)*100+SUM(L128,AD128)+0.002&gt;AW128*1000000+SUM(Y128,AQ128)*10000+SUM(S128,AK128)*100+SUM(M128,AE128)+0.001,1,0)=0,"C",""))))))&amp;IF(IF(AS128*1000000+SUM(U128,AM128)*10000+SUM(O128,AG128)*100+SUM(I128,AA128)+0.005&gt;AR128*1000000+SUM(T128,AL128)*10000+SUM(N128,AF128)*100+SUM(H128,Z128)+0.006,1,0)+IF(AT128*1000000+SUM(V128,AN128)*10000+SUM(P128,AH128)*100+SUM(J128,AB128)+0.004&gt;AR128*1000000+SUM(T128,AL128)*10000+SUM(N128,AF128)*100+SUM(H128,Z128)+0.006,1,0)+IF(AU128*1000000+SUM(W128,AO128)*10000+SUM(Q128,AI128)*100+SUM(K128,AC128)+0.003&gt;AR128*1000000+SUM(T128,AL128)*10000+SUM(N128,AF128)*100+SUM(H128,Z128)+0.006,1,0)+IF(AV128*1000000+SUM(X128,AP128)*10000+SUM(R128,AJ128)*100+SUM(L128,AD128)+0.002&gt;AR128*1000000+SUM(T128,AL128)*10000+SUM(N128,AF128)*100+SUM(H128,Z128)+0.006,1,0)+IF(AW128*1000000+SUM(Y128,AQ128)*10000+SUM(S128,AK128)*100+SUM(M128,AE128)+0.001&gt;AR128*1000000+SUM(T128,AL128)*10000+SUM(N128,AF128)*100+SUM(H128,Z128)+0.006,1,0)=1,"R",IF(IF(AR128*1000000+SUM(T128,AL128)*10000+SUM(N128,AF128)*100+SUM(H128,Z128)+0.006&gt;AS128*1000000+SUM(U128,AM128)*10000+SUM(O128,AG128)*100+SUM(I128,AA128)+0.005,1,0)+IF(AT128*1000000+SUM(V128,AN128)*10000+SUM(P128,AH128)*100+SUM(J128,AB128)+0.004&gt;AS128*1000000+SUM(U128,AM128)*10000+SUM(O128,AG128)*100+SUM(I128,AA128)+0.005,1,0)+IF(AU128*1000000+SUM(W128,AO128)*10000+SUM(Q128,AI128)*100+SUM(K128,AC128)+0.003&gt;AS128*1000000+SUM(U128,AM128)*10000+SUM(O128,AG128)*100+SUM(I128,AA128)+0.005,1,0)+IF(AV128*1000000+SUM(X128,AP128)*10000+SUM(R128,AJ128)*100+SUM(L128,AD128)+0.002&gt;AS128*1000000+SUM(U128,AM128)*10000+SUM(O128,AG128)*100+SUM(I128,AA128)+0.005,1,0)+IF(AW128*1000000+SUM(Y128,AQ128)*10000+SUM(S128,AK128)*100+SUM(M128,AE128)+0.001&gt;AS128*1000000+SUM(U128,AM128)*10000+SUM(O128,AG128)*100+SUM(I128,AA128)+0.005,1,0)=1,"I",IF(IF(AR128*1000000+SUM(T128,AL128)*10000+SUM(N128,AF128)*100+SUM(H128,Z128)+0.006&gt;AT128*1000000+SUM(V128,AN128)*10000+SUM(P128,AH128)*100+SUM(J128,AB128)+0.004,1,0)+IF(AS128*1000000+SUM(U128,AM128)*10000+SUM(O128,AG128)*100+SUM(I128,AA128)+0.005&gt;AT128*1000000+SUM(V128,AN128)*10000+SUM(P128,AH128)*100+SUM(J128,AB128)+0.004,1,0)+IF(AU128*1000000+SUM(W128,AO128)*10000+SUM(Q128,AI128)*100+SUM(K128,AC128)+0.003&gt;AT128*1000000+SUM(V128,AN128)*10000+SUM(P128,AH128)*100+SUM(J128,AB128)+0.004,1,0)+IF(AV128*1000000+SUM(X128,AP128)*10000+SUM(R128,AJ128)*100+SUM(L128,AD128)+0.002&gt;AT128*1000000+SUM(V128,AN128)*10000+SUM(P128,AH128)*100+SUM(J128,AB128)+0.004,1,0)+IF(AW128*1000000+SUM(Y128,AQ128)*10000+SUM(S128,AK128)*100+SUM(M128,AE128)+0.001&gt;AT128*1000000+SUM(V128,AN128)*10000+SUM(P128,AH128)*100+SUM(J128,AB128)+0.004,1,0)=1,"A",IF(IF(AR128*1000000+SUM(T128,AL128)*10000+SUM(N128,AF128)*100+SUM(H128,Z128)+0.006&gt;AU128*1000000+SUM(W128,AO128)*10000+SUM(Q128,AI128)*100+SUM(K128,AC128)+0.003,1,0)+IF(AS128*1000000+SUM(U128,AM128)*10000+SUM(O128,AG128)*100+SUM(I128,AA128)+0.005&gt;AU128*1000000+SUM(W128,AO128)*10000+SUM(Q128,AI128)*100+SUM(K128,AC128)+0.003,1,0)+IF(AT128*1000000+SUM(V128,AN128)*10000+SUM(P128,AH128)*100+SUM(J128,AB128)+0.004&gt;AU128*1000000+SUM(W128,AO128)*10000+SUM(Q128,AI128)*100+SUM(K128,AC128)+0.003,1,0)+IF(AV128*1000000+SUM(X128,AP128)*10000+SUM(R128,AJ128)*100+SUM(L128,AD128)+0.002&gt;AU128*1000000+SUM(W128,AO128)*10000+SUM(Q128,AI128)*100+SUM(K128,AC128)+0.003,1,0)+IF(AW128*1000000+SUM(Y128,AQ128)*10000+SUM(S128,AK128)*100+SUM(M128,AE128)+0.001&gt;AU128*1000000+SUM(W128,AO128)*10000+SUM(Q128,AI128)*100+SUM(K128,AC128)+0.003,1,0)=1,"S",IF(IF(AR128*1000000+SUM(T128,AL128)*10000+SUM(N128,AF128)*100+SUM(H128,Z128)+0.006&gt;AV128*1000000+SUM(X128,AP128)*10000+SUM(R128,AJ128)*100+SUM(L128,AD128)+0.002,1,0)+IF(AS128*1000000+SUM(U128,AM128)*10000+SUM(O128,AG128)*100+SUM(I128,AA128)+0.005&gt;AV128*1000000+SUM(X128,AP128)*10000+SUM(R128,AJ128)*100+SUM(L128,AD128)+0.002,1,0)+IF(AT128*1000000+SUM(V128,AN128)*10000+SUM(P128,AH128)*100+SUM(J128,AB128)+0.004&gt;AV128*1000000+SUM(X128,AP128)*10000+SUM(R128,AJ128)*100+SUM(L128,AD128)+0.002,1,0)+IF(AU128*1000000+SUM(W128,AO128)*10000+SUM(Q128,AI128)*100+SUM(K128,AC128)+0.003&gt;AV128*1000000+SUM(X128,AP128)*10000+SUM(R128,AJ128)*100+SUM(L128,AD128)+0.002,1,0)+IF(AW128*1000000+SUM(Y128,AQ128)*10000+SUM(S128,AK128)*100+SUM(M128,AE128)+0.001&gt;AV128*1000000+SUM(X128,AP128)*10000+SUM(R128,AJ128)*100+SUM(L128,AD128)+0.002,1,0)=1,"E",IF(IF(AR128*1000000+SUM(T128,AL128)*10000+SUM(N128,AF128)*100+SUM(H128,Z128)+0.006&gt;AW128*1000000+SUM(Y128,AQ128)*10000+SUM(S128,AK128)*100+SUM(M128,AE128)+0.001,1,0)+IF(AS128*1000000+SUM(U128,AM128)*10000+SUM(O128,AG128)*100+SUM(I128,AA128)+0.005&gt;AW128*1000000+SUM(Y128,AQ128)*10000+SUM(S128,AK128)*100+SUM(M128,AE128)+0.001,1,0)+IF(AT128*1000000+SUM(V128,AN128)*10000+SUM(P128,AH128)*100+SUM(J128,AB128)+0.004&gt;AW128*1000000+SUM(Y128,AQ128)*10000+SUM(S128,AK128)*100+SUM(M128,AE128)+0.001,1,0)+IF(AU128*1000000+SUM(W128,AO128)*10000+SUM(Q128,AI128)*100+SUM(K128,AC128)+0.003&gt;AW128*1000000+SUM(Y128,AQ128)*10000+SUM(S128,AK128)*100+SUM(M128,AE128)+0.001,1,0)+IF(AV128*1000000+SUM(X128,AP128)*10000+SUM(R128,AJ128)*100+SUM(L128,AD128)+0.002&gt;AW128*1000000+SUM(Y128,AQ128)*10000+SUM(S128,AK128)*100+SUM(M128,AE128)+0.001,1,0)=1,"C",""))))))&amp;IF(IF(AS128*1000000+SUM(U128,AM128)*10000+SUM(O128,AG128)*100+SUM(I128,AA128)+0.005&gt;AR128*1000000+SUM(T128,AL128)*10000+SUM(N128,AF128)*100+SUM(H128,Z128)+0.006,1,0)+IF(AT128*1000000+SUM(V128,AN128)*10000+SUM(P128,AH128)*100+SUM(J128,AB128)+0.004&gt;AR128*1000000+SUM(T128,AL128)*10000+SUM(N128,AF128)*100+SUM(H128,Z128)+0.006,1,0)+IF(AU128*1000000+SUM(W128,AO128)*10000+SUM(Q128,AI128)*100+SUM(K128,AC128)+0.003&gt;AR128*1000000+SUM(T128,AL128)*10000+SUM(N128,AF128)*100+SUM(H128,Z128)+0.006,1,0)+IF(AV128*1000000+SUM(X128,AP128)*10000+SUM(R128,AJ128)*100+SUM(L128,AD128)+0.002&gt;AR128*1000000+SUM(T128,AL128)*10000+SUM(N128,AF128)*100+SUM(H128,Z128)+0.006,1,0)+IF(AW128*1000000+SUM(Y128,AQ128)*10000+SUM(S128,AK128)*100+SUM(M128,AE128)+0.001&gt;AR128*1000000+SUM(T128,AL128)*10000+SUM(N128,AF128)*100+SUM(H128,Z128)+0.006,1,0)=2,"R",IF(IF(AR128*1000000+SUM(T128,AL128)*10000+SUM(N128,AF128)*100+SUM(H128,Z128)+0.006&gt;AS128*1000000+SUM(U128,AM128)*10000+SUM(O128,AG128)*100+SUM(I128,AA128)+0.005,1,0)+IF(AT128*1000000+SUM(V128,AN128)*10000+SUM(P128,AH128)*100+SUM(J128,AB128)+0.004&gt;AS128*1000000+SUM(U128,AM128)*10000+SUM(O128,AG128)*100+SUM(I128,AA128)+0.005,1,0)+IF(AU128*1000000+SUM(W128,AO128)*10000+SUM(Q128,AI128)*100+SUM(K128,AC128)+0.003&gt;AS128*1000000+SUM(U128,AM128)*10000+SUM(O128,AG128)*100+SUM(I128,AA128)+0.005,1,0)+IF(AV128*1000000+SUM(X128,AP128)*10000+SUM(R128,AJ128)*100+SUM(L128,AD128)+0.002&gt;AS128*1000000+SUM(U128,AM128)*10000+SUM(O128,AG128)*100+SUM(I128,AA128)+0.005,1,0)+IF(AW128*1000000+SUM(Y128,AQ128)*10000+SUM(S128,AK128)*100+SUM(M128,AE128)+0.001&gt;AS128*1000000+SUM(U128,AM128)*10000+SUM(O128,AG128)*100+SUM(I128,AA128)+0.005,1,0)=2,"I",IF(IF(AR128*1000000+SUM(T128,AL128)*10000+SUM(N128,AF128)*100+SUM(H128,Z128)+0.006&gt;AT128*1000000+SUM(V128,AN128)*10000+SUM(P128,AH128)*100+SUM(J128,AB128)+0.004,1,0)+IF(AS128*1000000+SUM(U128,AM128)*10000+SUM(O128,AG128)*100+SUM(I128,AA128)+0.005&gt;AT128*1000000+SUM(V128,AN128)*10000+SUM(P128,AH128)*100+SUM(J128,AB128)+0.004,1,0)+IF(AU128*1000000+SUM(W128,AO128)*10000+SUM(Q128,AI128)*100+SUM(K128,AC128)+0.003&gt;AT128*1000000+SUM(V128,AN128)*10000+SUM(P128,AH128)*100+SUM(J128,AB128)+0.004,1,0)+IF(AV128*1000000+SUM(X128,AP128)*10000+SUM(R128,AJ128)*100+SUM(L128,AD128)+0.002&gt;AT128*1000000+SUM(V128,AN128)*10000+SUM(P128,AH128)*100+SUM(J128,AB128)+0.004,1,0)+IF(AW128*1000000+SUM(Y128,AQ128)*10000+SUM(S128,AK128)*100+SUM(M128,AE128)+0.001&gt;AT128*1000000+SUM(V128,AN128)*10000+SUM(P128,AH128)*100+SUM(J128,AB128)+0.004,1,0)=2,"A",IF(IF(AR128*1000000+SUM(T128,AL128)*10000+SUM(N128,AF128)*100+SUM(H128,Z128)+0.006&gt;AU128*1000000+SUM(W128,AO128)*10000+SUM(Q128,AI128)*100+SUM(K128,AC128)+0.003,1,0)+IF(AS128*1000000+SUM(U128,AM128)*10000+SUM(O128,AG128)*100+SUM(I128,AA128)+0.005&gt;AU128*1000000+SUM(W128,AO128)*10000+SUM(Q128,AI128)*100+SUM(K128,AC128)+0.003,1,0)+IF(AT128*1000000+SUM(V128,AN128)*10000+SUM(P128,AH128)*100+SUM(J128,AB128)+0.004&gt;AU128*1000000+SUM(W128,AO128)*10000+SUM(Q128,AI128)*100+SUM(K128,AC128)+0.003,1,0)+IF(AV128*1000000+SUM(X128,AP128)*10000+SUM(R128,AJ128)*100+SUM(L128,AD128)+0.002&gt;AU128*1000000+SUM(W128,AO128)*10000+SUM(Q128,AI128)*100+SUM(K128,AC128)+0.003,1,0)+IF(AW128*1000000+SUM(Y128,AQ128)*10000+SUM(S128,AK128)*100+SUM(M128,AE128)+0.001&gt;AU128*1000000+SUM(W128,AO128)*10000+SUM(Q128,AI128)*100+SUM(K128,AC128)+0.003,1,0)=2,"S",IF(IF(AR128*1000000+SUM(T128,AL128)*10000+SUM(N128,AF128)*100+SUM(H128,Z128)+0.006&gt;AV128*1000000+SUM(X128,AP128)*10000+SUM(R128,AJ128)*100+SUM(L128,AD128)+0.002,1,0)+IF(AS128*1000000+SUM(U128,AM128)*10000+SUM(O128,AG128)*100+SUM(I128,AA128)+0.005&gt;AV128*1000000+SUM(X128,AP128)*10000+SUM(R128,AJ128)*100+SUM(L128,AD128)+0.002,1,0)+IF(AT128*1000000+SUM(V128,AN128)*10000+SUM(P128,AH128)*100+SUM(J128,AB128)+0.004&gt;AV128*1000000+SUM(X128,AP128)*10000+SUM(R128,AJ128)*100+SUM(L128,AD128)+0.002,1,0)+IF(AU128*1000000+SUM(W128,AO128)*10000+SUM(Q128,AI128)*100+SUM(K128,AC128)+0.003&gt;AV128*1000000+SUM(X128,AP128)*10000+SUM(R128,AJ128)*100+SUM(L128,AD128)+0.002,1,0)+IF(AW128*1000000+SUM(Y128,AQ128)*10000+SUM(S128,AK128)*100+SUM(M128,AE128)+0.001&gt;AV128*1000000+SUM(X128,AP128)*10000+SUM(R128,AJ128)*100+SUM(L128,AD128)+0.002,1,0)=2,"E",IF(IF(AR128*1000000+SUM(T128,AL128)*10000+SUM(N128,AF128)*100+SUM(H128,Z128)+0.006&gt;AW128*1000000+SUM(Y128,AQ128)*10000+SUM(S128,AK128)*100+SUM(M128,AE128)+0.001,1,0)+IF(AS128*1000000+SUM(U128,AM128)*10000+SUM(O128,AG128)*100+SUM(I128,AA128)+0.005&gt;AW128*1000000+SUM(Y128,AQ128)*10000+SUM(S128,AK128)*100+SUM(M128,AE128)+0.001,1,0)+IF(AT128*1000000+SUM(V128,AN128)*10000+SUM(P128,AH128)*100+SUM(J128,AB128)+0.004&gt;AW128*1000000+SUM(Y128,AQ128)*10000+SUM(S128,AK128)*100+SUM(M128,AE128)+0.001,1,0)+IF(AU128*1000000+SUM(W128,AO128)*10000+SUM(Q128,AI128)*100+SUM(K128,AC128)+0.003&gt;AW128*1000000+SUM(Y128,AQ128)*10000+SUM(S128,AK128)*100+SUM(M128,AE128)+0.001,1,0)+IF(AV128*1000000+SUM(X128,AP128)*10000+SUM(R128,AJ128)*100+SUM(L128,AD128)+0.002&gt;AW128*1000000+SUM(Y128,AQ128)*10000+SUM(S128,AK128)*100+SUM(M128,AE128)+0.001,1,0)=2,"C","")))))))</x:f>
      </x:c>
      <x:c r="AY128" s="27" t="str">
        <x:f>IF(C128="","",IF(LEFT(AX128,1)="R","นักปฏิบัติ",IF(LEFT(AX128,1)="I","นักคิดวิเคราะห์",IF(LEFT(AX128,1)="A","นักสร้างสรรค์",IF(LEFT(AX128,1)="S","ผู้เข้าใจผู้คน",IF(LEFT(AX128,1)="E","ผู้นำการเปลี่ยนแปลง","ผู้จัดระบบ"))))))</x:f>
      </x:c>
    </x:row>
    <x:row r="129">
      <x:c r="A129" s="27"/>
      <x:c r="B129" s="28"/>
      <x:c r="C129" s="27"/>
      <x:c r="D129" s="27"/>
      <x:c r="E129" s="27"/>
      <x:c r="F129" s="27"/>
      <x:c r="G129" s="27"/>
      <x:c r="H129" s="27"/>
      <x:c r="I129" s="27"/>
      <x:c r="J129" s="27"/>
      <x:c r="K129" s="27"/>
      <x:c r="L129" s="27"/>
      <x:c r="M129" s="27"/>
      <x:c r="N129" s="27"/>
      <x:c r="O129" s="27"/>
      <x:c r="P129" s="27"/>
      <x:c r="Q129" s="27"/>
      <x:c r="R129" s="27"/>
      <x:c r="S129" s="27"/>
      <x:c r="T129" s="27"/>
      <x:c r="U129" s="27"/>
      <x:c r="V129" s="27"/>
      <x:c r="W129" s="27"/>
      <x:c r="X129" s="27"/>
      <x:c r="Y129" s="27"/>
      <x:c r="Z129" s="27"/>
      <x:c r="AA129" s="27"/>
      <x:c r="AB129" s="27"/>
      <x:c r="AC129" s="27"/>
      <x:c r="AD129" s="27"/>
      <x:c r="AE129" s="27"/>
      <x:c r="AF129" s="27"/>
      <x:c r="AG129" s="27"/>
      <x:c r="AH129" s="27"/>
      <x:c r="AI129" s="27"/>
      <x:c r="AJ129" s="27"/>
      <x:c r="AK129" s="27"/>
      <x:c r="AL129" s="27"/>
      <x:c r="AM129" s="27"/>
      <x:c r="AN129" s="27"/>
      <x:c r="AO129" s="27"/>
      <x:c r="AP129" s="27"/>
      <x:c r="AQ129" s="27"/>
      <x:c r="AR129" s="27" t="str">
        <x:f>IF(C129="","",SUM(H129,N129,T129,Z129,AF129,AL129))</x:f>
      </x:c>
      <x:c r="AS129" s="27" t="str">
        <x:f>IF(C129="","",SUM(I129,O129,U129,AA129,AG129,AM129))</x:f>
      </x:c>
      <x:c r="AT129" s="27" t="str">
        <x:f>IF(C129="","",SUM(J129,P129,V129,AB129,AH129,AN129))</x:f>
      </x:c>
      <x:c r="AU129" s="27" t="str">
        <x:f>IF(C129="","",SUM(K129,Q129,W129,AC129,AI129,AO129))</x:f>
      </x:c>
      <x:c r="AV129" s="27" t="str">
        <x:f>IF(C129="","",SUM(L129,R129,X129,AD129,AJ129,AP129))</x:f>
      </x:c>
      <x:c r="AW129" s="27" t="str">
        <x:f>IF(C129="","",SUM(M129,S129,Y129,AE129,AK129,AQ129))</x:f>
      </x:c>
      <x:c r="AX129" s="27" t="str">
        <x:f>IF(C129="","",IF(IF(AS129*1000000+SUM(U129,AM129)*10000+SUM(O129,AG129)*100+SUM(I129,AA129)+0.005&gt;AR129*1000000+SUM(T129,AL129)*10000+SUM(N129,AF129)*100+SUM(H129,Z129)+0.006,1,0)+IF(AT129*1000000+SUM(V129,AN129)*10000+SUM(P129,AH129)*100+SUM(J129,AB129)+0.004&gt;AR129*1000000+SUM(T129,AL129)*10000+SUM(N129,AF129)*100+SUM(H129,Z129)+0.006,1,0)+IF(AU129*1000000+SUM(W129,AO129)*10000+SUM(Q129,AI129)*100+SUM(K129,AC129)+0.003&gt;AR129*1000000+SUM(T129,AL129)*10000+SUM(N129,AF129)*100+SUM(H129,Z129)+0.006,1,0)+IF(AV129*1000000+SUM(X129,AP129)*10000+SUM(R129,AJ129)*100+SUM(L129,AD129)+0.002&gt;AR129*1000000+SUM(T129,AL129)*10000+SUM(N129,AF129)*100+SUM(H129,Z129)+0.006,1,0)+IF(AW129*1000000+SUM(Y129,AQ129)*10000+SUM(S129,AK129)*100+SUM(M129,AE129)+0.001&gt;AR129*1000000+SUM(T129,AL129)*10000+SUM(N129,AF129)*100+SUM(H129,Z129)+0.006,1,0)=0,"R",IF(IF(AR129*1000000+SUM(T129,AL129)*10000+SUM(N129,AF129)*100+SUM(H129,Z129)+0.006&gt;AS129*1000000+SUM(U129,AM129)*10000+SUM(O129,AG129)*100+SUM(I129,AA129)+0.005,1,0)+IF(AT129*1000000+SUM(V129,AN129)*10000+SUM(P129,AH129)*100+SUM(J129,AB129)+0.004&gt;AS129*1000000+SUM(U129,AM129)*10000+SUM(O129,AG129)*100+SUM(I129,AA129)+0.005,1,0)+IF(AU129*1000000+SUM(W129,AO129)*10000+SUM(Q129,AI129)*100+SUM(K129,AC129)+0.003&gt;AS129*1000000+SUM(U129,AM129)*10000+SUM(O129,AG129)*100+SUM(I129,AA129)+0.005,1,0)+IF(AV129*1000000+SUM(X129,AP129)*10000+SUM(R129,AJ129)*100+SUM(L129,AD129)+0.002&gt;AS129*1000000+SUM(U129,AM129)*10000+SUM(O129,AG129)*100+SUM(I129,AA129)+0.005,1,0)+IF(AW129*1000000+SUM(Y129,AQ129)*10000+SUM(S129,AK129)*100+SUM(M129,AE129)+0.001&gt;AS129*1000000+SUM(U129,AM129)*10000+SUM(O129,AG129)*100+SUM(I129,AA129)+0.005,1,0)=0,"I",IF(IF(AR129*1000000+SUM(T129,AL129)*10000+SUM(N129,AF129)*100+SUM(H129,Z129)+0.006&gt;AT129*1000000+SUM(V129,AN129)*10000+SUM(P129,AH129)*100+SUM(J129,AB129)+0.004,1,0)+IF(AS129*1000000+SUM(U129,AM129)*10000+SUM(O129,AG129)*100+SUM(I129,AA129)+0.005&gt;AT129*1000000+SUM(V129,AN129)*10000+SUM(P129,AH129)*100+SUM(J129,AB129)+0.004,1,0)+IF(AU129*1000000+SUM(W129,AO129)*10000+SUM(Q129,AI129)*100+SUM(K129,AC129)+0.003&gt;AT129*1000000+SUM(V129,AN129)*10000+SUM(P129,AH129)*100+SUM(J129,AB129)+0.004,1,0)+IF(AV129*1000000+SUM(X129,AP129)*10000+SUM(R129,AJ129)*100+SUM(L129,AD129)+0.002&gt;AT129*1000000+SUM(V129,AN129)*10000+SUM(P129,AH129)*100+SUM(J129,AB129)+0.004,1,0)+IF(AW129*1000000+SUM(Y129,AQ129)*10000+SUM(S129,AK129)*100+SUM(M129,AE129)+0.001&gt;AT129*1000000+SUM(V129,AN129)*10000+SUM(P129,AH129)*100+SUM(J129,AB129)+0.004,1,0)=0,"A",IF(IF(AR129*1000000+SUM(T129,AL129)*10000+SUM(N129,AF129)*100+SUM(H129,Z129)+0.006&gt;AU129*1000000+SUM(W129,AO129)*10000+SUM(Q129,AI129)*100+SUM(K129,AC129)+0.003,1,0)+IF(AS129*1000000+SUM(U129,AM129)*10000+SUM(O129,AG129)*100+SUM(I129,AA129)+0.005&gt;AU129*1000000+SUM(W129,AO129)*10000+SUM(Q129,AI129)*100+SUM(K129,AC129)+0.003,1,0)+IF(AT129*1000000+SUM(V129,AN129)*10000+SUM(P129,AH129)*100+SUM(J129,AB129)+0.004&gt;AU129*1000000+SUM(W129,AO129)*10000+SUM(Q129,AI129)*100+SUM(K129,AC129)+0.003,1,0)+IF(AV129*1000000+SUM(X129,AP129)*10000+SUM(R129,AJ129)*100+SUM(L129,AD129)+0.002&gt;AU129*1000000+SUM(W129,AO129)*10000+SUM(Q129,AI129)*100+SUM(K129,AC129)+0.003,1,0)+IF(AW129*1000000+SUM(Y129,AQ129)*10000+SUM(S129,AK129)*100+SUM(M129,AE129)+0.001&gt;AU129*1000000+SUM(W129,AO129)*10000+SUM(Q129,AI129)*100+SUM(K129,AC129)+0.003,1,0)=0,"S",IF(IF(AR129*1000000+SUM(T129,AL129)*10000+SUM(N129,AF129)*100+SUM(H129,Z129)+0.006&gt;AV129*1000000+SUM(X129,AP129)*10000+SUM(R129,AJ129)*100+SUM(L129,AD129)+0.002,1,0)+IF(AS129*1000000+SUM(U129,AM129)*10000+SUM(O129,AG129)*100+SUM(I129,AA129)+0.005&gt;AV129*1000000+SUM(X129,AP129)*10000+SUM(R129,AJ129)*100+SUM(L129,AD129)+0.002,1,0)+IF(AT129*1000000+SUM(V129,AN129)*10000+SUM(P129,AH129)*100+SUM(J129,AB129)+0.004&gt;AV129*1000000+SUM(X129,AP129)*10000+SUM(R129,AJ129)*100+SUM(L129,AD129)+0.002,1,0)+IF(AU129*1000000+SUM(W129,AO129)*10000+SUM(Q129,AI129)*100+SUM(K129,AC129)+0.003&gt;AV129*1000000+SUM(X129,AP129)*10000+SUM(R129,AJ129)*100+SUM(L129,AD129)+0.002,1,0)+IF(AW129*1000000+SUM(Y129,AQ129)*10000+SUM(S129,AK129)*100+SUM(M129,AE129)+0.001&gt;AV129*1000000+SUM(X129,AP129)*10000+SUM(R129,AJ129)*100+SUM(L129,AD129)+0.002,1,0)=0,"E",IF(IF(AR129*1000000+SUM(T129,AL129)*10000+SUM(N129,AF129)*100+SUM(H129,Z129)+0.006&gt;AW129*1000000+SUM(Y129,AQ129)*10000+SUM(S129,AK129)*100+SUM(M129,AE129)+0.001,1,0)+IF(AS129*1000000+SUM(U129,AM129)*10000+SUM(O129,AG129)*100+SUM(I129,AA129)+0.005&gt;AW129*1000000+SUM(Y129,AQ129)*10000+SUM(S129,AK129)*100+SUM(M129,AE129)+0.001,1,0)+IF(AT129*1000000+SUM(V129,AN129)*10000+SUM(P129,AH129)*100+SUM(J129,AB129)+0.004&gt;AW129*1000000+SUM(Y129,AQ129)*10000+SUM(S129,AK129)*100+SUM(M129,AE129)+0.001,1,0)+IF(AU129*1000000+SUM(W129,AO129)*10000+SUM(Q129,AI129)*100+SUM(K129,AC129)+0.003&gt;AW129*1000000+SUM(Y129,AQ129)*10000+SUM(S129,AK129)*100+SUM(M129,AE129)+0.001,1,0)+IF(AV129*1000000+SUM(X129,AP129)*10000+SUM(R129,AJ129)*100+SUM(L129,AD129)+0.002&gt;AW129*1000000+SUM(Y129,AQ129)*10000+SUM(S129,AK129)*100+SUM(M129,AE129)+0.001,1,0)=0,"C",""))))))&amp;IF(IF(AS129*1000000+SUM(U129,AM129)*10000+SUM(O129,AG129)*100+SUM(I129,AA129)+0.005&gt;AR129*1000000+SUM(T129,AL129)*10000+SUM(N129,AF129)*100+SUM(H129,Z129)+0.006,1,0)+IF(AT129*1000000+SUM(V129,AN129)*10000+SUM(P129,AH129)*100+SUM(J129,AB129)+0.004&gt;AR129*1000000+SUM(T129,AL129)*10000+SUM(N129,AF129)*100+SUM(H129,Z129)+0.006,1,0)+IF(AU129*1000000+SUM(W129,AO129)*10000+SUM(Q129,AI129)*100+SUM(K129,AC129)+0.003&gt;AR129*1000000+SUM(T129,AL129)*10000+SUM(N129,AF129)*100+SUM(H129,Z129)+0.006,1,0)+IF(AV129*1000000+SUM(X129,AP129)*10000+SUM(R129,AJ129)*100+SUM(L129,AD129)+0.002&gt;AR129*1000000+SUM(T129,AL129)*10000+SUM(N129,AF129)*100+SUM(H129,Z129)+0.006,1,0)+IF(AW129*1000000+SUM(Y129,AQ129)*10000+SUM(S129,AK129)*100+SUM(M129,AE129)+0.001&gt;AR129*1000000+SUM(T129,AL129)*10000+SUM(N129,AF129)*100+SUM(H129,Z129)+0.006,1,0)=1,"R",IF(IF(AR129*1000000+SUM(T129,AL129)*10000+SUM(N129,AF129)*100+SUM(H129,Z129)+0.006&gt;AS129*1000000+SUM(U129,AM129)*10000+SUM(O129,AG129)*100+SUM(I129,AA129)+0.005,1,0)+IF(AT129*1000000+SUM(V129,AN129)*10000+SUM(P129,AH129)*100+SUM(J129,AB129)+0.004&gt;AS129*1000000+SUM(U129,AM129)*10000+SUM(O129,AG129)*100+SUM(I129,AA129)+0.005,1,0)+IF(AU129*1000000+SUM(W129,AO129)*10000+SUM(Q129,AI129)*100+SUM(K129,AC129)+0.003&gt;AS129*1000000+SUM(U129,AM129)*10000+SUM(O129,AG129)*100+SUM(I129,AA129)+0.005,1,0)+IF(AV129*1000000+SUM(X129,AP129)*10000+SUM(R129,AJ129)*100+SUM(L129,AD129)+0.002&gt;AS129*1000000+SUM(U129,AM129)*10000+SUM(O129,AG129)*100+SUM(I129,AA129)+0.005,1,0)+IF(AW129*1000000+SUM(Y129,AQ129)*10000+SUM(S129,AK129)*100+SUM(M129,AE129)+0.001&gt;AS129*1000000+SUM(U129,AM129)*10000+SUM(O129,AG129)*100+SUM(I129,AA129)+0.005,1,0)=1,"I",IF(IF(AR129*1000000+SUM(T129,AL129)*10000+SUM(N129,AF129)*100+SUM(H129,Z129)+0.006&gt;AT129*1000000+SUM(V129,AN129)*10000+SUM(P129,AH129)*100+SUM(J129,AB129)+0.004,1,0)+IF(AS129*1000000+SUM(U129,AM129)*10000+SUM(O129,AG129)*100+SUM(I129,AA129)+0.005&gt;AT129*1000000+SUM(V129,AN129)*10000+SUM(P129,AH129)*100+SUM(J129,AB129)+0.004,1,0)+IF(AU129*1000000+SUM(W129,AO129)*10000+SUM(Q129,AI129)*100+SUM(K129,AC129)+0.003&gt;AT129*1000000+SUM(V129,AN129)*10000+SUM(P129,AH129)*100+SUM(J129,AB129)+0.004,1,0)+IF(AV129*1000000+SUM(X129,AP129)*10000+SUM(R129,AJ129)*100+SUM(L129,AD129)+0.002&gt;AT129*1000000+SUM(V129,AN129)*10000+SUM(P129,AH129)*100+SUM(J129,AB129)+0.004,1,0)+IF(AW129*1000000+SUM(Y129,AQ129)*10000+SUM(S129,AK129)*100+SUM(M129,AE129)+0.001&gt;AT129*1000000+SUM(V129,AN129)*10000+SUM(P129,AH129)*100+SUM(J129,AB129)+0.004,1,0)=1,"A",IF(IF(AR129*1000000+SUM(T129,AL129)*10000+SUM(N129,AF129)*100+SUM(H129,Z129)+0.006&gt;AU129*1000000+SUM(W129,AO129)*10000+SUM(Q129,AI129)*100+SUM(K129,AC129)+0.003,1,0)+IF(AS129*1000000+SUM(U129,AM129)*10000+SUM(O129,AG129)*100+SUM(I129,AA129)+0.005&gt;AU129*1000000+SUM(W129,AO129)*10000+SUM(Q129,AI129)*100+SUM(K129,AC129)+0.003,1,0)+IF(AT129*1000000+SUM(V129,AN129)*10000+SUM(P129,AH129)*100+SUM(J129,AB129)+0.004&gt;AU129*1000000+SUM(W129,AO129)*10000+SUM(Q129,AI129)*100+SUM(K129,AC129)+0.003,1,0)+IF(AV129*1000000+SUM(X129,AP129)*10000+SUM(R129,AJ129)*100+SUM(L129,AD129)+0.002&gt;AU129*1000000+SUM(W129,AO129)*10000+SUM(Q129,AI129)*100+SUM(K129,AC129)+0.003,1,0)+IF(AW129*1000000+SUM(Y129,AQ129)*10000+SUM(S129,AK129)*100+SUM(M129,AE129)+0.001&gt;AU129*1000000+SUM(W129,AO129)*10000+SUM(Q129,AI129)*100+SUM(K129,AC129)+0.003,1,0)=1,"S",IF(IF(AR129*1000000+SUM(T129,AL129)*10000+SUM(N129,AF129)*100+SUM(H129,Z129)+0.006&gt;AV129*1000000+SUM(X129,AP129)*10000+SUM(R129,AJ129)*100+SUM(L129,AD129)+0.002,1,0)+IF(AS129*1000000+SUM(U129,AM129)*10000+SUM(O129,AG129)*100+SUM(I129,AA129)+0.005&gt;AV129*1000000+SUM(X129,AP129)*10000+SUM(R129,AJ129)*100+SUM(L129,AD129)+0.002,1,0)+IF(AT129*1000000+SUM(V129,AN129)*10000+SUM(P129,AH129)*100+SUM(J129,AB129)+0.004&gt;AV129*1000000+SUM(X129,AP129)*10000+SUM(R129,AJ129)*100+SUM(L129,AD129)+0.002,1,0)+IF(AU129*1000000+SUM(W129,AO129)*10000+SUM(Q129,AI129)*100+SUM(K129,AC129)+0.003&gt;AV129*1000000+SUM(X129,AP129)*10000+SUM(R129,AJ129)*100+SUM(L129,AD129)+0.002,1,0)+IF(AW129*1000000+SUM(Y129,AQ129)*10000+SUM(S129,AK129)*100+SUM(M129,AE129)+0.001&gt;AV129*1000000+SUM(X129,AP129)*10000+SUM(R129,AJ129)*100+SUM(L129,AD129)+0.002,1,0)=1,"E",IF(IF(AR129*1000000+SUM(T129,AL129)*10000+SUM(N129,AF129)*100+SUM(H129,Z129)+0.006&gt;AW129*1000000+SUM(Y129,AQ129)*10000+SUM(S129,AK129)*100+SUM(M129,AE129)+0.001,1,0)+IF(AS129*1000000+SUM(U129,AM129)*10000+SUM(O129,AG129)*100+SUM(I129,AA129)+0.005&gt;AW129*1000000+SUM(Y129,AQ129)*10000+SUM(S129,AK129)*100+SUM(M129,AE129)+0.001,1,0)+IF(AT129*1000000+SUM(V129,AN129)*10000+SUM(P129,AH129)*100+SUM(J129,AB129)+0.004&gt;AW129*1000000+SUM(Y129,AQ129)*10000+SUM(S129,AK129)*100+SUM(M129,AE129)+0.001,1,0)+IF(AU129*1000000+SUM(W129,AO129)*10000+SUM(Q129,AI129)*100+SUM(K129,AC129)+0.003&gt;AW129*1000000+SUM(Y129,AQ129)*10000+SUM(S129,AK129)*100+SUM(M129,AE129)+0.001,1,0)+IF(AV129*1000000+SUM(X129,AP129)*10000+SUM(R129,AJ129)*100+SUM(L129,AD129)+0.002&gt;AW129*1000000+SUM(Y129,AQ129)*10000+SUM(S129,AK129)*100+SUM(M129,AE129)+0.001,1,0)=1,"C",""))))))&amp;IF(IF(AS129*1000000+SUM(U129,AM129)*10000+SUM(O129,AG129)*100+SUM(I129,AA129)+0.005&gt;AR129*1000000+SUM(T129,AL129)*10000+SUM(N129,AF129)*100+SUM(H129,Z129)+0.006,1,0)+IF(AT129*1000000+SUM(V129,AN129)*10000+SUM(P129,AH129)*100+SUM(J129,AB129)+0.004&gt;AR129*1000000+SUM(T129,AL129)*10000+SUM(N129,AF129)*100+SUM(H129,Z129)+0.006,1,0)+IF(AU129*1000000+SUM(W129,AO129)*10000+SUM(Q129,AI129)*100+SUM(K129,AC129)+0.003&gt;AR129*1000000+SUM(T129,AL129)*10000+SUM(N129,AF129)*100+SUM(H129,Z129)+0.006,1,0)+IF(AV129*1000000+SUM(X129,AP129)*10000+SUM(R129,AJ129)*100+SUM(L129,AD129)+0.002&gt;AR129*1000000+SUM(T129,AL129)*10000+SUM(N129,AF129)*100+SUM(H129,Z129)+0.006,1,0)+IF(AW129*1000000+SUM(Y129,AQ129)*10000+SUM(S129,AK129)*100+SUM(M129,AE129)+0.001&gt;AR129*1000000+SUM(T129,AL129)*10000+SUM(N129,AF129)*100+SUM(H129,Z129)+0.006,1,0)=2,"R",IF(IF(AR129*1000000+SUM(T129,AL129)*10000+SUM(N129,AF129)*100+SUM(H129,Z129)+0.006&gt;AS129*1000000+SUM(U129,AM129)*10000+SUM(O129,AG129)*100+SUM(I129,AA129)+0.005,1,0)+IF(AT129*1000000+SUM(V129,AN129)*10000+SUM(P129,AH129)*100+SUM(J129,AB129)+0.004&gt;AS129*1000000+SUM(U129,AM129)*10000+SUM(O129,AG129)*100+SUM(I129,AA129)+0.005,1,0)+IF(AU129*1000000+SUM(W129,AO129)*10000+SUM(Q129,AI129)*100+SUM(K129,AC129)+0.003&gt;AS129*1000000+SUM(U129,AM129)*10000+SUM(O129,AG129)*100+SUM(I129,AA129)+0.005,1,0)+IF(AV129*1000000+SUM(X129,AP129)*10000+SUM(R129,AJ129)*100+SUM(L129,AD129)+0.002&gt;AS129*1000000+SUM(U129,AM129)*10000+SUM(O129,AG129)*100+SUM(I129,AA129)+0.005,1,0)+IF(AW129*1000000+SUM(Y129,AQ129)*10000+SUM(S129,AK129)*100+SUM(M129,AE129)+0.001&gt;AS129*1000000+SUM(U129,AM129)*10000+SUM(O129,AG129)*100+SUM(I129,AA129)+0.005,1,0)=2,"I",IF(IF(AR129*1000000+SUM(T129,AL129)*10000+SUM(N129,AF129)*100+SUM(H129,Z129)+0.006&gt;AT129*1000000+SUM(V129,AN129)*10000+SUM(P129,AH129)*100+SUM(J129,AB129)+0.004,1,0)+IF(AS129*1000000+SUM(U129,AM129)*10000+SUM(O129,AG129)*100+SUM(I129,AA129)+0.005&gt;AT129*1000000+SUM(V129,AN129)*10000+SUM(P129,AH129)*100+SUM(J129,AB129)+0.004,1,0)+IF(AU129*1000000+SUM(W129,AO129)*10000+SUM(Q129,AI129)*100+SUM(K129,AC129)+0.003&gt;AT129*1000000+SUM(V129,AN129)*10000+SUM(P129,AH129)*100+SUM(J129,AB129)+0.004,1,0)+IF(AV129*1000000+SUM(X129,AP129)*10000+SUM(R129,AJ129)*100+SUM(L129,AD129)+0.002&gt;AT129*1000000+SUM(V129,AN129)*10000+SUM(P129,AH129)*100+SUM(J129,AB129)+0.004,1,0)+IF(AW129*1000000+SUM(Y129,AQ129)*10000+SUM(S129,AK129)*100+SUM(M129,AE129)+0.001&gt;AT129*1000000+SUM(V129,AN129)*10000+SUM(P129,AH129)*100+SUM(J129,AB129)+0.004,1,0)=2,"A",IF(IF(AR129*1000000+SUM(T129,AL129)*10000+SUM(N129,AF129)*100+SUM(H129,Z129)+0.006&gt;AU129*1000000+SUM(W129,AO129)*10000+SUM(Q129,AI129)*100+SUM(K129,AC129)+0.003,1,0)+IF(AS129*1000000+SUM(U129,AM129)*10000+SUM(O129,AG129)*100+SUM(I129,AA129)+0.005&gt;AU129*1000000+SUM(W129,AO129)*10000+SUM(Q129,AI129)*100+SUM(K129,AC129)+0.003,1,0)+IF(AT129*1000000+SUM(V129,AN129)*10000+SUM(P129,AH129)*100+SUM(J129,AB129)+0.004&gt;AU129*1000000+SUM(W129,AO129)*10000+SUM(Q129,AI129)*100+SUM(K129,AC129)+0.003,1,0)+IF(AV129*1000000+SUM(X129,AP129)*10000+SUM(R129,AJ129)*100+SUM(L129,AD129)+0.002&gt;AU129*1000000+SUM(W129,AO129)*10000+SUM(Q129,AI129)*100+SUM(K129,AC129)+0.003,1,0)+IF(AW129*1000000+SUM(Y129,AQ129)*10000+SUM(S129,AK129)*100+SUM(M129,AE129)+0.001&gt;AU129*1000000+SUM(W129,AO129)*10000+SUM(Q129,AI129)*100+SUM(K129,AC129)+0.003,1,0)=2,"S",IF(IF(AR129*1000000+SUM(T129,AL129)*10000+SUM(N129,AF129)*100+SUM(H129,Z129)+0.006&gt;AV129*1000000+SUM(X129,AP129)*10000+SUM(R129,AJ129)*100+SUM(L129,AD129)+0.002,1,0)+IF(AS129*1000000+SUM(U129,AM129)*10000+SUM(O129,AG129)*100+SUM(I129,AA129)+0.005&gt;AV129*1000000+SUM(X129,AP129)*10000+SUM(R129,AJ129)*100+SUM(L129,AD129)+0.002,1,0)+IF(AT129*1000000+SUM(V129,AN129)*10000+SUM(P129,AH129)*100+SUM(J129,AB129)+0.004&gt;AV129*1000000+SUM(X129,AP129)*10000+SUM(R129,AJ129)*100+SUM(L129,AD129)+0.002,1,0)+IF(AU129*1000000+SUM(W129,AO129)*10000+SUM(Q129,AI129)*100+SUM(K129,AC129)+0.003&gt;AV129*1000000+SUM(X129,AP129)*10000+SUM(R129,AJ129)*100+SUM(L129,AD129)+0.002,1,0)+IF(AW129*1000000+SUM(Y129,AQ129)*10000+SUM(S129,AK129)*100+SUM(M129,AE129)+0.001&gt;AV129*1000000+SUM(X129,AP129)*10000+SUM(R129,AJ129)*100+SUM(L129,AD129)+0.002,1,0)=2,"E",IF(IF(AR129*1000000+SUM(T129,AL129)*10000+SUM(N129,AF129)*100+SUM(H129,Z129)+0.006&gt;AW129*1000000+SUM(Y129,AQ129)*10000+SUM(S129,AK129)*100+SUM(M129,AE129)+0.001,1,0)+IF(AS129*1000000+SUM(U129,AM129)*10000+SUM(O129,AG129)*100+SUM(I129,AA129)+0.005&gt;AW129*1000000+SUM(Y129,AQ129)*10000+SUM(S129,AK129)*100+SUM(M129,AE129)+0.001,1,0)+IF(AT129*1000000+SUM(V129,AN129)*10000+SUM(P129,AH129)*100+SUM(J129,AB129)+0.004&gt;AW129*1000000+SUM(Y129,AQ129)*10000+SUM(S129,AK129)*100+SUM(M129,AE129)+0.001,1,0)+IF(AU129*1000000+SUM(W129,AO129)*10000+SUM(Q129,AI129)*100+SUM(K129,AC129)+0.003&gt;AW129*1000000+SUM(Y129,AQ129)*10000+SUM(S129,AK129)*100+SUM(M129,AE129)+0.001,1,0)+IF(AV129*1000000+SUM(X129,AP129)*10000+SUM(R129,AJ129)*100+SUM(L129,AD129)+0.002&gt;AW129*1000000+SUM(Y129,AQ129)*10000+SUM(S129,AK129)*100+SUM(M129,AE129)+0.001,1,0)=2,"C","")))))))</x:f>
      </x:c>
      <x:c r="AY129" s="27" t="str">
        <x:f>IF(C129="","",IF(LEFT(AX129,1)="R","นักปฏิบัติ",IF(LEFT(AX129,1)="I","นักคิดวิเคราะห์",IF(LEFT(AX129,1)="A","นักสร้างสรรค์",IF(LEFT(AX129,1)="S","ผู้เข้าใจผู้คน",IF(LEFT(AX129,1)="E","ผู้นำการเปลี่ยนแปลง","ผู้จัดระบบ"))))))</x:f>
      </x:c>
    </x:row>
    <x:row r="130">
      <x:c r="A130" s="27"/>
      <x:c r="B130" s="28"/>
      <x:c r="C130" s="27"/>
      <x:c r="D130" s="27"/>
      <x:c r="E130" s="27"/>
      <x:c r="F130" s="27"/>
      <x:c r="G130" s="27"/>
      <x:c r="H130" s="27"/>
      <x:c r="I130" s="27"/>
      <x:c r="J130" s="27"/>
      <x:c r="K130" s="27"/>
      <x:c r="L130" s="27"/>
      <x:c r="M130" s="27"/>
      <x:c r="N130" s="27"/>
      <x:c r="O130" s="27"/>
      <x:c r="P130" s="27"/>
      <x:c r="Q130" s="27"/>
      <x:c r="R130" s="27"/>
      <x:c r="S130" s="27"/>
      <x:c r="T130" s="27"/>
      <x:c r="U130" s="27"/>
      <x:c r="V130" s="27"/>
      <x:c r="W130" s="27"/>
      <x:c r="X130" s="27"/>
      <x:c r="Y130" s="27"/>
      <x:c r="Z130" s="27"/>
      <x:c r="AA130" s="27"/>
      <x:c r="AB130" s="27"/>
      <x:c r="AC130" s="27"/>
      <x:c r="AD130" s="27"/>
      <x:c r="AE130" s="27"/>
      <x:c r="AF130" s="27"/>
      <x:c r="AG130" s="27"/>
      <x:c r="AH130" s="27"/>
      <x:c r="AI130" s="27"/>
      <x:c r="AJ130" s="27"/>
      <x:c r="AK130" s="27"/>
      <x:c r="AL130" s="27"/>
      <x:c r="AM130" s="27"/>
      <x:c r="AN130" s="27"/>
      <x:c r="AO130" s="27"/>
      <x:c r="AP130" s="27"/>
      <x:c r="AQ130" s="27"/>
      <x:c r="AR130" s="27" t="str">
        <x:f>IF(C130="","",SUM(H130,N130,T130,Z130,AF130,AL130))</x:f>
      </x:c>
      <x:c r="AS130" s="27" t="str">
        <x:f>IF(C130="","",SUM(I130,O130,U130,AA130,AG130,AM130))</x:f>
      </x:c>
      <x:c r="AT130" s="27" t="str">
        <x:f>IF(C130="","",SUM(J130,P130,V130,AB130,AH130,AN130))</x:f>
      </x:c>
      <x:c r="AU130" s="27" t="str">
        <x:f>IF(C130="","",SUM(K130,Q130,W130,AC130,AI130,AO130))</x:f>
      </x:c>
      <x:c r="AV130" s="27" t="str">
        <x:f>IF(C130="","",SUM(L130,R130,X130,AD130,AJ130,AP130))</x:f>
      </x:c>
      <x:c r="AW130" s="27" t="str">
        <x:f>IF(C130="","",SUM(M130,S130,Y130,AE130,AK130,AQ130))</x:f>
      </x:c>
      <x:c r="AX130" s="27" t="str">
        <x:f>IF(C130="","",IF(IF(AS130*1000000+SUM(U130,AM130)*10000+SUM(O130,AG130)*100+SUM(I130,AA130)+0.005&gt;AR130*1000000+SUM(T130,AL130)*10000+SUM(N130,AF130)*100+SUM(H130,Z130)+0.006,1,0)+IF(AT130*1000000+SUM(V130,AN130)*10000+SUM(P130,AH130)*100+SUM(J130,AB130)+0.004&gt;AR130*1000000+SUM(T130,AL130)*10000+SUM(N130,AF130)*100+SUM(H130,Z130)+0.006,1,0)+IF(AU130*1000000+SUM(W130,AO130)*10000+SUM(Q130,AI130)*100+SUM(K130,AC130)+0.003&gt;AR130*1000000+SUM(T130,AL130)*10000+SUM(N130,AF130)*100+SUM(H130,Z130)+0.006,1,0)+IF(AV130*1000000+SUM(X130,AP130)*10000+SUM(R130,AJ130)*100+SUM(L130,AD130)+0.002&gt;AR130*1000000+SUM(T130,AL130)*10000+SUM(N130,AF130)*100+SUM(H130,Z130)+0.006,1,0)+IF(AW130*1000000+SUM(Y130,AQ130)*10000+SUM(S130,AK130)*100+SUM(M130,AE130)+0.001&gt;AR130*1000000+SUM(T130,AL130)*10000+SUM(N130,AF130)*100+SUM(H130,Z130)+0.006,1,0)=0,"R",IF(IF(AR130*1000000+SUM(T130,AL130)*10000+SUM(N130,AF130)*100+SUM(H130,Z130)+0.006&gt;AS130*1000000+SUM(U130,AM130)*10000+SUM(O130,AG130)*100+SUM(I130,AA130)+0.005,1,0)+IF(AT130*1000000+SUM(V130,AN130)*10000+SUM(P130,AH130)*100+SUM(J130,AB130)+0.004&gt;AS130*1000000+SUM(U130,AM130)*10000+SUM(O130,AG130)*100+SUM(I130,AA130)+0.005,1,0)+IF(AU130*1000000+SUM(W130,AO130)*10000+SUM(Q130,AI130)*100+SUM(K130,AC130)+0.003&gt;AS130*1000000+SUM(U130,AM130)*10000+SUM(O130,AG130)*100+SUM(I130,AA130)+0.005,1,0)+IF(AV130*1000000+SUM(X130,AP130)*10000+SUM(R130,AJ130)*100+SUM(L130,AD130)+0.002&gt;AS130*1000000+SUM(U130,AM130)*10000+SUM(O130,AG130)*100+SUM(I130,AA130)+0.005,1,0)+IF(AW130*1000000+SUM(Y130,AQ130)*10000+SUM(S130,AK130)*100+SUM(M130,AE130)+0.001&gt;AS130*1000000+SUM(U130,AM130)*10000+SUM(O130,AG130)*100+SUM(I130,AA130)+0.005,1,0)=0,"I",IF(IF(AR130*1000000+SUM(T130,AL130)*10000+SUM(N130,AF130)*100+SUM(H130,Z130)+0.006&gt;AT130*1000000+SUM(V130,AN130)*10000+SUM(P130,AH130)*100+SUM(J130,AB130)+0.004,1,0)+IF(AS130*1000000+SUM(U130,AM130)*10000+SUM(O130,AG130)*100+SUM(I130,AA130)+0.005&gt;AT130*1000000+SUM(V130,AN130)*10000+SUM(P130,AH130)*100+SUM(J130,AB130)+0.004,1,0)+IF(AU130*1000000+SUM(W130,AO130)*10000+SUM(Q130,AI130)*100+SUM(K130,AC130)+0.003&gt;AT130*1000000+SUM(V130,AN130)*10000+SUM(P130,AH130)*100+SUM(J130,AB130)+0.004,1,0)+IF(AV130*1000000+SUM(X130,AP130)*10000+SUM(R130,AJ130)*100+SUM(L130,AD130)+0.002&gt;AT130*1000000+SUM(V130,AN130)*10000+SUM(P130,AH130)*100+SUM(J130,AB130)+0.004,1,0)+IF(AW130*1000000+SUM(Y130,AQ130)*10000+SUM(S130,AK130)*100+SUM(M130,AE130)+0.001&gt;AT130*1000000+SUM(V130,AN130)*10000+SUM(P130,AH130)*100+SUM(J130,AB130)+0.004,1,0)=0,"A",IF(IF(AR130*1000000+SUM(T130,AL130)*10000+SUM(N130,AF130)*100+SUM(H130,Z130)+0.006&gt;AU130*1000000+SUM(W130,AO130)*10000+SUM(Q130,AI130)*100+SUM(K130,AC130)+0.003,1,0)+IF(AS130*1000000+SUM(U130,AM130)*10000+SUM(O130,AG130)*100+SUM(I130,AA130)+0.005&gt;AU130*1000000+SUM(W130,AO130)*10000+SUM(Q130,AI130)*100+SUM(K130,AC130)+0.003,1,0)+IF(AT130*1000000+SUM(V130,AN130)*10000+SUM(P130,AH130)*100+SUM(J130,AB130)+0.004&gt;AU130*1000000+SUM(W130,AO130)*10000+SUM(Q130,AI130)*100+SUM(K130,AC130)+0.003,1,0)+IF(AV130*1000000+SUM(X130,AP130)*10000+SUM(R130,AJ130)*100+SUM(L130,AD130)+0.002&gt;AU130*1000000+SUM(W130,AO130)*10000+SUM(Q130,AI130)*100+SUM(K130,AC130)+0.003,1,0)+IF(AW130*1000000+SUM(Y130,AQ130)*10000+SUM(S130,AK130)*100+SUM(M130,AE130)+0.001&gt;AU130*1000000+SUM(W130,AO130)*10000+SUM(Q130,AI130)*100+SUM(K130,AC130)+0.003,1,0)=0,"S",IF(IF(AR130*1000000+SUM(T130,AL130)*10000+SUM(N130,AF130)*100+SUM(H130,Z130)+0.006&gt;AV130*1000000+SUM(X130,AP130)*10000+SUM(R130,AJ130)*100+SUM(L130,AD130)+0.002,1,0)+IF(AS130*1000000+SUM(U130,AM130)*10000+SUM(O130,AG130)*100+SUM(I130,AA130)+0.005&gt;AV130*1000000+SUM(X130,AP130)*10000+SUM(R130,AJ130)*100+SUM(L130,AD130)+0.002,1,0)+IF(AT130*1000000+SUM(V130,AN130)*10000+SUM(P130,AH130)*100+SUM(J130,AB130)+0.004&gt;AV130*1000000+SUM(X130,AP130)*10000+SUM(R130,AJ130)*100+SUM(L130,AD130)+0.002,1,0)+IF(AU130*1000000+SUM(W130,AO130)*10000+SUM(Q130,AI130)*100+SUM(K130,AC130)+0.003&gt;AV130*1000000+SUM(X130,AP130)*10000+SUM(R130,AJ130)*100+SUM(L130,AD130)+0.002,1,0)+IF(AW130*1000000+SUM(Y130,AQ130)*10000+SUM(S130,AK130)*100+SUM(M130,AE130)+0.001&gt;AV130*1000000+SUM(X130,AP130)*10000+SUM(R130,AJ130)*100+SUM(L130,AD130)+0.002,1,0)=0,"E",IF(IF(AR130*1000000+SUM(T130,AL130)*10000+SUM(N130,AF130)*100+SUM(H130,Z130)+0.006&gt;AW130*1000000+SUM(Y130,AQ130)*10000+SUM(S130,AK130)*100+SUM(M130,AE130)+0.001,1,0)+IF(AS130*1000000+SUM(U130,AM130)*10000+SUM(O130,AG130)*100+SUM(I130,AA130)+0.005&gt;AW130*1000000+SUM(Y130,AQ130)*10000+SUM(S130,AK130)*100+SUM(M130,AE130)+0.001,1,0)+IF(AT130*1000000+SUM(V130,AN130)*10000+SUM(P130,AH130)*100+SUM(J130,AB130)+0.004&gt;AW130*1000000+SUM(Y130,AQ130)*10000+SUM(S130,AK130)*100+SUM(M130,AE130)+0.001,1,0)+IF(AU130*1000000+SUM(W130,AO130)*10000+SUM(Q130,AI130)*100+SUM(K130,AC130)+0.003&gt;AW130*1000000+SUM(Y130,AQ130)*10000+SUM(S130,AK130)*100+SUM(M130,AE130)+0.001,1,0)+IF(AV130*1000000+SUM(X130,AP130)*10000+SUM(R130,AJ130)*100+SUM(L130,AD130)+0.002&gt;AW130*1000000+SUM(Y130,AQ130)*10000+SUM(S130,AK130)*100+SUM(M130,AE130)+0.001,1,0)=0,"C",""))))))&amp;IF(IF(AS130*1000000+SUM(U130,AM130)*10000+SUM(O130,AG130)*100+SUM(I130,AA130)+0.005&gt;AR130*1000000+SUM(T130,AL130)*10000+SUM(N130,AF130)*100+SUM(H130,Z130)+0.006,1,0)+IF(AT130*1000000+SUM(V130,AN130)*10000+SUM(P130,AH130)*100+SUM(J130,AB130)+0.004&gt;AR130*1000000+SUM(T130,AL130)*10000+SUM(N130,AF130)*100+SUM(H130,Z130)+0.006,1,0)+IF(AU130*1000000+SUM(W130,AO130)*10000+SUM(Q130,AI130)*100+SUM(K130,AC130)+0.003&gt;AR130*1000000+SUM(T130,AL130)*10000+SUM(N130,AF130)*100+SUM(H130,Z130)+0.006,1,0)+IF(AV130*1000000+SUM(X130,AP130)*10000+SUM(R130,AJ130)*100+SUM(L130,AD130)+0.002&gt;AR130*1000000+SUM(T130,AL130)*10000+SUM(N130,AF130)*100+SUM(H130,Z130)+0.006,1,0)+IF(AW130*1000000+SUM(Y130,AQ130)*10000+SUM(S130,AK130)*100+SUM(M130,AE130)+0.001&gt;AR130*1000000+SUM(T130,AL130)*10000+SUM(N130,AF130)*100+SUM(H130,Z130)+0.006,1,0)=1,"R",IF(IF(AR130*1000000+SUM(T130,AL130)*10000+SUM(N130,AF130)*100+SUM(H130,Z130)+0.006&gt;AS130*1000000+SUM(U130,AM130)*10000+SUM(O130,AG130)*100+SUM(I130,AA130)+0.005,1,0)+IF(AT130*1000000+SUM(V130,AN130)*10000+SUM(P130,AH130)*100+SUM(J130,AB130)+0.004&gt;AS130*1000000+SUM(U130,AM130)*10000+SUM(O130,AG130)*100+SUM(I130,AA130)+0.005,1,0)+IF(AU130*1000000+SUM(W130,AO130)*10000+SUM(Q130,AI130)*100+SUM(K130,AC130)+0.003&gt;AS130*1000000+SUM(U130,AM130)*10000+SUM(O130,AG130)*100+SUM(I130,AA130)+0.005,1,0)+IF(AV130*1000000+SUM(X130,AP130)*10000+SUM(R130,AJ130)*100+SUM(L130,AD130)+0.002&gt;AS130*1000000+SUM(U130,AM130)*10000+SUM(O130,AG130)*100+SUM(I130,AA130)+0.005,1,0)+IF(AW130*1000000+SUM(Y130,AQ130)*10000+SUM(S130,AK130)*100+SUM(M130,AE130)+0.001&gt;AS130*1000000+SUM(U130,AM130)*10000+SUM(O130,AG130)*100+SUM(I130,AA130)+0.005,1,0)=1,"I",IF(IF(AR130*1000000+SUM(T130,AL130)*10000+SUM(N130,AF130)*100+SUM(H130,Z130)+0.006&gt;AT130*1000000+SUM(V130,AN130)*10000+SUM(P130,AH130)*100+SUM(J130,AB130)+0.004,1,0)+IF(AS130*1000000+SUM(U130,AM130)*10000+SUM(O130,AG130)*100+SUM(I130,AA130)+0.005&gt;AT130*1000000+SUM(V130,AN130)*10000+SUM(P130,AH130)*100+SUM(J130,AB130)+0.004,1,0)+IF(AU130*1000000+SUM(W130,AO130)*10000+SUM(Q130,AI130)*100+SUM(K130,AC130)+0.003&gt;AT130*1000000+SUM(V130,AN130)*10000+SUM(P130,AH130)*100+SUM(J130,AB130)+0.004,1,0)+IF(AV130*1000000+SUM(X130,AP130)*10000+SUM(R130,AJ130)*100+SUM(L130,AD130)+0.002&gt;AT130*1000000+SUM(V130,AN130)*10000+SUM(P130,AH130)*100+SUM(J130,AB130)+0.004,1,0)+IF(AW130*1000000+SUM(Y130,AQ130)*10000+SUM(S130,AK130)*100+SUM(M130,AE130)+0.001&gt;AT130*1000000+SUM(V130,AN130)*10000+SUM(P130,AH130)*100+SUM(J130,AB130)+0.004,1,0)=1,"A",IF(IF(AR130*1000000+SUM(T130,AL130)*10000+SUM(N130,AF130)*100+SUM(H130,Z130)+0.006&gt;AU130*1000000+SUM(W130,AO130)*10000+SUM(Q130,AI130)*100+SUM(K130,AC130)+0.003,1,0)+IF(AS130*1000000+SUM(U130,AM130)*10000+SUM(O130,AG130)*100+SUM(I130,AA130)+0.005&gt;AU130*1000000+SUM(W130,AO130)*10000+SUM(Q130,AI130)*100+SUM(K130,AC130)+0.003,1,0)+IF(AT130*1000000+SUM(V130,AN130)*10000+SUM(P130,AH130)*100+SUM(J130,AB130)+0.004&gt;AU130*1000000+SUM(W130,AO130)*10000+SUM(Q130,AI130)*100+SUM(K130,AC130)+0.003,1,0)+IF(AV130*1000000+SUM(X130,AP130)*10000+SUM(R130,AJ130)*100+SUM(L130,AD130)+0.002&gt;AU130*1000000+SUM(W130,AO130)*10000+SUM(Q130,AI130)*100+SUM(K130,AC130)+0.003,1,0)+IF(AW130*1000000+SUM(Y130,AQ130)*10000+SUM(S130,AK130)*100+SUM(M130,AE130)+0.001&gt;AU130*1000000+SUM(W130,AO130)*10000+SUM(Q130,AI130)*100+SUM(K130,AC130)+0.003,1,0)=1,"S",IF(IF(AR130*1000000+SUM(T130,AL130)*10000+SUM(N130,AF130)*100+SUM(H130,Z130)+0.006&gt;AV130*1000000+SUM(X130,AP130)*10000+SUM(R130,AJ130)*100+SUM(L130,AD130)+0.002,1,0)+IF(AS130*1000000+SUM(U130,AM130)*10000+SUM(O130,AG130)*100+SUM(I130,AA130)+0.005&gt;AV130*1000000+SUM(X130,AP130)*10000+SUM(R130,AJ130)*100+SUM(L130,AD130)+0.002,1,0)+IF(AT130*1000000+SUM(V130,AN130)*10000+SUM(P130,AH130)*100+SUM(J130,AB130)+0.004&gt;AV130*1000000+SUM(X130,AP130)*10000+SUM(R130,AJ130)*100+SUM(L130,AD130)+0.002,1,0)+IF(AU130*1000000+SUM(W130,AO130)*10000+SUM(Q130,AI130)*100+SUM(K130,AC130)+0.003&gt;AV130*1000000+SUM(X130,AP130)*10000+SUM(R130,AJ130)*100+SUM(L130,AD130)+0.002,1,0)+IF(AW130*1000000+SUM(Y130,AQ130)*10000+SUM(S130,AK130)*100+SUM(M130,AE130)+0.001&gt;AV130*1000000+SUM(X130,AP130)*10000+SUM(R130,AJ130)*100+SUM(L130,AD130)+0.002,1,0)=1,"E",IF(IF(AR130*1000000+SUM(T130,AL130)*10000+SUM(N130,AF130)*100+SUM(H130,Z130)+0.006&gt;AW130*1000000+SUM(Y130,AQ130)*10000+SUM(S130,AK130)*100+SUM(M130,AE130)+0.001,1,0)+IF(AS130*1000000+SUM(U130,AM130)*10000+SUM(O130,AG130)*100+SUM(I130,AA130)+0.005&gt;AW130*1000000+SUM(Y130,AQ130)*10000+SUM(S130,AK130)*100+SUM(M130,AE130)+0.001,1,0)+IF(AT130*1000000+SUM(V130,AN130)*10000+SUM(P130,AH130)*100+SUM(J130,AB130)+0.004&gt;AW130*1000000+SUM(Y130,AQ130)*10000+SUM(S130,AK130)*100+SUM(M130,AE130)+0.001,1,0)+IF(AU130*1000000+SUM(W130,AO130)*10000+SUM(Q130,AI130)*100+SUM(K130,AC130)+0.003&gt;AW130*1000000+SUM(Y130,AQ130)*10000+SUM(S130,AK130)*100+SUM(M130,AE130)+0.001,1,0)+IF(AV130*1000000+SUM(X130,AP130)*10000+SUM(R130,AJ130)*100+SUM(L130,AD130)+0.002&gt;AW130*1000000+SUM(Y130,AQ130)*10000+SUM(S130,AK130)*100+SUM(M130,AE130)+0.001,1,0)=1,"C",""))))))&amp;IF(IF(AS130*1000000+SUM(U130,AM130)*10000+SUM(O130,AG130)*100+SUM(I130,AA130)+0.005&gt;AR130*1000000+SUM(T130,AL130)*10000+SUM(N130,AF130)*100+SUM(H130,Z130)+0.006,1,0)+IF(AT130*1000000+SUM(V130,AN130)*10000+SUM(P130,AH130)*100+SUM(J130,AB130)+0.004&gt;AR130*1000000+SUM(T130,AL130)*10000+SUM(N130,AF130)*100+SUM(H130,Z130)+0.006,1,0)+IF(AU130*1000000+SUM(W130,AO130)*10000+SUM(Q130,AI130)*100+SUM(K130,AC130)+0.003&gt;AR130*1000000+SUM(T130,AL130)*10000+SUM(N130,AF130)*100+SUM(H130,Z130)+0.006,1,0)+IF(AV130*1000000+SUM(X130,AP130)*10000+SUM(R130,AJ130)*100+SUM(L130,AD130)+0.002&gt;AR130*1000000+SUM(T130,AL130)*10000+SUM(N130,AF130)*100+SUM(H130,Z130)+0.006,1,0)+IF(AW130*1000000+SUM(Y130,AQ130)*10000+SUM(S130,AK130)*100+SUM(M130,AE130)+0.001&gt;AR130*1000000+SUM(T130,AL130)*10000+SUM(N130,AF130)*100+SUM(H130,Z130)+0.006,1,0)=2,"R",IF(IF(AR130*1000000+SUM(T130,AL130)*10000+SUM(N130,AF130)*100+SUM(H130,Z130)+0.006&gt;AS130*1000000+SUM(U130,AM130)*10000+SUM(O130,AG130)*100+SUM(I130,AA130)+0.005,1,0)+IF(AT130*1000000+SUM(V130,AN130)*10000+SUM(P130,AH130)*100+SUM(J130,AB130)+0.004&gt;AS130*1000000+SUM(U130,AM130)*10000+SUM(O130,AG130)*100+SUM(I130,AA130)+0.005,1,0)+IF(AU130*1000000+SUM(W130,AO130)*10000+SUM(Q130,AI130)*100+SUM(K130,AC130)+0.003&gt;AS130*1000000+SUM(U130,AM130)*10000+SUM(O130,AG130)*100+SUM(I130,AA130)+0.005,1,0)+IF(AV130*1000000+SUM(X130,AP130)*10000+SUM(R130,AJ130)*100+SUM(L130,AD130)+0.002&gt;AS130*1000000+SUM(U130,AM130)*10000+SUM(O130,AG130)*100+SUM(I130,AA130)+0.005,1,0)+IF(AW130*1000000+SUM(Y130,AQ130)*10000+SUM(S130,AK130)*100+SUM(M130,AE130)+0.001&gt;AS130*1000000+SUM(U130,AM130)*10000+SUM(O130,AG130)*100+SUM(I130,AA130)+0.005,1,0)=2,"I",IF(IF(AR130*1000000+SUM(T130,AL130)*10000+SUM(N130,AF130)*100+SUM(H130,Z130)+0.006&gt;AT130*1000000+SUM(V130,AN130)*10000+SUM(P130,AH130)*100+SUM(J130,AB130)+0.004,1,0)+IF(AS130*1000000+SUM(U130,AM130)*10000+SUM(O130,AG130)*100+SUM(I130,AA130)+0.005&gt;AT130*1000000+SUM(V130,AN130)*10000+SUM(P130,AH130)*100+SUM(J130,AB130)+0.004,1,0)+IF(AU130*1000000+SUM(W130,AO130)*10000+SUM(Q130,AI130)*100+SUM(K130,AC130)+0.003&gt;AT130*1000000+SUM(V130,AN130)*10000+SUM(P130,AH130)*100+SUM(J130,AB130)+0.004,1,0)+IF(AV130*1000000+SUM(X130,AP130)*10000+SUM(R130,AJ130)*100+SUM(L130,AD130)+0.002&gt;AT130*1000000+SUM(V130,AN130)*10000+SUM(P130,AH130)*100+SUM(J130,AB130)+0.004,1,0)+IF(AW130*1000000+SUM(Y130,AQ130)*10000+SUM(S130,AK130)*100+SUM(M130,AE130)+0.001&gt;AT130*1000000+SUM(V130,AN130)*10000+SUM(P130,AH130)*100+SUM(J130,AB130)+0.004,1,0)=2,"A",IF(IF(AR130*1000000+SUM(T130,AL130)*10000+SUM(N130,AF130)*100+SUM(H130,Z130)+0.006&gt;AU130*1000000+SUM(W130,AO130)*10000+SUM(Q130,AI130)*100+SUM(K130,AC130)+0.003,1,0)+IF(AS130*1000000+SUM(U130,AM130)*10000+SUM(O130,AG130)*100+SUM(I130,AA130)+0.005&gt;AU130*1000000+SUM(W130,AO130)*10000+SUM(Q130,AI130)*100+SUM(K130,AC130)+0.003,1,0)+IF(AT130*1000000+SUM(V130,AN130)*10000+SUM(P130,AH130)*100+SUM(J130,AB130)+0.004&gt;AU130*1000000+SUM(W130,AO130)*10000+SUM(Q130,AI130)*100+SUM(K130,AC130)+0.003,1,0)+IF(AV130*1000000+SUM(X130,AP130)*10000+SUM(R130,AJ130)*100+SUM(L130,AD130)+0.002&gt;AU130*1000000+SUM(W130,AO130)*10000+SUM(Q130,AI130)*100+SUM(K130,AC130)+0.003,1,0)+IF(AW130*1000000+SUM(Y130,AQ130)*10000+SUM(S130,AK130)*100+SUM(M130,AE130)+0.001&gt;AU130*1000000+SUM(W130,AO130)*10000+SUM(Q130,AI130)*100+SUM(K130,AC130)+0.003,1,0)=2,"S",IF(IF(AR130*1000000+SUM(T130,AL130)*10000+SUM(N130,AF130)*100+SUM(H130,Z130)+0.006&gt;AV130*1000000+SUM(X130,AP130)*10000+SUM(R130,AJ130)*100+SUM(L130,AD130)+0.002,1,0)+IF(AS130*1000000+SUM(U130,AM130)*10000+SUM(O130,AG130)*100+SUM(I130,AA130)+0.005&gt;AV130*1000000+SUM(X130,AP130)*10000+SUM(R130,AJ130)*100+SUM(L130,AD130)+0.002,1,0)+IF(AT130*1000000+SUM(V130,AN130)*10000+SUM(P130,AH130)*100+SUM(J130,AB130)+0.004&gt;AV130*1000000+SUM(X130,AP130)*10000+SUM(R130,AJ130)*100+SUM(L130,AD130)+0.002,1,0)+IF(AU130*1000000+SUM(W130,AO130)*10000+SUM(Q130,AI130)*100+SUM(K130,AC130)+0.003&gt;AV130*1000000+SUM(X130,AP130)*10000+SUM(R130,AJ130)*100+SUM(L130,AD130)+0.002,1,0)+IF(AW130*1000000+SUM(Y130,AQ130)*10000+SUM(S130,AK130)*100+SUM(M130,AE130)+0.001&gt;AV130*1000000+SUM(X130,AP130)*10000+SUM(R130,AJ130)*100+SUM(L130,AD130)+0.002,1,0)=2,"E",IF(IF(AR130*1000000+SUM(T130,AL130)*10000+SUM(N130,AF130)*100+SUM(H130,Z130)+0.006&gt;AW130*1000000+SUM(Y130,AQ130)*10000+SUM(S130,AK130)*100+SUM(M130,AE130)+0.001,1,0)+IF(AS130*1000000+SUM(U130,AM130)*10000+SUM(O130,AG130)*100+SUM(I130,AA130)+0.005&gt;AW130*1000000+SUM(Y130,AQ130)*10000+SUM(S130,AK130)*100+SUM(M130,AE130)+0.001,1,0)+IF(AT130*1000000+SUM(V130,AN130)*10000+SUM(P130,AH130)*100+SUM(J130,AB130)+0.004&gt;AW130*1000000+SUM(Y130,AQ130)*10000+SUM(S130,AK130)*100+SUM(M130,AE130)+0.001,1,0)+IF(AU130*1000000+SUM(W130,AO130)*10000+SUM(Q130,AI130)*100+SUM(K130,AC130)+0.003&gt;AW130*1000000+SUM(Y130,AQ130)*10000+SUM(S130,AK130)*100+SUM(M130,AE130)+0.001,1,0)+IF(AV130*1000000+SUM(X130,AP130)*10000+SUM(R130,AJ130)*100+SUM(L130,AD130)+0.002&gt;AW130*1000000+SUM(Y130,AQ130)*10000+SUM(S130,AK130)*100+SUM(M130,AE130)+0.001,1,0)=2,"C","")))))))</x:f>
      </x:c>
      <x:c r="AY130" s="27" t="str">
        <x:f>IF(C130="","",IF(LEFT(AX130,1)="R","นักปฏิบัติ",IF(LEFT(AX130,1)="I","นักคิดวิเคราะห์",IF(LEFT(AX130,1)="A","นักสร้างสรรค์",IF(LEFT(AX130,1)="S","ผู้เข้าใจผู้คน",IF(LEFT(AX130,1)="E","ผู้นำการเปลี่ยนแปลง","ผู้จัดระบบ"))))))</x:f>
      </x:c>
    </x:row>
    <x:row r="131">
      <x:c r="A131" s="27"/>
      <x:c r="B131" s="28"/>
      <x:c r="C131" s="27"/>
      <x:c r="D131" s="27"/>
      <x:c r="E131" s="27"/>
      <x:c r="F131" s="27"/>
      <x:c r="G131" s="27"/>
      <x:c r="H131" s="27"/>
      <x:c r="I131" s="27"/>
      <x:c r="J131" s="27"/>
      <x:c r="K131" s="27"/>
      <x:c r="L131" s="27"/>
      <x:c r="M131" s="27"/>
      <x:c r="N131" s="27"/>
      <x:c r="O131" s="27"/>
      <x:c r="P131" s="27"/>
      <x:c r="Q131" s="27"/>
      <x:c r="R131" s="27"/>
      <x:c r="S131" s="27"/>
      <x:c r="T131" s="27"/>
      <x:c r="U131" s="27"/>
      <x:c r="V131" s="27"/>
      <x:c r="W131" s="27"/>
      <x:c r="X131" s="27"/>
      <x:c r="Y131" s="27"/>
      <x:c r="Z131" s="27"/>
      <x:c r="AA131" s="27"/>
      <x:c r="AB131" s="27"/>
      <x:c r="AC131" s="27"/>
      <x:c r="AD131" s="27"/>
      <x:c r="AE131" s="27"/>
      <x:c r="AF131" s="27"/>
      <x:c r="AG131" s="27"/>
      <x:c r="AH131" s="27"/>
      <x:c r="AI131" s="27"/>
      <x:c r="AJ131" s="27"/>
      <x:c r="AK131" s="27"/>
      <x:c r="AL131" s="27"/>
      <x:c r="AM131" s="27"/>
      <x:c r="AN131" s="27"/>
      <x:c r="AO131" s="27"/>
      <x:c r="AP131" s="27"/>
      <x:c r="AQ131" s="27"/>
      <x:c r="AR131" s="27" t="str">
        <x:f>IF(C131="","",SUM(H131,N131,T131,Z131,AF131,AL131))</x:f>
      </x:c>
      <x:c r="AS131" s="27" t="str">
        <x:f>IF(C131="","",SUM(I131,O131,U131,AA131,AG131,AM131))</x:f>
      </x:c>
      <x:c r="AT131" s="27" t="str">
        <x:f>IF(C131="","",SUM(J131,P131,V131,AB131,AH131,AN131))</x:f>
      </x:c>
      <x:c r="AU131" s="27" t="str">
        <x:f>IF(C131="","",SUM(K131,Q131,W131,AC131,AI131,AO131))</x:f>
      </x:c>
      <x:c r="AV131" s="27" t="str">
        <x:f>IF(C131="","",SUM(L131,R131,X131,AD131,AJ131,AP131))</x:f>
      </x:c>
      <x:c r="AW131" s="27" t="str">
        <x:f>IF(C131="","",SUM(M131,S131,Y131,AE131,AK131,AQ131))</x:f>
      </x:c>
      <x:c r="AX131" s="27" t="str">
        <x:f>IF(C131="","",IF(IF(AS131*1000000+SUM(U131,AM131)*10000+SUM(O131,AG131)*100+SUM(I131,AA131)+0.005&gt;AR131*1000000+SUM(T131,AL131)*10000+SUM(N131,AF131)*100+SUM(H131,Z131)+0.006,1,0)+IF(AT131*1000000+SUM(V131,AN131)*10000+SUM(P131,AH131)*100+SUM(J131,AB131)+0.004&gt;AR131*1000000+SUM(T131,AL131)*10000+SUM(N131,AF131)*100+SUM(H131,Z131)+0.006,1,0)+IF(AU131*1000000+SUM(W131,AO131)*10000+SUM(Q131,AI131)*100+SUM(K131,AC131)+0.003&gt;AR131*1000000+SUM(T131,AL131)*10000+SUM(N131,AF131)*100+SUM(H131,Z131)+0.006,1,0)+IF(AV131*1000000+SUM(X131,AP131)*10000+SUM(R131,AJ131)*100+SUM(L131,AD131)+0.002&gt;AR131*1000000+SUM(T131,AL131)*10000+SUM(N131,AF131)*100+SUM(H131,Z131)+0.006,1,0)+IF(AW131*1000000+SUM(Y131,AQ131)*10000+SUM(S131,AK131)*100+SUM(M131,AE131)+0.001&gt;AR131*1000000+SUM(T131,AL131)*10000+SUM(N131,AF131)*100+SUM(H131,Z131)+0.006,1,0)=0,"R",IF(IF(AR131*1000000+SUM(T131,AL131)*10000+SUM(N131,AF131)*100+SUM(H131,Z131)+0.006&gt;AS131*1000000+SUM(U131,AM131)*10000+SUM(O131,AG131)*100+SUM(I131,AA131)+0.005,1,0)+IF(AT131*1000000+SUM(V131,AN131)*10000+SUM(P131,AH131)*100+SUM(J131,AB131)+0.004&gt;AS131*1000000+SUM(U131,AM131)*10000+SUM(O131,AG131)*100+SUM(I131,AA131)+0.005,1,0)+IF(AU131*1000000+SUM(W131,AO131)*10000+SUM(Q131,AI131)*100+SUM(K131,AC131)+0.003&gt;AS131*1000000+SUM(U131,AM131)*10000+SUM(O131,AG131)*100+SUM(I131,AA131)+0.005,1,0)+IF(AV131*1000000+SUM(X131,AP131)*10000+SUM(R131,AJ131)*100+SUM(L131,AD131)+0.002&gt;AS131*1000000+SUM(U131,AM131)*10000+SUM(O131,AG131)*100+SUM(I131,AA131)+0.005,1,0)+IF(AW131*1000000+SUM(Y131,AQ131)*10000+SUM(S131,AK131)*100+SUM(M131,AE131)+0.001&gt;AS131*1000000+SUM(U131,AM131)*10000+SUM(O131,AG131)*100+SUM(I131,AA131)+0.005,1,0)=0,"I",IF(IF(AR131*1000000+SUM(T131,AL131)*10000+SUM(N131,AF131)*100+SUM(H131,Z131)+0.006&gt;AT131*1000000+SUM(V131,AN131)*10000+SUM(P131,AH131)*100+SUM(J131,AB131)+0.004,1,0)+IF(AS131*1000000+SUM(U131,AM131)*10000+SUM(O131,AG131)*100+SUM(I131,AA131)+0.005&gt;AT131*1000000+SUM(V131,AN131)*10000+SUM(P131,AH131)*100+SUM(J131,AB131)+0.004,1,0)+IF(AU131*1000000+SUM(W131,AO131)*10000+SUM(Q131,AI131)*100+SUM(K131,AC131)+0.003&gt;AT131*1000000+SUM(V131,AN131)*10000+SUM(P131,AH131)*100+SUM(J131,AB131)+0.004,1,0)+IF(AV131*1000000+SUM(X131,AP131)*10000+SUM(R131,AJ131)*100+SUM(L131,AD131)+0.002&gt;AT131*1000000+SUM(V131,AN131)*10000+SUM(P131,AH131)*100+SUM(J131,AB131)+0.004,1,0)+IF(AW131*1000000+SUM(Y131,AQ131)*10000+SUM(S131,AK131)*100+SUM(M131,AE131)+0.001&gt;AT131*1000000+SUM(V131,AN131)*10000+SUM(P131,AH131)*100+SUM(J131,AB131)+0.004,1,0)=0,"A",IF(IF(AR131*1000000+SUM(T131,AL131)*10000+SUM(N131,AF131)*100+SUM(H131,Z131)+0.006&gt;AU131*1000000+SUM(W131,AO131)*10000+SUM(Q131,AI131)*100+SUM(K131,AC131)+0.003,1,0)+IF(AS131*1000000+SUM(U131,AM131)*10000+SUM(O131,AG131)*100+SUM(I131,AA131)+0.005&gt;AU131*1000000+SUM(W131,AO131)*10000+SUM(Q131,AI131)*100+SUM(K131,AC131)+0.003,1,0)+IF(AT131*1000000+SUM(V131,AN131)*10000+SUM(P131,AH131)*100+SUM(J131,AB131)+0.004&gt;AU131*1000000+SUM(W131,AO131)*10000+SUM(Q131,AI131)*100+SUM(K131,AC131)+0.003,1,0)+IF(AV131*1000000+SUM(X131,AP131)*10000+SUM(R131,AJ131)*100+SUM(L131,AD131)+0.002&gt;AU131*1000000+SUM(W131,AO131)*10000+SUM(Q131,AI131)*100+SUM(K131,AC131)+0.003,1,0)+IF(AW131*1000000+SUM(Y131,AQ131)*10000+SUM(S131,AK131)*100+SUM(M131,AE131)+0.001&gt;AU131*1000000+SUM(W131,AO131)*10000+SUM(Q131,AI131)*100+SUM(K131,AC131)+0.003,1,0)=0,"S",IF(IF(AR131*1000000+SUM(T131,AL131)*10000+SUM(N131,AF131)*100+SUM(H131,Z131)+0.006&gt;AV131*1000000+SUM(X131,AP131)*10000+SUM(R131,AJ131)*100+SUM(L131,AD131)+0.002,1,0)+IF(AS131*1000000+SUM(U131,AM131)*10000+SUM(O131,AG131)*100+SUM(I131,AA131)+0.005&gt;AV131*1000000+SUM(X131,AP131)*10000+SUM(R131,AJ131)*100+SUM(L131,AD131)+0.002,1,0)+IF(AT131*1000000+SUM(V131,AN131)*10000+SUM(P131,AH131)*100+SUM(J131,AB131)+0.004&gt;AV131*1000000+SUM(X131,AP131)*10000+SUM(R131,AJ131)*100+SUM(L131,AD131)+0.002,1,0)+IF(AU131*1000000+SUM(W131,AO131)*10000+SUM(Q131,AI131)*100+SUM(K131,AC131)+0.003&gt;AV131*1000000+SUM(X131,AP131)*10000+SUM(R131,AJ131)*100+SUM(L131,AD131)+0.002,1,0)+IF(AW131*1000000+SUM(Y131,AQ131)*10000+SUM(S131,AK131)*100+SUM(M131,AE131)+0.001&gt;AV131*1000000+SUM(X131,AP131)*10000+SUM(R131,AJ131)*100+SUM(L131,AD131)+0.002,1,0)=0,"E",IF(IF(AR131*1000000+SUM(T131,AL131)*10000+SUM(N131,AF131)*100+SUM(H131,Z131)+0.006&gt;AW131*1000000+SUM(Y131,AQ131)*10000+SUM(S131,AK131)*100+SUM(M131,AE131)+0.001,1,0)+IF(AS131*1000000+SUM(U131,AM131)*10000+SUM(O131,AG131)*100+SUM(I131,AA131)+0.005&gt;AW131*1000000+SUM(Y131,AQ131)*10000+SUM(S131,AK131)*100+SUM(M131,AE131)+0.001,1,0)+IF(AT131*1000000+SUM(V131,AN131)*10000+SUM(P131,AH131)*100+SUM(J131,AB131)+0.004&gt;AW131*1000000+SUM(Y131,AQ131)*10000+SUM(S131,AK131)*100+SUM(M131,AE131)+0.001,1,0)+IF(AU131*1000000+SUM(W131,AO131)*10000+SUM(Q131,AI131)*100+SUM(K131,AC131)+0.003&gt;AW131*1000000+SUM(Y131,AQ131)*10000+SUM(S131,AK131)*100+SUM(M131,AE131)+0.001,1,0)+IF(AV131*1000000+SUM(X131,AP131)*10000+SUM(R131,AJ131)*100+SUM(L131,AD131)+0.002&gt;AW131*1000000+SUM(Y131,AQ131)*10000+SUM(S131,AK131)*100+SUM(M131,AE131)+0.001,1,0)=0,"C",""))))))&amp;IF(IF(AS131*1000000+SUM(U131,AM131)*10000+SUM(O131,AG131)*100+SUM(I131,AA131)+0.005&gt;AR131*1000000+SUM(T131,AL131)*10000+SUM(N131,AF131)*100+SUM(H131,Z131)+0.006,1,0)+IF(AT131*1000000+SUM(V131,AN131)*10000+SUM(P131,AH131)*100+SUM(J131,AB131)+0.004&gt;AR131*1000000+SUM(T131,AL131)*10000+SUM(N131,AF131)*100+SUM(H131,Z131)+0.006,1,0)+IF(AU131*1000000+SUM(W131,AO131)*10000+SUM(Q131,AI131)*100+SUM(K131,AC131)+0.003&gt;AR131*1000000+SUM(T131,AL131)*10000+SUM(N131,AF131)*100+SUM(H131,Z131)+0.006,1,0)+IF(AV131*1000000+SUM(X131,AP131)*10000+SUM(R131,AJ131)*100+SUM(L131,AD131)+0.002&gt;AR131*1000000+SUM(T131,AL131)*10000+SUM(N131,AF131)*100+SUM(H131,Z131)+0.006,1,0)+IF(AW131*1000000+SUM(Y131,AQ131)*10000+SUM(S131,AK131)*100+SUM(M131,AE131)+0.001&gt;AR131*1000000+SUM(T131,AL131)*10000+SUM(N131,AF131)*100+SUM(H131,Z131)+0.006,1,0)=1,"R",IF(IF(AR131*1000000+SUM(T131,AL131)*10000+SUM(N131,AF131)*100+SUM(H131,Z131)+0.006&gt;AS131*1000000+SUM(U131,AM131)*10000+SUM(O131,AG131)*100+SUM(I131,AA131)+0.005,1,0)+IF(AT131*1000000+SUM(V131,AN131)*10000+SUM(P131,AH131)*100+SUM(J131,AB131)+0.004&gt;AS131*1000000+SUM(U131,AM131)*10000+SUM(O131,AG131)*100+SUM(I131,AA131)+0.005,1,0)+IF(AU131*1000000+SUM(W131,AO131)*10000+SUM(Q131,AI131)*100+SUM(K131,AC131)+0.003&gt;AS131*1000000+SUM(U131,AM131)*10000+SUM(O131,AG131)*100+SUM(I131,AA131)+0.005,1,0)+IF(AV131*1000000+SUM(X131,AP131)*10000+SUM(R131,AJ131)*100+SUM(L131,AD131)+0.002&gt;AS131*1000000+SUM(U131,AM131)*10000+SUM(O131,AG131)*100+SUM(I131,AA131)+0.005,1,0)+IF(AW131*1000000+SUM(Y131,AQ131)*10000+SUM(S131,AK131)*100+SUM(M131,AE131)+0.001&gt;AS131*1000000+SUM(U131,AM131)*10000+SUM(O131,AG131)*100+SUM(I131,AA131)+0.005,1,0)=1,"I",IF(IF(AR131*1000000+SUM(T131,AL131)*10000+SUM(N131,AF131)*100+SUM(H131,Z131)+0.006&gt;AT131*1000000+SUM(V131,AN131)*10000+SUM(P131,AH131)*100+SUM(J131,AB131)+0.004,1,0)+IF(AS131*1000000+SUM(U131,AM131)*10000+SUM(O131,AG131)*100+SUM(I131,AA131)+0.005&gt;AT131*1000000+SUM(V131,AN131)*10000+SUM(P131,AH131)*100+SUM(J131,AB131)+0.004,1,0)+IF(AU131*1000000+SUM(W131,AO131)*10000+SUM(Q131,AI131)*100+SUM(K131,AC131)+0.003&gt;AT131*1000000+SUM(V131,AN131)*10000+SUM(P131,AH131)*100+SUM(J131,AB131)+0.004,1,0)+IF(AV131*1000000+SUM(X131,AP131)*10000+SUM(R131,AJ131)*100+SUM(L131,AD131)+0.002&gt;AT131*1000000+SUM(V131,AN131)*10000+SUM(P131,AH131)*100+SUM(J131,AB131)+0.004,1,0)+IF(AW131*1000000+SUM(Y131,AQ131)*10000+SUM(S131,AK131)*100+SUM(M131,AE131)+0.001&gt;AT131*1000000+SUM(V131,AN131)*10000+SUM(P131,AH131)*100+SUM(J131,AB131)+0.004,1,0)=1,"A",IF(IF(AR131*1000000+SUM(T131,AL131)*10000+SUM(N131,AF131)*100+SUM(H131,Z131)+0.006&gt;AU131*1000000+SUM(W131,AO131)*10000+SUM(Q131,AI131)*100+SUM(K131,AC131)+0.003,1,0)+IF(AS131*1000000+SUM(U131,AM131)*10000+SUM(O131,AG131)*100+SUM(I131,AA131)+0.005&gt;AU131*1000000+SUM(W131,AO131)*10000+SUM(Q131,AI131)*100+SUM(K131,AC131)+0.003,1,0)+IF(AT131*1000000+SUM(V131,AN131)*10000+SUM(P131,AH131)*100+SUM(J131,AB131)+0.004&gt;AU131*1000000+SUM(W131,AO131)*10000+SUM(Q131,AI131)*100+SUM(K131,AC131)+0.003,1,0)+IF(AV131*1000000+SUM(X131,AP131)*10000+SUM(R131,AJ131)*100+SUM(L131,AD131)+0.002&gt;AU131*1000000+SUM(W131,AO131)*10000+SUM(Q131,AI131)*100+SUM(K131,AC131)+0.003,1,0)+IF(AW131*1000000+SUM(Y131,AQ131)*10000+SUM(S131,AK131)*100+SUM(M131,AE131)+0.001&gt;AU131*1000000+SUM(W131,AO131)*10000+SUM(Q131,AI131)*100+SUM(K131,AC131)+0.003,1,0)=1,"S",IF(IF(AR131*1000000+SUM(T131,AL131)*10000+SUM(N131,AF131)*100+SUM(H131,Z131)+0.006&gt;AV131*1000000+SUM(X131,AP131)*10000+SUM(R131,AJ131)*100+SUM(L131,AD131)+0.002,1,0)+IF(AS131*1000000+SUM(U131,AM131)*10000+SUM(O131,AG131)*100+SUM(I131,AA131)+0.005&gt;AV131*1000000+SUM(X131,AP131)*10000+SUM(R131,AJ131)*100+SUM(L131,AD131)+0.002,1,0)+IF(AT131*1000000+SUM(V131,AN131)*10000+SUM(P131,AH131)*100+SUM(J131,AB131)+0.004&gt;AV131*1000000+SUM(X131,AP131)*10000+SUM(R131,AJ131)*100+SUM(L131,AD131)+0.002,1,0)+IF(AU131*1000000+SUM(W131,AO131)*10000+SUM(Q131,AI131)*100+SUM(K131,AC131)+0.003&gt;AV131*1000000+SUM(X131,AP131)*10000+SUM(R131,AJ131)*100+SUM(L131,AD131)+0.002,1,0)+IF(AW131*1000000+SUM(Y131,AQ131)*10000+SUM(S131,AK131)*100+SUM(M131,AE131)+0.001&gt;AV131*1000000+SUM(X131,AP131)*10000+SUM(R131,AJ131)*100+SUM(L131,AD131)+0.002,1,0)=1,"E",IF(IF(AR131*1000000+SUM(T131,AL131)*10000+SUM(N131,AF131)*100+SUM(H131,Z131)+0.006&gt;AW131*1000000+SUM(Y131,AQ131)*10000+SUM(S131,AK131)*100+SUM(M131,AE131)+0.001,1,0)+IF(AS131*1000000+SUM(U131,AM131)*10000+SUM(O131,AG131)*100+SUM(I131,AA131)+0.005&gt;AW131*1000000+SUM(Y131,AQ131)*10000+SUM(S131,AK131)*100+SUM(M131,AE131)+0.001,1,0)+IF(AT131*1000000+SUM(V131,AN131)*10000+SUM(P131,AH131)*100+SUM(J131,AB131)+0.004&gt;AW131*1000000+SUM(Y131,AQ131)*10000+SUM(S131,AK131)*100+SUM(M131,AE131)+0.001,1,0)+IF(AU131*1000000+SUM(W131,AO131)*10000+SUM(Q131,AI131)*100+SUM(K131,AC131)+0.003&gt;AW131*1000000+SUM(Y131,AQ131)*10000+SUM(S131,AK131)*100+SUM(M131,AE131)+0.001,1,0)+IF(AV131*1000000+SUM(X131,AP131)*10000+SUM(R131,AJ131)*100+SUM(L131,AD131)+0.002&gt;AW131*1000000+SUM(Y131,AQ131)*10000+SUM(S131,AK131)*100+SUM(M131,AE131)+0.001,1,0)=1,"C",""))))))&amp;IF(IF(AS131*1000000+SUM(U131,AM131)*10000+SUM(O131,AG131)*100+SUM(I131,AA131)+0.005&gt;AR131*1000000+SUM(T131,AL131)*10000+SUM(N131,AF131)*100+SUM(H131,Z131)+0.006,1,0)+IF(AT131*1000000+SUM(V131,AN131)*10000+SUM(P131,AH131)*100+SUM(J131,AB131)+0.004&gt;AR131*1000000+SUM(T131,AL131)*10000+SUM(N131,AF131)*100+SUM(H131,Z131)+0.006,1,0)+IF(AU131*1000000+SUM(W131,AO131)*10000+SUM(Q131,AI131)*100+SUM(K131,AC131)+0.003&gt;AR131*1000000+SUM(T131,AL131)*10000+SUM(N131,AF131)*100+SUM(H131,Z131)+0.006,1,0)+IF(AV131*1000000+SUM(X131,AP131)*10000+SUM(R131,AJ131)*100+SUM(L131,AD131)+0.002&gt;AR131*1000000+SUM(T131,AL131)*10000+SUM(N131,AF131)*100+SUM(H131,Z131)+0.006,1,0)+IF(AW131*1000000+SUM(Y131,AQ131)*10000+SUM(S131,AK131)*100+SUM(M131,AE131)+0.001&gt;AR131*1000000+SUM(T131,AL131)*10000+SUM(N131,AF131)*100+SUM(H131,Z131)+0.006,1,0)=2,"R",IF(IF(AR131*1000000+SUM(T131,AL131)*10000+SUM(N131,AF131)*100+SUM(H131,Z131)+0.006&gt;AS131*1000000+SUM(U131,AM131)*10000+SUM(O131,AG131)*100+SUM(I131,AA131)+0.005,1,0)+IF(AT131*1000000+SUM(V131,AN131)*10000+SUM(P131,AH131)*100+SUM(J131,AB131)+0.004&gt;AS131*1000000+SUM(U131,AM131)*10000+SUM(O131,AG131)*100+SUM(I131,AA131)+0.005,1,0)+IF(AU131*1000000+SUM(W131,AO131)*10000+SUM(Q131,AI131)*100+SUM(K131,AC131)+0.003&gt;AS131*1000000+SUM(U131,AM131)*10000+SUM(O131,AG131)*100+SUM(I131,AA131)+0.005,1,0)+IF(AV131*1000000+SUM(X131,AP131)*10000+SUM(R131,AJ131)*100+SUM(L131,AD131)+0.002&gt;AS131*1000000+SUM(U131,AM131)*10000+SUM(O131,AG131)*100+SUM(I131,AA131)+0.005,1,0)+IF(AW131*1000000+SUM(Y131,AQ131)*10000+SUM(S131,AK131)*100+SUM(M131,AE131)+0.001&gt;AS131*1000000+SUM(U131,AM131)*10000+SUM(O131,AG131)*100+SUM(I131,AA131)+0.005,1,0)=2,"I",IF(IF(AR131*1000000+SUM(T131,AL131)*10000+SUM(N131,AF131)*100+SUM(H131,Z131)+0.006&gt;AT131*1000000+SUM(V131,AN131)*10000+SUM(P131,AH131)*100+SUM(J131,AB131)+0.004,1,0)+IF(AS131*1000000+SUM(U131,AM131)*10000+SUM(O131,AG131)*100+SUM(I131,AA131)+0.005&gt;AT131*1000000+SUM(V131,AN131)*10000+SUM(P131,AH131)*100+SUM(J131,AB131)+0.004,1,0)+IF(AU131*1000000+SUM(W131,AO131)*10000+SUM(Q131,AI131)*100+SUM(K131,AC131)+0.003&gt;AT131*1000000+SUM(V131,AN131)*10000+SUM(P131,AH131)*100+SUM(J131,AB131)+0.004,1,0)+IF(AV131*1000000+SUM(X131,AP131)*10000+SUM(R131,AJ131)*100+SUM(L131,AD131)+0.002&gt;AT131*1000000+SUM(V131,AN131)*10000+SUM(P131,AH131)*100+SUM(J131,AB131)+0.004,1,0)+IF(AW131*1000000+SUM(Y131,AQ131)*10000+SUM(S131,AK131)*100+SUM(M131,AE131)+0.001&gt;AT131*1000000+SUM(V131,AN131)*10000+SUM(P131,AH131)*100+SUM(J131,AB131)+0.004,1,0)=2,"A",IF(IF(AR131*1000000+SUM(T131,AL131)*10000+SUM(N131,AF131)*100+SUM(H131,Z131)+0.006&gt;AU131*1000000+SUM(W131,AO131)*10000+SUM(Q131,AI131)*100+SUM(K131,AC131)+0.003,1,0)+IF(AS131*1000000+SUM(U131,AM131)*10000+SUM(O131,AG131)*100+SUM(I131,AA131)+0.005&gt;AU131*1000000+SUM(W131,AO131)*10000+SUM(Q131,AI131)*100+SUM(K131,AC131)+0.003,1,0)+IF(AT131*1000000+SUM(V131,AN131)*10000+SUM(P131,AH131)*100+SUM(J131,AB131)+0.004&gt;AU131*1000000+SUM(W131,AO131)*10000+SUM(Q131,AI131)*100+SUM(K131,AC131)+0.003,1,0)+IF(AV131*1000000+SUM(X131,AP131)*10000+SUM(R131,AJ131)*100+SUM(L131,AD131)+0.002&gt;AU131*1000000+SUM(W131,AO131)*10000+SUM(Q131,AI131)*100+SUM(K131,AC131)+0.003,1,0)+IF(AW131*1000000+SUM(Y131,AQ131)*10000+SUM(S131,AK131)*100+SUM(M131,AE131)+0.001&gt;AU131*1000000+SUM(W131,AO131)*10000+SUM(Q131,AI131)*100+SUM(K131,AC131)+0.003,1,0)=2,"S",IF(IF(AR131*1000000+SUM(T131,AL131)*10000+SUM(N131,AF131)*100+SUM(H131,Z131)+0.006&gt;AV131*1000000+SUM(X131,AP131)*10000+SUM(R131,AJ131)*100+SUM(L131,AD131)+0.002,1,0)+IF(AS131*1000000+SUM(U131,AM131)*10000+SUM(O131,AG131)*100+SUM(I131,AA131)+0.005&gt;AV131*1000000+SUM(X131,AP131)*10000+SUM(R131,AJ131)*100+SUM(L131,AD131)+0.002,1,0)+IF(AT131*1000000+SUM(V131,AN131)*10000+SUM(P131,AH131)*100+SUM(J131,AB131)+0.004&gt;AV131*1000000+SUM(X131,AP131)*10000+SUM(R131,AJ131)*100+SUM(L131,AD131)+0.002,1,0)+IF(AU131*1000000+SUM(W131,AO131)*10000+SUM(Q131,AI131)*100+SUM(K131,AC131)+0.003&gt;AV131*1000000+SUM(X131,AP131)*10000+SUM(R131,AJ131)*100+SUM(L131,AD131)+0.002,1,0)+IF(AW131*1000000+SUM(Y131,AQ131)*10000+SUM(S131,AK131)*100+SUM(M131,AE131)+0.001&gt;AV131*1000000+SUM(X131,AP131)*10000+SUM(R131,AJ131)*100+SUM(L131,AD131)+0.002,1,0)=2,"E",IF(IF(AR131*1000000+SUM(T131,AL131)*10000+SUM(N131,AF131)*100+SUM(H131,Z131)+0.006&gt;AW131*1000000+SUM(Y131,AQ131)*10000+SUM(S131,AK131)*100+SUM(M131,AE131)+0.001,1,0)+IF(AS131*1000000+SUM(U131,AM131)*10000+SUM(O131,AG131)*100+SUM(I131,AA131)+0.005&gt;AW131*1000000+SUM(Y131,AQ131)*10000+SUM(S131,AK131)*100+SUM(M131,AE131)+0.001,1,0)+IF(AT131*1000000+SUM(V131,AN131)*10000+SUM(P131,AH131)*100+SUM(J131,AB131)+0.004&gt;AW131*1000000+SUM(Y131,AQ131)*10000+SUM(S131,AK131)*100+SUM(M131,AE131)+0.001,1,0)+IF(AU131*1000000+SUM(W131,AO131)*10000+SUM(Q131,AI131)*100+SUM(K131,AC131)+0.003&gt;AW131*1000000+SUM(Y131,AQ131)*10000+SUM(S131,AK131)*100+SUM(M131,AE131)+0.001,1,0)+IF(AV131*1000000+SUM(X131,AP131)*10000+SUM(R131,AJ131)*100+SUM(L131,AD131)+0.002&gt;AW131*1000000+SUM(Y131,AQ131)*10000+SUM(S131,AK131)*100+SUM(M131,AE131)+0.001,1,0)=2,"C","")))))))</x:f>
      </x:c>
      <x:c r="AY131" s="27" t="str">
        <x:f>IF(C131="","",IF(LEFT(AX131,1)="R","นักปฏิบัติ",IF(LEFT(AX131,1)="I","นักคิดวิเคราะห์",IF(LEFT(AX131,1)="A","นักสร้างสรรค์",IF(LEFT(AX131,1)="S","ผู้เข้าใจผู้คน",IF(LEFT(AX131,1)="E","ผู้นำการเปลี่ยนแปลง","ผู้จัดระบบ"))))))</x:f>
      </x:c>
    </x:row>
    <x:row r="132">
      <x:c r="A132" s="27"/>
      <x:c r="B132" s="28"/>
      <x:c r="C132" s="27"/>
      <x:c r="D132" s="27"/>
      <x:c r="E132" s="27"/>
      <x:c r="F132" s="27"/>
      <x:c r="G132" s="27"/>
      <x:c r="H132" s="27"/>
      <x:c r="I132" s="27"/>
      <x:c r="J132" s="27"/>
      <x:c r="K132" s="27"/>
      <x:c r="L132" s="27"/>
      <x:c r="M132" s="27"/>
      <x:c r="N132" s="27"/>
      <x:c r="O132" s="27"/>
      <x:c r="P132" s="27"/>
      <x:c r="Q132" s="27"/>
      <x:c r="R132" s="27"/>
      <x:c r="S132" s="27"/>
      <x:c r="T132" s="27"/>
      <x:c r="U132" s="27"/>
      <x:c r="V132" s="27"/>
      <x:c r="W132" s="27"/>
      <x:c r="X132" s="27"/>
      <x:c r="Y132" s="27"/>
      <x:c r="Z132" s="27"/>
      <x:c r="AA132" s="27"/>
      <x:c r="AB132" s="27"/>
      <x:c r="AC132" s="27"/>
      <x:c r="AD132" s="27"/>
      <x:c r="AE132" s="27"/>
      <x:c r="AF132" s="27"/>
      <x:c r="AG132" s="27"/>
      <x:c r="AH132" s="27"/>
      <x:c r="AI132" s="27"/>
      <x:c r="AJ132" s="27"/>
      <x:c r="AK132" s="27"/>
      <x:c r="AL132" s="27"/>
      <x:c r="AM132" s="27"/>
      <x:c r="AN132" s="27"/>
      <x:c r="AO132" s="27"/>
      <x:c r="AP132" s="27"/>
      <x:c r="AQ132" s="27"/>
      <x:c r="AR132" s="27" t="str">
        <x:f>IF(C132="","",SUM(H132,N132,T132,Z132,AF132,AL132))</x:f>
      </x:c>
      <x:c r="AS132" s="27" t="str">
        <x:f>IF(C132="","",SUM(I132,O132,U132,AA132,AG132,AM132))</x:f>
      </x:c>
      <x:c r="AT132" s="27" t="str">
        <x:f>IF(C132="","",SUM(J132,P132,V132,AB132,AH132,AN132))</x:f>
      </x:c>
      <x:c r="AU132" s="27" t="str">
        <x:f>IF(C132="","",SUM(K132,Q132,W132,AC132,AI132,AO132))</x:f>
      </x:c>
      <x:c r="AV132" s="27" t="str">
        <x:f>IF(C132="","",SUM(L132,R132,X132,AD132,AJ132,AP132))</x:f>
      </x:c>
      <x:c r="AW132" s="27" t="str">
        <x:f>IF(C132="","",SUM(M132,S132,Y132,AE132,AK132,AQ132))</x:f>
      </x:c>
      <x:c r="AX132" s="27" t="str">
        <x:f>IF(C132="","",IF(IF(AS132*1000000+SUM(U132,AM132)*10000+SUM(O132,AG132)*100+SUM(I132,AA132)+0.005&gt;AR132*1000000+SUM(T132,AL132)*10000+SUM(N132,AF132)*100+SUM(H132,Z132)+0.006,1,0)+IF(AT132*1000000+SUM(V132,AN132)*10000+SUM(P132,AH132)*100+SUM(J132,AB132)+0.004&gt;AR132*1000000+SUM(T132,AL132)*10000+SUM(N132,AF132)*100+SUM(H132,Z132)+0.006,1,0)+IF(AU132*1000000+SUM(W132,AO132)*10000+SUM(Q132,AI132)*100+SUM(K132,AC132)+0.003&gt;AR132*1000000+SUM(T132,AL132)*10000+SUM(N132,AF132)*100+SUM(H132,Z132)+0.006,1,0)+IF(AV132*1000000+SUM(X132,AP132)*10000+SUM(R132,AJ132)*100+SUM(L132,AD132)+0.002&gt;AR132*1000000+SUM(T132,AL132)*10000+SUM(N132,AF132)*100+SUM(H132,Z132)+0.006,1,0)+IF(AW132*1000000+SUM(Y132,AQ132)*10000+SUM(S132,AK132)*100+SUM(M132,AE132)+0.001&gt;AR132*1000000+SUM(T132,AL132)*10000+SUM(N132,AF132)*100+SUM(H132,Z132)+0.006,1,0)=0,"R",IF(IF(AR132*1000000+SUM(T132,AL132)*10000+SUM(N132,AF132)*100+SUM(H132,Z132)+0.006&gt;AS132*1000000+SUM(U132,AM132)*10000+SUM(O132,AG132)*100+SUM(I132,AA132)+0.005,1,0)+IF(AT132*1000000+SUM(V132,AN132)*10000+SUM(P132,AH132)*100+SUM(J132,AB132)+0.004&gt;AS132*1000000+SUM(U132,AM132)*10000+SUM(O132,AG132)*100+SUM(I132,AA132)+0.005,1,0)+IF(AU132*1000000+SUM(W132,AO132)*10000+SUM(Q132,AI132)*100+SUM(K132,AC132)+0.003&gt;AS132*1000000+SUM(U132,AM132)*10000+SUM(O132,AG132)*100+SUM(I132,AA132)+0.005,1,0)+IF(AV132*1000000+SUM(X132,AP132)*10000+SUM(R132,AJ132)*100+SUM(L132,AD132)+0.002&gt;AS132*1000000+SUM(U132,AM132)*10000+SUM(O132,AG132)*100+SUM(I132,AA132)+0.005,1,0)+IF(AW132*1000000+SUM(Y132,AQ132)*10000+SUM(S132,AK132)*100+SUM(M132,AE132)+0.001&gt;AS132*1000000+SUM(U132,AM132)*10000+SUM(O132,AG132)*100+SUM(I132,AA132)+0.005,1,0)=0,"I",IF(IF(AR132*1000000+SUM(T132,AL132)*10000+SUM(N132,AF132)*100+SUM(H132,Z132)+0.006&gt;AT132*1000000+SUM(V132,AN132)*10000+SUM(P132,AH132)*100+SUM(J132,AB132)+0.004,1,0)+IF(AS132*1000000+SUM(U132,AM132)*10000+SUM(O132,AG132)*100+SUM(I132,AA132)+0.005&gt;AT132*1000000+SUM(V132,AN132)*10000+SUM(P132,AH132)*100+SUM(J132,AB132)+0.004,1,0)+IF(AU132*1000000+SUM(W132,AO132)*10000+SUM(Q132,AI132)*100+SUM(K132,AC132)+0.003&gt;AT132*1000000+SUM(V132,AN132)*10000+SUM(P132,AH132)*100+SUM(J132,AB132)+0.004,1,0)+IF(AV132*1000000+SUM(X132,AP132)*10000+SUM(R132,AJ132)*100+SUM(L132,AD132)+0.002&gt;AT132*1000000+SUM(V132,AN132)*10000+SUM(P132,AH132)*100+SUM(J132,AB132)+0.004,1,0)+IF(AW132*1000000+SUM(Y132,AQ132)*10000+SUM(S132,AK132)*100+SUM(M132,AE132)+0.001&gt;AT132*1000000+SUM(V132,AN132)*10000+SUM(P132,AH132)*100+SUM(J132,AB132)+0.004,1,0)=0,"A",IF(IF(AR132*1000000+SUM(T132,AL132)*10000+SUM(N132,AF132)*100+SUM(H132,Z132)+0.006&gt;AU132*1000000+SUM(W132,AO132)*10000+SUM(Q132,AI132)*100+SUM(K132,AC132)+0.003,1,0)+IF(AS132*1000000+SUM(U132,AM132)*10000+SUM(O132,AG132)*100+SUM(I132,AA132)+0.005&gt;AU132*1000000+SUM(W132,AO132)*10000+SUM(Q132,AI132)*100+SUM(K132,AC132)+0.003,1,0)+IF(AT132*1000000+SUM(V132,AN132)*10000+SUM(P132,AH132)*100+SUM(J132,AB132)+0.004&gt;AU132*1000000+SUM(W132,AO132)*10000+SUM(Q132,AI132)*100+SUM(K132,AC132)+0.003,1,0)+IF(AV132*1000000+SUM(X132,AP132)*10000+SUM(R132,AJ132)*100+SUM(L132,AD132)+0.002&gt;AU132*1000000+SUM(W132,AO132)*10000+SUM(Q132,AI132)*100+SUM(K132,AC132)+0.003,1,0)+IF(AW132*1000000+SUM(Y132,AQ132)*10000+SUM(S132,AK132)*100+SUM(M132,AE132)+0.001&gt;AU132*1000000+SUM(W132,AO132)*10000+SUM(Q132,AI132)*100+SUM(K132,AC132)+0.003,1,0)=0,"S",IF(IF(AR132*1000000+SUM(T132,AL132)*10000+SUM(N132,AF132)*100+SUM(H132,Z132)+0.006&gt;AV132*1000000+SUM(X132,AP132)*10000+SUM(R132,AJ132)*100+SUM(L132,AD132)+0.002,1,0)+IF(AS132*1000000+SUM(U132,AM132)*10000+SUM(O132,AG132)*100+SUM(I132,AA132)+0.005&gt;AV132*1000000+SUM(X132,AP132)*10000+SUM(R132,AJ132)*100+SUM(L132,AD132)+0.002,1,0)+IF(AT132*1000000+SUM(V132,AN132)*10000+SUM(P132,AH132)*100+SUM(J132,AB132)+0.004&gt;AV132*1000000+SUM(X132,AP132)*10000+SUM(R132,AJ132)*100+SUM(L132,AD132)+0.002,1,0)+IF(AU132*1000000+SUM(W132,AO132)*10000+SUM(Q132,AI132)*100+SUM(K132,AC132)+0.003&gt;AV132*1000000+SUM(X132,AP132)*10000+SUM(R132,AJ132)*100+SUM(L132,AD132)+0.002,1,0)+IF(AW132*1000000+SUM(Y132,AQ132)*10000+SUM(S132,AK132)*100+SUM(M132,AE132)+0.001&gt;AV132*1000000+SUM(X132,AP132)*10000+SUM(R132,AJ132)*100+SUM(L132,AD132)+0.002,1,0)=0,"E",IF(IF(AR132*1000000+SUM(T132,AL132)*10000+SUM(N132,AF132)*100+SUM(H132,Z132)+0.006&gt;AW132*1000000+SUM(Y132,AQ132)*10000+SUM(S132,AK132)*100+SUM(M132,AE132)+0.001,1,0)+IF(AS132*1000000+SUM(U132,AM132)*10000+SUM(O132,AG132)*100+SUM(I132,AA132)+0.005&gt;AW132*1000000+SUM(Y132,AQ132)*10000+SUM(S132,AK132)*100+SUM(M132,AE132)+0.001,1,0)+IF(AT132*1000000+SUM(V132,AN132)*10000+SUM(P132,AH132)*100+SUM(J132,AB132)+0.004&gt;AW132*1000000+SUM(Y132,AQ132)*10000+SUM(S132,AK132)*100+SUM(M132,AE132)+0.001,1,0)+IF(AU132*1000000+SUM(W132,AO132)*10000+SUM(Q132,AI132)*100+SUM(K132,AC132)+0.003&gt;AW132*1000000+SUM(Y132,AQ132)*10000+SUM(S132,AK132)*100+SUM(M132,AE132)+0.001,1,0)+IF(AV132*1000000+SUM(X132,AP132)*10000+SUM(R132,AJ132)*100+SUM(L132,AD132)+0.002&gt;AW132*1000000+SUM(Y132,AQ132)*10000+SUM(S132,AK132)*100+SUM(M132,AE132)+0.001,1,0)=0,"C",""))))))&amp;IF(IF(AS132*1000000+SUM(U132,AM132)*10000+SUM(O132,AG132)*100+SUM(I132,AA132)+0.005&gt;AR132*1000000+SUM(T132,AL132)*10000+SUM(N132,AF132)*100+SUM(H132,Z132)+0.006,1,0)+IF(AT132*1000000+SUM(V132,AN132)*10000+SUM(P132,AH132)*100+SUM(J132,AB132)+0.004&gt;AR132*1000000+SUM(T132,AL132)*10000+SUM(N132,AF132)*100+SUM(H132,Z132)+0.006,1,0)+IF(AU132*1000000+SUM(W132,AO132)*10000+SUM(Q132,AI132)*100+SUM(K132,AC132)+0.003&gt;AR132*1000000+SUM(T132,AL132)*10000+SUM(N132,AF132)*100+SUM(H132,Z132)+0.006,1,0)+IF(AV132*1000000+SUM(X132,AP132)*10000+SUM(R132,AJ132)*100+SUM(L132,AD132)+0.002&gt;AR132*1000000+SUM(T132,AL132)*10000+SUM(N132,AF132)*100+SUM(H132,Z132)+0.006,1,0)+IF(AW132*1000000+SUM(Y132,AQ132)*10000+SUM(S132,AK132)*100+SUM(M132,AE132)+0.001&gt;AR132*1000000+SUM(T132,AL132)*10000+SUM(N132,AF132)*100+SUM(H132,Z132)+0.006,1,0)=1,"R",IF(IF(AR132*1000000+SUM(T132,AL132)*10000+SUM(N132,AF132)*100+SUM(H132,Z132)+0.006&gt;AS132*1000000+SUM(U132,AM132)*10000+SUM(O132,AG132)*100+SUM(I132,AA132)+0.005,1,0)+IF(AT132*1000000+SUM(V132,AN132)*10000+SUM(P132,AH132)*100+SUM(J132,AB132)+0.004&gt;AS132*1000000+SUM(U132,AM132)*10000+SUM(O132,AG132)*100+SUM(I132,AA132)+0.005,1,0)+IF(AU132*1000000+SUM(W132,AO132)*10000+SUM(Q132,AI132)*100+SUM(K132,AC132)+0.003&gt;AS132*1000000+SUM(U132,AM132)*10000+SUM(O132,AG132)*100+SUM(I132,AA132)+0.005,1,0)+IF(AV132*1000000+SUM(X132,AP132)*10000+SUM(R132,AJ132)*100+SUM(L132,AD132)+0.002&gt;AS132*1000000+SUM(U132,AM132)*10000+SUM(O132,AG132)*100+SUM(I132,AA132)+0.005,1,0)+IF(AW132*1000000+SUM(Y132,AQ132)*10000+SUM(S132,AK132)*100+SUM(M132,AE132)+0.001&gt;AS132*1000000+SUM(U132,AM132)*10000+SUM(O132,AG132)*100+SUM(I132,AA132)+0.005,1,0)=1,"I",IF(IF(AR132*1000000+SUM(T132,AL132)*10000+SUM(N132,AF132)*100+SUM(H132,Z132)+0.006&gt;AT132*1000000+SUM(V132,AN132)*10000+SUM(P132,AH132)*100+SUM(J132,AB132)+0.004,1,0)+IF(AS132*1000000+SUM(U132,AM132)*10000+SUM(O132,AG132)*100+SUM(I132,AA132)+0.005&gt;AT132*1000000+SUM(V132,AN132)*10000+SUM(P132,AH132)*100+SUM(J132,AB132)+0.004,1,0)+IF(AU132*1000000+SUM(W132,AO132)*10000+SUM(Q132,AI132)*100+SUM(K132,AC132)+0.003&gt;AT132*1000000+SUM(V132,AN132)*10000+SUM(P132,AH132)*100+SUM(J132,AB132)+0.004,1,0)+IF(AV132*1000000+SUM(X132,AP132)*10000+SUM(R132,AJ132)*100+SUM(L132,AD132)+0.002&gt;AT132*1000000+SUM(V132,AN132)*10000+SUM(P132,AH132)*100+SUM(J132,AB132)+0.004,1,0)+IF(AW132*1000000+SUM(Y132,AQ132)*10000+SUM(S132,AK132)*100+SUM(M132,AE132)+0.001&gt;AT132*1000000+SUM(V132,AN132)*10000+SUM(P132,AH132)*100+SUM(J132,AB132)+0.004,1,0)=1,"A",IF(IF(AR132*1000000+SUM(T132,AL132)*10000+SUM(N132,AF132)*100+SUM(H132,Z132)+0.006&gt;AU132*1000000+SUM(W132,AO132)*10000+SUM(Q132,AI132)*100+SUM(K132,AC132)+0.003,1,0)+IF(AS132*1000000+SUM(U132,AM132)*10000+SUM(O132,AG132)*100+SUM(I132,AA132)+0.005&gt;AU132*1000000+SUM(W132,AO132)*10000+SUM(Q132,AI132)*100+SUM(K132,AC132)+0.003,1,0)+IF(AT132*1000000+SUM(V132,AN132)*10000+SUM(P132,AH132)*100+SUM(J132,AB132)+0.004&gt;AU132*1000000+SUM(W132,AO132)*10000+SUM(Q132,AI132)*100+SUM(K132,AC132)+0.003,1,0)+IF(AV132*1000000+SUM(X132,AP132)*10000+SUM(R132,AJ132)*100+SUM(L132,AD132)+0.002&gt;AU132*1000000+SUM(W132,AO132)*10000+SUM(Q132,AI132)*100+SUM(K132,AC132)+0.003,1,0)+IF(AW132*1000000+SUM(Y132,AQ132)*10000+SUM(S132,AK132)*100+SUM(M132,AE132)+0.001&gt;AU132*1000000+SUM(W132,AO132)*10000+SUM(Q132,AI132)*100+SUM(K132,AC132)+0.003,1,0)=1,"S",IF(IF(AR132*1000000+SUM(T132,AL132)*10000+SUM(N132,AF132)*100+SUM(H132,Z132)+0.006&gt;AV132*1000000+SUM(X132,AP132)*10000+SUM(R132,AJ132)*100+SUM(L132,AD132)+0.002,1,0)+IF(AS132*1000000+SUM(U132,AM132)*10000+SUM(O132,AG132)*100+SUM(I132,AA132)+0.005&gt;AV132*1000000+SUM(X132,AP132)*10000+SUM(R132,AJ132)*100+SUM(L132,AD132)+0.002,1,0)+IF(AT132*1000000+SUM(V132,AN132)*10000+SUM(P132,AH132)*100+SUM(J132,AB132)+0.004&gt;AV132*1000000+SUM(X132,AP132)*10000+SUM(R132,AJ132)*100+SUM(L132,AD132)+0.002,1,0)+IF(AU132*1000000+SUM(W132,AO132)*10000+SUM(Q132,AI132)*100+SUM(K132,AC132)+0.003&gt;AV132*1000000+SUM(X132,AP132)*10000+SUM(R132,AJ132)*100+SUM(L132,AD132)+0.002,1,0)+IF(AW132*1000000+SUM(Y132,AQ132)*10000+SUM(S132,AK132)*100+SUM(M132,AE132)+0.001&gt;AV132*1000000+SUM(X132,AP132)*10000+SUM(R132,AJ132)*100+SUM(L132,AD132)+0.002,1,0)=1,"E",IF(IF(AR132*1000000+SUM(T132,AL132)*10000+SUM(N132,AF132)*100+SUM(H132,Z132)+0.006&gt;AW132*1000000+SUM(Y132,AQ132)*10000+SUM(S132,AK132)*100+SUM(M132,AE132)+0.001,1,0)+IF(AS132*1000000+SUM(U132,AM132)*10000+SUM(O132,AG132)*100+SUM(I132,AA132)+0.005&gt;AW132*1000000+SUM(Y132,AQ132)*10000+SUM(S132,AK132)*100+SUM(M132,AE132)+0.001,1,0)+IF(AT132*1000000+SUM(V132,AN132)*10000+SUM(P132,AH132)*100+SUM(J132,AB132)+0.004&gt;AW132*1000000+SUM(Y132,AQ132)*10000+SUM(S132,AK132)*100+SUM(M132,AE132)+0.001,1,0)+IF(AU132*1000000+SUM(W132,AO132)*10000+SUM(Q132,AI132)*100+SUM(K132,AC132)+0.003&gt;AW132*1000000+SUM(Y132,AQ132)*10000+SUM(S132,AK132)*100+SUM(M132,AE132)+0.001,1,0)+IF(AV132*1000000+SUM(X132,AP132)*10000+SUM(R132,AJ132)*100+SUM(L132,AD132)+0.002&gt;AW132*1000000+SUM(Y132,AQ132)*10000+SUM(S132,AK132)*100+SUM(M132,AE132)+0.001,1,0)=1,"C",""))))))&amp;IF(IF(AS132*1000000+SUM(U132,AM132)*10000+SUM(O132,AG132)*100+SUM(I132,AA132)+0.005&gt;AR132*1000000+SUM(T132,AL132)*10000+SUM(N132,AF132)*100+SUM(H132,Z132)+0.006,1,0)+IF(AT132*1000000+SUM(V132,AN132)*10000+SUM(P132,AH132)*100+SUM(J132,AB132)+0.004&gt;AR132*1000000+SUM(T132,AL132)*10000+SUM(N132,AF132)*100+SUM(H132,Z132)+0.006,1,0)+IF(AU132*1000000+SUM(W132,AO132)*10000+SUM(Q132,AI132)*100+SUM(K132,AC132)+0.003&gt;AR132*1000000+SUM(T132,AL132)*10000+SUM(N132,AF132)*100+SUM(H132,Z132)+0.006,1,0)+IF(AV132*1000000+SUM(X132,AP132)*10000+SUM(R132,AJ132)*100+SUM(L132,AD132)+0.002&gt;AR132*1000000+SUM(T132,AL132)*10000+SUM(N132,AF132)*100+SUM(H132,Z132)+0.006,1,0)+IF(AW132*1000000+SUM(Y132,AQ132)*10000+SUM(S132,AK132)*100+SUM(M132,AE132)+0.001&gt;AR132*1000000+SUM(T132,AL132)*10000+SUM(N132,AF132)*100+SUM(H132,Z132)+0.006,1,0)=2,"R",IF(IF(AR132*1000000+SUM(T132,AL132)*10000+SUM(N132,AF132)*100+SUM(H132,Z132)+0.006&gt;AS132*1000000+SUM(U132,AM132)*10000+SUM(O132,AG132)*100+SUM(I132,AA132)+0.005,1,0)+IF(AT132*1000000+SUM(V132,AN132)*10000+SUM(P132,AH132)*100+SUM(J132,AB132)+0.004&gt;AS132*1000000+SUM(U132,AM132)*10000+SUM(O132,AG132)*100+SUM(I132,AA132)+0.005,1,0)+IF(AU132*1000000+SUM(W132,AO132)*10000+SUM(Q132,AI132)*100+SUM(K132,AC132)+0.003&gt;AS132*1000000+SUM(U132,AM132)*10000+SUM(O132,AG132)*100+SUM(I132,AA132)+0.005,1,0)+IF(AV132*1000000+SUM(X132,AP132)*10000+SUM(R132,AJ132)*100+SUM(L132,AD132)+0.002&gt;AS132*1000000+SUM(U132,AM132)*10000+SUM(O132,AG132)*100+SUM(I132,AA132)+0.005,1,0)+IF(AW132*1000000+SUM(Y132,AQ132)*10000+SUM(S132,AK132)*100+SUM(M132,AE132)+0.001&gt;AS132*1000000+SUM(U132,AM132)*10000+SUM(O132,AG132)*100+SUM(I132,AA132)+0.005,1,0)=2,"I",IF(IF(AR132*1000000+SUM(T132,AL132)*10000+SUM(N132,AF132)*100+SUM(H132,Z132)+0.006&gt;AT132*1000000+SUM(V132,AN132)*10000+SUM(P132,AH132)*100+SUM(J132,AB132)+0.004,1,0)+IF(AS132*1000000+SUM(U132,AM132)*10000+SUM(O132,AG132)*100+SUM(I132,AA132)+0.005&gt;AT132*1000000+SUM(V132,AN132)*10000+SUM(P132,AH132)*100+SUM(J132,AB132)+0.004,1,0)+IF(AU132*1000000+SUM(W132,AO132)*10000+SUM(Q132,AI132)*100+SUM(K132,AC132)+0.003&gt;AT132*1000000+SUM(V132,AN132)*10000+SUM(P132,AH132)*100+SUM(J132,AB132)+0.004,1,0)+IF(AV132*1000000+SUM(X132,AP132)*10000+SUM(R132,AJ132)*100+SUM(L132,AD132)+0.002&gt;AT132*1000000+SUM(V132,AN132)*10000+SUM(P132,AH132)*100+SUM(J132,AB132)+0.004,1,0)+IF(AW132*1000000+SUM(Y132,AQ132)*10000+SUM(S132,AK132)*100+SUM(M132,AE132)+0.001&gt;AT132*1000000+SUM(V132,AN132)*10000+SUM(P132,AH132)*100+SUM(J132,AB132)+0.004,1,0)=2,"A",IF(IF(AR132*1000000+SUM(T132,AL132)*10000+SUM(N132,AF132)*100+SUM(H132,Z132)+0.006&gt;AU132*1000000+SUM(W132,AO132)*10000+SUM(Q132,AI132)*100+SUM(K132,AC132)+0.003,1,0)+IF(AS132*1000000+SUM(U132,AM132)*10000+SUM(O132,AG132)*100+SUM(I132,AA132)+0.005&gt;AU132*1000000+SUM(W132,AO132)*10000+SUM(Q132,AI132)*100+SUM(K132,AC132)+0.003,1,0)+IF(AT132*1000000+SUM(V132,AN132)*10000+SUM(P132,AH132)*100+SUM(J132,AB132)+0.004&gt;AU132*1000000+SUM(W132,AO132)*10000+SUM(Q132,AI132)*100+SUM(K132,AC132)+0.003,1,0)+IF(AV132*1000000+SUM(X132,AP132)*10000+SUM(R132,AJ132)*100+SUM(L132,AD132)+0.002&gt;AU132*1000000+SUM(W132,AO132)*10000+SUM(Q132,AI132)*100+SUM(K132,AC132)+0.003,1,0)+IF(AW132*1000000+SUM(Y132,AQ132)*10000+SUM(S132,AK132)*100+SUM(M132,AE132)+0.001&gt;AU132*1000000+SUM(W132,AO132)*10000+SUM(Q132,AI132)*100+SUM(K132,AC132)+0.003,1,0)=2,"S",IF(IF(AR132*1000000+SUM(T132,AL132)*10000+SUM(N132,AF132)*100+SUM(H132,Z132)+0.006&gt;AV132*1000000+SUM(X132,AP132)*10000+SUM(R132,AJ132)*100+SUM(L132,AD132)+0.002,1,0)+IF(AS132*1000000+SUM(U132,AM132)*10000+SUM(O132,AG132)*100+SUM(I132,AA132)+0.005&gt;AV132*1000000+SUM(X132,AP132)*10000+SUM(R132,AJ132)*100+SUM(L132,AD132)+0.002,1,0)+IF(AT132*1000000+SUM(V132,AN132)*10000+SUM(P132,AH132)*100+SUM(J132,AB132)+0.004&gt;AV132*1000000+SUM(X132,AP132)*10000+SUM(R132,AJ132)*100+SUM(L132,AD132)+0.002,1,0)+IF(AU132*1000000+SUM(W132,AO132)*10000+SUM(Q132,AI132)*100+SUM(K132,AC132)+0.003&gt;AV132*1000000+SUM(X132,AP132)*10000+SUM(R132,AJ132)*100+SUM(L132,AD132)+0.002,1,0)+IF(AW132*1000000+SUM(Y132,AQ132)*10000+SUM(S132,AK132)*100+SUM(M132,AE132)+0.001&gt;AV132*1000000+SUM(X132,AP132)*10000+SUM(R132,AJ132)*100+SUM(L132,AD132)+0.002,1,0)=2,"E",IF(IF(AR132*1000000+SUM(T132,AL132)*10000+SUM(N132,AF132)*100+SUM(H132,Z132)+0.006&gt;AW132*1000000+SUM(Y132,AQ132)*10000+SUM(S132,AK132)*100+SUM(M132,AE132)+0.001,1,0)+IF(AS132*1000000+SUM(U132,AM132)*10000+SUM(O132,AG132)*100+SUM(I132,AA132)+0.005&gt;AW132*1000000+SUM(Y132,AQ132)*10000+SUM(S132,AK132)*100+SUM(M132,AE132)+0.001,1,0)+IF(AT132*1000000+SUM(V132,AN132)*10000+SUM(P132,AH132)*100+SUM(J132,AB132)+0.004&gt;AW132*1000000+SUM(Y132,AQ132)*10000+SUM(S132,AK132)*100+SUM(M132,AE132)+0.001,1,0)+IF(AU132*1000000+SUM(W132,AO132)*10000+SUM(Q132,AI132)*100+SUM(K132,AC132)+0.003&gt;AW132*1000000+SUM(Y132,AQ132)*10000+SUM(S132,AK132)*100+SUM(M132,AE132)+0.001,1,0)+IF(AV132*1000000+SUM(X132,AP132)*10000+SUM(R132,AJ132)*100+SUM(L132,AD132)+0.002&gt;AW132*1000000+SUM(Y132,AQ132)*10000+SUM(S132,AK132)*100+SUM(M132,AE132)+0.001,1,0)=2,"C","")))))))</x:f>
      </x:c>
      <x:c r="AY132" s="27" t="str">
        <x:f>IF(C132="","",IF(LEFT(AX132,1)="R","นักปฏิบัติ",IF(LEFT(AX132,1)="I","นักคิดวิเคราะห์",IF(LEFT(AX132,1)="A","นักสร้างสรรค์",IF(LEFT(AX132,1)="S","ผู้เข้าใจผู้คน",IF(LEFT(AX132,1)="E","ผู้นำการเปลี่ยนแปลง","ผู้จัดระบบ"))))))</x:f>
      </x:c>
    </x:row>
    <x:row r="133">
      <x:c r="A133" s="27"/>
      <x:c r="B133" s="28"/>
      <x:c r="C133" s="27"/>
      <x:c r="D133" s="27"/>
      <x:c r="E133" s="27"/>
      <x:c r="F133" s="27"/>
      <x:c r="G133" s="27"/>
      <x:c r="H133" s="27"/>
      <x:c r="I133" s="27"/>
      <x:c r="J133" s="27"/>
      <x:c r="K133" s="27"/>
      <x:c r="L133" s="27"/>
      <x:c r="M133" s="27"/>
      <x:c r="N133" s="27"/>
      <x:c r="O133" s="27"/>
      <x:c r="P133" s="27"/>
      <x:c r="Q133" s="27"/>
      <x:c r="R133" s="27"/>
      <x:c r="S133" s="27"/>
      <x:c r="T133" s="27"/>
      <x:c r="U133" s="27"/>
      <x:c r="V133" s="27"/>
      <x:c r="W133" s="27"/>
      <x:c r="X133" s="27"/>
      <x:c r="Y133" s="27"/>
      <x:c r="Z133" s="27"/>
      <x:c r="AA133" s="27"/>
      <x:c r="AB133" s="27"/>
      <x:c r="AC133" s="27"/>
      <x:c r="AD133" s="27"/>
      <x:c r="AE133" s="27"/>
      <x:c r="AF133" s="27"/>
      <x:c r="AG133" s="27"/>
      <x:c r="AH133" s="27"/>
      <x:c r="AI133" s="27"/>
      <x:c r="AJ133" s="27"/>
      <x:c r="AK133" s="27"/>
      <x:c r="AL133" s="27"/>
      <x:c r="AM133" s="27"/>
      <x:c r="AN133" s="27"/>
      <x:c r="AO133" s="27"/>
      <x:c r="AP133" s="27"/>
      <x:c r="AQ133" s="27"/>
      <x:c r="AR133" s="27" t="str">
        <x:f>IF(C133="","",SUM(H133,N133,T133,Z133,AF133,AL133))</x:f>
      </x:c>
      <x:c r="AS133" s="27" t="str">
        <x:f>IF(C133="","",SUM(I133,O133,U133,AA133,AG133,AM133))</x:f>
      </x:c>
      <x:c r="AT133" s="27" t="str">
        <x:f>IF(C133="","",SUM(J133,P133,V133,AB133,AH133,AN133))</x:f>
      </x:c>
      <x:c r="AU133" s="27" t="str">
        <x:f>IF(C133="","",SUM(K133,Q133,W133,AC133,AI133,AO133))</x:f>
      </x:c>
      <x:c r="AV133" s="27" t="str">
        <x:f>IF(C133="","",SUM(L133,R133,X133,AD133,AJ133,AP133))</x:f>
      </x:c>
      <x:c r="AW133" s="27" t="str">
        <x:f>IF(C133="","",SUM(M133,S133,Y133,AE133,AK133,AQ133))</x:f>
      </x:c>
      <x:c r="AX133" s="27" t="str">
        <x:f>IF(C133="","",IF(IF(AS133*1000000+SUM(U133,AM133)*10000+SUM(O133,AG133)*100+SUM(I133,AA133)+0.005&gt;AR133*1000000+SUM(T133,AL133)*10000+SUM(N133,AF133)*100+SUM(H133,Z133)+0.006,1,0)+IF(AT133*1000000+SUM(V133,AN133)*10000+SUM(P133,AH133)*100+SUM(J133,AB133)+0.004&gt;AR133*1000000+SUM(T133,AL133)*10000+SUM(N133,AF133)*100+SUM(H133,Z133)+0.006,1,0)+IF(AU133*1000000+SUM(W133,AO133)*10000+SUM(Q133,AI133)*100+SUM(K133,AC133)+0.003&gt;AR133*1000000+SUM(T133,AL133)*10000+SUM(N133,AF133)*100+SUM(H133,Z133)+0.006,1,0)+IF(AV133*1000000+SUM(X133,AP133)*10000+SUM(R133,AJ133)*100+SUM(L133,AD133)+0.002&gt;AR133*1000000+SUM(T133,AL133)*10000+SUM(N133,AF133)*100+SUM(H133,Z133)+0.006,1,0)+IF(AW133*1000000+SUM(Y133,AQ133)*10000+SUM(S133,AK133)*100+SUM(M133,AE133)+0.001&gt;AR133*1000000+SUM(T133,AL133)*10000+SUM(N133,AF133)*100+SUM(H133,Z133)+0.006,1,0)=0,"R",IF(IF(AR133*1000000+SUM(T133,AL133)*10000+SUM(N133,AF133)*100+SUM(H133,Z133)+0.006&gt;AS133*1000000+SUM(U133,AM133)*10000+SUM(O133,AG133)*100+SUM(I133,AA133)+0.005,1,0)+IF(AT133*1000000+SUM(V133,AN133)*10000+SUM(P133,AH133)*100+SUM(J133,AB133)+0.004&gt;AS133*1000000+SUM(U133,AM133)*10000+SUM(O133,AG133)*100+SUM(I133,AA133)+0.005,1,0)+IF(AU133*1000000+SUM(W133,AO133)*10000+SUM(Q133,AI133)*100+SUM(K133,AC133)+0.003&gt;AS133*1000000+SUM(U133,AM133)*10000+SUM(O133,AG133)*100+SUM(I133,AA133)+0.005,1,0)+IF(AV133*1000000+SUM(X133,AP133)*10000+SUM(R133,AJ133)*100+SUM(L133,AD133)+0.002&gt;AS133*1000000+SUM(U133,AM133)*10000+SUM(O133,AG133)*100+SUM(I133,AA133)+0.005,1,0)+IF(AW133*1000000+SUM(Y133,AQ133)*10000+SUM(S133,AK133)*100+SUM(M133,AE133)+0.001&gt;AS133*1000000+SUM(U133,AM133)*10000+SUM(O133,AG133)*100+SUM(I133,AA133)+0.005,1,0)=0,"I",IF(IF(AR133*1000000+SUM(T133,AL133)*10000+SUM(N133,AF133)*100+SUM(H133,Z133)+0.006&gt;AT133*1000000+SUM(V133,AN133)*10000+SUM(P133,AH133)*100+SUM(J133,AB133)+0.004,1,0)+IF(AS133*1000000+SUM(U133,AM133)*10000+SUM(O133,AG133)*100+SUM(I133,AA133)+0.005&gt;AT133*1000000+SUM(V133,AN133)*10000+SUM(P133,AH133)*100+SUM(J133,AB133)+0.004,1,0)+IF(AU133*1000000+SUM(W133,AO133)*10000+SUM(Q133,AI133)*100+SUM(K133,AC133)+0.003&gt;AT133*1000000+SUM(V133,AN133)*10000+SUM(P133,AH133)*100+SUM(J133,AB133)+0.004,1,0)+IF(AV133*1000000+SUM(X133,AP133)*10000+SUM(R133,AJ133)*100+SUM(L133,AD133)+0.002&gt;AT133*1000000+SUM(V133,AN133)*10000+SUM(P133,AH133)*100+SUM(J133,AB133)+0.004,1,0)+IF(AW133*1000000+SUM(Y133,AQ133)*10000+SUM(S133,AK133)*100+SUM(M133,AE133)+0.001&gt;AT133*1000000+SUM(V133,AN133)*10000+SUM(P133,AH133)*100+SUM(J133,AB133)+0.004,1,0)=0,"A",IF(IF(AR133*1000000+SUM(T133,AL133)*10000+SUM(N133,AF133)*100+SUM(H133,Z133)+0.006&gt;AU133*1000000+SUM(W133,AO133)*10000+SUM(Q133,AI133)*100+SUM(K133,AC133)+0.003,1,0)+IF(AS133*1000000+SUM(U133,AM133)*10000+SUM(O133,AG133)*100+SUM(I133,AA133)+0.005&gt;AU133*1000000+SUM(W133,AO133)*10000+SUM(Q133,AI133)*100+SUM(K133,AC133)+0.003,1,0)+IF(AT133*1000000+SUM(V133,AN133)*10000+SUM(P133,AH133)*100+SUM(J133,AB133)+0.004&gt;AU133*1000000+SUM(W133,AO133)*10000+SUM(Q133,AI133)*100+SUM(K133,AC133)+0.003,1,0)+IF(AV133*1000000+SUM(X133,AP133)*10000+SUM(R133,AJ133)*100+SUM(L133,AD133)+0.002&gt;AU133*1000000+SUM(W133,AO133)*10000+SUM(Q133,AI133)*100+SUM(K133,AC133)+0.003,1,0)+IF(AW133*1000000+SUM(Y133,AQ133)*10000+SUM(S133,AK133)*100+SUM(M133,AE133)+0.001&gt;AU133*1000000+SUM(W133,AO133)*10000+SUM(Q133,AI133)*100+SUM(K133,AC133)+0.003,1,0)=0,"S",IF(IF(AR133*1000000+SUM(T133,AL133)*10000+SUM(N133,AF133)*100+SUM(H133,Z133)+0.006&gt;AV133*1000000+SUM(X133,AP133)*10000+SUM(R133,AJ133)*100+SUM(L133,AD133)+0.002,1,0)+IF(AS133*1000000+SUM(U133,AM133)*10000+SUM(O133,AG133)*100+SUM(I133,AA133)+0.005&gt;AV133*1000000+SUM(X133,AP133)*10000+SUM(R133,AJ133)*100+SUM(L133,AD133)+0.002,1,0)+IF(AT133*1000000+SUM(V133,AN133)*10000+SUM(P133,AH133)*100+SUM(J133,AB133)+0.004&gt;AV133*1000000+SUM(X133,AP133)*10000+SUM(R133,AJ133)*100+SUM(L133,AD133)+0.002,1,0)+IF(AU133*1000000+SUM(W133,AO133)*10000+SUM(Q133,AI133)*100+SUM(K133,AC133)+0.003&gt;AV133*1000000+SUM(X133,AP133)*10000+SUM(R133,AJ133)*100+SUM(L133,AD133)+0.002,1,0)+IF(AW133*1000000+SUM(Y133,AQ133)*10000+SUM(S133,AK133)*100+SUM(M133,AE133)+0.001&gt;AV133*1000000+SUM(X133,AP133)*10000+SUM(R133,AJ133)*100+SUM(L133,AD133)+0.002,1,0)=0,"E",IF(IF(AR133*1000000+SUM(T133,AL133)*10000+SUM(N133,AF133)*100+SUM(H133,Z133)+0.006&gt;AW133*1000000+SUM(Y133,AQ133)*10000+SUM(S133,AK133)*100+SUM(M133,AE133)+0.001,1,0)+IF(AS133*1000000+SUM(U133,AM133)*10000+SUM(O133,AG133)*100+SUM(I133,AA133)+0.005&gt;AW133*1000000+SUM(Y133,AQ133)*10000+SUM(S133,AK133)*100+SUM(M133,AE133)+0.001,1,0)+IF(AT133*1000000+SUM(V133,AN133)*10000+SUM(P133,AH133)*100+SUM(J133,AB133)+0.004&gt;AW133*1000000+SUM(Y133,AQ133)*10000+SUM(S133,AK133)*100+SUM(M133,AE133)+0.001,1,0)+IF(AU133*1000000+SUM(W133,AO133)*10000+SUM(Q133,AI133)*100+SUM(K133,AC133)+0.003&gt;AW133*1000000+SUM(Y133,AQ133)*10000+SUM(S133,AK133)*100+SUM(M133,AE133)+0.001,1,0)+IF(AV133*1000000+SUM(X133,AP133)*10000+SUM(R133,AJ133)*100+SUM(L133,AD133)+0.002&gt;AW133*1000000+SUM(Y133,AQ133)*10000+SUM(S133,AK133)*100+SUM(M133,AE133)+0.001,1,0)=0,"C",""))))))&amp;IF(IF(AS133*1000000+SUM(U133,AM133)*10000+SUM(O133,AG133)*100+SUM(I133,AA133)+0.005&gt;AR133*1000000+SUM(T133,AL133)*10000+SUM(N133,AF133)*100+SUM(H133,Z133)+0.006,1,0)+IF(AT133*1000000+SUM(V133,AN133)*10000+SUM(P133,AH133)*100+SUM(J133,AB133)+0.004&gt;AR133*1000000+SUM(T133,AL133)*10000+SUM(N133,AF133)*100+SUM(H133,Z133)+0.006,1,0)+IF(AU133*1000000+SUM(W133,AO133)*10000+SUM(Q133,AI133)*100+SUM(K133,AC133)+0.003&gt;AR133*1000000+SUM(T133,AL133)*10000+SUM(N133,AF133)*100+SUM(H133,Z133)+0.006,1,0)+IF(AV133*1000000+SUM(X133,AP133)*10000+SUM(R133,AJ133)*100+SUM(L133,AD133)+0.002&gt;AR133*1000000+SUM(T133,AL133)*10000+SUM(N133,AF133)*100+SUM(H133,Z133)+0.006,1,0)+IF(AW133*1000000+SUM(Y133,AQ133)*10000+SUM(S133,AK133)*100+SUM(M133,AE133)+0.001&gt;AR133*1000000+SUM(T133,AL133)*10000+SUM(N133,AF133)*100+SUM(H133,Z133)+0.006,1,0)=1,"R",IF(IF(AR133*1000000+SUM(T133,AL133)*10000+SUM(N133,AF133)*100+SUM(H133,Z133)+0.006&gt;AS133*1000000+SUM(U133,AM133)*10000+SUM(O133,AG133)*100+SUM(I133,AA133)+0.005,1,0)+IF(AT133*1000000+SUM(V133,AN133)*10000+SUM(P133,AH133)*100+SUM(J133,AB133)+0.004&gt;AS133*1000000+SUM(U133,AM133)*10000+SUM(O133,AG133)*100+SUM(I133,AA133)+0.005,1,0)+IF(AU133*1000000+SUM(W133,AO133)*10000+SUM(Q133,AI133)*100+SUM(K133,AC133)+0.003&gt;AS133*1000000+SUM(U133,AM133)*10000+SUM(O133,AG133)*100+SUM(I133,AA133)+0.005,1,0)+IF(AV133*1000000+SUM(X133,AP133)*10000+SUM(R133,AJ133)*100+SUM(L133,AD133)+0.002&gt;AS133*1000000+SUM(U133,AM133)*10000+SUM(O133,AG133)*100+SUM(I133,AA133)+0.005,1,0)+IF(AW133*1000000+SUM(Y133,AQ133)*10000+SUM(S133,AK133)*100+SUM(M133,AE133)+0.001&gt;AS133*1000000+SUM(U133,AM133)*10000+SUM(O133,AG133)*100+SUM(I133,AA133)+0.005,1,0)=1,"I",IF(IF(AR133*1000000+SUM(T133,AL133)*10000+SUM(N133,AF133)*100+SUM(H133,Z133)+0.006&gt;AT133*1000000+SUM(V133,AN133)*10000+SUM(P133,AH133)*100+SUM(J133,AB133)+0.004,1,0)+IF(AS133*1000000+SUM(U133,AM133)*10000+SUM(O133,AG133)*100+SUM(I133,AA133)+0.005&gt;AT133*1000000+SUM(V133,AN133)*10000+SUM(P133,AH133)*100+SUM(J133,AB133)+0.004,1,0)+IF(AU133*1000000+SUM(W133,AO133)*10000+SUM(Q133,AI133)*100+SUM(K133,AC133)+0.003&gt;AT133*1000000+SUM(V133,AN133)*10000+SUM(P133,AH133)*100+SUM(J133,AB133)+0.004,1,0)+IF(AV133*1000000+SUM(X133,AP133)*10000+SUM(R133,AJ133)*100+SUM(L133,AD133)+0.002&gt;AT133*1000000+SUM(V133,AN133)*10000+SUM(P133,AH133)*100+SUM(J133,AB133)+0.004,1,0)+IF(AW133*1000000+SUM(Y133,AQ133)*10000+SUM(S133,AK133)*100+SUM(M133,AE133)+0.001&gt;AT133*1000000+SUM(V133,AN133)*10000+SUM(P133,AH133)*100+SUM(J133,AB133)+0.004,1,0)=1,"A",IF(IF(AR133*1000000+SUM(T133,AL133)*10000+SUM(N133,AF133)*100+SUM(H133,Z133)+0.006&gt;AU133*1000000+SUM(W133,AO133)*10000+SUM(Q133,AI133)*100+SUM(K133,AC133)+0.003,1,0)+IF(AS133*1000000+SUM(U133,AM133)*10000+SUM(O133,AG133)*100+SUM(I133,AA133)+0.005&gt;AU133*1000000+SUM(W133,AO133)*10000+SUM(Q133,AI133)*100+SUM(K133,AC133)+0.003,1,0)+IF(AT133*1000000+SUM(V133,AN133)*10000+SUM(P133,AH133)*100+SUM(J133,AB133)+0.004&gt;AU133*1000000+SUM(W133,AO133)*10000+SUM(Q133,AI133)*100+SUM(K133,AC133)+0.003,1,0)+IF(AV133*1000000+SUM(X133,AP133)*10000+SUM(R133,AJ133)*100+SUM(L133,AD133)+0.002&gt;AU133*1000000+SUM(W133,AO133)*10000+SUM(Q133,AI133)*100+SUM(K133,AC133)+0.003,1,0)+IF(AW133*1000000+SUM(Y133,AQ133)*10000+SUM(S133,AK133)*100+SUM(M133,AE133)+0.001&gt;AU133*1000000+SUM(W133,AO133)*10000+SUM(Q133,AI133)*100+SUM(K133,AC133)+0.003,1,0)=1,"S",IF(IF(AR133*1000000+SUM(T133,AL133)*10000+SUM(N133,AF133)*100+SUM(H133,Z133)+0.006&gt;AV133*1000000+SUM(X133,AP133)*10000+SUM(R133,AJ133)*100+SUM(L133,AD133)+0.002,1,0)+IF(AS133*1000000+SUM(U133,AM133)*10000+SUM(O133,AG133)*100+SUM(I133,AA133)+0.005&gt;AV133*1000000+SUM(X133,AP133)*10000+SUM(R133,AJ133)*100+SUM(L133,AD133)+0.002,1,0)+IF(AT133*1000000+SUM(V133,AN133)*10000+SUM(P133,AH133)*100+SUM(J133,AB133)+0.004&gt;AV133*1000000+SUM(X133,AP133)*10000+SUM(R133,AJ133)*100+SUM(L133,AD133)+0.002,1,0)+IF(AU133*1000000+SUM(W133,AO133)*10000+SUM(Q133,AI133)*100+SUM(K133,AC133)+0.003&gt;AV133*1000000+SUM(X133,AP133)*10000+SUM(R133,AJ133)*100+SUM(L133,AD133)+0.002,1,0)+IF(AW133*1000000+SUM(Y133,AQ133)*10000+SUM(S133,AK133)*100+SUM(M133,AE133)+0.001&gt;AV133*1000000+SUM(X133,AP133)*10000+SUM(R133,AJ133)*100+SUM(L133,AD133)+0.002,1,0)=1,"E",IF(IF(AR133*1000000+SUM(T133,AL133)*10000+SUM(N133,AF133)*100+SUM(H133,Z133)+0.006&gt;AW133*1000000+SUM(Y133,AQ133)*10000+SUM(S133,AK133)*100+SUM(M133,AE133)+0.001,1,0)+IF(AS133*1000000+SUM(U133,AM133)*10000+SUM(O133,AG133)*100+SUM(I133,AA133)+0.005&gt;AW133*1000000+SUM(Y133,AQ133)*10000+SUM(S133,AK133)*100+SUM(M133,AE133)+0.001,1,0)+IF(AT133*1000000+SUM(V133,AN133)*10000+SUM(P133,AH133)*100+SUM(J133,AB133)+0.004&gt;AW133*1000000+SUM(Y133,AQ133)*10000+SUM(S133,AK133)*100+SUM(M133,AE133)+0.001,1,0)+IF(AU133*1000000+SUM(W133,AO133)*10000+SUM(Q133,AI133)*100+SUM(K133,AC133)+0.003&gt;AW133*1000000+SUM(Y133,AQ133)*10000+SUM(S133,AK133)*100+SUM(M133,AE133)+0.001,1,0)+IF(AV133*1000000+SUM(X133,AP133)*10000+SUM(R133,AJ133)*100+SUM(L133,AD133)+0.002&gt;AW133*1000000+SUM(Y133,AQ133)*10000+SUM(S133,AK133)*100+SUM(M133,AE133)+0.001,1,0)=1,"C",""))))))&amp;IF(IF(AS133*1000000+SUM(U133,AM133)*10000+SUM(O133,AG133)*100+SUM(I133,AA133)+0.005&gt;AR133*1000000+SUM(T133,AL133)*10000+SUM(N133,AF133)*100+SUM(H133,Z133)+0.006,1,0)+IF(AT133*1000000+SUM(V133,AN133)*10000+SUM(P133,AH133)*100+SUM(J133,AB133)+0.004&gt;AR133*1000000+SUM(T133,AL133)*10000+SUM(N133,AF133)*100+SUM(H133,Z133)+0.006,1,0)+IF(AU133*1000000+SUM(W133,AO133)*10000+SUM(Q133,AI133)*100+SUM(K133,AC133)+0.003&gt;AR133*1000000+SUM(T133,AL133)*10000+SUM(N133,AF133)*100+SUM(H133,Z133)+0.006,1,0)+IF(AV133*1000000+SUM(X133,AP133)*10000+SUM(R133,AJ133)*100+SUM(L133,AD133)+0.002&gt;AR133*1000000+SUM(T133,AL133)*10000+SUM(N133,AF133)*100+SUM(H133,Z133)+0.006,1,0)+IF(AW133*1000000+SUM(Y133,AQ133)*10000+SUM(S133,AK133)*100+SUM(M133,AE133)+0.001&gt;AR133*1000000+SUM(T133,AL133)*10000+SUM(N133,AF133)*100+SUM(H133,Z133)+0.006,1,0)=2,"R",IF(IF(AR133*1000000+SUM(T133,AL133)*10000+SUM(N133,AF133)*100+SUM(H133,Z133)+0.006&gt;AS133*1000000+SUM(U133,AM133)*10000+SUM(O133,AG133)*100+SUM(I133,AA133)+0.005,1,0)+IF(AT133*1000000+SUM(V133,AN133)*10000+SUM(P133,AH133)*100+SUM(J133,AB133)+0.004&gt;AS133*1000000+SUM(U133,AM133)*10000+SUM(O133,AG133)*100+SUM(I133,AA133)+0.005,1,0)+IF(AU133*1000000+SUM(W133,AO133)*10000+SUM(Q133,AI133)*100+SUM(K133,AC133)+0.003&gt;AS133*1000000+SUM(U133,AM133)*10000+SUM(O133,AG133)*100+SUM(I133,AA133)+0.005,1,0)+IF(AV133*1000000+SUM(X133,AP133)*10000+SUM(R133,AJ133)*100+SUM(L133,AD133)+0.002&gt;AS133*1000000+SUM(U133,AM133)*10000+SUM(O133,AG133)*100+SUM(I133,AA133)+0.005,1,0)+IF(AW133*1000000+SUM(Y133,AQ133)*10000+SUM(S133,AK133)*100+SUM(M133,AE133)+0.001&gt;AS133*1000000+SUM(U133,AM133)*10000+SUM(O133,AG133)*100+SUM(I133,AA133)+0.005,1,0)=2,"I",IF(IF(AR133*1000000+SUM(T133,AL133)*10000+SUM(N133,AF133)*100+SUM(H133,Z133)+0.006&gt;AT133*1000000+SUM(V133,AN133)*10000+SUM(P133,AH133)*100+SUM(J133,AB133)+0.004,1,0)+IF(AS133*1000000+SUM(U133,AM133)*10000+SUM(O133,AG133)*100+SUM(I133,AA133)+0.005&gt;AT133*1000000+SUM(V133,AN133)*10000+SUM(P133,AH133)*100+SUM(J133,AB133)+0.004,1,0)+IF(AU133*1000000+SUM(W133,AO133)*10000+SUM(Q133,AI133)*100+SUM(K133,AC133)+0.003&gt;AT133*1000000+SUM(V133,AN133)*10000+SUM(P133,AH133)*100+SUM(J133,AB133)+0.004,1,0)+IF(AV133*1000000+SUM(X133,AP133)*10000+SUM(R133,AJ133)*100+SUM(L133,AD133)+0.002&gt;AT133*1000000+SUM(V133,AN133)*10000+SUM(P133,AH133)*100+SUM(J133,AB133)+0.004,1,0)+IF(AW133*1000000+SUM(Y133,AQ133)*10000+SUM(S133,AK133)*100+SUM(M133,AE133)+0.001&gt;AT133*1000000+SUM(V133,AN133)*10000+SUM(P133,AH133)*100+SUM(J133,AB133)+0.004,1,0)=2,"A",IF(IF(AR133*1000000+SUM(T133,AL133)*10000+SUM(N133,AF133)*100+SUM(H133,Z133)+0.006&gt;AU133*1000000+SUM(W133,AO133)*10000+SUM(Q133,AI133)*100+SUM(K133,AC133)+0.003,1,0)+IF(AS133*1000000+SUM(U133,AM133)*10000+SUM(O133,AG133)*100+SUM(I133,AA133)+0.005&gt;AU133*1000000+SUM(W133,AO133)*10000+SUM(Q133,AI133)*100+SUM(K133,AC133)+0.003,1,0)+IF(AT133*1000000+SUM(V133,AN133)*10000+SUM(P133,AH133)*100+SUM(J133,AB133)+0.004&gt;AU133*1000000+SUM(W133,AO133)*10000+SUM(Q133,AI133)*100+SUM(K133,AC133)+0.003,1,0)+IF(AV133*1000000+SUM(X133,AP133)*10000+SUM(R133,AJ133)*100+SUM(L133,AD133)+0.002&gt;AU133*1000000+SUM(W133,AO133)*10000+SUM(Q133,AI133)*100+SUM(K133,AC133)+0.003,1,0)+IF(AW133*1000000+SUM(Y133,AQ133)*10000+SUM(S133,AK133)*100+SUM(M133,AE133)+0.001&gt;AU133*1000000+SUM(W133,AO133)*10000+SUM(Q133,AI133)*100+SUM(K133,AC133)+0.003,1,0)=2,"S",IF(IF(AR133*1000000+SUM(T133,AL133)*10000+SUM(N133,AF133)*100+SUM(H133,Z133)+0.006&gt;AV133*1000000+SUM(X133,AP133)*10000+SUM(R133,AJ133)*100+SUM(L133,AD133)+0.002,1,0)+IF(AS133*1000000+SUM(U133,AM133)*10000+SUM(O133,AG133)*100+SUM(I133,AA133)+0.005&gt;AV133*1000000+SUM(X133,AP133)*10000+SUM(R133,AJ133)*100+SUM(L133,AD133)+0.002,1,0)+IF(AT133*1000000+SUM(V133,AN133)*10000+SUM(P133,AH133)*100+SUM(J133,AB133)+0.004&gt;AV133*1000000+SUM(X133,AP133)*10000+SUM(R133,AJ133)*100+SUM(L133,AD133)+0.002,1,0)+IF(AU133*1000000+SUM(W133,AO133)*10000+SUM(Q133,AI133)*100+SUM(K133,AC133)+0.003&gt;AV133*1000000+SUM(X133,AP133)*10000+SUM(R133,AJ133)*100+SUM(L133,AD133)+0.002,1,0)+IF(AW133*1000000+SUM(Y133,AQ133)*10000+SUM(S133,AK133)*100+SUM(M133,AE133)+0.001&gt;AV133*1000000+SUM(X133,AP133)*10000+SUM(R133,AJ133)*100+SUM(L133,AD133)+0.002,1,0)=2,"E",IF(IF(AR133*1000000+SUM(T133,AL133)*10000+SUM(N133,AF133)*100+SUM(H133,Z133)+0.006&gt;AW133*1000000+SUM(Y133,AQ133)*10000+SUM(S133,AK133)*100+SUM(M133,AE133)+0.001,1,0)+IF(AS133*1000000+SUM(U133,AM133)*10000+SUM(O133,AG133)*100+SUM(I133,AA133)+0.005&gt;AW133*1000000+SUM(Y133,AQ133)*10000+SUM(S133,AK133)*100+SUM(M133,AE133)+0.001,1,0)+IF(AT133*1000000+SUM(V133,AN133)*10000+SUM(P133,AH133)*100+SUM(J133,AB133)+0.004&gt;AW133*1000000+SUM(Y133,AQ133)*10000+SUM(S133,AK133)*100+SUM(M133,AE133)+0.001,1,0)+IF(AU133*1000000+SUM(W133,AO133)*10000+SUM(Q133,AI133)*100+SUM(K133,AC133)+0.003&gt;AW133*1000000+SUM(Y133,AQ133)*10000+SUM(S133,AK133)*100+SUM(M133,AE133)+0.001,1,0)+IF(AV133*1000000+SUM(X133,AP133)*10000+SUM(R133,AJ133)*100+SUM(L133,AD133)+0.002&gt;AW133*1000000+SUM(Y133,AQ133)*10000+SUM(S133,AK133)*100+SUM(M133,AE133)+0.001,1,0)=2,"C","")))))))</x:f>
      </x:c>
      <x:c r="AY133" s="27" t="str">
        <x:f>IF(C133="","",IF(LEFT(AX133,1)="R","นักปฏิบัติ",IF(LEFT(AX133,1)="I","นักคิดวิเคราะห์",IF(LEFT(AX133,1)="A","นักสร้างสรรค์",IF(LEFT(AX133,1)="S","ผู้เข้าใจผู้คน",IF(LEFT(AX133,1)="E","ผู้นำการเปลี่ยนแปลง","ผู้จัดระบบ"))))))</x:f>
      </x:c>
    </x:row>
    <x:row r="134">
      <x:c r="A134" s="27"/>
      <x:c r="B134" s="28"/>
      <x:c r="C134" s="27"/>
      <x:c r="D134" s="27"/>
      <x:c r="E134" s="27"/>
      <x:c r="F134" s="27"/>
      <x:c r="G134" s="27"/>
      <x:c r="H134" s="27"/>
      <x:c r="I134" s="27"/>
      <x:c r="J134" s="27"/>
      <x:c r="K134" s="27"/>
      <x:c r="L134" s="27"/>
      <x:c r="M134" s="27"/>
      <x:c r="N134" s="27"/>
      <x:c r="O134" s="27"/>
      <x:c r="P134" s="27"/>
      <x:c r="Q134" s="27"/>
      <x:c r="R134" s="27"/>
      <x:c r="S134" s="27"/>
      <x:c r="T134" s="27"/>
      <x:c r="U134" s="27"/>
      <x:c r="V134" s="27"/>
      <x:c r="W134" s="27"/>
      <x:c r="X134" s="27"/>
      <x:c r="Y134" s="27"/>
      <x:c r="Z134" s="27"/>
      <x:c r="AA134" s="27"/>
      <x:c r="AB134" s="27"/>
      <x:c r="AC134" s="27"/>
      <x:c r="AD134" s="27"/>
      <x:c r="AE134" s="27"/>
      <x:c r="AF134" s="27"/>
      <x:c r="AG134" s="27"/>
      <x:c r="AH134" s="27"/>
      <x:c r="AI134" s="27"/>
      <x:c r="AJ134" s="27"/>
      <x:c r="AK134" s="27"/>
      <x:c r="AL134" s="27"/>
      <x:c r="AM134" s="27"/>
      <x:c r="AN134" s="27"/>
      <x:c r="AO134" s="27"/>
      <x:c r="AP134" s="27"/>
      <x:c r="AQ134" s="27"/>
      <x:c r="AR134" s="27" t="str">
        <x:f>IF(C134="","",SUM(H134,N134,T134,Z134,AF134,AL134))</x:f>
      </x:c>
      <x:c r="AS134" s="27" t="str">
        <x:f>IF(C134="","",SUM(I134,O134,U134,AA134,AG134,AM134))</x:f>
      </x:c>
      <x:c r="AT134" s="27" t="str">
        <x:f>IF(C134="","",SUM(J134,P134,V134,AB134,AH134,AN134))</x:f>
      </x:c>
      <x:c r="AU134" s="27" t="str">
        <x:f>IF(C134="","",SUM(K134,Q134,W134,AC134,AI134,AO134))</x:f>
      </x:c>
      <x:c r="AV134" s="27" t="str">
        <x:f>IF(C134="","",SUM(L134,R134,X134,AD134,AJ134,AP134))</x:f>
      </x:c>
      <x:c r="AW134" s="27" t="str">
        <x:f>IF(C134="","",SUM(M134,S134,Y134,AE134,AK134,AQ134))</x:f>
      </x:c>
      <x:c r="AX134" s="27" t="str">
        <x:f>IF(C134="","",IF(IF(AS134*1000000+SUM(U134,AM134)*10000+SUM(O134,AG134)*100+SUM(I134,AA134)+0.005&gt;AR134*1000000+SUM(T134,AL134)*10000+SUM(N134,AF134)*100+SUM(H134,Z134)+0.006,1,0)+IF(AT134*1000000+SUM(V134,AN134)*10000+SUM(P134,AH134)*100+SUM(J134,AB134)+0.004&gt;AR134*1000000+SUM(T134,AL134)*10000+SUM(N134,AF134)*100+SUM(H134,Z134)+0.006,1,0)+IF(AU134*1000000+SUM(W134,AO134)*10000+SUM(Q134,AI134)*100+SUM(K134,AC134)+0.003&gt;AR134*1000000+SUM(T134,AL134)*10000+SUM(N134,AF134)*100+SUM(H134,Z134)+0.006,1,0)+IF(AV134*1000000+SUM(X134,AP134)*10000+SUM(R134,AJ134)*100+SUM(L134,AD134)+0.002&gt;AR134*1000000+SUM(T134,AL134)*10000+SUM(N134,AF134)*100+SUM(H134,Z134)+0.006,1,0)+IF(AW134*1000000+SUM(Y134,AQ134)*10000+SUM(S134,AK134)*100+SUM(M134,AE134)+0.001&gt;AR134*1000000+SUM(T134,AL134)*10000+SUM(N134,AF134)*100+SUM(H134,Z134)+0.006,1,0)=0,"R",IF(IF(AR134*1000000+SUM(T134,AL134)*10000+SUM(N134,AF134)*100+SUM(H134,Z134)+0.006&gt;AS134*1000000+SUM(U134,AM134)*10000+SUM(O134,AG134)*100+SUM(I134,AA134)+0.005,1,0)+IF(AT134*1000000+SUM(V134,AN134)*10000+SUM(P134,AH134)*100+SUM(J134,AB134)+0.004&gt;AS134*1000000+SUM(U134,AM134)*10000+SUM(O134,AG134)*100+SUM(I134,AA134)+0.005,1,0)+IF(AU134*1000000+SUM(W134,AO134)*10000+SUM(Q134,AI134)*100+SUM(K134,AC134)+0.003&gt;AS134*1000000+SUM(U134,AM134)*10000+SUM(O134,AG134)*100+SUM(I134,AA134)+0.005,1,0)+IF(AV134*1000000+SUM(X134,AP134)*10000+SUM(R134,AJ134)*100+SUM(L134,AD134)+0.002&gt;AS134*1000000+SUM(U134,AM134)*10000+SUM(O134,AG134)*100+SUM(I134,AA134)+0.005,1,0)+IF(AW134*1000000+SUM(Y134,AQ134)*10000+SUM(S134,AK134)*100+SUM(M134,AE134)+0.001&gt;AS134*1000000+SUM(U134,AM134)*10000+SUM(O134,AG134)*100+SUM(I134,AA134)+0.005,1,0)=0,"I",IF(IF(AR134*1000000+SUM(T134,AL134)*10000+SUM(N134,AF134)*100+SUM(H134,Z134)+0.006&gt;AT134*1000000+SUM(V134,AN134)*10000+SUM(P134,AH134)*100+SUM(J134,AB134)+0.004,1,0)+IF(AS134*1000000+SUM(U134,AM134)*10000+SUM(O134,AG134)*100+SUM(I134,AA134)+0.005&gt;AT134*1000000+SUM(V134,AN134)*10000+SUM(P134,AH134)*100+SUM(J134,AB134)+0.004,1,0)+IF(AU134*1000000+SUM(W134,AO134)*10000+SUM(Q134,AI134)*100+SUM(K134,AC134)+0.003&gt;AT134*1000000+SUM(V134,AN134)*10000+SUM(P134,AH134)*100+SUM(J134,AB134)+0.004,1,0)+IF(AV134*1000000+SUM(X134,AP134)*10000+SUM(R134,AJ134)*100+SUM(L134,AD134)+0.002&gt;AT134*1000000+SUM(V134,AN134)*10000+SUM(P134,AH134)*100+SUM(J134,AB134)+0.004,1,0)+IF(AW134*1000000+SUM(Y134,AQ134)*10000+SUM(S134,AK134)*100+SUM(M134,AE134)+0.001&gt;AT134*1000000+SUM(V134,AN134)*10000+SUM(P134,AH134)*100+SUM(J134,AB134)+0.004,1,0)=0,"A",IF(IF(AR134*1000000+SUM(T134,AL134)*10000+SUM(N134,AF134)*100+SUM(H134,Z134)+0.006&gt;AU134*1000000+SUM(W134,AO134)*10000+SUM(Q134,AI134)*100+SUM(K134,AC134)+0.003,1,0)+IF(AS134*1000000+SUM(U134,AM134)*10000+SUM(O134,AG134)*100+SUM(I134,AA134)+0.005&gt;AU134*1000000+SUM(W134,AO134)*10000+SUM(Q134,AI134)*100+SUM(K134,AC134)+0.003,1,0)+IF(AT134*1000000+SUM(V134,AN134)*10000+SUM(P134,AH134)*100+SUM(J134,AB134)+0.004&gt;AU134*1000000+SUM(W134,AO134)*10000+SUM(Q134,AI134)*100+SUM(K134,AC134)+0.003,1,0)+IF(AV134*1000000+SUM(X134,AP134)*10000+SUM(R134,AJ134)*100+SUM(L134,AD134)+0.002&gt;AU134*1000000+SUM(W134,AO134)*10000+SUM(Q134,AI134)*100+SUM(K134,AC134)+0.003,1,0)+IF(AW134*1000000+SUM(Y134,AQ134)*10000+SUM(S134,AK134)*100+SUM(M134,AE134)+0.001&gt;AU134*1000000+SUM(W134,AO134)*10000+SUM(Q134,AI134)*100+SUM(K134,AC134)+0.003,1,0)=0,"S",IF(IF(AR134*1000000+SUM(T134,AL134)*10000+SUM(N134,AF134)*100+SUM(H134,Z134)+0.006&gt;AV134*1000000+SUM(X134,AP134)*10000+SUM(R134,AJ134)*100+SUM(L134,AD134)+0.002,1,0)+IF(AS134*1000000+SUM(U134,AM134)*10000+SUM(O134,AG134)*100+SUM(I134,AA134)+0.005&gt;AV134*1000000+SUM(X134,AP134)*10000+SUM(R134,AJ134)*100+SUM(L134,AD134)+0.002,1,0)+IF(AT134*1000000+SUM(V134,AN134)*10000+SUM(P134,AH134)*100+SUM(J134,AB134)+0.004&gt;AV134*1000000+SUM(X134,AP134)*10000+SUM(R134,AJ134)*100+SUM(L134,AD134)+0.002,1,0)+IF(AU134*1000000+SUM(W134,AO134)*10000+SUM(Q134,AI134)*100+SUM(K134,AC134)+0.003&gt;AV134*1000000+SUM(X134,AP134)*10000+SUM(R134,AJ134)*100+SUM(L134,AD134)+0.002,1,0)+IF(AW134*1000000+SUM(Y134,AQ134)*10000+SUM(S134,AK134)*100+SUM(M134,AE134)+0.001&gt;AV134*1000000+SUM(X134,AP134)*10000+SUM(R134,AJ134)*100+SUM(L134,AD134)+0.002,1,0)=0,"E",IF(IF(AR134*1000000+SUM(T134,AL134)*10000+SUM(N134,AF134)*100+SUM(H134,Z134)+0.006&gt;AW134*1000000+SUM(Y134,AQ134)*10000+SUM(S134,AK134)*100+SUM(M134,AE134)+0.001,1,0)+IF(AS134*1000000+SUM(U134,AM134)*10000+SUM(O134,AG134)*100+SUM(I134,AA134)+0.005&gt;AW134*1000000+SUM(Y134,AQ134)*10000+SUM(S134,AK134)*100+SUM(M134,AE134)+0.001,1,0)+IF(AT134*1000000+SUM(V134,AN134)*10000+SUM(P134,AH134)*100+SUM(J134,AB134)+0.004&gt;AW134*1000000+SUM(Y134,AQ134)*10000+SUM(S134,AK134)*100+SUM(M134,AE134)+0.001,1,0)+IF(AU134*1000000+SUM(W134,AO134)*10000+SUM(Q134,AI134)*100+SUM(K134,AC134)+0.003&gt;AW134*1000000+SUM(Y134,AQ134)*10000+SUM(S134,AK134)*100+SUM(M134,AE134)+0.001,1,0)+IF(AV134*1000000+SUM(X134,AP134)*10000+SUM(R134,AJ134)*100+SUM(L134,AD134)+0.002&gt;AW134*1000000+SUM(Y134,AQ134)*10000+SUM(S134,AK134)*100+SUM(M134,AE134)+0.001,1,0)=0,"C",""))))))&amp;IF(IF(AS134*1000000+SUM(U134,AM134)*10000+SUM(O134,AG134)*100+SUM(I134,AA134)+0.005&gt;AR134*1000000+SUM(T134,AL134)*10000+SUM(N134,AF134)*100+SUM(H134,Z134)+0.006,1,0)+IF(AT134*1000000+SUM(V134,AN134)*10000+SUM(P134,AH134)*100+SUM(J134,AB134)+0.004&gt;AR134*1000000+SUM(T134,AL134)*10000+SUM(N134,AF134)*100+SUM(H134,Z134)+0.006,1,0)+IF(AU134*1000000+SUM(W134,AO134)*10000+SUM(Q134,AI134)*100+SUM(K134,AC134)+0.003&gt;AR134*1000000+SUM(T134,AL134)*10000+SUM(N134,AF134)*100+SUM(H134,Z134)+0.006,1,0)+IF(AV134*1000000+SUM(X134,AP134)*10000+SUM(R134,AJ134)*100+SUM(L134,AD134)+0.002&gt;AR134*1000000+SUM(T134,AL134)*10000+SUM(N134,AF134)*100+SUM(H134,Z134)+0.006,1,0)+IF(AW134*1000000+SUM(Y134,AQ134)*10000+SUM(S134,AK134)*100+SUM(M134,AE134)+0.001&gt;AR134*1000000+SUM(T134,AL134)*10000+SUM(N134,AF134)*100+SUM(H134,Z134)+0.006,1,0)=1,"R",IF(IF(AR134*1000000+SUM(T134,AL134)*10000+SUM(N134,AF134)*100+SUM(H134,Z134)+0.006&gt;AS134*1000000+SUM(U134,AM134)*10000+SUM(O134,AG134)*100+SUM(I134,AA134)+0.005,1,0)+IF(AT134*1000000+SUM(V134,AN134)*10000+SUM(P134,AH134)*100+SUM(J134,AB134)+0.004&gt;AS134*1000000+SUM(U134,AM134)*10000+SUM(O134,AG134)*100+SUM(I134,AA134)+0.005,1,0)+IF(AU134*1000000+SUM(W134,AO134)*10000+SUM(Q134,AI134)*100+SUM(K134,AC134)+0.003&gt;AS134*1000000+SUM(U134,AM134)*10000+SUM(O134,AG134)*100+SUM(I134,AA134)+0.005,1,0)+IF(AV134*1000000+SUM(X134,AP134)*10000+SUM(R134,AJ134)*100+SUM(L134,AD134)+0.002&gt;AS134*1000000+SUM(U134,AM134)*10000+SUM(O134,AG134)*100+SUM(I134,AA134)+0.005,1,0)+IF(AW134*1000000+SUM(Y134,AQ134)*10000+SUM(S134,AK134)*100+SUM(M134,AE134)+0.001&gt;AS134*1000000+SUM(U134,AM134)*10000+SUM(O134,AG134)*100+SUM(I134,AA134)+0.005,1,0)=1,"I",IF(IF(AR134*1000000+SUM(T134,AL134)*10000+SUM(N134,AF134)*100+SUM(H134,Z134)+0.006&gt;AT134*1000000+SUM(V134,AN134)*10000+SUM(P134,AH134)*100+SUM(J134,AB134)+0.004,1,0)+IF(AS134*1000000+SUM(U134,AM134)*10000+SUM(O134,AG134)*100+SUM(I134,AA134)+0.005&gt;AT134*1000000+SUM(V134,AN134)*10000+SUM(P134,AH134)*100+SUM(J134,AB134)+0.004,1,0)+IF(AU134*1000000+SUM(W134,AO134)*10000+SUM(Q134,AI134)*100+SUM(K134,AC134)+0.003&gt;AT134*1000000+SUM(V134,AN134)*10000+SUM(P134,AH134)*100+SUM(J134,AB134)+0.004,1,0)+IF(AV134*1000000+SUM(X134,AP134)*10000+SUM(R134,AJ134)*100+SUM(L134,AD134)+0.002&gt;AT134*1000000+SUM(V134,AN134)*10000+SUM(P134,AH134)*100+SUM(J134,AB134)+0.004,1,0)+IF(AW134*1000000+SUM(Y134,AQ134)*10000+SUM(S134,AK134)*100+SUM(M134,AE134)+0.001&gt;AT134*1000000+SUM(V134,AN134)*10000+SUM(P134,AH134)*100+SUM(J134,AB134)+0.004,1,0)=1,"A",IF(IF(AR134*1000000+SUM(T134,AL134)*10000+SUM(N134,AF134)*100+SUM(H134,Z134)+0.006&gt;AU134*1000000+SUM(W134,AO134)*10000+SUM(Q134,AI134)*100+SUM(K134,AC134)+0.003,1,0)+IF(AS134*1000000+SUM(U134,AM134)*10000+SUM(O134,AG134)*100+SUM(I134,AA134)+0.005&gt;AU134*1000000+SUM(W134,AO134)*10000+SUM(Q134,AI134)*100+SUM(K134,AC134)+0.003,1,0)+IF(AT134*1000000+SUM(V134,AN134)*10000+SUM(P134,AH134)*100+SUM(J134,AB134)+0.004&gt;AU134*1000000+SUM(W134,AO134)*10000+SUM(Q134,AI134)*100+SUM(K134,AC134)+0.003,1,0)+IF(AV134*1000000+SUM(X134,AP134)*10000+SUM(R134,AJ134)*100+SUM(L134,AD134)+0.002&gt;AU134*1000000+SUM(W134,AO134)*10000+SUM(Q134,AI134)*100+SUM(K134,AC134)+0.003,1,0)+IF(AW134*1000000+SUM(Y134,AQ134)*10000+SUM(S134,AK134)*100+SUM(M134,AE134)+0.001&gt;AU134*1000000+SUM(W134,AO134)*10000+SUM(Q134,AI134)*100+SUM(K134,AC134)+0.003,1,0)=1,"S",IF(IF(AR134*1000000+SUM(T134,AL134)*10000+SUM(N134,AF134)*100+SUM(H134,Z134)+0.006&gt;AV134*1000000+SUM(X134,AP134)*10000+SUM(R134,AJ134)*100+SUM(L134,AD134)+0.002,1,0)+IF(AS134*1000000+SUM(U134,AM134)*10000+SUM(O134,AG134)*100+SUM(I134,AA134)+0.005&gt;AV134*1000000+SUM(X134,AP134)*10000+SUM(R134,AJ134)*100+SUM(L134,AD134)+0.002,1,0)+IF(AT134*1000000+SUM(V134,AN134)*10000+SUM(P134,AH134)*100+SUM(J134,AB134)+0.004&gt;AV134*1000000+SUM(X134,AP134)*10000+SUM(R134,AJ134)*100+SUM(L134,AD134)+0.002,1,0)+IF(AU134*1000000+SUM(W134,AO134)*10000+SUM(Q134,AI134)*100+SUM(K134,AC134)+0.003&gt;AV134*1000000+SUM(X134,AP134)*10000+SUM(R134,AJ134)*100+SUM(L134,AD134)+0.002,1,0)+IF(AW134*1000000+SUM(Y134,AQ134)*10000+SUM(S134,AK134)*100+SUM(M134,AE134)+0.001&gt;AV134*1000000+SUM(X134,AP134)*10000+SUM(R134,AJ134)*100+SUM(L134,AD134)+0.002,1,0)=1,"E",IF(IF(AR134*1000000+SUM(T134,AL134)*10000+SUM(N134,AF134)*100+SUM(H134,Z134)+0.006&gt;AW134*1000000+SUM(Y134,AQ134)*10000+SUM(S134,AK134)*100+SUM(M134,AE134)+0.001,1,0)+IF(AS134*1000000+SUM(U134,AM134)*10000+SUM(O134,AG134)*100+SUM(I134,AA134)+0.005&gt;AW134*1000000+SUM(Y134,AQ134)*10000+SUM(S134,AK134)*100+SUM(M134,AE134)+0.001,1,0)+IF(AT134*1000000+SUM(V134,AN134)*10000+SUM(P134,AH134)*100+SUM(J134,AB134)+0.004&gt;AW134*1000000+SUM(Y134,AQ134)*10000+SUM(S134,AK134)*100+SUM(M134,AE134)+0.001,1,0)+IF(AU134*1000000+SUM(W134,AO134)*10000+SUM(Q134,AI134)*100+SUM(K134,AC134)+0.003&gt;AW134*1000000+SUM(Y134,AQ134)*10000+SUM(S134,AK134)*100+SUM(M134,AE134)+0.001,1,0)+IF(AV134*1000000+SUM(X134,AP134)*10000+SUM(R134,AJ134)*100+SUM(L134,AD134)+0.002&gt;AW134*1000000+SUM(Y134,AQ134)*10000+SUM(S134,AK134)*100+SUM(M134,AE134)+0.001,1,0)=1,"C",""))))))&amp;IF(IF(AS134*1000000+SUM(U134,AM134)*10000+SUM(O134,AG134)*100+SUM(I134,AA134)+0.005&gt;AR134*1000000+SUM(T134,AL134)*10000+SUM(N134,AF134)*100+SUM(H134,Z134)+0.006,1,0)+IF(AT134*1000000+SUM(V134,AN134)*10000+SUM(P134,AH134)*100+SUM(J134,AB134)+0.004&gt;AR134*1000000+SUM(T134,AL134)*10000+SUM(N134,AF134)*100+SUM(H134,Z134)+0.006,1,0)+IF(AU134*1000000+SUM(W134,AO134)*10000+SUM(Q134,AI134)*100+SUM(K134,AC134)+0.003&gt;AR134*1000000+SUM(T134,AL134)*10000+SUM(N134,AF134)*100+SUM(H134,Z134)+0.006,1,0)+IF(AV134*1000000+SUM(X134,AP134)*10000+SUM(R134,AJ134)*100+SUM(L134,AD134)+0.002&gt;AR134*1000000+SUM(T134,AL134)*10000+SUM(N134,AF134)*100+SUM(H134,Z134)+0.006,1,0)+IF(AW134*1000000+SUM(Y134,AQ134)*10000+SUM(S134,AK134)*100+SUM(M134,AE134)+0.001&gt;AR134*1000000+SUM(T134,AL134)*10000+SUM(N134,AF134)*100+SUM(H134,Z134)+0.006,1,0)=2,"R",IF(IF(AR134*1000000+SUM(T134,AL134)*10000+SUM(N134,AF134)*100+SUM(H134,Z134)+0.006&gt;AS134*1000000+SUM(U134,AM134)*10000+SUM(O134,AG134)*100+SUM(I134,AA134)+0.005,1,0)+IF(AT134*1000000+SUM(V134,AN134)*10000+SUM(P134,AH134)*100+SUM(J134,AB134)+0.004&gt;AS134*1000000+SUM(U134,AM134)*10000+SUM(O134,AG134)*100+SUM(I134,AA134)+0.005,1,0)+IF(AU134*1000000+SUM(W134,AO134)*10000+SUM(Q134,AI134)*100+SUM(K134,AC134)+0.003&gt;AS134*1000000+SUM(U134,AM134)*10000+SUM(O134,AG134)*100+SUM(I134,AA134)+0.005,1,0)+IF(AV134*1000000+SUM(X134,AP134)*10000+SUM(R134,AJ134)*100+SUM(L134,AD134)+0.002&gt;AS134*1000000+SUM(U134,AM134)*10000+SUM(O134,AG134)*100+SUM(I134,AA134)+0.005,1,0)+IF(AW134*1000000+SUM(Y134,AQ134)*10000+SUM(S134,AK134)*100+SUM(M134,AE134)+0.001&gt;AS134*1000000+SUM(U134,AM134)*10000+SUM(O134,AG134)*100+SUM(I134,AA134)+0.005,1,0)=2,"I",IF(IF(AR134*1000000+SUM(T134,AL134)*10000+SUM(N134,AF134)*100+SUM(H134,Z134)+0.006&gt;AT134*1000000+SUM(V134,AN134)*10000+SUM(P134,AH134)*100+SUM(J134,AB134)+0.004,1,0)+IF(AS134*1000000+SUM(U134,AM134)*10000+SUM(O134,AG134)*100+SUM(I134,AA134)+0.005&gt;AT134*1000000+SUM(V134,AN134)*10000+SUM(P134,AH134)*100+SUM(J134,AB134)+0.004,1,0)+IF(AU134*1000000+SUM(W134,AO134)*10000+SUM(Q134,AI134)*100+SUM(K134,AC134)+0.003&gt;AT134*1000000+SUM(V134,AN134)*10000+SUM(P134,AH134)*100+SUM(J134,AB134)+0.004,1,0)+IF(AV134*1000000+SUM(X134,AP134)*10000+SUM(R134,AJ134)*100+SUM(L134,AD134)+0.002&gt;AT134*1000000+SUM(V134,AN134)*10000+SUM(P134,AH134)*100+SUM(J134,AB134)+0.004,1,0)+IF(AW134*1000000+SUM(Y134,AQ134)*10000+SUM(S134,AK134)*100+SUM(M134,AE134)+0.001&gt;AT134*1000000+SUM(V134,AN134)*10000+SUM(P134,AH134)*100+SUM(J134,AB134)+0.004,1,0)=2,"A",IF(IF(AR134*1000000+SUM(T134,AL134)*10000+SUM(N134,AF134)*100+SUM(H134,Z134)+0.006&gt;AU134*1000000+SUM(W134,AO134)*10000+SUM(Q134,AI134)*100+SUM(K134,AC134)+0.003,1,0)+IF(AS134*1000000+SUM(U134,AM134)*10000+SUM(O134,AG134)*100+SUM(I134,AA134)+0.005&gt;AU134*1000000+SUM(W134,AO134)*10000+SUM(Q134,AI134)*100+SUM(K134,AC134)+0.003,1,0)+IF(AT134*1000000+SUM(V134,AN134)*10000+SUM(P134,AH134)*100+SUM(J134,AB134)+0.004&gt;AU134*1000000+SUM(W134,AO134)*10000+SUM(Q134,AI134)*100+SUM(K134,AC134)+0.003,1,0)+IF(AV134*1000000+SUM(X134,AP134)*10000+SUM(R134,AJ134)*100+SUM(L134,AD134)+0.002&gt;AU134*1000000+SUM(W134,AO134)*10000+SUM(Q134,AI134)*100+SUM(K134,AC134)+0.003,1,0)+IF(AW134*1000000+SUM(Y134,AQ134)*10000+SUM(S134,AK134)*100+SUM(M134,AE134)+0.001&gt;AU134*1000000+SUM(W134,AO134)*10000+SUM(Q134,AI134)*100+SUM(K134,AC134)+0.003,1,0)=2,"S",IF(IF(AR134*1000000+SUM(T134,AL134)*10000+SUM(N134,AF134)*100+SUM(H134,Z134)+0.006&gt;AV134*1000000+SUM(X134,AP134)*10000+SUM(R134,AJ134)*100+SUM(L134,AD134)+0.002,1,0)+IF(AS134*1000000+SUM(U134,AM134)*10000+SUM(O134,AG134)*100+SUM(I134,AA134)+0.005&gt;AV134*1000000+SUM(X134,AP134)*10000+SUM(R134,AJ134)*100+SUM(L134,AD134)+0.002,1,0)+IF(AT134*1000000+SUM(V134,AN134)*10000+SUM(P134,AH134)*100+SUM(J134,AB134)+0.004&gt;AV134*1000000+SUM(X134,AP134)*10000+SUM(R134,AJ134)*100+SUM(L134,AD134)+0.002,1,0)+IF(AU134*1000000+SUM(W134,AO134)*10000+SUM(Q134,AI134)*100+SUM(K134,AC134)+0.003&gt;AV134*1000000+SUM(X134,AP134)*10000+SUM(R134,AJ134)*100+SUM(L134,AD134)+0.002,1,0)+IF(AW134*1000000+SUM(Y134,AQ134)*10000+SUM(S134,AK134)*100+SUM(M134,AE134)+0.001&gt;AV134*1000000+SUM(X134,AP134)*10000+SUM(R134,AJ134)*100+SUM(L134,AD134)+0.002,1,0)=2,"E",IF(IF(AR134*1000000+SUM(T134,AL134)*10000+SUM(N134,AF134)*100+SUM(H134,Z134)+0.006&gt;AW134*1000000+SUM(Y134,AQ134)*10000+SUM(S134,AK134)*100+SUM(M134,AE134)+0.001,1,0)+IF(AS134*1000000+SUM(U134,AM134)*10000+SUM(O134,AG134)*100+SUM(I134,AA134)+0.005&gt;AW134*1000000+SUM(Y134,AQ134)*10000+SUM(S134,AK134)*100+SUM(M134,AE134)+0.001,1,0)+IF(AT134*1000000+SUM(V134,AN134)*10000+SUM(P134,AH134)*100+SUM(J134,AB134)+0.004&gt;AW134*1000000+SUM(Y134,AQ134)*10000+SUM(S134,AK134)*100+SUM(M134,AE134)+0.001,1,0)+IF(AU134*1000000+SUM(W134,AO134)*10000+SUM(Q134,AI134)*100+SUM(K134,AC134)+0.003&gt;AW134*1000000+SUM(Y134,AQ134)*10000+SUM(S134,AK134)*100+SUM(M134,AE134)+0.001,1,0)+IF(AV134*1000000+SUM(X134,AP134)*10000+SUM(R134,AJ134)*100+SUM(L134,AD134)+0.002&gt;AW134*1000000+SUM(Y134,AQ134)*10000+SUM(S134,AK134)*100+SUM(M134,AE134)+0.001,1,0)=2,"C","")))))))</x:f>
      </x:c>
      <x:c r="AY134" s="27" t="str">
        <x:f>IF(C134="","",IF(LEFT(AX134,1)="R","นักปฏิบัติ",IF(LEFT(AX134,1)="I","นักคิดวิเคราะห์",IF(LEFT(AX134,1)="A","นักสร้างสรรค์",IF(LEFT(AX134,1)="S","ผู้เข้าใจผู้คน",IF(LEFT(AX134,1)="E","ผู้นำการเปลี่ยนแปลง","ผู้จัดระบบ"))))))</x:f>
      </x:c>
    </x:row>
    <x:row r="135">
      <x:c r="A135" s="27"/>
      <x:c r="B135" s="28"/>
      <x:c r="C135" s="27"/>
      <x:c r="D135" s="27"/>
      <x:c r="E135" s="27"/>
      <x:c r="F135" s="27"/>
      <x:c r="G135" s="27"/>
      <x:c r="H135" s="27"/>
      <x:c r="I135" s="27"/>
      <x:c r="J135" s="27"/>
      <x:c r="K135" s="27"/>
      <x:c r="L135" s="27"/>
      <x:c r="M135" s="27"/>
      <x:c r="N135" s="27"/>
      <x:c r="O135" s="27"/>
      <x:c r="P135" s="27"/>
      <x:c r="Q135" s="27"/>
      <x:c r="R135" s="27"/>
      <x:c r="S135" s="27"/>
      <x:c r="T135" s="27"/>
      <x:c r="U135" s="27"/>
      <x:c r="V135" s="27"/>
      <x:c r="W135" s="27"/>
      <x:c r="X135" s="27"/>
      <x:c r="Y135" s="27"/>
      <x:c r="Z135" s="27"/>
      <x:c r="AA135" s="27"/>
      <x:c r="AB135" s="27"/>
      <x:c r="AC135" s="27"/>
      <x:c r="AD135" s="27"/>
      <x:c r="AE135" s="27"/>
      <x:c r="AF135" s="27"/>
      <x:c r="AG135" s="27"/>
      <x:c r="AH135" s="27"/>
      <x:c r="AI135" s="27"/>
      <x:c r="AJ135" s="27"/>
      <x:c r="AK135" s="27"/>
      <x:c r="AL135" s="27"/>
      <x:c r="AM135" s="27"/>
      <x:c r="AN135" s="27"/>
      <x:c r="AO135" s="27"/>
      <x:c r="AP135" s="27"/>
      <x:c r="AQ135" s="27"/>
      <x:c r="AR135" s="27" t="str">
        <x:f>IF(C135="","",SUM(H135,N135,T135,Z135,AF135,AL135))</x:f>
      </x:c>
      <x:c r="AS135" s="27" t="str">
        <x:f>IF(C135="","",SUM(I135,O135,U135,AA135,AG135,AM135))</x:f>
      </x:c>
      <x:c r="AT135" s="27" t="str">
        <x:f>IF(C135="","",SUM(J135,P135,V135,AB135,AH135,AN135))</x:f>
      </x:c>
      <x:c r="AU135" s="27" t="str">
        <x:f>IF(C135="","",SUM(K135,Q135,W135,AC135,AI135,AO135))</x:f>
      </x:c>
      <x:c r="AV135" s="27" t="str">
        <x:f>IF(C135="","",SUM(L135,R135,X135,AD135,AJ135,AP135))</x:f>
      </x:c>
      <x:c r="AW135" s="27" t="str">
        <x:f>IF(C135="","",SUM(M135,S135,Y135,AE135,AK135,AQ135))</x:f>
      </x:c>
      <x:c r="AX135" s="27" t="str">
        <x:f>IF(C135="","",IF(IF(AS135*1000000+SUM(U135,AM135)*10000+SUM(O135,AG135)*100+SUM(I135,AA135)+0.005&gt;AR135*1000000+SUM(T135,AL135)*10000+SUM(N135,AF135)*100+SUM(H135,Z135)+0.006,1,0)+IF(AT135*1000000+SUM(V135,AN135)*10000+SUM(P135,AH135)*100+SUM(J135,AB135)+0.004&gt;AR135*1000000+SUM(T135,AL135)*10000+SUM(N135,AF135)*100+SUM(H135,Z135)+0.006,1,0)+IF(AU135*1000000+SUM(W135,AO135)*10000+SUM(Q135,AI135)*100+SUM(K135,AC135)+0.003&gt;AR135*1000000+SUM(T135,AL135)*10000+SUM(N135,AF135)*100+SUM(H135,Z135)+0.006,1,0)+IF(AV135*1000000+SUM(X135,AP135)*10000+SUM(R135,AJ135)*100+SUM(L135,AD135)+0.002&gt;AR135*1000000+SUM(T135,AL135)*10000+SUM(N135,AF135)*100+SUM(H135,Z135)+0.006,1,0)+IF(AW135*1000000+SUM(Y135,AQ135)*10000+SUM(S135,AK135)*100+SUM(M135,AE135)+0.001&gt;AR135*1000000+SUM(T135,AL135)*10000+SUM(N135,AF135)*100+SUM(H135,Z135)+0.006,1,0)=0,"R",IF(IF(AR135*1000000+SUM(T135,AL135)*10000+SUM(N135,AF135)*100+SUM(H135,Z135)+0.006&gt;AS135*1000000+SUM(U135,AM135)*10000+SUM(O135,AG135)*100+SUM(I135,AA135)+0.005,1,0)+IF(AT135*1000000+SUM(V135,AN135)*10000+SUM(P135,AH135)*100+SUM(J135,AB135)+0.004&gt;AS135*1000000+SUM(U135,AM135)*10000+SUM(O135,AG135)*100+SUM(I135,AA135)+0.005,1,0)+IF(AU135*1000000+SUM(W135,AO135)*10000+SUM(Q135,AI135)*100+SUM(K135,AC135)+0.003&gt;AS135*1000000+SUM(U135,AM135)*10000+SUM(O135,AG135)*100+SUM(I135,AA135)+0.005,1,0)+IF(AV135*1000000+SUM(X135,AP135)*10000+SUM(R135,AJ135)*100+SUM(L135,AD135)+0.002&gt;AS135*1000000+SUM(U135,AM135)*10000+SUM(O135,AG135)*100+SUM(I135,AA135)+0.005,1,0)+IF(AW135*1000000+SUM(Y135,AQ135)*10000+SUM(S135,AK135)*100+SUM(M135,AE135)+0.001&gt;AS135*1000000+SUM(U135,AM135)*10000+SUM(O135,AG135)*100+SUM(I135,AA135)+0.005,1,0)=0,"I",IF(IF(AR135*1000000+SUM(T135,AL135)*10000+SUM(N135,AF135)*100+SUM(H135,Z135)+0.006&gt;AT135*1000000+SUM(V135,AN135)*10000+SUM(P135,AH135)*100+SUM(J135,AB135)+0.004,1,0)+IF(AS135*1000000+SUM(U135,AM135)*10000+SUM(O135,AG135)*100+SUM(I135,AA135)+0.005&gt;AT135*1000000+SUM(V135,AN135)*10000+SUM(P135,AH135)*100+SUM(J135,AB135)+0.004,1,0)+IF(AU135*1000000+SUM(W135,AO135)*10000+SUM(Q135,AI135)*100+SUM(K135,AC135)+0.003&gt;AT135*1000000+SUM(V135,AN135)*10000+SUM(P135,AH135)*100+SUM(J135,AB135)+0.004,1,0)+IF(AV135*1000000+SUM(X135,AP135)*10000+SUM(R135,AJ135)*100+SUM(L135,AD135)+0.002&gt;AT135*1000000+SUM(V135,AN135)*10000+SUM(P135,AH135)*100+SUM(J135,AB135)+0.004,1,0)+IF(AW135*1000000+SUM(Y135,AQ135)*10000+SUM(S135,AK135)*100+SUM(M135,AE135)+0.001&gt;AT135*1000000+SUM(V135,AN135)*10000+SUM(P135,AH135)*100+SUM(J135,AB135)+0.004,1,0)=0,"A",IF(IF(AR135*1000000+SUM(T135,AL135)*10000+SUM(N135,AF135)*100+SUM(H135,Z135)+0.006&gt;AU135*1000000+SUM(W135,AO135)*10000+SUM(Q135,AI135)*100+SUM(K135,AC135)+0.003,1,0)+IF(AS135*1000000+SUM(U135,AM135)*10000+SUM(O135,AG135)*100+SUM(I135,AA135)+0.005&gt;AU135*1000000+SUM(W135,AO135)*10000+SUM(Q135,AI135)*100+SUM(K135,AC135)+0.003,1,0)+IF(AT135*1000000+SUM(V135,AN135)*10000+SUM(P135,AH135)*100+SUM(J135,AB135)+0.004&gt;AU135*1000000+SUM(W135,AO135)*10000+SUM(Q135,AI135)*100+SUM(K135,AC135)+0.003,1,0)+IF(AV135*1000000+SUM(X135,AP135)*10000+SUM(R135,AJ135)*100+SUM(L135,AD135)+0.002&gt;AU135*1000000+SUM(W135,AO135)*10000+SUM(Q135,AI135)*100+SUM(K135,AC135)+0.003,1,0)+IF(AW135*1000000+SUM(Y135,AQ135)*10000+SUM(S135,AK135)*100+SUM(M135,AE135)+0.001&gt;AU135*1000000+SUM(W135,AO135)*10000+SUM(Q135,AI135)*100+SUM(K135,AC135)+0.003,1,0)=0,"S",IF(IF(AR135*1000000+SUM(T135,AL135)*10000+SUM(N135,AF135)*100+SUM(H135,Z135)+0.006&gt;AV135*1000000+SUM(X135,AP135)*10000+SUM(R135,AJ135)*100+SUM(L135,AD135)+0.002,1,0)+IF(AS135*1000000+SUM(U135,AM135)*10000+SUM(O135,AG135)*100+SUM(I135,AA135)+0.005&gt;AV135*1000000+SUM(X135,AP135)*10000+SUM(R135,AJ135)*100+SUM(L135,AD135)+0.002,1,0)+IF(AT135*1000000+SUM(V135,AN135)*10000+SUM(P135,AH135)*100+SUM(J135,AB135)+0.004&gt;AV135*1000000+SUM(X135,AP135)*10000+SUM(R135,AJ135)*100+SUM(L135,AD135)+0.002,1,0)+IF(AU135*1000000+SUM(W135,AO135)*10000+SUM(Q135,AI135)*100+SUM(K135,AC135)+0.003&gt;AV135*1000000+SUM(X135,AP135)*10000+SUM(R135,AJ135)*100+SUM(L135,AD135)+0.002,1,0)+IF(AW135*1000000+SUM(Y135,AQ135)*10000+SUM(S135,AK135)*100+SUM(M135,AE135)+0.001&gt;AV135*1000000+SUM(X135,AP135)*10000+SUM(R135,AJ135)*100+SUM(L135,AD135)+0.002,1,0)=0,"E",IF(IF(AR135*1000000+SUM(T135,AL135)*10000+SUM(N135,AF135)*100+SUM(H135,Z135)+0.006&gt;AW135*1000000+SUM(Y135,AQ135)*10000+SUM(S135,AK135)*100+SUM(M135,AE135)+0.001,1,0)+IF(AS135*1000000+SUM(U135,AM135)*10000+SUM(O135,AG135)*100+SUM(I135,AA135)+0.005&gt;AW135*1000000+SUM(Y135,AQ135)*10000+SUM(S135,AK135)*100+SUM(M135,AE135)+0.001,1,0)+IF(AT135*1000000+SUM(V135,AN135)*10000+SUM(P135,AH135)*100+SUM(J135,AB135)+0.004&gt;AW135*1000000+SUM(Y135,AQ135)*10000+SUM(S135,AK135)*100+SUM(M135,AE135)+0.001,1,0)+IF(AU135*1000000+SUM(W135,AO135)*10000+SUM(Q135,AI135)*100+SUM(K135,AC135)+0.003&gt;AW135*1000000+SUM(Y135,AQ135)*10000+SUM(S135,AK135)*100+SUM(M135,AE135)+0.001,1,0)+IF(AV135*1000000+SUM(X135,AP135)*10000+SUM(R135,AJ135)*100+SUM(L135,AD135)+0.002&gt;AW135*1000000+SUM(Y135,AQ135)*10000+SUM(S135,AK135)*100+SUM(M135,AE135)+0.001,1,0)=0,"C",""))))))&amp;IF(IF(AS135*1000000+SUM(U135,AM135)*10000+SUM(O135,AG135)*100+SUM(I135,AA135)+0.005&gt;AR135*1000000+SUM(T135,AL135)*10000+SUM(N135,AF135)*100+SUM(H135,Z135)+0.006,1,0)+IF(AT135*1000000+SUM(V135,AN135)*10000+SUM(P135,AH135)*100+SUM(J135,AB135)+0.004&gt;AR135*1000000+SUM(T135,AL135)*10000+SUM(N135,AF135)*100+SUM(H135,Z135)+0.006,1,0)+IF(AU135*1000000+SUM(W135,AO135)*10000+SUM(Q135,AI135)*100+SUM(K135,AC135)+0.003&gt;AR135*1000000+SUM(T135,AL135)*10000+SUM(N135,AF135)*100+SUM(H135,Z135)+0.006,1,0)+IF(AV135*1000000+SUM(X135,AP135)*10000+SUM(R135,AJ135)*100+SUM(L135,AD135)+0.002&gt;AR135*1000000+SUM(T135,AL135)*10000+SUM(N135,AF135)*100+SUM(H135,Z135)+0.006,1,0)+IF(AW135*1000000+SUM(Y135,AQ135)*10000+SUM(S135,AK135)*100+SUM(M135,AE135)+0.001&gt;AR135*1000000+SUM(T135,AL135)*10000+SUM(N135,AF135)*100+SUM(H135,Z135)+0.006,1,0)=1,"R",IF(IF(AR135*1000000+SUM(T135,AL135)*10000+SUM(N135,AF135)*100+SUM(H135,Z135)+0.006&gt;AS135*1000000+SUM(U135,AM135)*10000+SUM(O135,AG135)*100+SUM(I135,AA135)+0.005,1,0)+IF(AT135*1000000+SUM(V135,AN135)*10000+SUM(P135,AH135)*100+SUM(J135,AB135)+0.004&gt;AS135*1000000+SUM(U135,AM135)*10000+SUM(O135,AG135)*100+SUM(I135,AA135)+0.005,1,0)+IF(AU135*1000000+SUM(W135,AO135)*10000+SUM(Q135,AI135)*100+SUM(K135,AC135)+0.003&gt;AS135*1000000+SUM(U135,AM135)*10000+SUM(O135,AG135)*100+SUM(I135,AA135)+0.005,1,0)+IF(AV135*1000000+SUM(X135,AP135)*10000+SUM(R135,AJ135)*100+SUM(L135,AD135)+0.002&gt;AS135*1000000+SUM(U135,AM135)*10000+SUM(O135,AG135)*100+SUM(I135,AA135)+0.005,1,0)+IF(AW135*1000000+SUM(Y135,AQ135)*10000+SUM(S135,AK135)*100+SUM(M135,AE135)+0.001&gt;AS135*1000000+SUM(U135,AM135)*10000+SUM(O135,AG135)*100+SUM(I135,AA135)+0.005,1,0)=1,"I",IF(IF(AR135*1000000+SUM(T135,AL135)*10000+SUM(N135,AF135)*100+SUM(H135,Z135)+0.006&gt;AT135*1000000+SUM(V135,AN135)*10000+SUM(P135,AH135)*100+SUM(J135,AB135)+0.004,1,0)+IF(AS135*1000000+SUM(U135,AM135)*10000+SUM(O135,AG135)*100+SUM(I135,AA135)+0.005&gt;AT135*1000000+SUM(V135,AN135)*10000+SUM(P135,AH135)*100+SUM(J135,AB135)+0.004,1,0)+IF(AU135*1000000+SUM(W135,AO135)*10000+SUM(Q135,AI135)*100+SUM(K135,AC135)+0.003&gt;AT135*1000000+SUM(V135,AN135)*10000+SUM(P135,AH135)*100+SUM(J135,AB135)+0.004,1,0)+IF(AV135*1000000+SUM(X135,AP135)*10000+SUM(R135,AJ135)*100+SUM(L135,AD135)+0.002&gt;AT135*1000000+SUM(V135,AN135)*10000+SUM(P135,AH135)*100+SUM(J135,AB135)+0.004,1,0)+IF(AW135*1000000+SUM(Y135,AQ135)*10000+SUM(S135,AK135)*100+SUM(M135,AE135)+0.001&gt;AT135*1000000+SUM(V135,AN135)*10000+SUM(P135,AH135)*100+SUM(J135,AB135)+0.004,1,0)=1,"A",IF(IF(AR135*1000000+SUM(T135,AL135)*10000+SUM(N135,AF135)*100+SUM(H135,Z135)+0.006&gt;AU135*1000000+SUM(W135,AO135)*10000+SUM(Q135,AI135)*100+SUM(K135,AC135)+0.003,1,0)+IF(AS135*1000000+SUM(U135,AM135)*10000+SUM(O135,AG135)*100+SUM(I135,AA135)+0.005&gt;AU135*1000000+SUM(W135,AO135)*10000+SUM(Q135,AI135)*100+SUM(K135,AC135)+0.003,1,0)+IF(AT135*1000000+SUM(V135,AN135)*10000+SUM(P135,AH135)*100+SUM(J135,AB135)+0.004&gt;AU135*1000000+SUM(W135,AO135)*10000+SUM(Q135,AI135)*100+SUM(K135,AC135)+0.003,1,0)+IF(AV135*1000000+SUM(X135,AP135)*10000+SUM(R135,AJ135)*100+SUM(L135,AD135)+0.002&gt;AU135*1000000+SUM(W135,AO135)*10000+SUM(Q135,AI135)*100+SUM(K135,AC135)+0.003,1,0)+IF(AW135*1000000+SUM(Y135,AQ135)*10000+SUM(S135,AK135)*100+SUM(M135,AE135)+0.001&gt;AU135*1000000+SUM(W135,AO135)*10000+SUM(Q135,AI135)*100+SUM(K135,AC135)+0.003,1,0)=1,"S",IF(IF(AR135*1000000+SUM(T135,AL135)*10000+SUM(N135,AF135)*100+SUM(H135,Z135)+0.006&gt;AV135*1000000+SUM(X135,AP135)*10000+SUM(R135,AJ135)*100+SUM(L135,AD135)+0.002,1,0)+IF(AS135*1000000+SUM(U135,AM135)*10000+SUM(O135,AG135)*100+SUM(I135,AA135)+0.005&gt;AV135*1000000+SUM(X135,AP135)*10000+SUM(R135,AJ135)*100+SUM(L135,AD135)+0.002,1,0)+IF(AT135*1000000+SUM(V135,AN135)*10000+SUM(P135,AH135)*100+SUM(J135,AB135)+0.004&gt;AV135*1000000+SUM(X135,AP135)*10000+SUM(R135,AJ135)*100+SUM(L135,AD135)+0.002,1,0)+IF(AU135*1000000+SUM(W135,AO135)*10000+SUM(Q135,AI135)*100+SUM(K135,AC135)+0.003&gt;AV135*1000000+SUM(X135,AP135)*10000+SUM(R135,AJ135)*100+SUM(L135,AD135)+0.002,1,0)+IF(AW135*1000000+SUM(Y135,AQ135)*10000+SUM(S135,AK135)*100+SUM(M135,AE135)+0.001&gt;AV135*1000000+SUM(X135,AP135)*10000+SUM(R135,AJ135)*100+SUM(L135,AD135)+0.002,1,0)=1,"E",IF(IF(AR135*1000000+SUM(T135,AL135)*10000+SUM(N135,AF135)*100+SUM(H135,Z135)+0.006&gt;AW135*1000000+SUM(Y135,AQ135)*10000+SUM(S135,AK135)*100+SUM(M135,AE135)+0.001,1,0)+IF(AS135*1000000+SUM(U135,AM135)*10000+SUM(O135,AG135)*100+SUM(I135,AA135)+0.005&gt;AW135*1000000+SUM(Y135,AQ135)*10000+SUM(S135,AK135)*100+SUM(M135,AE135)+0.001,1,0)+IF(AT135*1000000+SUM(V135,AN135)*10000+SUM(P135,AH135)*100+SUM(J135,AB135)+0.004&gt;AW135*1000000+SUM(Y135,AQ135)*10000+SUM(S135,AK135)*100+SUM(M135,AE135)+0.001,1,0)+IF(AU135*1000000+SUM(W135,AO135)*10000+SUM(Q135,AI135)*100+SUM(K135,AC135)+0.003&gt;AW135*1000000+SUM(Y135,AQ135)*10000+SUM(S135,AK135)*100+SUM(M135,AE135)+0.001,1,0)+IF(AV135*1000000+SUM(X135,AP135)*10000+SUM(R135,AJ135)*100+SUM(L135,AD135)+0.002&gt;AW135*1000000+SUM(Y135,AQ135)*10000+SUM(S135,AK135)*100+SUM(M135,AE135)+0.001,1,0)=1,"C",""))))))&amp;IF(IF(AS135*1000000+SUM(U135,AM135)*10000+SUM(O135,AG135)*100+SUM(I135,AA135)+0.005&gt;AR135*1000000+SUM(T135,AL135)*10000+SUM(N135,AF135)*100+SUM(H135,Z135)+0.006,1,0)+IF(AT135*1000000+SUM(V135,AN135)*10000+SUM(P135,AH135)*100+SUM(J135,AB135)+0.004&gt;AR135*1000000+SUM(T135,AL135)*10000+SUM(N135,AF135)*100+SUM(H135,Z135)+0.006,1,0)+IF(AU135*1000000+SUM(W135,AO135)*10000+SUM(Q135,AI135)*100+SUM(K135,AC135)+0.003&gt;AR135*1000000+SUM(T135,AL135)*10000+SUM(N135,AF135)*100+SUM(H135,Z135)+0.006,1,0)+IF(AV135*1000000+SUM(X135,AP135)*10000+SUM(R135,AJ135)*100+SUM(L135,AD135)+0.002&gt;AR135*1000000+SUM(T135,AL135)*10000+SUM(N135,AF135)*100+SUM(H135,Z135)+0.006,1,0)+IF(AW135*1000000+SUM(Y135,AQ135)*10000+SUM(S135,AK135)*100+SUM(M135,AE135)+0.001&gt;AR135*1000000+SUM(T135,AL135)*10000+SUM(N135,AF135)*100+SUM(H135,Z135)+0.006,1,0)=2,"R",IF(IF(AR135*1000000+SUM(T135,AL135)*10000+SUM(N135,AF135)*100+SUM(H135,Z135)+0.006&gt;AS135*1000000+SUM(U135,AM135)*10000+SUM(O135,AG135)*100+SUM(I135,AA135)+0.005,1,0)+IF(AT135*1000000+SUM(V135,AN135)*10000+SUM(P135,AH135)*100+SUM(J135,AB135)+0.004&gt;AS135*1000000+SUM(U135,AM135)*10000+SUM(O135,AG135)*100+SUM(I135,AA135)+0.005,1,0)+IF(AU135*1000000+SUM(W135,AO135)*10000+SUM(Q135,AI135)*100+SUM(K135,AC135)+0.003&gt;AS135*1000000+SUM(U135,AM135)*10000+SUM(O135,AG135)*100+SUM(I135,AA135)+0.005,1,0)+IF(AV135*1000000+SUM(X135,AP135)*10000+SUM(R135,AJ135)*100+SUM(L135,AD135)+0.002&gt;AS135*1000000+SUM(U135,AM135)*10000+SUM(O135,AG135)*100+SUM(I135,AA135)+0.005,1,0)+IF(AW135*1000000+SUM(Y135,AQ135)*10000+SUM(S135,AK135)*100+SUM(M135,AE135)+0.001&gt;AS135*1000000+SUM(U135,AM135)*10000+SUM(O135,AG135)*100+SUM(I135,AA135)+0.005,1,0)=2,"I",IF(IF(AR135*1000000+SUM(T135,AL135)*10000+SUM(N135,AF135)*100+SUM(H135,Z135)+0.006&gt;AT135*1000000+SUM(V135,AN135)*10000+SUM(P135,AH135)*100+SUM(J135,AB135)+0.004,1,0)+IF(AS135*1000000+SUM(U135,AM135)*10000+SUM(O135,AG135)*100+SUM(I135,AA135)+0.005&gt;AT135*1000000+SUM(V135,AN135)*10000+SUM(P135,AH135)*100+SUM(J135,AB135)+0.004,1,0)+IF(AU135*1000000+SUM(W135,AO135)*10000+SUM(Q135,AI135)*100+SUM(K135,AC135)+0.003&gt;AT135*1000000+SUM(V135,AN135)*10000+SUM(P135,AH135)*100+SUM(J135,AB135)+0.004,1,0)+IF(AV135*1000000+SUM(X135,AP135)*10000+SUM(R135,AJ135)*100+SUM(L135,AD135)+0.002&gt;AT135*1000000+SUM(V135,AN135)*10000+SUM(P135,AH135)*100+SUM(J135,AB135)+0.004,1,0)+IF(AW135*1000000+SUM(Y135,AQ135)*10000+SUM(S135,AK135)*100+SUM(M135,AE135)+0.001&gt;AT135*1000000+SUM(V135,AN135)*10000+SUM(P135,AH135)*100+SUM(J135,AB135)+0.004,1,0)=2,"A",IF(IF(AR135*1000000+SUM(T135,AL135)*10000+SUM(N135,AF135)*100+SUM(H135,Z135)+0.006&gt;AU135*1000000+SUM(W135,AO135)*10000+SUM(Q135,AI135)*100+SUM(K135,AC135)+0.003,1,0)+IF(AS135*1000000+SUM(U135,AM135)*10000+SUM(O135,AG135)*100+SUM(I135,AA135)+0.005&gt;AU135*1000000+SUM(W135,AO135)*10000+SUM(Q135,AI135)*100+SUM(K135,AC135)+0.003,1,0)+IF(AT135*1000000+SUM(V135,AN135)*10000+SUM(P135,AH135)*100+SUM(J135,AB135)+0.004&gt;AU135*1000000+SUM(W135,AO135)*10000+SUM(Q135,AI135)*100+SUM(K135,AC135)+0.003,1,0)+IF(AV135*1000000+SUM(X135,AP135)*10000+SUM(R135,AJ135)*100+SUM(L135,AD135)+0.002&gt;AU135*1000000+SUM(W135,AO135)*10000+SUM(Q135,AI135)*100+SUM(K135,AC135)+0.003,1,0)+IF(AW135*1000000+SUM(Y135,AQ135)*10000+SUM(S135,AK135)*100+SUM(M135,AE135)+0.001&gt;AU135*1000000+SUM(W135,AO135)*10000+SUM(Q135,AI135)*100+SUM(K135,AC135)+0.003,1,0)=2,"S",IF(IF(AR135*1000000+SUM(T135,AL135)*10000+SUM(N135,AF135)*100+SUM(H135,Z135)+0.006&gt;AV135*1000000+SUM(X135,AP135)*10000+SUM(R135,AJ135)*100+SUM(L135,AD135)+0.002,1,0)+IF(AS135*1000000+SUM(U135,AM135)*10000+SUM(O135,AG135)*100+SUM(I135,AA135)+0.005&gt;AV135*1000000+SUM(X135,AP135)*10000+SUM(R135,AJ135)*100+SUM(L135,AD135)+0.002,1,0)+IF(AT135*1000000+SUM(V135,AN135)*10000+SUM(P135,AH135)*100+SUM(J135,AB135)+0.004&gt;AV135*1000000+SUM(X135,AP135)*10000+SUM(R135,AJ135)*100+SUM(L135,AD135)+0.002,1,0)+IF(AU135*1000000+SUM(W135,AO135)*10000+SUM(Q135,AI135)*100+SUM(K135,AC135)+0.003&gt;AV135*1000000+SUM(X135,AP135)*10000+SUM(R135,AJ135)*100+SUM(L135,AD135)+0.002,1,0)+IF(AW135*1000000+SUM(Y135,AQ135)*10000+SUM(S135,AK135)*100+SUM(M135,AE135)+0.001&gt;AV135*1000000+SUM(X135,AP135)*10000+SUM(R135,AJ135)*100+SUM(L135,AD135)+0.002,1,0)=2,"E",IF(IF(AR135*1000000+SUM(T135,AL135)*10000+SUM(N135,AF135)*100+SUM(H135,Z135)+0.006&gt;AW135*1000000+SUM(Y135,AQ135)*10000+SUM(S135,AK135)*100+SUM(M135,AE135)+0.001,1,0)+IF(AS135*1000000+SUM(U135,AM135)*10000+SUM(O135,AG135)*100+SUM(I135,AA135)+0.005&gt;AW135*1000000+SUM(Y135,AQ135)*10000+SUM(S135,AK135)*100+SUM(M135,AE135)+0.001,1,0)+IF(AT135*1000000+SUM(V135,AN135)*10000+SUM(P135,AH135)*100+SUM(J135,AB135)+0.004&gt;AW135*1000000+SUM(Y135,AQ135)*10000+SUM(S135,AK135)*100+SUM(M135,AE135)+0.001,1,0)+IF(AU135*1000000+SUM(W135,AO135)*10000+SUM(Q135,AI135)*100+SUM(K135,AC135)+0.003&gt;AW135*1000000+SUM(Y135,AQ135)*10000+SUM(S135,AK135)*100+SUM(M135,AE135)+0.001,1,0)+IF(AV135*1000000+SUM(X135,AP135)*10000+SUM(R135,AJ135)*100+SUM(L135,AD135)+0.002&gt;AW135*1000000+SUM(Y135,AQ135)*10000+SUM(S135,AK135)*100+SUM(M135,AE135)+0.001,1,0)=2,"C","")))))))</x:f>
      </x:c>
      <x:c r="AY135" s="27" t="str">
        <x:f>IF(C135="","",IF(LEFT(AX135,1)="R","นักปฏิบัติ",IF(LEFT(AX135,1)="I","นักคิดวิเคราะห์",IF(LEFT(AX135,1)="A","นักสร้างสรรค์",IF(LEFT(AX135,1)="S","ผู้เข้าใจผู้คน",IF(LEFT(AX135,1)="E","ผู้นำการเปลี่ยนแปลง","ผู้จัดระบบ"))))))</x:f>
      </x:c>
    </x:row>
    <x:row r="136">
      <x:c r="A136" s="27"/>
      <x:c r="B136" s="28"/>
      <x:c r="C136" s="27"/>
      <x:c r="D136" s="27"/>
      <x:c r="E136" s="27"/>
      <x:c r="F136" s="27"/>
      <x:c r="G136" s="27"/>
      <x:c r="H136" s="27"/>
      <x:c r="I136" s="27"/>
      <x:c r="J136" s="27"/>
      <x:c r="K136" s="27"/>
      <x:c r="L136" s="27"/>
      <x:c r="M136" s="27"/>
      <x:c r="N136" s="27"/>
      <x:c r="O136" s="27"/>
      <x:c r="P136" s="27"/>
      <x:c r="Q136" s="27"/>
      <x:c r="R136" s="27"/>
      <x:c r="S136" s="27"/>
      <x:c r="T136" s="27"/>
      <x:c r="U136" s="27"/>
      <x:c r="V136" s="27"/>
      <x:c r="W136" s="27"/>
      <x:c r="X136" s="27"/>
      <x:c r="Y136" s="27"/>
      <x:c r="Z136" s="27"/>
      <x:c r="AA136" s="27"/>
      <x:c r="AB136" s="27"/>
      <x:c r="AC136" s="27"/>
      <x:c r="AD136" s="27"/>
      <x:c r="AE136" s="27"/>
      <x:c r="AF136" s="27"/>
      <x:c r="AG136" s="27"/>
      <x:c r="AH136" s="27"/>
      <x:c r="AI136" s="27"/>
      <x:c r="AJ136" s="27"/>
      <x:c r="AK136" s="27"/>
      <x:c r="AL136" s="27"/>
      <x:c r="AM136" s="27"/>
      <x:c r="AN136" s="27"/>
      <x:c r="AO136" s="27"/>
      <x:c r="AP136" s="27"/>
      <x:c r="AQ136" s="27"/>
      <x:c r="AR136" s="27" t="str">
        <x:f>IF(C136="","",SUM(H136,N136,T136,Z136,AF136,AL136))</x:f>
      </x:c>
      <x:c r="AS136" s="27" t="str">
        <x:f>IF(C136="","",SUM(I136,O136,U136,AA136,AG136,AM136))</x:f>
      </x:c>
      <x:c r="AT136" s="27" t="str">
        <x:f>IF(C136="","",SUM(J136,P136,V136,AB136,AH136,AN136))</x:f>
      </x:c>
      <x:c r="AU136" s="27" t="str">
        <x:f>IF(C136="","",SUM(K136,Q136,W136,AC136,AI136,AO136))</x:f>
      </x:c>
      <x:c r="AV136" s="27" t="str">
        <x:f>IF(C136="","",SUM(L136,R136,X136,AD136,AJ136,AP136))</x:f>
      </x:c>
      <x:c r="AW136" s="27" t="str">
        <x:f>IF(C136="","",SUM(M136,S136,Y136,AE136,AK136,AQ136))</x:f>
      </x:c>
      <x:c r="AX136" s="27" t="str">
        <x:f>IF(C136="","",IF(IF(AS136*1000000+SUM(U136,AM136)*10000+SUM(O136,AG136)*100+SUM(I136,AA136)+0.005&gt;AR136*1000000+SUM(T136,AL136)*10000+SUM(N136,AF136)*100+SUM(H136,Z136)+0.006,1,0)+IF(AT136*1000000+SUM(V136,AN136)*10000+SUM(P136,AH136)*100+SUM(J136,AB136)+0.004&gt;AR136*1000000+SUM(T136,AL136)*10000+SUM(N136,AF136)*100+SUM(H136,Z136)+0.006,1,0)+IF(AU136*1000000+SUM(W136,AO136)*10000+SUM(Q136,AI136)*100+SUM(K136,AC136)+0.003&gt;AR136*1000000+SUM(T136,AL136)*10000+SUM(N136,AF136)*100+SUM(H136,Z136)+0.006,1,0)+IF(AV136*1000000+SUM(X136,AP136)*10000+SUM(R136,AJ136)*100+SUM(L136,AD136)+0.002&gt;AR136*1000000+SUM(T136,AL136)*10000+SUM(N136,AF136)*100+SUM(H136,Z136)+0.006,1,0)+IF(AW136*1000000+SUM(Y136,AQ136)*10000+SUM(S136,AK136)*100+SUM(M136,AE136)+0.001&gt;AR136*1000000+SUM(T136,AL136)*10000+SUM(N136,AF136)*100+SUM(H136,Z136)+0.006,1,0)=0,"R",IF(IF(AR136*1000000+SUM(T136,AL136)*10000+SUM(N136,AF136)*100+SUM(H136,Z136)+0.006&gt;AS136*1000000+SUM(U136,AM136)*10000+SUM(O136,AG136)*100+SUM(I136,AA136)+0.005,1,0)+IF(AT136*1000000+SUM(V136,AN136)*10000+SUM(P136,AH136)*100+SUM(J136,AB136)+0.004&gt;AS136*1000000+SUM(U136,AM136)*10000+SUM(O136,AG136)*100+SUM(I136,AA136)+0.005,1,0)+IF(AU136*1000000+SUM(W136,AO136)*10000+SUM(Q136,AI136)*100+SUM(K136,AC136)+0.003&gt;AS136*1000000+SUM(U136,AM136)*10000+SUM(O136,AG136)*100+SUM(I136,AA136)+0.005,1,0)+IF(AV136*1000000+SUM(X136,AP136)*10000+SUM(R136,AJ136)*100+SUM(L136,AD136)+0.002&gt;AS136*1000000+SUM(U136,AM136)*10000+SUM(O136,AG136)*100+SUM(I136,AA136)+0.005,1,0)+IF(AW136*1000000+SUM(Y136,AQ136)*10000+SUM(S136,AK136)*100+SUM(M136,AE136)+0.001&gt;AS136*1000000+SUM(U136,AM136)*10000+SUM(O136,AG136)*100+SUM(I136,AA136)+0.005,1,0)=0,"I",IF(IF(AR136*1000000+SUM(T136,AL136)*10000+SUM(N136,AF136)*100+SUM(H136,Z136)+0.006&gt;AT136*1000000+SUM(V136,AN136)*10000+SUM(P136,AH136)*100+SUM(J136,AB136)+0.004,1,0)+IF(AS136*1000000+SUM(U136,AM136)*10000+SUM(O136,AG136)*100+SUM(I136,AA136)+0.005&gt;AT136*1000000+SUM(V136,AN136)*10000+SUM(P136,AH136)*100+SUM(J136,AB136)+0.004,1,0)+IF(AU136*1000000+SUM(W136,AO136)*10000+SUM(Q136,AI136)*100+SUM(K136,AC136)+0.003&gt;AT136*1000000+SUM(V136,AN136)*10000+SUM(P136,AH136)*100+SUM(J136,AB136)+0.004,1,0)+IF(AV136*1000000+SUM(X136,AP136)*10000+SUM(R136,AJ136)*100+SUM(L136,AD136)+0.002&gt;AT136*1000000+SUM(V136,AN136)*10000+SUM(P136,AH136)*100+SUM(J136,AB136)+0.004,1,0)+IF(AW136*1000000+SUM(Y136,AQ136)*10000+SUM(S136,AK136)*100+SUM(M136,AE136)+0.001&gt;AT136*1000000+SUM(V136,AN136)*10000+SUM(P136,AH136)*100+SUM(J136,AB136)+0.004,1,0)=0,"A",IF(IF(AR136*1000000+SUM(T136,AL136)*10000+SUM(N136,AF136)*100+SUM(H136,Z136)+0.006&gt;AU136*1000000+SUM(W136,AO136)*10000+SUM(Q136,AI136)*100+SUM(K136,AC136)+0.003,1,0)+IF(AS136*1000000+SUM(U136,AM136)*10000+SUM(O136,AG136)*100+SUM(I136,AA136)+0.005&gt;AU136*1000000+SUM(W136,AO136)*10000+SUM(Q136,AI136)*100+SUM(K136,AC136)+0.003,1,0)+IF(AT136*1000000+SUM(V136,AN136)*10000+SUM(P136,AH136)*100+SUM(J136,AB136)+0.004&gt;AU136*1000000+SUM(W136,AO136)*10000+SUM(Q136,AI136)*100+SUM(K136,AC136)+0.003,1,0)+IF(AV136*1000000+SUM(X136,AP136)*10000+SUM(R136,AJ136)*100+SUM(L136,AD136)+0.002&gt;AU136*1000000+SUM(W136,AO136)*10000+SUM(Q136,AI136)*100+SUM(K136,AC136)+0.003,1,0)+IF(AW136*1000000+SUM(Y136,AQ136)*10000+SUM(S136,AK136)*100+SUM(M136,AE136)+0.001&gt;AU136*1000000+SUM(W136,AO136)*10000+SUM(Q136,AI136)*100+SUM(K136,AC136)+0.003,1,0)=0,"S",IF(IF(AR136*1000000+SUM(T136,AL136)*10000+SUM(N136,AF136)*100+SUM(H136,Z136)+0.006&gt;AV136*1000000+SUM(X136,AP136)*10000+SUM(R136,AJ136)*100+SUM(L136,AD136)+0.002,1,0)+IF(AS136*1000000+SUM(U136,AM136)*10000+SUM(O136,AG136)*100+SUM(I136,AA136)+0.005&gt;AV136*1000000+SUM(X136,AP136)*10000+SUM(R136,AJ136)*100+SUM(L136,AD136)+0.002,1,0)+IF(AT136*1000000+SUM(V136,AN136)*10000+SUM(P136,AH136)*100+SUM(J136,AB136)+0.004&gt;AV136*1000000+SUM(X136,AP136)*10000+SUM(R136,AJ136)*100+SUM(L136,AD136)+0.002,1,0)+IF(AU136*1000000+SUM(W136,AO136)*10000+SUM(Q136,AI136)*100+SUM(K136,AC136)+0.003&gt;AV136*1000000+SUM(X136,AP136)*10000+SUM(R136,AJ136)*100+SUM(L136,AD136)+0.002,1,0)+IF(AW136*1000000+SUM(Y136,AQ136)*10000+SUM(S136,AK136)*100+SUM(M136,AE136)+0.001&gt;AV136*1000000+SUM(X136,AP136)*10000+SUM(R136,AJ136)*100+SUM(L136,AD136)+0.002,1,0)=0,"E",IF(IF(AR136*1000000+SUM(T136,AL136)*10000+SUM(N136,AF136)*100+SUM(H136,Z136)+0.006&gt;AW136*1000000+SUM(Y136,AQ136)*10000+SUM(S136,AK136)*100+SUM(M136,AE136)+0.001,1,0)+IF(AS136*1000000+SUM(U136,AM136)*10000+SUM(O136,AG136)*100+SUM(I136,AA136)+0.005&gt;AW136*1000000+SUM(Y136,AQ136)*10000+SUM(S136,AK136)*100+SUM(M136,AE136)+0.001,1,0)+IF(AT136*1000000+SUM(V136,AN136)*10000+SUM(P136,AH136)*100+SUM(J136,AB136)+0.004&gt;AW136*1000000+SUM(Y136,AQ136)*10000+SUM(S136,AK136)*100+SUM(M136,AE136)+0.001,1,0)+IF(AU136*1000000+SUM(W136,AO136)*10000+SUM(Q136,AI136)*100+SUM(K136,AC136)+0.003&gt;AW136*1000000+SUM(Y136,AQ136)*10000+SUM(S136,AK136)*100+SUM(M136,AE136)+0.001,1,0)+IF(AV136*1000000+SUM(X136,AP136)*10000+SUM(R136,AJ136)*100+SUM(L136,AD136)+0.002&gt;AW136*1000000+SUM(Y136,AQ136)*10000+SUM(S136,AK136)*100+SUM(M136,AE136)+0.001,1,0)=0,"C",""))))))&amp;IF(IF(AS136*1000000+SUM(U136,AM136)*10000+SUM(O136,AG136)*100+SUM(I136,AA136)+0.005&gt;AR136*1000000+SUM(T136,AL136)*10000+SUM(N136,AF136)*100+SUM(H136,Z136)+0.006,1,0)+IF(AT136*1000000+SUM(V136,AN136)*10000+SUM(P136,AH136)*100+SUM(J136,AB136)+0.004&gt;AR136*1000000+SUM(T136,AL136)*10000+SUM(N136,AF136)*100+SUM(H136,Z136)+0.006,1,0)+IF(AU136*1000000+SUM(W136,AO136)*10000+SUM(Q136,AI136)*100+SUM(K136,AC136)+0.003&gt;AR136*1000000+SUM(T136,AL136)*10000+SUM(N136,AF136)*100+SUM(H136,Z136)+0.006,1,0)+IF(AV136*1000000+SUM(X136,AP136)*10000+SUM(R136,AJ136)*100+SUM(L136,AD136)+0.002&gt;AR136*1000000+SUM(T136,AL136)*10000+SUM(N136,AF136)*100+SUM(H136,Z136)+0.006,1,0)+IF(AW136*1000000+SUM(Y136,AQ136)*10000+SUM(S136,AK136)*100+SUM(M136,AE136)+0.001&gt;AR136*1000000+SUM(T136,AL136)*10000+SUM(N136,AF136)*100+SUM(H136,Z136)+0.006,1,0)=1,"R",IF(IF(AR136*1000000+SUM(T136,AL136)*10000+SUM(N136,AF136)*100+SUM(H136,Z136)+0.006&gt;AS136*1000000+SUM(U136,AM136)*10000+SUM(O136,AG136)*100+SUM(I136,AA136)+0.005,1,0)+IF(AT136*1000000+SUM(V136,AN136)*10000+SUM(P136,AH136)*100+SUM(J136,AB136)+0.004&gt;AS136*1000000+SUM(U136,AM136)*10000+SUM(O136,AG136)*100+SUM(I136,AA136)+0.005,1,0)+IF(AU136*1000000+SUM(W136,AO136)*10000+SUM(Q136,AI136)*100+SUM(K136,AC136)+0.003&gt;AS136*1000000+SUM(U136,AM136)*10000+SUM(O136,AG136)*100+SUM(I136,AA136)+0.005,1,0)+IF(AV136*1000000+SUM(X136,AP136)*10000+SUM(R136,AJ136)*100+SUM(L136,AD136)+0.002&gt;AS136*1000000+SUM(U136,AM136)*10000+SUM(O136,AG136)*100+SUM(I136,AA136)+0.005,1,0)+IF(AW136*1000000+SUM(Y136,AQ136)*10000+SUM(S136,AK136)*100+SUM(M136,AE136)+0.001&gt;AS136*1000000+SUM(U136,AM136)*10000+SUM(O136,AG136)*100+SUM(I136,AA136)+0.005,1,0)=1,"I",IF(IF(AR136*1000000+SUM(T136,AL136)*10000+SUM(N136,AF136)*100+SUM(H136,Z136)+0.006&gt;AT136*1000000+SUM(V136,AN136)*10000+SUM(P136,AH136)*100+SUM(J136,AB136)+0.004,1,0)+IF(AS136*1000000+SUM(U136,AM136)*10000+SUM(O136,AG136)*100+SUM(I136,AA136)+0.005&gt;AT136*1000000+SUM(V136,AN136)*10000+SUM(P136,AH136)*100+SUM(J136,AB136)+0.004,1,0)+IF(AU136*1000000+SUM(W136,AO136)*10000+SUM(Q136,AI136)*100+SUM(K136,AC136)+0.003&gt;AT136*1000000+SUM(V136,AN136)*10000+SUM(P136,AH136)*100+SUM(J136,AB136)+0.004,1,0)+IF(AV136*1000000+SUM(X136,AP136)*10000+SUM(R136,AJ136)*100+SUM(L136,AD136)+0.002&gt;AT136*1000000+SUM(V136,AN136)*10000+SUM(P136,AH136)*100+SUM(J136,AB136)+0.004,1,0)+IF(AW136*1000000+SUM(Y136,AQ136)*10000+SUM(S136,AK136)*100+SUM(M136,AE136)+0.001&gt;AT136*1000000+SUM(V136,AN136)*10000+SUM(P136,AH136)*100+SUM(J136,AB136)+0.004,1,0)=1,"A",IF(IF(AR136*1000000+SUM(T136,AL136)*10000+SUM(N136,AF136)*100+SUM(H136,Z136)+0.006&gt;AU136*1000000+SUM(W136,AO136)*10000+SUM(Q136,AI136)*100+SUM(K136,AC136)+0.003,1,0)+IF(AS136*1000000+SUM(U136,AM136)*10000+SUM(O136,AG136)*100+SUM(I136,AA136)+0.005&gt;AU136*1000000+SUM(W136,AO136)*10000+SUM(Q136,AI136)*100+SUM(K136,AC136)+0.003,1,0)+IF(AT136*1000000+SUM(V136,AN136)*10000+SUM(P136,AH136)*100+SUM(J136,AB136)+0.004&gt;AU136*1000000+SUM(W136,AO136)*10000+SUM(Q136,AI136)*100+SUM(K136,AC136)+0.003,1,0)+IF(AV136*1000000+SUM(X136,AP136)*10000+SUM(R136,AJ136)*100+SUM(L136,AD136)+0.002&gt;AU136*1000000+SUM(W136,AO136)*10000+SUM(Q136,AI136)*100+SUM(K136,AC136)+0.003,1,0)+IF(AW136*1000000+SUM(Y136,AQ136)*10000+SUM(S136,AK136)*100+SUM(M136,AE136)+0.001&gt;AU136*1000000+SUM(W136,AO136)*10000+SUM(Q136,AI136)*100+SUM(K136,AC136)+0.003,1,0)=1,"S",IF(IF(AR136*1000000+SUM(T136,AL136)*10000+SUM(N136,AF136)*100+SUM(H136,Z136)+0.006&gt;AV136*1000000+SUM(X136,AP136)*10000+SUM(R136,AJ136)*100+SUM(L136,AD136)+0.002,1,0)+IF(AS136*1000000+SUM(U136,AM136)*10000+SUM(O136,AG136)*100+SUM(I136,AA136)+0.005&gt;AV136*1000000+SUM(X136,AP136)*10000+SUM(R136,AJ136)*100+SUM(L136,AD136)+0.002,1,0)+IF(AT136*1000000+SUM(V136,AN136)*10000+SUM(P136,AH136)*100+SUM(J136,AB136)+0.004&gt;AV136*1000000+SUM(X136,AP136)*10000+SUM(R136,AJ136)*100+SUM(L136,AD136)+0.002,1,0)+IF(AU136*1000000+SUM(W136,AO136)*10000+SUM(Q136,AI136)*100+SUM(K136,AC136)+0.003&gt;AV136*1000000+SUM(X136,AP136)*10000+SUM(R136,AJ136)*100+SUM(L136,AD136)+0.002,1,0)+IF(AW136*1000000+SUM(Y136,AQ136)*10000+SUM(S136,AK136)*100+SUM(M136,AE136)+0.001&gt;AV136*1000000+SUM(X136,AP136)*10000+SUM(R136,AJ136)*100+SUM(L136,AD136)+0.002,1,0)=1,"E",IF(IF(AR136*1000000+SUM(T136,AL136)*10000+SUM(N136,AF136)*100+SUM(H136,Z136)+0.006&gt;AW136*1000000+SUM(Y136,AQ136)*10000+SUM(S136,AK136)*100+SUM(M136,AE136)+0.001,1,0)+IF(AS136*1000000+SUM(U136,AM136)*10000+SUM(O136,AG136)*100+SUM(I136,AA136)+0.005&gt;AW136*1000000+SUM(Y136,AQ136)*10000+SUM(S136,AK136)*100+SUM(M136,AE136)+0.001,1,0)+IF(AT136*1000000+SUM(V136,AN136)*10000+SUM(P136,AH136)*100+SUM(J136,AB136)+0.004&gt;AW136*1000000+SUM(Y136,AQ136)*10000+SUM(S136,AK136)*100+SUM(M136,AE136)+0.001,1,0)+IF(AU136*1000000+SUM(W136,AO136)*10000+SUM(Q136,AI136)*100+SUM(K136,AC136)+0.003&gt;AW136*1000000+SUM(Y136,AQ136)*10000+SUM(S136,AK136)*100+SUM(M136,AE136)+0.001,1,0)+IF(AV136*1000000+SUM(X136,AP136)*10000+SUM(R136,AJ136)*100+SUM(L136,AD136)+0.002&gt;AW136*1000000+SUM(Y136,AQ136)*10000+SUM(S136,AK136)*100+SUM(M136,AE136)+0.001,1,0)=1,"C",""))))))&amp;IF(IF(AS136*1000000+SUM(U136,AM136)*10000+SUM(O136,AG136)*100+SUM(I136,AA136)+0.005&gt;AR136*1000000+SUM(T136,AL136)*10000+SUM(N136,AF136)*100+SUM(H136,Z136)+0.006,1,0)+IF(AT136*1000000+SUM(V136,AN136)*10000+SUM(P136,AH136)*100+SUM(J136,AB136)+0.004&gt;AR136*1000000+SUM(T136,AL136)*10000+SUM(N136,AF136)*100+SUM(H136,Z136)+0.006,1,0)+IF(AU136*1000000+SUM(W136,AO136)*10000+SUM(Q136,AI136)*100+SUM(K136,AC136)+0.003&gt;AR136*1000000+SUM(T136,AL136)*10000+SUM(N136,AF136)*100+SUM(H136,Z136)+0.006,1,0)+IF(AV136*1000000+SUM(X136,AP136)*10000+SUM(R136,AJ136)*100+SUM(L136,AD136)+0.002&gt;AR136*1000000+SUM(T136,AL136)*10000+SUM(N136,AF136)*100+SUM(H136,Z136)+0.006,1,0)+IF(AW136*1000000+SUM(Y136,AQ136)*10000+SUM(S136,AK136)*100+SUM(M136,AE136)+0.001&gt;AR136*1000000+SUM(T136,AL136)*10000+SUM(N136,AF136)*100+SUM(H136,Z136)+0.006,1,0)=2,"R",IF(IF(AR136*1000000+SUM(T136,AL136)*10000+SUM(N136,AF136)*100+SUM(H136,Z136)+0.006&gt;AS136*1000000+SUM(U136,AM136)*10000+SUM(O136,AG136)*100+SUM(I136,AA136)+0.005,1,0)+IF(AT136*1000000+SUM(V136,AN136)*10000+SUM(P136,AH136)*100+SUM(J136,AB136)+0.004&gt;AS136*1000000+SUM(U136,AM136)*10000+SUM(O136,AG136)*100+SUM(I136,AA136)+0.005,1,0)+IF(AU136*1000000+SUM(W136,AO136)*10000+SUM(Q136,AI136)*100+SUM(K136,AC136)+0.003&gt;AS136*1000000+SUM(U136,AM136)*10000+SUM(O136,AG136)*100+SUM(I136,AA136)+0.005,1,0)+IF(AV136*1000000+SUM(X136,AP136)*10000+SUM(R136,AJ136)*100+SUM(L136,AD136)+0.002&gt;AS136*1000000+SUM(U136,AM136)*10000+SUM(O136,AG136)*100+SUM(I136,AA136)+0.005,1,0)+IF(AW136*1000000+SUM(Y136,AQ136)*10000+SUM(S136,AK136)*100+SUM(M136,AE136)+0.001&gt;AS136*1000000+SUM(U136,AM136)*10000+SUM(O136,AG136)*100+SUM(I136,AA136)+0.005,1,0)=2,"I",IF(IF(AR136*1000000+SUM(T136,AL136)*10000+SUM(N136,AF136)*100+SUM(H136,Z136)+0.006&gt;AT136*1000000+SUM(V136,AN136)*10000+SUM(P136,AH136)*100+SUM(J136,AB136)+0.004,1,0)+IF(AS136*1000000+SUM(U136,AM136)*10000+SUM(O136,AG136)*100+SUM(I136,AA136)+0.005&gt;AT136*1000000+SUM(V136,AN136)*10000+SUM(P136,AH136)*100+SUM(J136,AB136)+0.004,1,0)+IF(AU136*1000000+SUM(W136,AO136)*10000+SUM(Q136,AI136)*100+SUM(K136,AC136)+0.003&gt;AT136*1000000+SUM(V136,AN136)*10000+SUM(P136,AH136)*100+SUM(J136,AB136)+0.004,1,0)+IF(AV136*1000000+SUM(X136,AP136)*10000+SUM(R136,AJ136)*100+SUM(L136,AD136)+0.002&gt;AT136*1000000+SUM(V136,AN136)*10000+SUM(P136,AH136)*100+SUM(J136,AB136)+0.004,1,0)+IF(AW136*1000000+SUM(Y136,AQ136)*10000+SUM(S136,AK136)*100+SUM(M136,AE136)+0.001&gt;AT136*1000000+SUM(V136,AN136)*10000+SUM(P136,AH136)*100+SUM(J136,AB136)+0.004,1,0)=2,"A",IF(IF(AR136*1000000+SUM(T136,AL136)*10000+SUM(N136,AF136)*100+SUM(H136,Z136)+0.006&gt;AU136*1000000+SUM(W136,AO136)*10000+SUM(Q136,AI136)*100+SUM(K136,AC136)+0.003,1,0)+IF(AS136*1000000+SUM(U136,AM136)*10000+SUM(O136,AG136)*100+SUM(I136,AA136)+0.005&gt;AU136*1000000+SUM(W136,AO136)*10000+SUM(Q136,AI136)*100+SUM(K136,AC136)+0.003,1,0)+IF(AT136*1000000+SUM(V136,AN136)*10000+SUM(P136,AH136)*100+SUM(J136,AB136)+0.004&gt;AU136*1000000+SUM(W136,AO136)*10000+SUM(Q136,AI136)*100+SUM(K136,AC136)+0.003,1,0)+IF(AV136*1000000+SUM(X136,AP136)*10000+SUM(R136,AJ136)*100+SUM(L136,AD136)+0.002&gt;AU136*1000000+SUM(W136,AO136)*10000+SUM(Q136,AI136)*100+SUM(K136,AC136)+0.003,1,0)+IF(AW136*1000000+SUM(Y136,AQ136)*10000+SUM(S136,AK136)*100+SUM(M136,AE136)+0.001&gt;AU136*1000000+SUM(W136,AO136)*10000+SUM(Q136,AI136)*100+SUM(K136,AC136)+0.003,1,0)=2,"S",IF(IF(AR136*1000000+SUM(T136,AL136)*10000+SUM(N136,AF136)*100+SUM(H136,Z136)+0.006&gt;AV136*1000000+SUM(X136,AP136)*10000+SUM(R136,AJ136)*100+SUM(L136,AD136)+0.002,1,0)+IF(AS136*1000000+SUM(U136,AM136)*10000+SUM(O136,AG136)*100+SUM(I136,AA136)+0.005&gt;AV136*1000000+SUM(X136,AP136)*10000+SUM(R136,AJ136)*100+SUM(L136,AD136)+0.002,1,0)+IF(AT136*1000000+SUM(V136,AN136)*10000+SUM(P136,AH136)*100+SUM(J136,AB136)+0.004&gt;AV136*1000000+SUM(X136,AP136)*10000+SUM(R136,AJ136)*100+SUM(L136,AD136)+0.002,1,0)+IF(AU136*1000000+SUM(W136,AO136)*10000+SUM(Q136,AI136)*100+SUM(K136,AC136)+0.003&gt;AV136*1000000+SUM(X136,AP136)*10000+SUM(R136,AJ136)*100+SUM(L136,AD136)+0.002,1,0)+IF(AW136*1000000+SUM(Y136,AQ136)*10000+SUM(S136,AK136)*100+SUM(M136,AE136)+0.001&gt;AV136*1000000+SUM(X136,AP136)*10000+SUM(R136,AJ136)*100+SUM(L136,AD136)+0.002,1,0)=2,"E",IF(IF(AR136*1000000+SUM(T136,AL136)*10000+SUM(N136,AF136)*100+SUM(H136,Z136)+0.006&gt;AW136*1000000+SUM(Y136,AQ136)*10000+SUM(S136,AK136)*100+SUM(M136,AE136)+0.001,1,0)+IF(AS136*1000000+SUM(U136,AM136)*10000+SUM(O136,AG136)*100+SUM(I136,AA136)+0.005&gt;AW136*1000000+SUM(Y136,AQ136)*10000+SUM(S136,AK136)*100+SUM(M136,AE136)+0.001,1,0)+IF(AT136*1000000+SUM(V136,AN136)*10000+SUM(P136,AH136)*100+SUM(J136,AB136)+0.004&gt;AW136*1000000+SUM(Y136,AQ136)*10000+SUM(S136,AK136)*100+SUM(M136,AE136)+0.001,1,0)+IF(AU136*1000000+SUM(W136,AO136)*10000+SUM(Q136,AI136)*100+SUM(K136,AC136)+0.003&gt;AW136*1000000+SUM(Y136,AQ136)*10000+SUM(S136,AK136)*100+SUM(M136,AE136)+0.001,1,0)+IF(AV136*1000000+SUM(X136,AP136)*10000+SUM(R136,AJ136)*100+SUM(L136,AD136)+0.002&gt;AW136*1000000+SUM(Y136,AQ136)*10000+SUM(S136,AK136)*100+SUM(M136,AE136)+0.001,1,0)=2,"C","")))))))</x:f>
      </x:c>
      <x:c r="AY136" s="27" t="str">
        <x:f>IF(C136="","",IF(LEFT(AX136,1)="R","นักปฏิบัติ",IF(LEFT(AX136,1)="I","นักคิดวิเคราะห์",IF(LEFT(AX136,1)="A","นักสร้างสรรค์",IF(LEFT(AX136,1)="S","ผู้เข้าใจผู้คน",IF(LEFT(AX136,1)="E","ผู้นำการเปลี่ยนแปลง","ผู้จัดระบบ"))))))</x:f>
      </x:c>
    </x:row>
    <x:row r="137">
      <x:c r="A137" s="27"/>
      <x:c r="B137" s="28"/>
      <x:c r="C137" s="27"/>
      <x:c r="D137" s="27"/>
      <x:c r="E137" s="27"/>
      <x:c r="F137" s="27"/>
      <x:c r="G137" s="27"/>
      <x:c r="H137" s="27"/>
      <x:c r="I137" s="27"/>
      <x:c r="J137" s="27"/>
      <x:c r="K137" s="27"/>
      <x:c r="L137" s="27"/>
      <x:c r="M137" s="27"/>
      <x:c r="N137" s="27"/>
      <x:c r="O137" s="27"/>
      <x:c r="P137" s="27"/>
      <x:c r="Q137" s="27"/>
      <x:c r="R137" s="27"/>
      <x:c r="S137" s="27"/>
      <x:c r="T137" s="27"/>
      <x:c r="U137" s="27"/>
      <x:c r="V137" s="27"/>
      <x:c r="W137" s="27"/>
      <x:c r="X137" s="27"/>
      <x:c r="Y137" s="27"/>
      <x:c r="Z137" s="27"/>
      <x:c r="AA137" s="27"/>
      <x:c r="AB137" s="27"/>
      <x:c r="AC137" s="27"/>
      <x:c r="AD137" s="27"/>
      <x:c r="AE137" s="27"/>
      <x:c r="AF137" s="27"/>
      <x:c r="AG137" s="27"/>
      <x:c r="AH137" s="27"/>
      <x:c r="AI137" s="27"/>
      <x:c r="AJ137" s="27"/>
      <x:c r="AK137" s="27"/>
      <x:c r="AL137" s="27"/>
      <x:c r="AM137" s="27"/>
      <x:c r="AN137" s="27"/>
      <x:c r="AO137" s="27"/>
      <x:c r="AP137" s="27"/>
      <x:c r="AQ137" s="27"/>
      <x:c r="AR137" s="27" t="str">
        <x:f>IF(C137="","",SUM(H137,N137,T137,Z137,AF137,AL137))</x:f>
      </x:c>
      <x:c r="AS137" s="27" t="str">
        <x:f>IF(C137="","",SUM(I137,O137,U137,AA137,AG137,AM137))</x:f>
      </x:c>
      <x:c r="AT137" s="27" t="str">
        <x:f>IF(C137="","",SUM(J137,P137,V137,AB137,AH137,AN137))</x:f>
      </x:c>
      <x:c r="AU137" s="27" t="str">
        <x:f>IF(C137="","",SUM(K137,Q137,W137,AC137,AI137,AO137))</x:f>
      </x:c>
      <x:c r="AV137" s="27" t="str">
        <x:f>IF(C137="","",SUM(L137,R137,X137,AD137,AJ137,AP137))</x:f>
      </x:c>
      <x:c r="AW137" s="27" t="str">
        <x:f>IF(C137="","",SUM(M137,S137,Y137,AE137,AK137,AQ137))</x:f>
      </x:c>
      <x:c r="AX137" s="27" t="str">
        <x:f>IF(C137="","",IF(IF(AS137*1000000+SUM(U137,AM137)*10000+SUM(O137,AG137)*100+SUM(I137,AA137)+0.005&gt;AR137*1000000+SUM(T137,AL137)*10000+SUM(N137,AF137)*100+SUM(H137,Z137)+0.006,1,0)+IF(AT137*1000000+SUM(V137,AN137)*10000+SUM(P137,AH137)*100+SUM(J137,AB137)+0.004&gt;AR137*1000000+SUM(T137,AL137)*10000+SUM(N137,AF137)*100+SUM(H137,Z137)+0.006,1,0)+IF(AU137*1000000+SUM(W137,AO137)*10000+SUM(Q137,AI137)*100+SUM(K137,AC137)+0.003&gt;AR137*1000000+SUM(T137,AL137)*10000+SUM(N137,AF137)*100+SUM(H137,Z137)+0.006,1,0)+IF(AV137*1000000+SUM(X137,AP137)*10000+SUM(R137,AJ137)*100+SUM(L137,AD137)+0.002&gt;AR137*1000000+SUM(T137,AL137)*10000+SUM(N137,AF137)*100+SUM(H137,Z137)+0.006,1,0)+IF(AW137*1000000+SUM(Y137,AQ137)*10000+SUM(S137,AK137)*100+SUM(M137,AE137)+0.001&gt;AR137*1000000+SUM(T137,AL137)*10000+SUM(N137,AF137)*100+SUM(H137,Z137)+0.006,1,0)=0,"R",IF(IF(AR137*1000000+SUM(T137,AL137)*10000+SUM(N137,AF137)*100+SUM(H137,Z137)+0.006&gt;AS137*1000000+SUM(U137,AM137)*10000+SUM(O137,AG137)*100+SUM(I137,AA137)+0.005,1,0)+IF(AT137*1000000+SUM(V137,AN137)*10000+SUM(P137,AH137)*100+SUM(J137,AB137)+0.004&gt;AS137*1000000+SUM(U137,AM137)*10000+SUM(O137,AG137)*100+SUM(I137,AA137)+0.005,1,0)+IF(AU137*1000000+SUM(W137,AO137)*10000+SUM(Q137,AI137)*100+SUM(K137,AC137)+0.003&gt;AS137*1000000+SUM(U137,AM137)*10000+SUM(O137,AG137)*100+SUM(I137,AA137)+0.005,1,0)+IF(AV137*1000000+SUM(X137,AP137)*10000+SUM(R137,AJ137)*100+SUM(L137,AD137)+0.002&gt;AS137*1000000+SUM(U137,AM137)*10000+SUM(O137,AG137)*100+SUM(I137,AA137)+0.005,1,0)+IF(AW137*1000000+SUM(Y137,AQ137)*10000+SUM(S137,AK137)*100+SUM(M137,AE137)+0.001&gt;AS137*1000000+SUM(U137,AM137)*10000+SUM(O137,AG137)*100+SUM(I137,AA137)+0.005,1,0)=0,"I",IF(IF(AR137*1000000+SUM(T137,AL137)*10000+SUM(N137,AF137)*100+SUM(H137,Z137)+0.006&gt;AT137*1000000+SUM(V137,AN137)*10000+SUM(P137,AH137)*100+SUM(J137,AB137)+0.004,1,0)+IF(AS137*1000000+SUM(U137,AM137)*10000+SUM(O137,AG137)*100+SUM(I137,AA137)+0.005&gt;AT137*1000000+SUM(V137,AN137)*10000+SUM(P137,AH137)*100+SUM(J137,AB137)+0.004,1,0)+IF(AU137*1000000+SUM(W137,AO137)*10000+SUM(Q137,AI137)*100+SUM(K137,AC137)+0.003&gt;AT137*1000000+SUM(V137,AN137)*10000+SUM(P137,AH137)*100+SUM(J137,AB137)+0.004,1,0)+IF(AV137*1000000+SUM(X137,AP137)*10000+SUM(R137,AJ137)*100+SUM(L137,AD137)+0.002&gt;AT137*1000000+SUM(V137,AN137)*10000+SUM(P137,AH137)*100+SUM(J137,AB137)+0.004,1,0)+IF(AW137*1000000+SUM(Y137,AQ137)*10000+SUM(S137,AK137)*100+SUM(M137,AE137)+0.001&gt;AT137*1000000+SUM(V137,AN137)*10000+SUM(P137,AH137)*100+SUM(J137,AB137)+0.004,1,0)=0,"A",IF(IF(AR137*1000000+SUM(T137,AL137)*10000+SUM(N137,AF137)*100+SUM(H137,Z137)+0.006&gt;AU137*1000000+SUM(W137,AO137)*10000+SUM(Q137,AI137)*100+SUM(K137,AC137)+0.003,1,0)+IF(AS137*1000000+SUM(U137,AM137)*10000+SUM(O137,AG137)*100+SUM(I137,AA137)+0.005&gt;AU137*1000000+SUM(W137,AO137)*10000+SUM(Q137,AI137)*100+SUM(K137,AC137)+0.003,1,0)+IF(AT137*1000000+SUM(V137,AN137)*10000+SUM(P137,AH137)*100+SUM(J137,AB137)+0.004&gt;AU137*1000000+SUM(W137,AO137)*10000+SUM(Q137,AI137)*100+SUM(K137,AC137)+0.003,1,0)+IF(AV137*1000000+SUM(X137,AP137)*10000+SUM(R137,AJ137)*100+SUM(L137,AD137)+0.002&gt;AU137*1000000+SUM(W137,AO137)*10000+SUM(Q137,AI137)*100+SUM(K137,AC137)+0.003,1,0)+IF(AW137*1000000+SUM(Y137,AQ137)*10000+SUM(S137,AK137)*100+SUM(M137,AE137)+0.001&gt;AU137*1000000+SUM(W137,AO137)*10000+SUM(Q137,AI137)*100+SUM(K137,AC137)+0.003,1,0)=0,"S",IF(IF(AR137*1000000+SUM(T137,AL137)*10000+SUM(N137,AF137)*100+SUM(H137,Z137)+0.006&gt;AV137*1000000+SUM(X137,AP137)*10000+SUM(R137,AJ137)*100+SUM(L137,AD137)+0.002,1,0)+IF(AS137*1000000+SUM(U137,AM137)*10000+SUM(O137,AG137)*100+SUM(I137,AA137)+0.005&gt;AV137*1000000+SUM(X137,AP137)*10000+SUM(R137,AJ137)*100+SUM(L137,AD137)+0.002,1,0)+IF(AT137*1000000+SUM(V137,AN137)*10000+SUM(P137,AH137)*100+SUM(J137,AB137)+0.004&gt;AV137*1000000+SUM(X137,AP137)*10000+SUM(R137,AJ137)*100+SUM(L137,AD137)+0.002,1,0)+IF(AU137*1000000+SUM(W137,AO137)*10000+SUM(Q137,AI137)*100+SUM(K137,AC137)+0.003&gt;AV137*1000000+SUM(X137,AP137)*10000+SUM(R137,AJ137)*100+SUM(L137,AD137)+0.002,1,0)+IF(AW137*1000000+SUM(Y137,AQ137)*10000+SUM(S137,AK137)*100+SUM(M137,AE137)+0.001&gt;AV137*1000000+SUM(X137,AP137)*10000+SUM(R137,AJ137)*100+SUM(L137,AD137)+0.002,1,0)=0,"E",IF(IF(AR137*1000000+SUM(T137,AL137)*10000+SUM(N137,AF137)*100+SUM(H137,Z137)+0.006&gt;AW137*1000000+SUM(Y137,AQ137)*10000+SUM(S137,AK137)*100+SUM(M137,AE137)+0.001,1,0)+IF(AS137*1000000+SUM(U137,AM137)*10000+SUM(O137,AG137)*100+SUM(I137,AA137)+0.005&gt;AW137*1000000+SUM(Y137,AQ137)*10000+SUM(S137,AK137)*100+SUM(M137,AE137)+0.001,1,0)+IF(AT137*1000000+SUM(V137,AN137)*10000+SUM(P137,AH137)*100+SUM(J137,AB137)+0.004&gt;AW137*1000000+SUM(Y137,AQ137)*10000+SUM(S137,AK137)*100+SUM(M137,AE137)+0.001,1,0)+IF(AU137*1000000+SUM(W137,AO137)*10000+SUM(Q137,AI137)*100+SUM(K137,AC137)+0.003&gt;AW137*1000000+SUM(Y137,AQ137)*10000+SUM(S137,AK137)*100+SUM(M137,AE137)+0.001,1,0)+IF(AV137*1000000+SUM(X137,AP137)*10000+SUM(R137,AJ137)*100+SUM(L137,AD137)+0.002&gt;AW137*1000000+SUM(Y137,AQ137)*10000+SUM(S137,AK137)*100+SUM(M137,AE137)+0.001,1,0)=0,"C",""))))))&amp;IF(IF(AS137*1000000+SUM(U137,AM137)*10000+SUM(O137,AG137)*100+SUM(I137,AA137)+0.005&gt;AR137*1000000+SUM(T137,AL137)*10000+SUM(N137,AF137)*100+SUM(H137,Z137)+0.006,1,0)+IF(AT137*1000000+SUM(V137,AN137)*10000+SUM(P137,AH137)*100+SUM(J137,AB137)+0.004&gt;AR137*1000000+SUM(T137,AL137)*10000+SUM(N137,AF137)*100+SUM(H137,Z137)+0.006,1,0)+IF(AU137*1000000+SUM(W137,AO137)*10000+SUM(Q137,AI137)*100+SUM(K137,AC137)+0.003&gt;AR137*1000000+SUM(T137,AL137)*10000+SUM(N137,AF137)*100+SUM(H137,Z137)+0.006,1,0)+IF(AV137*1000000+SUM(X137,AP137)*10000+SUM(R137,AJ137)*100+SUM(L137,AD137)+0.002&gt;AR137*1000000+SUM(T137,AL137)*10000+SUM(N137,AF137)*100+SUM(H137,Z137)+0.006,1,0)+IF(AW137*1000000+SUM(Y137,AQ137)*10000+SUM(S137,AK137)*100+SUM(M137,AE137)+0.001&gt;AR137*1000000+SUM(T137,AL137)*10000+SUM(N137,AF137)*100+SUM(H137,Z137)+0.006,1,0)=1,"R",IF(IF(AR137*1000000+SUM(T137,AL137)*10000+SUM(N137,AF137)*100+SUM(H137,Z137)+0.006&gt;AS137*1000000+SUM(U137,AM137)*10000+SUM(O137,AG137)*100+SUM(I137,AA137)+0.005,1,0)+IF(AT137*1000000+SUM(V137,AN137)*10000+SUM(P137,AH137)*100+SUM(J137,AB137)+0.004&gt;AS137*1000000+SUM(U137,AM137)*10000+SUM(O137,AG137)*100+SUM(I137,AA137)+0.005,1,0)+IF(AU137*1000000+SUM(W137,AO137)*10000+SUM(Q137,AI137)*100+SUM(K137,AC137)+0.003&gt;AS137*1000000+SUM(U137,AM137)*10000+SUM(O137,AG137)*100+SUM(I137,AA137)+0.005,1,0)+IF(AV137*1000000+SUM(X137,AP137)*10000+SUM(R137,AJ137)*100+SUM(L137,AD137)+0.002&gt;AS137*1000000+SUM(U137,AM137)*10000+SUM(O137,AG137)*100+SUM(I137,AA137)+0.005,1,0)+IF(AW137*1000000+SUM(Y137,AQ137)*10000+SUM(S137,AK137)*100+SUM(M137,AE137)+0.001&gt;AS137*1000000+SUM(U137,AM137)*10000+SUM(O137,AG137)*100+SUM(I137,AA137)+0.005,1,0)=1,"I",IF(IF(AR137*1000000+SUM(T137,AL137)*10000+SUM(N137,AF137)*100+SUM(H137,Z137)+0.006&gt;AT137*1000000+SUM(V137,AN137)*10000+SUM(P137,AH137)*100+SUM(J137,AB137)+0.004,1,0)+IF(AS137*1000000+SUM(U137,AM137)*10000+SUM(O137,AG137)*100+SUM(I137,AA137)+0.005&gt;AT137*1000000+SUM(V137,AN137)*10000+SUM(P137,AH137)*100+SUM(J137,AB137)+0.004,1,0)+IF(AU137*1000000+SUM(W137,AO137)*10000+SUM(Q137,AI137)*100+SUM(K137,AC137)+0.003&gt;AT137*1000000+SUM(V137,AN137)*10000+SUM(P137,AH137)*100+SUM(J137,AB137)+0.004,1,0)+IF(AV137*1000000+SUM(X137,AP137)*10000+SUM(R137,AJ137)*100+SUM(L137,AD137)+0.002&gt;AT137*1000000+SUM(V137,AN137)*10000+SUM(P137,AH137)*100+SUM(J137,AB137)+0.004,1,0)+IF(AW137*1000000+SUM(Y137,AQ137)*10000+SUM(S137,AK137)*100+SUM(M137,AE137)+0.001&gt;AT137*1000000+SUM(V137,AN137)*10000+SUM(P137,AH137)*100+SUM(J137,AB137)+0.004,1,0)=1,"A",IF(IF(AR137*1000000+SUM(T137,AL137)*10000+SUM(N137,AF137)*100+SUM(H137,Z137)+0.006&gt;AU137*1000000+SUM(W137,AO137)*10000+SUM(Q137,AI137)*100+SUM(K137,AC137)+0.003,1,0)+IF(AS137*1000000+SUM(U137,AM137)*10000+SUM(O137,AG137)*100+SUM(I137,AA137)+0.005&gt;AU137*1000000+SUM(W137,AO137)*10000+SUM(Q137,AI137)*100+SUM(K137,AC137)+0.003,1,0)+IF(AT137*1000000+SUM(V137,AN137)*10000+SUM(P137,AH137)*100+SUM(J137,AB137)+0.004&gt;AU137*1000000+SUM(W137,AO137)*10000+SUM(Q137,AI137)*100+SUM(K137,AC137)+0.003,1,0)+IF(AV137*1000000+SUM(X137,AP137)*10000+SUM(R137,AJ137)*100+SUM(L137,AD137)+0.002&gt;AU137*1000000+SUM(W137,AO137)*10000+SUM(Q137,AI137)*100+SUM(K137,AC137)+0.003,1,0)+IF(AW137*1000000+SUM(Y137,AQ137)*10000+SUM(S137,AK137)*100+SUM(M137,AE137)+0.001&gt;AU137*1000000+SUM(W137,AO137)*10000+SUM(Q137,AI137)*100+SUM(K137,AC137)+0.003,1,0)=1,"S",IF(IF(AR137*1000000+SUM(T137,AL137)*10000+SUM(N137,AF137)*100+SUM(H137,Z137)+0.006&gt;AV137*1000000+SUM(X137,AP137)*10000+SUM(R137,AJ137)*100+SUM(L137,AD137)+0.002,1,0)+IF(AS137*1000000+SUM(U137,AM137)*10000+SUM(O137,AG137)*100+SUM(I137,AA137)+0.005&gt;AV137*1000000+SUM(X137,AP137)*10000+SUM(R137,AJ137)*100+SUM(L137,AD137)+0.002,1,0)+IF(AT137*1000000+SUM(V137,AN137)*10000+SUM(P137,AH137)*100+SUM(J137,AB137)+0.004&gt;AV137*1000000+SUM(X137,AP137)*10000+SUM(R137,AJ137)*100+SUM(L137,AD137)+0.002,1,0)+IF(AU137*1000000+SUM(W137,AO137)*10000+SUM(Q137,AI137)*100+SUM(K137,AC137)+0.003&gt;AV137*1000000+SUM(X137,AP137)*10000+SUM(R137,AJ137)*100+SUM(L137,AD137)+0.002,1,0)+IF(AW137*1000000+SUM(Y137,AQ137)*10000+SUM(S137,AK137)*100+SUM(M137,AE137)+0.001&gt;AV137*1000000+SUM(X137,AP137)*10000+SUM(R137,AJ137)*100+SUM(L137,AD137)+0.002,1,0)=1,"E",IF(IF(AR137*1000000+SUM(T137,AL137)*10000+SUM(N137,AF137)*100+SUM(H137,Z137)+0.006&gt;AW137*1000000+SUM(Y137,AQ137)*10000+SUM(S137,AK137)*100+SUM(M137,AE137)+0.001,1,0)+IF(AS137*1000000+SUM(U137,AM137)*10000+SUM(O137,AG137)*100+SUM(I137,AA137)+0.005&gt;AW137*1000000+SUM(Y137,AQ137)*10000+SUM(S137,AK137)*100+SUM(M137,AE137)+0.001,1,0)+IF(AT137*1000000+SUM(V137,AN137)*10000+SUM(P137,AH137)*100+SUM(J137,AB137)+0.004&gt;AW137*1000000+SUM(Y137,AQ137)*10000+SUM(S137,AK137)*100+SUM(M137,AE137)+0.001,1,0)+IF(AU137*1000000+SUM(W137,AO137)*10000+SUM(Q137,AI137)*100+SUM(K137,AC137)+0.003&gt;AW137*1000000+SUM(Y137,AQ137)*10000+SUM(S137,AK137)*100+SUM(M137,AE137)+0.001,1,0)+IF(AV137*1000000+SUM(X137,AP137)*10000+SUM(R137,AJ137)*100+SUM(L137,AD137)+0.002&gt;AW137*1000000+SUM(Y137,AQ137)*10000+SUM(S137,AK137)*100+SUM(M137,AE137)+0.001,1,0)=1,"C",""))))))&amp;IF(IF(AS137*1000000+SUM(U137,AM137)*10000+SUM(O137,AG137)*100+SUM(I137,AA137)+0.005&gt;AR137*1000000+SUM(T137,AL137)*10000+SUM(N137,AF137)*100+SUM(H137,Z137)+0.006,1,0)+IF(AT137*1000000+SUM(V137,AN137)*10000+SUM(P137,AH137)*100+SUM(J137,AB137)+0.004&gt;AR137*1000000+SUM(T137,AL137)*10000+SUM(N137,AF137)*100+SUM(H137,Z137)+0.006,1,0)+IF(AU137*1000000+SUM(W137,AO137)*10000+SUM(Q137,AI137)*100+SUM(K137,AC137)+0.003&gt;AR137*1000000+SUM(T137,AL137)*10000+SUM(N137,AF137)*100+SUM(H137,Z137)+0.006,1,0)+IF(AV137*1000000+SUM(X137,AP137)*10000+SUM(R137,AJ137)*100+SUM(L137,AD137)+0.002&gt;AR137*1000000+SUM(T137,AL137)*10000+SUM(N137,AF137)*100+SUM(H137,Z137)+0.006,1,0)+IF(AW137*1000000+SUM(Y137,AQ137)*10000+SUM(S137,AK137)*100+SUM(M137,AE137)+0.001&gt;AR137*1000000+SUM(T137,AL137)*10000+SUM(N137,AF137)*100+SUM(H137,Z137)+0.006,1,0)=2,"R",IF(IF(AR137*1000000+SUM(T137,AL137)*10000+SUM(N137,AF137)*100+SUM(H137,Z137)+0.006&gt;AS137*1000000+SUM(U137,AM137)*10000+SUM(O137,AG137)*100+SUM(I137,AA137)+0.005,1,0)+IF(AT137*1000000+SUM(V137,AN137)*10000+SUM(P137,AH137)*100+SUM(J137,AB137)+0.004&gt;AS137*1000000+SUM(U137,AM137)*10000+SUM(O137,AG137)*100+SUM(I137,AA137)+0.005,1,0)+IF(AU137*1000000+SUM(W137,AO137)*10000+SUM(Q137,AI137)*100+SUM(K137,AC137)+0.003&gt;AS137*1000000+SUM(U137,AM137)*10000+SUM(O137,AG137)*100+SUM(I137,AA137)+0.005,1,0)+IF(AV137*1000000+SUM(X137,AP137)*10000+SUM(R137,AJ137)*100+SUM(L137,AD137)+0.002&gt;AS137*1000000+SUM(U137,AM137)*10000+SUM(O137,AG137)*100+SUM(I137,AA137)+0.005,1,0)+IF(AW137*1000000+SUM(Y137,AQ137)*10000+SUM(S137,AK137)*100+SUM(M137,AE137)+0.001&gt;AS137*1000000+SUM(U137,AM137)*10000+SUM(O137,AG137)*100+SUM(I137,AA137)+0.005,1,0)=2,"I",IF(IF(AR137*1000000+SUM(T137,AL137)*10000+SUM(N137,AF137)*100+SUM(H137,Z137)+0.006&gt;AT137*1000000+SUM(V137,AN137)*10000+SUM(P137,AH137)*100+SUM(J137,AB137)+0.004,1,0)+IF(AS137*1000000+SUM(U137,AM137)*10000+SUM(O137,AG137)*100+SUM(I137,AA137)+0.005&gt;AT137*1000000+SUM(V137,AN137)*10000+SUM(P137,AH137)*100+SUM(J137,AB137)+0.004,1,0)+IF(AU137*1000000+SUM(W137,AO137)*10000+SUM(Q137,AI137)*100+SUM(K137,AC137)+0.003&gt;AT137*1000000+SUM(V137,AN137)*10000+SUM(P137,AH137)*100+SUM(J137,AB137)+0.004,1,0)+IF(AV137*1000000+SUM(X137,AP137)*10000+SUM(R137,AJ137)*100+SUM(L137,AD137)+0.002&gt;AT137*1000000+SUM(V137,AN137)*10000+SUM(P137,AH137)*100+SUM(J137,AB137)+0.004,1,0)+IF(AW137*1000000+SUM(Y137,AQ137)*10000+SUM(S137,AK137)*100+SUM(M137,AE137)+0.001&gt;AT137*1000000+SUM(V137,AN137)*10000+SUM(P137,AH137)*100+SUM(J137,AB137)+0.004,1,0)=2,"A",IF(IF(AR137*1000000+SUM(T137,AL137)*10000+SUM(N137,AF137)*100+SUM(H137,Z137)+0.006&gt;AU137*1000000+SUM(W137,AO137)*10000+SUM(Q137,AI137)*100+SUM(K137,AC137)+0.003,1,0)+IF(AS137*1000000+SUM(U137,AM137)*10000+SUM(O137,AG137)*100+SUM(I137,AA137)+0.005&gt;AU137*1000000+SUM(W137,AO137)*10000+SUM(Q137,AI137)*100+SUM(K137,AC137)+0.003,1,0)+IF(AT137*1000000+SUM(V137,AN137)*10000+SUM(P137,AH137)*100+SUM(J137,AB137)+0.004&gt;AU137*1000000+SUM(W137,AO137)*10000+SUM(Q137,AI137)*100+SUM(K137,AC137)+0.003,1,0)+IF(AV137*1000000+SUM(X137,AP137)*10000+SUM(R137,AJ137)*100+SUM(L137,AD137)+0.002&gt;AU137*1000000+SUM(W137,AO137)*10000+SUM(Q137,AI137)*100+SUM(K137,AC137)+0.003,1,0)+IF(AW137*1000000+SUM(Y137,AQ137)*10000+SUM(S137,AK137)*100+SUM(M137,AE137)+0.001&gt;AU137*1000000+SUM(W137,AO137)*10000+SUM(Q137,AI137)*100+SUM(K137,AC137)+0.003,1,0)=2,"S",IF(IF(AR137*1000000+SUM(T137,AL137)*10000+SUM(N137,AF137)*100+SUM(H137,Z137)+0.006&gt;AV137*1000000+SUM(X137,AP137)*10000+SUM(R137,AJ137)*100+SUM(L137,AD137)+0.002,1,0)+IF(AS137*1000000+SUM(U137,AM137)*10000+SUM(O137,AG137)*100+SUM(I137,AA137)+0.005&gt;AV137*1000000+SUM(X137,AP137)*10000+SUM(R137,AJ137)*100+SUM(L137,AD137)+0.002,1,0)+IF(AT137*1000000+SUM(V137,AN137)*10000+SUM(P137,AH137)*100+SUM(J137,AB137)+0.004&gt;AV137*1000000+SUM(X137,AP137)*10000+SUM(R137,AJ137)*100+SUM(L137,AD137)+0.002,1,0)+IF(AU137*1000000+SUM(W137,AO137)*10000+SUM(Q137,AI137)*100+SUM(K137,AC137)+0.003&gt;AV137*1000000+SUM(X137,AP137)*10000+SUM(R137,AJ137)*100+SUM(L137,AD137)+0.002,1,0)+IF(AW137*1000000+SUM(Y137,AQ137)*10000+SUM(S137,AK137)*100+SUM(M137,AE137)+0.001&gt;AV137*1000000+SUM(X137,AP137)*10000+SUM(R137,AJ137)*100+SUM(L137,AD137)+0.002,1,0)=2,"E",IF(IF(AR137*1000000+SUM(T137,AL137)*10000+SUM(N137,AF137)*100+SUM(H137,Z137)+0.006&gt;AW137*1000000+SUM(Y137,AQ137)*10000+SUM(S137,AK137)*100+SUM(M137,AE137)+0.001,1,0)+IF(AS137*1000000+SUM(U137,AM137)*10000+SUM(O137,AG137)*100+SUM(I137,AA137)+0.005&gt;AW137*1000000+SUM(Y137,AQ137)*10000+SUM(S137,AK137)*100+SUM(M137,AE137)+0.001,1,0)+IF(AT137*1000000+SUM(V137,AN137)*10000+SUM(P137,AH137)*100+SUM(J137,AB137)+0.004&gt;AW137*1000000+SUM(Y137,AQ137)*10000+SUM(S137,AK137)*100+SUM(M137,AE137)+0.001,1,0)+IF(AU137*1000000+SUM(W137,AO137)*10000+SUM(Q137,AI137)*100+SUM(K137,AC137)+0.003&gt;AW137*1000000+SUM(Y137,AQ137)*10000+SUM(S137,AK137)*100+SUM(M137,AE137)+0.001,1,0)+IF(AV137*1000000+SUM(X137,AP137)*10000+SUM(R137,AJ137)*100+SUM(L137,AD137)+0.002&gt;AW137*1000000+SUM(Y137,AQ137)*10000+SUM(S137,AK137)*100+SUM(M137,AE137)+0.001,1,0)=2,"C","")))))))</x:f>
      </x:c>
      <x:c r="AY137" s="27" t="str">
        <x:f>IF(C137="","",IF(LEFT(AX137,1)="R","นักปฏิบัติ",IF(LEFT(AX137,1)="I","นักคิดวิเคราะห์",IF(LEFT(AX137,1)="A","นักสร้างสรรค์",IF(LEFT(AX137,1)="S","ผู้เข้าใจผู้คน",IF(LEFT(AX137,1)="E","ผู้นำการเปลี่ยนแปลง","ผู้จัดระบบ"))))))</x:f>
      </x:c>
    </x:row>
    <x:row r="138">
      <x:c r="A138" s="27"/>
      <x:c r="B138" s="28"/>
      <x:c r="C138" s="27"/>
      <x:c r="D138" s="27"/>
      <x:c r="E138" s="27"/>
      <x:c r="F138" s="27"/>
      <x:c r="G138" s="27"/>
      <x:c r="H138" s="27"/>
      <x:c r="I138" s="27"/>
      <x:c r="J138" s="27"/>
      <x:c r="K138" s="27"/>
      <x:c r="L138" s="27"/>
      <x:c r="M138" s="27"/>
      <x:c r="N138" s="27"/>
      <x:c r="O138" s="27"/>
      <x:c r="P138" s="27"/>
      <x:c r="Q138" s="27"/>
      <x:c r="R138" s="27"/>
      <x:c r="S138" s="27"/>
      <x:c r="T138" s="27"/>
      <x:c r="U138" s="27"/>
      <x:c r="V138" s="27"/>
      <x:c r="W138" s="27"/>
      <x:c r="X138" s="27"/>
      <x:c r="Y138" s="27"/>
      <x:c r="Z138" s="27"/>
      <x:c r="AA138" s="27"/>
      <x:c r="AB138" s="27"/>
      <x:c r="AC138" s="27"/>
      <x:c r="AD138" s="27"/>
      <x:c r="AE138" s="27"/>
      <x:c r="AF138" s="27"/>
      <x:c r="AG138" s="27"/>
      <x:c r="AH138" s="27"/>
      <x:c r="AI138" s="27"/>
      <x:c r="AJ138" s="27"/>
      <x:c r="AK138" s="27"/>
      <x:c r="AL138" s="27"/>
      <x:c r="AM138" s="27"/>
      <x:c r="AN138" s="27"/>
      <x:c r="AO138" s="27"/>
      <x:c r="AP138" s="27"/>
      <x:c r="AQ138" s="27"/>
      <x:c r="AR138" s="27" t="str">
        <x:f>IF(C138="","",SUM(H138,N138,T138,Z138,AF138,AL138))</x:f>
      </x:c>
      <x:c r="AS138" s="27" t="str">
        <x:f>IF(C138="","",SUM(I138,O138,U138,AA138,AG138,AM138))</x:f>
      </x:c>
      <x:c r="AT138" s="27" t="str">
        <x:f>IF(C138="","",SUM(J138,P138,V138,AB138,AH138,AN138))</x:f>
      </x:c>
      <x:c r="AU138" s="27" t="str">
        <x:f>IF(C138="","",SUM(K138,Q138,W138,AC138,AI138,AO138))</x:f>
      </x:c>
      <x:c r="AV138" s="27" t="str">
        <x:f>IF(C138="","",SUM(L138,R138,X138,AD138,AJ138,AP138))</x:f>
      </x:c>
      <x:c r="AW138" s="27" t="str">
        <x:f>IF(C138="","",SUM(M138,S138,Y138,AE138,AK138,AQ138))</x:f>
      </x:c>
      <x:c r="AX138" s="27" t="str">
        <x:f>IF(C138="","",IF(IF(AS138*1000000+SUM(U138,AM138)*10000+SUM(O138,AG138)*100+SUM(I138,AA138)+0.005&gt;AR138*1000000+SUM(T138,AL138)*10000+SUM(N138,AF138)*100+SUM(H138,Z138)+0.006,1,0)+IF(AT138*1000000+SUM(V138,AN138)*10000+SUM(P138,AH138)*100+SUM(J138,AB138)+0.004&gt;AR138*1000000+SUM(T138,AL138)*10000+SUM(N138,AF138)*100+SUM(H138,Z138)+0.006,1,0)+IF(AU138*1000000+SUM(W138,AO138)*10000+SUM(Q138,AI138)*100+SUM(K138,AC138)+0.003&gt;AR138*1000000+SUM(T138,AL138)*10000+SUM(N138,AF138)*100+SUM(H138,Z138)+0.006,1,0)+IF(AV138*1000000+SUM(X138,AP138)*10000+SUM(R138,AJ138)*100+SUM(L138,AD138)+0.002&gt;AR138*1000000+SUM(T138,AL138)*10000+SUM(N138,AF138)*100+SUM(H138,Z138)+0.006,1,0)+IF(AW138*1000000+SUM(Y138,AQ138)*10000+SUM(S138,AK138)*100+SUM(M138,AE138)+0.001&gt;AR138*1000000+SUM(T138,AL138)*10000+SUM(N138,AF138)*100+SUM(H138,Z138)+0.006,1,0)=0,"R",IF(IF(AR138*1000000+SUM(T138,AL138)*10000+SUM(N138,AF138)*100+SUM(H138,Z138)+0.006&gt;AS138*1000000+SUM(U138,AM138)*10000+SUM(O138,AG138)*100+SUM(I138,AA138)+0.005,1,0)+IF(AT138*1000000+SUM(V138,AN138)*10000+SUM(P138,AH138)*100+SUM(J138,AB138)+0.004&gt;AS138*1000000+SUM(U138,AM138)*10000+SUM(O138,AG138)*100+SUM(I138,AA138)+0.005,1,0)+IF(AU138*1000000+SUM(W138,AO138)*10000+SUM(Q138,AI138)*100+SUM(K138,AC138)+0.003&gt;AS138*1000000+SUM(U138,AM138)*10000+SUM(O138,AG138)*100+SUM(I138,AA138)+0.005,1,0)+IF(AV138*1000000+SUM(X138,AP138)*10000+SUM(R138,AJ138)*100+SUM(L138,AD138)+0.002&gt;AS138*1000000+SUM(U138,AM138)*10000+SUM(O138,AG138)*100+SUM(I138,AA138)+0.005,1,0)+IF(AW138*1000000+SUM(Y138,AQ138)*10000+SUM(S138,AK138)*100+SUM(M138,AE138)+0.001&gt;AS138*1000000+SUM(U138,AM138)*10000+SUM(O138,AG138)*100+SUM(I138,AA138)+0.005,1,0)=0,"I",IF(IF(AR138*1000000+SUM(T138,AL138)*10000+SUM(N138,AF138)*100+SUM(H138,Z138)+0.006&gt;AT138*1000000+SUM(V138,AN138)*10000+SUM(P138,AH138)*100+SUM(J138,AB138)+0.004,1,0)+IF(AS138*1000000+SUM(U138,AM138)*10000+SUM(O138,AG138)*100+SUM(I138,AA138)+0.005&gt;AT138*1000000+SUM(V138,AN138)*10000+SUM(P138,AH138)*100+SUM(J138,AB138)+0.004,1,0)+IF(AU138*1000000+SUM(W138,AO138)*10000+SUM(Q138,AI138)*100+SUM(K138,AC138)+0.003&gt;AT138*1000000+SUM(V138,AN138)*10000+SUM(P138,AH138)*100+SUM(J138,AB138)+0.004,1,0)+IF(AV138*1000000+SUM(X138,AP138)*10000+SUM(R138,AJ138)*100+SUM(L138,AD138)+0.002&gt;AT138*1000000+SUM(V138,AN138)*10000+SUM(P138,AH138)*100+SUM(J138,AB138)+0.004,1,0)+IF(AW138*1000000+SUM(Y138,AQ138)*10000+SUM(S138,AK138)*100+SUM(M138,AE138)+0.001&gt;AT138*1000000+SUM(V138,AN138)*10000+SUM(P138,AH138)*100+SUM(J138,AB138)+0.004,1,0)=0,"A",IF(IF(AR138*1000000+SUM(T138,AL138)*10000+SUM(N138,AF138)*100+SUM(H138,Z138)+0.006&gt;AU138*1000000+SUM(W138,AO138)*10000+SUM(Q138,AI138)*100+SUM(K138,AC138)+0.003,1,0)+IF(AS138*1000000+SUM(U138,AM138)*10000+SUM(O138,AG138)*100+SUM(I138,AA138)+0.005&gt;AU138*1000000+SUM(W138,AO138)*10000+SUM(Q138,AI138)*100+SUM(K138,AC138)+0.003,1,0)+IF(AT138*1000000+SUM(V138,AN138)*10000+SUM(P138,AH138)*100+SUM(J138,AB138)+0.004&gt;AU138*1000000+SUM(W138,AO138)*10000+SUM(Q138,AI138)*100+SUM(K138,AC138)+0.003,1,0)+IF(AV138*1000000+SUM(X138,AP138)*10000+SUM(R138,AJ138)*100+SUM(L138,AD138)+0.002&gt;AU138*1000000+SUM(W138,AO138)*10000+SUM(Q138,AI138)*100+SUM(K138,AC138)+0.003,1,0)+IF(AW138*1000000+SUM(Y138,AQ138)*10000+SUM(S138,AK138)*100+SUM(M138,AE138)+0.001&gt;AU138*1000000+SUM(W138,AO138)*10000+SUM(Q138,AI138)*100+SUM(K138,AC138)+0.003,1,0)=0,"S",IF(IF(AR138*1000000+SUM(T138,AL138)*10000+SUM(N138,AF138)*100+SUM(H138,Z138)+0.006&gt;AV138*1000000+SUM(X138,AP138)*10000+SUM(R138,AJ138)*100+SUM(L138,AD138)+0.002,1,0)+IF(AS138*1000000+SUM(U138,AM138)*10000+SUM(O138,AG138)*100+SUM(I138,AA138)+0.005&gt;AV138*1000000+SUM(X138,AP138)*10000+SUM(R138,AJ138)*100+SUM(L138,AD138)+0.002,1,0)+IF(AT138*1000000+SUM(V138,AN138)*10000+SUM(P138,AH138)*100+SUM(J138,AB138)+0.004&gt;AV138*1000000+SUM(X138,AP138)*10000+SUM(R138,AJ138)*100+SUM(L138,AD138)+0.002,1,0)+IF(AU138*1000000+SUM(W138,AO138)*10000+SUM(Q138,AI138)*100+SUM(K138,AC138)+0.003&gt;AV138*1000000+SUM(X138,AP138)*10000+SUM(R138,AJ138)*100+SUM(L138,AD138)+0.002,1,0)+IF(AW138*1000000+SUM(Y138,AQ138)*10000+SUM(S138,AK138)*100+SUM(M138,AE138)+0.001&gt;AV138*1000000+SUM(X138,AP138)*10000+SUM(R138,AJ138)*100+SUM(L138,AD138)+0.002,1,0)=0,"E",IF(IF(AR138*1000000+SUM(T138,AL138)*10000+SUM(N138,AF138)*100+SUM(H138,Z138)+0.006&gt;AW138*1000000+SUM(Y138,AQ138)*10000+SUM(S138,AK138)*100+SUM(M138,AE138)+0.001,1,0)+IF(AS138*1000000+SUM(U138,AM138)*10000+SUM(O138,AG138)*100+SUM(I138,AA138)+0.005&gt;AW138*1000000+SUM(Y138,AQ138)*10000+SUM(S138,AK138)*100+SUM(M138,AE138)+0.001,1,0)+IF(AT138*1000000+SUM(V138,AN138)*10000+SUM(P138,AH138)*100+SUM(J138,AB138)+0.004&gt;AW138*1000000+SUM(Y138,AQ138)*10000+SUM(S138,AK138)*100+SUM(M138,AE138)+0.001,1,0)+IF(AU138*1000000+SUM(W138,AO138)*10000+SUM(Q138,AI138)*100+SUM(K138,AC138)+0.003&gt;AW138*1000000+SUM(Y138,AQ138)*10000+SUM(S138,AK138)*100+SUM(M138,AE138)+0.001,1,0)+IF(AV138*1000000+SUM(X138,AP138)*10000+SUM(R138,AJ138)*100+SUM(L138,AD138)+0.002&gt;AW138*1000000+SUM(Y138,AQ138)*10000+SUM(S138,AK138)*100+SUM(M138,AE138)+0.001,1,0)=0,"C",""))))))&amp;IF(IF(AS138*1000000+SUM(U138,AM138)*10000+SUM(O138,AG138)*100+SUM(I138,AA138)+0.005&gt;AR138*1000000+SUM(T138,AL138)*10000+SUM(N138,AF138)*100+SUM(H138,Z138)+0.006,1,0)+IF(AT138*1000000+SUM(V138,AN138)*10000+SUM(P138,AH138)*100+SUM(J138,AB138)+0.004&gt;AR138*1000000+SUM(T138,AL138)*10000+SUM(N138,AF138)*100+SUM(H138,Z138)+0.006,1,0)+IF(AU138*1000000+SUM(W138,AO138)*10000+SUM(Q138,AI138)*100+SUM(K138,AC138)+0.003&gt;AR138*1000000+SUM(T138,AL138)*10000+SUM(N138,AF138)*100+SUM(H138,Z138)+0.006,1,0)+IF(AV138*1000000+SUM(X138,AP138)*10000+SUM(R138,AJ138)*100+SUM(L138,AD138)+0.002&gt;AR138*1000000+SUM(T138,AL138)*10000+SUM(N138,AF138)*100+SUM(H138,Z138)+0.006,1,0)+IF(AW138*1000000+SUM(Y138,AQ138)*10000+SUM(S138,AK138)*100+SUM(M138,AE138)+0.001&gt;AR138*1000000+SUM(T138,AL138)*10000+SUM(N138,AF138)*100+SUM(H138,Z138)+0.006,1,0)=1,"R",IF(IF(AR138*1000000+SUM(T138,AL138)*10000+SUM(N138,AF138)*100+SUM(H138,Z138)+0.006&gt;AS138*1000000+SUM(U138,AM138)*10000+SUM(O138,AG138)*100+SUM(I138,AA138)+0.005,1,0)+IF(AT138*1000000+SUM(V138,AN138)*10000+SUM(P138,AH138)*100+SUM(J138,AB138)+0.004&gt;AS138*1000000+SUM(U138,AM138)*10000+SUM(O138,AG138)*100+SUM(I138,AA138)+0.005,1,0)+IF(AU138*1000000+SUM(W138,AO138)*10000+SUM(Q138,AI138)*100+SUM(K138,AC138)+0.003&gt;AS138*1000000+SUM(U138,AM138)*10000+SUM(O138,AG138)*100+SUM(I138,AA138)+0.005,1,0)+IF(AV138*1000000+SUM(X138,AP138)*10000+SUM(R138,AJ138)*100+SUM(L138,AD138)+0.002&gt;AS138*1000000+SUM(U138,AM138)*10000+SUM(O138,AG138)*100+SUM(I138,AA138)+0.005,1,0)+IF(AW138*1000000+SUM(Y138,AQ138)*10000+SUM(S138,AK138)*100+SUM(M138,AE138)+0.001&gt;AS138*1000000+SUM(U138,AM138)*10000+SUM(O138,AG138)*100+SUM(I138,AA138)+0.005,1,0)=1,"I",IF(IF(AR138*1000000+SUM(T138,AL138)*10000+SUM(N138,AF138)*100+SUM(H138,Z138)+0.006&gt;AT138*1000000+SUM(V138,AN138)*10000+SUM(P138,AH138)*100+SUM(J138,AB138)+0.004,1,0)+IF(AS138*1000000+SUM(U138,AM138)*10000+SUM(O138,AG138)*100+SUM(I138,AA138)+0.005&gt;AT138*1000000+SUM(V138,AN138)*10000+SUM(P138,AH138)*100+SUM(J138,AB138)+0.004,1,0)+IF(AU138*1000000+SUM(W138,AO138)*10000+SUM(Q138,AI138)*100+SUM(K138,AC138)+0.003&gt;AT138*1000000+SUM(V138,AN138)*10000+SUM(P138,AH138)*100+SUM(J138,AB138)+0.004,1,0)+IF(AV138*1000000+SUM(X138,AP138)*10000+SUM(R138,AJ138)*100+SUM(L138,AD138)+0.002&gt;AT138*1000000+SUM(V138,AN138)*10000+SUM(P138,AH138)*100+SUM(J138,AB138)+0.004,1,0)+IF(AW138*1000000+SUM(Y138,AQ138)*10000+SUM(S138,AK138)*100+SUM(M138,AE138)+0.001&gt;AT138*1000000+SUM(V138,AN138)*10000+SUM(P138,AH138)*100+SUM(J138,AB138)+0.004,1,0)=1,"A",IF(IF(AR138*1000000+SUM(T138,AL138)*10000+SUM(N138,AF138)*100+SUM(H138,Z138)+0.006&gt;AU138*1000000+SUM(W138,AO138)*10000+SUM(Q138,AI138)*100+SUM(K138,AC138)+0.003,1,0)+IF(AS138*1000000+SUM(U138,AM138)*10000+SUM(O138,AG138)*100+SUM(I138,AA138)+0.005&gt;AU138*1000000+SUM(W138,AO138)*10000+SUM(Q138,AI138)*100+SUM(K138,AC138)+0.003,1,0)+IF(AT138*1000000+SUM(V138,AN138)*10000+SUM(P138,AH138)*100+SUM(J138,AB138)+0.004&gt;AU138*1000000+SUM(W138,AO138)*10000+SUM(Q138,AI138)*100+SUM(K138,AC138)+0.003,1,0)+IF(AV138*1000000+SUM(X138,AP138)*10000+SUM(R138,AJ138)*100+SUM(L138,AD138)+0.002&gt;AU138*1000000+SUM(W138,AO138)*10000+SUM(Q138,AI138)*100+SUM(K138,AC138)+0.003,1,0)+IF(AW138*1000000+SUM(Y138,AQ138)*10000+SUM(S138,AK138)*100+SUM(M138,AE138)+0.001&gt;AU138*1000000+SUM(W138,AO138)*10000+SUM(Q138,AI138)*100+SUM(K138,AC138)+0.003,1,0)=1,"S",IF(IF(AR138*1000000+SUM(T138,AL138)*10000+SUM(N138,AF138)*100+SUM(H138,Z138)+0.006&gt;AV138*1000000+SUM(X138,AP138)*10000+SUM(R138,AJ138)*100+SUM(L138,AD138)+0.002,1,0)+IF(AS138*1000000+SUM(U138,AM138)*10000+SUM(O138,AG138)*100+SUM(I138,AA138)+0.005&gt;AV138*1000000+SUM(X138,AP138)*10000+SUM(R138,AJ138)*100+SUM(L138,AD138)+0.002,1,0)+IF(AT138*1000000+SUM(V138,AN138)*10000+SUM(P138,AH138)*100+SUM(J138,AB138)+0.004&gt;AV138*1000000+SUM(X138,AP138)*10000+SUM(R138,AJ138)*100+SUM(L138,AD138)+0.002,1,0)+IF(AU138*1000000+SUM(W138,AO138)*10000+SUM(Q138,AI138)*100+SUM(K138,AC138)+0.003&gt;AV138*1000000+SUM(X138,AP138)*10000+SUM(R138,AJ138)*100+SUM(L138,AD138)+0.002,1,0)+IF(AW138*1000000+SUM(Y138,AQ138)*10000+SUM(S138,AK138)*100+SUM(M138,AE138)+0.001&gt;AV138*1000000+SUM(X138,AP138)*10000+SUM(R138,AJ138)*100+SUM(L138,AD138)+0.002,1,0)=1,"E",IF(IF(AR138*1000000+SUM(T138,AL138)*10000+SUM(N138,AF138)*100+SUM(H138,Z138)+0.006&gt;AW138*1000000+SUM(Y138,AQ138)*10000+SUM(S138,AK138)*100+SUM(M138,AE138)+0.001,1,0)+IF(AS138*1000000+SUM(U138,AM138)*10000+SUM(O138,AG138)*100+SUM(I138,AA138)+0.005&gt;AW138*1000000+SUM(Y138,AQ138)*10000+SUM(S138,AK138)*100+SUM(M138,AE138)+0.001,1,0)+IF(AT138*1000000+SUM(V138,AN138)*10000+SUM(P138,AH138)*100+SUM(J138,AB138)+0.004&gt;AW138*1000000+SUM(Y138,AQ138)*10000+SUM(S138,AK138)*100+SUM(M138,AE138)+0.001,1,0)+IF(AU138*1000000+SUM(W138,AO138)*10000+SUM(Q138,AI138)*100+SUM(K138,AC138)+0.003&gt;AW138*1000000+SUM(Y138,AQ138)*10000+SUM(S138,AK138)*100+SUM(M138,AE138)+0.001,1,0)+IF(AV138*1000000+SUM(X138,AP138)*10000+SUM(R138,AJ138)*100+SUM(L138,AD138)+0.002&gt;AW138*1000000+SUM(Y138,AQ138)*10000+SUM(S138,AK138)*100+SUM(M138,AE138)+0.001,1,0)=1,"C",""))))))&amp;IF(IF(AS138*1000000+SUM(U138,AM138)*10000+SUM(O138,AG138)*100+SUM(I138,AA138)+0.005&gt;AR138*1000000+SUM(T138,AL138)*10000+SUM(N138,AF138)*100+SUM(H138,Z138)+0.006,1,0)+IF(AT138*1000000+SUM(V138,AN138)*10000+SUM(P138,AH138)*100+SUM(J138,AB138)+0.004&gt;AR138*1000000+SUM(T138,AL138)*10000+SUM(N138,AF138)*100+SUM(H138,Z138)+0.006,1,0)+IF(AU138*1000000+SUM(W138,AO138)*10000+SUM(Q138,AI138)*100+SUM(K138,AC138)+0.003&gt;AR138*1000000+SUM(T138,AL138)*10000+SUM(N138,AF138)*100+SUM(H138,Z138)+0.006,1,0)+IF(AV138*1000000+SUM(X138,AP138)*10000+SUM(R138,AJ138)*100+SUM(L138,AD138)+0.002&gt;AR138*1000000+SUM(T138,AL138)*10000+SUM(N138,AF138)*100+SUM(H138,Z138)+0.006,1,0)+IF(AW138*1000000+SUM(Y138,AQ138)*10000+SUM(S138,AK138)*100+SUM(M138,AE138)+0.001&gt;AR138*1000000+SUM(T138,AL138)*10000+SUM(N138,AF138)*100+SUM(H138,Z138)+0.006,1,0)=2,"R",IF(IF(AR138*1000000+SUM(T138,AL138)*10000+SUM(N138,AF138)*100+SUM(H138,Z138)+0.006&gt;AS138*1000000+SUM(U138,AM138)*10000+SUM(O138,AG138)*100+SUM(I138,AA138)+0.005,1,0)+IF(AT138*1000000+SUM(V138,AN138)*10000+SUM(P138,AH138)*100+SUM(J138,AB138)+0.004&gt;AS138*1000000+SUM(U138,AM138)*10000+SUM(O138,AG138)*100+SUM(I138,AA138)+0.005,1,0)+IF(AU138*1000000+SUM(W138,AO138)*10000+SUM(Q138,AI138)*100+SUM(K138,AC138)+0.003&gt;AS138*1000000+SUM(U138,AM138)*10000+SUM(O138,AG138)*100+SUM(I138,AA138)+0.005,1,0)+IF(AV138*1000000+SUM(X138,AP138)*10000+SUM(R138,AJ138)*100+SUM(L138,AD138)+0.002&gt;AS138*1000000+SUM(U138,AM138)*10000+SUM(O138,AG138)*100+SUM(I138,AA138)+0.005,1,0)+IF(AW138*1000000+SUM(Y138,AQ138)*10000+SUM(S138,AK138)*100+SUM(M138,AE138)+0.001&gt;AS138*1000000+SUM(U138,AM138)*10000+SUM(O138,AG138)*100+SUM(I138,AA138)+0.005,1,0)=2,"I",IF(IF(AR138*1000000+SUM(T138,AL138)*10000+SUM(N138,AF138)*100+SUM(H138,Z138)+0.006&gt;AT138*1000000+SUM(V138,AN138)*10000+SUM(P138,AH138)*100+SUM(J138,AB138)+0.004,1,0)+IF(AS138*1000000+SUM(U138,AM138)*10000+SUM(O138,AG138)*100+SUM(I138,AA138)+0.005&gt;AT138*1000000+SUM(V138,AN138)*10000+SUM(P138,AH138)*100+SUM(J138,AB138)+0.004,1,0)+IF(AU138*1000000+SUM(W138,AO138)*10000+SUM(Q138,AI138)*100+SUM(K138,AC138)+0.003&gt;AT138*1000000+SUM(V138,AN138)*10000+SUM(P138,AH138)*100+SUM(J138,AB138)+0.004,1,0)+IF(AV138*1000000+SUM(X138,AP138)*10000+SUM(R138,AJ138)*100+SUM(L138,AD138)+0.002&gt;AT138*1000000+SUM(V138,AN138)*10000+SUM(P138,AH138)*100+SUM(J138,AB138)+0.004,1,0)+IF(AW138*1000000+SUM(Y138,AQ138)*10000+SUM(S138,AK138)*100+SUM(M138,AE138)+0.001&gt;AT138*1000000+SUM(V138,AN138)*10000+SUM(P138,AH138)*100+SUM(J138,AB138)+0.004,1,0)=2,"A",IF(IF(AR138*1000000+SUM(T138,AL138)*10000+SUM(N138,AF138)*100+SUM(H138,Z138)+0.006&gt;AU138*1000000+SUM(W138,AO138)*10000+SUM(Q138,AI138)*100+SUM(K138,AC138)+0.003,1,0)+IF(AS138*1000000+SUM(U138,AM138)*10000+SUM(O138,AG138)*100+SUM(I138,AA138)+0.005&gt;AU138*1000000+SUM(W138,AO138)*10000+SUM(Q138,AI138)*100+SUM(K138,AC138)+0.003,1,0)+IF(AT138*1000000+SUM(V138,AN138)*10000+SUM(P138,AH138)*100+SUM(J138,AB138)+0.004&gt;AU138*1000000+SUM(W138,AO138)*10000+SUM(Q138,AI138)*100+SUM(K138,AC138)+0.003,1,0)+IF(AV138*1000000+SUM(X138,AP138)*10000+SUM(R138,AJ138)*100+SUM(L138,AD138)+0.002&gt;AU138*1000000+SUM(W138,AO138)*10000+SUM(Q138,AI138)*100+SUM(K138,AC138)+0.003,1,0)+IF(AW138*1000000+SUM(Y138,AQ138)*10000+SUM(S138,AK138)*100+SUM(M138,AE138)+0.001&gt;AU138*1000000+SUM(W138,AO138)*10000+SUM(Q138,AI138)*100+SUM(K138,AC138)+0.003,1,0)=2,"S",IF(IF(AR138*1000000+SUM(T138,AL138)*10000+SUM(N138,AF138)*100+SUM(H138,Z138)+0.006&gt;AV138*1000000+SUM(X138,AP138)*10000+SUM(R138,AJ138)*100+SUM(L138,AD138)+0.002,1,0)+IF(AS138*1000000+SUM(U138,AM138)*10000+SUM(O138,AG138)*100+SUM(I138,AA138)+0.005&gt;AV138*1000000+SUM(X138,AP138)*10000+SUM(R138,AJ138)*100+SUM(L138,AD138)+0.002,1,0)+IF(AT138*1000000+SUM(V138,AN138)*10000+SUM(P138,AH138)*100+SUM(J138,AB138)+0.004&gt;AV138*1000000+SUM(X138,AP138)*10000+SUM(R138,AJ138)*100+SUM(L138,AD138)+0.002,1,0)+IF(AU138*1000000+SUM(W138,AO138)*10000+SUM(Q138,AI138)*100+SUM(K138,AC138)+0.003&gt;AV138*1000000+SUM(X138,AP138)*10000+SUM(R138,AJ138)*100+SUM(L138,AD138)+0.002,1,0)+IF(AW138*1000000+SUM(Y138,AQ138)*10000+SUM(S138,AK138)*100+SUM(M138,AE138)+0.001&gt;AV138*1000000+SUM(X138,AP138)*10000+SUM(R138,AJ138)*100+SUM(L138,AD138)+0.002,1,0)=2,"E",IF(IF(AR138*1000000+SUM(T138,AL138)*10000+SUM(N138,AF138)*100+SUM(H138,Z138)+0.006&gt;AW138*1000000+SUM(Y138,AQ138)*10000+SUM(S138,AK138)*100+SUM(M138,AE138)+0.001,1,0)+IF(AS138*1000000+SUM(U138,AM138)*10000+SUM(O138,AG138)*100+SUM(I138,AA138)+0.005&gt;AW138*1000000+SUM(Y138,AQ138)*10000+SUM(S138,AK138)*100+SUM(M138,AE138)+0.001,1,0)+IF(AT138*1000000+SUM(V138,AN138)*10000+SUM(P138,AH138)*100+SUM(J138,AB138)+0.004&gt;AW138*1000000+SUM(Y138,AQ138)*10000+SUM(S138,AK138)*100+SUM(M138,AE138)+0.001,1,0)+IF(AU138*1000000+SUM(W138,AO138)*10000+SUM(Q138,AI138)*100+SUM(K138,AC138)+0.003&gt;AW138*1000000+SUM(Y138,AQ138)*10000+SUM(S138,AK138)*100+SUM(M138,AE138)+0.001,1,0)+IF(AV138*1000000+SUM(X138,AP138)*10000+SUM(R138,AJ138)*100+SUM(L138,AD138)+0.002&gt;AW138*1000000+SUM(Y138,AQ138)*10000+SUM(S138,AK138)*100+SUM(M138,AE138)+0.001,1,0)=2,"C","")))))))</x:f>
      </x:c>
      <x:c r="AY138" s="27" t="str">
        <x:f>IF(C138="","",IF(LEFT(AX138,1)="R","นักปฏิบัติ",IF(LEFT(AX138,1)="I","นักคิดวิเคราะห์",IF(LEFT(AX138,1)="A","นักสร้างสรรค์",IF(LEFT(AX138,1)="S","ผู้เข้าใจผู้คน",IF(LEFT(AX138,1)="E","ผู้นำการเปลี่ยนแปลง","ผู้จัดระบบ"))))))</x:f>
      </x:c>
    </x:row>
    <x:row r="139">
      <x:c r="A139" s="27"/>
      <x:c r="B139" s="28"/>
      <x:c r="C139" s="27"/>
      <x:c r="D139" s="27"/>
      <x:c r="E139" s="27"/>
      <x:c r="F139" s="27"/>
      <x:c r="G139" s="27"/>
      <x:c r="H139" s="27"/>
      <x:c r="I139" s="27"/>
      <x:c r="J139" s="27"/>
      <x:c r="K139" s="27"/>
      <x:c r="L139" s="27"/>
      <x:c r="M139" s="27"/>
      <x:c r="N139" s="27"/>
      <x:c r="O139" s="27"/>
      <x:c r="P139" s="27"/>
      <x:c r="Q139" s="27"/>
      <x:c r="R139" s="27"/>
      <x:c r="S139" s="27"/>
      <x:c r="T139" s="27"/>
      <x:c r="U139" s="27"/>
      <x:c r="V139" s="27"/>
      <x:c r="W139" s="27"/>
      <x:c r="X139" s="27"/>
      <x:c r="Y139" s="27"/>
      <x:c r="Z139" s="27"/>
      <x:c r="AA139" s="27"/>
      <x:c r="AB139" s="27"/>
      <x:c r="AC139" s="27"/>
      <x:c r="AD139" s="27"/>
      <x:c r="AE139" s="27"/>
      <x:c r="AF139" s="27"/>
      <x:c r="AG139" s="27"/>
      <x:c r="AH139" s="27"/>
      <x:c r="AI139" s="27"/>
      <x:c r="AJ139" s="27"/>
      <x:c r="AK139" s="27"/>
      <x:c r="AL139" s="27"/>
      <x:c r="AM139" s="27"/>
      <x:c r="AN139" s="27"/>
      <x:c r="AO139" s="27"/>
      <x:c r="AP139" s="27"/>
      <x:c r="AQ139" s="27"/>
      <x:c r="AR139" s="27" t="str">
        <x:f>IF(C139="","",SUM(H139,N139,T139,Z139,AF139,AL139))</x:f>
      </x:c>
      <x:c r="AS139" s="27" t="str">
        <x:f>IF(C139="","",SUM(I139,O139,U139,AA139,AG139,AM139))</x:f>
      </x:c>
      <x:c r="AT139" s="27" t="str">
        <x:f>IF(C139="","",SUM(J139,P139,V139,AB139,AH139,AN139))</x:f>
      </x:c>
      <x:c r="AU139" s="27" t="str">
        <x:f>IF(C139="","",SUM(K139,Q139,W139,AC139,AI139,AO139))</x:f>
      </x:c>
      <x:c r="AV139" s="27" t="str">
        <x:f>IF(C139="","",SUM(L139,R139,X139,AD139,AJ139,AP139))</x:f>
      </x:c>
      <x:c r="AW139" s="27" t="str">
        <x:f>IF(C139="","",SUM(M139,S139,Y139,AE139,AK139,AQ139))</x:f>
      </x:c>
      <x:c r="AX139" s="27" t="str">
        <x:f>IF(C139="","",IF(IF(AS139*1000000+SUM(U139,AM139)*10000+SUM(O139,AG139)*100+SUM(I139,AA139)+0.005&gt;AR139*1000000+SUM(T139,AL139)*10000+SUM(N139,AF139)*100+SUM(H139,Z139)+0.006,1,0)+IF(AT139*1000000+SUM(V139,AN139)*10000+SUM(P139,AH139)*100+SUM(J139,AB139)+0.004&gt;AR139*1000000+SUM(T139,AL139)*10000+SUM(N139,AF139)*100+SUM(H139,Z139)+0.006,1,0)+IF(AU139*1000000+SUM(W139,AO139)*10000+SUM(Q139,AI139)*100+SUM(K139,AC139)+0.003&gt;AR139*1000000+SUM(T139,AL139)*10000+SUM(N139,AF139)*100+SUM(H139,Z139)+0.006,1,0)+IF(AV139*1000000+SUM(X139,AP139)*10000+SUM(R139,AJ139)*100+SUM(L139,AD139)+0.002&gt;AR139*1000000+SUM(T139,AL139)*10000+SUM(N139,AF139)*100+SUM(H139,Z139)+0.006,1,0)+IF(AW139*1000000+SUM(Y139,AQ139)*10000+SUM(S139,AK139)*100+SUM(M139,AE139)+0.001&gt;AR139*1000000+SUM(T139,AL139)*10000+SUM(N139,AF139)*100+SUM(H139,Z139)+0.006,1,0)=0,"R",IF(IF(AR139*1000000+SUM(T139,AL139)*10000+SUM(N139,AF139)*100+SUM(H139,Z139)+0.006&gt;AS139*1000000+SUM(U139,AM139)*10000+SUM(O139,AG139)*100+SUM(I139,AA139)+0.005,1,0)+IF(AT139*1000000+SUM(V139,AN139)*10000+SUM(P139,AH139)*100+SUM(J139,AB139)+0.004&gt;AS139*1000000+SUM(U139,AM139)*10000+SUM(O139,AG139)*100+SUM(I139,AA139)+0.005,1,0)+IF(AU139*1000000+SUM(W139,AO139)*10000+SUM(Q139,AI139)*100+SUM(K139,AC139)+0.003&gt;AS139*1000000+SUM(U139,AM139)*10000+SUM(O139,AG139)*100+SUM(I139,AA139)+0.005,1,0)+IF(AV139*1000000+SUM(X139,AP139)*10000+SUM(R139,AJ139)*100+SUM(L139,AD139)+0.002&gt;AS139*1000000+SUM(U139,AM139)*10000+SUM(O139,AG139)*100+SUM(I139,AA139)+0.005,1,0)+IF(AW139*1000000+SUM(Y139,AQ139)*10000+SUM(S139,AK139)*100+SUM(M139,AE139)+0.001&gt;AS139*1000000+SUM(U139,AM139)*10000+SUM(O139,AG139)*100+SUM(I139,AA139)+0.005,1,0)=0,"I",IF(IF(AR139*1000000+SUM(T139,AL139)*10000+SUM(N139,AF139)*100+SUM(H139,Z139)+0.006&gt;AT139*1000000+SUM(V139,AN139)*10000+SUM(P139,AH139)*100+SUM(J139,AB139)+0.004,1,0)+IF(AS139*1000000+SUM(U139,AM139)*10000+SUM(O139,AG139)*100+SUM(I139,AA139)+0.005&gt;AT139*1000000+SUM(V139,AN139)*10000+SUM(P139,AH139)*100+SUM(J139,AB139)+0.004,1,0)+IF(AU139*1000000+SUM(W139,AO139)*10000+SUM(Q139,AI139)*100+SUM(K139,AC139)+0.003&gt;AT139*1000000+SUM(V139,AN139)*10000+SUM(P139,AH139)*100+SUM(J139,AB139)+0.004,1,0)+IF(AV139*1000000+SUM(X139,AP139)*10000+SUM(R139,AJ139)*100+SUM(L139,AD139)+0.002&gt;AT139*1000000+SUM(V139,AN139)*10000+SUM(P139,AH139)*100+SUM(J139,AB139)+0.004,1,0)+IF(AW139*1000000+SUM(Y139,AQ139)*10000+SUM(S139,AK139)*100+SUM(M139,AE139)+0.001&gt;AT139*1000000+SUM(V139,AN139)*10000+SUM(P139,AH139)*100+SUM(J139,AB139)+0.004,1,0)=0,"A",IF(IF(AR139*1000000+SUM(T139,AL139)*10000+SUM(N139,AF139)*100+SUM(H139,Z139)+0.006&gt;AU139*1000000+SUM(W139,AO139)*10000+SUM(Q139,AI139)*100+SUM(K139,AC139)+0.003,1,0)+IF(AS139*1000000+SUM(U139,AM139)*10000+SUM(O139,AG139)*100+SUM(I139,AA139)+0.005&gt;AU139*1000000+SUM(W139,AO139)*10000+SUM(Q139,AI139)*100+SUM(K139,AC139)+0.003,1,0)+IF(AT139*1000000+SUM(V139,AN139)*10000+SUM(P139,AH139)*100+SUM(J139,AB139)+0.004&gt;AU139*1000000+SUM(W139,AO139)*10000+SUM(Q139,AI139)*100+SUM(K139,AC139)+0.003,1,0)+IF(AV139*1000000+SUM(X139,AP139)*10000+SUM(R139,AJ139)*100+SUM(L139,AD139)+0.002&gt;AU139*1000000+SUM(W139,AO139)*10000+SUM(Q139,AI139)*100+SUM(K139,AC139)+0.003,1,0)+IF(AW139*1000000+SUM(Y139,AQ139)*10000+SUM(S139,AK139)*100+SUM(M139,AE139)+0.001&gt;AU139*1000000+SUM(W139,AO139)*10000+SUM(Q139,AI139)*100+SUM(K139,AC139)+0.003,1,0)=0,"S",IF(IF(AR139*1000000+SUM(T139,AL139)*10000+SUM(N139,AF139)*100+SUM(H139,Z139)+0.006&gt;AV139*1000000+SUM(X139,AP139)*10000+SUM(R139,AJ139)*100+SUM(L139,AD139)+0.002,1,0)+IF(AS139*1000000+SUM(U139,AM139)*10000+SUM(O139,AG139)*100+SUM(I139,AA139)+0.005&gt;AV139*1000000+SUM(X139,AP139)*10000+SUM(R139,AJ139)*100+SUM(L139,AD139)+0.002,1,0)+IF(AT139*1000000+SUM(V139,AN139)*10000+SUM(P139,AH139)*100+SUM(J139,AB139)+0.004&gt;AV139*1000000+SUM(X139,AP139)*10000+SUM(R139,AJ139)*100+SUM(L139,AD139)+0.002,1,0)+IF(AU139*1000000+SUM(W139,AO139)*10000+SUM(Q139,AI139)*100+SUM(K139,AC139)+0.003&gt;AV139*1000000+SUM(X139,AP139)*10000+SUM(R139,AJ139)*100+SUM(L139,AD139)+0.002,1,0)+IF(AW139*1000000+SUM(Y139,AQ139)*10000+SUM(S139,AK139)*100+SUM(M139,AE139)+0.001&gt;AV139*1000000+SUM(X139,AP139)*10000+SUM(R139,AJ139)*100+SUM(L139,AD139)+0.002,1,0)=0,"E",IF(IF(AR139*1000000+SUM(T139,AL139)*10000+SUM(N139,AF139)*100+SUM(H139,Z139)+0.006&gt;AW139*1000000+SUM(Y139,AQ139)*10000+SUM(S139,AK139)*100+SUM(M139,AE139)+0.001,1,0)+IF(AS139*1000000+SUM(U139,AM139)*10000+SUM(O139,AG139)*100+SUM(I139,AA139)+0.005&gt;AW139*1000000+SUM(Y139,AQ139)*10000+SUM(S139,AK139)*100+SUM(M139,AE139)+0.001,1,0)+IF(AT139*1000000+SUM(V139,AN139)*10000+SUM(P139,AH139)*100+SUM(J139,AB139)+0.004&gt;AW139*1000000+SUM(Y139,AQ139)*10000+SUM(S139,AK139)*100+SUM(M139,AE139)+0.001,1,0)+IF(AU139*1000000+SUM(W139,AO139)*10000+SUM(Q139,AI139)*100+SUM(K139,AC139)+0.003&gt;AW139*1000000+SUM(Y139,AQ139)*10000+SUM(S139,AK139)*100+SUM(M139,AE139)+0.001,1,0)+IF(AV139*1000000+SUM(X139,AP139)*10000+SUM(R139,AJ139)*100+SUM(L139,AD139)+0.002&gt;AW139*1000000+SUM(Y139,AQ139)*10000+SUM(S139,AK139)*100+SUM(M139,AE139)+0.001,1,0)=0,"C",""))))))&amp;IF(IF(AS139*1000000+SUM(U139,AM139)*10000+SUM(O139,AG139)*100+SUM(I139,AA139)+0.005&gt;AR139*1000000+SUM(T139,AL139)*10000+SUM(N139,AF139)*100+SUM(H139,Z139)+0.006,1,0)+IF(AT139*1000000+SUM(V139,AN139)*10000+SUM(P139,AH139)*100+SUM(J139,AB139)+0.004&gt;AR139*1000000+SUM(T139,AL139)*10000+SUM(N139,AF139)*100+SUM(H139,Z139)+0.006,1,0)+IF(AU139*1000000+SUM(W139,AO139)*10000+SUM(Q139,AI139)*100+SUM(K139,AC139)+0.003&gt;AR139*1000000+SUM(T139,AL139)*10000+SUM(N139,AF139)*100+SUM(H139,Z139)+0.006,1,0)+IF(AV139*1000000+SUM(X139,AP139)*10000+SUM(R139,AJ139)*100+SUM(L139,AD139)+0.002&gt;AR139*1000000+SUM(T139,AL139)*10000+SUM(N139,AF139)*100+SUM(H139,Z139)+0.006,1,0)+IF(AW139*1000000+SUM(Y139,AQ139)*10000+SUM(S139,AK139)*100+SUM(M139,AE139)+0.001&gt;AR139*1000000+SUM(T139,AL139)*10000+SUM(N139,AF139)*100+SUM(H139,Z139)+0.006,1,0)=1,"R",IF(IF(AR139*1000000+SUM(T139,AL139)*10000+SUM(N139,AF139)*100+SUM(H139,Z139)+0.006&gt;AS139*1000000+SUM(U139,AM139)*10000+SUM(O139,AG139)*100+SUM(I139,AA139)+0.005,1,0)+IF(AT139*1000000+SUM(V139,AN139)*10000+SUM(P139,AH139)*100+SUM(J139,AB139)+0.004&gt;AS139*1000000+SUM(U139,AM139)*10000+SUM(O139,AG139)*100+SUM(I139,AA139)+0.005,1,0)+IF(AU139*1000000+SUM(W139,AO139)*10000+SUM(Q139,AI139)*100+SUM(K139,AC139)+0.003&gt;AS139*1000000+SUM(U139,AM139)*10000+SUM(O139,AG139)*100+SUM(I139,AA139)+0.005,1,0)+IF(AV139*1000000+SUM(X139,AP139)*10000+SUM(R139,AJ139)*100+SUM(L139,AD139)+0.002&gt;AS139*1000000+SUM(U139,AM139)*10000+SUM(O139,AG139)*100+SUM(I139,AA139)+0.005,1,0)+IF(AW139*1000000+SUM(Y139,AQ139)*10000+SUM(S139,AK139)*100+SUM(M139,AE139)+0.001&gt;AS139*1000000+SUM(U139,AM139)*10000+SUM(O139,AG139)*100+SUM(I139,AA139)+0.005,1,0)=1,"I",IF(IF(AR139*1000000+SUM(T139,AL139)*10000+SUM(N139,AF139)*100+SUM(H139,Z139)+0.006&gt;AT139*1000000+SUM(V139,AN139)*10000+SUM(P139,AH139)*100+SUM(J139,AB139)+0.004,1,0)+IF(AS139*1000000+SUM(U139,AM139)*10000+SUM(O139,AG139)*100+SUM(I139,AA139)+0.005&gt;AT139*1000000+SUM(V139,AN139)*10000+SUM(P139,AH139)*100+SUM(J139,AB139)+0.004,1,0)+IF(AU139*1000000+SUM(W139,AO139)*10000+SUM(Q139,AI139)*100+SUM(K139,AC139)+0.003&gt;AT139*1000000+SUM(V139,AN139)*10000+SUM(P139,AH139)*100+SUM(J139,AB139)+0.004,1,0)+IF(AV139*1000000+SUM(X139,AP139)*10000+SUM(R139,AJ139)*100+SUM(L139,AD139)+0.002&gt;AT139*1000000+SUM(V139,AN139)*10000+SUM(P139,AH139)*100+SUM(J139,AB139)+0.004,1,0)+IF(AW139*1000000+SUM(Y139,AQ139)*10000+SUM(S139,AK139)*100+SUM(M139,AE139)+0.001&gt;AT139*1000000+SUM(V139,AN139)*10000+SUM(P139,AH139)*100+SUM(J139,AB139)+0.004,1,0)=1,"A",IF(IF(AR139*1000000+SUM(T139,AL139)*10000+SUM(N139,AF139)*100+SUM(H139,Z139)+0.006&gt;AU139*1000000+SUM(W139,AO139)*10000+SUM(Q139,AI139)*100+SUM(K139,AC139)+0.003,1,0)+IF(AS139*1000000+SUM(U139,AM139)*10000+SUM(O139,AG139)*100+SUM(I139,AA139)+0.005&gt;AU139*1000000+SUM(W139,AO139)*10000+SUM(Q139,AI139)*100+SUM(K139,AC139)+0.003,1,0)+IF(AT139*1000000+SUM(V139,AN139)*10000+SUM(P139,AH139)*100+SUM(J139,AB139)+0.004&gt;AU139*1000000+SUM(W139,AO139)*10000+SUM(Q139,AI139)*100+SUM(K139,AC139)+0.003,1,0)+IF(AV139*1000000+SUM(X139,AP139)*10000+SUM(R139,AJ139)*100+SUM(L139,AD139)+0.002&gt;AU139*1000000+SUM(W139,AO139)*10000+SUM(Q139,AI139)*100+SUM(K139,AC139)+0.003,1,0)+IF(AW139*1000000+SUM(Y139,AQ139)*10000+SUM(S139,AK139)*100+SUM(M139,AE139)+0.001&gt;AU139*1000000+SUM(W139,AO139)*10000+SUM(Q139,AI139)*100+SUM(K139,AC139)+0.003,1,0)=1,"S",IF(IF(AR139*1000000+SUM(T139,AL139)*10000+SUM(N139,AF139)*100+SUM(H139,Z139)+0.006&gt;AV139*1000000+SUM(X139,AP139)*10000+SUM(R139,AJ139)*100+SUM(L139,AD139)+0.002,1,0)+IF(AS139*1000000+SUM(U139,AM139)*10000+SUM(O139,AG139)*100+SUM(I139,AA139)+0.005&gt;AV139*1000000+SUM(X139,AP139)*10000+SUM(R139,AJ139)*100+SUM(L139,AD139)+0.002,1,0)+IF(AT139*1000000+SUM(V139,AN139)*10000+SUM(P139,AH139)*100+SUM(J139,AB139)+0.004&gt;AV139*1000000+SUM(X139,AP139)*10000+SUM(R139,AJ139)*100+SUM(L139,AD139)+0.002,1,0)+IF(AU139*1000000+SUM(W139,AO139)*10000+SUM(Q139,AI139)*100+SUM(K139,AC139)+0.003&gt;AV139*1000000+SUM(X139,AP139)*10000+SUM(R139,AJ139)*100+SUM(L139,AD139)+0.002,1,0)+IF(AW139*1000000+SUM(Y139,AQ139)*10000+SUM(S139,AK139)*100+SUM(M139,AE139)+0.001&gt;AV139*1000000+SUM(X139,AP139)*10000+SUM(R139,AJ139)*100+SUM(L139,AD139)+0.002,1,0)=1,"E",IF(IF(AR139*1000000+SUM(T139,AL139)*10000+SUM(N139,AF139)*100+SUM(H139,Z139)+0.006&gt;AW139*1000000+SUM(Y139,AQ139)*10000+SUM(S139,AK139)*100+SUM(M139,AE139)+0.001,1,0)+IF(AS139*1000000+SUM(U139,AM139)*10000+SUM(O139,AG139)*100+SUM(I139,AA139)+0.005&gt;AW139*1000000+SUM(Y139,AQ139)*10000+SUM(S139,AK139)*100+SUM(M139,AE139)+0.001,1,0)+IF(AT139*1000000+SUM(V139,AN139)*10000+SUM(P139,AH139)*100+SUM(J139,AB139)+0.004&gt;AW139*1000000+SUM(Y139,AQ139)*10000+SUM(S139,AK139)*100+SUM(M139,AE139)+0.001,1,0)+IF(AU139*1000000+SUM(W139,AO139)*10000+SUM(Q139,AI139)*100+SUM(K139,AC139)+0.003&gt;AW139*1000000+SUM(Y139,AQ139)*10000+SUM(S139,AK139)*100+SUM(M139,AE139)+0.001,1,0)+IF(AV139*1000000+SUM(X139,AP139)*10000+SUM(R139,AJ139)*100+SUM(L139,AD139)+0.002&gt;AW139*1000000+SUM(Y139,AQ139)*10000+SUM(S139,AK139)*100+SUM(M139,AE139)+0.001,1,0)=1,"C",""))))))&amp;IF(IF(AS139*1000000+SUM(U139,AM139)*10000+SUM(O139,AG139)*100+SUM(I139,AA139)+0.005&gt;AR139*1000000+SUM(T139,AL139)*10000+SUM(N139,AF139)*100+SUM(H139,Z139)+0.006,1,0)+IF(AT139*1000000+SUM(V139,AN139)*10000+SUM(P139,AH139)*100+SUM(J139,AB139)+0.004&gt;AR139*1000000+SUM(T139,AL139)*10000+SUM(N139,AF139)*100+SUM(H139,Z139)+0.006,1,0)+IF(AU139*1000000+SUM(W139,AO139)*10000+SUM(Q139,AI139)*100+SUM(K139,AC139)+0.003&gt;AR139*1000000+SUM(T139,AL139)*10000+SUM(N139,AF139)*100+SUM(H139,Z139)+0.006,1,0)+IF(AV139*1000000+SUM(X139,AP139)*10000+SUM(R139,AJ139)*100+SUM(L139,AD139)+0.002&gt;AR139*1000000+SUM(T139,AL139)*10000+SUM(N139,AF139)*100+SUM(H139,Z139)+0.006,1,0)+IF(AW139*1000000+SUM(Y139,AQ139)*10000+SUM(S139,AK139)*100+SUM(M139,AE139)+0.001&gt;AR139*1000000+SUM(T139,AL139)*10000+SUM(N139,AF139)*100+SUM(H139,Z139)+0.006,1,0)=2,"R",IF(IF(AR139*1000000+SUM(T139,AL139)*10000+SUM(N139,AF139)*100+SUM(H139,Z139)+0.006&gt;AS139*1000000+SUM(U139,AM139)*10000+SUM(O139,AG139)*100+SUM(I139,AA139)+0.005,1,0)+IF(AT139*1000000+SUM(V139,AN139)*10000+SUM(P139,AH139)*100+SUM(J139,AB139)+0.004&gt;AS139*1000000+SUM(U139,AM139)*10000+SUM(O139,AG139)*100+SUM(I139,AA139)+0.005,1,0)+IF(AU139*1000000+SUM(W139,AO139)*10000+SUM(Q139,AI139)*100+SUM(K139,AC139)+0.003&gt;AS139*1000000+SUM(U139,AM139)*10000+SUM(O139,AG139)*100+SUM(I139,AA139)+0.005,1,0)+IF(AV139*1000000+SUM(X139,AP139)*10000+SUM(R139,AJ139)*100+SUM(L139,AD139)+0.002&gt;AS139*1000000+SUM(U139,AM139)*10000+SUM(O139,AG139)*100+SUM(I139,AA139)+0.005,1,0)+IF(AW139*1000000+SUM(Y139,AQ139)*10000+SUM(S139,AK139)*100+SUM(M139,AE139)+0.001&gt;AS139*1000000+SUM(U139,AM139)*10000+SUM(O139,AG139)*100+SUM(I139,AA139)+0.005,1,0)=2,"I",IF(IF(AR139*1000000+SUM(T139,AL139)*10000+SUM(N139,AF139)*100+SUM(H139,Z139)+0.006&gt;AT139*1000000+SUM(V139,AN139)*10000+SUM(P139,AH139)*100+SUM(J139,AB139)+0.004,1,0)+IF(AS139*1000000+SUM(U139,AM139)*10000+SUM(O139,AG139)*100+SUM(I139,AA139)+0.005&gt;AT139*1000000+SUM(V139,AN139)*10000+SUM(P139,AH139)*100+SUM(J139,AB139)+0.004,1,0)+IF(AU139*1000000+SUM(W139,AO139)*10000+SUM(Q139,AI139)*100+SUM(K139,AC139)+0.003&gt;AT139*1000000+SUM(V139,AN139)*10000+SUM(P139,AH139)*100+SUM(J139,AB139)+0.004,1,0)+IF(AV139*1000000+SUM(X139,AP139)*10000+SUM(R139,AJ139)*100+SUM(L139,AD139)+0.002&gt;AT139*1000000+SUM(V139,AN139)*10000+SUM(P139,AH139)*100+SUM(J139,AB139)+0.004,1,0)+IF(AW139*1000000+SUM(Y139,AQ139)*10000+SUM(S139,AK139)*100+SUM(M139,AE139)+0.001&gt;AT139*1000000+SUM(V139,AN139)*10000+SUM(P139,AH139)*100+SUM(J139,AB139)+0.004,1,0)=2,"A",IF(IF(AR139*1000000+SUM(T139,AL139)*10000+SUM(N139,AF139)*100+SUM(H139,Z139)+0.006&gt;AU139*1000000+SUM(W139,AO139)*10000+SUM(Q139,AI139)*100+SUM(K139,AC139)+0.003,1,0)+IF(AS139*1000000+SUM(U139,AM139)*10000+SUM(O139,AG139)*100+SUM(I139,AA139)+0.005&gt;AU139*1000000+SUM(W139,AO139)*10000+SUM(Q139,AI139)*100+SUM(K139,AC139)+0.003,1,0)+IF(AT139*1000000+SUM(V139,AN139)*10000+SUM(P139,AH139)*100+SUM(J139,AB139)+0.004&gt;AU139*1000000+SUM(W139,AO139)*10000+SUM(Q139,AI139)*100+SUM(K139,AC139)+0.003,1,0)+IF(AV139*1000000+SUM(X139,AP139)*10000+SUM(R139,AJ139)*100+SUM(L139,AD139)+0.002&gt;AU139*1000000+SUM(W139,AO139)*10000+SUM(Q139,AI139)*100+SUM(K139,AC139)+0.003,1,0)+IF(AW139*1000000+SUM(Y139,AQ139)*10000+SUM(S139,AK139)*100+SUM(M139,AE139)+0.001&gt;AU139*1000000+SUM(W139,AO139)*10000+SUM(Q139,AI139)*100+SUM(K139,AC139)+0.003,1,0)=2,"S",IF(IF(AR139*1000000+SUM(T139,AL139)*10000+SUM(N139,AF139)*100+SUM(H139,Z139)+0.006&gt;AV139*1000000+SUM(X139,AP139)*10000+SUM(R139,AJ139)*100+SUM(L139,AD139)+0.002,1,0)+IF(AS139*1000000+SUM(U139,AM139)*10000+SUM(O139,AG139)*100+SUM(I139,AA139)+0.005&gt;AV139*1000000+SUM(X139,AP139)*10000+SUM(R139,AJ139)*100+SUM(L139,AD139)+0.002,1,0)+IF(AT139*1000000+SUM(V139,AN139)*10000+SUM(P139,AH139)*100+SUM(J139,AB139)+0.004&gt;AV139*1000000+SUM(X139,AP139)*10000+SUM(R139,AJ139)*100+SUM(L139,AD139)+0.002,1,0)+IF(AU139*1000000+SUM(W139,AO139)*10000+SUM(Q139,AI139)*100+SUM(K139,AC139)+0.003&gt;AV139*1000000+SUM(X139,AP139)*10000+SUM(R139,AJ139)*100+SUM(L139,AD139)+0.002,1,0)+IF(AW139*1000000+SUM(Y139,AQ139)*10000+SUM(S139,AK139)*100+SUM(M139,AE139)+0.001&gt;AV139*1000000+SUM(X139,AP139)*10000+SUM(R139,AJ139)*100+SUM(L139,AD139)+0.002,1,0)=2,"E",IF(IF(AR139*1000000+SUM(T139,AL139)*10000+SUM(N139,AF139)*100+SUM(H139,Z139)+0.006&gt;AW139*1000000+SUM(Y139,AQ139)*10000+SUM(S139,AK139)*100+SUM(M139,AE139)+0.001,1,0)+IF(AS139*1000000+SUM(U139,AM139)*10000+SUM(O139,AG139)*100+SUM(I139,AA139)+0.005&gt;AW139*1000000+SUM(Y139,AQ139)*10000+SUM(S139,AK139)*100+SUM(M139,AE139)+0.001,1,0)+IF(AT139*1000000+SUM(V139,AN139)*10000+SUM(P139,AH139)*100+SUM(J139,AB139)+0.004&gt;AW139*1000000+SUM(Y139,AQ139)*10000+SUM(S139,AK139)*100+SUM(M139,AE139)+0.001,1,0)+IF(AU139*1000000+SUM(W139,AO139)*10000+SUM(Q139,AI139)*100+SUM(K139,AC139)+0.003&gt;AW139*1000000+SUM(Y139,AQ139)*10000+SUM(S139,AK139)*100+SUM(M139,AE139)+0.001,1,0)+IF(AV139*1000000+SUM(X139,AP139)*10000+SUM(R139,AJ139)*100+SUM(L139,AD139)+0.002&gt;AW139*1000000+SUM(Y139,AQ139)*10000+SUM(S139,AK139)*100+SUM(M139,AE139)+0.001,1,0)=2,"C","")))))))</x:f>
      </x:c>
      <x:c r="AY139" s="27" t="str">
        <x:f>IF(C139="","",IF(LEFT(AX139,1)="R","นักปฏิบัติ",IF(LEFT(AX139,1)="I","นักคิดวิเคราะห์",IF(LEFT(AX139,1)="A","นักสร้างสรรค์",IF(LEFT(AX139,1)="S","ผู้เข้าใจผู้คน",IF(LEFT(AX139,1)="E","ผู้นำการเปลี่ยนแปลง","ผู้จัดระบบ"))))))</x:f>
      </x:c>
    </x:row>
    <x:row r="140">
      <x:c r="A140" s="27"/>
      <x:c r="B140" s="28"/>
      <x:c r="C140" s="27"/>
      <x:c r="D140" s="27"/>
      <x:c r="E140" s="27"/>
      <x:c r="F140" s="27"/>
      <x:c r="G140" s="27"/>
      <x:c r="H140" s="27"/>
      <x:c r="I140" s="27"/>
      <x:c r="J140" s="27"/>
      <x:c r="K140" s="27"/>
      <x:c r="L140" s="27"/>
      <x:c r="M140" s="27"/>
      <x:c r="N140" s="27"/>
      <x:c r="O140" s="27"/>
      <x:c r="P140" s="27"/>
      <x:c r="Q140" s="27"/>
      <x:c r="R140" s="27"/>
      <x:c r="S140" s="27"/>
      <x:c r="T140" s="27"/>
      <x:c r="U140" s="27"/>
      <x:c r="V140" s="27"/>
      <x:c r="W140" s="27"/>
      <x:c r="X140" s="27"/>
      <x:c r="Y140" s="27"/>
      <x:c r="Z140" s="27"/>
      <x:c r="AA140" s="27"/>
      <x:c r="AB140" s="27"/>
      <x:c r="AC140" s="27"/>
      <x:c r="AD140" s="27"/>
      <x:c r="AE140" s="27"/>
      <x:c r="AF140" s="27"/>
      <x:c r="AG140" s="27"/>
      <x:c r="AH140" s="27"/>
      <x:c r="AI140" s="27"/>
      <x:c r="AJ140" s="27"/>
      <x:c r="AK140" s="27"/>
      <x:c r="AL140" s="27"/>
      <x:c r="AM140" s="27"/>
      <x:c r="AN140" s="27"/>
      <x:c r="AO140" s="27"/>
      <x:c r="AP140" s="27"/>
      <x:c r="AQ140" s="27"/>
      <x:c r="AR140" s="27" t="str">
        <x:f>IF(C140="","",SUM(H140,N140,T140,Z140,AF140,AL140))</x:f>
      </x:c>
      <x:c r="AS140" s="27" t="str">
        <x:f>IF(C140="","",SUM(I140,O140,U140,AA140,AG140,AM140))</x:f>
      </x:c>
      <x:c r="AT140" s="27" t="str">
        <x:f>IF(C140="","",SUM(J140,P140,V140,AB140,AH140,AN140))</x:f>
      </x:c>
      <x:c r="AU140" s="27" t="str">
        <x:f>IF(C140="","",SUM(K140,Q140,W140,AC140,AI140,AO140))</x:f>
      </x:c>
      <x:c r="AV140" s="27" t="str">
        <x:f>IF(C140="","",SUM(L140,R140,X140,AD140,AJ140,AP140))</x:f>
      </x:c>
      <x:c r="AW140" s="27" t="str">
        <x:f>IF(C140="","",SUM(M140,S140,Y140,AE140,AK140,AQ140))</x:f>
      </x:c>
      <x:c r="AX140" s="27" t="str">
        <x:f>IF(C140="","",IF(IF(AS140*1000000+SUM(U140,AM140)*10000+SUM(O140,AG140)*100+SUM(I140,AA140)+0.005&gt;AR140*1000000+SUM(T140,AL140)*10000+SUM(N140,AF140)*100+SUM(H140,Z140)+0.006,1,0)+IF(AT140*1000000+SUM(V140,AN140)*10000+SUM(P140,AH140)*100+SUM(J140,AB140)+0.004&gt;AR140*1000000+SUM(T140,AL140)*10000+SUM(N140,AF140)*100+SUM(H140,Z140)+0.006,1,0)+IF(AU140*1000000+SUM(W140,AO140)*10000+SUM(Q140,AI140)*100+SUM(K140,AC140)+0.003&gt;AR140*1000000+SUM(T140,AL140)*10000+SUM(N140,AF140)*100+SUM(H140,Z140)+0.006,1,0)+IF(AV140*1000000+SUM(X140,AP140)*10000+SUM(R140,AJ140)*100+SUM(L140,AD140)+0.002&gt;AR140*1000000+SUM(T140,AL140)*10000+SUM(N140,AF140)*100+SUM(H140,Z140)+0.006,1,0)+IF(AW140*1000000+SUM(Y140,AQ140)*10000+SUM(S140,AK140)*100+SUM(M140,AE140)+0.001&gt;AR140*1000000+SUM(T140,AL140)*10000+SUM(N140,AF140)*100+SUM(H140,Z140)+0.006,1,0)=0,"R",IF(IF(AR140*1000000+SUM(T140,AL140)*10000+SUM(N140,AF140)*100+SUM(H140,Z140)+0.006&gt;AS140*1000000+SUM(U140,AM140)*10000+SUM(O140,AG140)*100+SUM(I140,AA140)+0.005,1,0)+IF(AT140*1000000+SUM(V140,AN140)*10000+SUM(P140,AH140)*100+SUM(J140,AB140)+0.004&gt;AS140*1000000+SUM(U140,AM140)*10000+SUM(O140,AG140)*100+SUM(I140,AA140)+0.005,1,0)+IF(AU140*1000000+SUM(W140,AO140)*10000+SUM(Q140,AI140)*100+SUM(K140,AC140)+0.003&gt;AS140*1000000+SUM(U140,AM140)*10000+SUM(O140,AG140)*100+SUM(I140,AA140)+0.005,1,0)+IF(AV140*1000000+SUM(X140,AP140)*10000+SUM(R140,AJ140)*100+SUM(L140,AD140)+0.002&gt;AS140*1000000+SUM(U140,AM140)*10000+SUM(O140,AG140)*100+SUM(I140,AA140)+0.005,1,0)+IF(AW140*1000000+SUM(Y140,AQ140)*10000+SUM(S140,AK140)*100+SUM(M140,AE140)+0.001&gt;AS140*1000000+SUM(U140,AM140)*10000+SUM(O140,AG140)*100+SUM(I140,AA140)+0.005,1,0)=0,"I",IF(IF(AR140*1000000+SUM(T140,AL140)*10000+SUM(N140,AF140)*100+SUM(H140,Z140)+0.006&gt;AT140*1000000+SUM(V140,AN140)*10000+SUM(P140,AH140)*100+SUM(J140,AB140)+0.004,1,0)+IF(AS140*1000000+SUM(U140,AM140)*10000+SUM(O140,AG140)*100+SUM(I140,AA140)+0.005&gt;AT140*1000000+SUM(V140,AN140)*10000+SUM(P140,AH140)*100+SUM(J140,AB140)+0.004,1,0)+IF(AU140*1000000+SUM(W140,AO140)*10000+SUM(Q140,AI140)*100+SUM(K140,AC140)+0.003&gt;AT140*1000000+SUM(V140,AN140)*10000+SUM(P140,AH140)*100+SUM(J140,AB140)+0.004,1,0)+IF(AV140*1000000+SUM(X140,AP140)*10000+SUM(R140,AJ140)*100+SUM(L140,AD140)+0.002&gt;AT140*1000000+SUM(V140,AN140)*10000+SUM(P140,AH140)*100+SUM(J140,AB140)+0.004,1,0)+IF(AW140*1000000+SUM(Y140,AQ140)*10000+SUM(S140,AK140)*100+SUM(M140,AE140)+0.001&gt;AT140*1000000+SUM(V140,AN140)*10000+SUM(P140,AH140)*100+SUM(J140,AB140)+0.004,1,0)=0,"A",IF(IF(AR140*1000000+SUM(T140,AL140)*10000+SUM(N140,AF140)*100+SUM(H140,Z140)+0.006&gt;AU140*1000000+SUM(W140,AO140)*10000+SUM(Q140,AI140)*100+SUM(K140,AC140)+0.003,1,0)+IF(AS140*1000000+SUM(U140,AM140)*10000+SUM(O140,AG140)*100+SUM(I140,AA140)+0.005&gt;AU140*1000000+SUM(W140,AO140)*10000+SUM(Q140,AI140)*100+SUM(K140,AC140)+0.003,1,0)+IF(AT140*1000000+SUM(V140,AN140)*10000+SUM(P140,AH140)*100+SUM(J140,AB140)+0.004&gt;AU140*1000000+SUM(W140,AO140)*10000+SUM(Q140,AI140)*100+SUM(K140,AC140)+0.003,1,0)+IF(AV140*1000000+SUM(X140,AP140)*10000+SUM(R140,AJ140)*100+SUM(L140,AD140)+0.002&gt;AU140*1000000+SUM(W140,AO140)*10000+SUM(Q140,AI140)*100+SUM(K140,AC140)+0.003,1,0)+IF(AW140*1000000+SUM(Y140,AQ140)*10000+SUM(S140,AK140)*100+SUM(M140,AE140)+0.001&gt;AU140*1000000+SUM(W140,AO140)*10000+SUM(Q140,AI140)*100+SUM(K140,AC140)+0.003,1,0)=0,"S",IF(IF(AR140*1000000+SUM(T140,AL140)*10000+SUM(N140,AF140)*100+SUM(H140,Z140)+0.006&gt;AV140*1000000+SUM(X140,AP140)*10000+SUM(R140,AJ140)*100+SUM(L140,AD140)+0.002,1,0)+IF(AS140*1000000+SUM(U140,AM140)*10000+SUM(O140,AG140)*100+SUM(I140,AA140)+0.005&gt;AV140*1000000+SUM(X140,AP140)*10000+SUM(R140,AJ140)*100+SUM(L140,AD140)+0.002,1,0)+IF(AT140*1000000+SUM(V140,AN140)*10000+SUM(P140,AH140)*100+SUM(J140,AB140)+0.004&gt;AV140*1000000+SUM(X140,AP140)*10000+SUM(R140,AJ140)*100+SUM(L140,AD140)+0.002,1,0)+IF(AU140*1000000+SUM(W140,AO140)*10000+SUM(Q140,AI140)*100+SUM(K140,AC140)+0.003&gt;AV140*1000000+SUM(X140,AP140)*10000+SUM(R140,AJ140)*100+SUM(L140,AD140)+0.002,1,0)+IF(AW140*1000000+SUM(Y140,AQ140)*10000+SUM(S140,AK140)*100+SUM(M140,AE140)+0.001&gt;AV140*1000000+SUM(X140,AP140)*10000+SUM(R140,AJ140)*100+SUM(L140,AD140)+0.002,1,0)=0,"E",IF(IF(AR140*1000000+SUM(T140,AL140)*10000+SUM(N140,AF140)*100+SUM(H140,Z140)+0.006&gt;AW140*1000000+SUM(Y140,AQ140)*10000+SUM(S140,AK140)*100+SUM(M140,AE140)+0.001,1,0)+IF(AS140*1000000+SUM(U140,AM140)*10000+SUM(O140,AG140)*100+SUM(I140,AA140)+0.005&gt;AW140*1000000+SUM(Y140,AQ140)*10000+SUM(S140,AK140)*100+SUM(M140,AE140)+0.001,1,0)+IF(AT140*1000000+SUM(V140,AN140)*10000+SUM(P140,AH140)*100+SUM(J140,AB140)+0.004&gt;AW140*1000000+SUM(Y140,AQ140)*10000+SUM(S140,AK140)*100+SUM(M140,AE140)+0.001,1,0)+IF(AU140*1000000+SUM(W140,AO140)*10000+SUM(Q140,AI140)*100+SUM(K140,AC140)+0.003&gt;AW140*1000000+SUM(Y140,AQ140)*10000+SUM(S140,AK140)*100+SUM(M140,AE140)+0.001,1,0)+IF(AV140*1000000+SUM(X140,AP140)*10000+SUM(R140,AJ140)*100+SUM(L140,AD140)+0.002&gt;AW140*1000000+SUM(Y140,AQ140)*10000+SUM(S140,AK140)*100+SUM(M140,AE140)+0.001,1,0)=0,"C",""))))))&amp;IF(IF(AS140*1000000+SUM(U140,AM140)*10000+SUM(O140,AG140)*100+SUM(I140,AA140)+0.005&gt;AR140*1000000+SUM(T140,AL140)*10000+SUM(N140,AF140)*100+SUM(H140,Z140)+0.006,1,0)+IF(AT140*1000000+SUM(V140,AN140)*10000+SUM(P140,AH140)*100+SUM(J140,AB140)+0.004&gt;AR140*1000000+SUM(T140,AL140)*10000+SUM(N140,AF140)*100+SUM(H140,Z140)+0.006,1,0)+IF(AU140*1000000+SUM(W140,AO140)*10000+SUM(Q140,AI140)*100+SUM(K140,AC140)+0.003&gt;AR140*1000000+SUM(T140,AL140)*10000+SUM(N140,AF140)*100+SUM(H140,Z140)+0.006,1,0)+IF(AV140*1000000+SUM(X140,AP140)*10000+SUM(R140,AJ140)*100+SUM(L140,AD140)+0.002&gt;AR140*1000000+SUM(T140,AL140)*10000+SUM(N140,AF140)*100+SUM(H140,Z140)+0.006,1,0)+IF(AW140*1000000+SUM(Y140,AQ140)*10000+SUM(S140,AK140)*100+SUM(M140,AE140)+0.001&gt;AR140*1000000+SUM(T140,AL140)*10000+SUM(N140,AF140)*100+SUM(H140,Z140)+0.006,1,0)=1,"R",IF(IF(AR140*1000000+SUM(T140,AL140)*10000+SUM(N140,AF140)*100+SUM(H140,Z140)+0.006&gt;AS140*1000000+SUM(U140,AM140)*10000+SUM(O140,AG140)*100+SUM(I140,AA140)+0.005,1,0)+IF(AT140*1000000+SUM(V140,AN140)*10000+SUM(P140,AH140)*100+SUM(J140,AB140)+0.004&gt;AS140*1000000+SUM(U140,AM140)*10000+SUM(O140,AG140)*100+SUM(I140,AA140)+0.005,1,0)+IF(AU140*1000000+SUM(W140,AO140)*10000+SUM(Q140,AI140)*100+SUM(K140,AC140)+0.003&gt;AS140*1000000+SUM(U140,AM140)*10000+SUM(O140,AG140)*100+SUM(I140,AA140)+0.005,1,0)+IF(AV140*1000000+SUM(X140,AP140)*10000+SUM(R140,AJ140)*100+SUM(L140,AD140)+0.002&gt;AS140*1000000+SUM(U140,AM140)*10000+SUM(O140,AG140)*100+SUM(I140,AA140)+0.005,1,0)+IF(AW140*1000000+SUM(Y140,AQ140)*10000+SUM(S140,AK140)*100+SUM(M140,AE140)+0.001&gt;AS140*1000000+SUM(U140,AM140)*10000+SUM(O140,AG140)*100+SUM(I140,AA140)+0.005,1,0)=1,"I",IF(IF(AR140*1000000+SUM(T140,AL140)*10000+SUM(N140,AF140)*100+SUM(H140,Z140)+0.006&gt;AT140*1000000+SUM(V140,AN140)*10000+SUM(P140,AH140)*100+SUM(J140,AB140)+0.004,1,0)+IF(AS140*1000000+SUM(U140,AM140)*10000+SUM(O140,AG140)*100+SUM(I140,AA140)+0.005&gt;AT140*1000000+SUM(V140,AN140)*10000+SUM(P140,AH140)*100+SUM(J140,AB140)+0.004,1,0)+IF(AU140*1000000+SUM(W140,AO140)*10000+SUM(Q140,AI140)*100+SUM(K140,AC140)+0.003&gt;AT140*1000000+SUM(V140,AN140)*10000+SUM(P140,AH140)*100+SUM(J140,AB140)+0.004,1,0)+IF(AV140*1000000+SUM(X140,AP140)*10000+SUM(R140,AJ140)*100+SUM(L140,AD140)+0.002&gt;AT140*1000000+SUM(V140,AN140)*10000+SUM(P140,AH140)*100+SUM(J140,AB140)+0.004,1,0)+IF(AW140*1000000+SUM(Y140,AQ140)*10000+SUM(S140,AK140)*100+SUM(M140,AE140)+0.001&gt;AT140*1000000+SUM(V140,AN140)*10000+SUM(P140,AH140)*100+SUM(J140,AB140)+0.004,1,0)=1,"A",IF(IF(AR140*1000000+SUM(T140,AL140)*10000+SUM(N140,AF140)*100+SUM(H140,Z140)+0.006&gt;AU140*1000000+SUM(W140,AO140)*10000+SUM(Q140,AI140)*100+SUM(K140,AC140)+0.003,1,0)+IF(AS140*1000000+SUM(U140,AM140)*10000+SUM(O140,AG140)*100+SUM(I140,AA140)+0.005&gt;AU140*1000000+SUM(W140,AO140)*10000+SUM(Q140,AI140)*100+SUM(K140,AC140)+0.003,1,0)+IF(AT140*1000000+SUM(V140,AN140)*10000+SUM(P140,AH140)*100+SUM(J140,AB140)+0.004&gt;AU140*1000000+SUM(W140,AO140)*10000+SUM(Q140,AI140)*100+SUM(K140,AC140)+0.003,1,0)+IF(AV140*1000000+SUM(X140,AP140)*10000+SUM(R140,AJ140)*100+SUM(L140,AD140)+0.002&gt;AU140*1000000+SUM(W140,AO140)*10000+SUM(Q140,AI140)*100+SUM(K140,AC140)+0.003,1,0)+IF(AW140*1000000+SUM(Y140,AQ140)*10000+SUM(S140,AK140)*100+SUM(M140,AE140)+0.001&gt;AU140*1000000+SUM(W140,AO140)*10000+SUM(Q140,AI140)*100+SUM(K140,AC140)+0.003,1,0)=1,"S",IF(IF(AR140*1000000+SUM(T140,AL140)*10000+SUM(N140,AF140)*100+SUM(H140,Z140)+0.006&gt;AV140*1000000+SUM(X140,AP140)*10000+SUM(R140,AJ140)*100+SUM(L140,AD140)+0.002,1,0)+IF(AS140*1000000+SUM(U140,AM140)*10000+SUM(O140,AG140)*100+SUM(I140,AA140)+0.005&gt;AV140*1000000+SUM(X140,AP140)*10000+SUM(R140,AJ140)*100+SUM(L140,AD140)+0.002,1,0)+IF(AT140*1000000+SUM(V140,AN140)*10000+SUM(P140,AH140)*100+SUM(J140,AB140)+0.004&gt;AV140*1000000+SUM(X140,AP140)*10000+SUM(R140,AJ140)*100+SUM(L140,AD140)+0.002,1,0)+IF(AU140*1000000+SUM(W140,AO140)*10000+SUM(Q140,AI140)*100+SUM(K140,AC140)+0.003&gt;AV140*1000000+SUM(X140,AP140)*10000+SUM(R140,AJ140)*100+SUM(L140,AD140)+0.002,1,0)+IF(AW140*1000000+SUM(Y140,AQ140)*10000+SUM(S140,AK140)*100+SUM(M140,AE140)+0.001&gt;AV140*1000000+SUM(X140,AP140)*10000+SUM(R140,AJ140)*100+SUM(L140,AD140)+0.002,1,0)=1,"E",IF(IF(AR140*1000000+SUM(T140,AL140)*10000+SUM(N140,AF140)*100+SUM(H140,Z140)+0.006&gt;AW140*1000000+SUM(Y140,AQ140)*10000+SUM(S140,AK140)*100+SUM(M140,AE140)+0.001,1,0)+IF(AS140*1000000+SUM(U140,AM140)*10000+SUM(O140,AG140)*100+SUM(I140,AA140)+0.005&gt;AW140*1000000+SUM(Y140,AQ140)*10000+SUM(S140,AK140)*100+SUM(M140,AE140)+0.001,1,0)+IF(AT140*1000000+SUM(V140,AN140)*10000+SUM(P140,AH140)*100+SUM(J140,AB140)+0.004&gt;AW140*1000000+SUM(Y140,AQ140)*10000+SUM(S140,AK140)*100+SUM(M140,AE140)+0.001,1,0)+IF(AU140*1000000+SUM(W140,AO140)*10000+SUM(Q140,AI140)*100+SUM(K140,AC140)+0.003&gt;AW140*1000000+SUM(Y140,AQ140)*10000+SUM(S140,AK140)*100+SUM(M140,AE140)+0.001,1,0)+IF(AV140*1000000+SUM(X140,AP140)*10000+SUM(R140,AJ140)*100+SUM(L140,AD140)+0.002&gt;AW140*1000000+SUM(Y140,AQ140)*10000+SUM(S140,AK140)*100+SUM(M140,AE140)+0.001,1,0)=1,"C",""))))))&amp;IF(IF(AS140*1000000+SUM(U140,AM140)*10000+SUM(O140,AG140)*100+SUM(I140,AA140)+0.005&gt;AR140*1000000+SUM(T140,AL140)*10000+SUM(N140,AF140)*100+SUM(H140,Z140)+0.006,1,0)+IF(AT140*1000000+SUM(V140,AN140)*10000+SUM(P140,AH140)*100+SUM(J140,AB140)+0.004&gt;AR140*1000000+SUM(T140,AL140)*10000+SUM(N140,AF140)*100+SUM(H140,Z140)+0.006,1,0)+IF(AU140*1000000+SUM(W140,AO140)*10000+SUM(Q140,AI140)*100+SUM(K140,AC140)+0.003&gt;AR140*1000000+SUM(T140,AL140)*10000+SUM(N140,AF140)*100+SUM(H140,Z140)+0.006,1,0)+IF(AV140*1000000+SUM(X140,AP140)*10000+SUM(R140,AJ140)*100+SUM(L140,AD140)+0.002&gt;AR140*1000000+SUM(T140,AL140)*10000+SUM(N140,AF140)*100+SUM(H140,Z140)+0.006,1,0)+IF(AW140*1000000+SUM(Y140,AQ140)*10000+SUM(S140,AK140)*100+SUM(M140,AE140)+0.001&gt;AR140*1000000+SUM(T140,AL140)*10000+SUM(N140,AF140)*100+SUM(H140,Z140)+0.006,1,0)=2,"R",IF(IF(AR140*1000000+SUM(T140,AL140)*10000+SUM(N140,AF140)*100+SUM(H140,Z140)+0.006&gt;AS140*1000000+SUM(U140,AM140)*10000+SUM(O140,AG140)*100+SUM(I140,AA140)+0.005,1,0)+IF(AT140*1000000+SUM(V140,AN140)*10000+SUM(P140,AH140)*100+SUM(J140,AB140)+0.004&gt;AS140*1000000+SUM(U140,AM140)*10000+SUM(O140,AG140)*100+SUM(I140,AA140)+0.005,1,0)+IF(AU140*1000000+SUM(W140,AO140)*10000+SUM(Q140,AI140)*100+SUM(K140,AC140)+0.003&gt;AS140*1000000+SUM(U140,AM140)*10000+SUM(O140,AG140)*100+SUM(I140,AA140)+0.005,1,0)+IF(AV140*1000000+SUM(X140,AP140)*10000+SUM(R140,AJ140)*100+SUM(L140,AD140)+0.002&gt;AS140*1000000+SUM(U140,AM140)*10000+SUM(O140,AG140)*100+SUM(I140,AA140)+0.005,1,0)+IF(AW140*1000000+SUM(Y140,AQ140)*10000+SUM(S140,AK140)*100+SUM(M140,AE140)+0.001&gt;AS140*1000000+SUM(U140,AM140)*10000+SUM(O140,AG140)*100+SUM(I140,AA140)+0.005,1,0)=2,"I",IF(IF(AR140*1000000+SUM(T140,AL140)*10000+SUM(N140,AF140)*100+SUM(H140,Z140)+0.006&gt;AT140*1000000+SUM(V140,AN140)*10000+SUM(P140,AH140)*100+SUM(J140,AB140)+0.004,1,0)+IF(AS140*1000000+SUM(U140,AM140)*10000+SUM(O140,AG140)*100+SUM(I140,AA140)+0.005&gt;AT140*1000000+SUM(V140,AN140)*10000+SUM(P140,AH140)*100+SUM(J140,AB140)+0.004,1,0)+IF(AU140*1000000+SUM(W140,AO140)*10000+SUM(Q140,AI140)*100+SUM(K140,AC140)+0.003&gt;AT140*1000000+SUM(V140,AN140)*10000+SUM(P140,AH140)*100+SUM(J140,AB140)+0.004,1,0)+IF(AV140*1000000+SUM(X140,AP140)*10000+SUM(R140,AJ140)*100+SUM(L140,AD140)+0.002&gt;AT140*1000000+SUM(V140,AN140)*10000+SUM(P140,AH140)*100+SUM(J140,AB140)+0.004,1,0)+IF(AW140*1000000+SUM(Y140,AQ140)*10000+SUM(S140,AK140)*100+SUM(M140,AE140)+0.001&gt;AT140*1000000+SUM(V140,AN140)*10000+SUM(P140,AH140)*100+SUM(J140,AB140)+0.004,1,0)=2,"A",IF(IF(AR140*1000000+SUM(T140,AL140)*10000+SUM(N140,AF140)*100+SUM(H140,Z140)+0.006&gt;AU140*1000000+SUM(W140,AO140)*10000+SUM(Q140,AI140)*100+SUM(K140,AC140)+0.003,1,0)+IF(AS140*1000000+SUM(U140,AM140)*10000+SUM(O140,AG140)*100+SUM(I140,AA140)+0.005&gt;AU140*1000000+SUM(W140,AO140)*10000+SUM(Q140,AI140)*100+SUM(K140,AC140)+0.003,1,0)+IF(AT140*1000000+SUM(V140,AN140)*10000+SUM(P140,AH140)*100+SUM(J140,AB140)+0.004&gt;AU140*1000000+SUM(W140,AO140)*10000+SUM(Q140,AI140)*100+SUM(K140,AC140)+0.003,1,0)+IF(AV140*1000000+SUM(X140,AP140)*10000+SUM(R140,AJ140)*100+SUM(L140,AD140)+0.002&gt;AU140*1000000+SUM(W140,AO140)*10000+SUM(Q140,AI140)*100+SUM(K140,AC140)+0.003,1,0)+IF(AW140*1000000+SUM(Y140,AQ140)*10000+SUM(S140,AK140)*100+SUM(M140,AE140)+0.001&gt;AU140*1000000+SUM(W140,AO140)*10000+SUM(Q140,AI140)*100+SUM(K140,AC140)+0.003,1,0)=2,"S",IF(IF(AR140*1000000+SUM(T140,AL140)*10000+SUM(N140,AF140)*100+SUM(H140,Z140)+0.006&gt;AV140*1000000+SUM(X140,AP140)*10000+SUM(R140,AJ140)*100+SUM(L140,AD140)+0.002,1,0)+IF(AS140*1000000+SUM(U140,AM140)*10000+SUM(O140,AG140)*100+SUM(I140,AA140)+0.005&gt;AV140*1000000+SUM(X140,AP140)*10000+SUM(R140,AJ140)*100+SUM(L140,AD140)+0.002,1,0)+IF(AT140*1000000+SUM(V140,AN140)*10000+SUM(P140,AH140)*100+SUM(J140,AB140)+0.004&gt;AV140*1000000+SUM(X140,AP140)*10000+SUM(R140,AJ140)*100+SUM(L140,AD140)+0.002,1,0)+IF(AU140*1000000+SUM(W140,AO140)*10000+SUM(Q140,AI140)*100+SUM(K140,AC140)+0.003&gt;AV140*1000000+SUM(X140,AP140)*10000+SUM(R140,AJ140)*100+SUM(L140,AD140)+0.002,1,0)+IF(AW140*1000000+SUM(Y140,AQ140)*10000+SUM(S140,AK140)*100+SUM(M140,AE140)+0.001&gt;AV140*1000000+SUM(X140,AP140)*10000+SUM(R140,AJ140)*100+SUM(L140,AD140)+0.002,1,0)=2,"E",IF(IF(AR140*1000000+SUM(T140,AL140)*10000+SUM(N140,AF140)*100+SUM(H140,Z140)+0.006&gt;AW140*1000000+SUM(Y140,AQ140)*10000+SUM(S140,AK140)*100+SUM(M140,AE140)+0.001,1,0)+IF(AS140*1000000+SUM(U140,AM140)*10000+SUM(O140,AG140)*100+SUM(I140,AA140)+0.005&gt;AW140*1000000+SUM(Y140,AQ140)*10000+SUM(S140,AK140)*100+SUM(M140,AE140)+0.001,1,0)+IF(AT140*1000000+SUM(V140,AN140)*10000+SUM(P140,AH140)*100+SUM(J140,AB140)+0.004&gt;AW140*1000000+SUM(Y140,AQ140)*10000+SUM(S140,AK140)*100+SUM(M140,AE140)+0.001,1,0)+IF(AU140*1000000+SUM(W140,AO140)*10000+SUM(Q140,AI140)*100+SUM(K140,AC140)+0.003&gt;AW140*1000000+SUM(Y140,AQ140)*10000+SUM(S140,AK140)*100+SUM(M140,AE140)+0.001,1,0)+IF(AV140*1000000+SUM(X140,AP140)*10000+SUM(R140,AJ140)*100+SUM(L140,AD140)+0.002&gt;AW140*1000000+SUM(Y140,AQ140)*10000+SUM(S140,AK140)*100+SUM(M140,AE140)+0.001,1,0)=2,"C","")))))))</x:f>
      </x:c>
      <x:c r="AY140" s="27" t="str">
        <x:f>IF(C140="","",IF(LEFT(AX140,1)="R","นักปฏิบัติ",IF(LEFT(AX140,1)="I","นักคิดวิเคราะห์",IF(LEFT(AX140,1)="A","นักสร้างสรรค์",IF(LEFT(AX140,1)="S","ผู้เข้าใจผู้คน",IF(LEFT(AX140,1)="E","ผู้นำการเปลี่ยนแปลง","ผู้จัดระบบ"))))))</x:f>
      </x:c>
    </x:row>
    <x:row r="141">
      <x:c r="A141" s="27"/>
      <x:c r="B141" s="28"/>
      <x:c r="C141" s="27"/>
      <x:c r="D141" s="27"/>
      <x:c r="E141" s="27"/>
      <x:c r="F141" s="27"/>
      <x:c r="G141" s="27"/>
      <x:c r="H141" s="27"/>
      <x:c r="I141" s="27"/>
      <x:c r="J141" s="27"/>
      <x:c r="K141" s="27"/>
      <x:c r="L141" s="27"/>
      <x:c r="M141" s="27"/>
      <x:c r="N141" s="27"/>
      <x:c r="O141" s="27"/>
      <x:c r="P141" s="27"/>
      <x:c r="Q141" s="27"/>
      <x:c r="R141" s="27"/>
      <x:c r="S141" s="27"/>
      <x:c r="T141" s="27"/>
      <x:c r="U141" s="27"/>
      <x:c r="V141" s="27"/>
      <x:c r="W141" s="27"/>
      <x:c r="X141" s="27"/>
      <x:c r="Y141" s="27"/>
      <x:c r="Z141" s="27"/>
      <x:c r="AA141" s="27"/>
      <x:c r="AB141" s="27"/>
      <x:c r="AC141" s="27"/>
      <x:c r="AD141" s="27"/>
      <x:c r="AE141" s="27"/>
      <x:c r="AF141" s="27"/>
      <x:c r="AG141" s="27"/>
      <x:c r="AH141" s="27"/>
      <x:c r="AI141" s="27"/>
      <x:c r="AJ141" s="27"/>
      <x:c r="AK141" s="27"/>
      <x:c r="AL141" s="27"/>
      <x:c r="AM141" s="27"/>
      <x:c r="AN141" s="27"/>
      <x:c r="AO141" s="27"/>
      <x:c r="AP141" s="27"/>
      <x:c r="AQ141" s="27"/>
      <x:c r="AR141" s="27" t="str">
        <x:f>IF(C141="","",SUM(H141,N141,T141,Z141,AF141,AL141))</x:f>
      </x:c>
      <x:c r="AS141" s="27" t="str">
        <x:f>IF(C141="","",SUM(I141,O141,U141,AA141,AG141,AM141))</x:f>
      </x:c>
      <x:c r="AT141" s="27" t="str">
        <x:f>IF(C141="","",SUM(J141,P141,V141,AB141,AH141,AN141))</x:f>
      </x:c>
      <x:c r="AU141" s="27" t="str">
        <x:f>IF(C141="","",SUM(K141,Q141,W141,AC141,AI141,AO141))</x:f>
      </x:c>
      <x:c r="AV141" s="27" t="str">
        <x:f>IF(C141="","",SUM(L141,R141,X141,AD141,AJ141,AP141))</x:f>
      </x:c>
      <x:c r="AW141" s="27" t="str">
        <x:f>IF(C141="","",SUM(M141,S141,Y141,AE141,AK141,AQ141))</x:f>
      </x:c>
      <x:c r="AX141" s="27" t="str">
        <x:f>IF(C141="","",IF(IF(AS141*1000000+SUM(U141,AM141)*10000+SUM(O141,AG141)*100+SUM(I141,AA141)+0.005&gt;AR141*1000000+SUM(T141,AL141)*10000+SUM(N141,AF141)*100+SUM(H141,Z141)+0.006,1,0)+IF(AT141*1000000+SUM(V141,AN141)*10000+SUM(P141,AH141)*100+SUM(J141,AB141)+0.004&gt;AR141*1000000+SUM(T141,AL141)*10000+SUM(N141,AF141)*100+SUM(H141,Z141)+0.006,1,0)+IF(AU141*1000000+SUM(W141,AO141)*10000+SUM(Q141,AI141)*100+SUM(K141,AC141)+0.003&gt;AR141*1000000+SUM(T141,AL141)*10000+SUM(N141,AF141)*100+SUM(H141,Z141)+0.006,1,0)+IF(AV141*1000000+SUM(X141,AP141)*10000+SUM(R141,AJ141)*100+SUM(L141,AD141)+0.002&gt;AR141*1000000+SUM(T141,AL141)*10000+SUM(N141,AF141)*100+SUM(H141,Z141)+0.006,1,0)+IF(AW141*1000000+SUM(Y141,AQ141)*10000+SUM(S141,AK141)*100+SUM(M141,AE141)+0.001&gt;AR141*1000000+SUM(T141,AL141)*10000+SUM(N141,AF141)*100+SUM(H141,Z141)+0.006,1,0)=0,"R",IF(IF(AR141*1000000+SUM(T141,AL141)*10000+SUM(N141,AF141)*100+SUM(H141,Z141)+0.006&gt;AS141*1000000+SUM(U141,AM141)*10000+SUM(O141,AG141)*100+SUM(I141,AA141)+0.005,1,0)+IF(AT141*1000000+SUM(V141,AN141)*10000+SUM(P141,AH141)*100+SUM(J141,AB141)+0.004&gt;AS141*1000000+SUM(U141,AM141)*10000+SUM(O141,AG141)*100+SUM(I141,AA141)+0.005,1,0)+IF(AU141*1000000+SUM(W141,AO141)*10000+SUM(Q141,AI141)*100+SUM(K141,AC141)+0.003&gt;AS141*1000000+SUM(U141,AM141)*10000+SUM(O141,AG141)*100+SUM(I141,AA141)+0.005,1,0)+IF(AV141*1000000+SUM(X141,AP141)*10000+SUM(R141,AJ141)*100+SUM(L141,AD141)+0.002&gt;AS141*1000000+SUM(U141,AM141)*10000+SUM(O141,AG141)*100+SUM(I141,AA141)+0.005,1,0)+IF(AW141*1000000+SUM(Y141,AQ141)*10000+SUM(S141,AK141)*100+SUM(M141,AE141)+0.001&gt;AS141*1000000+SUM(U141,AM141)*10000+SUM(O141,AG141)*100+SUM(I141,AA141)+0.005,1,0)=0,"I",IF(IF(AR141*1000000+SUM(T141,AL141)*10000+SUM(N141,AF141)*100+SUM(H141,Z141)+0.006&gt;AT141*1000000+SUM(V141,AN141)*10000+SUM(P141,AH141)*100+SUM(J141,AB141)+0.004,1,0)+IF(AS141*1000000+SUM(U141,AM141)*10000+SUM(O141,AG141)*100+SUM(I141,AA141)+0.005&gt;AT141*1000000+SUM(V141,AN141)*10000+SUM(P141,AH141)*100+SUM(J141,AB141)+0.004,1,0)+IF(AU141*1000000+SUM(W141,AO141)*10000+SUM(Q141,AI141)*100+SUM(K141,AC141)+0.003&gt;AT141*1000000+SUM(V141,AN141)*10000+SUM(P141,AH141)*100+SUM(J141,AB141)+0.004,1,0)+IF(AV141*1000000+SUM(X141,AP141)*10000+SUM(R141,AJ141)*100+SUM(L141,AD141)+0.002&gt;AT141*1000000+SUM(V141,AN141)*10000+SUM(P141,AH141)*100+SUM(J141,AB141)+0.004,1,0)+IF(AW141*1000000+SUM(Y141,AQ141)*10000+SUM(S141,AK141)*100+SUM(M141,AE141)+0.001&gt;AT141*1000000+SUM(V141,AN141)*10000+SUM(P141,AH141)*100+SUM(J141,AB141)+0.004,1,0)=0,"A",IF(IF(AR141*1000000+SUM(T141,AL141)*10000+SUM(N141,AF141)*100+SUM(H141,Z141)+0.006&gt;AU141*1000000+SUM(W141,AO141)*10000+SUM(Q141,AI141)*100+SUM(K141,AC141)+0.003,1,0)+IF(AS141*1000000+SUM(U141,AM141)*10000+SUM(O141,AG141)*100+SUM(I141,AA141)+0.005&gt;AU141*1000000+SUM(W141,AO141)*10000+SUM(Q141,AI141)*100+SUM(K141,AC141)+0.003,1,0)+IF(AT141*1000000+SUM(V141,AN141)*10000+SUM(P141,AH141)*100+SUM(J141,AB141)+0.004&gt;AU141*1000000+SUM(W141,AO141)*10000+SUM(Q141,AI141)*100+SUM(K141,AC141)+0.003,1,0)+IF(AV141*1000000+SUM(X141,AP141)*10000+SUM(R141,AJ141)*100+SUM(L141,AD141)+0.002&gt;AU141*1000000+SUM(W141,AO141)*10000+SUM(Q141,AI141)*100+SUM(K141,AC141)+0.003,1,0)+IF(AW141*1000000+SUM(Y141,AQ141)*10000+SUM(S141,AK141)*100+SUM(M141,AE141)+0.001&gt;AU141*1000000+SUM(W141,AO141)*10000+SUM(Q141,AI141)*100+SUM(K141,AC141)+0.003,1,0)=0,"S",IF(IF(AR141*1000000+SUM(T141,AL141)*10000+SUM(N141,AF141)*100+SUM(H141,Z141)+0.006&gt;AV141*1000000+SUM(X141,AP141)*10000+SUM(R141,AJ141)*100+SUM(L141,AD141)+0.002,1,0)+IF(AS141*1000000+SUM(U141,AM141)*10000+SUM(O141,AG141)*100+SUM(I141,AA141)+0.005&gt;AV141*1000000+SUM(X141,AP141)*10000+SUM(R141,AJ141)*100+SUM(L141,AD141)+0.002,1,0)+IF(AT141*1000000+SUM(V141,AN141)*10000+SUM(P141,AH141)*100+SUM(J141,AB141)+0.004&gt;AV141*1000000+SUM(X141,AP141)*10000+SUM(R141,AJ141)*100+SUM(L141,AD141)+0.002,1,0)+IF(AU141*1000000+SUM(W141,AO141)*10000+SUM(Q141,AI141)*100+SUM(K141,AC141)+0.003&gt;AV141*1000000+SUM(X141,AP141)*10000+SUM(R141,AJ141)*100+SUM(L141,AD141)+0.002,1,0)+IF(AW141*1000000+SUM(Y141,AQ141)*10000+SUM(S141,AK141)*100+SUM(M141,AE141)+0.001&gt;AV141*1000000+SUM(X141,AP141)*10000+SUM(R141,AJ141)*100+SUM(L141,AD141)+0.002,1,0)=0,"E",IF(IF(AR141*1000000+SUM(T141,AL141)*10000+SUM(N141,AF141)*100+SUM(H141,Z141)+0.006&gt;AW141*1000000+SUM(Y141,AQ141)*10000+SUM(S141,AK141)*100+SUM(M141,AE141)+0.001,1,0)+IF(AS141*1000000+SUM(U141,AM141)*10000+SUM(O141,AG141)*100+SUM(I141,AA141)+0.005&gt;AW141*1000000+SUM(Y141,AQ141)*10000+SUM(S141,AK141)*100+SUM(M141,AE141)+0.001,1,0)+IF(AT141*1000000+SUM(V141,AN141)*10000+SUM(P141,AH141)*100+SUM(J141,AB141)+0.004&gt;AW141*1000000+SUM(Y141,AQ141)*10000+SUM(S141,AK141)*100+SUM(M141,AE141)+0.001,1,0)+IF(AU141*1000000+SUM(W141,AO141)*10000+SUM(Q141,AI141)*100+SUM(K141,AC141)+0.003&gt;AW141*1000000+SUM(Y141,AQ141)*10000+SUM(S141,AK141)*100+SUM(M141,AE141)+0.001,1,0)+IF(AV141*1000000+SUM(X141,AP141)*10000+SUM(R141,AJ141)*100+SUM(L141,AD141)+0.002&gt;AW141*1000000+SUM(Y141,AQ141)*10000+SUM(S141,AK141)*100+SUM(M141,AE141)+0.001,1,0)=0,"C",""))))))&amp;IF(IF(AS141*1000000+SUM(U141,AM141)*10000+SUM(O141,AG141)*100+SUM(I141,AA141)+0.005&gt;AR141*1000000+SUM(T141,AL141)*10000+SUM(N141,AF141)*100+SUM(H141,Z141)+0.006,1,0)+IF(AT141*1000000+SUM(V141,AN141)*10000+SUM(P141,AH141)*100+SUM(J141,AB141)+0.004&gt;AR141*1000000+SUM(T141,AL141)*10000+SUM(N141,AF141)*100+SUM(H141,Z141)+0.006,1,0)+IF(AU141*1000000+SUM(W141,AO141)*10000+SUM(Q141,AI141)*100+SUM(K141,AC141)+0.003&gt;AR141*1000000+SUM(T141,AL141)*10000+SUM(N141,AF141)*100+SUM(H141,Z141)+0.006,1,0)+IF(AV141*1000000+SUM(X141,AP141)*10000+SUM(R141,AJ141)*100+SUM(L141,AD141)+0.002&gt;AR141*1000000+SUM(T141,AL141)*10000+SUM(N141,AF141)*100+SUM(H141,Z141)+0.006,1,0)+IF(AW141*1000000+SUM(Y141,AQ141)*10000+SUM(S141,AK141)*100+SUM(M141,AE141)+0.001&gt;AR141*1000000+SUM(T141,AL141)*10000+SUM(N141,AF141)*100+SUM(H141,Z141)+0.006,1,0)=1,"R",IF(IF(AR141*1000000+SUM(T141,AL141)*10000+SUM(N141,AF141)*100+SUM(H141,Z141)+0.006&gt;AS141*1000000+SUM(U141,AM141)*10000+SUM(O141,AG141)*100+SUM(I141,AA141)+0.005,1,0)+IF(AT141*1000000+SUM(V141,AN141)*10000+SUM(P141,AH141)*100+SUM(J141,AB141)+0.004&gt;AS141*1000000+SUM(U141,AM141)*10000+SUM(O141,AG141)*100+SUM(I141,AA141)+0.005,1,0)+IF(AU141*1000000+SUM(W141,AO141)*10000+SUM(Q141,AI141)*100+SUM(K141,AC141)+0.003&gt;AS141*1000000+SUM(U141,AM141)*10000+SUM(O141,AG141)*100+SUM(I141,AA141)+0.005,1,0)+IF(AV141*1000000+SUM(X141,AP141)*10000+SUM(R141,AJ141)*100+SUM(L141,AD141)+0.002&gt;AS141*1000000+SUM(U141,AM141)*10000+SUM(O141,AG141)*100+SUM(I141,AA141)+0.005,1,0)+IF(AW141*1000000+SUM(Y141,AQ141)*10000+SUM(S141,AK141)*100+SUM(M141,AE141)+0.001&gt;AS141*1000000+SUM(U141,AM141)*10000+SUM(O141,AG141)*100+SUM(I141,AA141)+0.005,1,0)=1,"I",IF(IF(AR141*1000000+SUM(T141,AL141)*10000+SUM(N141,AF141)*100+SUM(H141,Z141)+0.006&gt;AT141*1000000+SUM(V141,AN141)*10000+SUM(P141,AH141)*100+SUM(J141,AB141)+0.004,1,0)+IF(AS141*1000000+SUM(U141,AM141)*10000+SUM(O141,AG141)*100+SUM(I141,AA141)+0.005&gt;AT141*1000000+SUM(V141,AN141)*10000+SUM(P141,AH141)*100+SUM(J141,AB141)+0.004,1,0)+IF(AU141*1000000+SUM(W141,AO141)*10000+SUM(Q141,AI141)*100+SUM(K141,AC141)+0.003&gt;AT141*1000000+SUM(V141,AN141)*10000+SUM(P141,AH141)*100+SUM(J141,AB141)+0.004,1,0)+IF(AV141*1000000+SUM(X141,AP141)*10000+SUM(R141,AJ141)*100+SUM(L141,AD141)+0.002&gt;AT141*1000000+SUM(V141,AN141)*10000+SUM(P141,AH141)*100+SUM(J141,AB141)+0.004,1,0)+IF(AW141*1000000+SUM(Y141,AQ141)*10000+SUM(S141,AK141)*100+SUM(M141,AE141)+0.001&gt;AT141*1000000+SUM(V141,AN141)*10000+SUM(P141,AH141)*100+SUM(J141,AB141)+0.004,1,0)=1,"A",IF(IF(AR141*1000000+SUM(T141,AL141)*10000+SUM(N141,AF141)*100+SUM(H141,Z141)+0.006&gt;AU141*1000000+SUM(W141,AO141)*10000+SUM(Q141,AI141)*100+SUM(K141,AC141)+0.003,1,0)+IF(AS141*1000000+SUM(U141,AM141)*10000+SUM(O141,AG141)*100+SUM(I141,AA141)+0.005&gt;AU141*1000000+SUM(W141,AO141)*10000+SUM(Q141,AI141)*100+SUM(K141,AC141)+0.003,1,0)+IF(AT141*1000000+SUM(V141,AN141)*10000+SUM(P141,AH141)*100+SUM(J141,AB141)+0.004&gt;AU141*1000000+SUM(W141,AO141)*10000+SUM(Q141,AI141)*100+SUM(K141,AC141)+0.003,1,0)+IF(AV141*1000000+SUM(X141,AP141)*10000+SUM(R141,AJ141)*100+SUM(L141,AD141)+0.002&gt;AU141*1000000+SUM(W141,AO141)*10000+SUM(Q141,AI141)*100+SUM(K141,AC141)+0.003,1,0)+IF(AW141*1000000+SUM(Y141,AQ141)*10000+SUM(S141,AK141)*100+SUM(M141,AE141)+0.001&gt;AU141*1000000+SUM(W141,AO141)*10000+SUM(Q141,AI141)*100+SUM(K141,AC141)+0.003,1,0)=1,"S",IF(IF(AR141*1000000+SUM(T141,AL141)*10000+SUM(N141,AF141)*100+SUM(H141,Z141)+0.006&gt;AV141*1000000+SUM(X141,AP141)*10000+SUM(R141,AJ141)*100+SUM(L141,AD141)+0.002,1,0)+IF(AS141*1000000+SUM(U141,AM141)*10000+SUM(O141,AG141)*100+SUM(I141,AA141)+0.005&gt;AV141*1000000+SUM(X141,AP141)*10000+SUM(R141,AJ141)*100+SUM(L141,AD141)+0.002,1,0)+IF(AT141*1000000+SUM(V141,AN141)*10000+SUM(P141,AH141)*100+SUM(J141,AB141)+0.004&gt;AV141*1000000+SUM(X141,AP141)*10000+SUM(R141,AJ141)*100+SUM(L141,AD141)+0.002,1,0)+IF(AU141*1000000+SUM(W141,AO141)*10000+SUM(Q141,AI141)*100+SUM(K141,AC141)+0.003&gt;AV141*1000000+SUM(X141,AP141)*10000+SUM(R141,AJ141)*100+SUM(L141,AD141)+0.002,1,0)+IF(AW141*1000000+SUM(Y141,AQ141)*10000+SUM(S141,AK141)*100+SUM(M141,AE141)+0.001&gt;AV141*1000000+SUM(X141,AP141)*10000+SUM(R141,AJ141)*100+SUM(L141,AD141)+0.002,1,0)=1,"E",IF(IF(AR141*1000000+SUM(T141,AL141)*10000+SUM(N141,AF141)*100+SUM(H141,Z141)+0.006&gt;AW141*1000000+SUM(Y141,AQ141)*10000+SUM(S141,AK141)*100+SUM(M141,AE141)+0.001,1,0)+IF(AS141*1000000+SUM(U141,AM141)*10000+SUM(O141,AG141)*100+SUM(I141,AA141)+0.005&gt;AW141*1000000+SUM(Y141,AQ141)*10000+SUM(S141,AK141)*100+SUM(M141,AE141)+0.001,1,0)+IF(AT141*1000000+SUM(V141,AN141)*10000+SUM(P141,AH141)*100+SUM(J141,AB141)+0.004&gt;AW141*1000000+SUM(Y141,AQ141)*10000+SUM(S141,AK141)*100+SUM(M141,AE141)+0.001,1,0)+IF(AU141*1000000+SUM(W141,AO141)*10000+SUM(Q141,AI141)*100+SUM(K141,AC141)+0.003&gt;AW141*1000000+SUM(Y141,AQ141)*10000+SUM(S141,AK141)*100+SUM(M141,AE141)+0.001,1,0)+IF(AV141*1000000+SUM(X141,AP141)*10000+SUM(R141,AJ141)*100+SUM(L141,AD141)+0.002&gt;AW141*1000000+SUM(Y141,AQ141)*10000+SUM(S141,AK141)*100+SUM(M141,AE141)+0.001,1,0)=1,"C",""))))))&amp;IF(IF(AS141*1000000+SUM(U141,AM141)*10000+SUM(O141,AG141)*100+SUM(I141,AA141)+0.005&gt;AR141*1000000+SUM(T141,AL141)*10000+SUM(N141,AF141)*100+SUM(H141,Z141)+0.006,1,0)+IF(AT141*1000000+SUM(V141,AN141)*10000+SUM(P141,AH141)*100+SUM(J141,AB141)+0.004&gt;AR141*1000000+SUM(T141,AL141)*10000+SUM(N141,AF141)*100+SUM(H141,Z141)+0.006,1,0)+IF(AU141*1000000+SUM(W141,AO141)*10000+SUM(Q141,AI141)*100+SUM(K141,AC141)+0.003&gt;AR141*1000000+SUM(T141,AL141)*10000+SUM(N141,AF141)*100+SUM(H141,Z141)+0.006,1,0)+IF(AV141*1000000+SUM(X141,AP141)*10000+SUM(R141,AJ141)*100+SUM(L141,AD141)+0.002&gt;AR141*1000000+SUM(T141,AL141)*10000+SUM(N141,AF141)*100+SUM(H141,Z141)+0.006,1,0)+IF(AW141*1000000+SUM(Y141,AQ141)*10000+SUM(S141,AK141)*100+SUM(M141,AE141)+0.001&gt;AR141*1000000+SUM(T141,AL141)*10000+SUM(N141,AF141)*100+SUM(H141,Z141)+0.006,1,0)=2,"R",IF(IF(AR141*1000000+SUM(T141,AL141)*10000+SUM(N141,AF141)*100+SUM(H141,Z141)+0.006&gt;AS141*1000000+SUM(U141,AM141)*10000+SUM(O141,AG141)*100+SUM(I141,AA141)+0.005,1,0)+IF(AT141*1000000+SUM(V141,AN141)*10000+SUM(P141,AH141)*100+SUM(J141,AB141)+0.004&gt;AS141*1000000+SUM(U141,AM141)*10000+SUM(O141,AG141)*100+SUM(I141,AA141)+0.005,1,0)+IF(AU141*1000000+SUM(W141,AO141)*10000+SUM(Q141,AI141)*100+SUM(K141,AC141)+0.003&gt;AS141*1000000+SUM(U141,AM141)*10000+SUM(O141,AG141)*100+SUM(I141,AA141)+0.005,1,0)+IF(AV141*1000000+SUM(X141,AP141)*10000+SUM(R141,AJ141)*100+SUM(L141,AD141)+0.002&gt;AS141*1000000+SUM(U141,AM141)*10000+SUM(O141,AG141)*100+SUM(I141,AA141)+0.005,1,0)+IF(AW141*1000000+SUM(Y141,AQ141)*10000+SUM(S141,AK141)*100+SUM(M141,AE141)+0.001&gt;AS141*1000000+SUM(U141,AM141)*10000+SUM(O141,AG141)*100+SUM(I141,AA141)+0.005,1,0)=2,"I",IF(IF(AR141*1000000+SUM(T141,AL141)*10000+SUM(N141,AF141)*100+SUM(H141,Z141)+0.006&gt;AT141*1000000+SUM(V141,AN141)*10000+SUM(P141,AH141)*100+SUM(J141,AB141)+0.004,1,0)+IF(AS141*1000000+SUM(U141,AM141)*10000+SUM(O141,AG141)*100+SUM(I141,AA141)+0.005&gt;AT141*1000000+SUM(V141,AN141)*10000+SUM(P141,AH141)*100+SUM(J141,AB141)+0.004,1,0)+IF(AU141*1000000+SUM(W141,AO141)*10000+SUM(Q141,AI141)*100+SUM(K141,AC141)+0.003&gt;AT141*1000000+SUM(V141,AN141)*10000+SUM(P141,AH141)*100+SUM(J141,AB141)+0.004,1,0)+IF(AV141*1000000+SUM(X141,AP141)*10000+SUM(R141,AJ141)*100+SUM(L141,AD141)+0.002&gt;AT141*1000000+SUM(V141,AN141)*10000+SUM(P141,AH141)*100+SUM(J141,AB141)+0.004,1,0)+IF(AW141*1000000+SUM(Y141,AQ141)*10000+SUM(S141,AK141)*100+SUM(M141,AE141)+0.001&gt;AT141*1000000+SUM(V141,AN141)*10000+SUM(P141,AH141)*100+SUM(J141,AB141)+0.004,1,0)=2,"A",IF(IF(AR141*1000000+SUM(T141,AL141)*10000+SUM(N141,AF141)*100+SUM(H141,Z141)+0.006&gt;AU141*1000000+SUM(W141,AO141)*10000+SUM(Q141,AI141)*100+SUM(K141,AC141)+0.003,1,0)+IF(AS141*1000000+SUM(U141,AM141)*10000+SUM(O141,AG141)*100+SUM(I141,AA141)+0.005&gt;AU141*1000000+SUM(W141,AO141)*10000+SUM(Q141,AI141)*100+SUM(K141,AC141)+0.003,1,0)+IF(AT141*1000000+SUM(V141,AN141)*10000+SUM(P141,AH141)*100+SUM(J141,AB141)+0.004&gt;AU141*1000000+SUM(W141,AO141)*10000+SUM(Q141,AI141)*100+SUM(K141,AC141)+0.003,1,0)+IF(AV141*1000000+SUM(X141,AP141)*10000+SUM(R141,AJ141)*100+SUM(L141,AD141)+0.002&gt;AU141*1000000+SUM(W141,AO141)*10000+SUM(Q141,AI141)*100+SUM(K141,AC141)+0.003,1,0)+IF(AW141*1000000+SUM(Y141,AQ141)*10000+SUM(S141,AK141)*100+SUM(M141,AE141)+0.001&gt;AU141*1000000+SUM(W141,AO141)*10000+SUM(Q141,AI141)*100+SUM(K141,AC141)+0.003,1,0)=2,"S",IF(IF(AR141*1000000+SUM(T141,AL141)*10000+SUM(N141,AF141)*100+SUM(H141,Z141)+0.006&gt;AV141*1000000+SUM(X141,AP141)*10000+SUM(R141,AJ141)*100+SUM(L141,AD141)+0.002,1,0)+IF(AS141*1000000+SUM(U141,AM141)*10000+SUM(O141,AG141)*100+SUM(I141,AA141)+0.005&gt;AV141*1000000+SUM(X141,AP141)*10000+SUM(R141,AJ141)*100+SUM(L141,AD141)+0.002,1,0)+IF(AT141*1000000+SUM(V141,AN141)*10000+SUM(P141,AH141)*100+SUM(J141,AB141)+0.004&gt;AV141*1000000+SUM(X141,AP141)*10000+SUM(R141,AJ141)*100+SUM(L141,AD141)+0.002,1,0)+IF(AU141*1000000+SUM(W141,AO141)*10000+SUM(Q141,AI141)*100+SUM(K141,AC141)+0.003&gt;AV141*1000000+SUM(X141,AP141)*10000+SUM(R141,AJ141)*100+SUM(L141,AD141)+0.002,1,0)+IF(AW141*1000000+SUM(Y141,AQ141)*10000+SUM(S141,AK141)*100+SUM(M141,AE141)+0.001&gt;AV141*1000000+SUM(X141,AP141)*10000+SUM(R141,AJ141)*100+SUM(L141,AD141)+0.002,1,0)=2,"E",IF(IF(AR141*1000000+SUM(T141,AL141)*10000+SUM(N141,AF141)*100+SUM(H141,Z141)+0.006&gt;AW141*1000000+SUM(Y141,AQ141)*10000+SUM(S141,AK141)*100+SUM(M141,AE141)+0.001,1,0)+IF(AS141*1000000+SUM(U141,AM141)*10000+SUM(O141,AG141)*100+SUM(I141,AA141)+0.005&gt;AW141*1000000+SUM(Y141,AQ141)*10000+SUM(S141,AK141)*100+SUM(M141,AE141)+0.001,1,0)+IF(AT141*1000000+SUM(V141,AN141)*10000+SUM(P141,AH141)*100+SUM(J141,AB141)+0.004&gt;AW141*1000000+SUM(Y141,AQ141)*10000+SUM(S141,AK141)*100+SUM(M141,AE141)+0.001,1,0)+IF(AU141*1000000+SUM(W141,AO141)*10000+SUM(Q141,AI141)*100+SUM(K141,AC141)+0.003&gt;AW141*1000000+SUM(Y141,AQ141)*10000+SUM(S141,AK141)*100+SUM(M141,AE141)+0.001,1,0)+IF(AV141*1000000+SUM(X141,AP141)*10000+SUM(R141,AJ141)*100+SUM(L141,AD141)+0.002&gt;AW141*1000000+SUM(Y141,AQ141)*10000+SUM(S141,AK141)*100+SUM(M141,AE141)+0.001,1,0)=2,"C","")))))))</x:f>
      </x:c>
      <x:c r="AY141" s="27" t="str">
        <x:f>IF(C141="","",IF(LEFT(AX141,1)="R","นักปฏิบัติ",IF(LEFT(AX141,1)="I","นักคิดวิเคราะห์",IF(LEFT(AX141,1)="A","นักสร้างสรรค์",IF(LEFT(AX141,1)="S","ผู้เข้าใจผู้คน",IF(LEFT(AX141,1)="E","ผู้นำการเปลี่ยนแปลง","ผู้จัดระบบ"))))))</x:f>
      </x:c>
    </x:row>
    <x:row r="142">
      <x:c r="A142" s="27"/>
      <x:c r="B142" s="28"/>
      <x:c r="C142" s="27"/>
      <x:c r="D142" s="27"/>
      <x:c r="E142" s="27"/>
      <x:c r="F142" s="27"/>
      <x:c r="G142" s="27"/>
      <x:c r="H142" s="27"/>
      <x:c r="I142" s="27"/>
      <x:c r="J142" s="27"/>
      <x:c r="K142" s="27"/>
      <x:c r="L142" s="27"/>
      <x:c r="M142" s="27"/>
      <x:c r="N142" s="27"/>
      <x:c r="O142" s="27"/>
      <x:c r="P142" s="27"/>
      <x:c r="Q142" s="27"/>
      <x:c r="R142" s="27"/>
      <x:c r="S142" s="27"/>
      <x:c r="T142" s="27"/>
      <x:c r="U142" s="27"/>
      <x:c r="V142" s="27"/>
      <x:c r="W142" s="27"/>
      <x:c r="X142" s="27"/>
      <x:c r="Y142" s="27"/>
      <x:c r="Z142" s="27"/>
      <x:c r="AA142" s="27"/>
      <x:c r="AB142" s="27"/>
      <x:c r="AC142" s="27"/>
      <x:c r="AD142" s="27"/>
      <x:c r="AE142" s="27"/>
      <x:c r="AF142" s="27"/>
      <x:c r="AG142" s="27"/>
      <x:c r="AH142" s="27"/>
      <x:c r="AI142" s="27"/>
      <x:c r="AJ142" s="27"/>
      <x:c r="AK142" s="27"/>
      <x:c r="AL142" s="27"/>
      <x:c r="AM142" s="27"/>
      <x:c r="AN142" s="27"/>
      <x:c r="AO142" s="27"/>
      <x:c r="AP142" s="27"/>
      <x:c r="AQ142" s="27"/>
      <x:c r="AR142" s="27" t="str">
        <x:f>IF(C142="","",SUM(H142,N142,T142,Z142,AF142,AL142))</x:f>
      </x:c>
      <x:c r="AS142" s="27" t="str">
        <x:f>IF(C142="","",SUM(I142,O142,U142,AA142,AG142,AM142))</x:f>
      </x:c>
      <x:c r="AT142" s="27" t="str">
        <x:f>IF(C142="","",SUM(J142,P142,V142,AB142,AH142,AN142))</x:f>
      </x:c>
      <x:c r="AU142" s="27" t="str">
        <x:f>IF(C142="","",SUM(K142,Q142,W142,AC142,AI142,AO142))</x:f>
      </x:c>
      <x:c r="AV142" s="27" t="str">
        <x:f>IF(C142="","",SUM(L142,R142,X142,AD142,AJ142,AP142))</x:f>
      </x:c>
      <x:c r="AW142" s="27" t="str">
        <x:f>IF(C142="","",SUM(M142,S142,Y142,AE142,AK142,AQ142))</x:f>
      </x:c>
      <x:c r="AX142" s="27" t="str">
        <x:f>IF(C142="","",IF(IF(AS142*1000000+SUM(U142,AM142)*10000+SUM(O142,AG142)*100+SUM(I142,AA142)+0.005&gt;AR142*1000000+SUM(T142,AL142)*10000+SUM(N142,AF142)*100+SUM(H142,Z142)+0.006,1,0)+IF(AT142*1000000+SUM(V142,AN142)*10000+SUM(P142,AH142)*100+SUM(J142,AB142)+0.004&gt;AR142*1000000+SUM(T142,AL142)*10000+SUM(N142,AF142)*100+SUM(H142,Z142)+0.006,1,0)+IF(AU142*1000000+SUM(W142,AO142)*10000+SUM(Q142,AI142)*100+SUM(K142,AC142)+0.003&gt;AR142*1000000+SUM(T142,AL142)*10000+SUM(N142,AF142)*100+SUM(H142,Z142)+0.006,1,0)+IF(AV142*1000000+SUM(X142,AP142)*10000+SUM(R142,AJ142)*100+SUM(L142,AD142)+0.002&gt;AR142*1000000+SUM(T142,AL142)*10000+SUM(N142,AF142)*100+SUM(H142,Z142)+0.006,1,0)+IF(AW142*1000000+SUM(Y142,AQ142)*10000+SUM(S142,AK142)*100+SUM(M142,AE142)+0.001&gt;AR142*1000000+SUM(T142,AL142)*10000+SUM(N142,AF142)*100+SUM(H142,Z142)+0.006,1,0)=0,"R",IF(IF(AR142*1000000+SUM(T142,AL142)*10000+SUM(N142,AF142)*100+SUM(H142,Z142)+0.006&gt;AS142*1000000+SUM(U142,AM142)*10000+SUM(O142,AG142)*100+SUM(I142,AA142)+0.005,1,0)+IF(AT142*1000000+SUM(V142,AN142)*10000+SUM(P142,AH142)*100+SUM(J142,AB142)+0.004&gt;AS142*1000000+SUM(U142,AM142)*10000+SUM(O142,AG142)*100+SUM(I142,AA142)+0.005,1,0)+IF(AU142*1000000+SUM(W142,AO142)*10000+SUM(Q142,AI142)*100+SUM(K142,AC142)+0.003&gt;AS142*1000000+SUM(U142,AM142)*10000+SUM(O142,AG142)*100+SUM(I142,AA142)+0.005,1,0)+IF(AV142*1000000+SUM(X142,AP142)*10000+SUM(R142,AJ142)*100+SUM(L142,AD142)+0.002&gt;AS142*1000000+SUM(U142,AM142)*10000+SUM(O142,AG142)*100+SUM(I142,AA142)+0.005,1,0)+IF(AW142*1000000+SUM(Y142,AQ142)*10000+SUM(S142,AK142)*100+SUM(M142,AE142)+0.001&gt;AS142*1000000+SUM(U142,AM142)*10000+SUM(O142,AG142)*100+SUM(I142,AA142)+0.005,1,0)=0,"I",IF(IF(AR142*1000000+SUM(T142,AL142)*10000+SUM(N142,AF142)*100+SUM(H142,Z142)+0.006&gt;AT142*1000000+SUM(V142,AN142)*10000+SUM(P142,AH142)*100+SUM(J142,AB142)+0.004,1,0)+IF(AS142*1000000+SUM(U142,AM142)*10000+SUM(O142,AG142)*100+SUM(I142,AA142)+0.005&gt;AT142*1000000+SUM(V142,AN142)*10000+SUM(P142,AH142)*100+SUM(J142,AB142)+0.004,1,0)+IF(AU142*1000000+SUM(W142,AO142)*10000+SUM(Q142,AI142)*100+SUM(K142,AC142)+0.003&gt;AT142*1000000+SUM(V142,AN142)*10000+SUM(P142,AH142)*100+SUM(J142,AB142)+0.004,1,0)+IF(AV142*1000000+SUM(X142,AP142)*10000+SUM(R142,AJ142)*100+SUM(L142,AD142)+0.002&gt;AT142*1000000+SUM(V142,AN142)*10000+SUM(P142,AH142)*100+SUM(J142,AB142)+0.004,1,0)+IF(AW142*1000000+SUM(Y142,AQ142)*10000+SUM(S142,AK142)*100+SUM(M142,AE142)+0.001&gt;AT142*1000000+SUM(V142,AN142)*10000+SUM(P142,AH142)*100+SUM(J142,AB142)+0.004,1,0)=0,"A",IF(IF(AR142*1000000+SUM(T142,AL142)*10000+SUM(N142,AF142)*100+SUM(H142,Z142)+0.006&gt;AU142*1000000+SUM(W142,AO142)*10000+SUM(Q142,AI142)*100+SUM(K142,AC142)+0.003,1,0)+IF(AS142*1000000+SUM(U142,AM142)*10000+SUM(O142,AG142)*100+SUM(I142,AA142)+0.005&gt;AU142*1000000+SUM(W142,AO142)*10000+SUM(Q142,AI142)*100+SUM(K142,AC142)+0.003,1,0)+IF(AT142*1000000+SUM(V142,AN142)*10000+SUM(P142,AH142)*100+SUM(J142,AB142)+0.004&gt;AU142*1000000+SUM(W142,AO142)*10000+SUM(Q142,AI142)*100+SUM(K142,AC142)+0.003,1,0)+IF(AV142*1000000+SUM(X142,AP142)*10000+SUM(R142,AJ142)*100+SUM(L142,AD142)+0.002&gt;AU142*1000000+SUM(W142,AO142)*10000+SUM(Q142,AI142)*100+SUM(K142,AC142)+0.003,1,0)+IF(AW142*1000000+SUM(Y142,AQ142)*10000+SUM(S142,AK142)*100+SUM(M142,AE142)+0.001&gt;AU142*1000000+SUM(W142,AO142)*10000+SUM(Q142,AI142)*100+SUM(K142,AC142)+0.003,1,0)=0,"S",IF(IF(AR142*1000000+SUM(T142,AL142)*10000+SUM(N142,AF142)*100+SUM(H142,Z142)+0.006&gt;AV142*1000000+SUM(X142,AP142)*10000+SUM(R142,AJ142)*100+SUM(L142,AD142)+0.002,1,0)+IF(AS142*1000000+SUM(U142,AM142)*10000+SUM(O142,AG142)*100+SUM(I142,AA142)+0.005&gt;AV142*1000000+SUM(X142,AP142)*10000+SUM(R142,AJ142)*100+SUM(L142,AD142)+0.002,1,0)+IF(AT142*1000000+SUM(V142,AN142)*10000+SUM(P142,AH142)*100+SUM(J142,AB142)+0.004&gt;AV142*1000000+SUM(X142,AP142)*10000+SUM(R142,AJ142)*100+SUM(L142,AD142)+0.002,1,0)+IF(AU142*1000000+SUM(W142,AO142)*10000+SUM(Q142,AI142)*100+SUM(K142,AC142)+0.003&gt;AV142*1000000+SUM(X142,AP142)*10000+SUM(R142,AJ142)*100+SUM(L142,AD142)+0.002,1,0)+IF(AW142*1000000+SUM(Y142,AQ142)*10000+SUM(S142,AK142)*100+SUM(M142,AE142)+0.001&gt;AV142*1000000+SUM(X142,AP142)*10000+SUM(R142,AJ142)*100+SUM(L142,AD142)+0.002,1,0)=0,"E",IF(IF(AR142*1000000+SUM(T142,AL142)*10000+SUM(N142,AF142)*100+SUM(H142,Z142)+0.006&gt;AW142*1000000+SUM(Y142,AQ142)*10000+SUM(S142,AK142)*100+SUM(M142,AE142)+0.001,1,0)+IF(AS142*1000000+SUM(U142,AM142)*10000+SUM(O142,AG142)*100+SUM(I142,AA142)+0.005&gt;AW142*1000000+SUM(Y142,AQ142)*10000+SUM(S142,AK142)*100+SUM(M142,AE142)+0.001,1,0)+IF(AT142*1000000+SUM(V142,AN142)*10000+SUM(P142,AH142)*100+SUM(J142,AB142)+0.004&gt;AW142*1000000+SUM(Y142,AQ142)*10000+SUM(S142,AK142)*100+SUM(M142,AE142)+0.001,1,0)+IF(AU142*1000000+SUM(W142,AO142)*10000+SUM(Q142,AI142)*100+SUM(K142,AC142)+0.003&gt;AW142*1000000+SUM(Y142,AQ142)*10000+SUM(S142,AK142)*100+SUM(M142,AE142)+0.001,1,0)+IF(AV142*1000000+SUM(X142,AP142)*10000+SUM(R142,AJ142)*100+SUM(L142,AD142)+0.002&gt;AW142*1000000+SUM(Y142,AQ142)*10000+SUM(S142,AK142)*100+SUM(M142,AE142)+0.001,1,0)=0,"C",""))))))&amp;IF(IF(AS142*1000000+SUM(U142,AM142)*10000+SUM(O142,AG142)*100+SUM(I142,AA142)+0.005&gt;AR142*1000000+SUM(T142,AL142)*10000+SUM(N142,AF142)*100+SUM(H142,Z142)+0.006,1,0)+IF(AT142*1000000+SUM(V142,AN142)*10000+SUM(P142,AH142)*100+SUM(J142,AB142)+0.004&gt;AR142*1000000+SUM(T142,AL142)*10000+SUM(N142,AF142)*100+SUM(H142,Z142)+0.006,1,0)+IF(AU142*1000000+SUM(W142,AO142)*10000+SUM(Q142,AI142)*100+SUM(K142,AC142)+0.003&gt;AR142*1000000+SUM(T142,AL142)*10000+SUM(N142,AF142)*100+SUM(H142,Z142)+0.006,1,0)+IF(AV142*1000000+SUM(X142,AP142)*10000+SUM(R142,AJ142)*100+SUM(L142,AD142)+0.002&gt;AR142*1000000+SUM(T142,AL142)*10000+SUM(N142,AF142)*100+SUM(H142,Z142)+0.006,1,0)+IF(AW142*1000000+SUM(Y142,AQ142)*10000+SUM(S142,AK142)*100+SUM(M142,AE142)+0.001&gt;AR142*1000000+SUM(T142,AL142)*10000+SUM(N142,AF142)*100+SUM(H142,Z142)+0.006,1,0)=1,"R",IF(IF(AR142*1000000+SUM(T142,AL142)*10000+SUM(N142,AF142)*100+SUM(H142,Z142)+0.006&gt;AS142*1000000+SUM(U142,AM142)*10000+SUM(O142,AG142)*100+SUM(I142,AA142)+0.005,1,0)+IF(AT142*1000000+SUM(V142,AN142)*10000+SUM(P142,AH142)*100+SUM(J142,AB142)+0.004&gt;AS142*1000000+SUM(U142,AM142)*10000+SUM(O142,AG142)*100+SUM(I142,AA142)+0.005,1,0)+IF(AU142*1000000+SUM(W142,AO142)*10000+SUM(Q142,AI142)*100+SUM(K142,AC142)+0.003&gt;AS142*1000000+SUM(U142,AM142)*10000+SUM(O142,AG142)*100+SUM(I142,AA142)+0.005,1,0)+IF(AV142*1000000+SUM(X142,AP142)*10000+SUM(R142,AJ142)*100+SUM(L142,AD142)+0.002&gt;AS142*1000000+SUM(U142,AM142)*10000+SUM(O142,AG142)*100+SUM(I142,AA142)+0.005,1,0)+IF(AW142*1000000+SUM(Y142,AQ142)*10000+SUM(S142,AK142)*100+SUM(M142,AE142)+0.001&gt;AS142*1000000+SUM(U142,AM142)*10000+SUM(O142,AG142)*100+SUM(I142,AA142)+0.005,1,0)=1,"I",IF(IF(AR142*1000000+SUM(T142,AL142)*10000+SUM(N142,AF142)*100+SUM(H142,Z142)+0.006&gt;AT142*1000000+SUM(V142,AN142)*10000+SUM(P142,AH142)*100+SUM(J142,AB142)+0.004,1,0)+IF(AS142*1000000+SUM(U142,AM142)*10000+SUM(O142,AG142)*100+SUM(I142,AA142)+0.005&gt;AT142*1000000+SUM(V142,AN142)*10000+SUM(P142,AH142)*100+SUM(J142,AB142)+0.004,1,0)+IF(AU142*1000000+SUM(W142,AO142)*10000+SUM(Q142,AI142)*100+SUM(K142,AC142)+0.003&gt;AT142*1000000+SUM(V142,AN142)*10000+SUM(P142,AH142)*100+SUM(J142,AB142)+0.004,1,0)+IF(AV142*1000000+SUM(X142,AP142)*10000+SUM(R142,AJ142)*100+SUM(L142,AD142)+0.002&gt;AT142*1000000+SUM(V142,AN142)*10000+SUM(P142,AH142)*100+SUM(J142,AB142)+0.004,1,0)+IF(AW142*1000000+SUM(Y142,AQ142)*10000+SUM(S142,AK142)*100+SUM(M142,AE142)+0.001&gt;AT142*1000000+SUM(V142,AN142)*10000+SUM(P142,AH142)*100+SUM(J142,AB142)+0.004,1,0)=1,"A",IF(IF(AR142*1000000+SUM(T142,AL142)*10000+SUM(N142,AF142)*100+SUM(H142,Z142)+0.006&gt;AU142*1000000+SUM(W142,AO142)*10000+SUM(Q142,AI142)*100+SUM(K142,AC142)+0.003,1,0)+IF(AS142*1000000+SUM(U142,AM142)*10000+SUM(O142,AG142)*100+SUM(I142,AA142)+0.005&gt;AU142*1000000+SUM(W142,AO142)*10000+SUM(Q142,AI142)*100+SUM(K142,AC142)+0.003,1,0)+IF(AT142*1000000+SUM(V142,AN142)*10000+SUM(P142,AH142)*100+SUM(J142,AB142)+0.004&gt;AU142*1000000+SUM(W142,AO142)*10000+SUM(Q142,AI142)*100+SUM(K142,AC142)+0.003,1,0)+IF(AV142*1000000+SUM(X142,AP142)*10000+SUM(R142,AJ142)*100+SUM(L142,AD142)+0.002&gt;AU142*1000000+SUM(W142,AO142)*10000+SUM(Q142,AI142)*100+SUM(K142,AC142)+0.003,1,0)+IF(AW142*1000000+SUM(Y142,AQ142)*10000+SUM(S142,AK142)*100+SUM(M142,AE142)+0.001&gt;AU142*1000000+SUM(W142,AO142)*10000+SUM(Q142,AI142)*100+SUM(K142,AC142)+0.003,1,0)=1,"S",IF(IF(AR142*1000000+SUM(T142,AL142)*10000+SUM(N142,AF142)*100+SUM(H142,Z142)+0.006&gt;AV142*1000000+SUM(X142,AP142)*10000+SUM(R142,AJ142)*100+SUM(L142,AD142)+0.002,1,0)+IF(AS142*1000000+SUM(U142,AM142)*10000+SUM(O142,AG142)*100+SUM(I142,AA142)+0.005&gt;AV142*1000000+SUM(X142,AP142)*10000+SUM(R142,AJ142)*100+SUM(L142,AD142)+0.002,1,0)+IF(AT142*1000000+SUM(V142,AN142)*10000+SUM(P142,AH142)*100+SUM(J142,AB142)+0.004&gt;AV142*1000000+SUM(X142,AP142)*10000+SUM(R142,AJ142)*100+SUM(L142,AD142)+0.002,1,0)+IF(AU142*1000000+SUM(W142,AO142)*10000+SUM(Q142,AI142)*100+SUM(K142,AC142)+0.003&gt;AV142*1000000+SUM(X142,AP142)*10000+SUM(R142,AJ142)*100+SUM(L142,AD142)+0.002,1,0)+IF(AW142*1000000+SUM(Y142,AQ142)*10000+SUM(S142,AK142)*100+SUM(M142,AE142)+0.001&gt;AV142*1000000+SUM(X142,AP142)*10000+SUM(R142,AJ142)*100+SUM(L142,AD142)+0.002,1,0)=1,"E",IF(IF(AR142*1000000+SUM(T142,AL142)*10000+SUM(N142,AF142)*100+SUM(H142,Z142)+0.006&gt;AW142*1000000+SUM(Y142,AQ142)*10000+SUM(S142,AK142)*100+SUM(M142,AE142)+0.001,1,0)+IF(AS142*1000000+SUM(U142,AM142)*10000+SUM(O142,AG142)*100+SUM(I142,AA142)+0.005&gt;AW142*1000000+SUM(Y142,AQ142)*10000+SUM(S142,AK142)*100+SUM(M142,AE142)+0.001,1,0)+IF(AT142*1000000+SUM(V142,AN142)*10000+SUM(P142,AH142)*100+SUM(J142,AB142)+0.004&gt;AW142*1000000+SUM(Y142,AQ142)*10000+SUM(S142,AK142)*100+SUM(M142,AE142)+0.001,1,0)+IF(AU142*1000000+SUM(W142,AO142)*10000+SUM(Q142,AI142)*100+SUM(K142,AC142)+0.003&gt;AW142*1000000+SUM(Y142,AQ142)*10000+SUM(S142,AK142)*100+SUM(M142,AE142)+0.001,1,0)+IF(AV142*1000000+SUM(X142,AP142)*10000+SUM(R142,AJ142)*100+SUM(L142,AD142)+0.002&gt;AW142*1000000+SUM(Y142,AQ142)*10000+SUM(S142,AK142)*100+SUM(M142,AE142)+0.001,1,0)=1,"C",""))))))&amp;IF(IF(AS142*1000000+SUM(U142,AM142)*10000+SUM(O142,AG142)*100+SUM(I142,AA142)+0.005&gt;AR142*1000000+SUM(T142,AL142)*10000+SUM(N142,AF142)*100+SUM(H142,Z142)+0.006,1,0)+IF(AT142*1000000+SUM(V142,AN142)*10000+SUM(P142,AH142)*100+SUM(J142,AB142)+0.004&gt;AR142*1000000+SUM(T142,AL142)*10000+SUM(N142,AF142)*100+SUM(H142,Z142)+0.006,1,0)+IF(AU142*1000000+SUM(W142,AO142)*10000+SUM(Q142,AI142)*100+SUM(K142,AC142)+0.003&gt;AR142*1000000+SUM(T142,AL142)*10000+SUM(N142,AF142)*100+SUM(H142,Z142)+0.006,1,0)+IF(AV142*1000000+SUM(X142,AP142)*10000+SUM(R142,AJ142)*100+SUM(L142,AD142)+0.002&gt;AR142*1000000+SUM(T142,AL142)*10000+SUM(N142,AF142)*100+SUM(H142,Z142)+0.006,1,0)+IF(AW142*1000000+SUM(Y142,AQ142)*10000+SUM(S142,AK142)*100+SUM(M142,AE142)+0.001&gt;AR142*1000000+SUM(T142,AL142)*10000+SUM(N142,AF142)*100+SUM(H142,Z142)+0.006,1,0)=2,"R",IF(IF(AR142*1000000+SUM(T142,AL142)*10000+SUM(N142,AF142)*100+SUM(H142,Z142)+0.006&gt;AS142*1000000+SUM(U142,AM142)*10000+SUM(O142,AG142)*100+SUM(I142,AA142)+0.005,1,0)+IF(AT142*1000000+SUM(V142,AN142)*10000+SUM(P142,AH142)*100+SUM(J142,AB142)+0.004&gt;AS142*1000000+SUM(U142,AM142)*10000+SUM(O142,AG142)*100+SUM(I142,AA142)+0.005,1,0)+IF(AU142*1000000+SUM(W142,AO142)*10000+SUM(Q142,AI142)*100+SUM(K142,AC142)+0.003&gt;AS142*1000000+SUM(U142,AM142)*10000+SUM(O142,AG142)*100+SUM(I142,AA142)+0.005,1,0)+IF(AV142*1000000+SUM(X142,AP142)*10000+SUM(R142,AJ142)*100+SUM(L142,AD142)+0.002&gt;AS142*1000000+SUM(U142,AM142)*10000+SUM(O142,AG142)*100+SUM(I142,AA142)+0.005,1,0)+IF(AW142*1000000+SUM(Y142,AQ142)*10000+SUM(S142,AK142)*100+SUM(M142,AE142)+0.001&gt;AS142*1000000+SUM(U142,AM142)*10000+SUM(O142,AG142)*100+SUM(I142,AA142)+0.005,1,0)=2,"I",IF(IF(AR142*1000000+SUM(T142,AL142)*10000+SUM(N142,AF142)*100+SUM(H142,Z142)+0.006&gt;AT142*1000000+SUM(V142,AN142)*10000+SUM(P142,AH142)*100+SUM(J142,AB142)+0.004,1,0)+IF(AS142*1000000+SUM(U142,AM142)*10000+SUM(O142,AG142)*100+SUM(I142,AA142)+0.005&gt;AT142*1000000+SUM(V142,AN142)*10000+SUM(P142,AH142)*100+SUM(J142,AB142)+0.004,1,0)+IF(AU142*1000000+SUM(W142,AO142)*10000+SUM(Q142,AI142)*100+SUM(K142,AC142)+0.003&gt;AT142*1000000+SUM(V142,AN142)*10000+SUM(P142,AH142)*100+SUM(J142,AB142)+0.004,1,0)+IF(AV142*1000000+SUM(X142,AP142)*10000+SUM(R142,AJ142)*100+SUM(L142,AD142)+0.002&gt;AT142*1000000+SUM(V142,AN142)*10000+SUM(P142,AH142)*100+SUM(J142,AB142)+0.004,1,0)+IF(AW142*1000000+SUM(Y142,AQ142)*10000+SUM(S142,AK142)*100+SUM(M142,AE142)+0.001&gt;AT142*1000000+SUM(V142,AN142)*10000+SUM(P142,AH142)*100+SUM(J142,AB142)+0.004,1,0)=2,"A",IF(IF(AR142*1000000+SUM(T142,AL142)*10000+SUM(N142,AF142)*100+SUM(H142,Z142)+0.006&gt;AU142*1000000+SUM(W142,AO142)*10000+SUM(Q142,AI142)*100+SUM(K142,AC142)+0.003,1,0)+IF(AS142*1000000+SUM(U142,AM142)*10000+SUM(O142,AG142)*100+SUM(I142,AA142)+0.005&gt;AU142*1000000+SUM(W142,AO142)*10000+SUM(Q142,AI142)*100+SUM(K142,AC142)+0.003,1,0)+IF(AT142*1000000+SUM(V142,AN142)*10000+SUM(P142,AH142)*100+SUM(J142,AB142)+0.004&gt;AU142*1000000+SUM(W142,AO142)*10000+SUM(Q142,AI142)*100+SUM(K142,AC142)+0.003,1,0)+IF(AV142*1000000+SUM(X142,AP142)*10000+SUM(R142,AJ142)*100+SUM(L142,AD142)+0.002&gt;AU142*1000000+SUM(W142,AO142)*10000+SUM(Q142,AI142)*100+SUM(K142,AC142)+0.003,1,0)+IF(AW142*1000000+SUM(Y142,AQ142)*10000+SUM(S142,AK142)*100+SUM(M142,AE142)+0.001&gt;AU142*1000000+SUM(W142,AO142)*10000+SUM(Q142,AI142)*100+SUM(K142,AC142)+0.003,1,0)=2,"S",IF(IF(AR142*1000000+SUM(T142,AL142)*10000+SUM(N142,AF142)*100+SUM(H142,Z142)+0.006&gt;AV142*1000000+SUM(X142,AP142)*10000+SUM(R142,AJ142)*100+SUM(L142,AD142)+0.002,1,0)+IF(AS142*1000000+SUM(U142,AM142)*10000+SUM(O142,AG142)*100+SUM(I142,AA142)+0.005&gt;AV142*1000000+SUM(X142,AP142)*10000+SUM(R142,AJ142)*100+SUM(L142,AD142)+0.002,1,0)+IF(AT142*1000000+SUM(V142,AN142)*10000+SUM(P142,AH142)*100+SUM(J142,AB142)+0.004&gt;AV142*1000000+SUM(X142,AP142)*10000+SUM(R142,AJ142)*100+SUM(L142,AD142)+0.002,1,0)+IF(AU142*1000000+SUM(W142,AO142)*10000+SUM(Q142,AI142)*100+SUM(K142,AC142)+0.003&gt;AV142*1000000+SUM(X142,AP142)*10000+SUM(R142,AJ142)*100+SUM(L142,AD142)+0.002,1,0)+IF(AW142*1000000+SUM(Y142,AQ142)*10000+SUM(S142,AK142)*100+SUM(M142,AE142)+0.001&gt;AV142*1000000+SUM(X142,AP142)*10000+SUM(R142,AJ142)*100+SUM(L142,AD142)+0.002,1,0)=2,"E",IF(IF(AR142*1000000+SUM(T142,AL142)*10000+SUM(N142,AF142)*100+SUM(H142,Z142)+0.006&gt;AW142*1000000+SUM(Y142,AQ142)*10000+SUM(S142,AK142)*100+SUM(M142,AE142)+0.001,1,0)+IF(AS142*1000000+SUM(U142,AM142)*10000+SUM(O142,AG142)*100+SUM(I142,AA142)+0.005&gt;AW142*1000000+SUM(Y142,AQ142)*10000+SUM(S142,AK142)*100+SUM(M142,AE142)+0.001,1,0)+IF(AT142*1000000+SUM(V142,AN142)*10000+SUM(P142,AH142)*100+SUM(J142,AB142)+0.004&gt;AW142*1000000+SUM(Y142,AQ142)*10000+SUM(S142,AK142)*100+SUM(M142,AE142)+0.001,1,0)+IF(AU142*1000000+SUM(W142,AO142)*10000+SUM(Q142,AI142)*100+SUM(K142,AC142)+0.003&gt;AW142*1000000+SUM(Y142,AQ142)*10000+SUM(S142,AK142)*100+SUM(M142,AE142)+0.001,1,0)+IF(AV142*1000000+SUM(X142,AP142)*10000+SUM(R142,AJ142)*100+SUM(L142,AD142)+0.002&gt;AW142*1000000+SUM(Y142,AQ142)*10000+SUM(S142,AK142)*100+SUM(M142,AE142)+0.001,1,0)=2,"C","")))))))</x:f>
      </x:c>
      <x:c r="AY142" s="27" t="str">
        <x:f>IF(C142="","",IF(LEFT(AX142,1)="R","นักปฏิบัติ",IF(LEFT(AX142,1)="I","นักคิดวิเคราะห์",IF(LEFT(AX142,1)="A","นักสร้างสรรค์",IF(LEFT(AX142,1)="S","ผู้เข้าใจผู้คน",IF(LEFT(AX142,1)="E","ผู้นำการเปลี่ยนแปลง","ผู้จัดระบบ"))))))</x:f>
      </x:c>
    </x:row>
    <x:row r="143">
      <x:c r="A143" s="27"/>
      <x:c r="B143" s="28"/>
      <x:c r="C143" s="27"/>
      <x:c r="D143" s="27"/>
      <x:c r="E143" s="27"/>
      <x:c r="F143" s="27"/>
      <x:c r="G143" s="27"/>
      <x:c r="H143" s="27"/>
      <x:c r="I143" s="27"/>
      <x:c r="J143" s="27"/>
      <x:c r="K143" s="27"/>
      <x:c r="L143" s="27"/>
      <x:c r="M143" s="27"/>
      <x:c r="N143" s="27"/>
      <x:c r="O143" s="27"/>
      <x:c r="P143" s="27"/>
      <x:c r="Q143" s="27"/>
      <x:c r="R143" s="27"/>
      <x:c r="S143" s="27"/>
      <x:c r="T143" s="27"/>
      <x:c r="U143" s="27"/>
      <x:c r="V143" s="27"/>
      <x:c r="W143" s="27"/>
      <x:c r="X143" s="27"/>
      <x:c r="Y143" s="27"/>
      <x:c r="Z143" s="27"/>
      <x:c r="AA143" s="27"/>
      <x:c r="AB143" s="27"/>
      <x:c r="AC143" s="27"/>
      <x:c r="AD143" s="27"/>
      <x:c r="AE143" s="27"/>
      <x:c r="AF143" s="27"/>
      <x:c r="AG143" s="27"/>
      <x:c r="AH143" s="27"/>
      <x:c r="AI143" s="27"/>
      <x:c r="AJ143" s="27"/>
      <x:c r="AK143" s="27"/>
      <x:c r="AL143" s="27"/>
      <x:c r="AM143" s="27"/>
      <x:c r="AN143" s="27"/>
      <x:c r="AO143" s="27"/>
      <x:c r="AP143" s="27"/>
      <x:c r="AQ143" s="27"/>
      <x:c r="AR143" s="27" t="str">
        <x:f>IF(C143="","",SUM(H143,N143,T143,Z143,AF143,AL143))</x:f>
      </x:c>
      <x:c r="AS143" s="27" t="str">
        <x:f>IF(C143="","",SUM(I143,O143,U143,AA143,AG143,AM143))</x:f>
      </x:c>
      <x:c r="AT143" s="27" t="str">
        <x:f>IF(C143="","",SUM(J143,P143,V143,AB143,AH143,AN143))</x:f>
      </x:c>
      <x:c r="AU143" s="27" t="str">
        <x:f>IF(C143="","",SUM(K143,Q143,W143,AC143,AI143,AO143))</x:f>
      </x:c>
      <x:c r="AV143" s="27" t="str">
        <x:f>IF(C143="","",SUM(L143,R143,X143,AD143,AJ143,AP143))</x:f>
      </x:c>
      <x:c r="AW143" s="27" t="str">
        <x:f>IF(C143="","",SUM(M143,S143,Y143,AE143,AK143,AQ143))</x:f>
      </x:c>
      <x:c r="AX143" s="27" t="str">
        <x:f>IF(C143="","",IF(IF(AS143*1000000+SUM(U143,AM143)*10000+SUM(O143,AG143)*100+SUM(I143,AA143)+0.005&gt;AR143*1000000+SUM(T143,AL143)*10000+SUM(N143,AF143)*100+SUM(H143,Z143)+0.006,1,0)+IF(AT143*1000000+SUM(V143,AN143)*10000+SUM(P143,AH143)*100+SUM(J143,AB143)+0.004&gt;AR143*1000000+SUM(T143,AL143)*10000+SUM(N143,AF143)*100+SUM(H143,Z143)+0.006,1,0)+IF(AU143*1000000+SUM(W143,AO143)*10000+SUM(Q143,AI143)*100+SUM(K143,AC143)+0.003&gt;AR143*1000000+SUM(T143,AL143)*10000+SUM(N143,AF143)*100+SUM(H143,Z143)+0.006,1,0)+IF(AV143*1000000+SUM(X143,AP143)*10000+SUM(R143,AJ143)*100+SUM(L143,AD143)+0.002&gt;AR143*1000000+SUM(T143,AL143)*10000+SUM(N143,AF143)*100+SUM(H143,Z143)+0.006,1,0)+IF(AW143*1000000+SUM(Y143,AQ143)*10000+SUM(S143,AK143)*100+SUM(M143,AE143)+0.001&gt;AR143*1000000+SUM(T143,AL143)*10000+SUM(N143,AF143)*100+SUM(H143,Z143)+0.006,1,0)=0,"R",IF(IF(AR143*1000000+SUM(T143,AL143)*10000+SUM(N143,AF143)*100+SUM(H143,Z143)+0.006&gt;AS143*1000000+SUM(U143,AM143)*10000+SUM(O143,AG143)*100+SUM(I143,AA143)+0.005,1,0)+IF(AT143*1000000+SUM(V143,AN143)*10000+SUM(P143,AH143)*100+SUM(J143,AB143)+0.004&gt;AS143*1000000+SUM(U143,AM143)*10000+SUM(O143,AG143)*100+SUM(I143,AA143)+0.005,1,0)+IF(AU143*1000000+SUM(W143,AO143)*10000+SUM(Q143,AI143)*100+SUM(K143,AC143)+0.003&gt;AS143*1000000+SUM(U143,AM143)*10000+SUM(O143,AG143)*100+SUM(I143,AA143)+0.005,1,0)+IF(AV143*1000000+SUM(X143,AP143)*10000+SUM(R143,AJ143)*100+SUM(L143,AD143)+0.002&gt;AS143*1000000+SUM(U143,AM143)*10000+SUM(O143,AG143)*100+SUM(I143,AA143)+0.005,1,0)+IF(AW143*1000000+SUM(Y143,AQ143)*10000+SUM(S143,AK143)*100+SUM(M143,AE143)+0.001&gt;AS143*1000000+SUM(U143,AM143)*10000+SUM(O143,AG143)*100+SUM(I143,AA143)+0.005,1,0)=0,"I",IF(IF(AR143*1000000+SUM(T143,AL143)*10000+SUM(N143,AF143)*100+SUM(H143,Z143)+0.006&gt;AT143*1000000+SUM(V143,AN143)*10000+SUM(P143,AH143)*100+SUM(J143,AB143)+0.004,1,0)+IF(AS143*1000000+SUM(U143,AM143)*10000+SUM(O143,AG143)*100+SUM(I143,AA143)+0.005&gt;AT143*1000000+SUM(V143,AN143)*10000+SUM(P143,AH143)*100+SUM(J143,AB143)+0.004,1,0)+IF(AU143*1000000+SUM(W143,AO143)*10000+SUM(Q143,AI143)*100+SUM(K143,AC143)+0.003&gt;AT143*1000000+SUM(V143,AN143)*10000+SUM(P143,AH143)*100+SUM(J143,AB143)+0.004,1,0)+IF(AV143*1000000+SUM(X143,AP143)*10000+SUM(R143,AJ143)*100+SUM(L143,AD143)+0.002&gt;AT143*1000000+SUM(V143,AN143)*10000+SUM(P143,AH143)*100+SUM(J143,AB143)+0.004,1,0)+IF(AW143*1000000+SUM(Y143,AQ143)*10000+SUM(S143,AK143)*100+SUM(M143,AE143)+0.001&gt;AT143*1000000+SUM(V143,AN143)*10000+SUM(P143,AH143)*100+SUM(J143,AB143)+0.004,1,0)=0,"A",IF(IF(AR143*1000000+SUM(T143,AL143)*10000+SUM(N143,AF143)*100+SUM(H143,Z143)+0.006&gt;AU143*1000000+SUM(W143,AO143)*10000+SUM(Q143,AI143)*100+SUM(K143,AC143)+0.003,1,0)+IF(AS143*1000000+SUM(U143,AM143)*10000+SUM(O143,AG143)*100+SUM(I143,AA143)+0.005&gt;AU143*1000000+SUM(W143,AO143)*10000+SUM(Q143,AI143)*100+SUM(K143,AC143)+0.003,1,0)+IF(AT143*1000000+SUM(V143,AN143)*10000+SUM(P143,AH143)*100+SUM(J143,AB143)+0.004&gt;AU143*1000000+SUM(W143,AO143)*10000+SUM(Q143,AI143)*100+SUM(K143,AC143)+0.003,1,0)+IF(AV143*1000000+SUM(X143,AP143)*10000+SUM(R143,AJ143)*100+SUM(L143,AD143)+0.002&gt;AU143*1000000+SUM(W143,AO143)*10000+SUM(Q143,AI143)*100+SUM(K143,AC143)+0.003,1,0)+IF(AW143*1000000+SUM(Y143,AQ143)*10000+SUM(S143,AK143)*100+SUM(M143,AE143)+0.001&gt;AU143*1000000+SUM(W143,AO143)*10000+SUM(Q143,AI143)*100+SUM(K143,AC143)+0.003,1,0)=0,"S",IF(IF(AR143*1000000+SUM(T143,AL143)*10000+SUM(N143,AF143)*100+SUM(H143,Z143)+0.006&gt;AV143*1000000+SUM(X143,AP143)*10000+SUM(R143,AJ143)*100+SUM(L143,AD143)+0.002,1,0)+IF(AS143*1000000+SUM(U143,AM143)*10000+SUM(O143,AG143)*100+SUM(I143,AA143)+0.005&gt;AV143*1000000+SUM(X143,AP143)*10000+SUM(R143,AJ143)*100+SUM(L143,AD143)+0.002,1,0)+IF(AT143*1000000+SUM(V143,AN143)*10000+SUM(P143,AH143)*100+SUM(J143,AB143)+0.004&gt;AV143*1000000+SUM(X143,AP143)*10000+SUM(R143,AJ143)*100+SUM(L143,AD143)+0.002,1,0)+IF(AU143*1000000+SUM(W143,AO143)*10000+SUM(Q143,AI143)*100+SUM(K143,AC143)+0.003&gt;AV143*1000000+SUM(X143,AP143)*10000+SUM(R143,AJ143)*100+SUM(L143,AD143)+0.002,1,0)+IF(AW143*1000000+SUM(Y143,AQ143)*10000+SUM(S143,AK143)*100+SUM(M143,AE143)+0.001&gt;AV143*1000000+SUM(X143,AP143)*10000+SUM(R143,AJ143)*100+SUM(L143,AD143)+0.002,1,0)=0,"E",IF(IF(AR143*1000000+SUM(T143,AL143)*10000+SUM(N143,AF143)*100+SUM(H143,Z143)+0.006&gt;AW143*1000000+SUM(Y143,AQ143)*10000+SUM(S143,AK143)*100+SUM(M143,AE143)+0.001,1,0)+IF(AS143*1000000+SUM(U143,AM143)*10000+SUM(O143,AG143)*100+SUM(I143,AA143)+0.005&gt;AW143*1000000+SUM(Y143,AQ143)*10000+SUM(S143,AK143)*100+SUM(M143,AE143)+0.001,1,0)+IF(AT143*1000000+SUM(V143,AN143)*10000+SUM(P143,AH143)*100+SUM(J143,AB143)+0.004&gt;AW143*1000000+SUM(Y143,AQ143)*10000+SUM(S143,AK143)*100+SUM(M143,AE143)+0.001,1,0)+IF(AU143*1000000+SUM(W143,AO143)*10000+SUM(Q143,AI143)*100+SUM(K143,AC143)+0.003&gt;AW143*1000000+SUM(Y143,AQ143)*10000+SUM(S143,AK143)*100+SUM(M143,AE143)+0.001,1,0)+IF(AV143*1000000+SUM(X143,AP143)*10000+SUM(R143,AJ143)*100+SUM(L143,AD143)+0.002&gt;AW143*1000000+SUM(Y143,AQ143)*10000+SUM(S143,AK143)*100+SUM(M143,AE143)+0.001,1,0)=0,"C",""))))))&amp;IF(IF(AS143*1000000+SUM(U143,AM143)*10000+SUM(O143,AG143)*100+SUM(I143,AA143)+0.005&gt;AR143*1000000+SUM(T143,AL143)*10000+SUM(N143,AF143)*100+SUM(H143,Z143)+0.006,1,0)+IF(AT143*1000000+SUM(V143,AN143)*10000+SUM(P143,AH143)*100+SUM(J143,AB143)+0.004&gt;AR143*1000000+SUM(T143,AL143)*10000+SUM(N143,AF143)*100+SUM(H143,Z143)+0.006,1,0)+IF(AU143*1000000+SUM(W143,AO143)*10000+SUM(Q143,AI143)*100+SUM(K143,AC143)+0.003&gt;AR143*1000000+SUM(T143,AL143)*10000+SUM(N143,AF143)*100+SUM(H143,Z143)+0.006,1,0)+IF(AV143*1000000+SUM(X143,AP143)*10000+SUM(R143,AJ143)*100+SUM(L143,AD143)+0.002&gt;AR143*1000000+SUM(T143,AL143)*10000+SUM(N143,AF143)*100+SUM(H143,Z143)+0.006,1,0)+IF(AW143*1000000+SUM(Y143,AQ143)*10000+SUM(S143,AK143)*100+SUM(M143,AE143)+0.001&gt;AR143*1000000+SUM(T143,AL143)*10000+SUM(N143,AF143)*100+SUM(H143,Z143)+0.006,1,0)=1,"R",IF(IF(AR143*1000000+SUM(T143,AL143)*10000+SUM(N143,AF143)*100+SUM(H143,Z143)+0.006&gt;AS143*1000000+SUM(U143,AM143)*10000+SUM(O143,AG143)*100+SUM(I143,AA143)+0.005,1,0)+IF(AT143*1000000+SUM(V143,AN143)*10000+SUM(P143,AH143)*100+SUM(J143,AB143)+0.004&gt;AS143*1000000+SUM(U143,AM143)*10000+SUM(O143,AG143)*100+SUM(I143,AA143)+0.005,1,0)+IF(AU143*1000000+SUM(W143,AO143)*10000+SUM(Q143,AI143)*100+SUM(K143,AC143)+0.003&gt;AS143*1000000+SUM(U143,AM143)*10000+SUM(O143,AG143)*100+SUM(I143,AA143)+0.005,1,0)+IF(AV143*1000000+SUM(X143,AP143)*10000+SUM(R143,AJ143)*100+SUM(L143,AD143)+0.002&gt;AS143*1000000+SUM(U143,AM143)*10000+SUM(O143,AG143)*100+SUM(I143,AA143)+0.005,1,0)+IF(AW143*1000000+SUM(Y143,AQ143)*10000+SUM(S143,AK143)*100+SUM(M143,AE143)+0.001&gt;AS143*1000000+SUM(U143,AM143)*10000+SUM(O143,AG143)*100+SUM(I143,AA143)+0.005,1,0)=1,"I",IF(IF(AR143*1000000+SUM(T143,AL143)*10000+SUM(N143,AF143)*100+SUM(H143,Z143)+0.006&gt;AT143*1000000+SUM(V143,AN143)*10000+SUM(P143,AH143)*100+SUM(J143,AB143)+0.004,1,0)+IF(AS143*1000000+SUM(U143,AM143)*10000+SUM(O143,AG143)*100+SUM(I143,AA143)+0.005&gt;AT143*1000000+SUM(V143,AN143)*10000+SUM(P143,AH143)*100+SUM(J143,AB143)+0.004,1,0)+IF(AU143*1000000+SUM(W143,AO143)*10000+SUM(Q143,AI143)*100+SUM(K143,AC143)+0.003&gt;AT143*1000000+SUM(V143,AN143)*10000+SUM(P143,AH143)*100+SUM(J143,AB143)+0.004,1,0)+IF(AV143*1000000+SUM(X143,AP143)*10000+SUM(R143,AJ143)*100+SUM(L143,AD143)+0.002&gt;AT143*1000000+SUM(V143,AN143)*10000+SUM(P143,AH143)*100+SUM(J143,AB143)+0.004,1,0)+IF(AW143*1000000+SUM(Y143,AQ143)*10000+SUM(S143,AK143)*100+SUM(M143,AE143)+0.001&gt;AT143*1000000+SUM(V143,AN143)*10000+SUM(P143,AH143)*100+SUM(J143,AB143)+0.004,1,0)=1,"A",IF(IF(AR143*1000000+SUM(T143,AL143)*10000+SUM(N143,AF143)*100+SUM(H143,Z143)+0.006&gt;AU143*1000000+SUM(W143,AO143)*10000+SUM(Q143,AI143)*100+SUM(K143,AC143)+0.003,1,0)+IF(AS143*1000000+SUM(U143,AM143)*10000+SUM(O143,AG143)*100+SUM(I143,AA143)+0.005&gt;AU143*1000000+SUM(W143,AO143)*10000+SUM(Q143,AI143)*100+SUM(K143,AC143)+0.003,1,0)+IF(AT143*1000000+SUM(V143,AN143)*10000+SUM(P143,AH143)*100+SUM(J143,AB143)+0.004&gt;AU143*1000000+SUM(W143,AO143)*10000+SUM(Q143,AI143)*100+SUM(K143,AC143)+0.003,1,0)+IF(AV143*1000000+SUM(X143,AP143)*10000+SUM(R143,AJ143)*100+SUM(L143,AD143)+0.002&gt;AU143*1000000+SUM(W143,AO143)*10000+SUM(Q143,AI143)*100+SUM(K143,AC143)+0.003,1,0)+IF(AW143*1000000+SUM(Y143,AQ143)*10000+SUM(S143,AK143)*100+SUM(M143,AE143)+0.001&gt;AU143*1000000+SUM(W143,AO143)*10000+SUM(Q143,AI143)*100+SUM(K143,AC143)+0.003,1,0)=1,"S",IF(IF(AR143*1000000+SUM(T143,AL143)*10000+SUM(N143,AF143)*100+SUM(H143,Z143)+0.006&gt;AV143*1000000+SUM(X143,AP143)*10000+SUM(R143,AJ143)*100+SUM(L143,AD143)+0.002,1,0)+IF(AS143*1000000+SUM(U143,AM143)*10000+SUM(O143,AG143)*100+SUM(I143,AA143)+0.005&gt;AV143*1000000+SUM(X143,AP143)*10000+SUM(R143,AJ143)*100+SUM(L143,AD143)+0.002,1,0)+IF(AT143*1000000+SUM(V143,AN143)*10000+SUM(P143,AH143)*100+SUM(J143,AB143)+0.004&gt;AV143*1000000+SUM(X143,AP143)*10000+SUM(R143,AJ143)*100+SUM(L143,AD143)+0.002,1,0)+IF(AU143*1000000+SUM(W143,AO143)*10000+SUM(Q143,AI143)*100+SUM(K143,AC143)+0.003&gt;AV143*1000000+SUM(X143,AP143)*10000+SUM(R143,AJ143)*100+SUM(L143,AD143)+0.002,1,0)+IF(AW143*1000000+SUM(Y143,AQ143)*10000+SUM(S143,AK143)*100+SUM(M143,AE143)+0.001&gt;AV143*1000000+SUM(X143,AP143)*10000+SUM(R143,AJ143)*100+SUM(L143,AD143)+0.002,1,0)=1,"E",IF(IF(AR143*1000000+SUM(T143,AL143)*10000+SUM(N143,AF143)*100+SUM(H143,Z143)+0.006&gt;AW143*1000000+SUM(Y143,AQ143)*10000+SUM(S143,AK143)*100+SUM(M143,AE143)+0.001,1,0)+IF(AS143*1000000+SUM(U143,AM143)*10000+SUM(O143,AG143)*100+SUM(I143,AA143)+0.005&gt;AW143*1000000+SUM(Y143,AQ143)*10000+SUM(S143,AK143)*100+SUM(M143,AE143)+0.001,1,0)+IF(AT143*1000000+SUM(V143,AN143)*10000+SUM(P143,AH143)*100+SUM(J143,AB143)+0.004&gt;AW143*1000000+SUM(Y143,AQ143)*10000+SUM(S143,AK143)*100+SUM(M143,AE143)+0.001,1,0)+IF(AU143*1000000+SUM(W143,AO143)*10000+SUM(Q143,AI143)*100+SUM(K143,AC143)+0.003&gt;AW143*1000000+SUM(Y143,AQ143)*10000+SUM(S143,AK143)*100+SUM(M143,AE143)+0.001,1,0)+IF(AV143*1000000+SUM(X143,AP143)*10000+SUM(R143,AJ143)*100+SUM(L143,AD143)+0.002&gt;AW143*1000000+SUM(Y143,AQ143)*10000+SUM(S143,AK143)*100+SUM(M143,AE143)+0.001,1,0)=1,"C",""))))))&amp;IF(IF(AS143*1000000+SUM(U143,AM143)*10000+SUM(O143,AG143)*100+SUM(I143,AA143)+0.005&gt;AR143*1000000+SUM(T143,AL143)*10000+SUM(N143,AF143)*100+SUM(H143,Z143)+0.006,1,0)+IF(AT143*1000000+SUM(V143,AN143)*10000+SUM(P143,AH143)*100+SUM(J143,AB143)+0.004&gt;AR143*1000000+SUM(T143,AL143)*10000+SUM(N143,AF143)*100+SUM(H143,Z143)+0.006,1,0)+IF(AU143*1000000+SUM(W143,AO143)*10000+SUM(Q143,AI143)*100+SUM(K143,AC143)+0.003&gt;AR143*1000000+SUM(T143,AL143)*10000+SUM(N143,AF143)*100+SUM(H143,Z143)+0.006,1,0)+IF(AV143*1000000+SUM(X143,AP143)*10000+SUM(R143,AJ143)*100+SUM(L143,AD143)+0.002&gt;AR143*1000000+SUM(T143,AL143)*10000+SUM(N143,AF143)*100+SUM(H143,Z143)+0.006,1,0)+IF(AW143*1000000+SUM(Y143,AQ143)*10000+SUM(S143,AK143)*100+SUM(M143,AE143)+0.001&gt;AR143*1000000+SUM(T143,AL143)*10000+SUM(N143,AF143)*100+SUM(H143,Z143)+0.006,1,0)=2,"R",IF(IF(AR143*1000000+SUM(T143,AL143)*10000+SUM(N143,AF143)*100+SUM(H143,Z143)+0.006&gt;AS143*1000000+SUM(U143,AM143)*10000+SUM(O143,AG143)*100+SUM(I143,AA143)+0.005,1,0)+IF(AT143*1000000+SUM(V143,AN143)*10000+SUM(P143,AH143)*100+SUM(J143,AB143)+0.004&gt;AS143*1000000+SUM(U143,AM143)*10000+SUM(O143,AG143)*100+SUM(I143,AA143)+0.005,1,0)+IF(AU143*1000000+SUM(W143,AO143)*10000+SUM(Q143,AI143)*100+SUM(K143,AC143)+0.003&gt;AS143*1000000+SUM(U143,AM143)*10000+SUM(O143,AG143)*100+SUM(I143,AA143)+0.005,1,0)+IF(AV143*1000000+SUM(X143,AP143)*10000+SUM(R143,AJ143)*100+SUM(L143,AD143)+0.002&gt;AS143*1000000+SUM(U143,AM143)*10000+SUM(O143,AG143)*100+SUM(I143,AA143)+0.005,1,0)+IF(AW143*1000000+SUM(Y143,AQ143)*10000+SUM(S143,AK143)*100+SUM(M143,AE143)+0.001&gt;AS143*1000000+SUM(U143,AM143)*10000+SUM(O143,AG143)*100+SUM(I143,AA143)+0.005,1,0)=2,"I",IF(IF(AR143*1000000+SUM(T143,AL143)*10000+SUM(N143,AF143)*100+SUM(H143,Z143)+0.006&gt;AT143*1000000+SUM(V143,AN143)*10000+SUM(P143,AH143)*100+SUM(J143,AB143)+0.004,1,0)+IF(AS143*1000000+SUM(U143,AM143)*10000+SUM(O143,AG143)*100+SUM(I143,AA143)+0.005&gt;AT143*1000000+SUM(V143,AN143)*10000+SUM(P143,AH143)*100+SUM(J143,AB143)+0.004,1,0)+IF(AU143*1000000+SUM(W143,AO143)*10000+SUM(Q143,AI143)*100+SUM(K143,AC143)+0.003&gt;AT143*1000000+SUM(V143,AN143)*10000+SUM(P143,AH143)*100+SUM(J143,AB143)+0.004,1,0)+IF(AV143*1000000+SUM(X143,AP143)*10000+SUM(R143,AJ143)*100+SUM(L143,AD143)+0.002&gt;AT143*1000000+SUM(V143,AN143)*10000+SUM(P143,AH143)*100+SUM(J143,AB143)+0.004,1,0)+IF(AW143*1000000+SUM(Y143,AQ143)*10000+SUM(S143,AK143)*100+SUM(M143,AE143)+0.001&gt;AT143*1000000+SUM(V143,AN143)*10000+SUM(P143,AH143)*100+SUM(J143,AB143)+0.004,1,0)=2,"A",IF(IF(AR143*1000000+SUM(T143,AL143)*10000+SUM(N143,AF143)*100+SUM(H143,Z143)+0.006&gt;AU143*1000000+SUM(W143,AO143)*10000+SUM(Q143,AI143)*100+SUM(K143,AC143)+0.003,1,0)+IF(AS143*1000000+SUM(U143,AM143)*10000+SUM(O143,AG143)*100+SUM(I143,AA143)+0.005&gt;AU143*1000000+SUM(W143,AO143)*10000+SUM(Q143,AI143)*100+SUM(K143,AC143)+0.003,1,0)+IF(AT143*1000000+SUM(V143,AN143)*10000+SUM(P143,AH143)*100+SUM(J143,AB143)+0.004&gt;AU143*1000000+SUM(W143,AO143)*10000+SUM(Q143,AI143)*100+SUM(K143,AC143)+0.003,1,0)+IF(AV143*1000000+SUM(X143,AP143)*10000+SUM(R143,AJ143)*100+SUM(L143,AD143)+0.002&gt;AU143*1000000+SUM(W143,AO143)*10000+SUM(Q143,AI143)*100+SUM(K143,AC143)+0.003,1,0)+IF(AW143*1000000+SUM(Y143,AQ143)*10000+SUM(S143,AK143)*100+SUM(M143,AE143)+0.001&gt;AU143*1000000+SUM(W143,AO143)*10000+SUM(Q143,AI143)*100+SUM(K143,AC143)+0.003,1,0)=2,"S",IF(IF(AR143*1000000+SUM(T143,AL143)*10000+SUM(N143,AF143)*100+SUM(H143,Z143)+0.006&gt;AV143*1000000+SUM(X143,AP143)*10000+SUM(R143,AJ143)*100+SUM(L143,AD143)+0.002,1,0)+IF(AS143*1000000+SUM(U143,AM143)*10000+SUM(O143,AG143)*100+SUM(I143,AA143)+0.005&gt;AV143*1000000+SUM(X143,AP143)*10000+SUM(R143,AJ143)*100+SUM(L143,AD143)+0.002,1,0)+IF(AT143*1000000+SUM(V143,AN143)*10000+SUM(P143,AH143)*100+SUM(J143,AB143)+0.004&gt;AV143*1000000+SUM(X143,AP143)*10000+SUM(R143,AJ143)*100+SUM(L143,AD143)+0.002,1,0)+IF(AU143*1000000+SUM(W143,AO143)*10000+SUM(Q143,AI143)*100+SUM(K143,AC143)+0.003&gt;AV143*1000000+SUM(X143,AP143)*10000+SUM(R143,AJ143)*100+SUM(L143,AD143)+0.002,1,0)+IF(AW143*1000000+SUM(Y143,AQ143)*10000+SUM(S143,AK143)*100+SUM(M143,AE143)+0.001&gt;AV143*1000000+SUM(X143,AP143)*10000+SUM(R143,AJ143)*100+SUM(L143,AD143)+0.002,1,0)=2,"E",IF(IF(AR143*1000000+SUM(T143,AL143)*10000+SUM(N143,AF143)*100+SUM(H143,Z143)+0.006&gt;AW143*1000000+SUM(Y143,AQ143)*10000+SUM(S143,AK143)*100+SUM(M143,AE143)+0.001,1,0)+IF(AS143*1000000+SUM(U143,AM143)*10000+SUM(O143,AG143)*100+SUM(I143,AA143)+0.005&gt;AW143*1000000+SUM(Y143,AQ143)*10000+SUM(S143,AK143)*100+SUM(M143,AE143)+0.001,1,0)+IF(AT143*1000000+SUM(V143,AN143)*10000+SUM(P143,AH143)*100+SUM(J143,AB143)+0.004&gt;AW143*1000000+SUM(Y143,AQ143)*10000+SUM(S143,AK143)*100+SUM(M143,AE143)+0.001,1,0)+IF(AU143*1000000+SUM(W143,AO143)*10000+SUM(Q143,AI143)*100+SUM(K143,AC143)+0.003&gt;AW143*1000000+SUM(Y143,AQ143)*10000+SUM(S143,AK143)*100+SUM(M143,AE143)+0.001,1,0)+IF(AV143*1000000+SUM(X143,AP143)*10000+SUM(R143,AJ143)*100+SUM(L143,AD143)+0.002&gt;AW143*1000000+SUM(Y143,AQ143)*10000+SUM(S143,AK143)*100+SUM(M143,AE143)+0.001,1,0)=2,"C","")))))))</x:f>
      </x:c>
      <x:c r="AY143" s="27" t="str">
        <x:f>IF(C143="","",IF(LEFT(AX143,1)="R","นักปฏิบัติ",IF(LEFT(AX143,1)="I","นักคิดวิเคราะห์",IF(LEFT(AX143,1)="A","นักสร้างสรรค์",IF(LEFT(AX143,1)="S","ผู้เข้าใจผู้คน",IF(LEFT(AX143,1)="E","ผู้นำการเปลี่ยนแปลง","ผู้จัดระบบ"))))))</x:f>
      </x:c>
    </x:row>
    <x:row r="144">
      <x:c r="A144" s="27"/>
      <x:c r="B144" s="28"/>
      <x:c r="C144" s="27"/>
      <x:c r="D144" s="27"/>
      <x:c r="E144" s="27"/>
      <x:c r="F144" s="27"/>
      <x:c r="G144" s="27"/>
      <x:c r="H144" s="27"/>
      <x:c r="I144" s="27"/>
      <x:c r="J144" s="27"/>
      <x:c r="K144" s="27"/>
      <x:c r="L144" s="27"/>
      <x:c r="M144" s="27"/>
      <x:c r="N144" s="27"/>
      <x:c r="O144" s="27"/>
      <x:c r="P144" s="27"/>
      <x:c r="Q144" s="27"/>
      <x:c r="R144" s="27"/>
      <x:c r="S144" s="27"/>
      <x:c r="T144" s="27"/>
      <x:c r="U144" s="27"/>
      <x:c r="V144" s="27"/>
      <x:c r="W144" s="27"/>
      <x:c r="X144" s="27"/>
      <x:c r="Y144" s="27"/>
      <x:c r="Z144" s="27"/>
      <x:c r="AA144" s="27"/>
      <x:c r="AB144" s="27"/>
      <x:c r="AC144" s="27"/>
      <x:c r="AD144" s="27"/>
      <x:c r="AE144" s="27"/>
      <x:c r="AF144" s="27"/>
      <x:c r="AG144" s="27"/>
      <x:c r="AH144" s="27"/>
      <x:c r="AI144" s="27"/>
      <x:c r="AJ144" s="27"/>
      <x:c r="AK144" s="27"/>
      <x:c r="AL144" s="27"/>
      <x:c r="AM144" s="27"/>
      <x:c r="AN144" s="27"/>
      <x:c r="AO144" s="27"/>
      <x:c r="AP144" s="27"/>
      <x:c r="AQ144" s="27"/>
      <x:c r="AR144" s="27" t="str">
        <x:f>IF(C144="","",SUM(H144,N144,T144,Z144,AF144,AL144))</x:f>
      </x:c>
      <x:c r="AS144" s="27" t="str">
        <x:f>IF(C144="","",SUM(I144,O144,U144,AA144,AG144,AM144))</x:f>
      </x:c>
      <x:c r="AT144" s="27" t="str">
        <x:f>IF(C144="","",SUM(J144,P144,V144,AB144,AH144,AN144))</x:f>
      </x:c>
      <x:c r="AU144" s="27" t="str">
        <x:f>IF(C144="","",SUM(K144,Q144,W144,AC144,AI144,AO144))</x:f>
      </x:c>
      <x:c r="AV144" s="27" t="str">
        <x:f>IF(C144="","",SUM(L144,R144,X144,AD144,AJ144,AP144))</x:f>
      </x:c>
      <x:c r="AW144" s="27" t="str">
        <x:f>IF(C144="","",SUM(M144,S144,Y144,AE144,AK144,AQ144))</x:f>
      </x:c>
      <x:c r="AX144" s="27" t="str">
        <x:f>IF(C144="","",IF(IF(AS144*1000000+SUM(U144,AM144)*10000+SUM(O144,AG144)*100+SUM(I144,AA144)+0.005&gt;AR144*1000000+SUM(T144,AL144)*10000+SUM(N144,AF144)*100+SUM(H144,Z144)+0.006,1,0)+IF(AT144*1000000+SUM(V144,AN144)*10000+SUM(P144,AH144)*100+SUM(J144,AB144)+0.004&gt;AR144*1000000+SUM(T144,AL144)*10000+SUM(N144,AF144)*100+SUM(H144,Z144)+0.006,1,0)+IF(AU144*1000000+SUM(W144,AO144)*10000+SUM(Q144,AI144)*100+SUM(K144,AC144)+0.003&gt;AR144*1000000+SUM(T144,AL144)*10000+SUM(N144,AF144)*100+SUM(H144,Z144)+0.006,1,0)+IF(AV144*1000000+SUM(X144,AP144)*10000+SUM(R144,AJ144)*100+SUM(L144,AD144)+0.002&gt;AR144*1000000+SUM(T144,AL144)*10000+SUM(N144,AF144)*100+SUM(H144,Z144)+0.006,1,0)+IF(AW144*1000000+SUM(Y144,AQ144)*10000+SUM(S144,AK144)*100+SUM(M144,AE144)+0.001&gt;AR144*1000000+SUM(T144,AL144)*10000+SUM(N144,AF144)*100+SUM(H144,Z144)+0.006,1,0)=0,"R",IF(IF(AR144*1000000+SUM(T144,AL144)*10000+SUM(N144,AF144)*100+SUM(H144,Z144)+0.006&gt;AS144*1000000+SUM(U144,AM144)*10000+SUM(O144,AG144)*100+SUM(I144,AA144)+0.005,1,0)+IF(AT144*1000000+SUM(V144,AN144)*10000+SUM(P144,AH144)*100+SUM(J144,AB144)+0.004&gt;AS144*1000000+SUM(U144,AM144)*10000+SUM(O144,AG144)*100+SUM(I144,AA144)+0.005,1,0)+IF(AU144*1000000+SUM(W144,AO144)*10000+SUM(Q144,AI144)*100+SUM(K144,AC144)+0.003&gt;AS144*1000000+SUM(U144,AM144)*10000+SUM(O144,AG144)*100+SUM(I144,AA144)+0.005,1,0)+IF(AV144*1000000+SUM(X144,AP144)*10000+SUM(R144,AJ144)*100+SUM(L144,AD144)+0.002&gt;AS144*1000000+SUM(U144,AM144)*10000+SUM(O144,AG144)*100+SUM(I144,AA144)+0.005,1,0)+IF(AW144*1000000+SUM(Y144,AQ144)*10000+SUM(S144,AK144)*100+SUM(M144,AE144)+0.001&gt;AS144*1000000+SUM(U144,AM144)*10000+SUM(O144,AG144)*100+SUM(I144,AA144)+0.005,1,0)=0,"I",IF(IF(AR144*1000000+SUM(T144,AL144)*10000+SUM(N144,AF144)*100+SUM(H144,Z144)+0.006&gt;AT144*1000000+SUM(V144,AN144)*10000+SUM(P144,AH144)*100+SUM(J144,AB144)+0.004,1,0)+IF(AS144*1000000+SUM(U144,AM144)*10000+SUM(O144,AG144)*100+SUM(I144,AA144)+0.005&gt;AT144*1000000+SUM(V144,AN144)*10000+SUM(P144,AH144)*100+SUM(J144,AB144)+0.004,1,0)+IF(AU144*1000000+SUM(W144,AO144)*10000+SUM(Q144,AI144)*100+SUM(K144,AC144)+0.003&gt;AT144*1000000+SUM(V144,AN144)*10000+SUM(P144,AH144)*100+SUM(J144,AB144)+0.004,1,0)+IF(AV144*1000000+SUM(X144,AP144)*10000+SUM(R144,AJ144)*100+SUM(L144,AD144)+0.002&gt;AT144*1000000+SUM(V144,AN144)*10000+SUM(P144,AH144)*100+SUM(J144,AB144)+0.004,1,0)+IF(AW144*1000000+SUM(Y144,AQ144)*10000+SUM(S144,AK144)*100+SUM(M144,AE144)+0.001&gt;AT144*1000000+SUM(V144,AN144)*10000+SUM(P144,AH144)*100+SUM(J144,AB144)+0.004,1,0)=0,"A",IF(IF(AR144*1000000+SUM(T144,AL144)*10000+SUM(N144,AF144)*100+SUM(H144,Z144)+0.006&gt;AU144*1000000+SUM(W144,AO144)*10000+SUM(Q144,AI144)*100+SUM(K144,AC144)+0.003,1,0)+IF(AS144*1000000+SUM(U144,AM144)*10000+SUM(O144,AG144)*100+SUM(I144,AA144)+0.005&gt;AU144*1000000+SUM(W144,AO144)*10000+SUM(Q144,AI144)*100+SUM(K144,AC144)+0.003,1,0)+IF(AT144*1000000+SUM(V144,AN144)*10000+SUM(P144,AH144)*100+SUM(J144,AB144)+0.004&gt;AU144*1000000+SUM(W144,AO144)*10000+SUM(Q144,AI144)*100+SUM(K144,AC144)+0.003,1,0)+IF(AV144*1000000+SUM(X144,AP144)*10000+SUM(R144,AJ144)*100+SUM(L144,AD144)+0.002&gt;AU144*1000000+SUM(W144,AO144)*10000+SUM(Q144,AI144)*100+SUM(K144,AC144)+0.003,1,0)+IF(AW144*1000000+SUM(Y144,AQ144)*10000+SUM(S144,AK144)*100+SUM(M144,AE144)+0.001&gt;AU144*1000000+SUM(W144,AO144)*10000+SUM(Q144,AI144)*100+SUM(K144,AC144)+0.003,1,0)=0,"S",IF(IF(AR144*1000000+SUM(T144,AL144)*10000+SUM(N144,AF144)*100+SUM(H144,Z144)+0.006&gt;AV144*1000000+SUM(X144,AP144)*10000+SUM(R144,AJ144)*100+SUM(L144,AD144)+0.002,1,0)+IF(AS144*1000000+SUM(U144,AM144)*10000+SUM(O144,AG144)*100+SUM(I144,AA144)+0.005&gt;AV144*1000000+SUM(X144,AP144)*10000+SUM(R144,AJ144)*100+SUM(L144,AD144)+0.002,1,0)+IF(AT144*1000000+SUM(V144,AN144)*10000+SUM(P144,AH144)*100+SUM(J144,AB144)+0.004&gt;AV144*1000000+SUM(X144,AP144)*10000+SUM(R144,AJ144)*100+SUM(L144,AD144)+0.002,1,0)+IF(AU144*1000000+SUM(W144,AO144)*10000+SUM(Q144,AI144)*100+SUM(K144,AC144)+0.003&gt;AV144*1000000+SUM(X144,AP144)*10000+SUM(R144,AJ144)*100+SUM(L144,AD144)+0.002,1,0)+IF(AW144*1000000+SUM(Y144,AQ144)*10000+SUM(S144,AK144)*100+SUM(M144,AE144)+0.001&gt;AV144*1000000+SUM(X144,AP144)*10000+SUM(R144,AJ144)*100+SUM(L144,AD144)+0.002,1,0)=0,"E",IF(IF(AR144*1000000+SUM(T144,AL144)*10000+SUM(N144,AF144)*100+SUM(H144,Z144)+0.006&gt;AW144*1000000+SUM(Y144,AQ144)*10000+SUM(S144,AK144)*100+SUM(M144,AE144)+0.001,1,0)+IF(AS144*1000000+SUM(U144,AM144)*10000+SUM(O144,AG144)*100+SUM(I144,AA144)+0.005&gt;AW144*1000000+SUM(Y144,AQ144)*10000+SUM(S144,AK144)*100+SUM(M144,AE144)+0.001,1,0)+IF(AT144*1000000+SUM(V144,AN144)*10000+SUM(P144,AH144)*100+SUM(J144,AB144)+0.004&gt;AW144*1000000+SUM(Y144,AQ144)*10000+SUM(S144,AK144)*100+SUM(M144,AE144)+0.001,1,0)+IF(AU144*1000000+SUM(W144,AO144)*10000+SUM(Q144,AI144)*100+SUM(K144,AC144)+0.003&gt;AW144*1000000+SUM(Y144,AQ144)*10000+SUM(S144,AK144)*100+SUM(M144,AE144)+0.001,1,0)+IF(AV144*1000000+SUM(X144,AP144)*10000+SUM(R144,AJ144)*100+SUM(L144,AD144)+0.002&gt;AW144*1000000+SUM(Y144,AQ144)*10000+SUM(S144,AK144)*100+SUM(M144,AE144)+0.001,1,0)=0,"C",""))))))&amp;IF(IF(AS144*1000000+SUM(U144,AM144)*10000+SUM(O144,AG144)*100+SUM(I144,AA144)+0.005&gt;AR144*1000000+SUM(T144,AL144)*10000+SUM(N144,AF144)*100+SUM(H144,Z144)+0.006,1,0)+IF(AT144*1000000+SUM(V144,AN144)*10000+SUM(P144,AH144)*100+SUM(J144,AB144)+0.004&gt;AR144*1000000+SUM(T144,AL144)*10000+SUM(N144,AF144)*100+SUM(H144,Z144)+0.006,1,0)+IF(AU144*1000000+SUM(W144,AO144)*10000+SUM(Q144,AI144)*100+SUM(K144,AC144)+0.003&gt;AR144*1000000+SUM(T144,AL144)*10000+SUM(N144,AF144)*100+SUM(H144,Z144)+0.006,1,0)+IF(AV144*1000000+SUM(X144,AP144)*10000+SUM(R144,AJ144)*100+SUM(L144,AD144)+0.002&gt;AR144*1000000+SUM(T144,AL144)*10000+SUM(N144,AF144)*100+SUM(H144,Z144)+0.006,1,0)+IF(AW144*1000000+SUM(Y144,AQ144)*10000+SUM(S144,AK144)*100+SUM(M144,AE144)+0.001&gt;AR144*1000000+SUM(T144,AL144)*10000+SUM(N144,AF144)*100+SUM(H144,Z144)+0.006,1,0)=1,"R",IF(IF(AR144*1000000+SUM(T144,AL144)*10000+SUM(N144,AF144)*100+SUM(H144,Z144)+0.006&gt;AS144*1000000+SUM(U144,AM144)*10000+SUM(O144,AG144)*100+SUM(I144,AA144)+0.005,1,0)+IF(AT144*1000000+SUM(V144,AN144)*10000+SUM(P144,AH144)*100+SUM(J144,AB144)+0.004&gt;AS144*1000000+SUM(U144,AM144)*10000+SUM(O144,AG144)*100+SUM(I144,AA144)+0.005,1,0)+IF(AU144*1000000+SUM(W144,AO144)*10000+SUM(Q144,AI144)*100+SUM(K144,AC144)+0.003&gt;AS144*1000000+SUM(U144,AM144)*10000+SUM(O144,AG144)*100+SUM(I144,AA144)+0.005,1,0)+IF(AV144*1000000+SUM(X144,AP144)*10000+SUM(R144,AJ144)*100+SUM(L144,AD144)+0.002&gt;AS144*1000000+SUM(U144,AM144)*10000+SUM(O144,AG144)*100+SUM(I144,AA144)+0.005,1,0)+IF(AW144*1000000+SUM(Y144,AQ144)*10000+SUM(S144,AK144)*100+SUM(M144,AE144)+0.001&gt;AS144*1000000+SUM(U144,AM144)*10000+SUM(O144,AG144)*100+SUM(I144,AA144)+0.005,1,0)=1,"I",IF(IF(AR144*1000000+SUM(T144,AL144)*10000+SUM(N144,AF144)*100+SUM(H144,Z144)+0.006&gt;AT144*1000000+SUM(V144,AN144)*10000+SUM(P144,AH144)*100+SUM(J144,AB144)+0.004,1,0)+IF(AS144*1000000+SUM(U144,AM144)*10000+SUM(O144,AG144)*100+SUM(I144,AA144)+0.005&gt;AT144*1000000+SUM(V144,AN144)*10000+SUM(P144,AH144)*100+SUM(J144,AB144)+0.004,1,0)+IF(AU144*1000000+SUM(W144,AO144)*10000+SUM(Q144,AI144)*100+SUM(K144,AC144)+0.003&gt;AT144*1000000+SUM(V144,AN144)*10000+SUM(P144,AH144)*100+SUM(J144,AB144)+0.004,1,0)+IF(AV144*1000000+SUM(X144,AP144)*10000+SUM(R144,AJ144)*100+SUM(L144,AD144)+0.002&gt;AT144*1000000+SUM(V144,AN144)*10000+SUM(P144,AH144)*100+SUM(J144,AB144)+0.004,1,0)+IF(AW144*1000000+SUM(Y144,AQ144)*10000+SUM(S144,AK144)*100+SUM(M144,AE144)+0.001&gt;AT144*1000000+SUM(V144,AN144)*10000+SUM(P144,AH144)*100+SUM(J144,AB144)+0.004,1,0)=1,"A",IF(IF(AR144*1000000+SUM(T144,AL144)*10000+SUM(N144,AF144)*100+SUM(H144,Z144)+0.006&gt;AU144*1000000+SUM(W144,AO144)*10000+SUM(Q144,AI144)*100+SUM(K144,AC144)+0.003,1,0)+IF(AS144*1000000+SUM(U144,AM144)*10000+SUM(O144,AG144)*100+SUM(I144,AA144)+0.005&gt;AU144*1000000+SUM(W144,AO144)*10000+SUM(Q144,AI144)*100+SUM(K144,AC144)+0.003,1,0)+IF(AT144*1000000+SUM(V144,AN144)*10000+SUM(P144,AH144)*100+SUM(J144,AB144)+0.004&gt;AU144*1000000+SUM(W144,AO144)*10000+SUM(Q144,AI144)*100+SUM(K144,AC144)+0.003,1,0)+IF(AV144*1000000+SUM(X144,AP144)*10000+SUM(R144,AJ144)*100+SUM(L144,AD144)+0.002&gt;AU144*1000000+SUM(W144,AO144)*10000+SUM(Q144,AI144)*100+SUM(K144,AC144)+0.003,1,0)+IF(AW144*1000000+SUM(Y144,AQ144)*10000+SUM(S144,AK144)*100+SUM(M144,AE144)+0.001&gt;AU144*1000000+SUM(W144,AO144)*10000+SUM(Q144,AI144)*100+SUM(K144,AC144)+0.003,1,0)=1,"S",IF(IF(AR144*1000000+SUM(T144,AL144)*10000+SUM(N144,AF144)*100+SUM(H144,Z144)+0.006&gt;AV144*1000000+SUM(X144,AP144)*10000+SUM(R144,AJ144)*100+SUM(L144,AD144)+0.002,1,0)+IF(AS144*1000000+SUM(U144,AM144)*10000+SUM(O144,AG144)*100+SUM(I144,AA144)+0.005&gt;AV144*1000000+SUM(X144,AP144)*10000+SUM(R144,AJ144)*100+SUM(L144,AD144)+0.002,1,0)+IF(AT144*1000000+SUM(V144,AN144)*10000+SUM(P144,AH144)*100+SUM(J144,AB144)+0.004&gt;AV144*1000000+SUM(X144,AP144)*10000+SUM(R144,AJ144)*100+SUM(L144,AD144)+0.002,1,0)+IF(AU144*1000000+SUM(W144,AO144)*10000+SUM(Q144,AI144)*100+SUM(K144,AC144)+0.003&gt;AV144*1000000+SUM(X144,AP144)*10000+SUM(R144,AJ144)*100+SUM(L144,AD144)+0.002,1,0)+IF(AW144*1000000+SUM(Y144,AQ144)*10000+SUM(S144,AK144)*100+SUM(M144,AE144)+0.001&gt;AV144*1000000+SUM(X144,AP144)*10000+SUM(R144,AJ144)*100+SUM(L144,AD144)+0.002,1,0)=1,"E",IF(IF(AR144*1000000+SUM(T144,AL144)*10000+SUM(N144,AF144)*100+SUM(H144,Z144)+0.006&gt;AW144*1000000+SUM(Y144,AQ144)*10000+SUM(S144,AK144)*100+SUM(M144,AE144)+0.001,1,0)+IF(AS144*1000000+SUM(U144,AM144)*10000+SUM(O144,AG144)*100+SUM(I144,AA144)+0.005&gt;AW144*1000000+SUM(Y144,AQ144)*10000+SUM(S144,AK144)*100+SUM(M144,AE144)+0.001,1,0)+IF(AT144*1000000+SUM(V144,AN144)*10000+SUM(P144,AH144)*100+SUM(J144,AB144)+0.004&gt;AW144*1000000+SUM(Y144,AQ144)*10000+SUM(S144,AK144)*100+SUM(M144,AE144)+0.001,1,0)+IF(AU144*1000000+SUM(W144,AO144)*10000+SUM(Q144,AI144)*100+SUM(K144,AC144)+0.003&gt;AW144*1000000+SUM(Y144,AQ144)*10000+SUM(S144,AK144)*100+SUM(M144,AE144)+0.001,1,0)+IF(AV144*1000000+SUM(X144,AP144)*10000+SUM(R144,AJ144)*100+SUM(L144,AD144)+0.002&gt;AW144*1000000+SUM(Y144,AQ144)*10000+SUM(S144,AK144)*100+SUM(M144,AE144)+0.001,1,0)=1,"C",""))))))&amp;IF(IF(AS144*1000000+SUM(U144,AM144)*10000+SUM(O144,AG144)*100+SUM(I144,AA144)+0.005&gt;AR144*1000000+SUM(T144,AL144)*10000+SUM(N144,AF144)*100+SUM(H144,Z144)+0.006,1,0)+IF(AT144*1000000+SUM(V144,AN144)*10000+SUM(P144,AH144)*100+SUM(J144,AB144)+0.004&gt;AR144*1000000+SUM(T144,AL144)*10000+SUM(N144,AF144)*100+SUM(H144,Z144)+0.006,1,0)+IF(AU144*1000000+SUM(W144,AO144)*10000+SUM(Q144,AI144)*100+SUM(K144,AC144)+0.003&gt;AR144*1000000+SUM(T144,AL144)*10000+SUM(N144,AF144)*100+SUM(H144,Z144)+0.006,1,0)+IF(AV144*1000000+SUM(X144,AP144)*10000+SUM(R144,AJ144)*100+SUM(L144,AD144)+0.002&gt;AR144*1000000+SUM(T144,AL144)*10000+SUM(N144,AF144)*100+SUM(H144,Z144)+0.006,1,0)+IF(AW144*1000000+SUM(Y144,AQ144)*10000+SUM(S144,AK144)*100+SUM(M144,AE144)+0.001&gt;AR144*1000000+SUM(T144,AL144)*10000+SUM(N144,AF144)*100+SUM(H144,Z144)+0.006,1,0)=2,"R",IF(IF(AR144*1000000+SUM(T144,AL144)*10000+SUM(N144,AF144)*100+SUM(H144,Z144)+0.006&gt;AS144*1000000+SUM(U144,AM144)*10000+SUM(O144,AG144)*100+SUM(I144,AA144)+0.005,1,0)+IF(AT144*1000000+SUM(V144,AN144)*10000+SUM(P144,AH144)*100+SUM(J144,AB144)+0.004&gt;AS144*1000000+SUM(U144,AM144)*10000+SUM(O144,AG144)*100+SUM(I144,AA144)+0.005,1,0)+IF(AU144*1000000+SUM(W144,AO144)*10000+SUM(Q144,AI144)*100+SUM(K144,AC144)+0.003&gt;AS144*1000000+SUM(U144,AM144)*10000+SUM(O144,AG144)*100+SUM(I144,AA144)+0.005,1,0)+IF(AV144*1000000+SUM(X144,AP144)*10000+SUM(R144,AJ144)*100+SUM(L144,AD144)+0.002&gt;AS144*1000000+SUM(U144,AM144)*10000+SUM(O144,AG144)*100+SUM(I144,AA144)+0.005,1,0)+IF(AW144*1000000+SUM(Y144,AQ144)*10000+SUM(S144,AK144)*100+SUM(M144,AE144)+0.001&gt;AS144*1000000+SUM(U144,AM144)*10000+SUM(O144,AG144)*100+SUM(I144,AA144)+0.005,1,0)=2,"I",IF(IF(AR144*1000000+SUM(T144,AL144)*10000+SUM(N144,AF144)*100+SUM(H144,Z144)+0.006&gt;AT144*1000000+SUM(V144,AN144)*10000+SUM(P144,AH144)*100+SUM(J144,AB144)+0.004,1,0)+IF(AS144*1000000+SUM(U144,AM144)*10000+SUM(O144,AG144)*100+SUM(I144,AA144)+0.005&gt;AT144*1000000+SUM(V144,AN144)*10000+SUM(P144,AH144)*100+SUM(J144,AB144)+0.004,1,0)+IF(AU144*1000000+SUM(W144,AO144)*10000+SUM(Q144,AI144)*100+SUM(K144,AC144)+0.003&gt;AT144*1000000+SUM(V144,AN144)*10000+SUM(P144,AH144)*100+SUM(J144,AB144)+0.004,1,0)+IF(AV144*1000000+SUM(X144,AP144)*10000+SUM(R144,AJ144)*100+SUM(L144,AD144)+0.002&gt;AT144*1000000+SUM(V144,AN144)*10000+SUM(P144,AH144)*100+SUM(J144,AB144)+0.004,1,0)+IF(AW144*1000000+SUM(Y144,AQ144)*10000+SUM(S144,AK144)*100+SUM(M144,AE144)+0.001&gt;AT144*1000000+SUM(V144,AN144)*10000+SUM(P144,AH144)*100+SUM(J144,AB144)+0.004,1,0)=2,"A",IF(IF(AR144*1000000+SUM(T144,AL144)*10000+SUM(N144,AF144)*100+SUM(H144,Z144)+0.006&gt;AU144*1000000+SUM(W144,AO144)*10000+SUM(Q144,AI144)*100+SUM(K144,AC144)+0.003,1,0)+IF(AS144*1000000+SUM(U144,AM144)*10000+SUM(O144,AG144)*100+SUM(I144,AA144)+0.005&gt;AU144*1000000+SUM(W144,AO144)*10000+SUM(Q144,AI144)*100+SUM(K144,AC144)+0.003,1,0)+IF(AT144*1000000+SUM(V144,AN144)*10000+SUM(P144,AH144)*100+SUM(J144,AB144)+0.004&gt;AU144*1000000+SUM(W144,AO144)*10000+SUM(Q144,AI144)*100+SUM(K144,AC144)+0.003,1,0)+IF(AV144*1000000+SUM(X144,AP144)*10000+SUM(R144,AJ144)*100+SUM(L144,AD144)+0.002&gt;AU144*1000000+SUM(W144,AO144)*10000+SUM(Q144,AI144)*100+SUM(K144,AC144)+0.003,1,0)+IF(AW144*1000000+SUM(Y144,AQ144)*10000+SUM(S144,AK144)*100+SUM(M144,AE144)+0.001&gt;AU144*1000000+SUM(W144,AO144)*10000+SUM(Q144,AI144)*100+SUM(K144,AC144)+0.003,1,0)=2,"S",IF(IF(AR144*1000000+SUM(T144,AL144)*10000+SUM(N144,AF144)*100+SUM(H144,Z144)+0.006&gt;AV144*1000000+SUM(X144,AP144)*10000+SUM(R144,AJ144)*100+SUM(L144,AD144)+0.002,1,0)+IF(AS144*1000000+SUM(U144,AM144)*10000+SUM(O144,AG144)*100+SUM(I144,AA144)+0.005&gt;AV144*1000000+SUM(X144,AP144)*10000+SUM(R144,AJ144)*100+SUM(L144,AD144)+0.002,1,0)+IF(AT144*1000000+SUM(V144,AN144)*10000+SUM(P144,AH144)*100+SUM(J144,AB144)+0.004&gt;AV144*1000000+SUM(X144,AP144)*10000+SUM(R144,AJ144)*100+SUM(L144,AD144)+0.002,1,0)+IF(AU144*1000000+SUM(W144,AO144)*10000+SUM(Q144,AI144)*100+SUM(K144,AC144)+0.003&gt;AV144*1000000+SUM(X144,AP144)*10000+SUM(R144,AJ144)*100+SUM(L144,AD144)+0.002,1,0)+IF(AW144*1000000+SUM(Y144,AQ144)*10000+SUM(S144,AK144)*100+SUM(M144,AE144)+0.001&gt;AV144*1000000+SUM(X144,AP144)*10000+SUM(R144,AJ144)*100+SUM(L144,AD144)+0.002,1,0)=2,"E",IF(IF(AR144*1000000+SUM(T144,AL144)*10000+SUM(N144,AF144)*100+SUM(H144,Z144)+0.006&gt;AW144*1000000+SUM(Y144,AQ144)*10000+SUM(S144,AK144)*100+SUM(M144,AE144)+0.001,1,0)+IF(AS144*1000000+SUM(U144,AM144)*10000+SUM(O144,AG144)*100+SUM(I144,AA144)+0.005&gt;AW144*1000000+SUM(Y144,AQ144)*10000+SUM(S144,AK144)*100+SUM(M144,AE144)+0.001,1,0)+IF(AT144*1000000+SUM(V144,AN144)*10000+SUM(P144,AH144)*100+SUM(J144,AB144)+0.004&gt;AW144*1000000+SUM(Y144,AQ144)*10000+SUM(S144,AK144)*100+SUM(M144,AE144)+0.001,1,0)+IF(AU144*1000000+SUM(W144,AO144)*10000+SUM(Q144,AI144)*100+SUM(K144,AC144)+0.003&gt;AW144*1000000+SUM(Y144,AQ144)*10000+SUM(S144,AK144)*100+SUM(M144,AE144)+0.001,1,0)+IF(AV144*1000000+SUM(X144,AP144)*10000+SUM(R144,AJ144)*100+SUM(L144,AD144)+0.002&gt;AW144*1000000+SUM(Y144,AQ144)*10000+SUM(S144,AK144)*100+SUM(M144,AE144)+0.001,1,0)=2,"C","")))))))</x:f>
      </x:c>
      <x:c r="AY144" s="27" t="str">
        <x:f>IF(C144="","",IF(LEFT(AX144,1)="R","นักปฏิบัติ",IF(LEFT(AX144,1)="I","นักคิดวิเคราะห์",IF(LEFT(AX144,1)="A","นักสร้างสรรค์",IF(LEFT(AX144,1)="S","ผู้เข้าใจผู้คน",IF(LEFT(AX144,1)="E","ผู้นำการเปลี่ยนแปลง","ผู้จัดระบบ"))))))</x:f>
      </x:c>
    </x:row>
    <x:row r="145">
      <x:c r="A145" s="27"/>
      <x:c r="B145" s="28"/>
      <x:c r="C145" s="27"/>
      <x:c r="D145" s="27"/>
      <x:c r="E145" s="27"/>
      <x:c r="F145" s="27"/>
      <x:c r="G145" s="27"/>
      <x:c r="H145" s="27"/>
      <x:c r="I145" s="27"/>
      <x:c r="J145" s="27"/>
      <x:c r="K145" s="27"/>
      <x:c r="L145" s="27"/>
      <x:c r="M145" s="27"/>
      <x:c r="N145" s="27"/>
      <x:c r="O145" s="27"/>
      <x:c r="P145" s="27"/>
      <x:c r="Q145" s="27"/>
      <x:c r="R145" s="27"/>
      <x:c r="S145" s="27"/>
      <x:c r="T145" s="27"/>
      <x:c r="U145" s="27"/>
      <x:c r="V145" s="27"/>
      <x:c r="W145" s="27"/>
      <x:c r="X145" s="27"/>
      <x:c r="Y145" s="27"/>
      <x:c r="Z145" s="27"/>
      <x:c r="AA145" s="27"/>
      <x:c r="AB145" s="27"/>
      <x:c r="AC145" s="27"/>
      <x:c r="AD145" s="27"/>
      <x:c r="AE145" s="27"/>
      <x:c r="AF145" s="27"/>
      <x:c r="AG145" s="27"/>
      <x:c r="AH145" s="27"/>
      <x:c r="AI145" s="27"/>
      <x:c r="AJ145" s="27"/>
      <x:c r="AK145" s="27"/>
      <x:c r="AL145" s="27"/>
      <x:c r="AM145" s="27"/>
      <x:c r="AN145" s="27"/>
      <x:c r="AO145" s="27"/>
      <x:c r="AP145" s="27"/>
      <x:c r="AQ145" s="27"/>
      <x:c r="AR145" s="27" t="str">
        <x:f>IF(C145="","",SUM(H145,N145,T145,Z145,AF145,AL145))</x:f>
      </x:c>
      <x:c r="AS145" s="27" t="str">
        <x:f>IF(C145="","",SUM(I145,O145,U145,AA145,AG145,AM145))</x:f>
      </x:c>
      <x:c r="AT145" s="27" t="str">
        <x:f>IF(C145="","",SUM(J145,P145,V145,AB145,AH145,AN145))</x:f>
      </x:c>
      <x:c r="AU145" s="27" t="str">
        <x:f>IF(C145="","",SUM(K145,Q145,W145,AC145,AI145,AO145))</x:f>
      </x:c>
      <x:c r="AV145" s="27" t="str">
        <x:f>IF(C145="","",SUM(L145,R145,X145,AD145,AJ145,AP145))</x:f>
      </x:c>
      <x:c r="AW145" s="27" t="str">
        <x:f>IF(C145="","",SUM(M145,S145,Y145,AE145,AK145,AQ145))</x:f>
      </x:c>
      <x:c r="AX145" s="27" t="str">
        <x:f>IF(C145="","",IF(IF(AS145*1000000+SUM(U145,AM145)*10000+SUM(O145,AG145)*100+SUM(I145,AA145)+0.005&gt;AR145*1000000+SUM(T145,AL145)*10000+SUM(N145,AF145)*100+SUM(H145,Z145)+0.006,1,0)+IF(AT145*1000000+SUM(V145,AN145)*10000+SUM(P145,AH145)*100+SUM(J145,AB145)+0.004&gt;AR145*1000000+SUM(T145,AL145)*10000+SUM(N145,AF145)*100+SUM(H145,Z145)+0.006,1,0)+IF(AU145*1000000+SUM(W145,AO145)*10000+SUM(Q145,AI145)*100+SUM(K145,AC145)+0.003&gt;AR145*1000000+SUM(T145,AL145)*10000+SUM(N145,AF145)*100+SUM(H145,Z145)+0.006,1,0)+IF(AV145*1000000+SUM(X145,AP145)*10000+SUM(R145,AJ145)*100+SUM(L145,AD145)+0.002&gt;AR145*1000000+SUM(T145,AL145)*10000+SUM(N145,AF145)*100+SUM(H145,Z145)+0.006,1,0)+IF(AW145*1000000+SUM(Y145,AQ145)*10000+SUM(S145,AK145)*100+SUM(M145,AE145)+0.001&gt;AR145*1000000+SUM(T145,AL145)*10000+SUM(N145,AF145)*100+SUM(H145,Z145)+0.006,1,0)=0,"R",IF(IF(AR145*1000000+SUM(T145,AL145)*10000+SUM(N145,AF145)*100+SUM(H145,Z145)+0.006&gt;AS145*1000000+SUM(U145,AM145)*10000+SUM(O145,AG145)*100+SUM(I145,AA145)+0.005,1,0)+IF(AT145*1000000+SUM(V145,AN145)*10000+SUM(P145,AH145)*100+SUM(J145,AB145)+0.004&gt;AS145*1000000+SUM(U145,AM145)*10000+SUM(O145,AG145)*100+SUM(I145,AA145)+0.005,1,0)+IF(AU145*1000000+SUM(W145,AO145)*10000+SUM(Q145,AI145)*100+SUM(K145,AC145)+0.003&gt;AS145*1000000+SUM(U145,AM145)*10000+SUM(O145,AG145)*100+SUM(I145,AA145)+0.005,1,0)+IF(AV145*1000000+SUM(X145,AP145)*10000+SUM(R145,AJ145)*100+SUM(L145,AD145)+0.002&gt;AS145*1000000+SUM(U145,AM145)*10000+SUM(O145,AG145)*100+SUM(I145,AA145)+0.005,1,0)+IF(AW145*1000000+SUM(Y145,AQ145)*10000+SUM(S145,AK145)*100+SUM(M145,AE145)+0.001&gt;AS145*1000000+SUM(U145,AM145)*10000+SUM(O145,AG145)*100+SUM(I145,AA145)+0.005,1,0)=0,"I",IF(IF(AR145*1000000+SUM(T145,AL145)*10000+SUM(N145,AF145)*100+SUM(H145,Z145)+0.006&gt;AT145*1000000+SUM(V145,AN145)*10000+SUM(P145,AH145)*100+SUM(J145,AB145)+0.004,1,0)+IF(AS145*1000000+SUM(U145,AM145)*10000+SUM(O145,AG145)*100+SUM(I145,AA145)+0.005&gt;AT145*1000000+SUM(V145,AN145)*10000+SUM(P145,AH145)*100+SUM(J145,AB145)+0.004,1,0)+IF(AU145*1000000+SUM(W145,AO145)*10000+SUM(Q145,AI145)*100+SUM(K145,AC145)+0.003&gt;AT145*1000000+SUM(V145,AN145)*10000+SUM(P145,AH145)*100+SUM(J145,AB145)+0.004,1,0)+IF(AV145*1000000+SUM(X145,AP145)*10000+SUM(R145,AJ145)*100+SUM(L145,AD145)+0.002&gt;AT145*1000000+SUM(V145,AN145)*10000+SUM(P145,AH145)*100+SUM(J145,AB145)+0.004,1,0)+IF(AW145*1000000+SUM(Y145,AQ145)*10000+SUM(S145,AK145)*100+SUM(M145,AE145)+0.001&gt;AT145*1000000+SUM(V145,AN145)*10000+SUM(P145,AH145)*100+SUM(J145,AB145)+0.004,1,0)=0,"A",IF(IF(AR145*1000000+SUM(T145,AL145)*10000+SUM(N145,AF145)*100+SUM(H145,Z145)+0.006&gt;AU145*1000000+SUM(W145,AO145)*10000+SUM(Q145,AI145)*100+SUM(K145,AC145)+0.003,1,0)+IF(AS145*1000000+SUM(U145,AM145)*10000+SUM(O145,AG145)*100+SUM(I145,AA145)+0.005&gt;AU145*1000000+SUM(W145,AO145)*10000+SUM(Q145,AI145)*100+SUM(K145,AC145)+0.003,1,0)+IF(AT145*1000000+SUM(V145,AN145)*10000+SUM(P145,AH145)*100+SUM(J145,AB145)+0.004&gt;AU145*1000000+SUM(W145,AO145)*10000+SUM(Q145,AI145)*100+SUM(K145,AC145)+0.003,1,0)+IF(AV145*1000000+SUM(X145,AP145)*10000+SUM(R145,AJ145)*100+SUM(L145,AD145)+0.002&gt;AU145*1000000+SUM(W145,AO145)*10000+SUM(Q145,AI145)*100+SUM(K145,AC145)+0.003,1,0)+IF(AW145*1000000+SUM(Y145,AQ145)*10000+SUM(S145,AK145)*100+SUM(M145,AE145)+0.001&gt;AU145*1000000+SUM(W145,AO145)*10000+SUM(Q145,AI145)*100+SUM(K145,AC145)+0.003,1,0)=0,"S",IF(IF(AR145*1000000+SUM(T145,AL145)*10000+SUM(N145,AF145)*100+SUM(H145,Z145)+0.006&gt;AV145*1000000+SUM(X145,AP145)*10000+SUM(R145,AJ145)*100+SUM(L145,AD145)+0.002,1,0)+IF(AS145*1000000+SUM(U145,AM145)*10000+SUM(O145,AG145)*100+SUM(I145,AA145)+0.005&gt;AV145*1000000+SUM(X145,AP145)*10000+SUM(R145,AJ145)*100+SUM(L145,AD145)+0.002,1,0)+IF(AT145*1000000+SUM(V145,AN145)*10000+SUM(P145,AH145)*100+SUM(J145,AB145)+0.004&gt;AV145*1000000+SUM(X145,AP145)*10000+SUM(R145,AJ145)*100+SUM(L145,AD145)+0.002,1,0)+IF(AU145*1000000+SUM(W145,AO145)*10000+SUM(Q145,AI145)*100+SUM(K145,AC145)+0.003&gt;AV145*1000000+SUM(X145,AP145)*10000+SUM(R145,AJ145)*100+SUM(L145,AD145)+0.002,1,0)+IF(AW145*1000000+SUM(Y145,AQ145)*10000+SUM(S145,AK145)*100+SUM(M145,AE145)+0.001&gt;AV145*1000000+SUM(X145,AP145)*10000+SUM(R145,AJ145)*100+SUM(L145,AD145)+0.002,1,0)=0,"E",IF(IF(AR145*1000000+SUM(T145,AL145)*10000+SUM(N145,AF145)*100+SUM(H145,Z145)+0.006&gt;AW145*1000000+SUM(Y145,AQ145)*10000+SUM(S145,AK145)*100+SUM(M145,AE145)+0.001,1,0)+IF(AS145*1000000+SUM(U145,AM145)*10000+SUM(O145,AG145)*100+SUM(I145,AA145)+0.005&gt;AW145*1000000+SUM(Y145,AQ145)*10000+SUM(S145,AK145)*100+SUM(M145,AE145)+0.001,1,0)+IF(AT145*1000000+SUM(V145,AN145)*10000+SUM(P145,AH145)*100+SUM(J145,AB145)+0.004&gt;AW145*1000000+SUM(Y145,AQ145)*10000+SUM(S145,AK145)*100+SUM(M145,AE145)+0.001,1,0)+IF(AU145*1000000+SUM(W145,AO145)*10000+SUM(Q145,AI145)*100+SUM(K145,AC145)+0.003&gt;AW145*1000000+SUM(Y145,AQ145)*10000+SUM(S145,AK145)*100+SUM(M145,AE145)+0.001,1,0)+IF(AV145*1000000+SUM(X145,AP145)*10000+SUM(R145,AJ145)*100+SUM(L145,AD145)+0.002&gt;AW145*1000000+SUM(Y145,AQ145)*10000+SUM(S145,AK145)*100+SUM(M145,AE145)+0.001,1,0)=0,"C",""))))))&amp;IF(IF(AS145*1000000+SUM(U145,AM145)*10000+SUM(O145,AG145)*100+SUM(I145,AA145)+0.005&gt;AR145*1000000+SUM(T145,AL145)*10000+SUM(N145,AF145)*100+SUM(H145,Z145)+0.006,1,0)+IF(AT145*1000000+SUM(V145,AN145)*10000+SUM(P145,AH145)*100+SUM(J145,AB145)+0.004&gt;AR145*1000000+SUM(T145,AL145)*10000+SUM(N145,AF145)*100+SUM(H145,Z145)+0.006,1,0)+IF(AU145*1000000+SUM(W145,AO145)*10000+SUM(Q145,AI145)*100+SUM(K145,AC145)+0.003&gt;AR145*1000000+SUM(T145,AL145)*10000+SUM(N145,AF145)*100+SUM(H145,Z145)+0.006,1,0)+IF(AV145*1000000+SUM(X145,AP145)*10000+SUM(R145,AJ145)*100+SUM(L145,AD145)+0.002&gt;AR145*1000000+SUM(T145,AL145)*10000+SUM(N145,AF145)*100+SUM(H145,Z145)+0.006,1,0)+IF(AW145*1000000+SUM(Y145,AQ145)*10000+SUM(S145,AK145)*100+SUM(M145,AE145)+0.001&gt;AR145*1000000+SUM(T145,AL145)*10000+SUM(N145,AF145)*100+SUM(H145,Z145)+0.006,1,0)=1,"R",IF(IF(AR145*1000000+SUM(T145,AL145)*10000+SUM(N145,AF145)*100+SUM(H145,Z145)+0.006&gt;AS145*1000000+SUM(U145,AM145)*10000+SUM(O145,AG145)*100+SUM(I145,AA145)+0.005,1,0)+IF(AT145*1000000+SUM(V145,AN145)*10000+SUM(P145,AH145)*100+SUM(J145,AB145)+0.004&gt;AS145*1000000+SUM(U145,AM145)*10000+SUM(O145,AG145)*100+SUM(I145,AA145)+0.005,1,0)+IF(AU145*1000000+SUM(W145,AO145)*10000+SUM(Q145,AI145)*100+SUM(K145,AC145)+0.003&gt;AS145*1000000+SUM(U145,AM145)*10000+SUM(O145,AG145)*100+SUM(I145,AA145)+0.005,1,0)+IF(AV145*1000000+SUM(X145,AP145)*10000+SUM(R145,AJ145)*100+SUM(L145,AD145)+0.002&gt;AS145*1000000+SUM(U145,AM145)*10000+SUM(O145,AG145)*100+SUM(I145,AA145)+0.005,1,0)+IF(AW145*1000000+SUM(Y145,AQ145)*10000+SUM(S145,AK145)*100+SUM(M145,AE145)+0.001&gt;AS145*1000000+SUM(U145,AM145)*10000+SUM(O145,AG145)*100+SUM(I145,AA145)+0.005,1,0)=1,"I",IF(IF(AR145*1000000+SUM(T145,AL145)*10000+SUM(N145,AF145)*100+SUM(H145,Z145)+0.006&gt;AT145*1000000+SUM(V145,AN145)*10000+SUM(P145,AH145)*100+SUM(J145,AB145)+0.004,1,0)+IF(AS145*1000000+SUM(U145,AM145)*10000+SUM(O145,AG145)*100+SUM(I145,AA145)+0.005&gt;AT145*1000000+SUM(V145,AN145)*10000+SUM(P145,AH145)*100+SUM(J145,AB145)+0.004,1,0)+IF(AU145*1000000+SUM(W145,AO145)*10000+SUM(Q145,AI145)*100+SUM(K145,AC145)+0.003&gt;AT145*1000000+SUM(V145,AN145)*10000+SUM(P145,AH145)*100+SUM(J145,AB145)+0.004,1,0)+IF(AV145*1000000+SUM(X145,AP145)*10000+SUM(R145,AJ145)*100+SUM(L145,AD145)+0.002&gt;AT145*1000000+SUM(V145,AN145)*10000+SUM(P145,AH145)*100+SUM(J145,AB145)+0.004,1,0)+IF(AW145*1000000+SUM(Y145,AQ145)*10000+SUM(S145,AK145)*100+SUM(M145,AE145)+0.001&gt;AT145*1000000+SUM(V145,AN145)*10000+SUM(P145,AH145)*100+SUM(J145,AB145)+0.004,1,0)=1,"A",IF(IF(AR145*1000000+SUM(T145,AL145)*10000+SUM(N145,AF145)*100+SUM(H145,Z145)+0.006&gt;AU145*1000000+SUM(W145,AO145)*10000+SUM(Q145,AI145)*100+SUM(K145,AC145)+0.003,1,0)+IF(AS145*1000000+SUM(U145,AM145)*10000+SUM(O145,AG145)*100+SUM(I145,AA145)+0.005&gt;AU145*1000000+SUM(W145,AO145)*10000+SUM(Q145,AI145)*100+SUM(K145,AC145)+0.003,1,0)+IF(AT145*1000000+SUM(V145,AN145)*10000+SUM(P145,AH145)*100+SUM(J145,AB145)+0.004&gt;AU145*1000000+SUM(W145,AO145)*10000+SUM(Q145,AI145)*100+SUM(K145,AC145)+0.003,1,0)+IF(AV145*1000000+SUM(X145,AP145)*10000+SUM(R145,AJ145)*100+SUM(L145,AD145)+0.002&gt;AU145*1000000+SUM(W145,AO145)*10000+SUM(Q145,AI145)*100+SUM(K145,AC145)+0.003,1,0)+IF(AW145*1000000+SUM(Y145,AQ145)*10000+SUM(S145,AK145)*100+SUM(M145,AE145)+0.001&gt;AU145*1000000+SUM(W145,AO145)*10000+SUM(Q145,AI145)*100+SUM(K145,AC145)+0.003,1,0)=1,"S",IF(IF(AR145*1000000+SUM(T145,AL145)*10000+SUM(N145,AF145)*100+SUM(H145,Z145)+0.006&gt;AV145*1000000+SUM(X145,AP145)*10000+SUM(R145,AJ145)*100+SUM(L145,AD145)+0.002,1,0)+IF(AS145*1000000+SUM(U145,AM145)*10000+SUM(O145,AG145)*100+SUM(I145,AA145)+0.005&gt;AV145*1000000+SUM(X145,AP145)*10000+SUM(R145,AJ145)*100+SUM(L145,AD145)+0.002,1,0)+IF(AT145*1000000+SUM(V145,AN145)*10000+SUM(P145,AH145)*100+SUM(J145,AB145)+0.004&gt;AV145*1000000+SUM(X145,AP145)*10000+SUM(R145,AJ145)*100+SUM(L145,AD145)+0.002,1,0)+IF(AU145*1000000+SUM(W145,AO145)*10000+SUM(Q145,AI145)*100+SUM(K145,AC145)+0.003&gt;AV145*1000000+SUM(X145,AP145)*10000+SUM(R145,AJ145)*100+SUM(L145,AD145)+0.002,1,0)+IF(AW145*1000000+SUM(Y145,AQ145)*10000+SUM(S145,AK145)*100+SUM(M145,AE145)+0.001&gt;AV145*1000000+SUM(X145,AP145)*10000+SUM(R145,AJ145)*100+SUM(L145,AD145)+0.002,1,0)=1,"E",IF(IF(AR145*1000000+SUM(T145,AL145)*10000+SUM(N145,AF145)*100+SUM(H145,Z145)+0.006&gt;AW145*1000000+SUM(Y145,AQ145)*10000+SUM(S145,AK145)*100+SUM(M145,AE145)+0.001,1,0)+IF(AS145*1000000+SUM(U145,AM145)*10000+SUM(O145,AG145)*100+SUM(I145,AA145)+0.005&gt;AW145*1000000+SUM(Y145,AQ145)*10000+SUM(S145,AK145)*100+SUM(M145,AE145)+0.001,1,0)+IF(AT145*1000000+SUM(V145,AN145)*10000+SUM(P145,AH145)*100+SUM(J145,AB145)+0.004&gt;AW145*1000000+SUM(Y145,AQ145)*10000+SUM(S145,AK145)*100+SUM(M145,AE145)+0.001,1,0)+IF(AU145*1000000+SUM(W145,AO145)*10000+SUM(Q145,AI145)*100+SUM(K145,AC145)+0.003&gt;AW145*1000000+SUM(Y145,AQ145)*10000+SUM(S145,AK145)*100+SUM(M145,AE145)+0.001,1,0)+IF(AV145*1000000+SUM(X145,AP145)*10000+SUM(R145,AJ145)*100+SUM(L145,AD145)+0.002&gt;AW145*1000000+SUM(Y145,AQ145)*10000+SUM(S145,AK145)*100+SUM(M145,AE145)+0.001,1,0)=1,"C",""))))))&amp;IF(IF(AS145*1000000+SUM(U145,AM145)*10000+SUM(O145,AG145)*100+SUM(I145,AA145)+0.005&gt;AR145*1000000+SUM(T145,AL145)*10000+SUM(N145,AF145)*100+SUM(H145,Z145)+0.006,1,0)+IF(AT145*1000000+SUM(V145,AN145)*10000+SUM(P145,AH145)*100+SUM(J145,AB145)+0.004&gt;AR145*1000000+SUM(T145,AL145)*10000+SUM(N145,AF145)*100+SUM(H145,Z145)+0.006,1,0)+IF(AU145*1000000+SUM(W145,AO145)*10000+SUM(Q145,AI145)*100+SUM(K145,AC145)+0.003&gt;AR145*1000000+SUM(T145,AL145)*10000+SUM(N145,AF145)*100+SUM(H145,Z145)+0.006,1,0)+IF(AV145*1000000+SUM(X145,AP145)*10000+SUM(R145,AJ145)*100+SUM(L145,AD145)+0.002&gt;AR145*1000000+SUM(T145,AL145)*10000+SUM(N145,AF145)*100+SUM(H145,Z145)+0.006,1,0)+IF(AW145*1000000+SUM(Y145,AQ145)*10000+SUM(S145,AK145)*100+SUM(M145,AE145)+0.001&gt;AR145*1000000+SUM(T145,AL145)*10000+SUM(N145,AF145)*100+SUM(H145,Z145)+0.006,1,0)=2,"R",IF(IF(AR145*1000000+SUM(T145,AL145)*10000+SUM(N145,AF145)*100+SUM(H145,Z145)+0.006&gt;AS145*1000000+SUM(U145,AM145)*10000+SUM(O145,AG145)*100+SUM(I145,AA145)+0.005,1,0)+IF(AT145*1000000+SUM(V145,AN145)*10000+SUM(P145,AH145)*100+SUM(J145,AB145)+0.004&gt;AS145*1000000+SUM(U145,AM145)*10000+SUM(O145,AG145)*100+SUM(I145,AA145)+0.005,1,0)+IF(AU145*1000000+SUM(W145,AO145)*10000+SUM(Q145,AI145)*100+SUM(K145,AC145)+0.003&gt;AS145*1000000+SUM(U145,AM145)*10000+SUM(O145,AG145)*100+SUM(I145,AA145)+0.005,1,0)+IF(AV145*1000000+SUM(X145,AP145)*10000+SUM(R145,AJ145)*100+SUM(L145,AD145)+0.002&gt;AS145*1000000+SUM(U145,AM145)*10000+SUM(O145,AG145)*100+SUM(I145,AA145)+0.005,1,0)+IF(AW145*1000000+SUM(Y145,AQ145)*10000+SUM(S145,AK145)*100+SUM(M145,AE145)+0.001&gt;AS145*1000000+SUM(U145,AM145)*10000+SUM(O145,AG145)*100+SUM(I145,AA145)+0.005,1,0)=2,"I",IF(IF(AR145*1000000+SUM(T145,AL145)*10000+SUM(N145,AF145)*100+SUM(H145,Z145)+0.006&gt;AT145*1000000+SUM(V145,AN145)*10000+SUM(P145,AH145)*100+SUM(J145,AB145)+0.004,1,0)+IF(AS145*1000000+SUM(U145,AM145)*10000+SUM(O145,AG145)*100+SUM(I145,AA145)+0.005&gt;AT145*1000000+SUM(V145,AN145)*10000+SUM(P145,AH145)*100+SUM(J145,AB145)+0.004,1,0)+IF(AU145*1000000+SUM(W145,AO145)*10000+SUM(Q145,AI145)*100+SUM(K145,AC145)+0.003&gt;AT145*1000000+SUM(V145,AN145)*10000+SUM(P145,AH145)*100+SUM(J145,AB145)+0.004,1,0)+IF(AV145*1000000+SUM(X145,AP145)*10000+SUM(R145,AJ145)*100+SUM(L145,AD145)+0.002&gt;AT145*1000000+SUM(V145,AN145)*10000+SUM(P145,AH145)*100+SUM(J145,AB145)+0.004,1,0)+IF(AW145*1000000+SUM(Y145,AQ145)*10000+SUM(S145,AK145)*100+SUM(M145,AE145)+0.001&gt;AT145*1000000+SUM(V145,AN145)*10000+SUM(P145,AH145)*100+SUM(J145,AB145)+0.004,1,0)=2,"A",IF(IF(AR145*1000000+SUM(T145,AL145)*10000+SUM(N145,AF145)*100+SUM(H145,Z145)+0.006&gt;AU145*1000000+SUM(W145,AO145)*10000+SUM(Q145,AI145)*100+SUM(K145,AC145)+0.003,1,0)+IF(AS145*1000000+SUM(U145,AM145)*10000+SUM(O145,AG145)*100+SUM(I145,AA145)+0.005&gt;AU145*1000000+SUM(W145,AO145)*10000+SUM(Q145,AI145)*100+SUM(K145,AC145)+0.003,1,0)+IF(AT145*1000000+SUM(V145,AN145)*10000+SUM(P145,AH145)*100+SUM(J145,AB145)+0.004&gt;AU145*1000000+SUM(W145,AO145)*10000+SUM(Q145,AI145)*100+SUM(K145,AC145)+0.003,1,0)+IF(AV145*1000000+SUM(X145,AP145)*10000+SUM(R145,AJ145)*100+SUM(L145,AD145)+0.002&gt;AU145*1000000+SUM(W145,AO145)*10000+SUM(Q145,AI145)*100+SUM(K145,AC145)+0.003,1,0)+IF(AW145*1000000+SUM(Y145,AQ145)*10000+SUM(S145,AK145)*100+SUM(M145,AE145)+0.001&gt;AU145*1000000+SUM(W145,AO145)*10000+SUM(Q145,AI145)*100+SUM(K145,AC145)+0.003,1,0)=2,"S",IF(IF(AR145*1000000+SUM(T145,AL145)*10000+SUM(N145,AF145)*100+SUM(H145,Z145)+0.006&gt;AV145*1000000+SUM(X145,AP145)*10000+SUM(R145,AJ145)*100+SUM(L145,AD145)+0.002,1,0)+IF(AS145*1000000+SUM(U145,AM145)*10000+SUM(O145,AG145)*100+SUM(I145,AA145)+0.005&gt;AV145*1000000+SUM(X145,AP145)*10000+SUM(R145,AJ145)*100+SUM(L145,AD145)+0.002,1,0)+IF(AT145*1000000+SUM(V145,AN145)*10000+SUM(P145,AH145)*100+SUM(J145,AB145)+0.004&gt;AV145*1000000+SUM(X145,AP145)*10000+SUM(R145,AJ145)*100+SUM(L145,AD145)+0.002,1,0)+IF(AU145*1000000+SUM(W145,AO145)*10000+SUM(Q145,AI145)*100+SUM(K145,AC145)+0.003&gt;AV145*1000000+SUM(X145,AP145)*10000+SUM(R145,AJ145)*100+SUM(L145,AD145)+0.002,1,0)+IF(AW145*1000000+SUM(Y145,AQ145)*10000+SUM(S145,AK145)*100+SUM(M145,AE145)+0.001&gt;AV145*1000000+SUM(X145,AP145)*10000+SUM(R145,AJ145)*100+SUM(L145,AD145)+0.002,1,0)=2,"E",IF(IF(AR145*1000000+SUM(T145,AL145)*10000+SUM(N145,AF145)*100+SUM(H145,Z145)+0.006&gt;AW145*1000000+SUM(Y145,AQ145)*10000+SUM(S145,AK145)*100+SUM(M145,AE145)+0.001,1,0)+IF(AS145*1000000+SUM(U145,AM145)*10000+SUM(O145,AG145)*100+SUM(I145,AA145)+0.005&gt;AW145*1000000+SUM(Y145,AQ145)*10000+SUM(S145,AK145)*100+SUM(M145,AE145)+0.001,1,0)+IF(AT145*1000000+SUM(V145,AN145)*10000+SUM(P145,AH145)*100+SUM(J145,AB145)+0.004&gt;AW145*1000000+SUM(Y145,AQ145)*10000+SUM(S145,AK145)*100+SUM(M145,AE145)+0.001,1,0)+IF(AU145*1000000+SUM(W145,AO145)*10000+SUM(Q145,AI145)*100+SUM(K145,AC145)+0.003&gt;AW145*1000000+SUM(Y145,AQ145)*10000+SUM(S145,AK145)*100+SUM(M145,AE145)+0.001,1,0)+IF(AV145*1000000+SUM(X145,AP145)*10000+SUM(R145,AJ145)*100+SUM(L145,AD145)+0.002&gt;AW145*1000000+SUM(Y145,AQ145)*10000+SUM(S145,AK145)*100+SUM(M145,AE145)+0.001,1,0)=2,"C","")))))))</x:f>
      </x:c>
      <x:c r="AY145" s="27" t="str">
        <x:f>IF(C145="","",IF(LEFT(AX145,1)="R","นักปฏิบัติ",IF(LEFT(AX145,1)="I","นักคิดวิเคราะห์",IF(LEFT(AX145,1)="A","นักสร้างสรรค์",IF(LEFT(AX145,1)="S","ผู้เข้าใจผู้คน",IF(LEFT(AX145,1)="E","ผู้นำการเปลี่ยนแปลง","ผู้จัดระบบ"))))))</x:f>
      </x:c>
    </x:row>
    <x:row r="146">
      <x:c r="A146" s="27"/>
      <x:c r="B146" s="28"/>
      <x:c r="C146" s="27"/>
      <x:c r="D146" s="27"/>
      <x:c r="E146" s="27"/>
      <x:c r="F146" s="27"/>
      <x:c r="G146" s="27"/>
      <x:c r="H146" s="27"/>
      <x:c r="I146" s="27"/>
      <x:c r="J146" s="27"/>
      <x:c r="K146" s="27"/>
      <x:c r="L146" s="27"/>
      <x:c r="M146" s="27"/>
      <x:c r="N146" s="27"/>
      <x:c r="O146" s="27"/>
      <x:c r="P146" s="27"/>
      <x:c r="Q146" s="27"/>
      <x:c r="R146" s="27"/>
      <x:c r="S146" s="27"/>
      <x:c r="T146" s="27"/>
      <x:c r="U146" s="27"/>
      <x:c r="V146" s="27"/>
      <x:c r="W146" s="27"/>
      <x:c r="X146" s="27"/>
      <x:c r="Y146" s="27"/>
      <x:c r="Z146" s="27"/>
      <x:c r="AA146" s="27"/>
      <x:c r="AB146" s="27"/>
      <x:c r="AC146" s="27"/>
      <x:c r="AD146" s="27"/>
      <x:c r="AE146" s="27"/>
      <x:c r="AF146" s="27"/>
      <x:c r="AG146" s="27"/>
      <x:c r="AH146" s="27"/>
      <x:c r="AI146" s="27"/>
      <x:c r="AJ146" s="27"/>
      <x:c r="AK146" s="27"/>
      <x:c r="AL146" s="27"/>
      <x:c r="AM146" s="27"/>
      <x:c r="AN146" s="27"/>
      <x:c r="AO146" s="27"/>
      <x:c r="AP146" s="27"/>
      <x:c r="AQ146" s="27"/>
      <x:c r="AR146" s="27" t="str">
        <x:f>IF(C146="","",SUM(H146,N146,T146,Z146,AF146,AL146))</x:f>
      </x:c>
      <x:c r="AS146" s="27" t="str">
        <x:f>IF(C146="","",SUM(I146,O146,U146,AA146,AG146,AM146))</x:f>
      </x:c>
      <x:c r="AT146" s="27" t="str">
        <x:f>IF(C146="","",SUM(J146,P146,V146,AB146,AH146,AN146))</x:f>
      </x:c>
      <x:c r="AU146" s="27" t="str">
        <x:f>IF(C146="","",SUM(K146,Q146,W146,AC146,AI146,AO146))</x:f>
      </x:c>
      <x:c r="AV146" s="27" t="str">
        <x:f>IF(C146="","",SUM(L146,R146,X146,AD146,AJ146,AP146))</x:f>
      </x:c>
      <x:c r="AW146" s="27" t="str">
        <x:f>IF(C146="","",SUM(M146,S146,Y146,AE146,AK146,AQ146))</x:f>
      </x:c>
      <x:c r="AX146" s="27" t="str">
        <x:f>IF(C146="","",IF(IF(AS146*1000000+SUM(U146,AM146)*10000+SUM(O146,AG146)*100+SUM(I146,AA146)+0.005&gt;AR146*1000000+SUM(T146,AL146)*10000+SUM(N146,AF146)*100+SUM(H146,Z146)+0.006,1,0)+IF(AT146*1000000+SUM(V146,AN146)*10000+SUM(P146,AH146)*100+SUM(J146,AB146)+0.004&gt;AR146*1000000+SUM(T146,AL146)*10000+SUM(N146,AF146)*100+SUM(H146,Z146)+0.006,1,0)+IF(AU146*1000000+SUM(W146,AO146)*10000+SUM(Q146,AI146)*100+SUM(K146,AC146)+0.003&gt;AR146*1000000+SUM(T146,AL146)*10000+SUM(N146,AF146)*100+SUM(H146,Z146)+0.006,1,0)+IF(AV146*1000000+SUM(X146,AP146)*10000+SUM(R146,AJ146)*100+SUM(L146,AD146)+0.002&gt;AR146*1000000+SUM(T146,AL146)*10000+SUM(N146,AF146)*100+SUM(H146,Z146)+0.006,1,0)+IF(AW146*1000000+SUM(Y146,AQ146)*10000+SUM(S146,AK146)*100+SUM(M146,AE146)+0.001&gt;AR146*1000000+SUM(T146,AL146)*10000+SUM(N146,AF146)*100+SUM(H146,Z146)+0.006,1,0)=0,"R",IF(IF(AR146*1000000+SUM(T146,AL146)*10000+SUM(N146,AF146)*100+SUM(H146,Z146)+0.006&gt;AS146*1000000+SUM(U146,AM146)*10000+SUM(O146,AG146)*100+SUM(I146,AA146)+0.005,1,0)+IF(AT146*1000000+SUM(V146,AN146)*10000+SUM(P146,AH146)*100+SUM(J146,AB146)+0.004&gt;AS146*1000000+SUM(U146,AM146)*10000+SUM(O146,AG146)*100+SUM(I146,AA146)+0.005,1,0)+IF(AU146*1000000+SUM(W146,AO146)*10000+SUM(Q146,AI146)*100+SUM(K146,AC146)+0.003&gt;AS146*1000000+SUM(U146,AM146)*10000+SUM(O146,AG146)*100+SUM(I146,AA146)+0.005,1,0)+IF(AV146*1000000+SUM(X146,AP146)*10000+SUM(R146,AJ146)*100+SUM(L146,AD146)+0.002&gt;AS146*1000000+SUM(U146,AM146)*10000+SUM(O146,AG146)*100+SUM(I146,AA146)+0.005,1,0)+IF(AW146*1000000+SUM(Y146,AQ146)*10000+SUM(S146,AK146)*100+SUM(M146,AE146)+0.001&gt;AS146*1000000+SUM(U146,AM146)*10000+SUM(O146,AG146)*100+SUM(I146,AA146)+0.005,1,0)=0,"I",IF(IF(AR146*1000000+SUM(T146,AL146)*10000+SUM(N146,AF146)*100+SUM(H146,Z146)+0.006&gt;AT146*1000000+SUM(V146,AN146)*10000+SUM(P146,AH146)*100+SUM(J146,AB146)+0.004,1,0)+IF(AS146*1000000+SUM(U146,AM146)*10000+SUM(O146,AG146)*100+SUM(I146,AA146)+0.005&gt;AT146*1000000+SUM(V146,AN146)*10000+SUM(P146,AH146)*100+SUM(J146,AB146)+0.004,1,0)+IF(AU146*1000000+SUM(W146,AO146)*10000+SUM(Q146,AI146)*100+SUM(K146,AC146)+0.003&gt;AT146*1000000+SUM(V146,AN146)*10000+SUM(P146,AH146)*100+SUM(J146,AB146)+0.004,1,0)+IF(AV146*1000000+SUM(X146,AP146)*10000+SUM(R146,AJ146)*100+SUM(L146,AD146)+0.002&gt;AT146*1000000+SUM(V146,AN146)*10000+SUM(P146,AH146)*100+SUM(J146,AB146)+0.004,1,0)+IF(AW146*1000000+SUM(Y146,AQ146)*10000+SUM(S146,AK146)*100+SUM(M146,AE146)+0.001&gt;AT146*1000000+SUM(V146,AN146)*10000+SUM(P146,AH146)*100+SUM(J146,AB146)+0.004,1,0)=0,"A",IF(IF(AR146*1000000+SUM(T146,AL146)*10000+SUM(N146,AF146)*100+SUM(H146,Z146)+0.006&gt;AU146*1000000+SUM(W146,AO146)*10000+SUM(Q146,AI146)*100+SUM(K146,AC146)+0.003,1,0)+IF(AS146*1000000+SUM(U146,AM146)*10000+SUM(O146,AG146)*100+SUM(I146,AA146)+0.005&gt;AU146*1000000+SUM(W146,AO146)*10000+SUM(Q146,AI146)*100+SUM(K146,AC146)+0.003,1,0)+IF(AT146*1000000+SUM(V146,AN146)*10000+SUM(P146,AH146)*100+SUM(J146,AB146)+0.004&gt;AU146*1000000+SUM(W146,AO146)*10000+SUM(Q146,AI146)*100+SUM(K146,AC146)+0.003,1,0)+IF(AV146*1000000+SUM(X146,AP146)*10000+SUM(R146,AJ146)*100+SUM(L146,AD146)+0.002&gt;AU146*1000000+SUM(W146,AO146)*10000+SUM(Q146,AI146)*100+SUM(K146,AC146)+0.003,1,0)+IF(AW146*1000000+SUM(Y146,AQ146)*10000+SUM(S146,AK146)*100+SUM(M146,AE146)+0.001&gt;AU146*1000000+SUM(W146,AO146)*10000+SUM(Q146,AI146)*100+SUM(K146,AC146)+0.003,1,0)=0,"S",IF(IF(AR146*1000000+SUM(T146,AL146)*10000+SUM(N146,AF146)*100+SUM(H146,Z146)+0.006&gt;AV146*1000000+SUM(X146,AP146)*10000+SUM(R146,AJ146)*100+SUM(L146,AD146)+0.002,1,0)+IF(AS146*1000000+SUM(U146,AM146)*10000+SUM(O146,AG146)*100+SUM(I146,AA146)+0.005&gt;AV146*1000000+SUM(X146,AP146)*10000+SUM(R146,AJ146)*100+SUM(L146,AD146)+0.002,1,0)+IF(AT146*1000000+SUM(V146,AN146)*10000+SUM(P146,AH146)*100+SUM(J146,AB146)+0.004&gt;AV146*1000000+SUM(X146,AP146)*10000+SUM(R146,AJ146)*100+SUM(L146,AD146)+0.002,1,0)+IF(AU146*1000000+SUM(W146,AO146)*10000+SUM(Q146,AI146)*100+SUM(K146,AC146)+0.003&gt;AV146*1000000+SUM(X146,AP146)*10000+SUM(R146,AJ146)*100+SUM(L146,AD146)+0.002,1,0)+IF(AW146*1000000+SUM(Y146,AQ146)*10000+SUM(S146,AK146)*100+SUM(M146,AE146)+0.001&gt;AV146*1000000+SUM(X146,AP146)*10000+SUM(R146,AJ146)*100+SUM(L146,AD146)+0.002,1,0)=0,"E",IF(IF(AR146*1000000+SUM(T146,AL146)*10000+SUM(N146,AF146)*100+SUM(H146,Z146)+0.006&gt;AW146*1000000+SUM(Y146,AQ146)*10000+SUM(S146,AK146)*100+SUM(M146,AE146)+0.001,1,0)+IF(AS146*1000000+SUM(U146,AM146)*10000+SUM(O146,AG146)*100+SUM(I146,AA146)+0.005&gt;AW146*1000000+SUM(Y146,AQ146)*10000+SUM(S146,AK146)*100+SUM(M146,AE146)+0.001,1,0)+IF(AT146*1000000+SUM(V146,AN146)*10000+SUM(P146,AH146)*100+SUM(J146,AB146)+0.004&gt;AW146*1000000+SUM(Y146,AQ146)*10000+SUM(S146,AK146)*100+SUM(M146,AE146)+0.001,1,0)+IF(AU146*1000000+SUM(W146,AO146)*10000+SUM(Q146,AI146)*100+SUM(K146,AC146)+0.003&gt;AW146*1000000+SUM(Y146,AQ146)*10000+SUM(S146,AK146)*100+SUM(M146,AE146)+0.001,1,0)+IF(AV146*1000000+SUM(X146,AP146)*10000+SUM(R146,AJ146)*100+SUM(L146,AD146)+0.002&gt;AW146*1000000+SUM(Y146,AQ146)*10000+SUM(S146,AK146)*100+SUM(M146,AE146)+0.001,1,0)=0,"C",""))))))&amp;IF(IF(AS146*1000000+SUM(U146,AM146)*10000+SUM(O146,AG146)*100+SUM(I146,AA146)+0.005&gt;AR146*1000000+SUM(T146,AL146)*10000+SUM(N146,AF146)*100+SUM(H146,Z146)+0.006,1,0)+IF(AT146*1000000+SUM(V146,AN146)*10000+SUM(P146,AH146)*100+SUM(J146,AB146)+0.004&gt;AR146*1000000+SUM(T146,AL146)*10000+SUM(N146,AF146)*100+SUM(H146,Z146)+0.006,1,0)+IF(AU146*1000000+SUM(W146,AO146)*10000+SUM(Q146,AI146)*100+SUM(K146,AC146)+0.003&gt;AR146*1000000+SUM(T146,AL146)*10000+SUM(N146,AF146)*100+SUM(H146,Z146)+0.006,1,0)+IF(AV146*1000000+SUM(X146,AP146)*10000+SUM(R146,AJ146)*100+SUM(L146,AD146)+0.002&gt;AR146*1000000+SUM(T146,AL146)*10000+SUM(N146,AF146)*100+SUM(H146,Z146)+0.006,1,0)+IF(AW146*1000000+SUM(Y146,AQ146)*10000+SUM(S146,AK146)*100+SUM(M146,AE146)+0.001&gt;AR146*1000000+SUM(T146,AL146)*10000+SUM(N146,AF146)*100+SUM(H146,Z146)+0.006,1,0)=1,"R",IF(IF(AR146*1000000+SUM(T146,AL146)*10000+SUM(N146,AF146)*100+SUM(H146,Z146)+0.006&gt;AS146*1000000+SUM(U146,AM146)*10000+SUM(O146,AG146)*100+SUM(I146,AA146)+0.005,1,0)+IF(AT146*1000000+SUM(V146,AN146)*10000+SUM(P146,AH146)*100+SUM(J146,AB146)+0.004&gt;AS146*1000000+SUM(U146,AM146)*10000+SUM(O146,AG146)*100+SUM(I146,AA146)+0.005,1,0)+IF(AU146*1000000+SUM(W146,AO146)*10000+SUM(Q146,AI146)*100+SUM(K146,AC146)+0.003&gt;AS146*1000000+SUM(U146,AM146)*10000+SUM(O146,AG146)*100+SUM(I146,AA146)+0.005,1,0)+IF(AV146*1000000+SUM(X146,AP146)*10000+SUM(R146,AJ146)*100+SUM(L146,AD146)+0.002&gt;AS146*1000000+SUM(U146,AM146)*10000+SUM(O146,AG146)*100+SUM(I146,AA146)+0.005,1,0)+IF(AW146*1000000+SUM(Y146,AQ146)*10000+SUM(S146,AK146)*100+SUM(M146,AE146)+0.001&gt;AS146*1000000+SUM(U146,AM146)*10000+SUM(O146,AG146)*100+SUM(I146,AA146)+0.005,1,0)=1,"I",IF(IF(AR146*1000000+SUM(T146,AL146)*10000+SUM(N146,AF146)*100+SUM(H146,Z146)+0.006&gt;AT146*1000000+SUM(V146,AN146)*10000+SUM(P146,AH146)*100+SUM(J146,AB146)+0.004,1,0)+IF(AS146*1000000+SUM(U146,AM146)*10000+SUM(O146,AG146)*100+SUM(I146,AA146)+0.005&gt;AT146*1000000+SUM(V146,AN146)*10000+SUM(P146,AH146)*100+SUM(J146,AB146)+0.004,1,0)+IF(AU146*1000000+SUM(W146,AO146)*10000+SUM(Q146,AI146)*100+SUM(K146,AC146)+0.003&gt;AT146*1000000+SUM(V146,AN146)*10000+SUM(P146,AH146)*100+SUM(J146,AB146)+0.004,1,0)+IF(AV146*1000000+SUM(X146,AP146)*10000+SUM(R146,AJ146)*100+SUM(L146,AD146)+0.002&gt;AT146*1000000+SUM(V146,AN146)*10000+SUM(P146,AH146)*100+SUM(J146,AB146)+0.004,1,0)+IF(AW146*1000000+SUM(Y146,AQ146)*10000+SUM(S146,AK146)*100+SUM(M146,AE146)+0.001&gt;AT146*1000000+SUM(V146,AN146)*10000+SUM(P146,AH146)*100+SUM(J146,AB146)+0.004,1,0)=1,"A",IF(IF(AR146*1000000+SUM(T146,AL146)*10000+SUM(N146,AF146)*100+SUM(H146,Z146)+0.006&gt;AU146*1000000+SUM(W146,AO146)*10000+SUM(Q146,AI146)*100+SUM(K146,AC146)+0.003,1,0)+IF(AS146*1000000+SUM(U146,AM146)*10000+SUM(O146,AG146)*100+SUM(I146,AA146)+0.005&gt;AU146*1000000+SUM(W146,AO146)*10000+SUM(Q146,AI146)*100+SUM(K146,AC146)+0.003,1,0)+IF(AT146*1000000+SUM(V146,AN146)*10000+SUM(P146,AH146)*100+SUM(J146,AB146)+0.004&gt;AU146*1000000+SUM(W146,AO146)*10000+SUM(Q146,AI146)*100+SUM(K146,AC146)+0.003,1,0)+IF(AV146*1000000+SUM(X146,AP146)*10000+SUM(R146,AJ146)*100+SUM(L146,AD146)+0.002&gt;AU146*1000000+SUM(W146,AO146)*10000+SUM(Q146,AI146)*100+SUM(K146,AC146)+0.003,1,0)+IF(AW146*1000000+SUM(Y146,AQ146)*10000+SUM(S146,AK146)*100+SUM(M146,AE146)+0.001&gt;AU146*1000000+SUM(W146,AO146)*10000+SUM(Q146,AI146)*100+SUM(K146,AC146)+0.003,1,0)=1,"S",IF(IF(AR146*1000000+SUM(T146,AL146)*10000+SUM(N146,AF146)*100+SUM(H146,Z146)+0.006&gt;AV146*1000000+SUM(X146,AP146)*10000+SUM(R146,AJ146)*100+SUM(L146,AD146)+0.002,1,0)+IF(AS146*1000000+SUM(U146,AM146)*10000+SUM(O146,AG146)*100+SUM(I146,AA146)+0.005&gt;AV146*1000000+SUM(X146,AP146)*10000+SUM(R146,AJ146)*100+SUM(L146,AD146)+0.002,1,0)+IF(AT146*1000000+SUM(V146,AN146)*10000+SUM(P146,AH146)*100+SUM(J146,AB146)+0.004&gt;AV146*1000000+SUM(X146,AP146)*10000+SUM(R146,AJ146)*100+SUM(L146,AD146)+0.002,1,0)+IF(AU146*1000000+SUM(W146,AO146)*10000+SUM(Q146,AI146)*100+SUM(K146,AC146)+0.003&gt;AV146*1000000+SUM(X146,AP146)*10000+SUM(R146,AJ146)*100+SUM(L146,AD146)+0.002,1,0)+IF(AW146*1000000+SUM(Y146,AQ146)*10000+SUM(S146,AK146)*100+SUM(M146,AE146)+0.001&gt;AV146*1000000+SUM(X146,AP146)*10000+SUM(R146,AJ146)*100+SUM(L146,AD146)+0.002,1,0)=1,"E",IF(IF(AR146*1000000+SUM(T146,AL146)*10000+SUM(N146,AF146)*100+SUM(H146,Z146)+0.006&gt;AW146*1000000+SUM(Y146,AQ146)*10000+SUM(S146,AK146)*100+SUM(M146,AE146)+0.001,1,0)+IF(AS146*1000000+SUM(U146,AM146)*10000+SUM(O146,AG146)*100+SUM(I146,AA146)+0.005&gt;AW146*1000000+SUM(Y146,AQ146)*10000+SUM(S146,AK146)*100+SUM(M146,AE146)+0.001,1,0)+IF(AT146*1000000+SUM(V146,AN146)*10000+SUM(P146,AH146)*100+SUM(J146,AB146)+0.004&gt;AW146*1000000+SUM(Y146,AQ146)*10000+SUM(S146,AK146)*100+SUM(M146,AE146)+0.001,1,0)+IF(AU146*1000000+SUM(W146,AO146)*10000+SUM(Q146,AI146)*100+SUM(K146,AC146)+0.003&gt;AW146*1000000+SUM(Y146,AQ146)*10000+SUM(S146,AK146)*100+SUM(M146,AE146)+0.001,1,0)+IF(AV146*1000000+SUM(X146,AP146)*10000+SUM(R146,AJ146)*100+SUM(L146,AD146)+0.002&gt;AW146*1000000+SUM(Y146,AQ146)*10000+SUM(S146,AK146)*100+SUM(M146,AE146)+0.001,1,0)=1,"C",""))))))&amp;IF(IF(AS146*1000000+SUM(U146,AM146)*10000+SUM(O146,AG146)*100+SUM(I146,AA146)+0.005&gt;AR146*1000000+SUM(T146,AL146)*10000+SUM(N146,AF146)*100+SUM(H146,Z146)+0.006,1,0)+IF(AT146*1000000+SUM(V146,AN146)*10000+SUM(P146,AH146)*100+SUM(J146,AB146)+0.004&gt;AR146*1000000+SUM(T146,AL146)*10000+SUM(N146,AF146)*100+SUM(H146,Z146)+0.006,1,0)+IF(AU146*1000000+SUM(W146,AO146)*10000+SUM(Q146,AI146)*100+SUM(K146,AC146)+0.003&gt;AR146*1000000+SUM(T146,AL146)*10000+SUM(N146,AF146)*100+SUM(H146,Z146)+0.006,1,0)+IF(AV146*1000000+SUM(X146,AP146)*10000+SUM(R146,AJ146)*100+SUM(L146,AD146)+0.002&gt;AR146*1000000+SUM(T146,AL146)*10000+SUM(N146,AF146)*100+SUM(H146,Z146)+0.006,1,0)+IF(AW146*1000000+SUM(Y146,AQ146)*10000+SUM(S146,AK146)*100+SUM(M146,AE146)+0.001&gt;AR146*1000000+SUM(T146,AL146)*10000+SUM(N146,AF146)*100+SUM(H146,Z146)+0.006,1,0)=2,"R",IF(IF(AR146*1000000+SUM(T146,AL146)*10000+SUM(N146,AF146)*100+SUM(H146,Z146)+0.006&gt;AS146*1000000+SUM(U146,AM146)*10000+SUM(O146,AG146)*100+SUM(I146,AA146)+0.005,1,0)+IF(AT146*1000000+SUM(V146,AN146)*10000+SUM(P146,AH146)*100+SUM(J146,AB146)+0.004&gt;AS146*1000000+SUM(U146,AM146)*10000+SUM(O146,AG146)*100+SUM(I146,AA146)+0.005,1,0)+IF(AU146*1000000+SUM(W146,AO146)*10000+SUM(Q146,AI146)*100+SUM(K146,AC146)+0.003&gt;AS146*1000000+SUM(U146,AM146)*10000+SUM(O146,AG146)*100+SUM(I146,AA146)+0.005,1,0)+IF(AV146*1000000+SUM(X146,AP146)*10000+SUM(R146,AJ146)*100+SUM(L146,AD146)+0.002&gt;AS146*1000000+SUM(U146,AM146)*10000+SUM(O146,AG146)*100+SUM(I146,AA146)+0.005,1,0)+IF(AW146*1000000+SUM(Y146,AQ146)*10000+SUM(S146,AK146)*100+SUM(M146,AE146)+0.001&gt;AS146*1000000+SUM(U146,AM146)*10000+SUM(O146,AG146)*100+SUM(I146,AA146)+0.005,1,0)=2,"I",IF(IF(AR146*1000000+SUM(T146,AL146)*10000+SUM(N146,AF146)*100+SUM(H146,Z146)+0.006&gt;AT146*1000000+SUM(V146,AN146)*10000+SUM(P146,AH146)*100+SUM(J146,AB146)+0.004,1,0)+IF(AS146*1000000+SUM(U146,AM146)*10000+SUM(O146,AG146)*100+SUM(I146,AA146)+0.005&gt;AT146*1000000+SUM(V146,AN146)*10000+SUM(P146,AH146)*100+SUM(J146,AB146)+0.004,1,0)+IF(AU146*1000000+SUM(W146,AO146)*10000+SUM(Q146,AI146)*100+SUM(K146,AC146)+0.003&gt;AT146*1000000+SUM(V146,AN146)*10000+SUM(P146,AH146)*100+SUM(J146,AB146)+0.004,1,0)+IF(AV146*1000000+SUM(X146,AP146)*10000+SUM(R146,AJ146)*100+SUM(L146,AD146)+0.002&gt;AT146*1000000+SUM(V146,AN146)*10000+SUM(P146,AH146)*100+SUM(J146,AB146)+0.004,1,0)+IF(AW146*1000000+SUM(Y146,AQ146)*10000+SUM(S146,AK146)*100+SUM(M146,AE146)+0.001&gt;AT146*1000000+SUM(V146,AN146)*10000+SUM(P146,AH146)*100+SUM(J146,AB146)+0.004,1,0)=2,"A",IF(IF(AR146*1000000+SUM(T146,AL146)*10000+SUM(N146,AF146)*100+SUM(H146,Z146)+0.006&gt;AU146*1000000+SUM(W146,AO146)*10000+SUM(Q146,AI146)*100+SUM(K146,AC146)+0.003,1,0)+IF(AS146*1000000+SUM(U146,AM146)*10000+SUM(O146,AG146)*100+SUM(I146,AA146)+0.005&gt;AU146*1000000+SUM(W146,AO146)*10000+SUM(Q146,AI146)*100+SUM(K146,AC146)+0.003,1,0)+IF(AT146*1000000+SUM(V146,AN146)*10000+SUM(P146,AH146)*100+SUM(J146,AB146)+0.004&gt;AU146*1000000+SUM(W146,AO146)*10000+SUM(Q146,AI146)*100+SUM(K146,AC146)+0.003,1,0)+IF(AV146*1000000+SUM(X146,AP146)*10000+SUM(R146,AJ146)*100+SUM(L146,AD146)+0.002&gt;AU146*1000000+SUM(W146,AO146)*10000+SUM(Q146,AI146)*100+SUM(K146,AC146)+0.003,1,0)+IF(AW146*1000000+SUM(Y146,AQ146)*10000+SUM(S146,AK146)*100+SUM(M146,AE146)+0.001&gt;AU146*1000000+SUM(W146,AO146)*10000+SUM(Q146,AI146)*100+SUM(K146,AC146)+0.003,1,0)=2,"S",IF(IF(AR146*1000000+SUM(T146,AL146)*10000+SUM(N146,AF146)*100+SUM(H146,Z146)+0.006&gt;AV146*1000000+SUM(X146,AP146)*10000+SUM(R146,AJ146)*100+SUM(L146,AD146)+0.002,1,0)+IF(AS146*1000000+SUM(U146,AM146)*10000+SUM(O146,AG146)*100+SUM(I146,AA146)+0.005&gt;AV146*1000000+SUM(X146,AP146)*10000+SUM(R146,AJ146)*100+SUM(L146,AD146)+0.002,1,0)+IF(AT146*1000000+SUM(V146,AN146)*10000+SUM(P146,AH146)*100+SUM(J146,AB146)+0.004&gt;AV146*1000000+SUM(X146,AP146)*10000+SUM(R146,AJ146)*100+SUM(L146,AD146)+0.002,1,0)+IF(AU146*1000000+SUM(W146,AO146)*10000+SUM(Q146,AI146)*100+SUM(K146,AC146)+0.003&gt;AV146*1000000+SUM(X146,AP146)*10000+SUM(R146,AJ146)*100+SUM(L146,AD146)+0.002,1,0)+IF(AW146*1000000+SUM(Y146,AQ146)*10000+SUM(S146,AK146)*100+SUM(M146,AE146)+0.001&gt;AV146*1000000+SUM(X146,AP146)*10000+SUM(R146,AJ146)*100+SUM(L146,AD146)+0.002,1,0)=2,"E",IF(IF(AR146*1000000+SUM(T146,AL146)*10000+SUM(N146,AF146)*100+SUM(H146,Z146)+0.006&gt;AW146*1000000+SUM(Y146,AQ146)*10000+SUM(S146,AK146)*100+SUM(M146,AE146)+0.001,1,0)+IF(AS146*1000000+SUM(U146,AM146)*10000+SUM(O146,AG146)*100+SUM(I146,AA146)+0.005&gt;AW146*1000000+SUM(Y146,AQ146)*10000+SUM(S146,AK146)*100+SUM(M146,AE146)+0.001,1,0)+IF(AT146*1000000+SUM(V146,AN146)*10000+SUM(P146,AH146)*100+SUM(J146,AB146)+0.004&gt;AW146*1000000+SUM(Y146,AQ146)*10000+SUM(S146,AK146)*100+SUM(M146,AE146)+0.001,1,0)+IF(AU146*1000000+SUM(W146,AO146)*10000+SUM(Q146,AI146)*100+SUM(K146,AC146)+0.003&gt;AW146*1000000+SUM(Y146,AQ146)*10000+SUM(S146,AK146)*100+SUM(M146,AE146)+0.001,1,0)+IF(AV146*1000000+SUM(X146,AP146)*10000+SUM(R146,AJ146)*100+SUM(L146,AD146)+0.002&gt;AW146*1000000+SUM(Y146,AQ146)*10000+SUM(S146,AK146)*100+SUM(M146,AE146)+0.001,1,0)=2,"C","")))))))</x:f>
      </x:c>
      <x:c r="AY146" s="27" t="str">
        <x:f>IF(C146="","",IF(LEFT(AX146,1)="R","นักปฏิบัติ",IF(LEFT(AX146,1)="I","นักคิดวิเคราะห์",IF(LEFT(AX146,1)="A","นักสร้างสรรค์",IF(LEFT(AX146,1)="S","ผู้เข้าใจผู้คน",IF(LEFT(AX146,1)="E","ผู้นำการเปลี่ยนแปลง","ผู้จัดระบบ"))))))</x:f>
      </x:c>
    </x:row>
    <x:row r="147">
      <x:c r="A147" s="27"/>
      <x:c r="B147" s="28"/>
      <x:c r="C147" s="27"/>
      <x:c r="D147" s="27"/>
      <x:c r="E147" s="27"/>
      <x:c r="F147" s="27"/>
      <x:c r="G147" s="27"/>
      <x:c r="H147" s="27"/>
      <x:c r="I147" s="27"/>
      <x:c r="J147" s="27"/>
      <x:c r="K147" s="27"/>
      <x:c r="L147" s="27"/>
      <x:c r="M147" s="27"/>
      <x:c r="N147" s="27"/>
      <x:c r="O147" s="27"/>
      <x:c r="P147" s="27"/>
      <x:c r="Q147" s="27"/>
      <x:c r="R147" s="27"/>
      <x:c r="S147" s="27"/>
      <x:c r="T147" s="27"/>
      <x:c r="U147" s="27"/>
      <x:c r="V147" s="27"/>
      <x:c r="W147" s="27"/>
      <x:c r="X147" s="27"/>
      <x:c r="Y147" s="27"/>
      <x:c r="Z147" s="27"/>
      <x:c r="AA147" s="27"/>
      <x:c r="AB147" s="27"/>
      <x:c r="AC147" s="27"/>
      <x:c r="AD147" s="27"/>
      <x:c r="AE147" s="27"/>
      <x:c r="AF147" s="27"/>
      <x:c r="AG147" s="27"/>
      <x:c r="AH147" s="27"/>
      <x:c r="AI147" s="27"/>
      <x:c r="AJ147" s="27"/>
      <x:c r="AK147" s="27"/>
      <x:c r="AL147" s="27"/>
      <x:c r="AM147" s="27"/>
      <x:c r="AN147" s="27"/>
      <x:c r="AO147" s="27"/>
      <x:c r="AP147" s="27"/>
      <x:c r="AQ147" s="27"/>
      <x:c r="AR147" s="27" t="str">
        <x:f>IF(C147="","",SUM(H147,N147,T147,Z147,AF147,AL147))</x:f>
      </x:c>
      <x:c r="AS147" s="27" t="str">
        <x:f>IF(C147="","",SUM(I147,O147,U147,AA147,AG147,AM147))</x:f>
      </x:c>
      <x:c r="AT147" s="27" t="str">
        <x:f>IF(C147="","",SUM(J147,P147,V147,AB147,AH147,AN147))</x:f>
      </x:c>
      <x:c r="AU147" s="27" t="str">
        <x:f>IF(C147="","",SUM(K147,Q147,W147,AC147,AI147,AO147))</x:f>
      </x:c>
      <x:c r="AV147" s="27" t="str">
        <x:f>IF(C147="","",SUM(L147,R147,X147,AD147,AJ147,AP147))</x:f>
      </x:c>
      <x:c r="AW147" s="27" t="str">
        <x:f>IF(C147="","",SUM(M147,S147,Y147,AE147,AK147,AQ147))</x:f>
      </x:c>
      <x:c r="AX147" s="27" t="str">
        <x:f>IF(C147="","",IF(IF(AS147*1000000+SUM(U147,AM147)*10000+SUM(O147,AG147)*100+SUM(I147,AA147)+0.005&gt;AR147*1000000+SUM(T147,AL147)*10000+SUM(N147,AF147)*100+SUM(H147,Z147)+0.006,1,0)+IF(AT147*1000000+SUM(V147,AN147)*10000+SUM(P147,AH147)*100+SUM(J147,AB147)+0.004&gt;AR147*1000000+SUM(T147,AL147)*10000+SUM(N147,AF147)*100+SUM(H147,Z147)+0.006,1,0)+IF(AU147*1000000+SUM(W147,AO147)*10000+SUM(Q147,AI147)*100+SUM(K147,AC147)+0.003&gt;AR147*1000000+SUM(T147,AL147)*10000+SUM(N147,AF147)*100+SUM(H147,Z147)+0.006,1,0)+IF(AV147*1000000+SUM(X147,AP147)*10000+SUM(R147,AJ147)*100+SUM(L147,AD147)+0.002&gt;AR147*1000000+SUM(T147,AL147)*10000+SUM(N147,AF147)*100+SUM(H147,Z147)+0.006,1,0)+IF(AW147*1000000+SUM(Y147,AQ147)*10000+SUM(S147,AK147)*100+SUM(M147,AE147)+0.001&gt;AR147*1000000+SUM(T147,AL147)*10000+SUM(N147,AF147)*100+SUM(H147,Z147)+0.006,1,0)=0,"R",IF(IF(AR147*1000000+SUM(T147,AL147)*10000+SUM(N147,AF147)*100+SUM(H147,Z147)+0.006&gt;AS147*1000000+SUM(U147,AM147)*10000+SUM(O147,AG147)*100+SUM(I147,AA147)+0.005,1,0)+IF(AT147*1000000+SUM(V147,AN147)*10000+SUM(P147,AH147)*100+SUM(J147,AB147)+0.004&gt;AS147*1000000+SUM(U147,AM147)*10000+SUM(O147,AG147)*100+SUM(I147,AA147)+0.005,1,0)+IF(AU147*1000000+SUM(W147,AO147)*10000+SUM(Q147,AI147)*100+SUM(K147,AC147)+0.003&gt;AS147*1000000+SUM(U147,AM147)*10000+SUM(O147,AG147)*100+SUM(I147,AA147)+0.005,1,0)+IF(AV147*1000000+SUM(X147,AP147)*10000+SUM(R147,AJ147)*100+SUM(L147,AD147)+0.002&gt;AS147*1000000+SUM(U147,AM147)*10000+SUM(O147,AG147)*100+SUM(I147,AA147)+0.005,1,0)+IF(AW147*1000000+SUM(Y147,AQ147)*10000+SUM(S147,AK147)*100+SUM(M147,AE147)+0.001&gt;AS147*1000000+SUM(U147,AM147)*10000+SUM(O147,AG147)*100+SUM(I147,AA147)+0.005,1,0)=0,"I",IF(IF(AR147*1000000+SUM(T147,AL147)*10000+SUM(N147,AF147)*100+SUM(H147,Z147)+0.006&gt;AT147*1000000+SUM(V147,AN147)*10000+SUM(P147,AH147)*100+SUM(J147,AB147)+0.004,1,0)+IF(AS147*1000000+SUM(U147,AM147)*10000+SUM(O147,AG147)*100+SUM(I147,AA147)+0.005&gt;AT147*1000000+SUM(V147,AN147)*10000+SUM(P147,AH147)*100+SUM(J147,AB147)+0.004,1,0)+IF(AU147*1000000+SUM(W147,AO147)*10000+SUM(Q147,AI147)*100+SUM(K147,AC147)+0.003&gt;AT147*1000000+SUM(V147,AN147)*10000+SUM(P147,AH147)*100+SUM(J147,AB147)+0.004,1,0)+IF(AV147*1000000+SUM(X147,AP147)*10000+SUM(R147,AJ147)*100+SUM(L147,AD147)+0.002&gt;AT147*1000000+SUM(V147,AN147)*10000+SUM(P147,AH147)*100+SUM(J147,AB147)+0.004,1,0)+IF(AW147*1000000+SUM(Y147,AQ147)*10000+SUM(S147,AK147)*100+SUM(M147,AE147)+0.001&gt;AT147*1000000+SUM(V147,AN147)*10000+SUM(P147,AH147)*100+SUM(J147,AB147)+0.004,1,0)=0,"A",IF(IF(AR147*1000000+SUM(T147,AL147)*10000+SUM(N147,AF147)*100+SUM(H147,Z147)+0.006&gt;AU147*1000000+SUM(W147,AO147)*10000+SUM(Q147,AI147)*100+SUM(K147,AC147)+0.003,1,0)+IF(AS147*1000000+SUM(U147,AM147)*10000+SUM(O147,AG147)*100+SUM(I147,AA147)+0.005&gt;AU147*1000000+SUM(W147,AO147)*10000+SUM(Q147,AI147)*100+SUM(K147,AC147)+0.003,1,0)+IF(AT147*1000000+SUM(V147,AN147)*10000+SUM(P147,AH147)*100+SUM(J147,AB147)+0.004&gt;AU147*1000000+SUM(W147,AO147)*10000+SUM(Q147,AI147)*100+SUM(K147,AC147)+0.003,1,0)+IF(AV147*1000000+SUM(X147,AP147)*10000+SUM(R147,AJ147)*100+SUM(L147,AD147)+0.002&gt;AU147*1000000+SUM(W147,AO147)*10000+SUM(Q147,AI147)*100+SUM(K147,AC147)+0.003,1,0)+IF(AW147*1000000+SUM(Y147,AQ147)*10000+SUM(S147,AK147)*100+SUM(M147,AE147)+0.001&gt;AU147*1000000+SUM(W147,AO147)*10000+SUM(Q147,AI147)*100+SUM(K147,AC147)+0.003,1,0)=0,"S",IF(IF(AR147*1000000+SUM(T147,AL147)*10000+SUM(N147,AF147)*100+SUM(H147,Z147)+0.006&gt;AV147*1000000+SUM(X147,AP147)*10000+SUM(R147,AJ147)*100+SUM(L147,AD147)+0.002,1,0)+IF(AS147*1000000+SUM(U147,AM147)*10000+SUM(O147,AG147)*100+SUM(I147,AA147)+0.005&gt;AV147*1000000+SUM(X147,AP147)*10000+SUM(R147,AJ147)*100+SUM(L147,AD147)+0.002,1,0)+IF(AT147*1000000+SUM(V147,AN147)*10000+SUM(P147,AH147)*100+SUM(J147,AB147)+0.004&gt;AV147*1000000+SUM(X147,AP147)*10000+SUM(R147,AJ147)*100+SUM(L147,AD147)+0.002,1,0)+IF(AU147*1000000+SUM(W147,AO147)*10000+SUM(Q147,AI147)*100+SUM(K147,AC147)+0.003&gt;AV147*1000000+SUM(X147,AP147)*10000+SUM(R147,AJ147)*100+SUM(L147,AD147)+0.002,1,0)+IF(AW147*1000000+SUM(Y147,AQ147)*10000+SUM(S147,AK147)*100+SUM(M147,AE147)+0.001&gt;AV147*1000000+SUM(X147,AP147)*10000+SUM(R147,AJ147)*100+SUM(L147,AD147)+0.002,1,0)=0,"E",IF(IF(AR147*1000000+SUM(T147,AL147)*10000+SUM(N147,AF147)*100+SUM(H147,Z147)+0.006&gt;AW147*1000000+SUM(Y147,AQ147)*10000+SUM(S147,AK147)*100+SUM(M147,AE147)+0.001,1,0)+IF(AS147*1000000+SUM(U147,AM147)*10000+SUM(O147,AG147)*100+SUM(I147,AA147)+0.005&gt;AW147*1000000+SUM(Y147,AQ147)*10000+SUM(S147,AK147)*100+SUM(M147,AE147)+0.001,1,0)+IF(AT147*1000000+SUM(V147,AN147)*10000+SUM(P147,AH147)*100+SUM(J147,AB147)+0.004&gt;AW147*1000000+SUM(Y147,AQ147)*10000+SUM(S147,AK147)*100+SUM(M147,AE147)+0.001,1,0)+IF(AU147*1000000+SUM(W147,AO147)*10000+SUM(Q147,AI147)*100+SUM(K147,AC147)+0.003&gt;AW147*1000000+SUM(Y147,AQ147)*10000+SUM(S147,AK147)*100+SUM(M147,AE147)+0.001,1,0)+IF(AV147*1000000+SUM(X147,AP147)*10000+SUM(R147,AJ147)*100+SUM(L147,AD147)+0.002&gt;AW147*1000000+SUM(Y147,AQ147)*10000+SUM(S147,AK147)*100+SUM(M147,AE147)+0.001,1,0)=0,"C",""))))))&amp;IF(IF(AS147*1000000+SUM(U147,AM147)*10000+SUM(O147,AG147)*100+SUM(I147,AA147)+0.005&gt;AR147*1000000+SUM(T147,AL147)*10000+SUM(N147,AF147)*100+SUM(H147,Z147)+0.006,1,0)+IF(AT147*1000000+SUM(V147,AN147)*10000+SUM(P147,AH147)*100+SUM(J147,AB147)+0.004&gt;AR147*1000000+SUM(T147,AL147)*10000+SUM(N147,AF147)*100+SUM(H147,Z147)+0.006,1,0)+IF(AU147*1000000+SUM(W147,AO147)*10000+SUM(Q147,AI147)*100+SUM(K147,AC147)+0.003&gt;AR147*1000000+SUM(T147,AL147)*10000+SUM(N147,AF147)*100+SUM(H147,Z147)+0.006,1,0)+IF(AV147*1000000+SUM(X147,AP147)*10000+SUM(R147,AJ147)*100+SUM(L147,AD147)+0.002&gt;AR147*1000000+SUM(T147,AL147)*10000+SUM(N147,AF147)*100+SUM(H147,Z147)+0.006,1,0)+IF(AW147*1000000+SUM(Y147,AQ147)*10000+SUM(S147,AK147)*100+SUM(M147,AE147)+0.001&gt;AR147*1000000+SUM(T147,AL147)*10000+SUM(N147,AF147)*100+SUM(H147,Z147)+0.006,1,0)=1,"R",IF(IF(AR147*1000000+SUM(T147,AL147)*10000+SUM(N147,AF147)*100+SUM(H147,Z147)+0.006&gt;AS147*1000000+SUM(U147,AM147)*10000+SUM(O147,AG147)*100+SUM(I147,AA147)+0.005,1,0)+IF(AT147*1000000+SUM(V147,AN147)*10000+SUM(P147,AH147)*100+SUM(J147,AB147)+0.004&gt;AS147*1000000+SUM(U147,AM147)*10000+SUM(O147,AG147)*100+SUM(I147,AA147)+0.005,1,0)+IF(AU147*1000000+SUM(W147,AO147)*10000+SUM(Q147,AI147)*100+SUM(K147,AC147)+0.003&gt;AS147*1000000+SUM(U147,AM147)*10000+SUM(O147,AG147)*100+SUM(I147,AA147)+0.005,1,0)+IF(AV147*1000000+SUM(X147,AP147)*10000+SUM(R147,AJ147)*100+SUM(L147,AD147)+0.002&gt;AS147*1000000+SUM(U147,AM147)*10000+SUM(O147,AG147)*100+SUM(I147,AA147)+0.005,1,0)+IF(AW147*1000000+SUM(Y147,AQ147)*10000+SUM(S147,AK147)*100+SUM(M147,AE147)+0.001&gt;AS147*1000000+SUM(U147,AM147)*10000+SUM(O147,AG147)*100+SUM(I147,AA147)+0.005,1,0)=1,"I",IF(IF(AR147*1000000+SUM(T147,AL147)*10000+SUM(N147,AF147)*100+SUM(H147,Z147)+0.006&gt;AT147*1000000+SUM(V147,AN147)*10000+SUM(P147,AH147)*100+SUM(J147,AB147)+0.004,1,0)+IF(AS147*1000000+SUM(U147,AM147)*10000+SUM(O147,AG147)*100+SUM(I147,AA147)+0.005&gt;AT147*1000000+SUM(V147,AN147)*10000+SUM(P147,AH147)*100+SUM(J147,AB147)+0.004,1,0)+IF(AU147*1000000+SUM(W147,AO147)*10000+SUM(Q147,AI147)*100+SUM(K147,AC147)+0.003&gt;AT147*1000000+SUM(V147,AN147)*10000+SUM(P147,AH147)*100+SUM(J147,AB147)+0.004,1,0)+IF(AV147*1000000+SUM(X147,AP147)*10000+SUM(R147,AJ147)*100+SUM(L147,AD147)+0.002&gt;AT147*1000000+SUM(V147,AN147)*10000+SUM(P147,AH147)*100+SUM(J147,AB147)+0.004,1,0)+IF(AW147*1000000+SUM(Y147,AQ147)*10000+SUM(S147,AK147)*100+SUM(M147,AE147)+0.001&gt;AT147*1000000+SUM(V147,AN147)*10000+SUM(P147,AH147)*100+SUM(J147,AB147)+0.004,1,0)=1,"A",IF(IF(AR147*1000000+SUM(T147,AL147)*10000+SUM(N147,AF147)*100+SUM(H147,Z147)+0.006&gt;AU147*1000000+SUM(W147,AO147)*10000+SUM(Q147,AI147)*100+SUM(K147,AC147)+0.003,1,0)+IF(AS147*1000000+SUM(U147,AM147)*10000+SUM(O147,AG147)*100+SUM(I147,AA147)+0.005&gt;AU147*1000000+SUM(W147,AO147)*10000+SUM(Q147,AI147)*100+SUM(K147,AC147)+0.003,1,0)+IF(AT147*1000000+SUM(V147,AN147)*10000+SUM(P147,AH147)*100+SUM(J147,AB147)+0.004&gt;AU147*1000000+SUM(W147,AO147)*10000+SUM(Q147,AI147)*100+SUM(K147,AC147)+0.003,1,0)+IF(AV147*1000000+SUM(X147,AP147)*10000+SUM(R147,AJ147)*100+SUM(L147,AD147)+0.002&gt;AU147*1000000+SUM(W147,AO147)*10000+SUM(Q147,AI147)*100+SUM(K147,AC147)+0.003,1,0)+IF(AW147*1000000+SUM(Y147,AQ147)*10000+SUM(S147,AK147)*100+SUM(M147,AE147)+0.001&gt;AU147*1000000+SUM(W147,AO147)*10000+SUM(Q147,AI147)*100+SUM(K147,AC147)+0.003,1,0)=1,"S",IF(IF(AR147*1000000+SUM(T147,AL147)*10000+SUM(N147,AF147)*100+SUM(H147,Z147)+0.006&gt;AV147*1000000+SUM(X147,AP147)*10000+SUM(R147,AJ147)*100+SUM(L147,AD147)+0.002,1,0)+IF(AS147*1000000+SUM(U147,AM147)*10000+SUM(O147,AG147)*100+SUM(I147,AA147)+0.005&gt;AV147*1000000+SUM(X147,AP147)*10000+SUM(R147,AJ147)*100+SUM(L147,AD147)+0.002,1,0)+IF(AT147*1000000+SUM(V147,AN147)*10000+SUM(P147,AH147)*100+SUM(J147,AB147)+0.004&gt;AV147*1000000+SUM(X147,AP147)*10000+SUM(R147,AJ147)*100+SUM(L147,AD147)+0.002,1,0)+IF(AU147*1000000+SUM(W147,AO147)*10000+SUM(Q147,AI147)*100+SUM(K147,AC147)+0.003&gt;AV147*1000000+SUM(X147,AP147)*10000+SUM(R147,AJ147)*100+SUM(L147,AD147)+0.002,1,0)+IF(AW147*1000000+SUM(Y147,AQ147)*10000+SUM(S147,AK147)*100+SUM(M147,AE147)+0.001&gt;AV147*1000000+SUM(X147,AP147)*10000+SUM(R147,AJ147)*100+SUM(L147,AD147)+0.002,1,0)=1,"E",IF(IF(AR147*1000000+SUM(T147,AL147)*10000+SUM(N147,AF147)*100+SUM(H147,Z147)+0.006&gt;AW147*1000000+SUM(Y147,AQ147)*10000+SUM(S147,AK147)*100+SUM(M147,AE147)+0.001,1,0)+IF(AS147*1000000+SUM(U147,AM147)*10000+SUM(O147,AG147)*100+SUM(I147,AA147)+0.005&gt;AW147*1000000+SUM(Y147,AQ147)*10000+SUM(S147,AK147)*100+SUM(M147,AE147)+0.001,1,0)+IF(AT147*1000000+SUM(V147,AN147)*10000+SUM(P147,AH147)*100+SUM(J147,AB147)+0.004&gt;AW147*1000000+SUM(Y147,AQ147)*10000+SUM(S147,AK147)*100+SUM(M147,AE147)+0.001,1,0)+IF(AU147*1000000+SUM(W147,AO147)*10000+SUM(Q147,AI147)*100+SUM(K147,AC147)+0.003&gt;AW147*1000000+SUM(Y147,AQ147)*10000+SUM(S147,AK147)*100+SUM(M147,AE147)+0.001,1,0)+IF(AV147*1000000+SUM(X147,AP147)*10000+SUM(R147,AJ147)*100+SUM(L147,AD147)+0.002&gt;AW147*1000000+SUM(Y147,AQ147)*10000+SUM(S147,AK147)*100+SUM(M147,AE147)+0.001,1,0)=1,"C",""))))))&amp;IF(IF(AS147*1000000+SUM(U147,AM147)*10000+SUM(O147,AG147)*100+SUM(I147,AA147)+0.005&gt;AR147*1000000+SUM(T147,AL147)*10000+SUM(N147,AF147)*100+SUM(H147,Z147)+0.006,1,0)+IF(AT147*1000000+SUM(V147,AN147)*10000+SUM(P147,AH147)*100+SUM(J147,AB147)+0.004&gt;AR147*1000000+SUM(T147,AL147)*10000+SUM(N147,AF147)*100+SUM(H147,Z147)+0.006,1,0)+IF(AU147*1000000+SUM(W147,AO147)*10000+SUM(Q147,AI147)*100+SUM(K147,AC147)+0.003&gt;AR147*1000000+SUM(T147,AL147)*10000+SUM(N147,AF147)*100+SUM(H147,Z147)+0.006,1,0)+IF(AV147*1000000+SUM(X147,AP147)*10000+SUM(R147,AJ147)*100+SUM(L147,AD147)+0.002&gt;AR147*1000000+SUM(T147,AL147)*10000+SUM(N147,AF147)*100+SUM(H147,Z147)+0.006,1,0)+IF(AW147*1000000+SUM(Y147,AQ147)*10000+SUM(S147,AK147)*100+SUM(M147,AE147)+0.001&gt;AR147*1000000+SUM(T147,AL147)*10000+SUM(N147,AF147)*100+SUM(H147,Z147)+0.006,1,0)=2,"R",IF(IF(AR147*1000000+SUM(T147,AL147)*10000+SUM(N147,AF147)*100+SUM(H147,Z147)+0.006&gt;AS147*1000000+SUM(U147,AM147)*10000+SUM(O147,AG147)*100+SUM(I147,AA147)+0.005,1,0)+IF(AT147*1000000+SUM(V147,AN147)*10000+SUM(P147,AH147)*100+SUM(J147,AB147)+0.004&gt;AS147*1000000+SUM(U147,AM147)*10000+SUM(O147,AG147)*100+SUM(I147,AA147)+0.005,1,0)+IF(AU147*1000000+SUM(W147,AO147)*10000+SUM(Q147,AI147)*100+SUM(K147,AC147)+0.003&gt;AS147*1000000+SUM(U147,AM147)*10000+SUM(O147,AG147)*100+SUM(I147,AA147)+0.005,1,0)+IF(AV147*1000000+SUM(X147,AP147)*10000+SUM(R147,AJ147)*100+SUM(L147,AD147)+0.002&gt;AS147*1000000+SUM(U147,AM147)*10000+SUM(O147,AG147)*100+SUM(I147,AA147)+0.005,1,0)+IF(AW147*1000000+SUM(Y147,AQ147)*10000+SUM(S147,AK147)*100+SUM(M147,AE147)+0.001&gt;AS147*1000000+SUM(U147,AM147)*10000+SUM(O147,AG147)*100+SUM(I147,AA147)+0.005,1,0)=2,"I",IF(IF(AR147*1000000+SUM(T147,AL147)*10000+SUM(N147,AF147)*100+SUM(H147,Z147)+0.006&gt;AT147*1000000+SUM(V147,AN147)*10000+SUM(P147,AH147)*100+SUM(J147,AB147)+0.004,1,0)+IF(AS147*1000000+SUM(U147,AM147)*10000+SUM(O147,AG147)*100+SUM(I147,AA147)+0.005&gt;AT147*1000000+SUM(V147,AN147)*10000+SUM(P147,AH147)*100+SUM(J147,AB147)+0.004,1,0)+IF(AU147*1000000+SUM(W147,AO147)*10000+SUM(Q147,AI147)*100+SUM(K147,AC147)+0.003&gt;AT147*1000000+SUM(V147,AN147)*10000+SUM(P147,AH147)*100+SUM(J147,AB147)+0.004,1,0)+IF(AV147*1000000+SUM(X147,AP147)*10000+SUM(R147,AJ147)*100+SUM(L147,AD147)+0.002&gt;AT147*1000000+SUM(V147,AN147)*10000+SUM(P147,AH147)*100+SUM(J147,AB147)+0.004,1,0)+IF(AW147*1000000+SUM(Y147,AQ147)*10000+SUM(S147,AK147)*100+SUM(M147,AE147)+0.001&gt;AT147*1000000+SUM(V147,AN147)*10000+SUM(P147,AH147)*100+SUM(J147,AB147)+0.004,1,0)=2,"A",IF(IF(AR147*1000000+SUM(T147,AL147)*10000+SUM(N147,AF147)*100+SUM(H147,Z147)+0.006&gt;AU147*1000000+SUM(W147,AO147)*10000+SUM(Q147,AI147)*100+SUM(K147,AC147)+0.003,1,0)+IF(AS147*1000000+SUM(U147,AM147)*10000+SUM(O147,AG147)*100+SUM(I147,AA147)+0.005&gt;AU147*1000000+SUM(W147,AO147)*10000+SUM(Q147,AI147)*100+SUM(K147,AC147)+0.003,1,0)+IF(AT147*1000000+SUM(V147,AN147)*10000+SUM(P147,AH147)*100+SUM(J147,AB147)+0.004&gt;AU147*1000000+SUM(W147,AO147)*10000+SUM(Q147,AI147)*100+SUM(K147,AC147)+0.003,1,0)+IF(AV147*1000000+SUM(X147,AP147)*10000+SUM(R147,AJ147)*100+SUM(L147,AD147)+0.002&gt;AU147*1000000+SUM(W147,AO147)*10000+SUM(Q147,AI147)*100+SUM(K147,AC147)+0.003,1,0)+IF(AW147*1000000+SUM(Y147,AQ147)*10000+SUM(S147,AK147)*100+SUM(M147,AE147)+0.001&gt;AU147*1000000+SUM(W147,AO147)*10000+SUM(Q147,AI147)*100+SUM(K147,AC147)+0.003,1,0)=2,"S",IF(IF(AR147*1000000+SUM(T147,AL147)*10000+SUM(N147,AF147)*100+SUM(H147,Z147)+0.006&gt;AV147*1000000+SUM(X147,AP147)*10000+SUM(R147,AJ147)*100+SUM(L147,AD147)+0.002,1,0)+IF(AS147*1000000+SUM(U147,AM147)*10000+SUM(O147,AG147)*100+SUM(I147,AA147)+0.005&gt;AV147*1000000+SUM(X147,AP147)*10000+SUM(R147,AJ147)*100+SUM(L147,AD147)+0.002,1,0)+IF(AT147*1000000+SUM(V147,AN147)*10000+SUM(P147,AH147)*100+SUM(J147,AB147)+0.004&gt;AV147*1000000+SUM(X147,AP147)*10000+SUM(R147,AJ147)*100+SUM(L147,AD147)+0.002,1,0)+IF(AU147*1000000+SUM(W147,AO147)*10000+SUM(Q147,AI147)*100+SUM(K147,AC147)+0.003&gt;AV147*1000000+SUM(X147,AP147)*10000+SUM(R147,AJ147)*100+SUM(L147,AD147)+0.002,1,0)+IF(AW147*1000000+SUM(Y147,AQ147)*10000+SUM(S147,AK147)*100+SUM(M147,AE147)+0.001&gt;AV147*1000000+SUM(X147,AP147)*10000+SUM(R147,AJ147)*100+SUM(L147,AD147)+0.002,1,0)=2,"E",IF(IF(AR147*1000000+SUM(T147,AL147)*10000+SUM(N147,AF147)*100+SUM(H147,Z147)+0.006&gt;AW147*1000000+SUM(Y147,AQ147)*10000+SUM(S147,AK147)*100+SUM(M147,AE147)+0.001,1,0)+IF(AS147*1000000+SUM(U147,AM147)*10000+SUM(O147,AG147)*100+SUM(I147,AA147)+0.005&gt;AW147*1000000+SUM(Y147,AQ147)*10000+SUM(S147,AK147)*100+SUM(M147,AE147)+0.001,1,0)+IF(AT147*1000000+SUM(V147,AN147)*10000+SUM(P147,AH147)*100+SUM(J147,AB147)+0.004&gt;AW147*1000000+SUM(Y147,AQ147)*10000+SUM(S147,AK147)*100+SUM(M147,AE147)+0.001,1,0)+IF(AU147*1000000+SUM(W147,AO147)*10000+SUM(Q147,AI147)*100+SUM(K147,AC147)+0.003&gt;AW147*1000000+SUM(Y147,AQ147)*10000+SUM(S147,AK147)*100+SUM(M147,AE147)+0.001,1,0)+IF(AV147*1000000+SUM(X147,AP147)*10000+SUM(R147,AJ147)*100+SUM(L147,AD147)+0.002&gt;AW147*1000000+SUM(Y147,AQ147)*10000+SUM(S147,AK147)*100+SUM(M147,AE147)+0.001,1,0)=2,"C","")))))))</x:f>
      </x:c>
      <x:c r="AY147" s="27" t="str">
        <x:f>IF(C147="","",IF(LEFT(AX147,1)="R","นักปฏิบัติ",IF(LEFT(AX147,1)="I","นักคิดวิเคราะห์",IF(LEFT(AX147,1)="A","นักสร้างสรรค์",IF(LEFT(AX147,1)="S","ผู้เข้าใจผู้คน",IF(LEFT(AX147,1)="E","ผู้นำการเปลี่ยนแปลง","ผู้จัดระบบ"))))))</x:f>
      </x:c>
    </x:row>
    <x:row r="148">
      <x:c r="A148" s="27"/>
      <x:c r="B148" s="28"/>
      <x:c r="C148" s="27"/>
      <x:c r="D148" s="27"/>
      <x:c r="E148" s="27"/>
      <x:c r="F148" s="27"/>
      <x:c r="G148" s="27"/>
      <x:c r="H148" s="27"/>
      <x:c r="I148" s="27"/>
      <x:c r="J148" s="27"/>
      <x:c r="K148" s="27"/>
      <x:c r="L148" s="27"/>
      <x:c r="M148" s="27"/>
      <x:c r="N148" s="27"/>
      <x:c r="O148" s="27"/>
      <x:c r="P148" s="27"/>
      <x:c r="Q148" s="27"/>
      <x:c r="R148" s="27"/>
      <x:c r="S148" s="27"/>
      <x:c r="T148" s="27"/>
      <x:c r="U148" s="27"/>
      <x:c r="V148" s="27"/>
      <x:c r="W148" s="27"/>
      <x:c r="X148" s="27"/>
      <x:c r="Y148" s="27"/>
      <x:c r="Z148" s="27"/>
      <x:c r="AA148" s="27"/>
      <x:c r="AB148" s="27"/>
      <x:c r="AC148" s="27"/>
      <x:c r="AD148" s="27"/>
      <x:c r="AE148" s="27"/>
      <x:c r="AF148" s="27"/>
      <x:c r="AG148" s="27"/>
      <x:c r="AH148" s="27"/>
      <x:c r="AI148" s="27"/>
      <x:c r="AJ148" s="27"/>
      <x:c r="AK148" s="27"/>
      <x:c r="AL148" s="27"/>
      <x:c r="AM148" s="27"/>
      <x:c r="AN148" s="27"/>
      <x:c r="AO148" s="27"/>
      <x:c r="AP148" s="27"/>
      <x:c r="AQ148" s="27"/>
      <x:c r="AR148" s="27" t="str">
        <x:f>IF(C148="","",SUM(H148,N148,T148,Z148,AF148,AL148))</x:f>
      </x:c>
      <x:c r="AS148" s="27" t="str">
        <x:f>IF(C148="","",SUM(I148,O148,U148,AA148,AG148,AM148))</x:f>
      </x:c>
      <x:c r="AT148" s="27" t="str">
        <x:f>IF(C148="","",SUM(J148,P148,V148,AB148,AH148,AN148))</x:f>
      </x:c>
      <x:c r="AU148" s="27" t="str">
        <x:f>IF(C148="","",SUM(K148,Q148,W148,AC148,AI148,AO148))</x:f>
      </x:c>
      <x:c r="AV148" s="27" t="str">
        <x:f>IF(C148="","",SUM(L148,R148,X148,AD148,AJ148,AP148))</x:f>
      </x:c>
      <x:c r="AW148" s="27" t="str">
        <x:f>IF(C148="","",SUM(M148,S148,Y148,AE148,AK148,AQ148))</x:f>
      </x:c>
      <x:c r="AX148" s="27" t="str">
        <x:f>IF(C148="","",IF(IF(AS148*1000000+SUM(U148,AM148)*10000+SUM(O148,AG148)*100+SUM(I148,AA148)+0.005&gt;AR148*1000000+SUM(T148,AL148)*10000+SUM(N148,AF148)*100+SUM(H148,Z148)+0.006,1,0)+IF(AT148*1000000+SUM(V148,AN148)*10000+SUM(P148,AH148)*100+SUM(J148,AB148)+0.004&gt;AR148*1000000+SUM(T148,AL148)*10000+SUM(N148,AF148)*100+SUM(H148,Z148)+0.006,1,0)+IF(AU148*1000000+SUM(W148,AO148)*10000+SUM(Q148,AI148)*100+SUM(K148,AC148)+0.003&gt;AR148*1000000+SUM(T148,AL148)*10000+SUM(N148,AF148)*100+SUM(H148,Z148)+0.006,1,0)+IF(AV148*1000000+SUM(X148,AP148)*10000+SUM(R148,AJ148)*100+SUM(L148,AD148)+0.002&gt;AR148*1000000+SUM(T148,AL148)*10000+SUM(N148,AF148)*100+SUM(H148,Z148)+0.006,1,0)+IF(AW148*1000000+SUM(Y148,AQ148)*10000+SUM(S148,AK148)*100+SUM(M148,AE148)+0.001&gt;AR148*1000000+SUM(T148,AL148)*10000+SUM(N148,AF148)*100+SUM(H148,Z148)+0.006,1,0)=0,"R",IF(IF(AR148*1000000+SUM(T148,AL148)*10000+SUM(N148,AF148)*100+SUM(H148,Z148)+0.006&gt;AS148*1000000+SUM(U148,AM148)*10000+SUM(O148,AG148)*100+SUM(I148,AA148)+0.005,1,0)+IF(AT148*1000000+SUM(V148,AN148)*10000+SUM(P148,AH148)*100+SUM(J148,AB148)+0.004&gt;AS148*1000000+SUM(U148,AM148)*10000+SUM(O148,AG148)*100+SUM(I148,AA148)+0.005,1,0)+IF(AU148*1000000+SUM(W148,AO148)*10000+SUM(Q148,AI148)*100+SUM(K148,AC148)+0.003&gt;AS148*1000000+SUM(U148,AM148)*10000+SUM(O148,AG148)*100+SUM(I148,AA148)+0.005,1,0)+IF(AV148*1000000+SUM(X148,AP148)*10000+SUM(R148,AJ148)*100+SUM(L148,AD148)+0.002&gt;AS148*1000000+SUM(U148,AM148)*10000+SUM(O148,AG148)*100+SUM(I148,AA148)+0.005,1,0)+IF(AW148*1000000+SUM(Y148,AQ148)*10000+SUM(S148,AK148)*100+SUM(M148,AE148)+0.001&gt;AS148*1000000+SUM(U148,AM148)*10000+SUM(O148,AG148)*100+SUM(I148,AA148)+0.005,1,0)=0,"I",IF(IF(AR148*1000000+SUM(T148,AL148)*10000+SUM(N148,AF148)*100+SUM(H148,Z148)+0.006&gt;AT148*1000000+SUM(V148,AN148)*10000+SUM(P148,AH148)*100+SUM(J148,AB148)+0.004,1,0)+IF(AS148*1000000+SUM(U148,AM148)*10000+SUM(O148,AG148)*100+SUM(I148,AA148)+0.005&gt;AT148*1000000+SUM(V148,AN148)*10000+SUM(P148,AH148)*100+SUM(J148,AB148)+0.004,1,0)+IF(AU148*1000000+SUM(W148,AO148)*10000+SUM(Q148,AI148)*100+SUM(K148,AC148)+0.003&gt;AT148*1000000+SUM(V148,AN148)*10000+SUM(P148,AH148)*100+SUM(J148,AB148)+0.004,1,0)+IF(AV148*1000000+SUM(X148,AP148)*10000+SUM(R148,AJ148)*100+SUM(L148,AD148)+0.002&gt;AT148*1000000+SUM(V148,AN148)*10000+SUM(P148,AH148)*100+SUM(J148,AB148)+0.004,1,0)+IF(AW148*1000000+SUM(Y148,AQ148)*10000+SUM(S148,AK148)*100+SUM(M148,AE148)+0.001&gt;AT148*1000000+SUM(V148,AN148)*10000+SUM(P148,AH148)*100+SUM(J148,AB148)+0.004,1,0)=0,"A",IF(IF(AR148*1000000+SUM(T148,AL148)*10000+SUM(N148,AF148)*100+SUM(H148,Z148)+0.006&gt;AU148*1000000+SUM(W148,AO148)*10000+SUM(Q148,AI148)*100+SUM(K148,AC148)+0.003,1,0)+IF(AS148*1000000+SUM(U148,AM148)*10000+SUM(O148,AG148)*100+SUM(I148,AA148)+0.005&gt;AU148*1000000+SUM(W148,AO148)*10000+SUM(Q148,AI148)*100+SUM(K148,AC148)+0.003,1,0)+IF(AT148*1000000+SUM(V148,AN148)*10000+SUM(P148,AH148)*100+SUM(J148,AB148)+0.004&gt;AU148*1000000+SUM(W148,AO148)*10000+SUM(Q148,AI148)*100+SUM(K148,AC148)+0.003,1,0)+IF(AV148*1000000+SUM(X148,AP148)*10000+SUM(R148,AJ148)*100+SUM(L148,AD148)+0.002&gt;AU148*1000000+SUM(W148,AO148)*10000+SUM(Q148,AI148)*100+SUM(K148,AC148)+0.003,1,0)+IF(AW148*1000000+SUM(Y148,AQ148)*10000+SUM(S148,AK148)*100+SUM(M148,AE148)+0.001&gt;AU148*1000000+SUM(W148,AO148)*10000+SUM(Q148,AI148)*100+SUM(K148,AC148)+0.003,1,0)=0,"S",IF(IF(AR148*1000000+SUM(T148,AL148)*10000+SUM(N148,AF148)*100+SUM(H148,Z148)+0.006&gt;AV148*1000000+SUM(X148,AP148)*10000+SUM(R148,AJ148)*100+SUM(L148,AD148)+0.002,1,0)+IF(AS148*1000000+SUM(U148,AM148)*10000+SUM(O148,AG148)*100+SUM(I148,AA148)+0.005&gt;AV148*1000000+SUM(X148,AP148)*10000+SUM(R148,AJ148)*100+SUM(L148,AD148)+0.002,1,0)+IF(AT148*1000000+SUM(V148,AN148)*10000+SUM(P148,AH148)*100+SUM(J148,AB148)+0.004&gt;AV148*1000000+SUM(X148,AP148)*10000+SUM(R148,AJ148)*100+SUM(L148,AD148)+0.002,1,0)+IF(AU148*1000000+SUM(W148,AO148)*10000+SUM(Q148,AI148)*100+SUM(K148,AC148)+0.003&gt;AV148*1000000+SUM(X148,AP148)*10000+SUM(R148,AJ148)*100+SUM(L148,AD148)+0.002,1,0)+IF(AW148*1000000+SUM(Y148,AQ148)*10000+SUM(S148,AK148)*100+SUM(M148,AE148)+0.001&gt;AV148*1000000+SUM(X148,AP148)*10000+SUM(R148,AJ148)*100+SUM(L148,AD148)+0.002,1,0)=0,"E",IF(IF(AR148*1000000+SUM(T148,AL148)*10000+SUM(N148,AF148)*100+SUM(H148,Z148)+0.006&gt;AW148*1000000+SUM(Y148,AQ148)*10000+SUM(S148,AK148)*100+SUM(M148,AE148)+0.001,1,0)+IF(AS148*1000000+SUM(U148,AM148)*10000+SUM(O148,AG148)*100+SUM(I148,AA148)+0.005&gt;AW148*1000000+SUM(Y148,AQ148)*10000+SUM(S148,AK148)*100+SUM(M148,AE148)+0.001,1,0)+IF(AT148*1000000+SUM(V148,AN148)*10000+SUM(P148,AH148)*100+SUM(J148,AB148)+0.004&gt;AW148*1000000+SUM(Y148,AQ148)*10000+SUM(S148,AK148)*100+SUM(M148,AE148)+0.001,1,0)+IF(AU148*1000000+SUM(W148,AO148)*10000+SUM(Q148,AI148)*100+SUM(K148,AC148)+0.003&gt;AW148*1000000+SUM(Y148,AQ148)*10000+SUM(S148,AK148)*100+SUM(M148,AE148)+0.001,1,0)+IF(AV148*1000000+SUM(X148,AP148)*10000+SUM(R148,AJ148)*100+SUM(L148,AD148)+0.002&gt;AW148*1000000+SUM(Y148,AQ148)*10000+SUM(S148,AK148)*100+SUM(M148,AE148)+0.001,1,0)=0,"C",""))))))&amp;IF(IF(AS148*1000000+SUM(U148,AM148)*10000+SUM(O148,AG148)*100+SUM(I148,AA148)+0.005&gt;AR148*1000000+SUM(T148,AL148)*10000+SUM(N148,AF148)*100+SUM(H148,Z148)+0.006,1,0)+IF(AT148*1000000+SUM(V148,AN148)*10000+SUM(P148,AH148)*100+SUM(J148,AB148)+0.004&gt;AR148*1000000+SUM(T148,AL148)*10000+SUM(N148,AF148)*100+SUM(H148,Z148)+0.006,1,0)+IF(AU148*1000000+SUM(W148,AO148)*10000+SUM(Q148,AI148)*100+SUM(K148,AC148)+0.003&gt;AR148*1000000+SUM(T148,AL148)*10000+SUM(N148,AF148)*100+SUM(H148,Z148)+0.006,1,0)+IF(AV148*1000000+SUM(X148,AP148)*10000+SUM(R148,AJ148)*100+SUM(L148,AD148)+0.002&gt;AR148*1000000+SUM(T148,AL148)*10000+SUM(N148,AF148)*100+SUM(H148,Z148)+0.006,1,0)+IF(AW148*1000000+SUM(Y148,AQ148)*10000+SUM(S148,AK148)*100+SUM(M148,AE148)+0.001&gt;AR148*1000000+SUM(T148,AL148)*10000+SUM(N148,AF148)*100+SUM(H148,Z148)+0.006,1,0)=1,"R",IF(IF(AR148*1000000+SUM(T148,AL148)*10000+SUM(N148,AF148)*100+SUM(H148,Z148)+0.006&gt;AS148*1000000+SUM(U148,AM148)*10000+SUM(O148,AG148)*100+SUM(I148,AA148)+0.005,1,0)+IF(AT148*1000000+SUM(V148,AN148)*10000+SUM(P148,AH148)*100+SUM(J148,AB148)+0.004&gt;AS148*1000000+SUM(U148,AM148)*10000+SUM(O148,AG148)*100+SUM(I148,AA148)+0.005,1,0)+IF(AU148*1000000+SUM(W148,AO148)*10000+SUM(Q148,AI148)*100+SUM(K148,AC148)+0.003&gt;AS148*1000000+SUM(U148,AM148)*10000+SUM(O148,AG148)*100+SUM(I148,AA148)+0.005,1,0)+IF(AV148*1000000+SUM(X148,AP148)*10000+SUM(R148,AJ148)*100+SUM(L148,AD148)+0.002&gt;AS148*1000000+SUM(U148,AM148)*10000+SUM(O148,AG148)*100+SUM(I148,AA148)+0.005,1,0)+IF(AW148*1000000+SUM(Y148,AQ148)*10000+SUM(S148,AK148)*100+SUM(M148,AE148)+0.001&gt;AS148*1000000+SUM(U148,AM148)*10000+SUM(O148,AG148)*100+SUM(I148,AA148)+0.005,1,0)=1,"I",IF(IF(AR148*1000000+SUM(T148,AL148)*10000+SUM(N148,AF148)*100+SUM(H148,Z148)+0.006&gt;AT148*1000000+SUM(V148,AN148)*10000+SUM(P148,AH148)*100+SUM(J148,AB148)+0.004,1,0)+IF(AS148*1000000+SUM(U148,AM148)*10000+SUM(O148,AG148)*100+SUM(I148,AA148)+0.005&gt;AT148*1000000+SUM(V148,AN148)*10000+SUM(P148,AH148)*100+SUM(J148,AB148)+0.004,1,0)+IF(AU148*1000000+SUM(W148,AO148)*10000+SUM(Q148,AI148)*100+SUM(K148,AC148)+0.003&gt;AT148*1000000+SUM(V148,AN148)*10000+SUM(P148,AH148)*100+SUM(J148,AB148)+0.004,1,0)+IF(AV148*1000000+SUM(X148,AP148)*10000+SUM(R148,AJ148)*100+SUM(L148,AD148)+0.002&gt;AT148*1000000+SUM(V148,AN148)*10000+SUM(P148,AH148)*100+SUM(J148,AB148)+0.004,1,0)+IF(AW148*1000000+SUM(Y148,AQ148)*10000+SUM(S148,AK148)*100+SUM(M148,AE148)+0.001&gt;AT148*1000000+SUM(V148,AN148)*10000+SUM(P148,AH148)*100+SUM(J148,AB148)+0.004,1,0)=1,"A",IF(IF(AR148*1000000+SUM(T148,AL148)*10000+SUM(N148,AF148)*100+SUM(H148,Z148)+0.006&gt;AU148*1000000+SUM(W148,AO148)*10000+SUM(Q148,AI148)*100+SUM(K148,AC148)+0.003,1,0)+IF(AS148*1000000+SUM(U148,AM148)*10000+SUM(O148,AG148)*100+SUM(I148,AA148)+0.005&gt;AU148*1000000+SUM(W148,AO148)*10000+SUM(Q148,AI148)*100+SUM(K148,AC148)+0.003,1,0)+IF(AT148*1000000+SUM(V148,AN148)*10000+SUM(P148,AH148)*100+SUM(J148,AB148)+0.004&gt;AU148*1000000+SUM(W148,AO148)*10000+SUM(Q148,AI148)*100+SUM(K148,AC148)+0.003,1,0)+IF(AV148*1000000+SUM(X148,AP148)*10000+SUM(R148,AJ148)*100+SUM(L148,AD148)+0.002&gt;AU148*1000000+SUM(W148,AO148)*10000+SUM(Q148,AI148)*100+SUM(K148,AC148)+0.003,1,0)+IF(AW148*1000000+SUM(Y148,AQ148)*10000+SUM(S148,AK148)*100+SUM(M148,AE148)+0.001&gt;AU148*1000000+SUM(W148,AO148)*10000+SUM(Q148,AI148)*100+SUM(K148,AC148)+0.003,1,0)=1,"S",IF(IF(AR148*1000000+SUM(T148,AL148)*10000+SUM(N148,AF148)*100+SUM(H148,Z148)+0.006&gt;AV148*1000000+SUM(X148,AP148)*10000+SUM(R148,AJ148)*100+SUM(L148,AD148)+0.002,1,0)+IF(AS148*1000000+SUM(U148,AM148)*10000+SUM(O148,AG148)*100+SUM(I148,AA148)+0.005&gt;AV148*1000000+SUM(X148,AP148)*10000+SUM(R148,AJ148)*100+SUM(L148,AD148)+0.002,1,0)+IF(AT148*1000000+SUM(V148,AN148)*10000+SUM(P148,AH148)*100+SUM(J148,AB148)+0.004&gt;AV148*1000000+SUM(X148,AP148)*10000+SUM(R148,AJ148)*100+SUM(L148,AD148)+0.002,1,0)+IF(AU148*1000000+SUM(W148,AO148)*10000+SUM(Q148,AI148)*100+SUM(K148,AC148)+0.003&gt;AV148*1000000+SUM(X148,AP148)*10000+SUM(R148,AJ148)*100+SUM(L148,AD148)+0.002,1,0)+IF(AW148*1000000+SUM(Y148,AQ148)*10000+SUM(S148,AK148)*100+SUM(M148,AE148)+0.001&gt;AV148*1000000+SUM(X148,AP148)*10000+SUM(R148,AJ148)*100+SUM(L148,AD148)+0.002,1,0)=1,"E",IF(IF(AR148*1000000+SUM(T148,AL148)*10000+SUM(N148,AF148)*100+SUM(H148,Z148)+0.006&gt;AW148*1000000+SUM(Y148,AQ148)*10000+SUM(S148,AK148)*100+SUM(M148,AE148)+0.001,1,0)+IF(AS148*1000000+SUM(U148,AM148)*10000+SUM(O148,AG148)*100+SUM(I148,AA148)+0.005&gt;AW148*1000000+SUM(Y148,AQ148)*10000+SUM(S148,AK148)*100+SUM(M148,AE148)+0.001,1,0)+IF(AT148*1000000+SUM(V148,AN148)*10000+SUM(P148,AH148)*100+SUM(J148,AB148)+0.004&gt;AW148*1000000+SUM(Y148,AQ148)*10000+SUM(S148,AK148)*100+SUM(M148,AE148)+0.001,1,0)+IF(AU148*1000000+SUM(W148,AO148)*10000+SUM(Q148,AI148)*100+SUM(K148,AC148)+0.003&gt;AW148*1000000+SUM(Y148,AQ148)*10000+SUM(S148,AK148)*100+SUM(M148,AE148)+0.001,1,0)+IF(AV148*1000000+SUM(X148,AP148)*10000+SUM(R148,AJ148)*100+SUM(L148,AD148)+0.002&gt;AW148*1000000+SUM(Y148,AQ148)*10000+SUM(S148,AK148)*100+SUM(M148,AE148)+0.001,1,0)=1,"C",""))))))&amp;IF(IF(AS148*1000000+SUM(U148,AM148)*10000+SUM(O148,AG148)*100+SUM(I148,AA148)+0.005&gt;AR148*1000000+SUM(T148,AL148)*10000+SUM(N148,AF148)*100+SUM(H148,Z148)+0.006,1,0)+IF(AT148*1000000+SUM(V148,AN148)*10000+SUM(P148,AH148)*100+SUM(J148,AB148)+0.004&gt;AR148*1000000+SUM(T148,AL148)*10000+SUM(N148,AF148)*100+SUM(H148,Z148)+0.006,1,0)+IF(AU148*1000000+SUM(W148,AO148)*10000+SUM(Q148,AI148)*100+SUM(K148,AC148)+0.003&gt;AR148*1000000+SUM(T148,AL148)*10000+SUM(N148,AF148)*100+SUM(H148,Z148)+0.006,1,0)+IF(AV148*1000000+SUM(X148,AP148)*10000+SUM(R148,AJ148)*100+SUM(L148,AD148)+0.002&gt;AR148*1000000+SUM(T148,AL148)*10000+SUM(N148,AF148)*100+SUM(H148,Z148)+0.006,1,0)+IF(AW148*1000000+SUM(Y148,AQ148)*10000+SUM(S148,AK148)*100+SUM(M148,AE148)+0.001&gt;AR148*1000000+SUM(T148,AL148)*10000+SUM(N148,AF148)*100+SUM(H148,Z148)+0.006,1,0)=2,"R",IF(IF(AR148*1000000+SUM(T148,AL148)*10000+SUM(N148,AF148)*100+SUM(H148,Z148)+0.006&gt;AS148*1000000+SUM(U148,AM148)*10000+SUM(O148,AG148)*100+SUM(I148,AA148)+0.005,1,0)+IF(AT148*1000000+SUM(V148,AN148)*10000+SUM(P148,AH148)*100+SUM(J148,AB148)+0.004&gt;AS148*1000000+SUM(U148,AM148)*10000+SUM(O148,AG148)*100+SUM(I148,AA148)+0.005,1,0)+IF(AU148*1000000+SUM(W148,AO148)*10000+SUM(Q148,AI148)*100+SUM(K148,AC148)+0.003&gt;AS148*1000000+SUM(U148,AM148)*10000+SUM(O148,AG148)*100+SUM(I148,AA148)+0.005,1,0)+IF(AV148*1000000+SUM(X148,AP148)*10000+SUM(R148,AJ148)*100+SUM(L148,AD148)+0.002&gt;AS148*1000000+SUM(U148,AM148)*10000+SUM(O148,AG148)*100+SUM(I148,AA148)+0.005,1,0)+IF(AW148*1000000+SUM(Y148,AQ148)*10000+SUM(S148,AK148)*100+SUM(M148,AE148)+0.001&gt;AS148*1000000+SUM(U148,AM148)*10000+SUM(O148,AG148)*100+SUM(I148,AA148)+0.005,1,0)=2,"I",IF(IF(AR148*1000000+SUM(T148,AL148)*10000+SUM(N148,AF148)*100+SUM(H148,Z148)+0.006&gt;AT148*1000000+SUM(V148,AN148)*10000+SUM(P148,AH148)*100+SUM(J148,AB148)+0.004,1,0)+IF(AS148*1000000+SUM(U148,AM148)*10000+SUM(O148,AG148)*100+SUM(I148,AA148)+0.005&gt;AT148*1000000+SUM(V148,AN148)*10000+SUM(P148,AH148)*100+SUM(J148,AB148)+0.004,1,0)+IF(AU148*1000000+SUM(W148,AO148)*10000+SUM(Q148,AI148)*100+SUM(K148,AC148)+0.003&gt;AT148*1000000+SUM(V148,AN148)*10000+SUM(P148,AH148)*100+SUM(J148,AB148)+0.004,1,0)+IF(AV148*1000000+SUM(X148,AP148)*10000+SUM(R148,AJ148)*100+SUM(L148,AD148)+0.002&gt;AT148*1000000+SUM(V148,AN148)*10000+SUM(P148,AH148)*100+SUM(J148,AB148)+0.004,1,0)+IF(AW148*1000000+SUM(Y148,AQ148)*10000+SUM(S148,AK148)*100+SUM(M148,AE148)+0.001&gt;AT148*1000000+SUM(V148,AN148)*10000+SUM(P148,AH148)*100+SUM(J148,AB148)+0.004,1,0)=2,"A",IF(IF(AR148*1000000+SUM(T148,AL148)*10000+SUM(N148,AF148)*100+SUM(H148,Z148)+0.006&gt;AU148*1000000+SUM(W148,AO148)*10000+SUM(Q148,AI148)*100+SUM(K148,AC148)+0.003,1,0)+IF(AS148*1000000+SUM(U148,AM148)*10000+SUM(O148,AG148)*100+SUM(I148,AA148)+0.005&gt;AU148*1000000+SUM(W148,AO148)*10000+SUM(Q148,AI148)*100+SUM(K148,AC148)+0.003,1,0)+IF(AT148*1000000+SUM(V148,AN148)*10000+SUM(P148,AH148)*100+SUM(J148,AB148)+0.004&gt;AU148*1000000+SUM(W148,AO148)*10000+SUM(Q148,AI148)*100+SUM(K148,AC148)+0.003,1,0)+IF(AV148*1000000+SUM(X148,AP148)*10000+SUM(R148,AJ148)*100+SUM(L148,AD148)+0.002&gt;AU148*1000000+SUM(W148,AO148)*10000+SUM(Q148,AI148)*100+SUM(K148,AC148)+0.003,1,0)+IF(AW148*1000000+SUM(Y148,AQ148)*10000+SUM(S148,AK148)*100+SUM(M148,AE148)+0.001&gt;AU148*1000000+SUM(W148,AO148)*10000+SUM(Q148,AI148)*100+SUM(K148,AC148)+0.003,1,0)=2,"S",IF(IF(AR148*1000000+SUM(T148,AL148)*10000+SUM(N148,AF148)*100+SUM(H148,Z148)+0.006&gt;AV148*1000000+SUM(X148,AP148)*10000+SUM(R148,AJ148)*100+SUM(L148,AD148)+0.002,1,0)+IF(AS148*1000000+SUM(U148,AM148)*10000+SUM(O148,AG148)*100+SUM(I148,AA148)+0.005&gt;AV148*1000000+SUM(X148,AP148)*10000+SUM(R148,AJ148)*100+SUM(L148,AD148)+0.002,1,0)+IF(AT148*1000000+SUM(V148,AN148)*10000+SUM(P148,AH148)*100+SUM(J148,AB148)+0.004&gt;AV148*1000000+SUM(X148,AP148)*10000+SUM(R148,AJ148)*100+SUM(L148,AD148)+0.002,1,0)+IF(AU148*1000000+SUM(W148,AO148)*10000+SUM(Q148,AI148)*100+SUM(K148,AC148)+0.003&gt;AV148*1000000+SUM(X148,AP148)*10000+SUM(R148,AJ148)*100+SUM(L148,AD148)+0.002,1,0)+IF(AW148*1000000+SUM(Y148,AQ148)*10000+SUM(S148,AK148)*100+SUM(M148,AE148)+0.001&gt;AV148*1000000+SUM(X148,AP148)*10000+SUM(R148,AJ148)*100+SUM(L148,AD148)+0.002,1,0)=2,"E",IF(IF(AR148*1000000+SUM(T148,AL148)*10000+SUM(N148,AF148)*100+SUM(H148,Z148)+0.006&gt;AW148*1000000+SUM(Y148,AQ148)*10000+SUM(S148,AK148)*100+SUM(M148,AE148)+0.001,1,0)+IF(AS148*1000000+SUM(U148,AM148)*10000+SUM(O148,AG148)*100+SUM(I148,AA148)+0.005&gt;AW148*1000000+SUM(Y148,AQ148)*10000+SUM(S148,AK148)*100+SUM(M148,AE148)+0.001,1,0)+IF(AT148*1000000+SUM(V148,AN148)*10000+SUM(P148,AH148)*100+SUM(J148,AB148)+0.004&gt;AW148*1000000+SUM(Y148,AQ148)*10000+SUM(S148,AK148)*100+SUM(M148,AE148)+0.001,1,0)+IF(AU148*1000000+SUM(W148,AO148)*10000+SUM(Q148,AI148)*100+SUM(K148,AC148)+0.003&gt;AW148*1000000+SUM(Y148,AQ148)*10000+SUM(S148,AK148)*100+SUM(M148,AE148)+0.001,1,0)+IF(AV148*1000000+SUM(X148,AP148)*10000+SUM(R148,AJ148)*100+SUM(L148,AD148)+0.002&gt;AW148*1000000+SUM(Y148,AQ148)*10000+SUM(S148,AK148)*100+SUM(M148,AE148)+0.001,1,0)=2,"C","")))))))</x:f>
      </x:c>
      <x:c r="AY148" s="27" t="str">
        <x:f>IF(C148="","",IF(LEFT(AX148,1)="R","นักปฏิบัติ",IF(LEFT(AX148,1)="I","นักคิดวิเคราะห์",IF(LEFT(AX148,1)="A","นักสร้างสรรค์",IF(LEFT(AX148,1)="S","ผู้เข้าใจผู้คน",IF(LEFT(AX148,1)="E","ผู้นำการเปลี่ยนแปลง","ผู้จัดระบบ"))))))</x:f>
      </x:c>
    </x:row>
    <x:row r="149">
      <x:c r="A149" s="27"/>
      <x:c r="B149" s="28"/>
      <x:c r="C149" s="27"/>
      <x:c r="D149" s="27"/>
      <x:c r="E149" s="27"/>
      <x:c r="F149" s="27"/>
      <x:c r="G149" s="27"/>
      <x:c r="H149" s="27"/>
      <x:c r="I149" s="27"/>
      <x:c r="J149" s="27"/>
      <x:c r="K149" s="27"/>
      <x:c r="L149" s="27"/>
      <x:c r="M149" s="27"/>
      <x:c r="N149" s="27"/>
      <x:c r="O149" s="27"/>
      <x:c r="P149" s="27"/>
      <x:c r="Q149" s="27"/>
      <x:c r="R149" s="27"/>
      <x:c r="S149" s="27"/>
      <x:c r="T149" s="27"/>
      <x:c r="U149" s="27"/>
      <x:c r="V149" s="27"/>
      <x:c r="W149" s="27"/>
      <x:c r="X149" s="27"/>
      <x:c r="Y149" s="27"/>
      <x:c r="Z149" s="27"/>
      <x:c r="AA149" s="27"/>
      <x:c r="AB149" s="27"/>
      <x:c r="AC149" s="27"/>
      <x:c r="AD149" s="27"/>
      <x:c r="AE149" s="27"/>
      <x:c r="AF149" s="27"/>
      <x:c r="AG149" s="27"/>
      <x:c r="AH149" s="27"/>
      <x:c r="AI149" s="27"/>
      <x:c r="AJ149" s="27"/>
      <x:c r="AK149" s="27"/>
      <x:c r="AL149" s="27"/>
      <x:c r="AM149" s="27"/>
      <x:c r="AN149" s="27"/>
      <x:c r="AO149" s="27"/>
      <x:c r="AP149" s="27"/>
      <x:c r="AQ149" s="27"/>
      <x:c r="AR149" s="27" t="str">
        <x:f>IF(C149="","",SUM(H149,N149,T149,Z149,AF149,AL149))</x:f>
      </x:c>
      <x:c r="AS149" s="27" t="str">
        <x:f>IF(C149="","",SUM(I149,O149,U149,AA149,AG149,AM149))</x:f>
      </x:c>
      <x:c r="AT149" s="27" t="str">
        <x:f>IF(C149="","",SUM(J149,P149,V149,AB149,AH149,AN149))</x:f>
      </x:c>
      <x:c r="AU149" s="27" t="str">
        <x:f>IF(C149="","",SUM(K149,Q149,W149,AC149,AI149,AO149))</x:f>
      </x:c>
      <x:c r="AV149" s="27" t="str">
        <x:f>IF(C149="","",SUM(L149,R149,X149,AD149,AJ149,AP149))</x:f>
      </x:c>
      <x:c r="AW149" s="27" t="str">
        <x:f>IF(C149="","",SUM(M149,S149,Y149,AE149,AK149,AQ149))</x:f>
      </x:c>
      <x:c r="AX149" s="27" t="str">
        <x:f>IF(C149="","",IF(IF(AS149*1000000+SUM(U149,AM149)*10000+SUM(O149,AG149)*100+SUM(I149,AA149)+0.005&gt;AR149*1000000+SUM(T149,AL149)*10000+SUM(N149,AF149)*100+SUM(H149,Z149)+0.006,1,0)+IF(AT149*1000000+SUM(V149,AN149)*10000+SUM(P149,AH149)*100+SUM(J149,AB149)+0.004&gt;AR149*1000000+SUM(T149,AL149)*10000+SUM(N149,AF149)*100+SUM(H149,Z149)+0.006,1,0)+IF(AU149*1000000+SUM(W149,AO149)*10000+SUM(Q149,AI149)*100+SUM(K149,AC149)+0.003&gt;AR149*1000000+SUM(T149,AL149)*10000+SUM(N149,AF149)*100+SUM(H149,Z149)+0.006,1,0)+IF(AV149*1000000+SUM(X149,AP149)*10000+SUM(R149,AJ149)*100+SUM(L149,AD149)+0.002&gt;AR149*1000000+SUM(T149,AL149)*10000+SUM(N149,AF149)*100+SUM(H149,Z149)+0.006,1,0)+IF(AW149*1000000+SUM(Y149,AQ149)*10000+SUM(S149,AK149)*100+SUM(M149,AE149)+0.001&gt;AR149*1000000+SUM(T149,AL149)*10000+SUM(N149,AF149)*100+SUM(H149,Z149)+0.006,1,0)=0,"R",IF(IF(AR149*1000000+SUM(T149,AL149)*10000+SUM(N149,AF149)*100+SUM(H149,Z149)+0.006&gt;AS149*1000000+SUM(U149,AM149)*10000+SUM(O149,AG149)*100+SUM(I149,AA149)+0.005,1,0)+IF(AT149*1000000+SUM(V149,AN149)*10000+SUM(P149,AH149)*100+SUM(J149,AB149)+0.004&gt;AS149*1000000+SUM(U149,AM149)*10000+SUM(O149,AG149)*100+SUM(I149,AA149)+0.005,1,0)+IF(AU149*1000000+SUM(W149,AO149)*10000+SUM(Q149,AI149)*100+SUM(K149,AC149)+0.003&gt;AS149*1000000+SUM(U149,AM149)*10000+SUM(O149,AG149)*100+SUM(I149,AA149)+0.005,1,0)+IF(AV149*1000000+SUM(X149,AP149)*10000+SUM(R149,AJ149)*100+SUM(L149,AD149)+0.002&gt;AS149*1000000+SUM(U149,AM149)*10000+SUM(O149,AG149)*100+SUM(I149,AA149)+0.005,1,0)+IF(AW149*1000000+SUM(Y149,AQ149)*10000+SUM(S149,AK149)*100+SUM(M149,AE149)+0.001&gt;AS149*1000000+SUM(U149,AM149)*10000+SUM(O149,AG149)*100+SUM(I149,AA149)+0.005,1,0)=0,"I",IF(IF(AR149*1000000+SUM(T149,AL149)*10000+SUM(N149,AF149)*100+SUM(H149,Z149)+0.006&gt;AT149*1000000+SUM(V149,AN149)*10000+SUM(P149,AH149)*100+SUM(J149,AB149)+0.004,1,0)+IF(AS149*1000000+SUM(U149,AM149)*10000+SUM(O149,AG149)*100+SUM(I149,AA149)+0.005&gt;AT149*1000000+SUM(V149,AN149)*10000+SUM(P149,AH149)*100+SUM(J149,AB149)+0.004,1,0)+IF(AU149*1000000+SUM(W149,AO149)*10000+SUM(Q149,AI149)*100+SUM(K149,AC149)+0.003&gt;AT149*1000000+SUM(V149,AN149)*10000+SUM(P149,AH149)*100+SUM(J149,AB149)+0.004,1,0)+IF(AV149*1000000+SUM(X149,AP149)*10000+SUM(R149,AJ149)*100+SUM(L149,AD149)+0.002&gt;AT149*1000000+SUM(V149,AN149)*10000+SUM(P149,AH149)*100+SUM(J149,AB149)+0.004,1,0)+IF(AW149*1000000+SUM(Y149,AQ149)*10000+SUM(S149,AK149)*100+SUM(M149,AE149)+0.001&gt;AT149*1000000+SUM(V149,AN149)*10000+SUM(P149,AH149)*100+SUM(J149,AB149)+0.004,1,0)=0,"A",IF(IF(AR149*1000000+SUM(T149,AL149)*10000+SUM(N149,AF149)*100+SUM(H149,Z149)+0.006&gt;AU149*1000000+SUM(W149,AO149)*10000+SUM(Q149,AI149)*100+SUM(K149,AC149)+0.003,1,0)+IF(AS149*1000000+SUM(U149,AM149)*10000+SUM(O149,AG149)*100+SUM(I149,AA149)+0.005&gt;AU149*1000000+SUM(W149,AO149)*10000+SUM(Q149,AI149)*100+SUM(K149,AC149)+0.003,1,0)+IF(AT149*1000000+SUM(V149,AN149)*10000+SUM(P149,AH149)*100+SUM(J149,AB149)+0.004&gt;AU149*1000000+SUM(W149,AO149)*10000+SUM(Q149,AI149)*100+SUM(K149,AC149)+0.003,1,0)+IF(AV149*1000000+SUM(X149,AP149)*10000+SUM(R149,AJ149)*100+SUM(L149,AD149)+0.002&gt;AU149*1000000+SUM(W149,AO149)*10000+SUM(Q149,AI149)*100+SUM(K149,AC149)+0.003,1,0)+IF(AW149*1000000+SUM(Y149,AQ149)*10000+SUM(S149,AK149)*100+SUM(M149,AE149)+0.001&gt;AU149*1000000+SUM(W149,AO149)*10000+SUM(Q149,AI149)*100+SUM(K149,AC149)+0.003,1,0)=0,"S",IF(IF(AR149*1000000+SUM(T149,AL149)*10000+SUM(N149,AF149)*100+SUM(H149,Z149)+0.006&gt;AV149*1000000+SUM(X149,AP149)*10000+SUM(R149,AJ149)*100+SUM(L149,AD149)+0.002,1,0)+IF(AS149*1000000+SUM(U149,AM149)*10000+SUM(O149,AG149)*100+SUM(I149,AA149)+0.005&gt;AV149*1000000+SUM(X149,AP149)*10000+SUM(R149,AJ149)*100+SUM(L149,AD149)+0.002,1,0)+IF(AT149*1000000+SUM(V149,AN149)*10000+SUM(P149,AH149)*100+SUM(J149,AB149)+0.004&gt;AV149*1000000+SUM(X149,AP149)*10000+SUM(R149,AJ149)*100+SUM(L149,AD149)+0.002,1,0)+IF(AU149*1000000+SUM(W149,AO149)*10000+SUM(Q149,AI149)*100+SUM(K149,AC149)+0.003&gt;AV149*1000000+SUM(X149,AP149)*10000+SUM(R149,AJ149)*100+SUM(L149,AD149)+0.002,1,0)+IF(AW149*1000000+SUM(Y149,AQ149)*10000+SUM(S149,AK149)*100+SUM(M149,AE149)+0.001&gt;AV149*1000000+SUM(X149,AP149)*10000+SUM(R149,AJ149)*100+SUM(L149,AD149)+0.002,1,0)=0,"E",IF(IF(AR149*1000000+SUM(T149,AL149)*10000+SUM(N149,AF149)*100+SUM(H149,Z149)+0.006&gt;AW149*1000000+SUM(Y149,AQ149)*10000+SUM(S149,AK149)*100+SUM(M149,AE149)+0.001,1,0)+IF(AS149*1000000+SUM(U149,AM149)*10000+SUM(O149,AG149)*100+SUM(I149,AA149)+0.005&gt;AW149*1000000+SUM(Y149,AQ149)*10000+SUM(S149,AK149)*100+SUM(M149,AE149)+0.001,1,0)+IF(AT149*1000000+SUM(V149,AN149)*10000+SUM(P149,AH149)*100+SUM(J149,AB149)+0.004&gt;AW149*1000000+SUM(Y149,AQ149)*10000+SUM(S149,AK149)*100+SUM(M149,AE149)+0.001,1,0)+IF(AU149*1000000+SUM(W149,AO149)*10000+SUM(Q149,AI149)*100+SUM(K149,AC149)+0.003&gt;AW149*1000000+SUM(Y149,AQ149)*10000+SUM(S149,AK149)*100+SUM(M149,AE149)+0.001,1,0)+IF(AV149*1000000+SUM(X149,AP149)*10000+SUM(R149,AJ149)*100+SUM(L149,AD149)+0.002&gt;AW149*1000000+SUM(Y149,AQ149)*10000+SUM(S149,AK149)*100+SUM(M149,AE149)+0.001,1,0)=0,"C",""))))))&amp;IF(IF(AS149*1000000+SUM(U149,AM149)*10000+SUM(O149,AG149)*100+SUM(I149,AA149)+0.005&gt;AR149*1000000+SUM(T149,AL149)*10000+SUM(N149,AF149)*100+SUM(H149,Z149)+0.006,1,0)+IF(AT149*1000000+SUM(V149,AN149)*10000+SUM(P149,AH149)*100+SUM(J149,AB149)+0.004&gt;AR149*1000000+SUM(T149,AL149)*10000+SUM(N149,AF149)*100+SUM(H149,Z149)+0.006,1,0)+IF(AU149*1000000+SUM(W149,AO149)*10000+SUM(Q149,AI149)*100+SUM(K149,AC149)+0.003&gt;AR149*1000000+SUM(T149,AL149)*10000+SUM(N149,AF149)*100+SUM(H149,Z149)+0.006,1,0)+IF(AV149*1000000+SUM(X149,AP149)*10000+SUM(R149,AJ149)*100+SUM(L149,AD149)+0.002&gt;AR149*1000000+SUM(T149,AL149)*10000+SUM(N149,AF149)*100+SUM(H149,Z149)+0.006,1,0)+IF(AW149*1000000+SUM(Y149,AQ149)*10000+SUM(S149,AK149)*100+SUM(M149,AE149)+0.001&gt;AR149*1000000+SUM(T149,AL149)*10000+SUM(N149,AF149)*100+SUM(H149,Z149)+0.006,1,0)=1,"R",IF(IF(AR149*1000000+SUM(T149,AL149)*10000+SUM(N149,AF149)*100+SUM(H149,Z149)+0.006&gt;AS149*1000000+SUM(U149,AM149)*10000+SUM(O149,AG149)*100+SUM(I149,AA149)+0.005,1,0)+IF(AT149*1000000+SUM(V149,AN149)*10000+SUM(P149,AH149)*100+SUM(J149,AB149)+0.004&gt;AS149*1000000+SUM(U149,AM149)*10000+SUM(O149,AG149)*100+SUM(I149,AA149)+0.005,1,0)+IF(AU149*1000000+SUM(W149,AO149)*10000+SUM(Q149,AI149)*100+SUM(K149,AC149)+0.003&gt;AS149*1000000+SUM(U149,AM149)*10000+SUM(O149,AG149)*100+SUM(I149,AA149)+0.005,1,0)+IF(AV149*1000000+SUM(X149,AP149)*10000+SUM(R149,AJ149)*100+SUM(L149,AD149)+0.002&gt;AS149*1000000+SUM(U149,AM149)*10000+SUM(O149,AG149)*100+SUM(I149,AA149)+0.005,1,0)+IF(AW149*1000000+SUM(Y149,AQ149)*10000+SUM(S149,AK149)*100+SUM(M149,AE149)+0.001&gt;AS149*1000000+SUM(U149,AM149)*10000+SUM(O149,AG149)*100+SUM(I149,AA149)+0.005,1,0)=1,"I",IF(IF(AR149*1000000+SUM(T149,AL149)*10000+SUM(N149,AF149)*100+SUM(H149,Z149)+0.006&gt;AT149*1000000+SUM(V149,AN149)*10000+SUM(P149,AH149)*100+SUM(J149,AB149)+0.004,1,0)+IF(AS149*1000000+SUM(U149,AM149)*10000+SUM(O149,AG149)*100+SUM(I149,AA149)+0.005&gt;AT149*1000000+SUM(V149,AN149)*10000+SUM(P149,AH149)*100+SUM(J149,AB149)+0.004,1,0)+IF(AU149*1000000+SUM(W149,AO149)*10000+SUM(Q149,AI149)*100+SUM(K149,AC149)+0.003&gt;AT149*1000000+SUM(V149,AN149)*10000+SUM(P149,AH149)*100+SUM(J149,AB149)+0.004,1,0)+IF(AV149*1000000+SUM(X149,AP149)*10000+SUM(R149,AJ149)*100+SUM(L149,AD149)+0.002&gt;AT149*1000000+SUM(V149,AN149)*10000+SUM(P149,AH149)*100+SUM(J149,AB149)+0.004,1,0)+IF(AW149*1000000+SUM(Y149,AQ149)*10000+SUM(S149,AK149)*100+SUM(M149,AE149)+0.001&gt;AT149*1000000+SUM(V149,AN149)*10000+SUM(P149,AH149)*100+SUM(J149,AB149)+0.004,1,0)=1,"A",IF(IF(AR149*1000000+SUM(T149,AL149)*10000+SUM(N149,AF149)*100+SUM(H149,Z149)+0.006&gt;AU149*1000000+SUM(W149,AO149)*10000+SUM(Q149,AI149)*100+SUM(K149,AC149)+0.003,1,0)+IF(AS149*1000000+SUM(U149,AM149)*10000+SUM(O149,AG149)*100+SUM(I149,AA149)+0.005&gt;AU149*1000000+SUM(W149,AO149)*10000+SUM(Q149,AI149)*100+SUM(K149,AC149)+0.003,1,0)+IF(AT149*1000000+SUM(V149,AN149)*10000+SUM(P149,AH149)*100+SUM(J149,AB149)+0.004&gt;AU149*1000000+SUM(W149,AO149)*10000+SUM(Q149,AI149)*100+SUM(K149,AC149)+0.003,1,0)+IF(AV149*1000000+SUM(X149,AP149)*10000+SUM(R149,AJ149)*100+SUM(L149,AD149)+0.002&gt;AU149*1000000+SUM(W149,AO149)*10000+SUM(Q149,AI149)*100+SUM(K149,AC149)+0.003,1,0)+IF(AW149*1000000+SUM(Y149,AQ149)*10000+SUM(S149,AK149)*100+SUM(M149,AE149)+0.001&gt;AU149*1000000+SUM(W149,AO149)*10000+SUM(Q149,AI149)*100+SUM(K149,AC149)+0.003,1,0)=1,"S",IF(IF(AR149*1000000+SUM(T149,AL149)*10000+SUM(N149,AF149)*100+SUM(H149,Z149)+0.006&gt;AV149*1000000+SUM(X149,AP149)*10000+SUM(R149,AJ149)*100+SUM(L149,AD149)+0.002,1,0)+IF(AS149*1000000+SUM(U149,AM149)*10000+SUM(O149,AG149)*100+SUM(I149,AA149)+0.005&gt;AV149*1000000+SUM(X149,AP149)*10000+SUM(R149,AJ149)*100+SUM(L149,AD149)+0.002,1,0)+IF(AT149*1000000+SUM(V149,AN149)*10000+SUM(P149,AH149)*100+SUM(J149,AB149)+0.004&gt;AV149*1000000+SUM(X149,AP149)*10000+SUM(R149,AJ149)*100+SUM(L149,AD149)+0.002,1,0)+IF(AU149*1000000+SUM(W149,AO149)*10000+SUM(Q149,AI149)*100+SUM(K149,AC149)+0.003&gt;AV149*1000000+SUM(X149,AP149)*10000+SUM(R149,AJ149)*100+SUM(L149,AD149)+0.002,1,0)+IF(AW149*1000000+SUM(Y149,AQ149)*10000+SUM(S149,AK149)*100+SUM(M149,AE149)+0.001&gt;AV149*1000000+SUM(X149,AP149)*10000+SUM(R149,AJ149)*100+SUM(L149,AD149)+0.002,1,0)=1,"E",IF(IF(AR149*1000000+SUM(T149,AL149)*10000+SUM(N149,AF149)*100+SUM(H149,Z149)+0.006&gt;AW149*1000000+SUM(Y149,AQ149)*10000+SUM(S149,AK149)*100+SUM(M149,AE149)+0.001,1,0)+IF(AS149*1000000+SUM(U149,AM149)*10000+SUM(O149,AG149)*100+SUM(I149,AA149)+0.005&gt;AW149*1000000+SUM(Y149,AQ149)*10000+SUM(S149,AK149)*100+SUM(M149,AE149)+0.001,1,0)+IF(AT149*1000000+SUM(V149,AN149)*10000+SUM(P149,AH149)*100+SUM(J149,AB149)+0.004&gt;AW149*1000000+SUM(Y149,AQ149)*10000+SUM(S149,AK149)*100+SUM(M149,AE149)+0.001,1,0)+IF(AU149*1000000+SUM(W149,AO149)*10000+SUM(Q149,AI149)*100+SUM(K149,AC149)+0.003&gt;AW149*1000000+SUM(Y149,AQ149)*10000+SUM(S149,AK149)*100+SUM(M149,AE149)+0.001,1,0)+IF(AV149*1000000+SUM(X149,AP149)*10000+SUM(R149,AJ149)*100+SUM(L149,AD149)+0.002&gt;AW149*1000000+SUM(Y149,AQ149)*10000+SUM(S149,AK149)*100+SUM(M149,AE149)+0.001,1,0)=1,"C",""))))))&amp;IF(IF(AS149*1000000+SUM(U149,AM149)*10000+SUM(O149,AG149)*100+SUM(I149,AA149)+0.005&gt;AR149*1000000+SUM(T149,AL149)*10000+SUM(N149,AF149)*100+SUM(H149,Z149)+0.006,1,0)+IF(AT149*1000000+SUM(V149,AN149)*10000+SUM(P149,AH149)*100+SUM(J149,AB149)+0.004&gt;AR149*1000000+SUM(T149,AL149)*10000+SUM(N149,AF149)*100+SUM(H149,Z149)+0.006,1,0)+IF(AU149*1000000+SUM(W149,AO149)*10000+SUM(Q149,AI149)*100+SUM(K149,AC149)+0.003&gt;AR149*1000000+SUM(T149,AL149)*10000+SUM(N149,AF149)*100+SUM(H149,Z149)+0.006,1,0)+IF(AV149*1000000+SUM(X149,AP149)*10000+SUM(R149,AJ149)*100+SUM(L149,AD149)+0.002&gt;AR149*1000000+SUM(T149,AL149)*10000+SUM(N149,AF149)*100+SUM(H149,Z149)+0.006,1,0)+IF(AW149*1000000+SUM(Y149,AQ149)*10000+SUM(S149,AK149)*100+SUM(M149,AE149)+0.001&gt;AR149*1000000+SUM(T149,AL149)*10000+SUM(N149,AF149)*100+SUM(H149,Z149)+0.006,1,0)=2,"R",IF(IF(AR149*1000000+SUM(T149,AL149)*10000+SUM(N149,AF149)*100+SUM(H149,Z149)+0.006&gt;AS149*1000000+SUM(U149,AM149)*10000+SUM(O149,AG149)*100+SUM(I149,AA149)+0.005,1,0)+IF(AT149*1000000+SUM(V149,AN149)*10000+SUM(P149,AH149)*100+SUM(J149,AB149)+0.004&gt;AS149*1000000+SUM(U149,AM149)*10000+SUM(O149,AG149)*100+SUM(I149,AA149)+0.005,1,0)+IF(AU149*1000000+SUM(W149,AO149)*10000+SUM(Q149,AI149)*100+SUM(K149,AC149)+0.003&gt;AS149*1000000+SUM(U149,AM149)*10000+SUM(O149,AG149)*100+SUM(I149,AA149)+0.005,1,0)+IF(AV149*1000000+SUM(X149,AP149)*10000+SUM(R149,AJ149)*100+SUM(L149,AD149)+0.002&gt;AS149*1000000+SUM(U149,AM149)*10000+SUM(O149,AG149)*100+SUM(I149,AA149)+0.005,1,0)+IF(AW149*1000000+SUM(Y149,AQ149)*10000+SUM(S149,AK149)*100+SUM(M149,AE149)+0.001&gt;AS149*1000000+SUM(U149,AM149)*10000+SUM(O149,AG149)*100+SUM(I149,AA149)+0.005,1,0)=2,"I",IF(IF(AR149*1000000+SUM(T149,AL149)*10000+SUM(N149,AF149)*100+SUM(H149,Z149)+0.006&gt;AT149*1000000+SUM(V149,AN149)*10000+SUM(P149,AH149)*100+SUM(J149,AB149)+0.004,1,0)+IF(AS149*1000000+SUM(U149,AM149)*10000+SUM(O149,AG149)*100+SUM(I149,AA149)+0.005&gt;AT149*1000000+SUM(V149,AN149)*10000+SUM(P149,AH149)*100+SUM(J149,AB149)+0.004,1,0)+IF(AU149*1000000+SUM(W149,AO149)*10000+SUM(Q149,AI149)*100+SUM(K149,AC149)+0.003&gt;AT149*1000000+SUM(V149,AN149)*10000+SUM(P149,AH149)*100+SUM(J149,AB149)+0.004,1,0)+IF(AV149*1000000+SUM(X149,AP149)*10000+SUM(R149,AJ149)*100+SUM(L149,AD149)+0.002&gt;AT149*1000000+SUM(V149,AN149)*10000+SUM(P149,AH149)*100+SUM(J149,AB149)+0.004,1,0)+IF(AW149*1000000+SUM(Y149,AQ149)*10000+SUM(S149,AK149)*100+SUM(M149,AE149)+0.001&gt;AT149*1000000+SUM(V149,AN149)*10000+SUM(P149,AH149)*100+SUM(J149,AB149)+0.004,1,0)=2,"A",IF(IF(AR149*1000000+SUM(T149,AL149)*10000+SUM(N149,AF149)*100+SUM(H149,Z149)+0.006&gt;AU149*1000000+SUM(W149,AO149)*10000+SUM(Q149,AI149)*100+SUM(K149,AC149)+0.003,1,0)+IF(AS149*1000000+SUM(U149,AM149)*10000+SUM(O149,AG149)*100+SUM(I149,AA149)+0.005&gt;AU149*1000000+SUM(W149,AO149)*10000+SUM(Q149,AI149)*100+SUM(K149,AC149)+0.003,1,0)+IF(AT149*1000000+SUM(V149,AN149)*10000+SUM(P149,AH149)*100+SUM(J149,AB149)+0.004&gt;AU149*1000000+SUM(W149,AO149)*10000+SUM(Q149,AI149)*100+SUM(K149,AC149)+0.003,1,0)+IF(AV149*1000000+SUM(X149,AP149)*10000+SUM(R149,AJ149)*100+SUM(L149,AD149)+0.002&gt;AU149*1000000+SUM(W149,AO149)*10000+SUM(Q149,AI149)*100+SUM(K149,AC149)+0.003,1,0)+IF(AW149*1000000+SUM(Y149,AQ149)*10000+SUM(S149,AK149)*100+SUM(M149,AE149)+0.001&gt;AU149*1000000+SUM(W149,AO149)*10000+SUM(Q149,AI149)*100+SUM(K149,AC149)+0.003,1,0)=2,"S",IF(IF(AR149*1000000+SUM(T149,AL149)*10000+SUM(N149,AF149)*100+SUM(H149,Z149)+0.006&gt;AV149*1000000+SUM(X149,AP149)*10000+SUM(R149,AJ149)*100+SUM(L149,AD149)+0.002,1,0)+IF(AS149*1000000+SUM(U149,AM149)*10000+SUM(O149,AG149)*100+SUM(I149,AA149)+0.005&gt;AV149*1000000+SUM(X149,AP149)*10000+SUM(R149,AJ149)*100+SUM(L149,AD149)+0.002,1,0)+IF(AT149*1000000+SUM(V149,AN149)*10000+SUM(P149,AH149)*100+SUM(J149,AB149)+0.004&gt;AV149*1000000+SUM(X149,AP149)*10000+SUM(R149,AJ149)*100+SUM(L149,AD149)+0.002,1,0)+IF(AU149*1000000+SUM(W149,AO149)*10000+SUM(Q149,AI149)*100+SUM(K149,AC149)+0.003&gt;AV149*1000000+SUM(X149,AP149)*10000+SUM(R149,AJ149)*100+SUM(L149,AD149)+0.002,1,0)+IF(AW149*1000000+SUM(Y149,AQ149)*10000+SUM(S149,AK149)*100+SUM(M149,AE149)+0.001&gt;AV149*1000000+SUM(X149,AP149)*10000+SUM(R149,AJ149)*100+SUM(L149,AD149)+0.002,1,0)=2,"E",IF(IF(AR149*1000000+SUM(T149,AL149)*10000+SUM(N149,AF149)*100+SUM(H149,Z149)+0.006&gt;AW149*1000000+SUM(Y149,AQ149)*10000+SUM(S149,AK149)*100+SUM(M149,AE149)+0.001,1,0)+IF(AS149*1000000+SUM(U149,AM149)*10000+SUM(O149,AG149)*100+SUM(I149,AA149)+0.005&gt;AW149*1000000+SUM(Y149,AQ149)*10000+SUM(S149,AK149)*100+SUM(M149,AE149)+0.001,1,0)+IF(AT149*1000000+SUM(V149,AN149)*10000+SUM(P149,AH149)*100+SUM(J149,AB149)+0.004&gt;AW149*1000000+SUM(Y149,AQ149)*10000+SUM(S149,AK149)*100+SUM(M149,AE149)+0.001,1,0)+IF(AU149*1000000+SUM(W149,AO149)*10000+SUM(Q149,AI149)*100+SUM(K149,AC149)+0.003&gt;AW149*1000000+SUM(Y149,AQ149)*10000+SUM(S149,AK149)*100+SUM(M149,AE149)+0.001,1,0)+IF(AV149*1000000+SUM(X149,AP149)*10000+SUM(R149,AJ149)*100+SUM(L149,AD149)+0.002&gt;AW149*1000000+SUM(Y149,AQ149)*10000+SUM(S149,AK149)*100+SUM(M149,AE149)+0.001,1,0)=2,"C","")))))))</x:f>
      </x:c>
      <x:c r="AY149" s="27" t="str">
        <x:f>IF(C149="","",IF(LEFT(AX149,1)="R","นักปฏิบัติ",IF(LEFT(AX149,1)="I","นักคิดวิเคราะห์",IF(LEFT(AX149,1)="A","นักสร้างสรรค์",IF(LEFT(AX149,1)="S","ผู้เข้าใจผู้คน",IF(LEFT(AX149,1)="E","ผู้นำการเปลี่ยนแปลง","ผู้จัดระบบ"))))))</x:f>
      </x:c>
    </x:row>
    <x:row r="150">
      <x:c r="A150" s="27"/>
      <x:c r="B150" s="28"/>
      <x:c r="C150" s="27"/>
      <x:c r="D150" s="27"/>
      <x:c r="E150" s="27"/>
      <x:c r="F150" s="27"/>
      <x:c r="G150" s="27"/>
      <x:c r="H150" s="27"/>
      <x:c r="I150" s="27"/>
      <x:c r="J150" s="27"/>
      <x:c r="K150" s="27"/>
      <x:c r="L150" s="27"/>
      <x:c r="M150" s="27"/>
      <x:c r="N150" s="27"/>
      <x:c r="O150" s="27"/>
      <x:c r="P150" s="27"/>
      <x:c r="Q150" s="27"/>
      <x:c r="R150" s="27"/>
      <x:c r="S150" s="27"/>
      <x:c r="T150" s="27"/>
      <x:c r="U150" s="27"/>
      <x:c r="V150" s="27"/>
      <x:c r="W150" s="27"/>
      <x:c r="X150" s="27"/>
      <x:c r="Y150" s="27"/>
      <x:c r="Z150" s="27"/>
      <x:c r="AA150" s="27"/>
      <x:c r="AB150" s="27"/>
      <x:c r="AC150" s="27"/>
      <x:c r="AD150" s="27"/>
      <x:c r="AE150" s="27"/>
      <x:c r="AF150" s="27"/>
      <x:c r="AG150" s="27"/>
      <x:c r="AH150" s="27"/>
      <x:c r="AI150" s="27"/>
      <x:c r="AJ150" s="27"/>
      <x:c r="AK150" s="27"/>
      <x:c r="AL150" s="27"/>
      <x:c r="AM150" s="27"/>
      <x:c r="AN150" s="27"/>
      <x:c r="AO150" s="27"/>
      <x:c r="AP150" s="27"/>
      <x:c r="AQ150" s="27"/>
      <x:c r="AR150" s="27" t="str">
        <x:f>IF(C150="","",SUM(H150,N150,T150,Z150,AF150,AL150))</x:f>
      </x:c>
      <x:c r="AS150" s="27" t="str">
        <x:f>IF(C150="","",SUM(I150,O150,U150,AA150,AG150,AM150))</x:f>
      </x:c>
      <x:c r="AT150" s="27" t="str">
        <x:f>IF(C150="","",SUM(J150,P150,V150,AB150,AH150,AN150))</x:f>
      </x:c>
      <x:c r="AU150" s="27" t="str">
        <x:f>IF(C150="","",SUM(K150,Q150,W150,AC150,AI150,AO150))</x:f>
      </x:c>
      <x:c r="AV150" s="27" t="str">
        <x:f>IF(C150="","",SUM(L150,R150,X150,AD150,AJ150,AP150))</x:f>
      </x:c>
      <x:c r="AW150" s="27" t="str">
        <x:f>IF(C150="","",SUM(M150,S150,Y150,AE150,AK150,AQ150))</x:f>
      </x:c>
      <x:c r="AX150" s="27" t="str">
        <x:f>IF(C150="","",IF(IF(AS150*1000000+SUM(U150,AM150)*10000+SUM(O150,AG150)*100+SUM(I150,AA150)+0.005&gt;AR150*1000000+SUM(T150,AL150)*10000+SUM(N150,AF150)*100+SUM(H150,Z150)+0.006,1,0)+IF(AT150*1000000+SUM(V150,AN150)*10000+SUM(P150,AH150)*100+SUM(J150,AB150)+0.004&gt;AR150*1000000+SUM(T150,AL150)*10000+SUM(N150,AF150)*100+SUM(H150,Z150)+0.006,1,0)+IF(AU150*1000000+SUM(W150,AO150)*10000+SUM(Q150,AI150)*100+SUM(K150,AC150)+0.003&gt;AR150*1000000+SUM(T150,AL150)*10000+SUM(N150,AF150)*100+SUM(H150,Z150)+0.006,1,0)+IF(AV150*1000000+SUM(X150,AP150)*10000+SUM(R150,AJ150)*100+SUM(L150,AD150)+0.002&gt;AR150*1000000+SUM(T150,AL150)*10000+SUM(N150,AF150)*100+SUM(H150,Z150)+0.006,1,0)+IF(AW150*1000000+SUM(Y150,AQ150)*10000+SUM(S150,AK150)*100+SUM(M150,AE150)+0.001&gt;AR150*1000000+SUM(T150,AL150)*10000+SUM(N150,AF150)*100+SUM(H150,Z150)+0.006,1,0)=0,"R",IF(IF(AR150*1000000+SUM(T150,AL150)*10000+SUM(N150,AF150)*100+SUM(H150,Z150)+0.006&gt;AS150*1000000+SUM(U150,AM150)*10000+SUM(O150,AG150)*100+SUM(I150,AA150)+0.005,1,0)+IF(AT150*1000000+SUM(V150,AN150)*10000+SUM(P150,AH150)*100+SUM(J150,AB150)+0.004&gt;AS150*1000000+SUM(U150,AM150)*10000+SUM(O150,AG150)*100+SUM(I150,AA150)+0.005,1,0)+IF(AU150*1000000+SUM(W150,AO150)*10000+SUM(Q150,AI150)*100+SUM(K150,AC150)+0.003&gt;AS150*1000000+SUM(U150,AM150)*10000+SUM(O150,AG150)*100+SUM(I150,AA150)+0.005,1,0)+IF(AV150*1000000+SUM(X150,AP150)*10000+SUM(R150,AJ150)*100+SUM(L150,AD150)+0.002&gt;AS150*1000000+SUM(U150,AM150)*10000+SUM(O150,AG150)*100+SUM(I150,AA150)+0.005,1,0)+IF(AW150*1000000+SUM(Y150,AQ150)*10000+SUM(S150,AK150)*100+SUM(M150,AE150)+0.001&gt;AS150*1000000+SUM(U150,AM150)*10000+SUM(O150,AG150)*100+SUM(I150,AA150)+0.005,1,0)=0,"I",IF(IF(AR150*1000000+SUM(T150,AL150)*10000+SUM(N150,AF150)*100+SUM(H150,Z150)+0.006&gt;AT150*1000000+SUM(V150,AN150)*10000+SUM(P150,AH150)*100+SUM(J150,AB150)+0.004,1,0)+IF(AS150*1000000+SUM(U150,AM150)*10000+SUM(O150,AG150)*100+SUM(I150,AA150)+0.005&gt;AT150*1000000+SUM(V150,AN150)*10000+SUM(P150,AH150)*100+SUM(J150,AB150)+0.004,1,0)+IF(AU150*1000000+SUM(W150,AO150)*10000+SUM(Q150,AI150)*100+SUM(K150,AC150)+0.003&gt;AT150*1000000+SUM(V150,AN150)*10000+SUM(P150,AH150)*100+SUM(J150,AB150)+0.004,1,0)+IF(AV150*1000000+SUM(X150,AP150)*10000+SUM(R150,AJ150)*100+SUM(L150,AD150)+0.002&gt;AT150*1000000+SUM(V150,AN150)*10000+SUM(P150,AH150)*100+SUM(J150,AB150)+0.004,1,0)+IF(AW150*1000000+SUM(Y150,AQ150)*10000+SUM(S150,AK150)*100+SUM(M150,AE150)+0.001&gt;AT150*1000000+SUM(V150,AN150)*10000+SUM(P150,AH150)*100+SUM(J150,AB150)+0.004,1,0)=0,"A",IF(IF(AR150*1000000+SUM(T150,AL150)*10000+SUM(N150,AF150)*100+SUM(H150,Z150)+0.006&gt;AU150*1000000+SUM(W150,AO150)*10000+SUM(Q150,AI150)*100+SUM(K150,AC150)+0.003,1,0)+IF(AS150*1000000+SUM(U150,AM150)*10000+SUM(O150,AG150)*100+SUM(I150,AA150)+0.005&gt;AU150*1000000+SUM(W150,AO150)*10000+SUM(Q150,AI150)*100+SUM(K150,AC150)+0.003,1,0)+IF(AT150*1000000+SUM(V150,AN150)*10000+SUM(P150,AH150)*100+SUM(J150,AB150)+0.004&gt;AU150*1000000+SUM(W150,AO150)*10000+SUM(Q150,AI150)*100+SUM(K150,AC150)+0.003,1,0)+IF(AV150*1000000+SUM(X150,AP150)*10000+SUM(R150,AJ150)*100+SUM(L150,AD150)+0.002&gt;AU150*1000000+SUM(W150,AO150)*10000+SUM(Q150,AI150)*100+SUM(K150,AC150)+0.003,1,0)+IF(AW150*1000000+SUM(Y150,AQ150)*10000+SUM(S150,AK150)*100+SUM(M150,AE150)+0.001&gt;AU150*1000000+SUM(W150,AO150)*10000+SUM(Q150,AI150)*100+SUM(K150,AC150)+0.003,1,0)=0,"S",IF(IF(AR150*1000000+SUM(T150,AL150)*10000+SUM(N150,AF150)*100+SUM(H150,Z150)+0.006&gt;AV150*1000000+SUM(X150,AP150)*10000+SUM(R150,AJ150)*100+SUM(L150,AD150)+0.002,1,0)+IF(AS150*1000000+SUM(U150,AM150)*10000+SUM(O150,AG150)*100+SUM(I150,AA150)+0.005&gt;AV150*1000000+SUM(X150,AP150)*10000+SUM(R150,AJ150)*100+SUM(L150,AD150)+0.002,1,0)+IF(AT150*1000000+SUM(V150,AN150)*10000+SUM(P150,AH150)*100+SUM(J150,AB150)+0.004&gt;AV150*1000000+SUM(X150,AP150)*10000+SUM(R150,AJ150)*100+SUM(L150,AD150)+0.002,1,0)+IF(AU150*1000000+SUM(W150,AO150)*10000+SUM(Q150,AI150)*100+SUM(K150,AC150)+0.003&gt;AV150*1000000+SUM(X150,AP150)*10000+SUM(R150,AJ150)*100+SUM(L150,AD150)+0.002,1,0)+IF(AW150*1000000+SUM(Y150,AQ150)*10000+SUM(S150,AK150)*100+SUM(M150,AE150)+0.001&gt;AV150*1000000+SUM(X150,AP150)*10000+SUM(R150,AJ150)*100+SUM(L150,AD150)+0.002,1,0)=0,"E",IF(IF(AR150*1000000+SUM(T150,AL150)*10000+SUM(N150,AF150)*100+SUM(H150,Z150)+0.006&gt;AW150*1000000+SUM(Y150,AQ150)*10000+SUM(S150,AK150)*100+SUM(M150,AE150)+0.001,1,0)+IF(AS150*1000000+SUM(U150,AM150)*10000+SUM(O150,AG150)*100+SUM(I150,AA150)+0.005&gt;AW150*1000000+SUM(Y150,AQ150)*10000+SUM(S150,AK150)*100+SUM(M150,AE150)+0.001,1,0)+IF(AT150*1000000+SUM(V150,AN150)*10000+SUM(P150,AH150)*100+SUM(J150,AB150)+0.004&gt;AW150*1000000+SUM(Y150,AQ150)*10000+SUM(S150,AK150)*100+SUM(M150,AE150)+0.001,1,0)+IF(AU150*1000000+SUM(W150,AO150)*10000+SUM(Q150,AI150)*100+SUM(K150,AC150)+0.003&gt;AW150*1000000+SUM(Y150,AQ150)*10000+SUM(S150,AK150)*100+SUM(M150,AE150)+0.001,1,0)+IF(AV150*1000000+SUM(X150,AP150)*10000+SUM(R150,AJ150)*100+SUM(L150,AD150)+0.002&gt;AW150*1000000+SUM(Y150,AQ150)*10000+SUM(S150,AK150)*100+SUM(M150,AE150)+0.001,1,0)=0,"C",""))))))&amp;IF(IF(AS150*1000000+SUM(U150,AM150)*10000+SUM(O150,AG150)*100+SUM(I150,AA150)+0.005&gt;AR150*1000000+SUM(T150,AL150)*10000+SUM(N150,AF150)*100+SUM(H150,Z150)+0.006,1,0)+IF(AT150*1000000+SUM(V150,AN150)*10000+SUM(P150,AH150)*100+SUM(J150,AB150)+0.004&gt;AR150*1000000+SUM(T150,AL150)*10000+SUM(N150,AF150)*100+SUM(H150,Z150)+0.006,1,0)+IF(AU150*1000000+SUM(W150,AO150)*10000+SUM(Q150,AI150)*100+SUM(K150,AC150)+0.003&gt;AR150*1000000+SUM(T150,AL150)*10000+SUM(N150,AF150)*100+SUM(H150,Z150)+0.006,1,0)+IF(AV150*1000000+SUM(X150,AP150)*10000+SUM(R150,AJ150)*100+SUM(L150,AD150)+0.002&gt;AR150*1000000+SUM(T150,AL150)*10000+SUM(N150,AF150)*100+SUM(H150,Z150)+0.006,1,0)+IF(AW150*1000000+SUM(Y150,AQ150)*10000+SUM(S150,AK150)*100+SUM(M150,AE150)+0.001&gt;AR150*1000000+SUM(T150,AL150)*10000+SUM(N150,AF150)*100+SUM(H150,Z150)+0.006,1,0)=1,"R",IF(IF(AR150*1000000+SUM(T150,AL150)*10000+SUM(N150,AF150)*100+SUM(H150,Z150)+0.006&gt;AS150*1000000+SUM(U150,AM150)*10000+SUM(O150,AG150)*100+SUM(I150,AA150)+0.005,1,0)+IF(AT150*1000000+SUM(V150,AN150)*10000+SUM(P150,AH150)*100+SUM(J150,AB150)+0.004&gt;AS150*1000000+SUM(U150,AM150)*10000+SUM(O150,AG150)*100+SUM(I150,AA150)+0.005,1,0)+IF(AU150*1000000+SUM(W150,AO150)*10000+SUM(Q150,AI150)*100+SUM(K150,AC150)+0.003&gt;AS150*1000000+SUM(U150,AM150)*10000+SUM(O150,AG150)*100+SUM(I150,AA150)+0.005,1,0)+IF(AV150*1000000+SUM(X150,AP150)*10000+SUM(R150,AJ150)*100+SUM(L150,AD150)+0.002&gt;AS150*1000000+SUM(U150,AM150)*10000+SUM(O150,AG150)*100+SUM(I150,AA150)+0.005,1,0)+IF(AW150*1000000+SUM(Y150,AQ150)*10000+SUM(S150,AK150)*100+SUM(M150,AE150)+0.001&gt;AS150*1000000+SUM(U150,AM150)*10000+SUM(O150,AG150)*100+SUM(I150,AA150)+0.005,1,0)=1,"I",IF(IF(AR150*1000000+SUM(T150,AL150)*10000+SUM(N150,AF150)*100+SUM(H150,Z150)+0.006&gt;AT150*1000000+SUM(V150,AN150)*10000+SUM(P150,AH150)*100+SUM(J150,AB150)+0.004,1,0)+IF(AS150*1000000+SUM(U150,AM150)*10000+SUM(O150,AG150)*100+SUM(I150,AA150)+0.005&gt;AT150*1000000+SUM(V150,AN150)*10000+SUM(P150,AH150)*100+SUM(J150,AB150)+0.004,1,0)+IF(AU150*1000000+SUM(W150,AO150)*10000+SUM(Q150,AI150)*100+SUM(K150,AC150)+0.003&gt;AT150*1000000+SUM(V150,AN150)*10000+SUM(P150,AH150)*100+SUM(J150,AB150)+0.004,1,0)+IF(AV150*1000000+SUM(X150,AP150)*10000+SUM(R150,AJ150)*100+SUM(L150,AD150)+0.002&gt;AT150*1000000+SUM(V150,AN150)*10000+SUM(P150,AH150)*100+SUM(J150,AB150)+0.004,1,0)+IF(AW150*1000000+SUM(Y150,AQ150)*10000+SUM(S150,AK150)*100+SUM(M150,AE150)+0.001&gt;AT150*1000000+SUM(V150,AN150)*10000+SUM(P150,AH150)*100+SUM(J150,AB150)+0.004,1,0)=1,"A",IF(IF(AR150*1000000+SUM(T150,AL150)*10000+SUM(N150,AF150)*100+SUM(H150,Z150)+0.006&gt;AU150*1000000+SUM(W150,AO150)*10000+SUM(Q150,AI150)*100+SUM(K150,AC150)+0.003,1,0)+IF(AS150*1000000+SUM(U150,AM150)*10000+SUM(O150,AG150)*100+SUM(I150,AA150)+0.005&gt;AU150*1000000+SUM(W150,AO150)*10000+SUM(Q150,AI150)*100+SUM(K150,AC150)+0.003,1,0)+IF(AT150*1000000+SUM(V150,AN150)*10000+SUM(P150,AH150)*100+SUM(J150,AB150)+0.004&gt;AU150*1000000+SUM(W150,AO150)*10000+SUM(Q150,AI150)*100+SUM(K150,AC150)+0.003,1,0)+IF(AV150*1000000+SUM(X150,AP150)*10000+SUM(R150,AJ150)*100+SUM(L150,AD150)+0.002&gt;AU150*1000000+SUM(W150,AO150)*10000+SUM(Q150,AI150)*100+SUM(K150,AC150)+0.003,1,0)+IF(AW150*1000000+SUM(Y150,AQ150)*10000+SUM(S150,AK150)*100+SUM(M150,AE150)+0.001&gt;AU150*1000000+SUM(W150,AO150)*10000+SUM(Q150,AI150)*100+SUM(K150,AC150)+0.003,1,0)=1,"S",IF(IF(AR150*1000000+SUM(T150,AL150)*10000+SUM(N150,AF150)*100+SUM(H150,Z150)+0.006&gt;AV150*1000000+SUM(X150,AP150)*10000+SUM(R150,AJ150)*100+SUM(L150,AD150)+0.002,1,0)+IF(AS150*1000000+SUM(U150,AM150)*10000+SUM(O150,AG150)*100+SUM(I150,AA150)+0.005&gt;AV150*1000000+SUM(X150,AP150)*10000+SUM(R150,AJ150)*100+SUM(L150,AD150)+0.002,1,0)+IF(AT150*1000000+SUM(V150,AN150)*10000+SUM(P150,AH150)*100+SUM(J150,AB150)+0.004&gt;AV150*1000000+SUM(X150,AP150)*10000+SUM(R150,AJ150)*100+SUM(L150,AD150)+0.002,1,0)+IF(AU150*1000000+SUM(W150,AO150)*10000+SUM(Q150,AI150)*100+SUM(K150,AC150)+0.003&gt;AV150*1000000+SUM(X150,AP150)*10000+SUM(R150,AJ150)*100+SUM(L150,AD150)+0.002,1,0)+IF(AW150*1000000+SUM(Y150,AQ150)*10000+SUM(S150,AK150)*100+SUM(M150,AE150)+0.001&gt;AV150*1000000+SUM(X150,AP150)*10000+SUM(R150,AJ150)*100+SUM(L150,AD150)+0.002,1,0)=1,"E",IF(IF(AR150*1000000+SUM(T150,AL150)*10000+SUM(N150,AF150)*100+SUM(H150,Z150)+0.006&gt;AW150*1000000+SUM(Y150,AQ150)*10000+SUM(S150,AK150)*100+SUM(M150,AE150)+0.001,1,0)+IF(AS150*1000000+SUM(U150,AM150)*10000+SUM(O150,AG150)*100+SUM(I150,AA150)+0.005&gt;AW150*1000000+SUM(Y150,AQ150)*10000+SUM(S150,AK150)*100+SUM(M150,AE150)+0.001,1,0)+IF(AT150*1000000+SUM(V150,AN150)*10000+SUM(P150,AH150)*100+SUM(J150,AB150)+0.004&gt;AW150*1000000+SUM(Y150,AQ150)*10000+SUM(S150,AK150)*100+SUM(M150,AE150)+0.001,1,0)+IF(AU150*1000000+SUM(W150,AO150)*10000+SUM(Q150,AI150)*100+SUM(K150,AC150)+0.003&gt;AW150*1000000+SUM(Y150,AQ150)*10000+SUM(S150,AK150)*100+SUM(M150,AE150)+0.001,1,0)+IF(AV150*1000000+SUM(X150,AP150)*10000+SUM(R150,AJ150)*100+SUM(L150,AD150)+0.002&gt;AW150*1000000+SUM(Y150,AQ150)*10000+SUM(S150,AK150)*100+SUM(M150,AE150)+0.001,1,0)=1,"C",""))))))&amp;IF(IF(AS150*1000000+SUM(U150,AM150)*10000+SUM(O150,AG150)*100+SUM(I150,AA150)+0.005&gt;AR150*1000000+SUM(T150,AL150)*10000+SUM(N150,AF150)*100+SUM(H150,Z150)+0.006,1,0)+IF(AT150*1000000+SUM(V150,AN150)*10000+SUM(P150,AH150)*100+SUM(J150,AB150)+0.004&gt;AR150*1000000+SUM(T150,AL150)*10000+SUM(N150,AF150)*100+SUM(H150,Z150)+0.006,1,0)+IF(AU150*1000000+SUM(W150,AO150)*10000+SUM(Q150,AI150)*100+SUM(K150,AC150)+0.003&gt;AR150*1000000+SUM(T150,AL150)*10000+SUM(N150,AF150)*100+SUM(H150,Z150)+0.006,1,0)+IF(AV150*1000000+SUM(X150,AP150)*10000+SUM(R150,AJ150)*100+SUM(L150,AD150)+0.002&gt;AR150*1000000+SUM(T150,AL150)*10000+SUM(N150,AF150)*100+SUM(H150,Z150)+0.006,1,0)+IF(AW150*1000000+SUM(Y150,AQ150)*10000+SUM(S150,AK150)*100+SUM(M150,AE150)+0.001&gt;AR150*1000000+SUM(T150,AL150)*10000+SUM(N150,AF150)*100+SUM(H150,Z150)+0.006,1,0)=2,"R",IF(IF(AR150*1000000+SUM(T150,AL150)*10000+SUM(N150,AF150)*100+SUM(H150,Z150)+0.006&gt;AS150*1000000+SUM(U150,AM150)*10000+SUM(O150,AG150)*100+SUM(I150,AA150)+0.005,1,0)+IF(AT150*1000000+SUM(V150,AN150)*10000+SUM(P150,AH150)*100+SUM(J150,AB150)+0.004&gt;AS150*1000000+SUM(U150,AM150)*10000+SUM(O150,AG150)*100+SUM(I150,AA150)+0.005,1,0)+IF(AU150*1000000+SUM(W150,AO150)*10000+SUM(Q150,AI150)*100+SUM(K150,AC150)+0.003&gt;AS150*1000000+SUM(U150,AM150)*10000+SUM(O150,AG150)*100+SUM(I150,AA150)+0.005,1,0)+IF(AV150*1000000+SUM(X150,AP150)*10000+SUM(R150,AJ150)*100+SUM(L150,AD150)+0.002&gt;AS150*1000000+SUM(U150,AM150)*10000+SUM(O150,AG150)*100+SUM(I150,AA150)+0.005,1,0)+IF(AW150*1000000+SUM(Y150,AQ150)*10000+SUM(S150,AK150)*100+SUM(M150,AE150)+0.001&gt;AS150*1000000+SUM(U150,AM150)*10000+SUM(O150,AG150)*100+SUM(I150,AA150)+0.005,1,0)=2,"I",IF(IF(AR150*1000000+SUM(T150,AL150)*10000+SUM(N150,AF150)*100+SUM(H150,Z150)+0.006&gt;AT150*1000000+SUM(V150,AN150)*10000+SUM(P150,AH150)*100+SUM(J150,AB150)+0.004,1,0)+IF(AS150*1000000+SUM(U150,AM150)*10000+SUM(O150,AG150)*100+SUM(I150,AA150)+0.005&gt;AT150*1000000+SUM(V150,AN150)*10000+SUM(P150,AH150)*100+SUM(J150,AB150)+0.004,1,0)+IF(AU150*1000000+SUM(W150,AO150)*10000+SUM(Q150,AI150)*100+SUM(K150,AC150)+0.003&gt;AT150*1000000+SUM(V150,AN150)*10000+SUM(P150,AH150)*100+SUM(J150,AB150)+0.004,1,0)+IF(AV150*1000000+SUM(X150,AP150)*10000+SUM(R150,AJ150)*100+SUM(L150,AD150)+0.002&gt;AT150*1000000+SUM(V150,AN150)*10000+SUM(P150,AH150)*100+SUM(J150,AB150)+0.004,1,0)+IF(AW150*1000000+SUM(Y150,AQ150)*10000+SUM(S150,AK150)*100+SUM(M150,AE150)+0.001&gt;AT150*1000000+SUM(V150,AN150)*10000+SUM(P150,AH150)*100+SUM(J150,AB150)+0.004,1,0)=2,"A",IF(IF(AR150*1000000+SUM(T150,AL150)*10000+SUM(N150,AF150)*100+SUM(H150,Z150)+0.006&gt;AU150*1000000+SUM(W150,AO150)*10000+SUM(Q150,AI150)*100+SUM(K150,AC150)+0.003,1,0)+IF(AS150*1000000+SUM(U150,AM150)*10000+SUM(O150,AG150)*100+SUM(I150,AA150)+0.005&gt;AU150*1000000+SUM(W150,AO150)*10000+SUM(Q150,AI150)*100+SUM(K150,AC150)+0.003,1,0)+IF(AT150*1000000+SUM(V150,AN150)*10000+SUM(P150,AH150)*100+SUM(J150,AB150)+0.004&gt;AU150*1000000+SUM(W150,AO150)*10000+SUM(Q150,AI150)*100+SUM(K150,AC150)+0.003,1,0)+IF(AV150*1000000+SUM(X150,AP150)*10000+SUM(R150,AJ150)*100+SUM(L150,AD150)+0.002&gt;AU150*1000000+SUM(W150,AO150)*10000+SUM(Q150,AI150)*100+SUM(K150,AC150)+0.003,1,0)+IF(AW150*1000000+SUM(Y150,AQ150)*10000+SUM(S150,AK150)*100+SUM(M150,AE150)+0.001&gt;AU150*1000000+SUM(W150,AO150)*10000+SUM(Q150,AI150)*100+SUM(K150,AC150)+0.003,1,0)=2,"S",IF(IF(AR150*1000000+SUM(T150,AL150)*10000+SUM(N150,AF150)*100+SUM(H150,Z150)+0.006&gt;AV150*1000000+SUM(X150,AP150)*10000+SUM(R150,AJ150)*100+SUM(L150,AD150)+0.002,1,0)+IF(AS150*1000000+SUM(U150,AM150)*10000+SUM(O150,AG150)*100+SUM(I150,AA150)+0.005&gt;AV150*1000000+SUM(X150,AP150)*10000+SUM(R150,AJ150)*100+SUM(L150,AD150)+0.002,1,0)+IF(AT150*1000000+SUM(V150,AN150)*10000+SUM(P150,AH150)*100+SUM(J150,AB150)+0.004&gt;AV150*1000000+SUM(X150,AP150)*10000+SUM(R150,AJ150)*100+SUM(L150,AD150)+0.002,1,0)+IF(AU150*1000000+SUM(W150,AO150)*10000+SUM(Q150,AI150)*100+SUM(K150,AC150)+0.003&gt;AV150*1000000+SUM(X150,AP150)*10000+SUM(R150,AJ150)*100+SUM(L150,AD150)+0.002,1,0)+IF(AW150*1000000+SUM(Y150,AQ150)*10000+SUM(S150,AK150)*100+SUM(M150,AE150)+0.001&gt;AV150*1000000+SUM(X150,AP150)*10000+SUM(R150,AJ150)*100+SUM(L150,AD150)+0.002,1,0)=2,"E",IF(IF(AR150*1000000+SUM(T150,AL150)*10000+SUM(N150,AF150)*100+SUM(H150,Z150)+0.006&gt;AW150*1000000+SUM(Y150,AQ150)*10000+SUM(S150,AK150)*100+SUM(M150,AE150)+0.001,1,0)+IF(AS150*1000000+SUM(U150,AM150)*10000+SUM(O150,AG150)*100+SUM(I150,AA150)+0.005&gt;AW150*1000000+SUM(Y150,AQ150)*10000+SUM(S150,AK150)*100+SUM(M150,AE150)+0.001,1,0)+IF(AT150*1000000+SUM(V150,AN150)*10000+SUM(P150,AH150)*100+SUM(J150,AB150)+0.004&gt;AW150*1000000+SUM(Y150,AQ150)*10000+SUM(S150,AK150)*100+SUM(M150,AE150)+0.001,1,0)+IF(AU150*1000000+SUM(W150,AO150)*10000+SUM(Q150,AI150)*100+SUM(K150,AC150)+0.003&gt;AW150*1000000+SUM(Y150,AQ150)*10000+SUM(S150,AK150)*100+SUM(M150,AE150)+0.001,1,0)+IF(AV150*1000000+SUM(X150,AP150)*10000+SUM(R150,AJ150)*100+SUM(L150,AD150)+0.002&gt;AW150*1000000+SUM(Y150,AQ150)*10000+SUM(S150,AK150)*100+SUM(M150,AE150)+0.001,1,0)=2,"C","")))))))</x:f>
      </x:c>
      <x:c r="AY150" s="27" t="str">
        <x:f>IF(C150="","",IF(LEFT(AX150,1)="R","นักปฏิบัติ",IF(LEFT(AX150,1)="I","นักคิดวิเคราะห์",IF(LEFT(AX150,1)="A","นักสร้างสรรค์",IF(LEFT(AX150,1)="S","ผู้เข้าใจผู้คน",IF(LEFT(AX150,1)="E","ผู้นำการเปลี่ยนแปลง","ผู้จัดระบบ"))))))</x:f>
      </x:c>
    </x:row>
    <x:row r="151">
      <x:c r="A151" s="27"/>
      <x:c r="B151" s="28"/>
      <x:c r="C151" s="27"/>
      <x:c r="D151" s="27"/>
      <x:c r="E151" s="27"/>
      <x:c r="F151" s="27"/>
      <x:c r="G151" s="27"/>
      <x:c r="H151" s="27"/>
      <x:c r="I151" s="27"/>
      <x:c r="J151" s="27"/>
      <x:c r="K151" s="27"/>
      <x:c r="L151" s="27"/>
      <x:c r="M151" s="27"/>
      <x:c r="N151" s="27"/>
      <x:c r="O151" s="27"/>
      <x:c r="P151" s="27"/>
      <x:c r="Q151" s="27"/>
      <x:c r="R151" s="27"/>
      <x:c r="S151" s="27"/>
      <x:c r="T151" s="27"/>
      <x:c r="U151" s="27"/>
      <x:c r="V151" s="27"/>
      <x:c r="W151" s="27"/>
      <x:c r="X151" s="27"/>
      <x:c r="Y151" s="27"/>
      <x:c r="Z151" s="27"/>
      <x:c r="AA151" s="27"/>
      <x:c r="AB151" s="27"/>
      <x:c r="AC151" s="27"/>
      <x:c r="AD151" s="27"/>
      <x:c r="AE151" s="27"/>
      <x:c r="AF151" s="27"/>
      <x:c r="AG151" s="27"/>
      <x:c r="AH151" s="27"/>
      <x:c r="AI151" s="27"/>
      <x:c r="AJ151" s="27"/>
      <x:c r="AK151" s="27"/>
      <x:c r="AL151" s="27"/>
      <x:c r="AM151" s="27"/>
      <x:c r="AN151" s="27"/>
      <x:c r="AO151" s="27"/>
      <x:c r="AP151" s="27"/>
      <x:c r="AQ151" s="27"/>
      <x:c r="AR151" s="27" t="str">
        <x:f>IF(C151="","",SUM(H151,N151,T151,Z151,AF151,AL151))</x:f>
      </x:c>
      <x:c r="AS151" s="27" t="str">
        <x:f>IF(C151="","",SUM(I151,O151,U151,AA151,AG151,AM151))</x:f>
      </x:c>
      <x:c r="AT151" s="27" t="str">
        <x:f>IF(C151="","",SUM(J151,P151,V151,AB151,AH151,AN151))</x:f>
      </x:c>
      <x:c r="AU151" s="27" t="str">
        <x:f>IF(C151="","",SUM(K151,Q151,W151,AC151,AI151,AO151))</x:f>
      </x:c>
      <x:c r="AV151" s="27" t="str">
        <x:f>IF(C151="","",SUM(L151,R151,X151,AD151,AJ151,AP151))</x:f>
      </x:c>
      <x:c r="AW151" s="27" t="str">
        <x:f>IF(C151="","",SUM(M151,S151,Y151,AE151,AK151,AQ151))</x:f>
      </x:c>
      <x:c r="AX151" s="27" t="str">
        <x:f>IF(C151="","",IF(IF(AS151*1000000+SUM(U151,AM151)*10000+SUM(O151,AG151)*100+SUM(I151,AA151)+0.005&gt;AR151*1000000+SUM(T151,AL151)*10000+SUM(N151,AF151)*100+SUM(H151,Z151)+0.006,1,0)+IF(AT151*1000000+SUM(V151,AN151)*10000+SUM(P151,AH151)*100+SUM(J151,AB151)+0.004&gt;AR151*1000000+SUM(T151,AL151)*10000+SUM(N151,AF151)*100+SUM(H151,Z151)+0.006,1,0)+IF(AU151*1000000+SUM(W151,AO151)*10000+SUM(Q151,AI151)*100+SUM(K151,AC151)+0.003&gt;AR151*1000000+SUM(T151,AL151)*10000+SUM(N151,AF151)*100+SUM(H151,Z151)+0.006,1,0)+IF(AV151*1000000+SUM(X151,AP151)*10000+SUM(R151,AJ151)*100+SUM(L151,AD151)+0.002&gt;AR151*1000000+SUM(T151,AL151)*10000+SUM(N151,AF151)*100+SUM(H151,Z151)+0.006,1,0)+IF(AW151*1000000+SUM(Y151,AQ151)*10000+SUM(S151,AK151)*100+SUM(M151,AE151)+0.001&gt;AR151*1000000+SUM(T151,AL151)*10000+SUM(N151,AF151)*100+SUM(H151,Z151)+0.006,1,0)=0,"R",IF(IF(AR151*1000000+SUM(T151,AL151)*10000+SUM(N151,AF151)*100+SUM(H151,Z151)+0.006&gt;AS151*1000000+SUM(U151,AM151)*10000+SUM(O151,AG151)*100+SUM(I151,AA151)+0.005,1,0)+IF(AT151*1000000+SUM(V151,AN151)*10000+SUM(P151,AH151)*100+SUM(J151,AB151)+0.004&gt;AS151*1000000+SUM(U151,AM151)*10000+SUM(O151,AG151)*100+SUM(I151,AA151)+0.005,1,0)+IF(AU151*1000000+SUM(W151,AO151)*10000+SUM(Q151,AI151)*100+SUM(K151,AC151)+0.003&gt;AS151*1000000+SUM(U151,AM151)*10000+SUM(O151,AG151)*100+SUM(I151,AA151)+0.005,1,0)+IF(AV151*1000000+SUM(X151,AP151)*10000+SUM(R151,AJ151)*100+SUM(L151,AD151)+0.002&gt;AS151*1000000+SUM(U151,AM151)*10000+SUM(O151,AG151)*100+SUM(I151,AA151)+0.005,1,0)+IF(AW151*1000000+SUM(Y151,AQ151)*10000+SUM(S151,AK151)*100+SUM(M151,AE151)+0.001&gt;AS151*1000000+SUM(U151,AM151)*10000+SUM(O151,AG151)*100+SUM(I151,AA151)+0.005,1,0)=0,"I",IF(IF(AR151*1000000+SUM(T151,AL151)*10000+SUM(N151,AF151)*100+SUM(H151,Z151)+0.006&gt;AT151*1000000+SUM(V151,AN151)*10000+SUM(P151,AH151)*100+SUM(J151,AB151)+0.004,1,0)+IF(AS151*1000000+SUM(U151,AM151)*10000+SUM(O151,AG151)*100+SUM(I151,AA151)+0.005&gt;AT151*1000000+SUM(V151,AN151)*10000+SUM(P151,AH151)*100+SUM(J151,AB151)+0.004,1,0)+IF(AU151*1000000+SUM(W151,AO151)*10000+SUM(Q151,AI151)*100+SUM(K151,AC151)+0.003&gt;AT151*1000000+SUM(V151,AN151)*10000+SUM(P151,AH151)*100+SUM(J151,AB151)+0.004,1,0)+IF(AV151*1000000+SUM(X151,AP151)*10000+SUM(R151,AJ151)*100+SUM(L151,AD151)+0.002&gt;AT151*1000000+SUM(V151,AN151)*10000+SUM(P151,AH151)*100+SUM(J151,AB151)+0.004,1,0)+IF(AW151*1000000+SUM(Y151,AQ151)*10000+SUM(S151,AK151)*100+SUM(M151,AE151)+0.001&gt;AT151*1000000+SUM(V151,AN151)*10000+SUM(P151,AH151)*100+SUM(J151,AB151)+0.004,1,0)=0,"A",IF(IF(AR151*1000000+SUM(T151,AL151)*10000+SUM(N151,AF151)*100+SUM(H151,Z151)+0.006&gt;AU151*1000000+SUM(W151,AO151)*10000+SUM(Q151,AI151)*100+SUM(K151,AC151)+0.003,1,0)+IF(AS151*1000000+SUM(U151,AM151)*10000+SUM(O151,AG151)*100+SUM(I151,AA151)+0.005&gt;AU151*1000000+SUM(W151,AO151)*10000+SUM(Q151,AI151)*100+SUM(K151,AC151)+0.003,1,0)+IF(AT151*1000000+SUM(V151,AN151)*10000+SUM(P151,AH151)*100+SUM(J151,AB151)+0.004&gt;AU151*1000000+SUM(W151,AO151)*10000+SUM(Q151,AI151)*100+SUM(K151,AC151)+0.003,1,0)+IF(AV151*1000000+SUM(X151,AP151)*10000+SUM(R151,AJ151)*100+SUM(L151,AD151)+0.002&gt;AU151*1000000+SUM(W151,AO151)*10000+SUM(Q151,AI151)*100+SUM(K151,AC151)+0.003,1,0)+IF(AW151*1000000+SUM(Y151,AQ151)*10000+SUM(S151,AK151)*100+SUM(M151,AE151)+0.001&gt;AU151*1000000+SUM(W151,AO151)*10000+SUM(Q151,AI151)*100+SUM(K151,AC151)+0.003,1,0)=0,"S",IF(IF(AR151*1000000+SUM(T151,AL151)*10000+SUM(N151,AF151)*100+SUM(H151,Z151)+0.006&gt;AV151*1000000+SUM(X151,AP151)*10000+SUM(R151,AJ151)*100+SUM(L151,AD151)+0.002,1,0)+IF(AS151*1000000+SUM(U151,AM151)*10000+SUM(O151,AG151)*100+SUM(I151,AA151)+0.005&gt;AV151*1000000+SUM(X151,AP151)*10000+SUM(R151,AJ151)*100+SUM(L151,AD151)+0.002,1,0)+IF(AT151*1000000+SUM(V151,AN151)*10000+SUM(P151,AH151)*100+SUM(J151,AB151)+0.004&gt;AV151*1000000+SUM(X151,AP151)*10000+SUM(R151,AJ151)*100+SUM(L151,AD151)+0.002,1,0)+IF(AU151*1000000+SUM(W151,AO151)*10000+SUM(Q151,AI151)*100+SUM(K151,AC151)+0.003&gt;AV151*1000000+SUM(X151,AP151)*10000+SUM(R151,AJ151)*100+SUM(L151,AD151)+0.002,1,0)+IF(AW151*1000000+SUM(Y151,AQ151)*10000+SUM(S151,AK151)*100+SUM(M151,AE151)+0.001&gt;AV151*1000000+SUM(X151,AP151)*10000+SUM(R151,AJ151)*100+SUM(L151,AD151)+0.002,1,0)=0,"E",IF(IF(AR151*1000000+SUM(T151,AL151)*10000+SUM(N151,AF151)*100+SUM(H151,Z151)+0.006&gt;AW151*1000000+SUM(Y151,AQ151)*10000+SUM(S151,AK151)*100+SUM(M151,AE151)+0.001,1,0)+IF(AS151*1000000+SUM(U151,AM151)*10000+SUM(O151,AG151)*100+SUM(I151,AA151)+0.005&gt;AW151*1000000+SUM(Y151,AQ151)*10000+SUM(S151,AK151)*100+SUM(M151,AE151)+0.001,1,0)+IF(AT151*1000000+SUM(V151,AN151)*10000+SUM(P151,AH151)*100+SUM(J151,AB151)+0.004&gt;AW151*1000000+SUM(Y151,AQ151)*10000+SUM(S151,AK151)*100+SUM(M151,AE151)+0.001,1,0)+IF(AU151*1000000+SUM(W151,AO151)*10000+SUM(Q151,AI151)*100+SUM(K151,AC151)+0.003&gt;AW151*1000000+SUM(Y151,AQ151)*10000+SUM(S151,AK151)*100+SUM(M151,AE151)+0.001,1,0)+IF(AV151*1000000+SUM(X151,AP151)*10000+SUM(R151,AJ151)*100+SUM(L151,AD151)+0.002&gt;AW151*1000000+SUM(Y151,AQ151)*10000+SUM(S151,AK151)*100+SUM(M151,AE151)+0.001,1,0)=0,"C",""))))))&amp;IF(IF(AS151*1000000+SUM(U151,AM151)*10000+SUM(O151,AG151)*100+SUM(I151,AA151)+0.005&gt;AR151*1000000+SUM(T151,AL151)*10000+SUM(N151,AF151)*100+SUM(H151,Z151)+0.006,1,0)+IF(AT151*1000000+SUM(V151,AN151)*10000+SUM(P151,AH151)*100+SUM(J151,AB151)+0.004&gt;AR151*1000000+SUM(T151,AL151)*10000+SUM(N151,AF151)*100+SUM(H151,Z151)+0.006,1,0)+IF(AU151*1000000+SUM(W151,AO151)*10000+SUM(Q151,AI151)*100+SUM(K151,AC151)+0.003&gt;AR151*1000000+SUM(T151,AL151)*10000+SUM(N151,AF151)*100+SUM(H151,Z151)+0.006,1,0)+IF(AV151*1000000+SUM(X151,AP151)*10000+SUM(R151,AJ151)*100+SUM(L151,AD151)+0.002&gt;AR151*1000000+SUM(T151,AL151)*10000+SUM(N151,AF151)*100+SUM(H151,Z151)+0.006,1,0)+IF(AW151*1000000+SUM(Y151,AQ151)*10000+SUM(S151,AK151)*100+SUM(M151,AE151)+0.001&gt;AR151*1000000+SUM(T151,AL151)*10000+SUM(N151,AF151)*100+SUM(H151,Z151)+0.006,1,0)=1,"R",IF(IF(AR151*1000000+SUM(T151,AL151)*10000+SUM(N151,AF151)*100+SUM(H151,Z151)+0.006&gt;AS151*1000000+SUM(U151,AM151)*10000+SUM(O151,AG151)*100+SUM(I151,AA151)+0.005,1,0)+IF(AT151*1000000+SUM(V151,AN151)*10000+SUM(P151,AH151)*100+SUM(J151,AB151)+0.004&gt;AS151*1000000+SUM(U151,AM151)*10000+SUM(O151,AG151)*100+SUM(I151,AA151)+0.005,1,0)+IF(AU151*1000000+SUM(W151,AO151)*10000+SUM(Q151,AI151)*100+SUM(K151,AC151)+0.003&gt;AS151*1000000+SUM(U151,AM151)*10000+SUM(O151,AG151)*100+SUM(I151,AA151)+0.005,1,0)+IF(AV151*1000000+SUM(X151,AP151)*10000+SUM(R151,AJ151)*100+SUM(L151,AD151)+0.002&gt;AS151*1000000+SUM(U151,AM151)*10000+SUM(O151,AG151)*100+SUM(I151,AA151)+0.005,1,0)+IF(AW151*1000000+SUM(Y151,AQ151)*10000+SUM(S151,AK151)*100+SUM(M151,AE151)+0.001&gt;AS151*1000000+SUM(U151,AM151)*10000+SUM(O151,AG151)*100+SUM(I151,AA151)+0.005,1,0)=1,"I",IF(IF(AR151*1000000+SUM(T151,AL151)*10000+SUM(N151,AF151)*100+SUM(H151,Z151)+0.006&gt;AT151*1000000+SUM(V151,AN151)*10000+SUM(P151,AH151)*100+SUM(J151,AB151)+0.004,1,0)+IF(AS151*1000000+SUM(U151,AM151)*10000+SUM(O151,AG151)*100+SUM(I151,AA151)+0.005&gt;AT151*1000000+SUM(V151,AN151)*10000+SUM(P151,AH151)*100+SUM(J151,AB151)+0.004,1,0)+IF(AU151*1000000+SUM(W151,AO151)*10000+SUM(Q151,AI151)*100+SUM(K151,AC151)+0.003&gt;AT151*1000000+SUM(V151,AN151)*10000+SUM(P151,AH151)*100+SUM(J151,AB151)+0.004,1,0)+IF(AV151*1000000+SUM(X151,AP151)*10000+SUM(R151,AJ151)*100+SUM(L151,AD151)+0.002&gt;AT151*1000000+SUM(V151,AN151)*10000+SUM(P151,AH151)*100+SUM(J151,AB151)+0.004,1,0)+IF(AW151*1000000+SUM(Y151,AQ151)*10000+SUM(S151,AK151)*100+SUM(M151,AE151)+0.001&gt;AT151*1000000+SUM(V151,AN151)*10000+SUM(P151,AH151)*100+SUM(J151,AB151)+0.004,1,0)=1,"A",IF(IF(AR151*1000000+SUM(T151,AL151)*10000+SUM(N151,AF151)*100+SUM(H151,Z151)+0.006&gt;AU151*1000000+SUM(W151,AO151)*10000+SUM(Q151,AI151)*100+SUM(K151,AC151)+0.003,1,0)+IF(AS151*1000000+SUM(U151,AM151)*10000+SUM(O151,AG151)*100+SUM(I151,AA151)+0.005&gt;AU151*1000000+SUM(W151,AO151)*10000+SUM(Q151,AI151)*100+SUM(K151,AC151)+0.003,1,0)+IF(AT151*1000000+SUM(V151,AN151)*10000+SUM(P151,AH151)*100+SUM(J151,AB151)+0.004&gt;AU151*1000000+SUM(W151,AO151)*10000+SUM(Q151,AI151)*100+SUM(K151,AC151)+0.003,1,0)+IF(AV151*1000000+SUM(X151,AP151)*10000+SUM(R151,AJ151)*100+SUM(L151,AD151)+0.002&gt;AU151*1000000+SUM(W151,AO151)*10000+SUM(Q151,AI151)*100+SUM(K151,AC151)+0.003,1,0)+IF(AW151*1000000+SUM(Y151,AQ151)*10000+SUM(S151,AK151)*100+SUM(M151,AE151)+0.001&gt;AU151*1000000+SUM(W151,AO151)*10000+SUM(Q151,AI151)*100+SUM(K151,AC151)+0.003,1,0)=1,"S",IF(IF(AR151*1000000+SUM(T151,AL151)*10000+SUM(N151,AF151)*100+SUM(H151,Z151)+0.006&gt;AV151*1000000+SUM(X151,AP151)*10000+SUM(R151,AJ151)*100+SUM(L151,AD151)+0.002,1,0)+IF(AS151*1000000+SUM(U151,AM151)*10000+SUM(O151,AG151)*100+SUM(I151,AA151)+0.005&gt;AV151*1000000+SUM(X151,AP151)*10000+SUM(R151,AJ151)*100+SUM(L151,AD151)+0.002,1,0)+IF(AT151*1000000+SUM(V151,AN151)*10000+SUM(P151,AH151)*100+SUM(J151,AB151)+0.004&gt;AV151*1000000+SUM(X151,AP151)*10000+SUM(R151,AJ151)*100+SUM(L151,AD151)+0.002,1,0)+IF(AU151*1000000+SUM(W151,AO151)*10000+SUM(Q151,AI151)*100+SUM(K151,AC151)+0.003&gt;AV151*1000000+SUM(X151,AP151)*10000+SUM(R151,AJ151)*100+SUM(L151,AD151)+0.002,1,0)+IF(AW151*1000000+SUM(Y151,AQ151)*10000+SUM(S151,AK151)*100+SUM(M151,AE151)+0.001&gt;AV151*1000000+SUM(X151,AP151)*10000+SUM(R151,AJ151)*100+SUM(L151,AD151)+0.002,1,0)=1,"E",IF(IF(AR151*1000000+SUM(T151,AL151)*10000+SUM(N151,AF151)*100+SUM(H151,Z151)+0.006&gt;AW151*1000000+SUM(Y151,AQ151)*10000+SUM(S151,AK151)*100+SUM(M151,AE151)+0.001,1,0)+IF(AS151*1000000+SUM(U151,AM151)*10000+SUM(O151,AG151)*100+SUM(I151,AA151)+0.005&gt;AW151*1000000+SUM(Y151,AQ151)*10000+SUM(S151,AK151)*100+SUM(M151,AE151)+0.001,1,0)+IF(AT151*1000000+SUM(V151,AN151)*10000+SUM(P151,AH151)*100+SUM(J151,AB151)+0.004&gt;AW151*1000000+SUM(Y151,AQ151)*10000+SUM(S151,AK151)*100+SUM(M151,AE151)+0.001,1,0)+IF(AU151*1000000+SUM(W151,AO151)*10000+SUM(Q151,AI151)*100+SUM(K151,AC151)+0.003&gt;AW151*1000000+SUM(Y151,AQ151)*10000+SUM(S151,AK151)*100+SUM(M151,AE151)+0.001,1,0)+IF(AV151*1000000+SUM(X151,AP151)*10000+SUM(R151,AJ151)*100+SUM(L151,AD151)+0.002&gt;AW151*1000000+SUM(Y151,AQ151)*10000+SUM(S151,AK151)*100+SUM(M151,AE151)+0.001,1,0)=1,"C",""))))))&amp;IF(IF(AS151*1000000+SUM(U151,AM151)*10000+SUM(O151,AG151)*100+SUM(I151,AA151)+0.005&gt;AR151*1000000+SUM(T151,AL151)*10000+SUM(N151,AF151)*100+SUM(H151,Z151)+0.006,1,0)+IF(AT151*1000000+SUM(V151,AN151)*10000+SUM(P151,AH151)*100+SUM(J151,AB151)+0.004&gt;AR151*1000000+SUM(T151,AL151)*10000+SUM(N151,AF151)*100+SUM(H151,Z151)+0.006,1,0)+IF(AU151*1000000+SUM(W151,AO151)*10000+SUM(Q151,AI151)*100+SUM(K151,AC151)+0.003&gt;AR151*1000000+SUM(T151,AL151)*10000+SUM(N151,AF151)*100+SUM(H151,Z151)+0.006,1,0)+IF(AV151*1000000+SUM(X151,AP151)*10000+SUM(R151,AJ151)*100+SUM(L151,AD151)+0.002&gt;AR151*1000000+SUM(T151,AL151)*10000+SUM(N151,AF151)*100+SUM(H151,Z151)+0.006,1,0)+IF(AW151*1000000+SUM(Y151,AQ151)*10000+SUM(S151,AK151)*100+SUM(M151,AE151)+0.001&gt;AR151*1000000+SUM(T151,AL151)*10000+SUM(N151,AF151)*100+SUM(H151,Z151)+0.006,1,0)=2,"R",IF(IF(AR151*1000000+SUM(T151,AL151)*10000+SUM(N151,AF151)*100+SUM(H151,Z151)+0.006&gt;AS151*1000000+SUM(U151,AM151)*10000+SUM(O151,AG151)*100+SUM(I151,AA151)+0.005,1,0)+IF(AT151*1000000+SUM(V151,AN151)*10000+SUM(P151,AH151)*100+SUM(J151,AB151)+0.004&gt;AS151*1000000+SUM(U151,AM151)*10000+SUM(O151,AG151)*100+SUM(I151,AA151)+0.005,1,0)+IF(AU151*1000000+SUM(W151,AO151)*10000+SUM(Q151,AI151)*100+SUM(K151,AC151)+0.003&gt;AS151*1000000+SUM(U151,AM151)*10000+SUM(O151,AG151)*100+SUM(I151,AA151)+0.005,1,0)+IF(AV151*1000000+SUM(X151,AP151)*10000+SUM(R151,AJ151)*100+SUM(L151,AD151)+0.002&gt;AS151*1000000+SUM(U151,AM151)*10000+SUM(O151,AG151)*100+SUM(I151,AA151)+0.005,1,0)+IF(AW151*1000000+SUM(Y151,AQ151)*10000+SUM(S151,AK151)*100+SUM(M151,AE151)+0.001&gt;AS151*1000000+SUM(U151,AM151)*10000+SUM(O151,AG151)*100+SUM(I151,AA151)+0.005,1,0)=2,"I",IF(IF(AR151*1000000+SUM(T151,AL151)*10000+SUM(N151,AF151)*100+SUM(H151,Z151)+0.006&gt;AT151*1000000+SUM(V151,AN151)*10000+SUM(P151,AH151)*100+SUM(J151,AB151)+0.004,1,0)+IF(AS151*1000000+SUM(U151,AM151)*10000+SUM(O151,AG151)*100+SUM(I151,AA151)+0.005&gt;AT151*1000000+SUM(V151,AN151)*10000+SUM(P151,AH151)*100+SUM(J151,AB151)+0.004,1,0)+IF(AU151*1000000+SUM(W151,AO151)*10000+SUM(Q151,AI151)*100+SUM(K151,AC151)+0.003&gt;AT151*1000000+SUM(V151,AN151)*10000+SUM(P151,AH151)*100+SUM(J151,AB151)+0.004,1,0)+IF(AV151*1000000+SUM(X151,AP151)*10000+SUM(R151,AJ151)*100+SUM(L151,AD151)+0.002&gt;AT151*1000000+SUM(V151,AN151)*10000+SUM(P151,AH151)*100+SUM(J151,AB151)+0.004,1,0)+IF(AW151*1000000+SUM(Y151,AQ151)*10000+SUM(S151,AK151)*100+SUM(M151,AE151)+0.001&gt;AT151*1000000+SUM(V151,AN151)*10000+SUM(P151,AH151)*100+SUM(J151,AB151)+0.004,1,0)=2,"A",IF(IF(AR151*1000000+SUM(T151,AL151)*10000+SUM(N151,AF151)*100+SUM(H151,Z151)+0.006&gt;AU151*1000000+SUM(W151,AO151)*10000+SUM(Q151,AI151)*100+SUM(K151,AC151)+0.003,1,0)+IF(AS151*1000000+SUM(U151,AM151)*10000+SUM(O151,AG151)*100+SUM(I151,AA151)+0.005&gt;AU151*1000000+SUM(W151,AO151)*10000+SUM(Q151,AI151)*100+SUM(K151,AC151)+0.003,1,0)+IF(AT151*1000000+SUM(V151,AN151)*10000+SUM(P151,AH151)*100+SUM(J151,AB151)+0.004&gt;AU151*1000000+SUM(W151,AO151)*10000+SUM(Q151,AI151)*100+SUM(K151,AC151)+0.003,1,0)+IF(AV151*1000000+SUM(X151,AP151)*10000+SUM(R151,AJ151)*100+SUM(L151,AD151)+0.002&gt;AU151*1000000+SUM(W151,AO151)*10000+SUM(Q151,AI151)*100+SUM(K151,AC151)+0.003,1,0)+IF(AW151*1000000+SUM(Y151,AQ151)*10000+SUM(S151,AK151)*100+SUM(M151,AE151)+0.001&gt;AU151*1000000+SUM(W151,AO151)*10000+SUM(Q151,AI151)*100+SUM(K151,AC151)+0.003,1,0)=2,"S",IF(IF(AR151*1000000+SUM(T151,AL151)*10000+SUM(N151,AF151)*100+SUM(H151,Z151)+0.006&gt;AV151*1000000+SUM(X151,AP151)*10000+SUM(R151,AJ151)*100+SUM(L151,AD151)+0.002,1,0)+IF(AS151*1000000+SUM(U151,AM151)*10000+SUM(O151,AG151)*100+SUM(I151,AA151)+0.005&gt;AV151*1000000+SUM(X151,AP151)*10000+SUM(R151,AJ151)*100+SUM(L151,AD151)+0.002,1,0)+IF(AT151*1000000+SUM(V151,AN151)*10000+SUM(P151,AH151)*100+SUM(J151,AB151)+0.004&gt;AV151*1000000+SUM(X151,AP151)*10000+SUM(R151,AJ151)*100+SUM(L151,AD151)+0.002,1,0)+IF(AU151*1000000+SUM(W151,AO151)*10000+SUM(Q151,AI151)*100+SUM(K151,AC151)+0.003&gt;AV151*1000000+SUM(X151,AP151)*10000+SUM(R151,AJ151)*100+SUM(L151,AD151)+0.002,1,0)+IF(AW151*1000000+SUM(Y151,AQ151)*10000+SUM(S151,AK151)*100+SUM(M151,AE151)+0.001&gt;AV151*1000000+SUM(X151,AP151)*10000+SUM(R151,AJ151)*100+SUM(L151,AD151)+0.002,1,0)=2,"E",IF(IF(AR151*1000000+SUM(T151,AL151)*10000+SUM(N151,AF151)*100+SUM(H151,Z151)+0.006&gt;AW151*1000000+SUM(Y151,AQ151)*10000+SUM(S151,AK151)*100+SUM(M151,AE151)+0.001,1,0)+IF(AS151*1000000+SUM(U151,AM151)*10000+SUM(O151,AG151)*100+SUM(I151,AA151)+0.005&gt;AW151*1000000+SUM(Y151,AQ151)*10000+SUM(S151,AK151)*100+SUM(M151,AE151)+0.001,1,0)+IF(AT151*1000000+SUM(V151,AN151)*10000+SUM(P151,AH151)*100+SUM(J151,AB151)+0.004&gt;AW151*1000000+SUM(Y151,AQ151)*10000+SUM(S151,AK151)*100+SUM(M151,AE151)+0.001,1,0)+IF(AU151*1000000+SUM(W151,AO151)*10000+SUM(Q151,AI151)*100+SUM(K151,AC151)+0.003&gt;AW151*1000000+SUM(Y151,AQ151)*10000+SUM(S151,AK151)*100+SUM(M151,AE151)+0.001,1,0)+IF(AV151*1000000+SUM(X151,AP151)*10000+SUM(R151,AJ151)*100+SUM(L151,AD151)+0.002&gt;AW151*1000000+SUM(Y151,AQ151)*10000+SUM(S151,AK151)*100+SUM(M151,AE151)+0.001,1,0)=2,"C","")))))))</x:f>
      </x:c>
      <x:c r="AY151" s="27" t="str">
        <x:f>IF(C151="","",IF(LEFT(AX151,1)="R","นักปฏิบัติ",IF(LEFT(AX151,1)="I","นักคิดวิเคราะห์",IF(LEFT(AX151,1)="A","นักสร้างสรรค์",IF(LEFT(AX151,1)="S","ผู้เข้าใจผู้คน",IF(LEFT(AX151,1)="E","ผู้นำการเปลี่ยนแปลง","ผู้จัดระบบ"))))))</x:f>
      </x:c>
    </x:row>
    <x:row r="152">
      <x:c r="A152" s="27"/>
      <x:c r="B152" s="28"/>
      <x:c r="C152" s="27"/>
      <x:c r="D152" s="27"/>
      <x:c r="E152" s="27"/>
      <x:c r="F152" s="27"/>
      <x:c r="G152" s="27"/>
      <x:c r="H152" s="27"/>
      <x:c r="I152" s="27"/>
      <x:c r="J152" s="27"/>
      <x:c r="K152" s="27"/>
      <x:c r="L152" s="27"/>
      <x:c r="M152" s="27"/>
      <x:c r="N152" s="27"/>
      <x:c r="O152" s="27"/>
      <x:c r="P152" s="27"/>
      <x:c r="Q152" s="27"/>
      <x:c r="R152" s="27"/>
      <x:c r="S152" s="27"/>
      <x:c r="T152" s="27"/>
      <x:c r="U152" s="27"/>
      <x:c r="V152" s="27"/>
      <x:c r="W152" s="27"/>
      <x:c r="X152" s="27"/>
      <x:c r="Y152" s="27"/>
      <x:c r="Z152" s="27"/>
      <x:c r="AA152" s="27"/>
      <x:c r="AB152" s="27"/>
      <x:c r="AC152" s="27"/>
      <x:c r="AD152" s="27"/>
      <x:c r="AE152" s="27"/>
      <x:c r="AF152" s="27"/>
      <x:c r="AG152" s="27"/>
      <x:c r="AH152" s="27"/>
      <x:c r="AI152" s="27"/>
      <x:c r="AJ152" s="27"/>
      <x:c r="AK152" s="27"/>
      <x:c r="AL152" s="27"/>
      <x:c r="AM152" s="27"/>
      <x:c r="AN152" s="27"/>
      <x:c r="AO152" s="27"/>
      <x:c r="AP152" s="27"/>
      <x:c r="AQ152" s="27"/>
      <x:c r="AR152" s="27" t="str">
        <x:f>IF(C152="","",SUM(H152,N152,T152,Z152,AF152,AL152))</x:f>
      </x:c>
      <x:c r="AS152" s="27" t="str">
        <x:f>IF(C152="","",SUM(I152,O152,U152,AA152,AG152,AM152))</x:f>
      </x:c>
      <x:c r="AT152" s="27" t="str">
        <x:f>IF(C152="","",SUM(J152,P152,V152,AB152,AH152,AN152))</x:f>
      </x:c>
      <x:c r="AU152" s="27" t="str">
        <x:f>IF(C152="","",SUM(K152,Q152,W152,AC152,AI152,AO152))</x:f>
      </x:c>
      <x:c r="AV152" s="27" t="str">
        <x:f>IF(C152="","",SUM(L152,R152,X152,AD152,AJ152,AP152))</x:f>
      </x:c>
      <x:c r="AW152" s="27" t="str">
        <x:f>IF(C152="","",SUM(M152,S152,Y152,AE152,AK152,AQ152))</x:f>
      </x:c>
      <x:c r="AX152" s="27" t="str">
        <x:f>IF(C152="","",IF(IF(AS152*1000000+SUM(U152,AM152)*10000+SUM(O152,AG152)*100+SUM(I152,AA152)+0.005&gt;AR152*1000000+SUM(T152,AL152)*10000+SUM(N152,AF152)*100+SUM(H152,Z152)+0.006,1,0)+IF(AT152*1000000+SUM(V152,AN152)*10000+SUM(P152,AH152)*100+SUM(J152,AB152)+0.004&gt;AR152*1000000+SUM(T152,AL152)*10000+SUM(N152,AF152)*100+SUM(H152,Z152)+0.006,1,0)+IF(AU152*1000000+SUM(W152,AO152)*10000+SUM(Q152,AI152)*100+SUM(K152,AC152)+0.003&gt;AR152*1000000+SUM(T152,AL152)*10000+SUM(N152,AF152)*100+SUM(H152,Z152)+0.006,1,0)+IF(AV152*1000000+SUM(X152,AP152)*10000+SUM(R152,AJ152)*100+SUM(L152,AD152)+0.002&gt;AR152*1000000+SUM(T152,AL152)*10000+SUM(N152,AF152)*100+SUM(H152,Z152)+0.006,1,0)+IF(AW152*1000000+SUM(Y152,AQ152)*10000+SUM(S152,AK152)*100+SUM(M152,AE152)+0.001&gt;AR152*1000000+SUM(T152,AL152)*10000+SUM(N152,AF152)*100+SUM(H152,Z152)+0.006,1,0)=0,"R",IF(IF(AR152*1000000+SUM(T152,AL152)*10000+SUM(N152,AF152)*100+SUM(H152,Z152)+0.006&gt;AS152*1000000+SUM(U152,AM152)*10000+SUM(O152,AG152)*100+SUM(I152,AA152)+0.005,1,0)+IF(AT152*1000000+SUM(V152,AN152)*10000+SUM(P152,AH152)*100+SUM(J152,AB152)+0.004&gt;AS152*1000000+SUM(U152,AM152)*10000+SUM(O152,AG152)*100+SUM(I152,AA152)+0.005,1,0)+IF(AU152*1000000+SUM(W152,AO152)*10000+SUM(Q152,AI152)*100+SUM(K152,AC152)+0.003&gt;AS152*1000000+SUM(U152,AM152)*10000+SUM(O152,AG152)*100+SUM(I152,AA152)+0.005,1,0)+IF(AV152*1000000+SUM(X152,AP152)*10000+SUM(R152,AJ152)*100+SUM(L152,AD152)+0.002&gt;AS152*1000000+SUM(U152,AM152)*10000+SUM(O152,AG152)*100+SUM(I152,AA152)+0.005,1,0)+IF(AW152*1000000+SUM(Y152,AQ152)*10000+SUM(S152,AK152)*100+SUM(M152,AE152)+0.001&gt;AS152*1000000+SUM(U152,AM152)*10000+SUM(O152,AG152)*100+SUM(I152,AA152)+0.005,1,0)=0,"I",IF(IF(AR152*1000000+SUM(T152,AL152)*10000+SUM(N152,AF152)*100+SUM(H152,Z152)+0.006&gt;AT152*1000000+SUM(V152,AN152)*10000+SUM(P152,AH152)*100+SUM(J152,AB152)+0.004,1,0)+IF(AS152*1000000+SUM(U152,AM152)*10000+SUM(O152,AG152)*100+SUM(I152,AA152)+0.005&gt;AT152*1000000+SUM(V152,AN152)*10000+SUM(P152,AH152)*100+SUM(J152,AB152)+0.004,1,0)+IF(AU152*1000000+SUM(W152,AO152)*10000+SUM(Q152,AI152)*100+SUM(K152,AC152)+0.003&gt;AT152*1000000+SUM(V152,AN152)*10000+SUM(P152,AH152)*100+SUM(J152,AB152)+0.004,1,0)+IF(AV152*1000000+SUM(X152,AP152)*10000+SUM(R152,AJ152)*100+SUM(L152,AD152)+0.002&gt;AT152*1000000+SUM(V152,AN152)*10000+SUM(P152,AH152)*100+SUM(J152,AB152)+0.004,1,0)+IF(AW152*1000000+SUM(Y152,AQ152)*10000+SUM(S152,AK152)*100+SUM(M152,AE152)+0.001&gt;AT152*1000000+SUM(V152,AN152)*10000+SUM(P152,AH152)*100+SUM(J152,AB152)+0.004,1,0)=0,"A",IF(IF(AR152*1000000+SUM(T152,AL152)*10000+SUM(N152,AF152)*100+SUM(H152,Z152)+0.006&gt;AU152*1000000+SUM(W152,AO152)*10000+SUM(Q152,AI152)*100+SUM(K152,AC152)+0.003,1,0)+IF(AS152*1000000+SUM(U152,AM152)*10000+SUM(O152,AG152)*100+SUM(I152,AA152)+0.005&gt;AU152*1000000+SUM(W152,AO152)*10000+SUM(Q152,AI152)*100+SUM(K152,AC152)+0.003,1,0)+IF(AT152*1000000+SUM(V152,AN152)*10000+SUM(P152,AH152)*100+SUM(J152,AB152)+0.004&gt;AU152*1000000+SUM(W152,AO152)*10000+SUM(Q152,AI152)*100+SUM(K152,AC152)+0.003,1,0)+IF(AV152*1000000+SUM(X152,AP152)*10000+SUM(R152,AJ152)*100+SUM(L152,AD152)+0.002&gt;AU152*1000000+SUM(W152,AO152)*10000+SUM(Q152,AI152)*100+SUM(K152,AC152)+0.003,1,0)+IF(AW152*1000000+SUM(Y152,AQ152)*10000+SUM(S152,AK152)*100+SUM(M152,AE152)+0.001&gt;AU152*1000000+SUM(W152,AO152)*10000+SUM(Q152,AI152)*100+SUM(K152,AC152)+0.003,1,0)=0,"S",IF(IF(AR152*1000000+SUM(T152,AL152)*10000+SUM(N152,AF152)*100+SUM(H152,Z152)+0.006&gt;AV152*1000000+SUM(X152,AP152)*10000+SUM(R152,AJ152)*100+SUM(L152,AD152)+0.002,1,0)+IF(AS152*1000000+SUM(U152,AM152)*10000+SUM(O152,AG152)*100+SUM(I152,AA152)+0.005&gt;AV152*1000000+SUM(X152,AP152)*10000+SUM(R152,AJ152)*100+SUM(L152,AD152)+0.002,1,0)+IF(AT152*1000000+SUM(V152,AN152)*10000+SUM(P152,AH152)*100+SUM(J152,AB152)+0.004&gt;AV152*1000000+SUM(X152,AP152)*10000+SUM(R152,AJ152)*100+SUM(L152,AD152)+0.002,1,0)+IF(AU152*1000000+SUM(W152,AO152)*10000+SUM(Q152,AI152)*100+SUM(K152,AC152)+0.003&gt;AV152*1000000+SUM(X152,AP152)*10000+SUM(R152,AJ152)*100+SUM(L152,AD152)+0.002,1,0)+IF(AW152*1000000+SUM(Y152,AQ152)*10000+SUM(S152,AK152)*100+SUM(M152,AE152)+0.001&gt;AV152*1000000+SUM(X152,AP152)*10000+SUM(R152,AJ152)*100+SUM(L152,AD152)+0.002,1,0)=0,"E",IF(IF(AR152*1000000+SUM(T152,AL152)*10000+SUM(N152,AF152)*100+SUM(H152,Z152)+0.006&gt;AW152*1000000+SUM(Y152,AQ152)*10000+SUM(S152,AK152)*100+SUM(M152,AE152)+0.001,1,0)+IF(AS152*1000000+SUM(U152,AM152)*10000+SUM(O152,AG152)*100+SUM(I152,AA152)+0.005&gt;AW152*1000000+SUM(Y152,AQ152)*10000+SUM(S152,AK152)*100+SUM(M152,AE152)+0.001,1,0)+IF(AT152*1000000+SUM(V152,AN152)*10000+SUM(P152,AH152)*100+SUM(J152,AB152)+0.004&gt;AW152*1000000+SUM(Y152,AQ152)*10000+SUM(S152,AK152)*100+SUM(M152,AE152)+0.001,1,0)+IF(AU152*1000000+SUM(W152,AO152)*10000+SUM(Q152,AI152)*100+SUM(K152,AC152)+0.003&gt;AW152*1000000+SUM(Y152,AQ152)*10000+SUM(S152,AK152)*100+SUM(M152,AE152)+0.001,1,0)+IF(AV152*1000000+SUM(X152,AP152)*10000+SUM(R152,AJ152)*100+SUM(L152,AD152)+0.002&gt;AW152*1000000+SUM(Y152,AQ152)*10000+SUM(S152,AK152)*100+SUM(M152,AE152)+0.001,1,0)=0,"C",""))))))&amp;IF(IF(AS152*1000000+SUM(U152,AM152)*10000+SUM(O152,AG152)*100+SUM(I152,AA152)+0.005&gt;AR152*1000000+SUM(T152,AL152)*10000+SUM(N152,AF152)*100+SUM(H152,Z152)+0.006,1,0)+IF(AT152*1000000+SUM(V152,AN152)*10000+SUM(P152,AH152)*100+SUM(J152,AB152)+0.004&gt;AR152*1000000+SUM(T152,AL152)*10000+SUM(N152,AF152)*100+SUM(H152,Z152)+0.006,1,0)+IF(AU152*1000000+SUM(W152,AO152)*10000+SUM(Q152,AI152)*100+SUM(K152,AC152)+0.003&gt;AR152*1000000+SUM(T152,AL152)*10000+SUM(N152,AF152)*100+SUM(H152,Z152)+0.006,1,0)+IF(AV152*1000000+SUM(X152,AP152)*10000+SUM(R152,AJ152)*100+SUM(L152,AD152)+0.002&gt;AR152*1000000+SUM(T152,AL152)*10000+SUM(N152,AF152)*100+SUM(H152,Z152)+0.006,1,0)+IF(AW152*1000000+SUM(Y152,AQ152)*10000+SUM(S152,AK152)*100+SUM(M152,AE152)+0.001&gt;AR152*1000000+SUM(T152,AL152)*10000+SUM(N152,AF152)*100+SUM(H152,Z152)+0.006,1,0)=1,"R",IF(IF(AR152*1000000+SUM(T152,AL152)*10000+SUM(N152,AF152)*100+SUM(H152,Z152)+0.006&gt;AS152*1000000+SUM(U152,AM152)*10000+SUM(O152,AG152)*100+SUM(I152,AA152)+0.005,1,0)+IF(AT152*1000000+SUM(V152,AN152)*10000+SUM(P152,AH152)*100+SUM(J152,AB152)+0.004&gt;AS152*1000000+SUM(U152,AM152)*10000+SUM(O152,AG152)*100+SUM(I152,AA152)+0.005,1,0)+IF(AU152*1000000+SUM(W152,AO152)*10000+SUM(Q152,AI152)*100+SUM(K152,AC152)+0.003&gt;AS152*1000000+SUM(U152,AM152)*10000+SUM(O152,AG152)*100+SUM(I152,AA152)+0.005,1,0)+IF(AV152*1000000+SUM(X152,AP152)*10000+SUM(R152,AJ152)*100+SUM(L152,AD152)+0.002&gt;AS152*1000000+SUM(U152,AM152)*10000+SUM(O152,AG152)*100+SUM(I152,AA152)+0.005,1,0)+IF(AW152*1000000+SUM(Y152,AQ152)*10000+SUM(S152,AK152)*100+SUM(M152,AE152)+0.001&gt;AS152*1000000+SUM(U152,AM152)*10000+SUM(O152,AG152)*100+SUM(I152,AA152)+0.005,1,0)=1,"I",IF(IF(AR152*1000000+SUM(T152,AL152)*10000+SUM(N152,AF152)*100+SUM(H152,Z152)+0.006&gt;AT152*1000000+SUM(V152,AN152)*10000+SUM(P152,AH152)*100+SUM(J152,AB152)+0.004,1,0)+IF(AS152*1000000+SUM(U152,AM152)*10000+SUM(O152,AG152)*100+SUM(I152,AA152)+0.005&gt;AT152*1000000+SUM(V152,AN152)*10000+SUM(P152,AH152)*100+SUM(J152,AB152)+0.004,1,0)+IF(AU152*1000000+SUM(W152,AO152)*10000+SUM(Q152,AI152)*100+SUM(K152,AC152)+0.003&gt;AT152*1000000+SUM(V152,AN152)*10000+SUM(P152,AH152)*100+SUM(J152,AB152)+0.004,1,0)+IF(AV152*1000000+SUM(X152,AP152)*10000+SUM(R152,AJ152)*100+SUM(L152,AD152)+0.002&gt;AT152*1000000+SUM(V152,AN152)*10000+SUM(P152,AH152)*100+SUM(J152,AB152)+0.004,1,0)+IF(AW152*1000000+SUM(Y152,AQ152)*10000+SUM(S152,AK152)*100+SUM(M152,AE152)+0.001&gt;AT152*1000000+SUM(V152,AN152)*10000+SUM(P152,AH152)*100+SUM(J152,AB152)+0.004,1,0)=1,"A",IF(IF(AR152*1000000+SUM(T152,AL152)*10000+SUM(N152,AF152)*100+SUM(H152,Z152)+0.006&gt;AU152*1000000+SUM(W152,AO152)*10000+SUM(Q152,AI152)*100+SUM(K152,AC152)+0.003,1,0)+IF(AS152*1000000+SUM(U152,AM152)*10000+SUM(O152,AG152)*100+SUM(I152,AA152)+0.005&gt;AU152*1000000+SUM(W152,AO152)*10000+SUM(Q152,AI152)*100+SUM(K152,AC152)+0.003,1,0)+IF(AT152*1000000+SUM(V152,AN152)*10000+SUM(P152,AH152)*100+SUM(J152,AB152)+0.004&gt;AU152*1000000+SUM(W152,AO152)*10000+SUM(Q152,AI152)*100+SUM(K152,AC152)+0.003,1,0)+IF(AV152*1000000+SUM(X152,AP152)*10000+SUM(R152,AJ152)*100+SUM(L152,AD152)+0.002&gt;AU152*1000000+SUM(W152,AO152)*10000+SUM(Q152,AI152)*100+SUM(K152,AC152)+0.003,1,0)+IF(AW152*1000000+SUM(Y152,AQ152)*10000+SUM(S152,AK152)*100+SUM(M152,AE152)+0.001&gt;AU152*1000000+SUM(W152,AO152)*10000+SUM(Q152,AI152)*100+SUM(K152,AC152)+0.003,1,0)=1,"S",IF(IF(AR152*1000000+SUM(T152,AL152)*10000+SUM(N152,AF152)*100+SUM(H152,Z152)+0.006&gt;AV152*1000000+SUM(X152,AP152)*10000+SUM(R152,AJ152)*100+SUM(L152,AD152)+0.002,1,0)+IF(AS152*1000000+SUM(U152,AM152)*10000+SUM(O152,AG152)*100+SUM(I152,AA152)+0.005&gt;AV152*1000000+SUM(X152,AP152)*10000+SUM(R152,AJ152)*100+SUM(L152,AD152)+0.002,1,0)+IF(AT152*1000000+SUM(V152,AN152)*10000+SUM(P152,AH152)*100+SUM(J152,AB152)+0.004&gt;AV152*1000000+SUM(X152,AP152)*10000+SUM(R152,AJ152)*100+SUM(L152,AD152)+0.002,1,0)+IF(AU152*1000000+SUM(W152,AO152)*10000+SUM(Q152,AI152)*100+SUM(K152,AC152)+0.003&gt;AV152*1000000+SUM(X152,AP152)*10000+SUM(R152,AJ152)*100+SUM(L152,AD152)+0.002,1,0)+IF(AW152*1000000+SUM(Y152,AQ152)*10000+SUM(S152,AK152)*100+SUM(M152,AE152)+0.001&gt;AV152*1000000+SUM(X152,AP152)*10000+SUM(R152,AJ152)*100+SUM(L152,AD152)+0.002,1,0)=1,"E",IF(IF(AR152*1000000+SUM(T152,AL152)*10000+SUM(N152,AF152)*100+SUM(H152,Z152)+0.006&gt;AW152*1000000+SUM(Y152,AQ152)*10000+SUM(S152,AK152)*100+SUM(M152,AE152)+0.001,1,0)+IF(AS152*1000000+SUM(U152,AM152)*10000+SUM(O152,AG152)*100+SUM(I152,AA152)+0.005&gt;AW152*1000000+SUM(Y152,AQ152)*10000+SUM(S152,AK152)*100+SUM(M152,AE152)+0.001,1,0)+IF(AT152*1000000+SUM(V152,AN152)*10000+SUM(P152,AH152)*100+SUM(J152,AB152)+0.004&gt;AW152*1000000+SUM(Y152,AQ152)*10000+SUM(S152,AK152)*100+SUM(M152,AE152)+0.001,1,0)+IF(AU152*1000000+SUM(W152,AO152)*10000+SUM(Q152,AI152)*100+SUM(K152,AC152)+0.003&gt;AW152*1000000+SUM(Y152,AQ152)*10000+SUM(S152,AK152)*100+SUM(M152,AE152)+0.001,1,0)+IF(AV152*1000000+SUM(X152,AP152)*10000+SUM(R152,AJ152)*100+SUM(L152,AD152)+0.002&gt;AW152*1000000+SUM(Y152,AQ152)*10000+SUM(S152,AK152)*100+SUM(M152,AE152)+0.001,1,0)=1,"C",""))))))&amp;IF(IF(AS152*1000000+SUM(U152,AM152)*10000+SUM(O152,AG152)*100+SUM(I152,AA152)+0.005&gt;AR152*1000000+SUM(T152,AL152)*10000+SUM(N152,AF152)*100+SUM(H152,Z152)+0.006,1,0)+IF(AT152*1000000+SUM(V152,AN152)*10000+SUM(P152,AH152)*100+SUM(J152,AB152)+0.004&gt;AR152*1000000+SUM(T152,AL152)*10000+SUM(N152,AF152)*100+SUM(H152,Z152)+0.006,1,0)+IF(AU152*1000000+SUM(W152,AO152)*10000+SUM(Q152,AI152)*100+SUM(K152,AC152)+0.003&gt;AR152*1000000+SUM(T152,AL152)*10000+SUM(N152,AF152)*100+SUM(H152,Z152)+0.006,1,0)+IF(AV152*1000000+SUM(X152,AP152)*10000+SUM(R152,AJ152)*100+SUM(L152,AD152)+0.002&gt;AR152*1000000+SUM(T152,AL152)*10000+SUM(N152,AF152)*100+SUM(H152,Z152)+0.006,1,0)+IF(AW152*1000000+SUM(Y152,AQ152)*10000+SUM(S152,AK152)*100+SUM(M152,AE152)+0.001&gt;AR152*1000000+SUM(T152,AL152)*10000+SUM(N152,AF152)*100+SUM(H152,Z152)+0.006,1,0)=2,"R",IF(IF(AR152*1000000+SUM(T152,AL152)*10000+SUM(N152,AF152)*100+SUM(H152,Z152)+0.006&gt;AS152*1000000+SUM(U152,AM152)*10000+SUM(O152,AG152)*100+SUM(I152,AA152)+0.005,1,0)+IF(AT152*1000000+SUM(V152,AN152)*10000+SUM(P152,AH152)*100+SUM(J152,AB152)+0.004&gt;AS152*1000000+SUM(U152,AM152)*10000+SUM(O152,AG152)*100+SUM(I152,AA152)+0.005,1,0)+IF(AU152*1000000+SUM(W152,AO152)*10000+SUM(Q152,AI152)*100+SUM(K152,AC152)+0.003&gt;AS152*1000000+SUM(U152,AM152)*10000+SUM(O152,AG152)*100+SUM(I152,AA152)+0.005,1,0)+IF(AV152*1000000+SUM(X152,AP152)*10000+SUM(R152,AJ152)*100+SUM(L152,AD152)+0.002&gt;AS152*1000000+SUM(U152,AM152)*10000+SUM(O152,AG152)*100+SUM(I152,AA152)+0.005,1,0)+IF(AW152*1000000+SUM(Y152,AQ152)*10000+SUM(S152,AK152)*100+SUM(M152,AE152)+0.001&gt;AS152*1000000+SUM(U152,AM152)*10000+SUM(O152,AG152)*100+SUM(I152,AA152)+0.005,1,0)=2,"I",IF(IF(AR152*1000000+SUM(T152,AL152)*10000+SUM(N152,AF152)*100+SUM(H152,Z152)+0.006&gt;AT152*1000000+SUM(V152,AN152)*10000+SUM(P152,AH152)*100+SUM(J152,AB152)+0.004,1,0)+IF(AS152*1000000+SUM(U152,AM152)*10000+SUM(O152,AG152)*100+SUM(I152,AA152)+0.005&gt;AT152*1000000+SUM(V152,AN152)*10000+SUM(P152,AH152)*100+SUM(J152,AB152)+0.004,1,0)+IF(AU152*1000000+SUM(W152,AO152)*10000+SUM(Q152,AI152)*100+SUM(K152,AC152)+0.003&gt;AT152*1000000+SUM(V152,AN152)*10000+SUM(P152,AH152)*100+SUM(J152,AB152)+0.004,1,0)+IF(AV152*1000000+SUM(X152,AP152)*10000+SUM(R152,AJ152)*100+SUM(L152,AD152)+0.002&gt;AT152*1000000+SUM(V152,AN152)*10000+SUM(P152,AH152)*100+SUM(J152,AB152)+0.004,1,0)+IF(AW152*1000000+SUM(Y152,AQ152)*10000+SUM(S152,AK152)*100+SUM(M152,AE152)+0.001&gt;AT152*1000000+SUM(V152,AN152)*10000+SUM(P152,AH152)*100+SUM(J152,AB152)+0.004,1,0)=2,"A",IF(IF(AR152*1000000+SUM(T152,AL152)*10000+SUM(N152,AF152)*100+SUM(H152,Z152)+0.006&gt;AU152*1000000+SUM(W152,AO152)*10000+SUM(Q152,AI152)*100+SUM(K152,AC152)+0.003,1,0)+IF(AS152*1000000+SUM(U152,AM152)*10000+SUM(O152,AG152)*100+SUM(I152,AA152)+0.005&gt;AU152*1000000+SUM(W152,AO152)*10000+SUM(Q152,AI152)*100+SUM(K152,AC152)+0.003,1,0)+IF(AT152*1000000+SUM(V152,AN152)*10000+SUM(P152,AH152)*100+SUM(J152,AB152)+0.004&gt;AU152*1000000+SUM(W152,AO152)*10000+SUM(Q152,AI152)*100+SUM(K152,AC152)+0.003,1,0)+IF(AV152*1000000+SUM(X152,AP152)*10000+SUM(R152,AJ152)*100+SUM(L152,AD152)+0.002&gt;AU152*1000000+SUM(W152,AO152)*10000+SUM(Q152,AI152)*100+SUM(K152,AC152)+0.003,1,0)+IF(AW152*1000000+SUM(Y152,AQ152)*10000+SUM(S152,AK152)*100+SUM(M152,AE152)+0.001&gt;AU152*1000000+SUM(W152,AO152)*10000+SUM(Q152,AI152)*100+SUM(K152,AC152)+0.003,1,0)=2,"S",IF(IF(AR152*1000000+SUM(T152,AL152)*10000+SUM(N152,AF152)*100+SUM(H152,Z152)+0.006&gt;AV152*1000000+SUM(X152,AP152)*10000+SUM(R152,AJ152)*100+SUM(L152,AD152)+0.002,1,0)+IF(AS152*1000000+SUM(U152,AM152)*10000+SUM(O152,AG152)*100+SUM(I152,AA152)+0.005&gt;AV152*1000000+SUM(X152,AP152)*10000+SUM(R152,AJ152)*100+SUM(L152,AD152)+0.002,1,0)+IF(AT152*1000000+SUM(V152,AN152)*10000+SUM(P152,AH152)*100+SUM(J152,AB152)+0.004&gt;AV152*1000000+SUM(X152,AP152)*10000+SUM(R152,AJ152)*100+SUM(L152,AD152)+0.002,1,0)+IF(AU152*1000000+SUM(W152,AO152)*10000+SUM(Q152,AI152)*100+SUM(K152,AC152)+0.003&gt;AV152*1000000+SUM(X152,AP152)*10000+SUM(R152,AJ152)*100+SUM(L152,AD152)+0.002,1,0)+IF(AW152*1000000+SUM(Y152,AQ152)*10000+SUM(S152,AK152)*100+SUM(M152,AE152)+0.001&gt;AV152*1000000+SUM(X152,AP152)*10000+SUM(R152,AJ152)*100+SUM(L152,AD152)+0.002,1,0)=2,"E",IF(IF(AR152*1000000+SUM(T152,AL152)*10000+SUM(N152,AF152)*100+SUM(H152,Z152)+0.006&gt;AW152*1000000+SUM(Y152,AQ152)*10000+SUM(S152,AK152)*100+SUM(M152,AE152)+0.001,1,0)+IF(AS152*1000000+SUM(U152,AM152)*10000+SUM(O152,AG152)*100+SUM(I152,AA152)+0.005&gt;AW152*1000000+SUM(Y152,AQ152)*10000+SUM(S152,AK152)*100+SUM(M152,AE152)+0.001,1,0)+IF(AT152*1000000+SUM(V152,AN152)*10000+SUM(P152,AH152)*100+SUM(J152,AB152)+0.004&gt;AW152*1000000+SUM(Y152,AQ152)*10000+SUM(S152,AK152)*100+SUM(M152,AE152)+0.001,1,0)+IF(AU152*1000000+SUM(W152,AO152)*10000+SUM(Q152,AI152)*100+SUM(K152,AC152)+0.003&gt;AW152*1000000+SUM(Y152,AQ152)*10000+SUM(S152,AK152)*100+SUM(M152,AE152)+0.001,1,0)+IF(AV152*1000000+SUM(X152,AP152)*10000+SUM(R152,AJ152)*100+SUM(L152,AD152)+0.002&gt;AW152*1000000+SUM(Y152,AQ152)*10000+SUM(S152,AK152)*100+SUM(M152,AE152)+0.001,1,0)=2,"C","")))))))</x:f>
      </x:c>
      <x:c r="AY152" s="27" t="str">
        <x:f>IF(C152="","",IF(LEFT(AX152,1)="R","นักปฏิบัติ",IF(LEFT(AX152,1)="I","นักคิดวิเคราะห์",IF(LEFT(AX152,1)="A","นักสร้างสรรค์",IF(LEFT(AX152,1)="S","ผู้เข้าใจผู้คน",IF(LEFT(AX152,1)="E","ผู้นำการเปลี่ยนแปลง","ผู้จัดระบบ"))))))</x:f>
      </x:c>
    </x:row>
    <x:row r="153">
      <x:c r="A153" s="27"/>
      <x:c r="B153" s="28"/>
      <x:c r="C153" s="27"/>
      <x:c r="D153" s="27"/>
      <x:c r="E153" s="27"/>
      <x:c r="F153" s="27"/>
      <x:c r="G153" s="27"/>
      <x:c r="H153" s="27"/>
      <x:c r="I153" s="27"/>
      <x:c r="J153" s="27"/>
      <x:c r="K153" s="27"/>
      <x:c r="L153" s="27"/>
      <x:c r="M153" s="27"/>
      <x:c r="N153" s="27"/>
      <x:c r="O153" s="27"/>
      <x:c r="P153" s="27"/>
      <x:c r="Q153" s="27"/>
      <x:c r="R153" s="27"/>
      <x:c r="S153" s="27"/>
      <x:c r="T153" s="27"/>
      <x:c r="U153" s="27"/>
      <x:c r="V153" s="27"/>
      <x:c r="W153" s="27"/>
      <x:c r="X153" s="27"/>
      <x:c r="Y153" s="27"/>
      <x:c r="Z153" s="27"/>
      <x:c r="AA153" s="27"/>
      <x:c r="AB153" s="27"/>
      <x:c r="AC153" s="27"/>
      <x:c r="AD153" s="27"/>
      <x:c r="AE153" s="27"/>
      <x:c r="AF153" s="27"/>
      <x:c r="AG153" s="27"/>
      <x:c r="AH153" s="27"/>
      <x:c r="AI153" s="27"/>
      <x:c r="AJ153" s="27"/>
      <x:c r="AK153" s="27"/>
      <x:c r="AL153" s="27"/>
      <x:c r="AM153" s="27"/>
      <x:c r="AN153" s="27"/>
      <x:c r="AO153" s="27"/>
      <x:c r="AP153" s="27"/>
      <x:c r="AQ153" s="27"/>
      <x:c r="AR153" s="27" t="str">
        <x:f>IF(C153="","",SUM(H153,N153,T153,Z153,AF153,AL153))</x:f>
      </x:c>
      <x:c r="AS153" s="27" t="str">
        <x:f>IF(C153="","",SUM(I153,O153,U153,AA153,AG153,AM153))</x:f>
      </x:c>
      <x:c r="AT153" s="27" t="str">
        <x:f>IF(C153="","",SUM(J153,P153,V153,AB153,AH153,AN153))</x:f>
      </x:c>
      <x:c r="AU153" s="27" t="str">
        <x:f>IF(C153="","",SUM(K153,Q153,W153,AC153,AI153,AO153))</x:f>
      </x:c>
      <x:c r="AV153" s="27" t="str">
        <x:f>IF(C153="","",SUM(L153,R153,X153,AD153,AJ153,AP153))</x:f>
      </x:c>
      <x:c r="AW153" s="27" t="str">
        <x:f>IF(C153="","",SUM(M153,S153,Y153,AE153,AK153,AQ153))</x:f>
      </x:c>
      <x:c r="AX153" s="27" t="str">
        <x:f>IF(C153="","",IF(IF(AS153*1000000+SUM(U153,AM153)*10000+SUM(O153,AG153)*100+SUM(I153,AA153)+0.005&gt;AR153*1000000+SUM(T153,AL153)*10000+SUM(N153,AF153)*100+SUM(H153,Z153)+0.006,1,0)+IF(AT153*1000000+SUM(V153,AN153)*10000+SUM(P153,AH153)*100+SUM(J153,AB153)+0.004&gt;AR153*1000000+SUM(T153,AL153)*10000+SUM(N153,AF153)*100+SUM(H153,Z153)+0.006,1,0)+IF(AU153*1000000+SUM(W153,AO153)*10000+SUM(Q153,AI153)*100+SUM(K153,AC153)+0.003&gt;AR153*1000000+SUM(T153,AL153)*10000+SUM(N153,AF153)*100+SUM(H153,Z153)+0.006,1,0)+IF(AV153*1000000+SUM(X153,AP153)*10000+SUM(R153,AJ153)*100+SUM(L153,AD153)+0.002&gt;AR153*1000000+SUM(T153,AL153)*10000+SUM(N153,AF153)*100+SUM(H153,Z153)+0.006,1,0)+IF(AW153*1000000+SUM(Y153,AQ153)*10000+SUM(S153,AK153)*100+SUM(M153,AE153)+0.001&gt;AR153*1000000+SUM(T153,AL153)*10000+SUM(N153,AF153)*100+SUM(H153,Z153)+0.006,1,0)=0,"R",IF(IF(AR153*1000000+SUM(T153,AL153)*10000+SUM(N153,AF153)*100+SUM(H153,Z153)+0.006&gt;AS153*1000000+SUM(U153,AM153)*10000+SUM(O153,AG153)*100+SUM(I153,AA153)+0.005,1,0)+IF(AT153*1000000+SUM(V153,AN153)*10000+SUM(P153,AH153)*100+SUM(J153,AB153)+0.004&gt;AS153*1000000+SUM(U153,AM153)*10000+SUM(O153,AG153)*100+SUM(I153,AA153)+0.005,1,0)+IF(AU153*1000000+SUM(W153,AO153)*10000+SUM(Q153,AI153)*100+SUM(K153,AC153)+0.003&gt;AS153*1000000+SUM(U153,AM153)*10000+SUM(O153,AG153)*100+SUM(I153,AA153)+0.005,1,0)+IF(AV153*1000000+SUM(X153,AP153)*10000+SUM(R153,AJ153)*100+SUM(L153,AD153)+0.002&gt;AS153*1000000+SUM(U153,AM153)*10000+SUM(O153,AG153)*100+SUM(I153,AA153)+0.005,1,0)+IF(AW153*1000000+SUM(Y153,AQ153)*10000+SUM(S153,AK153)*100+SUM(M153,AE153)+0.001&gt;AS153*1000000+SUM(U153,AM153)*10000+SUM(O153,AG153)*100+SUM(I153,AA153)+0.005,1,0)=0,"I",IF(IF(AR153*1000000+SUM(T153,AL153)*10000+SUM(N153,AF153)*100+SUM(H153,Z153)+0.006&gt;AT153*1000000+SUM(V153,AN153)*10000+SUM(P153,AH153)*100+SUM(J153,AB153)+0.004,1,0)+IF(AS153*1000000+SUM(U153,AM153)*10000+SUM(O153,AG153)*100+SUM(I153,AA153)+0.005&gt;AT153*1000000+SUM(V153,AN153)*10000+SUM(P153,AH153)*100+SUM(J153,AB153)+0.004,1,0)+IF(AU153*1000000+SUM(W153,AO153)*10000+SUM(Q153,AI153)*100+SUM(K153,AC153)+0.003&gt;AT153*1000000+SUM(V153,AN153)*10000+SUM(P153,AH153)*100+SUM(J153,AB153)+0.004,1,0)+IF(AV153*1000000+SUM(X153,AP153)*10000+SUM(R153,AJ153)*100+SUM(L153,AD153)+0.002&gt;AT153*1000000+SUM(V153,AN153)*10000+SUM(P153,AH153)*100+SUM(J153,AB153)+0.004,1,0)+IF(AW153*1000000+SUM(Y153,AQ153)*10000+SUM(S153,AK153)*100+SUM(M153,AE153)+0.001&gt;AT153*1000000+SUM(V153,AN153)*10000+SUM(P153,AH153)*100+SUM(J153,AB153)+0.004,1,0)=0,"A",IF(IF(AR153*1000000+SUM(T153,AL153)*10000+SUM(N153,AF153)*100+SUM(H153,Z153)+0.006&gt;AU153*1000000+SUM(W153,AO153)*10000+SUM(Q153,AI153)*100+SUM(K153,AC153)+0.003,1,0)+IF(AS153*1000000+SUM(U153,AM153)*10000+SUM(O153,AG153)*100+SUM(I153,AA153)+0.005&gt;AU153*1000000+SUM(W153,AO153)*10000+SUM(Q153,AI153)*100+SUM(K153,AC153)+0.003,1,0)+IF(AT153*1000000+SUM(V153,AN153)*10000+SUM(P153,AH153)*100+SUM(J153,AB153)+0.004&gt;AU153*1000000+SUM(W153,AO153)*10000+SUM(Q153,AI153)*100+SUM(K153,AC153)+0.003,1,0)+IF(AV153*1000000+SUM(X153,AP153)*10000+SUM(R153,AJ153)*100+SUM(L153,AD153)+0.002&gt;AU153*1000000+SUM(W153,AO153)*10000+SUM(Q153,AI153)*100+SUM(K153,AC153)+0.003,1,0)+IF(AW153*1000000+SUM(Y153,AQ153)*10000+SUM(S153,AK153)*100+SUM(M153,AE153)+0.001&gt;AU153*1000000+SUM(W153,AO153)*10000+SUM(Q153,AI153)*100+SUM(K153,AC153)+0.003,1,0)=0,"S",IF(IF(AR153*1000000+SUM(T153,AL153)*10000+SUM(N153,AF153)*100+SUM(H153,Z153)+0.006&gt;AV153*1000000+SUM(X153,AP153)*10000+SUM(R153,AJ153)*100+SUM(L153,AD153)+0.002,1,0)+IF(AS153*1000000+SUM(U153,AM153)*10000+SUM(O153,AG153)*100+SUM(I153,AA153)+0.005&gt;AV153*1000000+SUM(X153,AP153)*10000+SUM(R153,AJ153)*100+SUM(L153,AD153)+0.002,1,0)+IF(AT153*1000000+SUM(V153,AN153)*10000+SUM(P153,AH153)*100+SUM(J153,AB153)+0.004&gt;AV153*1000000+SUM(X153,AP153)*10000+SUM(R153,AJ153)*100+SUM(L153,AD153)+0.002,1,0)+IF(AU153*1000000+SUM(W153,AO153)*10000+SUM(Q153,AI153)*100+SUM(K153,AC153)+0.003&gt;AV153*1000000+SUM(X153,AP153)*10000+SUM(R153,AJ153)*100+SUM(L153,AD153)+0.002,1,0)+IF(AW153*1000000+SUM(Y153,AQ153)*10000+SUM(S153,AK153)*100+SUM(M153,AE153)+0.001&gt;AV153*1000000+SUM(X153,AP153)*10000+SUM(R153,AJ153)*100+SUM(L153,AD153)+0.002,1,0)=0,"E",IF(IF(AR153*1000000+SUM(T153,AL153)*10000+SUM(N153,AF153)*100+SUM(H153,Z153)+0.006&gt;AW153*1000000+SUM(Y153,AQ153)*10000+SUM(S153,AK153)*100+SUM(M153,AE153)+0.001,1,0)+IF(AS153*1000000+SUM(U153,AM153)*10000+SUM(O153,AG153)*100+SUM(I153,AA153)+0.005&gt;AW153*1000000+SUM(Y153,AQ153)*10000+SUM(S153,AK153)*100+SUM(M153,AE153)+0.001,1,0)+IF(AT153*1000000+SUM(V153,AN153)*10000+SUM(P153,AH153)*100+SUM(J153,AB153)+0.004&gt;AW153*1000000+SUM(Y153,AQ153)*10000+SUM(S153,AK153)*100+SUM(M153,AE153)+0.001,1,0)+IF(AU153*1000000+SUM(W153,AO153)*10000+SUM(Q153,AI153)*100+SUM(K153,AC153)+0.003&gt;AW153*1000000+SUM(Y153,AQ153)*10000+SUM(S153,AK153)*100+SUM(M153,AE153)+0.001,1,0)+IF(AV153*1000000+SUM(X153,AP153)*10000+SUM(R153,AJ153)*100+SUM(L153,AD153)+0.002&gt;AW153*1000000+SUM(Y153,AQ153)*10000+SUM(S153,AK153)*100+SUM(M153,AE153)+0.001,1,0)=0,"C",""))))))&amp;IF(IF(AS153*1000000+SUM(U153,AM153)*10000+SUM(O153,AG153)*100+SUM(I153,AA153)+0.005&gt;AR153*1000000+SUM(T153,AL153)*10000+SUM(N153,AF153)*100+SUM(H153,Z153)+0.006,1,0)+IF(AT153*1000000+SUM(V153,AN153)*10000+SUM(P153,AH153)*100+SUM(J153,AB153)+0.004&gt;AR153*1000000+SUM(T153,AL153)*10000+SUM(N153,AF153)*100+SUM(H153,Z153)+0.006,1,0)+IF(AU153*1000000+SUM(W153,AO153)*10000+SUM(Q153,AI153)*100+SUM(K153,AC153)+0.003&gt;AR153*1000000+SUM(T153,AL153)*10000+SUM(N153,AF153)*100+SUM(H153,Z153)+0.006,1,0)+IF(AV153*1000000+SUM(X153,AP153)*10000+SUM(R153,AJ153)*100+SUM(L153,AD153)+0.002&gt;AR153*1000000+SUM(T153,AL153)*10000+SUM(N153,AF153)*100+SUM(H153,Z153)+0.006,1,0)+IF(AW153*1000000+SUM(Y153,AQ153)*10000+SUM(S153,AK153)*100+SUM(M153,AE153)+0.001&gt;AR153*1000000+SUM(T153,AL153)*10000+SUM(N153,AF153)*100+SUM(H153,Z153)+0.006,1,0)=1,"R",IF(IF(AR153*1000000+SUM(T153,AL153)*10000+SUM(N153,AF153)*100+SUM(H153,Z153)+0.006&gt;AS153*1000000+SUM(U153,AM153)*10000+SUM(O153,AG153)*100+SUM(I153,AA153)+0.005,1,0)+IF(AT153*1000000+SUM(V153,AN153)*10000+SUM(P153,AH153)*100+SUM(J153,AB153)+0.004&gt;AS153*1000000+SUM(U153,AM153)*10000+SUM(O153,AG153)*100+SUM(I153,AA153)+0.005,1,0)+IF(AU153*1000000+SUM(W153,AO153)*10000+SUM(Q153,AI153)*100+SUM(K153,AC153)+0.003&gt;AS153*1000000+SUM(U153,AM153)*10000+SUM(O153,AG153)*100+SUM(I153,AA153)+0.005,1,0)+IF(AV153*1000000+SUM(X153,AP153)*10000+SUM(R153,AJ153)*100+SUM(L153,AD153)+0.002&gt;AS153*1000000+SUM(U153,AM153)*10000+SUM(O153,AG153)*100+SUM(I153,AA153)+0.005,1,0)+IF(AW153*1000000+SUM(Y153,AQ153)*10000+SUM(S153,AK153)*100+SUM(M153,AE153)+0.001&gt;AS153*1000000+SUM(U153,AM153)*10000+SUM(O153,AG153)*100+SUM(I153,AA153)+0.005,1,0)=1,"I",IF(IF(AR153*1000000+SUM(T153,AL153)*10000+SUM(N153,AF153)*100+SUM(H153,Z153)+0.006&gt;AT153*1000000+SUM(V153,AN153)*10000+SUM(P153,AH153)*100+SUM(J153,AB153)+0.004,1,0)+IF(AS153*1000000+SUM(U153,AM153)*10000+SUM(O153,AG153)*100+SUM(I153,AA153)+0.005&gt;AT153*1000000+SUM(V153,AN153)*10000+SUM(P153,AH153)*100+SUM(J153,AB153)+0.004,1,0)+IF(AU153*1000000+SUM(W153,AO153)*10000+SUM(Q153,AI153)*100+SUM(K153,AC153)+0.003&gt;AT153*1000000+SUM(V153,AN153)*10000+SUM(P153,AH153)*100+SUM(J153,AB153)+0.004,1,0)+IF(AV153*1000000+SUM(X153,AP153)*10000+SUM(R153,AJ153)*100+SUM(L153,AD153)+0.002&gt;AT153*1000000+SUM(V153,AN153)*10000+SUM(P153,AH153)*100+SUM(J153,AB153)+0.004,1,0)+IF(AW153*1000000+SUM(Y153,AQ153)*10000+SUM(S153,AK153)*100+SUM(M153,AE153)+0.001&gt;AT153*1000000+SUM(V153,AN153)*10000+SUM(P153,AH153)*100+SUM(J153,AB153)+0.004,1,0)=1,"A",IF(IF(AR153*1000000+SUM(T153,AL153)*10000+SUM(N153,AF153)*100+SUM(H153,Z153)+0.006&gt;AU153*1000000+SUM(W153,AO153)*10000+SUM(Q153,AI153)*100+SUM(K153,AC153)+0.003,1,0)+IF(AS153*1000000+SUM(U153,AM153)*10000+SUM(O153,AG153)*100+SUM(I153,AA153)+0.005&gt;AU153*1000000+SUM(W153,AO153)*10000+SUM(Q153,AI153)*100+SUM(K153,AC153)+0.003,1,0)+IF(AT153*1000000+SUM(V153,AN153)*10000+SUM(P153,AH153)*100+SUM(J153,AB153)+0.004&gt;AU153*1000000+SUM(W153,AO153)*10000+SUM(Q153,AI153)*100+SUM(K153,AC153)+0.003,1,0)+IF(AV153*1000000+SUM(X153,AP153)*10000+SUM(R153,AJ153)*100+SUM(L153,AD153)+0.002&gt;AU153*1000000+SUM(W153,AO153)*10000+SUM(Q153,AI153)*100+SUM(K153,AC153)+0.003,1,0)+IF(AW153*1000000+SUM(Y153,AQ153)*10000+SUM(S153,AK153)*100+SUM(M153,AE153)+0.001&gt;AU153*1000000+SUM(W153,AO153)*10000+SUM(Q153,AI153)*100+SUM(K153,AC153)+0.003,1,0)=1,"S",IF(IF(AR153*1000000+SUM(T153,AL153)*10000+SUM(N153,AF153)*100+SUM(H153,Z153)+0.006&gt;AV153*1000000+SUM(X153,AP153)*10000+SUM(R153,AJ153)*100+SUM(L153,AD153)+0.002,1,0)+IF(AS153*1000000+SUM(U153,AM153)*10000+SUM(O153,AG153)*100+SUM(I153,AA153)+0.005&gt;AV153*1000000+SUM(X153,AP153)*10000+SUM(R153,AJ153)*100+SUM(L153,AD153)+0.002,1,0)+IF(AT153*1000000+SUM(V153,AN153)*10000+SUM(P153,AH153)*100+SUM(J153,AB153)+0.004&gt;AV153*1000000+SUM(X153,AP153)*10000+SUM(R153,AJ153)*100+SUM(L153,AD153)+0.002,1,0)+IF(AU153*1000000+SUM(W153,AO153)*10000+SUM(Q153,AI153)*100+SUM(K153,AC153)+0.003&gt;AV153*1000000+SUM(X153,AP153)*10000+SUM(R153,AJ153)*100+SUM(L153,AD153)+0.002,1,0)+IF(AW153*1000000+SUM(Y153,AQ153)*10000+SUM(S153,AK153)*100+SUM(M153,AE153)+0.001&gt;AV153*1000000+SUM(X153,AP153)*10000+SUM(R153,AJ153)*100+SUM(L153,AD153)+0.002,1,0)=1,"E",IF(IF(AR153*1000000+SUM(T153,AL153)*10000+SUM(N153,AF153)*100+SUM(H153,Z153)+0.006&gt;AW153*1000000+SUM(Y153,AQ153)*10000+SUM(S153,AK153)*100+SUM(M153,AE153)+0.001,1,0)+IF(AS153*1000000+SUM(U153,AM153)*10000+SUM(O153,AG153)*100+SUM(I153,AA153)+0.005&gt;AW153*1000000+SUM(Y153,AQ153)*10000+SUM(S153,AK153)*100+SUM(M153,AE153)+0.001,1,0)+IF(AT153*1000000+SUM(V153,AN153)*10000+SUM(P153,AH153)*100+SUM(J153,AB153)+0.004&gt;AW153*1000000+SUM(Y153,AQ153)*10000+SUM(S153,AK153)*100+SUM(M153,AE153)+0.001,1,0)+IF(AU153*1000000+SUM(W153,AO153)*10000+SUM(Q153,AI153)*100+SUM(K153,AC153)+0.003&gt;AW153*1000000+SUM(Y153,AQ153)*10000+SUM(S153,AK153)*100+SUM(M153,AE153)+0.001,1,0)+IF(AV153*1000000+SUM(X153,AP153)*10000+SUM(R153,AJ153)*100+SUM(L153,AD153)+0.002&gt;AW153*1000000+SUM(Y153,AQ153)*10000+SUM(S153,AK153)*100+SUM(M153,AE153)+0.001,1,0)=1,"C",""))))))&amp;IF(IF(AS153*1000000+SUM(U153,AM153)*10000+SUM(O153,AG153)*100+SUM(I153,AA153)+0.005&gt;AR153*1000000+SUM(T153,AL153)*10000+SUM(N153,AF153)*100+SUM(H153,Z153)+0.006,1,0)+IF(AT153*1000000+SUM(V153,AN153)*10000+SUM(P153,AH153)*100+SUM(J153,AB153)+0.004&gt;AR153*1000000+SUM(T153,AL153)*10000+SUM(N153,AF153)*100+SUM(H153,Z153)+0.006,1,0)+IF(AU153*1000000+SUM(W153,AO153)*10000+SUM(Q153,AI153)*100+SUM(K153,AC153)+0.003&gt;AR153*1000000+SUM(T153,AL153)*10000+SUM(N153,AF153)*100+SUM(H153,Z153)+0.006,1,0)+IF(AV153*1000000+SUM(X153,AP153)*10000+SUM(R153,AJ153)*100+SUM(L153,AD153)+0.002&gt;AR153*1000000+SUM(T153,AL153)*10000+SUM(N153,AF153)*100+SUM(H153,Z153)+0.006,1,0)+IF(AW153*1000000+SUM(Y153,AQ153)*10000+SUM(S153,AK153)*100+SUM(M153,AE153)+0.001&gt;AR153*1000000+SUM(T153,AL153)*10000+SUM(N153,AF153)*100+SUM(H153,Z153)+0.006,1,0)=2,"R",IF(IF(AR153*1000000+SUM(T153,AL153)*10000+SUM(N153,AF153)*100+SUM(H153,Z153)+0.006&gt;AS153*1000000+SUM(U153,AM153)*10000+SUM(O153,AG153)*100+SUM(I153,AA153)+0.005,1,0)+IF(AT153*1000000+SUM(V153,AN153)*10000+SUM(P153,AH153)*100+SUM(J153,AB153)+0.004&gt;AS153*1000000+SUM(U153,AM153)*10000+SUM(O153,AG153)*100+SUM(I153,AA153)+0.005,1,0)+IF(AU153*1000000+SUM(W153,AO153)*10000+SUM(Q153,AI153)*100+SUM(K153,AC153)+0.003&gt;AS153*1000000+SUM(U153,AM153)*10000+SUM(O153,AG153)*100+SUM(I153,AA153)+0.005,1,0)+IF(AV153*1000000+SUM(X153,AP153)*10000+SUM(R153,AJ153)*100+SUM(L153,AD153)+0.002&gt;AS153*1000000+SUM(U153,AM153)*10000+SUM(O153,AG153)*100+SUM(I153,AA153)+0.005,1,0)+IF(AW153*1000000+SUM(Y153,AQ153)*10000+SUM(S153,AK153)*100+SUM(M153,AE153)+0.001&gt;AS153*1000000+SUM(U153,AM153)*10000+SUM(O153,AG153)*100+SUM(I153,AA153)+0.005,1,0)=2,"I",IF(IF(AR153*1000000+SUM(T153,AL153)*10000+SUM(N153,AF153)*100+SUM(H153,Z153)+0.006&gt;AT153*1000000+SUM(V153,AN153)*10000+SUM(P153,AH153)*100+SUM(J153,AB153)+0.004,1,0)+IF(AS153*1000000+SUM(U153,AM153)*10000+SUM(O153,AG153)*100+SUM(I153,AA153)+0.005&gt;AT153*1000000+SUM(V153,AN153)*10000+SUM(P153,AH153)*100+SUM(J153,AB153)+0.004,1,0)+IF(AU153*1000000+SUM(W153,AO153)*10000+SUM(Q153,AI153)*100+SUM(K153,AC153)+0.003&gt;AT153*1000000+SUM(V153,AN153)*10000+SUM(P153,AH153)*100+SUM(J153,AB153)+0.004,1,0)+IF(AV153*1000000+SUM(X153,AP153)*10000+SUM(R153,AJ153)*100+SUM(L153,AD153)+0.002&gt;AT153*1000000+SUM(V153,AN153)*10000+SUM(P153,AH153)*100+SUM(J153,AB153)+0.004,1,0)+IF(AW153*1000000+SUM(Y153,AQ153)*10000+SUM(S153,AK153)*100+SUM(M153,AE153)+0.001&gt;AT153*1000000+SUM(V153,AN153)*10000+SUM(P153,AH153)*100+SUM(J153,AB153)+0.004,1,0)=2,"A",IF(IF(AR153*1000000+SUM(T153,AL153)*10000+SUM(N153,AF153)*100+SUM(H153,Z153)+0.006&gt;AU153*1000000+SUM(W153,AO153)*10000+SUM(Q153,AI153)*100+SUM(K153,AC153)+0.003,1,0)+IF(AS153*1000000+SUM(U153,AM153)*10000+SUM(O153,AG153)*100+SUM(I153,AA153)+0.005&gt;AU153*1000000+SUM(W153,AO153)*10000+SUM(Q153,AI153)*100+SUM(K153,AC153)+0.003,1,0)+IF(AT153*1000000+SUM(V153,AN153)*10000+SUM(P153,AH153)*100+SUM(J153,AB153)+0.004&gt;AU153*1000000+SUM(W153,AO153)*10000+SUM(Q153,AI153)*100+SUM(K153,AC153)+0.003,1,0)+IF(AV153*1000000+SUM(X153,AP153)*10000+SUM(R153,AJ153)*100+SUM(L153,AD153)+0.002&gt;AU153*1000000+SUM(W153,AO153)*10000+SUM(Q153,AI153)*100+SUM(K153,AC153)+0.003,1,0)+IF(AW153*1000000+SUM(Y153,AQ153)*10000+SUM(S153,AK153)*100+SUM(M153,AE153)+0.001&gt;AU153*1000000+SUM(W153,AO153)*10000+SUM(Q153,AI153)*100+SUM(K153,AC153)+0.003,1,0)=2,"S",IF(IF(AR153*1000000+SUM(T153,AL153)*10000+SUM(N153,AF153)*100+SUM(H153,Z153)+0.006&gt;AV153*1000000+SUM(X153,AP153)*10000+SUM(R153,AJ153)*100+SUM(L153,AD153)+0.002,1,0)+IF(AS153*1000000+SUM(U153,AM153)*10000+SUM(O153,AG153)*100+SUM(I153,AA153)+0.005&gt;AV153*1000000+SUM(X153,AP153)*10000+SUM(R153,AJ153)*100+SUM(L153,AD153)+0.002,1,0)+IF(AT153*1000000+SUM(V153,AN153)*10000+SUM(P153,AH153)*100+SUM(J153,AB153)+0.004&gt;AV153*1000000+SUM(X153,AP153)*10000+SUM(R153,AJ153)*100+SUM(L153,AD153)+0.002,1,0)+IF(AU153*1000000+SUM(W153,AO153)*10000+SUM(Q153,AI153)*100+SUM(K153,AC153)+0.003&gt;AV153*1000000+SUM(X153,AP153)*10000+SUM(R153,AJ153)*100+SUM(L153,AD153)+0.002,1,0)+IF(AW153*1000000+SUM(Y153,AQ153)*10000+SUM(S153,AK153)*100+SUM(M153,AE153)+0.001&gt;AV153*1000000+SUM(X153,AP153)*10000+SUM(R153,AJ153)*100+SUM(L153,AD153)+0.002,1,0)=2,"E",IF(IF(AR153*1000000+SUM(T153,AL153)*10000+SUM(N153,AF153)*100+SUM(H153,Z153)+0.006&gt;AW153*1000000+SUM(Y153,AQ153)*10000+SUM(S153,AK153)*100+SUM(M153,AE153)+0.001,1,0)+IF(AS153*1000000+SUM(U153,AM153)*10000+SUM(O153,AG153)*100+SUM(I153,AA153)+0.005&gt;AW153*1000000+SUM(Y153,AQ153)*10000+SUM(S153,AK153)*100+SUM(M153,AE153)+0.001,1,0)+IF(AT153*1000000+SUM(V153,AN153)*10000+SUM(P153,AH153)*100+SUM(J153,AB153)+0.004&gt;AW153*1000000+SUM(Y153,AQ153)*10000+SUM(S153,AK153)*100+SUM(M153,AE153)+0.001,1,0)+IF(AU153*1000000+SUM(W153,AO153)*10000+SUM(Q153,AI153)*100+SUM(K153,AC153)+0.003&gt;AW153*1000000+SUM(Y153,AQ153)*10000+SUM(S153,AK153)*100+SUM(M153,AE153)+0.001,1,0)+IF(AV153*1000000+SUM(X153,AP153)*10000+SUM(R153,AJ153)*100+SUM(L153,AD153)+0.002&gt;AW153*1000000+SUM(Y153,AQ153)*10000+SUM(S153,AK153)*100+SUM(M153,AE153)+0.001,1,0)=2,"C","")))))))</x:f>
      </x:c>
      <x:c r="AY153" s="27" t="str">
        <x:f>IF(C153="","",IF(LEFT(AX153,1)="R","นักปฏิบัติ",IF(LEFT(AX153,1)="I","นักคิดวิเคราะห์",IF(LEFT(AX153,1)="A","นักสร้างสรรค์",IF(LEFT(AX153,1)="S","ผู้เข้าใจผู้คน",IF(LEFT(AX153,1)="E","ผู้นำการเปลี่ยนแปลง","ผู้จัดระบบ"))))))</x:f>
      </x:c>
    </x:row>
    <x:row r="154">
      <x:c r="A154" s="27"/>
      <x:c r="B154" s="28"/>
      <x:c r="C154" s="27"/>
      <x:c r="D154" s="27"/>
      <x:c r="E154" s="27"/>
      <x:c r="F154" s="27"/>
      <x:c r="G154" s="27"/>
      <x:c r="H154" s="27"/>
      <x:c r="I154" s="27"/>
      <x:c r="J154" s="27"/>
      <x:c r="K154" s="27"/>
      <x:c r="L154" s="27"/>
      <x:c r="M154" s="27"/>
      <x:c r="N154" s="27"/>
      <x:c r="O154" s="27"/>
      <x:c r="P154" s="27"/>
      <x:c r="Q154" s="27"/>
      <x:c r="R154" s="27"/>
      <x:c r="S154" s="27"/>
      <x:c r="T154" s="27"/>
      <x:c r="U154" s="27"/>
      <x:c r="V154" s="27"/>
      <x:c r="W154" s="27"/>
      <x:c r="X154" s="27"/>
      <x:c r="Y154" s="27"/>
      <x:c r="Z154" s="27"/>
      <x:c r="AA154" s="27"/>
      <x:c r="AB154" s="27"/>
      <x:c r="AC154" s="27"/>
      <x:c r="AD154" s="27"/>
      <x:c r="AE154" s="27"/>
      <x:c r="AF154" s="27"/>
      <x:c r="AG154" s="27"/>
      <x:c r="AH154" s="27"/>
      <x:c r="AI154" s="27"/>
      <x:c r="AJ154" s="27"/>
      <x:c r="AK154" s="27"/>
      <x:c r="AL154" s="27"/>
      <x:c r="AM154" s="27"/>
      <x:c r="AN154" s="27"/>
      <x:c r="AO154" s="27"/>
      <x:c r="AP154" s="27"/>
      <x:c r="AQ154" s="27"/>
      <x:c r="AR154" s="27" t="str">
        <x:f>IF(C154="","",SUM(H154,N154,T154,Z154,AF154,AL154))</x:f>
      </x:c>
      <x:c r="AS154" s="27" t="str">
        <x:f>IF(C154="","",SUM(I154,O154,U154,AA154,AG154,AM154))</x:f>
      </x:c>
      <x:c r="AT154" s="27" t="str">
        <x:f>IF(C154="","",SUM(J154,P154,V154,AB154,AH154,AN154))</x:f>
      </x:c>
      <x:c r="AU154" s="27" t="str">
        <x:f>IF(C154="","",SUM(K154,Q154,W154,AC154,AI154,AO154))</x:f>
      </x:c>
      <x:c r="AV154" s="27" t="str">
        <x:f>IF(C154="","",SUM(L154,R154,X154,AD154,AJ154,AP154))</x:f>
      </x:c>
      <x:c r="AW154" s="27" t="str">
        <x:f>IF(C154="","",SUM(M154,S154,Y154,AE154,AK154,AQ154))</x:f>
      </x:c>
      <x:c r="AX154" s="27" t="str">
        <x:f>IF(C154="","",IF(IF(AS154*1000000+SUM(U154,AM154)*10000+SUM(O154,AG154)*100+SUM(I154,AA154)+0.005&gt;AR154*1000000+SUM(T154,AL154)*10000+SUM(N154,AF154)*100+SUM(H154,Z154)+0.006,1,0)+IF(AT154*1000000+SUM(V154,AN154)*10000+SUM(P154,AH154)*100+SUM(J154,AB154)+0.004&gt;AR154*1000000+SUM(T154,AL154)*10000+SUM(N154,AF154)*100+SUM(H154,Z154)+0.006,1,0)+IF(AU154*1000000+SUM(W154,AO154)*10000+SUM(Q154,AI154)*100+SUM(K154,AC154)+0.003&gt;AR154*1000000+SUM(T154,AL154)*10000+SUM(N154,AF154)*100+SUM(H154,Z154)+0.006,1,0)+IF(AV154*1000000+SUM(X154,AP154)*10000+SUM(R154,AJ154)*100+SUM(L154,AD154)+0.002&gt;AR154*1000000+SUM(T154,AL154)*10000+SUM(N154,AF154)*100+SUM(H154,Z154)+0.006,1,0)+IF(AW154*1000000+SUM(Y154,AQ154)*10000+SUM(S154,AK154)*100+SUM(M154,AE154)+0.001&gt;AR154*1000000+SUM(T154,AL154)*10000+SUM(N154,AF154)*100+SUM(H154,Z154)+0.006,1,0)=0,"R",IF(IF(AR154*1000000+SUM(T154,AL154)*10000+SUM(N154,AF154)*100+SUM(H154,Z154)+0.006&gt;AS154*1000000+SUM(U154,AM154)*10000+SUM(O154,AG154)*100+SUM(I154,AA154)+0.005,1,0)+IF(AT154*1000000+SUM(V154,AN154)*10000+SUM(P154,AH154)*100+SUM(J154,AB154)+0.004&gt;AS154*1000000+SUM(U154,AM154)*10000+SUM(O154,AG154)*100+SUM(I154,AA154)+0.005,1,0)+IF(AU154*1000000+SUM(W154,AO154)*10000+SUM(Q154,AI154)*100+SUM(K154,AC154)+0.003&gt;AS154*1000000+SUM(U154,AM154)*10000+SUM(O154,AG154)*100+SUM(I154,AA154)+0.005,1,0)+IF(AV154*1000000+SUM(X154,AP154)*10000+SUM(R154,AJ154)*100+SUM(L154,AD154)+0.002&gt;AS154*1000000+SUM(U154,AM154)*10000+SUM(O154,AG154)*100+SUM(I154,AA154)+0.005,1,0)+IF(AW154*1000000+SUM(Y154,AQ154)*10000+SUM(S154,AK154)*100+SUM(M154,AE154)+0.001&gt;AS154*1000000+SUM(U154,AM154)*10000+SUM(O154,AG154)*100+SUM(I154,AA154)+0.005,1,0)=0,"I",IF(IF(AR154*1000000+SUM(T154,AL154)*10000+SUM(N154,AF154)*100+SUM(H154,Z154)+0.006&gt;AT154*1000000+SUM(V154,AN154)*10000+SUM(P154,AH154)*100+SUM(J154,AB154)+0.004,1,0)+IF(AS154*1000000+SUM(U154,AM154)*10000+SUM(O154,AG154)*100+SUM(I154,AA154)+0.005&gt;AT154*1000000+SUM(V154,AN154)*10000+SUM(P154,AH154)*100+SUM(J154,AB154)+0.004,1,0)+IF(AU154*1000000+SUM(W154,AO154)*10000+SUM(Q154,AI154)*100+SUM(K154,AC154)+0.003&gt;AT154*1000000+SUM(V154,AN154)*10000+SUM(P154,AH154)*100+SUM(J154,AB154)+0.004,1,0)+IF(AV154*1000000+SUM(X154,AP154)*10000+SUM(R154,AJ154)*100+SUM(L154,AD154)+0.002&gt;AT154*1000000+SUM(V154,AN154)*10000+SUM(P154,AH154)*100+SUM(J154,AB154)+0.004,1,0)+IF(AW154*1000000+SUM(Y154,AQ154)*10000+SUM(S154,AK154)*100+SUM(M154,AE154)+0.001&gt;AT154*1000000+SUM(V154,AN154)*10000+SUM(P154,AH154)*100+SUM(J154,AB154)+0.004,1,0)=0,"A",IF(IF(AR154*1000000+SUM(T154,AL154)*10000+SUM(N154,AF154)*100+SUM(H154,Z154)+0.006&gt;AU154*1000000+SUM(W154,AO154)*10000+SUM(Q154,AI154)*100+SUM(K154,AC154)+0.003,1,0)+IF(AS154*1000000+SUM(U154,AM154)*10000+SUM(O154,AG154)*100+SUM(I154,AA154)+0.005&gt;AU154*1000000+SUM(W154,AO154)*10000+SUM(Q154,AI154)*100+SUM(K154,AC154)+0.003,1,0)+IF(AT154*1000000+SUM(V154,AN154)*10000+SUM(P154,AH154)*100+SUM(J154,AB154)+0.004&gt;AU154*1000000+SUM(W154,AO154)*10000+SUM(Q154,AI154)*100+SUM(K154,AC154)+0.003,1,0)+IF(AV154*1000000+SUM(X154,AP154)*10000+SUM(R154,AJ154)*100+SUM(L154,AD154)+0.002&gt;AU154*1000000+SUM(W154,AO154)*10000+SUM(Q154,AI154)*100+SUM(K154,AC154)+0.003,1,0)+IF(AW154*1000000+SUM(Y154,AQ154)*10000+SUM(S154,AK154)*100+SUM(M154,AE154)+0.001&gt;AU154*1000000+SUM(W154,AO154)*10000+SUM(Q154,AI154)*100+SUM(K154,AC154)+0.003,1,0)=0,"S",IF(IF(AR154*1000000+SUM(T154,AL154)*10000+SUM(N154,AF154)*100+SUM(H154,Z154)+0.006&gt;AV154*1000000+SUM(X154,AP154)*10000+SUM(R154,AJ154)*100+SUM(L154,AD154)+0.002,1,0)+IF(AS154*1000000+SUM(U154,AM154)*10000+SUM(O154,AG154)*100+SUM(I154,AA154)+0.005&gt;AV154*1000000+SUM(X154,AP154)*10000+SUM(R154,AJ154)*100+SUM(L154,AD154)+0.002,1,0)+IF(AT154*1000000+SUM(V154,AN154)*10000+SUM(P154,AH154)*100+SUM(J154,AB154)+0.004&gt;AV154*1000000+SUM(X154,AP154)*10000+SUM(R154,AJ154)*100+SUM(L154,AD154)+0.002,1,0)+IF(AU154*1000000+SUM(W154,AO154)*10000+SUM(Q154,AI154)*100+SUM(K154,AC154)+0.003&gt;AV154*1000000+SUM(X154,AP154)*10000+SUM(R154,AJ154)*100+SUM(L154,AD154)+0.002,1,0)+IF(AW154*1000000+SUM(Y154,AQ154)*10000+SUM(S154,AK154)*100+SUM(M154,AE154)+0.001&gt;AV154*1000000+SUM(X154,AP154)*10000+SUM(R154,AJ154)*100+SUM(L154,AD154)+0.002,1,0)=0,"E",IF(IF(AR154*1000000+SUM(T154,AL154)*10000+SUM(N154,AF154)*100+SUM(H154,Z154)+0.006&gt;AW154*1000000+SUM(Y154,AQ154)*10000+SUM(S154,AK154)*100+SUM(M154,AE154)+0.001,1,0)+IF(AS154*1000000+SUM(U154,AM154)*10000+SUM(O154,AG154)*100+SUM(I154,AA154)+0.005&gt;AW154*1000000+SUM(Y154,AQ154)*10000+SUM(S154,AK154)*100+SUM(M154,AE154)+0.001,1,0)+IF(AT154*1000000+SUM(V154,AN154)*10000+SUM(P154,AH154)*100+SUM(J154,AB154)+0.004&gt;AW154*1000000+SUM(Y154,AQ154)*10000+SUM(S154,AK154)*100+SUM(M154,AE154)+0.001,1,0)+IF(AU154*1000000+SUM(W154,AO154)*10000+SUM(Q154,AI154)*100+SUM(K154,AC154)+0.003&gt;AW154*1000000+SUM(Y154,AQ154)*10000+SUM(S154,AK154)*100+SUM(M154,AE154)+0.001,1,0)+IF(AV154*1000000+SUM(X154,AP154)*10000+SUM(R154,AJ154)*100+SUM(L154,AD154)+0.002&gt;AW154*1000000+SUM(Y154,AQ154)*10000+SUM(S154,AK154)*100+SUM(M154,AE154)+0.001,1,0)=0,"C",""))))))&amp;IF(IF(AS154*1000000+SUM(U154,AM154)*10000+SUM(O154,AG154)*100+SUM(I154,AA154)+0.005&gt;AR154*1000000+SUM(T154,AL154)*10000+SUM(N154,AF154)*100+SUM(H154,Z154)+0.006,1,0)+IF(AT154*1000000+SUM(V154,AN154)*10000+SUM(P154,AH154)*100+SUM(J154,AB154)+0.004&gt;AR154*1000000+SUM(T154,AL154)*10000+SUM(N154,AF154)*100+SUM(H154,Z154)+0.006,1,0)+IF(AU154*1000000+SUM(W154,AO154)*10000+SUM(Q154,AI154)*100+SUM(K154,AC154)+0.003&gt;AR154*1000000+SUM(T154,AL154)*10000+SUM(N154,AF154)*100+SUM(H154,Z154)+0.006,1,0)+IF(AV154*1000000+SUM(X154,AP154)*10000+SUM(R154,AJ154)*100+SUM(L154,AD154)+0.002&gt;AR154*1000000+SUM(T154,AL154)*10000+SUM(N154,AF154)*100+SUM(H154,Z154)+0.006,1,0)+IF(AW154*1000000+SUM(Y154,AQ154)*10000+SUM(S154,AK154)*100+SUM(M154,AE154)+0.001&gt;AR154*1000000+SUM(T154,AL154)*10000+SUM(N154,AF154)*100+SUM(H154,Z154)+0.006,1,0)=1,"R",IF(IF(AR154*1000000+SUM(T154,AL154)*10000+SUM(N154,AF154)*100+SUM(H154,Z154)+0.006&gt;AS154*1000000+SUM(U154,AM154)*10000+SUM(O154,AG154)*100+SUM(I154,AA154)+0.005,1,0)+IF(AT154*1000000+SUM(V154,AN154)*10000+SUM(P154,AH154)*100+SUM(J154,AB154)+0.004&gt;AS154*1000000+SUM(U154,AM154)*10000+SUM(O154,AG154)*100+SUM(I154,AA154)+0.005,1,0)+IF(AU154*1000000+SUM(W154,AO154)*10000+SUM(Q154,AI154)*100+SUM(K154,AC154)+0.003&gt;AS154*1000000+SUM(U154,AM154)*10000+SUM(O154,AG154)*100+SUM(I154,AA154)+0.005,1,0)+IF(AV154*1000000+SUM(X154,AP154)*10000+SUM(R154,AJ154)*100+SUM(L154,AD154)+0.002&gt;AS154*1000000+SUM(U154,AM154)*10000+SUM(O154,AG154)*100+SUM(I154,AA154)+0.005,1,0)+IF(AW154*1000000+SUM(Y154,AQ154)*10000+SUM(S154,AK154)*100+SUM(M154,AE154)+0.001&gt;AS154*1000000+SUM(U154,AM154)*10000+SUM(O154,AG154)*100+SUM(I154,AA154)+0.005,1,0)=1,"I",IF(IF(AR154*1000000+SUM(T154,AL154)*10000+SUM(N154,AF154)*100+SUM(H154,Z154)+0.006&gt;AT154*1000000+SUM(V154,AN154)*10000+SUM(P154,AH154)*100+SUM(J154,AB154)+0.004,1,0)+IF(AS154*1000000+SUM(U154,AM154)*10000+SUM(O154,AG154)*100+SUM(I154,AA154)+0.005&gt;AT154*1000000+SUM(V154,AN154)*10000+SUM(P154,AH154)*100+SUM(J154,AB154)+0.004,1,0)+IF(AU154*1000000+SUM(W154,AO154)*10000+SUM(Q154,AI154)*100+SUM(K154,AC154)+0.003&gt;AT154*1000000+SUM(V154,AN154)*10000+SUM(P154,AH154)*100+SUM(J154,AB154)+0.004,1,0)+IF(AV154*1000000+SUM(X154,AP154)*10000+SUM(R154,AJ154)*100+SUM(L154,AD154)+0.002&gt;AT154*1000000+SUM(V154,AN154)*10000+SUM(P154,AH154)*100+SUM(J154,AB154)+0.004,1,0)+IF(AW154*1000000+SUM(Y154,AQ154)*10000+SUM(S154,AK154)*100+SUM(M154,AE154)+0.001&gt;AT154*1000000+SUM(V154,AN154)*10000+SUM(P154,AH154)*100+SUM(J154,AB154)+0.004,1,0)=1,"A",IF(IF(AR154*1000000+SUM(T154,AL154)*10000+SUM(N154,AF154)*100+SUM(H154,Z154)+0.006&gt;AU154*1000000+SUM(W154,AO154)*10000+SUM(Q154,AI154)*100+SUM(K154,AC154)+0.003,1,0)+IF(AS154*1000000+SUM(U154,AM154)*10000+SUM(O154,AG154)*100+SUM(I154,AA154)+0.005&gt;AU154*1000000+SUM(W154,AO154)*10000+SUM(Q154,AI154)*100+SUM(K154,AC154)+0.003,1,0)+IF(AT154*1000000+SUM(V154,AN154)*10000+SUM(P154,AH154)*100+SUM(J154,AB154)+0.004&gt;AU154*1000000+SUM(W154,AO154)*10000+SUM(Q154,AI154)*100+SUM(K154,AC154)+0.003,1,0)+IF(AV154*1000000+SUM(X154,AP154)*10000+SUM(R154,AJ154)*100+SUM(L154,AD154)+0.002&gt;AU154*1000000+SUM(W154,AO154)*10000+SUM(Q154,AI154)*100+SUM(K154,AC154)+0.003,1,0)+IF(AW154*1000000+SUM(Y154,AQ154)*10000+SUM(S154,AK154)*100+SUM(M154,AE154)+0.001&gt;AU154*1000000+SUM(W154,AO154)*10000+SUM(Q154,AI154)*100+SUM(K154,AC154)+0.003,1,0)=1,"S",IF(IF(AR154*1000000+SUM(T154,AL154)*10000+SUM(N154,AF154)*100+SUM(H154,Z154)+0.006&gt;AV154*1000000+SUM(X154,AP154)*10000+SUM(R154,AJ154)*100+SUM(L154,AD154)+0.002,1,0)+IF(AS154*1000000+SUM(U154,AM154)*10000+SUM(O154,AG154)*100+SUM(I154,AA154)+0.005&gt;AV154*1000000+SUM(X154,AP154)*10000+SUM(R154,AJ154)*100+SUM(L154,AD154)+0.002,1,0)+IF(AT154*1000000+SUM(V154,AN154)*10000+SUM(P154,AH154)*100+SUM(J154,AB154)+0.004&gt;AV154*1000000+SUM(X154,AP154)*10000+SUM(R154,AJ154)*100+SUM(L154,AD154)+0.002,1,0)+IF(AU154*1000000+SUM(W154,AO154)*10000+SUM(Q154,AI154)*100+SUM(K154,AC154)+0.003&gt;AV154*1000000+SUM(X154,AP154)*10000+SUM(R154,AJ154)*100+SUM(L154,AD154)+0.002,1,0)+IF(AW154*1000000+SUM(Y154,AQ154)*10000+SUM(S154,AK154)*100+SUM(M154,AE154)+0.001&gt;AV154*1000000+SUM(X154,AP154)*10000+SUM(R154,AJ154)*100+SUM(L154,AD154)+0.002,1,0)=1,"E",IF(IF(AR154*1000000+SUM(T154,AL154)*10000+SUM(N154,AF154)*100+SUM(H154,Z154)+0.006&gt;AW154*1000000+SUM(Y154,AQ154)*10000+SUM(S154,AK154)*100+SUM(M154,AE154)+0.001,1,0)+IF(AS154*1000000+SUM(U154,AM154)*10000+SUM(O154,AG154)*100+SUM(I154,AA154)+0.005&gt;AW154*1000000+SUM(Y154,AQ154)*10000+SUM(S154,AK154)*100+SUM(M154,AE154)+0.001,1,0)+IF(AT154*1000000+SUM(V154,AN154)*10000+SUM(P154,AH154)*100+SUM(J154,AB154)+0.004&gt;AW154*1000000+SUM(Y154,AQ154)*10000+SUM(S154,AK154)*100+SUM(M154,AE154)+0.001,1,0)+IF(AU154*1000000+SUM(W154,AO154)*10000+SUM(Q154,AI154)*100+SUM(K154,AC154)+0.003&gt;AW154*1000000+SUM(Y154,AQ154)*10000+SUM(S154,AK154)*100+SUM(M154,AE154)+0.001,1,0)+IF(AV154*1000000+SUM(X154,AP154)*10000+SUM(R154,AJ154)*100+SUM(L154,AD154)+0.002&gt;AW154*1000000+SUM(Y154,AQ154)*10000+SUM(S154,AK154)*100+SUM(M154,AE154)+0.001,1,0)=1,"C",""))))))&amp;IF(IF(AS154*1000000+SUM(U154,AM154)*10000+SUM(O154,AG154)*100+SUM(I154,AA154)+0.005&gt;AR154*1000000+SUM(T154,AL154)*10000+SUM(N154,AF154)*100+SUM(H154,Z154)+0.006,1,0)+IF(AT154*1000000+SUM(V154,AN154)*10000+SUM(P154,AH154)*100+SUM(J154,AB154)+0.004&gt;AR154*1000000+SUM(T154,AL154)*10000+SUM(N154,AF154)*100+SUM(H154,Z154)+0.006,1,0)+IF(AU154*1000000+SUM(W154,AO154)*10000+SUM(Q154,AI154)*100+SUM(K154,AC154)+0.003&gt;AR154*1000000+SUM(T154,AL154)*10000+SUM(N154,AF154)*100+SUM(H154,Z154)+0.006,1,0)+IF(AV154*1000000+SUM(X154,AP154)*10000+SUM(R154,AJ154)*100+SUM(L154,AD154)+0.002&gt;AR154*1000000+SUM(T154,AL154)*10000+SUM(N154,AF154)*100+SUM(H154,Z154)+0.006,1,0)+IF(AW154*1000000+SUM(Y154,AQ154)*10000+SUM(S154,AK154)*100+SUM(M154,AE154)+0.001&gt;AR154*1000000+SUM(T154,AL154)*10000+SUM(N154,AF154)*100+SUM(H154,Z154)+0.006,1,0)=2,"R",IF(IF(AR154*1000000+SUM(T154,AL154)*10000+SUM(N154,AF154)*100+SUM(H154,Z154)+0.006&gt;AS154*1000000+SUM(U154,AM154)*10000+SUM(O154,AG154)*100+SUM(I154,AA154)+0.005,1,0)+IF(AT154*1000000+SUM(V154,AN154)*10000+SUM(P154,AH154)*100+SUM(J154,AB154)+0.004&gt;AS154*1000000+SUM(U154,AM154)*10000+SUM(O154,AG154)*100+SUM(I154,AA154)+0.005,1,0)+IF(AU154*1000000+SUM(W154,AO154)*10000+SUM(Q154,AI154)*100+SUM(K154,AC154)+0.003&gt;AS154*1000000+SUM(U154,AM154)*10000+SUM(O154,AG154)*100+SUM(I154,AA154)+0.005,1,0)+IF(AV154*1000000+SUM(X154,AP154)*10000+SUM(R154,AJ154)*100+SUM(L154,AD154)+0.002&gt;AS154*1000000+SUM(U154,AM154)*10000+SUM(O154,AG154)*100+SUM(I154,AA154)+0.005,1,0)+IF(AW154*1000000+SUM(Y154,AQ154)*10000+SUM(S154,AK154)*100+SUM(M154,AE154)+0.001&gt;AS154*1000000+SUM(U154,AM154)*10000+SUM(O154,AG154)*100+SUM(I154,AA154)+0.005,1,0)=2,"I",IF(IF(AR154*1000000+SUM(T154,AL154)*10000+SUM(N154,AF154)*100+SUM(H154,Z154)+0.006&gt;AT154*1000000+SUM(V154,AN154)*10000+SUM(P154,AH154)*100+SUM(J154,AB154)+0.004,1,0)+IF(AS154*1000000+SUM(U154,AM154)*10000+SUM(O154,AG154)*100+SUM(I154,AA154)+0.005&gt;AT154*1000000+SUM(V154,AN154)*10000+SUM(P154,AH154)*100+SUM(J154,AB154)+0.004,1,0)+IF(AU154*1000000+SUM(W154,AO154)*10000+SUM(Q154,AI154)*100+SUM(K154,AC154)+0.003&gt;AT154*1000000+SUM(V154,AN154)*10000+SUM(P154,AH154)*100+SUM(J154,AB154)+0.004,1,0)+IF(AV154*1000000+SUM(X154,AP154)*10000+SUM(R154,AJ154)*100+SUM(L154,AD154)+0.002&gt;AT154*1000000+SUM(V154,AN154)*10000+SUM(P154,AH154)*100+SUM(J154,AB154)+0.004,1,0)+IF(AW154*1000000+SUM(Y154,AQ154)*10000+SUM(S154,AK154)*100+SUM(M154,AE154)+0.001&gt;AT154*1000000+SUM(V154,AN154)*10000+SUM(P154,AH154)*100+SUM(J154,AB154)+0.004,1,0)=2,"A",IF(IF(AR154*1000000+SUM(T154,AL154)*10000+SUM(N154,AF154)*100+SUM(H154,Z154)+0.006&gt;AU154*1000000+SUM(W154,AO154)*10000+SUM(Q154,AI154)*100+SUM(K154,AC154)+0.003,1,0)+IF(AS154*1000000+SUM(U154,AM154)*10000+SUM(O154,AG154)*100+SUM(I154,AA154)+0.005&gt;AU154*1000000+SUM(W154,AO154)*10000+SUM(Q154,AI154)*100+SUM(K154,AC154)+0.003,1,0)+IF(AT154*1000000+SUM(V154,AN154)*10000+SUM(P154,AH154)*100+SUM(J154,AB154)+0.004&gt;AU154*1000000+SUM(W154,AO154)*10000+SUM(Q154,AI154)*100+SUM(K154,AC154)+0.003,1,0)+IF(AV154*1000000+SUM(X154,AP154)*10000+SUM(R154,AJ154)*100+SUM(L154,AD154)+0.002&gt;AU154*1000000+SUM(W154,AO154)*10000+SUM(Q154,AI154)*100+SUM(K154,AC154)+0.003,1,0)+IF(AW154*1000000+SUM(Y154,AQ154)*10000+SUM(S154,AK154)*100+SUM(M154,AE154)+0.001&gt;AU154*1000000+SUM(W154,AO154)*10000+SUM(Q154,AI154)*100+SUM(K154,AC154)+0.003,1,0)=2,"S",IF(IF(AR154*1000000+SUM(T154,AL154)*10000+SUM(N154,AF154)*100+SUM(H154,Z154)+0.006&gt;AV154*1000000+SUM(X154,AP154)*10000+SUM(R154,AJ154)*100+SUM(L154,AD154)+0.002,1,0)+IF(AS154*1000000+SUM(U154,AM154)*10000+SUM(O154,AG154)*100+SUM(I154,AA154)+0.005&gt;AV154*1000000+SUM(X154,AP154)*10000+SUM(R154,AJ154)*100+SUM(L154,AD154)+0.002,1,0)+IF(AT154*1000000+SUM(V154,AN154)*10000+SUM(P154,AH154)*100+SUM(J154,AB154)+0.004&gt;AV154*1000000+SUM(X154,AP154)*10000+SUM(R154,AJ154)*100+SUM(L154,AD154)+0.002,1,0)+IF(AU154*1000000+SUM(W154,AO154)*10000+SUM(Q154,AI154)*100+SUM(K154,AC154)+0.003&gt;AV154*1000000+SUM(X154,AP154)*10000+SUM(R154,AJ154)*100+SUM(L154,AD154)+0.002,1,0)+IF(AW154*1000000+SUM(Y154,AQ154)*10000+SUM(S154,AK154)*100+SUM(M154,AE154)+0.001&gt;AV154*1000000+SUM(X154,AP154)*10000+SUM(R154,AJ154)*100+SUM(L154,AD154)+0.002,1,0)=2,"E",IF(IF(AR154*1000000+SUM(T154,AL154)*10000+SUM(N154,AF154)*100+SUM(H154,Z154)+0.006&gt;AW154*1000000+SUM(Y154,AQ154)*10000+SUM(S154,AK154)*100+SUM(M154,AE154)+0.001,1,0)+IF(AS154*1000000+SUM(U154,AM154)*10000+SUM(O154,AG154)*100+SUM(I154,AA154)+0.005&gt;AW154*1000000+SUM(Y154,AQ154)*10000+SUM(S154,AK154)*100+SUM(M154,AE154)+0.001,1,0)+IF(AT154*1000000+SUM(V154,AN154)*10000+SUM(P154,AH154)*100+SUM(J154,AB154)+0.004&gt;AW154*1000000+SUM(Y154,AQ154)*10000+SUM(S154,AK154)*100+SUM(M154,AE154)+0.001,1,0)+IF(AU154*1000000+SUM(W154,AO154)*10000+SUM(Q154,AI154)*100+SUM(K154,AC154)+0.003&gt;AW154*1000000+SUM(Y154,AQ154)*10000+SUM(S154,AK154)*100+SUM(M154,AE154)+0.001,1,0)+IF(AV154*1000000+SUM(X154,AP154)*10000+SUM(R154,AJ154)*100+SUM(L154,AD154)+0.002&gt;AW154*1000000+SUM(Y154,AQ154)*10000+SUM(S154,AK154)*100+SUM(M154,AE154)+0.001,1,0)=2,"C","")))))))</x:f>
      </x:c>
      <x:c r="AY154" s="27" t="str">
        <x:f>IF(C154="","",IF(LEFT(AX154,1)="R","นักปฏิบัติ",IF(LEFT(AX154,1)="I","นักคิดวิเคราะห์",IF(LEFT(AX154,1)="A","นักสร้างสรรค์",IF(LEFT(AX154,1)="S","ผู้เข้าใจผู้คน",IF(LEFT(AX154,1)="E","ผู้นำการเปลี่ยนแปลง","ผู้จัดระบบ"))))))</x:f>
      </x:c>
    </x:row>
    <x:row r="155">
      <x:c r="A155" s="27"/>
      <x:c r="B155" s="28"/>
      <x:c r="C155" s="27"/>
      <x:c r="D155" s="27"/>
      <x:c r="E155" s="27"/>
      <x:c r="F155" s="27"/>
      <x:c r="G155" s="27"/>
      <x:c r="H155" s="27"/>
      <x:c r="I155" s="27"/>
      <x:c r="J155" s="27"/>
      <x:c r="K155" s="27"/>
      <x:c r="L155" s="27"/>
      <x:c r="M155" s="27"/>
      <x:c r="N155" s="27"/>
      <x:c r="O155" s="27"/>
      <x:c r="P155" s="27"/>
      <x:c r="Q155" s="27"/>
      <x:c r="R155" s="27"/>
      <x:c r="S155" s="27"/>
      <x:c r="T155" s="27"/>
      <x:c r="U155" s="27"/>
      <x:c r="V155" s="27"/>
      <x:c r="W155" s="27"/>
      <x:c r="X155" s="27"/>
      <x:c r="Y155" s="27"/>
      <x:c r="Z155" s="27"/>
      <x:c r="AA155" s="27"/>
      <x:c r="AB155" s="27"/>
      <x:c r="AC155" s="27"/>
      <x:c r="AD155" s="27"/>
      <x:c r="AE155" s="27"/>
      <x:c r="AF155" s="27"/>
      <x:c r="AG155" s="27"/>
      <x:c r="AH155" s="27"/>
      <x:c r="AI155" s="27"/>
      <x:c r="AJ155" s="27"/>
      <x:c r="AK155" s="27"/>
      <x:c r="AL155" s="27"/>
      <x:c r="AM155" s="27"/>
      <x:c r="AN155" s="27"/>
      <x:c r="AO155" s="27"/>
      <x:c r="AP155" s="27"/>
      <x:c r="AQ155" s="27"/>
      <x:c r="AR155" s="27" t="str">
        <x:f>IF(C155="","",SUM(H155,N155,T155,Z155,AF155,AL155))</x:f>
      </x:c>
      <x:c r="AS155" s="27" t="str">
        <x:f>IF(C155="","",SUM(I155,O155,U155,AA155,AG155,AM155))</x:f>
      </x:c>
      <x:c r="AT155" s="27" t="str">
        <x:f>IF(C155="","",SUM(J155,P155,V155,AB155,AH155,AN155))</x:f>
      </x:c>
      <x:c r="AU155" s="27" t="str">
        <x:f>IF(C155="","",SUM(K155,Q155,W155,AC155,AI155,AO155))</x:f>
      </x:c>
      <x:c r="AV155" s="27" t="str">
        <x:f>IF(C155="","",SUM(L155,R155,X155,AD155,AJ155,AP155))</x:f>
      </x:c>
      <x:c r="AW155" s="27" t="str">
        <x:f>IF(C155="","",SUM(M155,S155,Y155,AE155,AK155,AQ155))</x:f>
      </x:c>
      <x:c r="AX155" s="27" t="str">
        <x:f>IF(C155="","",IF(IF(AS155*1000000+SUM(U155,AM155)*10000+SUM(O155,AG155)*100+SUM(I155,AA155)+0.005&gt;AR155*1000000+SUM(T155,AL155)*10000+SUM(N155,AF155)*100+SUM(H155,Z155)+0.006,1,0)+IF(AT155*1000000+SUM(V155,AN155)*10000+SUM(P155,AH155)*100+SUM(J155,AB155)+0.004&gt;AR155*1000000+SUM(T155,AL155)*10000+SUM(N155,AF155)*100+SUM(H155,Z155)+0.006,1,0)+IF(AU155*1000000+SUM(W155,AO155)*10000+SUM(Q155,AI155)*100+SUM(K155,AC155)+0.003&gt;AR155*1000000+SUM(T155,AL155)*10000+SUM(N155,AF155)*100+SUM(H155,Z155)+0.006,1,0)+IF(AV155*1000000+SUM(X155,AP155)*10000+SUM(R155,AJ155)*100+SUM(L155,AD155)+0.002&gt;AR155*1000000+SUM(T155,AL155)*10000+SUM(N155,AF155)*100+SUM(H155,Z155)+0.006,1,0)+IF(AW155*1000000+SUM(Y155,AQ155)*10000+SUM(S155,AK155)*100+SUM(M155,AE155)+0.001&gt;AR155*1000000+SUM(T155,AL155)*10000+SUM(N155,AF155)*100+SUM(H155,Z155)+0.006,1,0)=0,"R",IF(IF(AR155*1000000+SUM(T155,AL155)*10000+SUM(N155,AF155)*100+SUM(H155,Z155)+0.006&gt;AS155*1000000+SUM(U155,AM155)*10000+SUM(O155,AG155)*100+SUM(I155,AA155)+0.005,1,0)+IF(AT155*1000000+SUM(V155,AN155)*10000+SUM(P155,AH155)*100+SUM(J155,AB155)+0.004&gt;AS155*1000000+SUM(U155,AM155)*10000+SUM(O155,AG155)*100+SUM(I155,AA155)+0.005,1,0)+IF(AU155*1000000+SUM(W155,AO155)*10000+SUM(Q155,AI155)*100+SUM(K155,AC155)+0.003&gt;AS155*1000000+SUM(U155,AM155)*10000+SUM(O155,AG155)*100+SUM(I155,AA155)+0.005,1,0)+IF(AV155*1000000+SUM(X155,AP155)*10000+SUM(R155,AJ155)*100+SUM(L155,AD155)+0.002&gt;AS155*1000000+SUM(U155,AM155)*10000+SUM(O155,AG155)*100+SUM(I155,AA155)+0.005,1,0)+IF(AW155*1000000+SUM(Y155,AQ155)*10000+SUM(S155,AK155)*100+SUM(M155,AE155)+0.001&gt;AS155*1000000+SUM(U155,AM155)*10000+SUM(O155,AG155)*100+SUM(I155,AA155)+0.005,1,0)=0,"I",IF(IF(AR155*1000000+SUM(T155,AL155)*10000+SUM(N155,AF155)*100+SUM(H155,Z155)+0.006&gt;AT155*1000000+SUM(V155,AN155)*10000+SUM(P155,AH155)*100+SUM(J155,AB155)+0.004,1,0)+IF(AS155*1000000+SUM(U155,AM155)*10000+SUM(O155,AG155)*100+SUM(I155,AA155)+0.005&gt;AT155*1000000+SUM(V155,AN155)*10000+SUM(P155,AH155)*100+SUM(J155,AB155)+0.004,1,0)+IF(AU155*1000000+SUM(W155,AO155)*10000+SUM(Q155,AI155)*100+SUM(K155,AC155)+0.003&gt;AT155*1000000+SUM(V155,AN155)*10000+SUM(P155,AH155)*100+SUM(J155,AB155)+0.004,1,0)+IF(AV155*1000000+SUM(X155,AP155)*10000+SUM(R155,AJ155)*100+SUM(L155,AD155)+0.002&gt;AT155*1000000+SUM(V155,AN155)*10000+SUM(P155,AH155)*100+SUM(J155,AB155)+0.004,1,0)+IF(AW155*1000000+SUM(Y155,AQ155)*10000+SUM(S155,AK155)*100+SUM(M155,AE155)+0.001&gt;AT155*1000000+SUM(V155,AN155)*10000+SUM(P155,AH155)*100+SUM(J155,AB155)+0.004,1,0)=0,"A",IF(IF(AR155*1000000+SUM(T155,AL155)*10000+SUM(N155,AF155)*100+SUM(H155,Z155)+0.006&gt;AU155*1000000+SUM(W155,AO155)*10000+SUM(Q155,AI155)*100+SUM(K155,AC155)+0.003,1,0)+IF(AS155*1000000+SUM(U155,AM155)*10000+SUM(O155,AG155)*100+SUM(I155,AA155)+0.005&gt;AU155*1000000+SUM(W155,AO155)*10000+SUM(Q155,AI155)*100+SUM(K155,AC155)+0.003,1,0)+IF(AT155*1000000+SUM(V155,AN155)*10000+SUM(P155,AH155)*100+SUM(J155,AB155)+0.004&gt;AU155*1000000+SUM(W155,AO155)*10000+SUM(Q155,AI155)*100+SUM(K155,AC155)+0.003,1,0)+IF(AV155*1000000+SUM(X155,AP155)*10000+SUM(R155,AJ155)*100+SUM(L155,AD155)+0.002&gt;AU155*1000000+SUM(W155,AO155)*10000+SUM(Q155,AI155)*100+SUM(K155,AC155)+0.003,1,0)+IF(AW155*1000000+SUM(Y155,AQ155)*10000+SUM(S155,AK155)*100+SUM(M155,AE155)+0.001&gt;AU155*1000000+SUM(W155,AO155)*10000+SUM(Q155,AI155)*100+SUM(K155,AC155)+0.003,1,0)=0,"S",IF(IF(AR155*1000000+SUM(T155,AL155)*10000+SUM(N155,AF155)*100+SUM(H155,Z155)+0.006&gt;AV155*1000000+SUM(X155,AP155)*10000+SUM(R155,AJ155)*100+SUM(L155,AD155)+0.002,1,0)+IF(AS155*1000000+SUM(U155,AM155)*10000+SUM(O155,AG155)*100+SUM(I155,AA155)+0.005&gt;AV155*1000000+SUM(X155,AP155)*10000+SUM(R155,AJ155)*100+SUM(L155,AD155)+0.002,1,0)+IF(AT155*1000000+SUM(V155,AN155)*10000+SUM(P155,AH155)*100+SUM(J155,AB155)+0.004&gt;AV155*1000000+SUM(X155,AP155)*10000+SUM(R155,AJ155)*100+SUM(L155,AD155)+0.002,1,0)+IF(AU155*1000000+SUM(W155,AO155)*10000+SUM(Q155,AI155)*100+SUM(K155,AC155)+0.003&gt;AV155*1000000+SUM(X155,AP155)*10000+SUM(R155,AJ155)*100+SUM(L155,AD155)+0.002,1,0)+IF(AW155*1000000+SUM(Y155,AQ155)*10000+SUM(S155,AK155)*100+SUM(M155,AE155)+0.001&gt;AV155*1000000+SUM(X155,AP155)*10000+SUM(R155,AJ155)*100+SUM(L155,AD155)+0.002,1,0)=0,"E",IF(IF(AR155*1000000+SUM(T155,AL155)*10000+SUM(N155,AF155)*100+SUM(H155,Z155)+0.006&gt;AW155*1000000+SUM(Y155,AQ155)*10000+SUM(S155,AK155)*100+SUM(M155,AE155)+0.001,1,0)+IF(AS155*1000000+SUM(U155,AM155)*10000+SUM(O155,AG155)*100+SUM(I155,AA155)+0.005&gt;AW155*1000000+SUM(Y155,AQ155)*10000+SUM(S155,AK155)*100+SUM(M155,AE155)+0.001,1,0)+IF(AT155*1000000+SUM(V155,AN155)*10000+SUM(P155,AH155)*100+SUM(J155,AB155)+0.004&gt;AW155*1000000+SUM(Y155,AQ155)*10000+SUM(S155,AK155)*100+SUM(M155,AE155)+0.001,1,0)+IF(AU155*1000000+SUM(W155,AO155)*10000+SUM(Q155,AI155)*100+SUM(K155,AC155)+0.003&gt;AW155*1000000+SUM(Y155,AQ155)*10000+SUM(S155,AK155)*100+SUM(M155,AE155)+0.001,1,0)+IF(AV155*1000000+SUM(X155,AP155)*10000+SUM(R155,AJ155)*100+SUM(L155,AD155)+0.002&gt;AW155*1000000+SUM(Y155,AQ155)*10000+SUM(S155,AK155)*100+SUM(M155,AE155)+0.001,1,0)=0,"C",""))))))&amp;IF(IF(AS155*1000000+SUM(U155,AM155)*10000+SUM(O155,AG155)*100+SUM(I155,AA155)+0.005&gt;AR155*1000000+SUM(T155,AL155)*10000+SUM(N155,AF155)*100+SUM(H155,Z155)+0.006,1,0)+IF(AT155*1000000+SUM(V155,AN155)*10000+SUM(P155,AH155)*100+SUM(J155,AB155)+0.004&gt;AR155*1000000+SUM(T155,AL155)*10000+SUM(N155,AF155)*100+SUM(H155,Z155)+0.006,1,0)+IF(AU155*1000000+SUM(W155,AO155)*10000+SUM(Q155,AI155)*100+SUM(K155,AC155)+0.003&gt;AR155*1000000+SUM(T155,AL155)*10000+SUM(N155,AF155)*100+SUM(H155,Z155)+0.006,1,0)+IF(AV155*1000000+SUM(X155,AP155)*10000+SUM(R155,AJ155)*100+SUM(L155,AD155)+0.002&gt;AR155*1000000+SUM(T155,AL155)*10000+SUM(N155,AF155)*100+SUM(H155,Z155)+0.006,1,0)+IF(AW155*1000000+SUM(Y155,AQ155)*10000+SUM(S155,AK155)*100+SUM(M155,AE155)+0.001&gt;AR155*1000000+SUM(T155,AL155)*10000+SUM(N155,AF155)*100+SUM(H155,Z155)+0.006,1,0)=1,"R",IF(IF(AR155*1000000+SUM(T155,AL155)*10000+SUM(N155,AF155)*100+SUM(H155,Z155)+0.006&gt;AS155*1000000+SUM(U155,AM155)*10000+SUM(O155,AG155)*100+SUM(I155,AA155)+0.005,1,0)+IF(AT155*1000000+SUM(V155,AN155)*10000+SUM(P155,AH155)*100+SUM(J155,AB155)+0.004&gt;AS155*1000000+SUM(U155,AM155)*10000+SUM(O155,AG155)*100+SUM(I155,AA155)+0.005,1,0)+IF(AU155*1000000+SUM(W155,AO155)*10000+SUM(Q155,AI155)*100+SUM(K155,AC155)+0.003&gt;AS155*1000000+SUM(U155,AM155)*10000+SUM(O155,AG155)*100+SUM(I155,AA155)+0.005,1,0)+IF(AV155*1000000+SUM(X155,AP155)*10000+SUM(R155,AJ155)*100+SUM(L155,AD155)+0.002&gt;AS155*1000000+SUM(U155,AM155)*10000+SUM(O155,AG155)*100+SUM(I155,AA155)+0.005,1,0)+IF(AW155*1000000+SUM(Y155,AQ155)*10000+SUM(S155,AK155)*100+SUM(M155,AE155)+0.001&gt;AS155*1000000+SUM(U155,AM155)*10000+SUM(O155,AG155)*100+SUM(I155,AA155)+0.005,1,0)=1,"I",IF(IF(AR155*1000000+SUM(T155,AL155)*10000+SUM(N155,AF155)*100+SUM(H155,Z155)+0.006&gt;AT155*1000000+SUM(V155,AN155)*10000+SUM(P155,AH155)*100+SUM(J155,AB155)+0.004,1,0)+IF(AS155*1000000+SUM(U155,AM155)*10000+SUM(O155,AG155)*100+SUM(I155,AA155)+0.005&gt;AT155*1000000+SUM(V155,AN155)*10000+SUM(P155,AH155)*100+SUM(J155,AB155)+0.004,1,0)+IF(AU155*1000000+SUM(W155,AO155)*10000+SUM(Q155,AI155)*100+SUM(K155,AC155)+0.003&gt;AT155*1000000+SUM(V155,AN155)*10000+SUM(P155,AH155)*100+SUM(J155,AB155)+0.004,1,0)+IF(AV155*1000000+SUM(X155,AP155)*10000+SUM(R155,AJ155)*100+SUM(L155,AD155)+0.002&gt;AT155*1000000+SUM(V155,AN155)*10000+SUM(P155,AH155)*100+SUM(J155,AB155)+0.004,1,0)+IF(AW155*1000000+SUM(Y155,AQ155)*10000+SUM(S155,AK155)*100+SUM(M155,AE155)+0.001&gt;AT155*1000000+SUM(V155,AN155)*10000+SUM(P155,AH155)*100+SUM(J155,AB155)+0.004,1,0)=1,"A",IF(IF(AR155*1000000+SUM(T155,AL155)*10000+SUM(N155,AF155)*100+SUM(H155,Z155)+0.006&gt;AU155*1000000+SUM(W155,AO155)*10000+SUM(Q155,AI155)*100+SUM(K155,AC155)+0.003,1,0)+IF(AS155*1000000+SUM(U155,AM155)*10000+SUM(O155,AG155)*100+SUM(I155,AA155)+0.005&gt;AU155*1000000+SUM(W155,AO155)*10000+SUM(Q155,AI155)*100+SUM(K155,AC155)+0.003,1,0)+IF(AT155*1000000+SUM(V155,AN155)*10000+SUM(P155,AH155)*100+SUM(J155,AB155)+0.004&gt;AU155*1000000+SUM(W155,AO155)*10000+SUM(Q155,AI155)*100+SUM(K155,AC155)+0.003,1,0)+IF(AV155*1000000+SUM(X155,AP155)*10000+SUM(R155,AJ155)*100+SUM(L155,AD155)+0.002&gt;AU155*1000000+SUM(W155,AO155)*10000+SUM(Q155,AI155)*100+SUM(K155,AC155)+0.003,1,0)+IF(AW155*1000000+SUM(Y155,AQ155)*10000+SUM(S155,AK155)*100+SUM(M155,AE155)+0.001&gt;AU155*1000000+SUM(W155,AO155)*10000+SUM(Q155,AI155)*100+SUM(K155,AC155)+0.003,1,0)=1,"S",IF(IF(AR155*1000000+SUM(T155,AL155)*10000+SUM(N155,AF155)*100+SUM(H155,Z155)+0.006&gt;AV155*1000000+SUM(X155,AP155)*10000+SUM(R155,AJ155)*100+SUM(L155,AD155)+0.002,1,0)+IF(AS155*1000000+SUM(U155,AM155)*10000+SUM(O155,AG155)*100+SUM(I155,AA155)+0.005&gt;AV155*1000000+SUM(X155,AP155)*10000+SUM(R155,AJ155)*100+SUM(L155,AD155)+0.002,1,0)+IF(AT155*1000000+SUM(V155,AN155)*10000+SUM(P155,AH155)*100+SUM(J155,AB155)+0.004&gt;AV155*1000000+SUM(X155,AP155)*10000+SUM(R155,AJ155)*100+SUM(L155,AD155)+0.002,1,0)+IF(AU155*1000000+SUM(W155,AO155)*10000+SUM(Q155,AI155)*100+SUM(K155,AC155)+0.003&gt;AV155*1000000+SUM(X155,AP155)*10000+SUM(R155,AJ155)*100+SUM(L155,AD155)+0.002,1,0)+IF(AW155*1000000+SUM(Y155,AQ155)*10000+SUM(S155,AK155)*100+SUM(M155,AE155)+0.001&gt;AV155*1000000+SUM(X155,AP155)*10000+SUM(R155,AJ155)*100+SUM(L155,AD155)+0.002,1,0)=1,"E",IF(IF(AR155*1000000+SUM(T155,AL155)*10000+SUM(N155,AF155)*100+SUM(H155,Z155)+0.006&gt;AW155*1000000+SUM(Y155,AQ155)*10000+SUM(S155,AK155)*100+SUM(M155,AE155)+0.001,1,0)+IF(AS155*1000000+SUM(U155,AM155)*10000+SUM(O155,AG155)*100+SUM(I155,AA155)+0.005&gt;AW155*1000000+SUM(Y155,AQ155)*10000+SUM(S155,AK155)*100+SUM(M155,AE155)+0.001,1,0)+IF(AT155*1000000+SUM(V155,AN155)*10000+SUM(P155,AH155)*100+SUM(J155,AB155)+0.004&gt;AW155*1000000+SUM(Y155,AQ155)*10000+SUM(S155,AK155)*100+SUM(M155,AE155)+0.001,1,0)+IF(AU155*1000000+SUM(W155,AO155)*10000+SUM(Q155,AI155)*100+SUM(K155,AC155)+0.003&gt;AW155*1000000+SUM(Y155,AQ155)*10000+SUM(S155,AK155)*100+SUM(M155,AE155)+0.001,1,0)+IF(AV155*1000000+SUM(X155,AP155)*10000+SUM(R155,AJ155)*100+SUM(L155,AD155)+0.002&gt;AW155*1000000+SUM(Y155,AQ155)*10000+SUM(S155,AK155)*100+SUM(M155,AE155)+0.001,1,0)=1,"C",""))))))&amp;IF(IF(AS155*1000000+SUM(U155,AM155)*10000+SUM(O155,AG155)*100+SUM(I155,AA155)+0.005&gt;AR155*1000000+SUM(T155,AL155)*10000+SUM(N155,AF155)*100+SUM(H155,Z155)+0.006,1,0)+IF(AT155*1000000+SUM(V155,AN155)*10000+SUM(P155,AH155)*100+SUM(J155,AB155)+0.004&gt;AR155*1000000+SUM(T155,AL155)*10000+SUM(N155,AF155)*100+SUM(H155,Z155)+0.006,1,0)+IF(AU155*1000000+SUM(W155,AO155)*10000+SUM(Q155,AI155)*100+SUM(K155,AC155)+0.003&gt;AR155*1000000+SUM(T155,AL155)*10000+SUM(N155,AF155)*100+SUM(H155,Z155)+0.006,1,0)+IF(AV155*1000000+SUM(X155,AP155)*10000+SUM(R155,AJ155)*100+SUM(L155,AD155)+0.002&gt;AR155*1000000+SUM(T155,AL155)*10000+SUM(N155,AF155)*100+SUM(H155,Z155)+0.006,1,0)+IF(AW155*1000000+SUM(Y155,AQ155)*10000+SUM(S155,AK155)*100+SUM(M155,AE155)+0.001&gt;AR155*1000000+SUM(T155,AL155)*10000+SUM(N155,AF155)*100+SUM(H155,Z155)+0.006,1,0)=2,"R",IF(IF(AR155*1000000+SUM(T155,AL155)*10000+SUM(N155,AF155)*100+SUM(H155,Z155)+0.006&gt;AS155*1000000+SUM(U155,AM155)*10000+SUM(O155,AG155)*100+SUM(I155,AA155)+0.005,1,0)+IF(AT155*1000000+SUM(V155,AN155)*10000+SUM(P155,AH155)*100+SUM(J155,AB155)+0.004&gt;AS155*1000000+SUM(U155,AM155)*10000+SUM(O155,AG155)*100+SUM(I155,AA155)+0.005,1,0)+IF(AU155*1000000+SUM(W155,AO155)*10000+SUM(Q155,AI155)*100+SUM(K155,AC155)+0.003&gt;AS155*1000000+SUM(U155,AM155)*10000+SUM(O155,AG155)*100+SUM(I155,AA155)+0.005,1,0)+IF(AV155*1000000+SUM(X155,AP155)*10000+SUM(R155,AJ155)*100+SUM(L155,AD155)+0.002&gt;AS155*1000000+SUM(U155,AM155)*10000+SUM(O155,AG155)*100+SUM(I155,AA155)+0.005,1,0)+IF(AW155*1000000+SUM(Y155,AQ155)*10000+SUM(S155,AK155)*100+SUM(M155,AE155)+0.001&gt;AS155*1000000+SUM(U155,AM155)*10000+SUM(O155,AG155)*100+SUM(I155,AA155)+0.005,1,0)=2,"I",IF(IF(AR155*1000000+SUM(T155,AL155)*10000+SUM(N155,AF155)*100+SUM(H155,Z155)+0.006&gt;AT155*1000000+SUM(V155,AN155)*10000+SUM(P155,AH155)*100+SUM(J155,AB155)+0.004,1,0)+IF(AS155*1000000+SUM(U155,AM155)*10000+SUM(O155,AG155)*100+SUM(I155,AA155)+0.005&gt;AT155*1000000+SUM(V155,AN155)*10000+SUM(P155,AH155)*100+SUM(J155,AB155)+0.004,1,0)+IF(AU155*1000000+SUM(W155,AO155)*10000+SUM(Q155,AI155)*100+SUM(K155,AC155)+0.003&gt;AT155*1000000+SUM(V155,AN155)*10000+SUM(P155,AH155)*100+SUM(J155,AB155)+0.004,1,0)+IF(AV155*1000000+SUM(X155,AP155)*10000+SUM(R155,AJ155)*100+SUM(L155,AD155)+0.002&gt;AT155*1000000+SUM(V155,AN155)*10000+SUM(P155,AH155)*100+SUM(J155,AB155)+0.004,1,0)+IF(AW155*1000000+SUM(Y155,AQ155)*10000+SUM(S155,AK155)*100+SUM(M155,AE155)+0.001&gt;AT155*1000000+SUM(V155,AN155)*10000+SUM(P155,AH155)*100+SUM(J155,AB155)+0.004,1,0)=2,"A",IF(IF(AR155*1000000+SUM(T155,AL155)*10000+SUM(N155,AF155)*100+SUM(H155,Z155)+0.006&gt;AU155*1000000+SUM(W155,AO155)*10000+SUM(Q155,AI155)*100+SUM(K155,AC155)+0.003,1,0)+IF(AS155*1000000+SUM(U155,AM155)*10000+SUM(O155,AG155)*100+SUM(I155,AA155)+0.005&gt;AU155*1000000+SUM(W155,AO155)*10000+SUM(Q155,AI155)*100+SUM(K155,AC155)+0.003,1,0)+IF(AT155*1000000+SUM(V155,AN155)*10000+SUM(P155,AH155)*100+SUM(J155,AB155)+0.004&gt;AU155*1000000+SUM(W155,AO155)*10000+SUM(Q155,AI155)*100+SUM(K155,AC155)+0.003,1,0)+IF(AV155*1000000+SUM(X155,AP155)*10000+SUM(R155,AJ155)*100+SUM(L155,AD155)+0.002&gt;AU155*1000000+SUM(W155,AO155)*10000+SUM(Q155,AI155)*100+SUM(K155,AC155)+0.003,1,0)+IF(AW155*1000000+SUM(Y155,AQ155)*10000+SUM(S155,AK155)*100+SUM(M155,AE155)+0.001&gt;AU155*1000000+SUM(W155,AO155)*10000+SUM(Q155,AI155)*100+SUM(K155,AC155)+0.003,1,0)=2,"S",IF(IF(AR155*1000000+SUM(T155,AL155)*10000+SUM(N155,AF155)*100+SUM(H155,Z155)+0.006&gt;AV155*1000000+SUM(X155,AP155)*10000+SUM(R155,AJ155)*100+SUM(L155,AD155)+0.002,1,0)+IF(AS155*1000000+SUM(U155,AM155)*10000+SUM(O155,AG155)*100+SUM(I155,AA155)+0.005&gt;AV155*1000000+SUM(X155,AP155)*10000+SUM(R155,AJ155)*100+SUM(L155,AD155)+0.002,1,0)+IF(AT155*1000000+SUM(V155,AN155)*10000+SUM(P155,AH155)*100+SUM(J155,AB155)+0.004&gt;AV155*1000000+SUM(X155,AP155)*10000+SUM(R155,AJ155)*100+SUM(L155,AD155)+0.002,1,0)+IF(AU155*1000000+SUM(W155,AO155)*10000+SUM(Q155,AI155)*100+SUM(K155,AC155)+0.003&gt;AV155*1000000+SUM(X155,AP155)*10000+SUM(R155,AJ155)*100+SUM(L155,AD155)+0.002,1,0)+IF(AW155*1000000+SUM(Y155,AQ155)*10000+SUM(S155,AK155)*100+SUM(M155,AE155)+0.001&gt;AV155*1000000+SUM(X155,AP155)*10000+SUM(R155,AJ155)*100+SUM(L155,AD155)+0.002,1,0)=2,"E",IF(IF(AR155*1000000+SUM(T155,AL155)*10000+SUM(N155,AF155)*100+SUM(H155,Z155)+0.006&gt;AW155*1000000+SUM(Y155,AQ155)*10000+SUM(S155,AK155)*100+SUM(M155,AE155)+0.001,1,0)+IF(AS155*1000000+SUM(U155,AM155)*10000+SUM(O155,AG155)*100+SUM(I155,AA155)+0.005&gt;AW155*1000000+SUM(Y155,AQ155)*10000+SUM(S155,AK155)*100+SUM(M155,AE155)+0.001,1,0)+IF(AT155*1000000+SUM(V155,AN155)*10000+SUM(P155,AH155)*100+SUM(J155,AB155)+0.004&gt;AW155*1000000+SUM(Y155,AQ155)*10000+SUM(S155,AK155)*100+SUM(M155,AE155)+0.001,1,0)+IF(AU155*1000000+SUM(W155,AO155)*10000+SUM(Q155,AI155)*100+SUM(K155,AC155)+0.003&gt;AW155*1000000+SUM(Y155,AQ155)*10000+SUM(S155,AK155)*100+SUM(M155,AE155)+0.001,1,0)+IF(AV155*1000000+SUM(X155,AP155)*10000+SUM(R155,AJ155)*100+SUM(L155,AD155)+0.002&gt;AW155*1000000+SUM(Y155,AQ155)*10000+SUM(S155,AK155)*100+SUM(M155,AE155)+0.001,1,0)=2,"C","")))))))</x:f>
      </x:c>
      <x:c r="AY155" s="27" t="str">
        <x:f>IF(C155="","",IF(LEFT(AX155,1)="R","นักปฏิบัติ",IF(LEFT(AX155,1)="I","นักคิดวิเคราะห์",IF(LEFT(AX155,1)="A","นักสร้างสรรค์",IF(LEFT(AX155,1)="S","ผู้เข้าใจผู้คน",IF(LEFT(AX155,1)="E","ผู้นำการเปลี่ยนแปลง","ผู้จัดระบบ"))))))</x:f>
      </x:c>
    </x:row>
    <x:row r="156">
      <x:c r="A156" s="27"/>
      <x:c r="B156" s="28"/>
      <x:c r="C156" s="27"/>
      <x:c r="D156" s="27"/>
      <x:c r="E156" s="27"/>
      <x:c r="F156" s="27"/>
      <x:c r="G156" s="27"/>
      <x:c r="H156" s="27"/>
      <x:c r="I156" s="27"/>
      <x:c r="J156" s="27"/>
      <x:c r="K156" s="27"/>
      <x:c r="L156" s="27"/>
      <x:c r="M156" s="27"/>
      <x:c r="N156" s="27"/>
      <x:c r="O156" s="27"/>
      <x:c r="P156" s="27"/>
      <x:c r="Q156" s="27"/>
      <x:c r="R156" s="27"/>
      <x:c r="S156" s="27"/>
      <x:c r="T156" s="27"/>
      <x:c r="U156" s="27"/>
      <x:c r="V156" s="27"/>
      <x:c r="W156" s="27"/>
      <x:c r="X156" s="27"/>
      <x:c r="Y156" s="27"/>
      <x:c r="Z156" s="27"/>
      <x:c r="AA156" s="27"/>
      <x:c r="AB156" s="27"/>
      <x:c r="AC156" s="27"/>
      <x:c r="AD156" s="27"/>
      <x:c r="AE156" s="27"/>
      <x:c r="AF156" s="27"/>
      <x:c r="AG156" s="27"/>
      <x:c r="AH156" s="27"/>
      <x:c r="AI156" s="27"/>
      <x:c r="AJ156" s="27"/>
      <x:c r="AK156" s="27"/>
      <x:c r="AL156" s="27"/>
      <x:c r="AM156" s="27"/>
      <x:c r="AN156" s="27"/>
      <x:c r="AO156" s="27"/>
      <x:c r="AP156" s="27"/>
      <x:c r="AQ156" s="27"/>
      <x:c r="AR156" s="27" t="str">
        <x:f>IF(C156="","",SUM(H156,N156,T156,Z156,AF156,AL156))</x:f>
      </x:c>
      <x:c r="AS156" s="27" t="str">
        <x:f>IF(C156="","",SUM(I156,O156,U156,AA156,AG156,AM156))</x:f>
      </x:c>
      <x:c r="AT156" s="27" t="str">
        <x:f>IF(C156="","",SUM(J156,P156,V156,AB156,AH156,AN156))</x:f>
      </x:c>
      <x:c r="AU156" s="27" t="str">
        <x:f>IF(C156="","",SUM(K156,Q156,W156,AC156,AI156,AO156))</x:f>
      </x:c>
      <x:c r="AV156" s="27" t="str">
        <x:f>IF(C156="","",SUM(L156,R156,X156,AD156,AJ156,AP156))</x:f>
      </x:c>
      <x:c r="AW156" s="27" t="str">
        <x:f>IF(C156="","",SUM(M156,S156,Y156,AE156,AK156,AQ156))</x:f>
      </x:c>
      <x:c r="AX156" s="27" t="str">
        <x:f>IF(C156="","",IF(IF(AS156*1000000+SUM(U156,AM156)*10000+SUM(O156,AG156)*100+SUM(I156,AA156)+0.005&gt;AR156*1000000+SUM(T156,AL156)*10000+SUM(N156,AF156)*100+SUM(H156,Z156)+0.006,1,0)+IF(AT156*1000000+SUM(V156,AN156)*10000+SUM(P156,AH156)*100+SUM(J156,AB156)+0.004&gt;AR156*1000000+SUM(T156,AL156)*10000+SUM(N156,AF156)*100+SUM(H156,Z156)+0.006,1,0)+IF(AU156*1000000+SUM(W156,AO156)*10000+SUM(Q156,AI156)*100+SUM(K156,AC156)+0.003&gt;AR156*1000000+SUM(T156,AL156)*10000+SUM(N156,AF156)*100+SUM(H156,Z156)+0.006,1,0)+IF(AV156*1000000+SUM(X156,AP156)*10000+SUM(R156,AJ156)*100+SUM(L156,AD156)+0.002&gt;AR156*1000000+SUM(T156,AL156)*10000+SUM(N156,AF156)*100+SUM(H156,Z156)+0.006,1,0)+IF(AW156*1000000+SUM(Y156,AQ156)*10000+SUM(S156,AK156)*100+SUM(M156,AE156)+0.001&gt;AR156*1000000+SUM(T156,AL156)*10000+SUM(N156,AF156)*100+SUM(H156,Z156)+0.006,1,0)=0,"R",IF(IF(AR156*1000000+SUM(T156,AL156)*10000+SUM(N156,AF156)*100+SUM(H156,Z156)+0.006&gt;AS156*1000000+SUM(U156,AM156)*10000+SUM(O156,AG156)*100+SUM(I156,AA156)+0.005,1,0)+IF(AT156*1000000+SUM(V156,AN156)*10000+SUM(P156,AH156)*100+SUM(J156,AB156)+0.004&gt;AS156*1000000+SUM(U156,AM156)*10000+SUM(O156,AG156)*100+SUM(I156,AA156)+0.005,1,0)+IF(AU156*1000000+SUM(W156,AO156)*10000+SUM(Q156,AI156)*100+SUM(K156,AC156)+0.003&gt;AS156*1000000+SUM(U156,AM156)*10000+SUM(O156,AG156)*100+SUM(I156,AA156)+0.005,1,0)+IF(AV156*1000000+SUM(X156,AP156)*10000+SUM(R156,AJ156)*100+SUM(L156,AD156)+0.002&gt;AS156*1000000+SUM(U156,AM156)*10000+SUM(O156,AG156)*100+SUM(I156,AA156)+0.005,1,0)+IF(AW156*1000000+SUM(Y156,AQ156)*10000+SUM(S156,AK156)*100+SUM(M156,AE156)+0.001&gt;AS156*1000000+SUM(U156,AM156)*10000+SUM(O156,AG156)*100+SUM(I156,AA156)+0.005,1,0)=0,"I",IF(IF(AR156*1000000+SUM(T156,AL156)*10000+SUM(N156,AF156)*100+SUM(H156,Z156)+0.006&gt;AT156*1000000+SUM(V156,AN156)*10000+SUM(P156,AH156)*100+SUM(J156,AB156)+0.004,1,0)+IF(AS156*1000000+SUM(U156,AM156)*10000+SUM(O156,AG156)*100+SUM(I156,AA156)+0.005&gt;AT156*1000000+SUM(V156,AN156)*10000+SUM(P156,AH156)*100+SUM(J156,AB156)+0.004,1,0)+IF(AU156*1000000+SUM(W156,AO156)*10000+SUM(Q156,AI156)*100+SUM(K156,AC156)+0.003&gt;AT156*1000000+SUM(V156,AN156)*10000+SUM(P156,AH156)*100+SUM(J156,AB156)+0.004,1,0)+IF(AV156*1000000+SUM(X156,AP156)*10000+SUM(R156,AJ156)*100+SUM(L156,AD156)+0.002&gt;AT156*1000000+SUM(V156,AN156)*10000+SUM(P156,AH156)*100+SUM(J156,AB156)+0.004,1,0)+IF(AW156*1000000+SUM(Y156,AQ156)*10000+SUM(S156,AK156)*100+SUM(M156,AE156)+0.001&gt;AT156*1000000+SUM(V156,AN156)*10000+SUM(P156,AH156)*100+SUM(J156,AB156)+0.004,1,0)=0,"A",IF(IF(AR156*1000000+SUM(T156,AL156)*10000+SUM(N156,AF156)*100+SUM(H156,Z156)+0.006&gt;AU156*1000000+SUM(W156,AO156)*10000+SUM(Q156,AI156)*100+SUM(K156,AC156)+0.003,1,0)+IF(AS156*1000000+SUM(U156,AM156)*10000+SUM(O156,AG156)*100+SUM(I156,AA156)+0.005&gt;AU156*1000000+SUM(W156,AO156)*10000+SUM(Q156,AI156)*100+SUM(K156,AC156)+0.003,1,0)+IF(AT156*1000000+SUM(V156,AN156)*10000+SUM(P156,AH156)*100+SUM(J156,AB156)+0.004&gt;AU156*1000000+SUM(W156,AO156)*10000+SUM(Q156,AI156)*100+SUM(K156,AC156)+0.003,1,0)+IF(AV156*1000000+SUM(X156,AP156)*10000+SUM(R156,AJ156)*100+SUM(L156,AD156)+0.002&gt;AU156*1000000+SUM(W156,AO156)*10000+SUM(Q156,AI156)*100+SUM(K156,AC156)+0.003,1,0)+IF(AW156*1000000+SUM(Y156,AQ156)*10000+SUM(S156,AK156)*100+SUM(M156,AE156)+0.001&gt;AU156*1000000+SUM(W156,AO156)*10000+SUM(Q156,AI156)*100+SUM(K156,AC156)+0.003,1,0)=0,"S",IF(IF(AR156*1000000+SUM(T156,AL156)*10000+SUM(N156,AF156)*100+SUM(H156,Z156)+0.006&gt;AV156*1000000+SUM(X156,AP156)*10000+SUM(R156,AJ156)*100+SUM(L156,AD156)+0.002,1,0)+IF(AS156*1000000+SUM(U156,AM156)*10000+SUM(O156,AG156)*100+SUM(I156,AA156)+0.005&gt;AV156*1000000+SUM(X156,AP156)*10000+SUM(R156,AJ156)*100+SUM(L156,AD156)+0.002,1,0)+IF(AT156*1000000+SUM(V156,AN156)*10000+SUM(P156,AH156)*100+SUM(J156,AB156)+0.004&gt;AV156*1000000+SUM(X156,AP156)*10000+SUM(R156,AJ156)*100+SUM(L156,AD156)+0.002,1,0)+IF(AU156*1000000+SUM(W156,AO156)*10000+SUM(Q156,AI156)*100+SUM(K156,AC156)+0.003&gt;AV156*1000000+SUM(X156,AP156)*10000+SUM(R156,AJ156)*100+SUM(L156,AD156)+0.002,1,0)+IF(AW156*1000000+SUM(Y156,AQ156)*10000+SUM(S156,AK156)*100+SUM(M156,AE156)+0.001&gt;AV156*1000000+SUM(X156,AP156)*10000+SUM(R156,AJ156)*100+SUM(L156,AD156)+0.002,1,0)=0,"E",IF(IF(AR156*1000000+SUM(T156,AL156)*10000+SUM(N156,AF156)*100+SUM(H156,Z156)+0.006&gt;AW156*1000000+SUM(Y156,AQ156)*10000+SUM(S156,AK156)*100+SUM(M156,AE156)+0.001,1,0)+IF(AS156*1000000+SUM(U156,AM156)*10000+SUM(O156,AG156)*100+SUM(I156,AA156)+0.005&gt;AW156*1000000+SUM(Y156,AQ156)*10000+SUM(S156,AK156)*100+SUM(M156,AE156)+0.001,1,0)+IF(AT156*1000000+SUM(V156,AN156)*10000+SUM(P156,AH156)*100+SUM(J156,AB156)+0.004&gt;AW156*1000000+SUM(Y156,AQ156)*10000+SUM(S156,AK156)*100+SUM(M156,AE156)+0.001,1,0)+IF(AU156*1000000+SUM(W156,AO156)*10000+SUM(Q156,AI156)*100+SUM(K156,AC156)+0.003&gt;AW156*1000000+SUM(Y156,AQ156)*10000+SUM(S156,AK156)*100+SUM(M156,AE156)+0.001,1,0)+IF(AV156*1000000+SUM(X156,AP156)*10000+SUM(R156,AJ156)*100+SUM(L156,AD156)+0.002&gt;AW156*1000000+SUM(Y156,AQ156)*10000+SUM(S156,AK156)*100+SUM(M156,AE156)+0.001,1,0)=0,"C",""))))))&amp;IF(IF(AS156*1000000+SUM(U156,AM156)*10000+SUM(O156,AG156)*100+SUM(I156,AA156)+0.005&gt;AR156*1000000+SUM(T156,AL156)*10000+SUM(N156,AF156)*100+SUM(H156,Z156)+0.006,1,0)+IF(AT156*1000000+SUM(V156,AN156)*10000+SUM(P156,AH156)*100+SUM(J156,AB156)+0.004&gt;AR156*1000000+SUM(T156,AL156)*10000+SUM(N156,AF156)*100+SUM(H156,Z156)+0.006,1,0)+IF(AU156*1000000+SUM(W156,AO156)*10000+SUM(Q156,AI156)*100+SUM(K156,AC156)+0.003&gt;AR156*1000000+SUM(T156,AL156)*10000+SUM(N156,AF156)*100+SUM(H156,Z156)+0.006,1,0)+IF(AV156*1000000+SUM(X156,AP156)*10000+SUM(R156,AJ156)*100+SUM(L156,AD156)+0.002&gt;AR156*1000000+SUM(T156,AL156)*10000+SUM(N156,AF156)*100+SUM(H156,Z156)+0.006,1,0)+IF(AW156*1000000+SUM(Y156,AQ156)*10000+SUM(S156,AK156)*100+SUM(M156,AE156)+0.001&gt;AR156*1000000+SUM(T156,AL156)*10000+SUM(N156,AF156)*100+SUM(H156,Z156)+0.006,1,0)=1,"R",IF(IF(AR156*1000000+SUM(T156,AL156)*10000+SUM(N156,AF156)*100+SUM(H156,Z156)+0.006&gt;AS156*1000000+SUM(U156,AM156)*10000+SUM(O156,AG156)*100+SUM(I156,AA156)+0.005,1,0)+IF(AT156*1000000+SUM(V156,AN156)*10000+SUM(P156,AH156)*100+SUM(J156,AB156)+0.004&gt;AS156*1000000+SUM(U156,AM156)*10000+SUM(O156,AG156)*100+SUM(I156,AA156)+0.005,1,0)+IF(AU156*1000000+SUM(W156,AO156)*10000+SUM(Q156,AI156)*100+SUM(K156,AC156)+0.003&gt;AS156*1000000+SUM(U156,AM156)*10000+SUM(O156,AG156)*100+SUM(I156,AA156)+0.005,1,0)+IF(AV156*1000000+SUM(X156,AP156)*10000+SUM(R156,AJ156)*100+SUM(L156,AD156)+0.002&gt;AS156*1000000+SUM(U156,AM156)*10000+SUM(O156,AG156)*100+SUM(I156,AA156)+0.005,1,0)+IF(AW156*1000000+SUM(Y156,AQ156)*10000+SUM(S156,AK156)*100+SUM(M156,AE156)+0.001&gt;AS156*1000000+SUM(U156,AM156)*10000+SUM(O156,AG156)*100+SUM(I156,AA156)+0.005,1,0)=1,"I",IF(IF(AR156*1000000+SUM(T156,AL156)*10000+SUM(N156,AF156)*100+SUM(H156,Z156)+0.006&gt;AT156*1000000+SUM(V156,AN156)*10000+SUM(P156,AH156)*100+SUM(J156,AB156)+0.004,1,0)+IF(AS156*1000000+SUM(U156,AM156)*10000+SUM(O156,AG156)*100+SUM(I156,AA156)+0.005&gt;AT156*1000000+SUM(V156,AN156)*10000+SUM(P156,AH156)*100+SUM(J156,AB156)+0.004,1,0)+IF(AU156*1000000+SUM(W156,AO156)*10000+SUM(Q156,AI156)*100+SUM(K156,AC156)+0.003&gt;AT156*1000000+SUM(V156,AN156)*10000+SUM(P156,AH156)*100+SUM(J156,AB156)+0.004,1,0)+IF(AV156*1000000+SUM(X156,AP156)*10000+SUM(R156,AJ156)*100+SUM(L156,AD156)+0.002&gt;AT156*1000000+SUM(V156,AN156)*10000+SUM(P156,AH156)*100+SUM(J156,AB156)+0.004,1,0)+IF(AW156*1000000+SUM(Y156,AQ156)*10000+SUM(S156,AK156)*100+SUM(M156,AE156)+0.001&gt;AT156*1000000+SUM(V156,AN156)*10000+SUM(P156,AH156)*100+SUM(J156,AB156)+0.004,1,0)=1,"A",IF(IF(AR156*1000000+SUM(T156,AL156)*10000+SUM(N156,AF156)*100+SUM(H156,Z156)+0.006&gt;AU156*1000000+SUM(W156,AO156)*10000+SUM(Q156,AI156)*100+SUM(K156,AC156)+0.003,1,0)+IF(AS156*1000000+SUM(U156,AM156)*10000+SUM(O156,AG156)*100+SUM(I156,AA156)+0.005&gt;AU156*1000000+SUM(W156,AO156)*10000+SUM(Q156,AI156)*100+SUM(K156,AC156)+0.003,1,0)+IF(AT156*1000000+SUM(V156,AN156)*10000+SUM(P156,AH156)*100+SUM(J156,AB156)+0.004&gt;AU156*1000000+SUM(W156,AO156)*10000+SUM(Q156,AI156)*100+SUM(K156,AC156)+0.003,1,0)+IF(AV156*1000000+SUM(X156,AP156)*10000+SUM(R156,AJ156)*100+SUM(L156,AD156)+0.002&gt;AU156*1000000+SUM(W156,AO156)*10000+SUM(Q156,AI156)*100+SUM(K156,AC156)+0.003,1,0)+IF(AW156*1000000+SUM(Y156,AQ156)*10000+SUM(S156,AK156)*100+SUM(M156,AE156)+0.001&gt;AU156*1000000+SUM(W156,AO156)*10000+SUM(Q156,AI156)*100+SUM(K156,AC156)+0.003,1,0)=1,"S",IF(IF(AR156*1000000+SUM(T156,AL156)*10000+SUM(N156,AF156)*100+SUM(H156,Z156)+0.006&gt;AV156*1000000+SUM(X156,AP156)*10000+SUM(R156,AJ156)*100+SUM(L156,AD156)+0.002,1,0)+IF(AS156*1000000+SUM(U156,AM156)*10000+SUM(O156,AG156)*100+SUM(I156,AA156)+0.005&gt;AV156*1000000+SUM(X156,AP156)*10000+SUM(R156,AJ156)*100+SUM(L156,AD156)+0.002,1,0)+IF(AT156*1000000+SUM(V156,AN156)*10000+SUM(P156,AH156)*100+SUM(J156,AB156)+0.004&gt;AV156*1000000+SUM(X156,AP156)*10000+SUM(R156,AJ156)*100+SUM(L156,AD156)+0.002,1,0)+IF(AU156*1000000+SUM(W156,AO156)*10000+SUM(Q156,AI156)*100+SUM(K156,AC156)+0.003&gt;AV156*1000000+SUM(X156,AP156)*10000+SUM(R156,AJ156)*100+SUM(L156,AD156)+0.002,1,0)+IF(AW156*1000000+SUM(Y156,AQ156)*10000+SUM(S156,AK156)*100+SUM(M156,AE156)+0.001&gt;AV156*1000000+SUM(X156,AP156)*10000+SUM(R156,AJ156)*100+SUM(L156,AD156)+0.002,1,0)=1,"E",IF(IF(AR156*1000000+SUM(T156,AL156)*10000+SUM(N156,AF156)*100+SUM(H156,Z156)+0.006&gt;AW156*1000000+SUM(Y156,AQ156)*10000+SUM(S156,AK156)*100+SUM(M156,AE156)+0.001,1,0)+IF(AS156*1000000+SUM(U156,AM156)*10000+SUM(O156,AG156)*100+SUM(I156,AA156)+0.005&gt;AW156*1000000+SUM(Y156,AQ156)*10000+SUM(S156,AK156)*100+SUM(M156,AE156)+0.001,1,0)+IF(AT156*1000000+SUM(V156,AN156)*10000+SUM(P156,AH156)*100+SUM(J156,AB156)+0.004&gt;AW156*1000000+SUM(Y156,AQ156)*10000+SUM(S156,AK156)*100+SUM(M156,AE156)+0.001,1,0)+IF(AU156*1000000+SUM(W156,AO156)*10000+SUM(Q156,AI156)*100+SUM(K156,AC156)+0.003&gt;AW156*1000000+SUM(Y156,AQ156)*10000+SUM(S156,AK156)*100+SUM(M156,AE156)+0.001,1,0)+IF(AV156*1000000+SUM(X156,AP156)*10000+SUM(R156,AJ156)*100+SUM(L156,AD156)+0.002&gt;AW156*1000000+SUM(Y156,AQ156)*10000+SUM(S156,AK156)*100+SUM(M156,AE156)+0.001,1,0)=1,"C",""))))))&amp;IF(IF(AS156*1000000+SUM(U156,AM156)*10000+SUM(O156,AG156)*100+SUM(I156,AA156)+0.005&gt;AR156*1000000+SUM(T156,AL156)*10000+SUM(N156,AF156)*100+SUM(H156,Z156)+0.006,1,0)+IF(AT156*1000000+SUM(V156,AN156)*10000+SUM(P156,AH156)*100+SUM(J156,AB156)+0.004&gt;AR156*1000000+SUM(T156,AL156)*10000+SUM(N156,AF156)*100+SUM(H156,Z156)+0.006,1,0)+IF(AU156*1000000+SUM(W156,AO156)*10000+SUM(Q156,AI156)*100+SUM(K156,AC156)+0.003&gt;AR156*1000000+SUM(T156,AL156)*10000+SUM(N156,AF156)*100+SUM(H156,Z156)+0.006,1,0)+IF(AV156*1000000+SUM(X156,AP156)*10000+SUM(R156,AJ156)*100+SUM(L156,AD156)+0.002&gt;AR156*1000000+SUM(T156,AL156)*10000+SUM(N156,AF156)*100+SUM(H156,Z156)+0.006,1,0)+IF(AW156*1000000+SUM(Y156,AQ156)*10000+SUM(S156,AK156)*100+SUM(M156,AE156)+0.001&gt;AR156*1000000+SUM(T156,AL156)*10000+SUM(N156,AF156)*100+SUM(H156,Z156)+0.006,1,0)=2,"R",IF(IF(AR156*1000000+SUM(T156,AL156)*10000+SUM(N156,AF156)*100+SUM(H156,Z156)+0.006&gt;AS156*1000000+SUM(U156,AM156)*10000+SUM(O156,AG156)*100+SUM(I156,AA156)+0.005,1,0)+IF(AT156*1000000+SUM(V156,AN156)*10000+SUM(P156,AH156)*100+SUM(J156,AB156)+0.004&gt;AS156*1000000+SUM(U156,AM156)*10000+SUM(O156,AG156)*100+SUM(I156,AA156)+0.005,1,0)+IF(AU156*1000000+SUM(W156,AO156)*10000+SUM(Q156,AI156)*100+SUM(K156,AC156)+0.003&gt;AS156*1000000+SUM(U156,AM156)*10000+SUM(O156,AG156)*100+SUM(I156,AA156)+0.005,1,0)+IF(AV156*1000000+SUM(X156,AP156)*10000+SUM(R156,AJ156)*100+SUM(L156,AD156)+0.002&gt;AS156*1000000+SUM(U156,AM156)*10000+SUM(O156,AG156)*100+SUM(I156,AA156)+0.005,1,0)+IF(AW156*1000000+SUM(Y156,AQ156)*10000+SUM(S156,AK156)*100+SUM(M156,AE156)+0.001&gt;AS156*1000000+SUM(U156,AM156)*10000+SUM(O156,AG156)*100+SUM(I156,AA156)+0.005,1,0)=2,"I",IF(IF(AR156*1000000+SUM(T156,AL156)*10000+SUM(N156,AF156)*100+SUM(H156,Z156)+0.006&gt;AT156*1000000+SUM(V156,AN156)*10000+SUM(P156,AH156)*100+SUM(J156,AB156)+0.004,1,0)+IF(AS156*1000000+SUM(U156,AM156)*10000+SUM(O156,AG156)*100+SUM(I156,AA156)+0.005&gt;AT156*1000000+SUM(V156,AN156)*10000+SUM(P156,AH156)*100+SUM(J156,AB156)+0.004,1,0)+IF(AU156*1000000+SUM(W156,AO156)*10000+SUM(Q156,AI156)*100+SUM(K156,AC156)+0.003&gt;AT156*1000000+SUM(V156,AN156)*10000+SUM(P156,AH156)*100+SUM(J156,AB156)+0.004,1,0)+IF(AV156*1000000+SUM(X156,AP156)*10000+SUM(R156,AJ156)*100+SUM(L156,AD156)+0.002&gt;AT156*1000000+SUM(V156,AN156)*10000+SUM(P156,AH156)*100+SUM(J156,AB156)+0.004,1,0)+IF(AW156*1000000+SUM(Y156,AQ156)*10000+SUM(S156,AK156)*100+SUM(M156,AE156)+0.001&gt;AT156*1000000+SUM(V156,AN156)*10000+SUM(P156,AH156)*100+SUM(J156,AB156)+0.004,1,0)=2,"A",IF(IF(AR156*1000000+SUM(T156,AL156)*10000+SUM(N156,AF156)*100+SUM(H156,Z156)+0.006&gt;AU156*1000000+SUM(W156,AO156)*10000+SUM(Q156,AI156)*100+SUM(K156,AC156)+0.003,1,0)+IF(AS156*1000000+SUM(U156,AM156)*10000+SUM(O156,AG156)*100+SUM(I156,AA156)+0.005&gt;AU156*1000000+SUM(W156,AO156)*10000+SUM(Q156,AI156)*100+SUM(K156,AC156)+0.003,1,0)+IF(AT156*1000000+SUM(V156,AN156)*10000+SUM(P156,AH156)*100+SUM(J156,AB156)+0.004&gt;AU156*1000000+SUM(W156,AO156)*10000+SUM(Q156,AI156)*100+SUM(K156,AC156)+0.003,1,0)+IF(AV156*1000000+SUM(X156,AP156)*10000+SUM(R156,AJ156)*100+SUM(L156,AD156)+0.002&gt;AU156*1000000+SUM(W156,AO156)*10000+SUM(Q156,AI156)*100+SUM(K156,AC156)+0.003,1,0)+IF(AW156*1000000+SUM(Y156,AQ156)*10000+SUM(S156,AK156)*100+SUM(M156,AE156)+0.001&gt;AU156*1000000+SUM(W156,AO156)*10000+SUM(Q156,AI156)*100+SUM(K156,AC156)+0.003,1,0)=2,"S",IF(IF(AR156*1000000+SUM(T156,AL156)*10000+SUM(N156,AF156)*100+SUM(H156,Z156)+0.006&gt;AV156*1000000+SUM(X156,AP156)*10000+SUM(R156,AJ156)*100+SUM(L156,AD156)+0.002,1,0)+IF(AS156*1000000+SUM(U156,AM156)*10000+SUM(O156,AG156)*100+SUM(I156,AA156)+0.005&gt;AV156*1000000+SUM(X156,AP156)*10000+SUM(R156,AJ156)*100+SUM(L156,AD156)+0.002,1,0)+IF(AT156*1000000+SUM(V156,AN156)*10000+SUM(P156,AH156)*100+SUM(J156,AB156)+0.004&gt;AV156*1000000+SUM(X156,AP156)*10000+SUM(R156,AJ156)*100+SUM(L156,AD156)+0.002,1,0)+IF(AU156*1000000+SUM(W156,AO156)*10000+SUM(Q156,AI156)*100+SUM(K156,AC156)+0.003&gt;AV156*1000000+SUM(X156,AP156)*10000+SUM(R156,AJ156)*100+SUM(L156,AD156)+0.002,1,0)+IF(AW156*1000000+SUM(Y156,AQ156)*10000+SUM(S156,AK156)*100+SUM(M156,AE156)+0.001&gt;AV156*1000000+SUM(X156,AP156)*10000+SUM(R156,AJ156)*100+SUM(L156,AD156)+0.002,1,0)=2,"E",IF(IF(AR156*1000000+SUM(T156,AL156)*10000+SUM(N156,AF156)*100+SUM(H156,Z156)+0.006&gt;AW156*1000000+SUM(Y156,AQ156)*10000+SUM(S156,AK156)*100+SUM(M156,AE156)+0.001,1,0)+IF(AS156*1000000+SUM(U156,AM156)*10000+SUM(O156,AG156)*100+SUM(I156,AA156)+0.005&gt;AW156*1000000+SUM(Y156,AQ156)*10000+SUM(S156,AK156)*100+SUM(M156,AE156)+0.001,1,0)+IF(AT156*1000000+SUM(V156,AN156)*10000+SUM(P156,AH156)*100+SUM(J156,AB156)+0.004&gt;AW156*1000000+SUM(Y156,AQ156)*10000+SUM(S156,AK156)*100+SUM(M156,AE156)+0.001,1,0)+IF(AU156*1000000+SUM(W156,AO156)*10000+SUM(Q156,AI156)*100+SUM(K156,AC156)+0.003&gt;AW156*1000000+SUM(Y156,AQ156)*10000+SUM(S156,AK156)*100+SUM(M156,AE156)+0.001,1,0)+IF(AV156*1000000+SUM(X156,AP156)*10000+SUM(R156,AJ156)*100+SUM(L156,AD156)+0.002&gt;AW156*1000000+SUM(Y156,AQ156)*10000+SUM(S156,AK156)*100+SUM(M156,AE156)+0.001,1,0)=2,"C","")))))))</x:f>
      </x:c>
      <x:c r="AY156" s="27" t="str">
        <x:f>IF(C156="","",IF(LEFT(AX156,1)="R","นักปฏิบัติ",IF(LEFT(AX156,1)="I","นักคิดวิเคราะห์",IF(LEFT(AX156,1)="A","นักสร้างสรรค์",IF(LEFT(AX156,1)="S","ผู้เข้าใจผู้คน",IF(LEFT(AX156,1)="E","ผู้นำการเปลี่ยนแปลง","ผู้จัดระบบ"))))))</x:f>
      </x:c>
    </x:row>
    <x:row r="157">
      <x:c r="A157" s="27"/>
      <x:c r="B157" s="28"/>
      <x:c r="C157" s="27"/>
      <x:c r="D157" s="27"/>
      <x:c r="E157" s="27"/>
      <x:c r="F157" s="27"/>
      <x:c r="G157" s="27"/>
      <x:c r="H157" s="27"/>
      <x:c r="I157" s="27"/>
      <x:c r="J157" s="27"/>
      <x:c r="K157" s="27"/>
      <x:c r="L157" s="27"/>
      <x:c r="M157" s="27"/>
      <x:c r="N157" s="27"/>
      <x:c r="O157" s="27"/>
      <x:c r="P157" s="27"/>
      <x:c r="Q157" s="27"/>
      <x:c r="R157" s="27"/>
      <x:c r="S157" s="27"/>
      <x:c r="T157" s="27"/>
      <x:c r="U157" s="27"/>
      <x:c r="V157" s="27"/>
      <x:c r="W157" s="27"/>
      <x:c r="X157" s="27"/>
      <x:c r="Y157" s="27"/>
      <x:c r="Z157" s="27"/>
      <x:c r="AA157" s="27"/>
      <x:c r="AB157" s="27"/>
      <x:c r="AC157" s="27"/>
      <x:c r="AD157" s="27"/>
      <x:c r="AE157" s="27"/>
      <x:c r="AF157" s="27"/>
      <x:c r="AG157" s="27"/>
      <x:c r="AH157" s="27"/>
      <x:c r="AI157" s="27"/>
      <x:c r="AJ157" s="27"/>
      <x:c r="AK157" s="27"/>
      <x:c r="AL157" s="27"/>
      <x:c r="AM157" s="27"/>
      <x:c r="AN157" s="27"/>
      <x:c r="AO157" s="27"/>
      <x:c r="AP157" s="27"/>
      <x:c r="AQ157" s="27"/>
      <x:c r="AR157" s="27" t="str">
        <x:f>IF(C157="","",SUM(H157,N157,T157,Z157,AF157,AL157))</x:f>
      </x:c>
      <x:c r="AS157" s="27" t="str">
        <x:f>IF(C157="","",SUM(I157,O157,U157,AA157,AG157,AM157))</x:f>
      </x:c>
      <x:c r="AT157" s="27" t="str">
        <x:f>IF(C157="","",SUM(J157,P157,V157,AB157,AH157,AN157))</x:f>
      </x:c>
      <x:c r="AU157" s="27" t="str">
        <x:f>IF(C157="","",SUM(K157,Q157,W157,AC157,AI157,AO157))</x:f>
      </x:c>
      <x:c r="AV157" s="27" t="str">
        <x:f>IF(C157="","",SUM(L157,R157,X157,AD157,AJ157,AP157))</x:f>
      </x:c>
      <x:c r="AW157" s="27" t="str">
        <x:f>IF(C157="","",SUM(M157,S157,Y157,AE157,AK157,AQ157))</x:f>
      </x:c>
      <x:c r="AX157" s="27" t="str">
        <x:f>IF(C157="","",IF(IF(AS157*1000000+SUM(U157,AM157)*10000+SUM(O157,AG157)*100+SUM(I157,AA157)+0.005&gt;AR157*1000000+SUM(T157,AL157)*10000+SUM(N157,AF157)*100+SUM(H157,Z157)+0.006,1,0)+IF(AT157*1000000+SUM(V157,AN157)*10000+SUM(P157,AH157)*100+SUM(J157,AB157)+0.004&gt;AR157*1000000+SUM(T157,AL157)*10000+SUM(N157,AF157)*100+SUM(H157,Z157)+0.006,1,0)+IF(AU157*1000000+SUM(W157,AO157)*10000+SUM(Q157,AI157)*100+SUM(K157,AC157)+0.003&gt;AR157*1000000+SUM(T157,AL157)*10000+SUM(N157,AF157)*100+SUM(H157,Z157)+0.006,1,0)+IF(AV157*1000000+SUM(X157,AP157)*10000+SUM(R157,AJ157)*100+SUM(L157,AD157)+0.002&gt;AR157*1000000+SUM(T157,AL157)*10000+SUM(N157,AF157)*100+SUM(H157,Z157)+0.006,1,0)+IF(AW157*1000000+SUM(Y157,AQ157)*10000+SUM(S157,AK157)*100+SUM(M157,AE157)+0.001&gt;AR157*1000000+SUM(T157,AL157)*10000+SUM(N157,AF157)*100+SUM(H157,Z157)+0.006,1,0)=0,"R",IF(IF(AR157*1000000+SUM(T157,AL157)*10000+SUM(N157,AF157)*100+SUM(H157,Z157)+0.006&gt;AS157*1000000+SUM(U157,AM157)*10000+SUM(O157,AG157)*100+SUM(I157,AA157)+0.005,1,0)+IF(AT157*1000000+SUM(V157,AN157)*10000+SUM(P157,AH157)*100+SUM(J157,AB157)+0.004&gt;AS157*1000000+SUM(U157,AM157)*10000+SUM(O157,AG157)*100+SUM(I157,AA157)+0.005,1,0)+IF(AU157*1000000+SUM(W157,AO157)*10000+SUM(Q157,AI157)*100+SUM(K157,AC157)+0.003&gt;AS157*1000000+SUM(U157,AM157)*10000+SUM(O157,AG157)*100+SUM(I157,AA157)+0.005,1,0)+IF(AV157*1000000+SUM(X157,AP157)*10000+SUM(R157,AJ157)*100+SUM(L157,AD157)+0.002&gt;AS157*1000000+SUM(U157,AM157)*10000+SUM(O157,AG157)*100+SUM(I157,AA157)+0.005,1,0)+IF(AW157*1000000+SUM(Y157,AQ157)*10000+SUM(S157,AK157)*100+SUM(M157,AE157)+0.001&gt;AS157*1000000+SUM(U157,AM157)*10000+SUM(O157,AG157)*100+SUM(I157,AA157)+0.005,1,0)=0,"I",IF(IF(AR157*1000000+SUM(T157,AL157)*10000+SUM(N157,AF157)*100+SUM(H157,Z157)+0.006&gt;AT157*1000000+SUM(V157,AN157)*10000+SUM(P157,AH157)*100+SUM(J157,AB157)+0.004,1,0)+IF(AS157*1000000+SUM(U157,AM157)*10000+SUM(O157,AG157)*100+SUM(I157,AA157)+0.005&gt;AT157*1000000+SUM(V157,AN157)*10000+SUM(P157,AH157)*100+SUM(J157,AB157)+0.004,1,0)+IF(AU157*1000000+SUM(W157,AO157)*10000+SUM(Q157,AI157)*100+SUM(K157,AC157)+0.003&gt;AT157*1000000+SUM(V157,AN157)*10000+SUM(P157,AH157)*100+SUM(J157,AB157)+0.004,1,0)+IF(AV157*1000000+SUM(X157,AP157)*10000+SUM(R157,AJ157)*100+SUM(L157,AD157)+0.002&gt;AT157*1000000+SUM(V157,AN157)*10000+SUM(P157,AH157)*100+SUM(J157,AB157)+0.004,1,0)+IF(AW157*1000000+SUM(Y157,AQ157)*10000+SUM(S157,AK157)*100+SUM(M157,AE157)+0.001&gt;AT157*1000000+SUM(V157,AN157)*10000+SUM(P157,AH157)*100+SUM(J157,AB157)+0.004,1,0)=0,"A",IF(IF(AR157*1000000+SUM(T157,AL157)*10000+SUM(N157,AF157)*100+SUM(H157,Z157)+0.006&gt;AU157*1000000+SUM(W157,AO157)*10000+SUM(Q157,AI157)*100+SUM(K157,AC157)+0.003,1,0)+IF(AS157*1000000+SUM(U157,AM157)*10000+SUM(O157,AG157)*100+SUM(I157,AA157)+0.005&gt;AU157*1000000+SUM(W157,AO157)*10000+SUM(Q157,AI157)*100+SUM(K157,AC157)+0.003,1,0)+IF(AT157*1000000+SUM(V157,AN157)*10000+SUM(P157,AH157)*100+SUM(J157,AB157)+0.004&gt;AU157*1000000+SUM(W157,AO157)*10000+SUM(Q157,AI157)*100+SUM(K157,AC157)+0.003,1,0)+IF(AV157*1000000+SUM(X157,AP157)*10000+SUM(R157,AJ157)*100+SUM(L157,AD157)+0.002&gt;AU157*1000000+SUM(W157,AO157)*10000+SUM(Q157,AI157)*100+SUM(K157,AC157)+0.003,1,0)+IF(AW157*1000000+SUM(Y157,AQ157)*10000+SUM(S157,AK157)*100+SUM(M157,AE157)+0.001&gt;AU157*1000000+SUM(W157,AO157)*10000+SUM(Q157,AI157)*100+SUM(K157,AC157)+0.003,1,0)=0,"S",IF(IF(AR157*1000000+SUM(T157,AL157)*10000+SUM(N157,AF157)*100+SUM(H157,Z157)+0.006&gt;AV157*1000000+SUM(X157,AP157)*10000+SUM(R157,AJ157)*100+SUM(L157,AD157)+0.002,1,0)+IF(AS157*1000000+SUM(U157,AM157)*10000+SUM(O157,AG157)*100+SUM(I157,AA157)+0.005&gt;AV157*1000000+SUM(X157,AP157)*10000+SUM(R157,AJ157)*100+SUM(L157,AD157)+0.002,1,0)+IF(AT157*1000000+SUM(V157,AN157)*10000+SUM(P157,AH157)*100+SUM(J157,AB157)+0.004&gt;AV157*1000000+SUM(X157,AP157)*10000+SUM(R157,AJ157)*100+SUM(L157,AD157)+0.002,1,0)+IF(AU157*1000000+SUM(W157,AO157)*10000+SUM(Q157,AI157)*100+SUM(K157,AC157)+0.003&gt;AV157*1000000+SUM(X157,AP157)*10000+SUM(R157,AJ157)*100+SUM(L157,AD157)+0.002,1,0)+IF(AW157*1000000+SUM(Y157,AQ157)*10000+SUM(S157,AK157)*100+SUM(M157,AE157)+0.001&gt;AV157*1000000+SUM(X157,AP157)*10000+SUM(R157,AJ157)*100+SUM(L157,AD157)+0.002,1,0)=0,"E",IF(IF(AR157*1000000+SUM(T157,AL157)*10000+SUM(N157,AF157)*100+SUM(H157,Z157)+0.006&gt;AW157*1000000+SUM(Y157,AQ157)*10000+SUM(S157,AK157)*100+SUM(M157,AE157)+0.001,1,0)+IF(AS157*1000000+SUM(U157,AM157)*10000+SUM(O157,AG157)*100+SUM(I157,AA157)+0.005&gt;AW157*1000000+SUM(Y157,AQ157)*10000+SUM(S157,AK157)*100+SUM(M157,AE157)+0.001,1,0)+IF(AT157*1000000+SUM(V157,AN157)*10000+SUM(P157,AH157)*100+SUM(J157,AB157)+0.004&gt;AW157*1000000+SUM(Y157,AQ157)*10000+SUM(S157,AK157)*100+SUM(M157,AE157)+0.001,1,0)+IF(AU157*1000000+SUM(W157,AO157)*10000+SUM(Q157,AI157)*100+SUM(K157,AC157)+0.003&gt;AW157*1000000+SUM(Y157,AQ157)*10000+SUM(S157,AK157)*100+SUM(M157,AE157)+0.001,1,0)+IF(AV157*1000000+SUM(X157,AP157)*10000+SUM(R157,AJ157)*100+SUM(L157,AD157)+0.002&gt;AW157*1000000+SUM(Y157,AQ157)*10000+SUM(S157,AK157)*100+SUM(M157,AE157)+0.001,1,0)=0,"C",""))))))&amp;IF(IF(AS157*1000000+SUM(U157,AM157)*10000+SUM(O157,AG157)*100+SUM(I157,AA157)+0.005&gt;AR157*1000000+SUM(T157,AL157)*10000+SUM(N157,AF157)*100+SUM(H157,Z157)+0.006,1,0)+IF(AT157*1000000+SUM(V157,AN157)*10000+SUM(P157,AH157)*100+SUM(J157,AB157)+0.004&gt;AR157*1000000+SUM(T157,AL157)*10000+SUM(N157,AF157)*100+SUM(H157,Z157)+0.006,1,0)+IF(AU157*1000000+SUM(W157,AO157)*10000+SUM(Q157,AI157)*100+SUM(K157,AC157)+0.003&gt;AR157*1000000+SUM(T157,AL157)*10000+SUM(N157,AF157)*100+SUM(H157,Z157)+0.006,1,0)+IF(AV157*1000000+SUM(X157,AP157)*10000+SUM(R157,AJ157)*100+SUM(L157,AD157)+0.002&gt;AR157*1000000+SUM(T157,AL157)*10000+SUM(N157,AF157)*100+SUM(H157,Z157)+0.006,1,0)+IF(AW157*1000000+SUM(Y157,AQ157)*10000+SUM(S157,AK157)*100+SUM(M157,AE157)+0.001&gt;AR157*1000000+SUM(T157,AL157)*10000+SUM(N157,AF157)*100+SUM(H157,Z157)+0.006,1,0)=1,"R",IF(IF(AR157*1000000+SUM(T157,AL157)*10000+SUM(N157,AF157)*100+SUM(H157,Z157)+0.006&gt;AS157*1000000+SUM(U157,AM157)*10000+SUM(O157,AG157)*100+SUM(I157,AA157)+0.005,1,0)+IF(AT157*1000000+SUM(V157,AN157)*10000+SUM(P157,AH157)*100+SUM(J157,AB157)+0.004&gt;AS157*1000000+SUM(U157,AM157)*10000+SUM(O157,AG157)*100+SUM(I157,AA157)+0.005,1,0)+IF(AU157*1000000+SUM(W157,AO157)*10000+SUM(Q157,AI157)*100+SUM(K157,AC157)+0.003&gt;AS157*1000000+SUM(U157,AM157)*10000+SUM(O157,AG157)*100+SUM(I157,AA157)+0.005,1,0)+IF(AV157*1000000+SUM(X157,AP157)*10000+SUM(R157,AJ157)*100+SUM(L157,AD157)+0.002&gt;AS157*1000000+SUM(U157,AM157)*10000+SUM(O157,AG157)*100+SUM(I157,AA157)+0.005,1,0)+IF(AW157*1000000+SUM(Y157,AQ157)*10000+SUM(S157,AK157)*100+SUM(M157,AE157)+0.001&gt;AS157*1000000+SUM(U157,AM157)*10000+SUM(O157,AG157)*100+SUM(I157,AA157)+0.005,1,0)=1,"I",IF(IF(AR157*1000000+SUM(T157,AL157)*10000+SUM(N157,AF157)*100+SUM(H157,Z157)+0.006&gt;AT157*1000000+SUM(V157,AN157)*10000+SUM(P157,AH157)*100+SUM(J157,AB157)+0.004,1,0)+IF(AS157*1000000+SUM(U157,AM157)*10000+SUM(O157,AG157)*100+SUM(I157,AA157)+0.005&gt;AT157*1000000+SUM(V157,AN157)*10000+SUM(P157,AH157)*100+SUM(J157,AB157)+0.004,1,0)+IF(AU157*1000000+SUM(W157,AO157)*10000+SUM(Q157,AI157)*100+SUM(K157,AC157)+0.003&gt;AT157*1000000+SUM(V157,AN157)*10000+SUM(P157,AH157)*100+SUM(J157,AB157)+0.004,1,0)+IF(AV157*1000000+SUM(X157,AP157)*10000+SUM(R157,AJ157)*100+SUM(L157,AD157)+0.002&gt;AT157*1000000+SUM(V157,AN157)*10000+SUM(P157,AH157)*100+SUM(J157,AB157)+0.004,1,0)+IF(AW157*1000000+SUM(Y157,AQ157)*10000+SUM(S157,AK157)*100+SUM(M157,AE157)+0.001&gt;AT157*1000000+SUM(V157,AN157)*10000+SUM(P157,AH157)*100+SUM(J157,AB157)+0.004,1,0)=1,"A",IF(IF(AR157*1000000+SUM(T157,AL157)*10000+SUM(N157,AF157)*100+SUM(H157,Z157)+0.006&gt;AU157*1000000+SUM(W157,AO157)*10000+SUM(Q157,AI157)*100+SUM(K157,AC157)+0.003,1,0)+IF(AS157*1000000+SUM(U157,AM157)*10000+SUM(O157,AG157)*100+SUM(I157,AA157)+0.005&gt;AU157*1000000+SUM(W157,AO157)*10000+SUM(Q157,AI157)*100+SUM(K157,AC157)+0.003,1,0)+IF(AT157*1000000+SUM(V157,AN157)*10000+SUM(P157,AH157)*100+SUM(J157,AB157)+0.004&gt;AU157*1000000+SUM(W157,AO157)*10000+SUM(Q157,AI157)*100+SUM(K157,AC157)+0.003,1,0)+IF(AV157*1000000+SUM(X157,AP157)*10000+SUM(R157,AJ157)*100+SUM(L157,AD157)+0.002&gt;AU157*1000000+SUM(W157,AO157)*10000+SUM(Q157,AI157)*100+SUM(K157,AC157)+0.003,1,0)+IF(AW157*1000000+SUM(Y157,AQ157)*10000+SUM(S157,AK157)*100+SUM(M157,AE157)+0.001&gt;AU157*1000000+SUM(W157,AO157)*10000+SUM(Q157,AI157)*100+SUM(K157,AC157)+0.003,1,0)=1,"S",IF(IF(AR157*1000000+SUM(T157,AL157)*10000+SUM(N157,AF157)*100+SUM(H157,Z157)+0.006&gt;AV157*1000000+SUM(X157,AP157)*10000+SUM(R157,AJ157)*100+SUM(L157,AD157)+0.002,1,0)+IF(AS157*1000000+SUM(U157,AM157)*10000+SUM(O157,AG157)*100+SUM(I157,AA157)+0.005&gt;AV157*1000000+SUM(X157,AP157)*10000+SUM(R157,AJ157)*100+SUM(L157,AD157)+0.002,1,0)+IF(AT157*1000000+SUM(V157,AN157)*10000+SUM(P157,AH157)*100+SUM(J157,AB157)+0.004&gt;AV157*1000000+SUM(X157,AP157)*10000+SUM(R157,AJ157)*100+SUM(L157,AD157)+0.002,1,0)+IF(AU157*1000000+SUM(W157,AO157)*10000+SUM(Q157,AI157)*100+SUM(K157,AC157)+0.003&gt;AV157*1000000+SUM(X157,AP157)*10000+SUM(R157,AJ157)*100+SUM(L157,AD157)+0.002,1,0)+IF(AW157*1000000+SUM(Y157,AQ157)*10000+SUM(S157,AK157)*100+SUM(M157,AE157)+0.001&gt;AV157*1000000+SUM(X157,AP157)*10000+SUM(R157,AJ157)*100+SUM(L157,AD157)+0.002,1,0)=1,"E",IF(IF(AR157*1000000+SUM(T157,AL157)*10000+SUM(N157,AF157)*100+SUM(H157,Z157)+0.006&gt;AW157*1000000+SUM(Y157,AQ157)*10000+SUM(S157,AK157)*100+SUM(M157,AE157)+0.001,1,0)+IF(AS157*1000000+SUM(U157,AM157)*10000+SUM(O157,AG157)*100+SUM(I157,AA157)+0.005&gt;AW157*1000000+SUM(Y157,AQ157)*10000+SUM(S157,AK157)*100+SUM(M157,AE157)+0.001,1,0)+IF(AT157*1000000+SUM(V157,AN157)*10000+SUM(P157,AH157)*100+SUM(J157,AB157)+0.004&gt;AW157*1000000+SUM(Y157,AQ157)*10000+SUM(S157,AK157)*100+SUM(M157,AE157)+0.001,1,0)+IF(AU157*1000000+SUM(W157,AO157)*10000+SUM(Q157,AI157)*100+SUM(K157,AC157)+0.003&gt;AW157*1000000+SUM(Y157,AQ157)*10000+SUM(S157,AK157)*100+SUM(M157,AE157)+0.001,1,0)+IF(AV157*1000000+SUM(X157,AP157)*10000+SUM(R157,AJ157)*100+SUM(L157,AD157)+0.002&gt;AW157*1000000+SUM(Y157,AQ157)*10000+SUM(S157,AK157)*100+SUM(M157,AE157)+0.001,1,0)=1,"C",""))))))&amp;IF(IF(AS157*1000000+SUM(U157,AM157)*10000+SUM(O157,AG157)*100+SUM(I157,AA157)+0.005&gt;AR157*1000000+SUM(T157,AL157)*10000+SUM(N157,AF157)*100+SUM(H157,Z157)+0.006,1,0)+IF(AT157*1000000+SUM(V157,AN157)*10000+SUM(P157,AH157)*100+SUM(J157,AB157)+0.004&gt;AR157*1000000+SUM(T157,AL157)*10000+SUM(N157,AF157)*100+SUM(H157,Z157)+0.006,1,0)+IF(AU157*1000000+SUM(W157,AO157)*10000+SUM(Q157,AI157)*100+SUM(K157,AC157)+0.003&gt;AR157*1000000+SUM(T157,AL157)*10000+SUM(N157,AF157)*100+SUM(H157,Z157)+0.006,1,0)+IF(AV157*1000000+SUM(X157,AP157)*10000+SUM(R157,AJ157)*100+SUM(L157,AD157)+0.002&gt;AR157*1000000+SUM(T157,AL157)*10000+SUM(N157,AF157)*100+SUM(H157,Z157)+0.006,1,0)+IF(AW157*1000000+SUM(Y157,AQ157)*10000+SUM(S157,AK157)*100+SUM(M157,AE157)+0.001&gt;AR157*1000000+SUM(T157,AL157)*10000+SUM(N157,AF157)*100+SUM(H157,Z157)+0.006,1,0)=2,"R",IF(IF(AR157*1000000+SUM(T157,AL157)*10000+SUM(N157,AF157)*100+SUM(H157,Z157)+0.006&gt;AS157*1000000+SUM(U157,AM157)*10000+SUM(O157,AG157)*100+SUM(I157,AA157)+0.005,1,0)+IF(AT157*1000000+SUM(V157,AN157)*10000+SUM(P157,AH157)*100+SUM(J157,AB157)+0.004&gt;AS157*1000000+SUM(U157,AM157)*10000+SUM(O157,AG157)*100+SUM(I157,AA157)+0.005,1,0)+IF(AU157*1000000+SUM(W157,AO157)*10000+SUM(Q157,AI157)*100+SUM(K157,AC157)+0.003&gt;AS157*1000000+SUM(U157,AM157)*10000+SUM(O157,AG157)*100+SUM(I157,AA157)+0.005,1,0)+IF(AV157*1000000+SUM(X157,AP157)*10000+SUM(R157,AJ157)*100+SUM(L157,AD157)+0.002&gt;AS157*1000000+SUM(U157,AM157)*10000+SUM(O157,AG157)*100+SUM(I157,AA157)+0.005,1,0)+IF(AW157*1000000+SUM(Y157,AQ157)*10000+SUM(S157,AK157)*100+SUM(M157,AE157)+0.001&gt;AS157*1000000+SUM(U157,AM157)*10000+SUM(O157,AG157)*100+SUM(I157,AA157)+0.005,1,0)=2,"I",IF(IF(AR157*1000000+SUM(T157,AL157)*10000+SUM(N157,AF157)*100+SUM(H157,Z157)+0.006&gt;AT157*1000000+SUM(V157,AN157)*10000+SUM(P157,AH157)*100+SUM(J157,AB157)+0.004,1,0)+IF(AS157*1000000+SUM(U157,AM157)*10000+SUM(O157,AG157)*100+SUM(I157,AA157)+0.005&gt;AT157*1000000+SUM(V157,AN157)*10000+SUM(P157,AH157)*100+SUM(J157,AB157)+0.004,1,0)+IF(AU157*1000000+SUM(W157,AO157)*10000+SUM(Q157,AI157)*100+SUM(K157,AC157)+0.003&gt;AT157*1000000+SUM(V157,AN157)*10000+SUM(P157,AH157)*100+SUM(J157,AB157)+0.004,1,0)+IF(AV157*1000000+SUM(X157,AP157)*10000+SUM(R157,AJ157)*100+SUM(L157,AD157)+0.002&gt;AT157*1000000+SUM(V157,AN157)*10000+SUM(P157,AH157)*100+SUM(J157,AB157)+0.004,1,0)+IF(AW157*1000000+SUM(Y157,AQ157)*10000+SUM(S157,AK157)*100+SUM(M157,AE157)+0.001&gt;AT157*1000000+SUM(V157,AN157)*10000+SUM(P157,AH157)*100+SUM(J157,AB157)+0.004,1,0)=2,"A",IF(IF(AR157*1000000+SUM(T157,AL157)*10000+SUM(N157,AF157)*100+SUM(H157,Z157)+0.006&gt;AU157*1000000+SUM(W157,AO157)*10000+SUM(Q157,AI157)*100+SUM(K157,AC157)+0.003,1,0)+IF(AS157*1000000+SUM(U157,AM157)*10000+SUM(O157,AG157)*100+SUM(I157,AA157)+0.005&gt;AU157*1000000+SUM(W157,AO157)*10000+SUM(Q157,AI157)*100+SUM(K157,AC157)+0.003,1,0)+IF(AT157*1000000+SUM(V157,AN157)*10000+SUM(P157,AH157)*100+SUM(J157,AB157)+0.004&gt;AU157*1000000+SUM(W157,AO157)*10000+SUM(Q157,AI157)*100+SUM(K157,AC157)+0.003,1,0)+IF(AV157*1000000+SUM(X157,AP157)*10000+SUM(R157,AJ157)*100+SUM(L157,AD157)+0.002&gt;AU157*1000000+SUM(W157,AO157)*10000+SUM(Q157,AI157)*100+SUM(K157,AC157)+0.003,1,0)+IF(AW157*1000000+SUM(Y157,AQ157)*10000+SUM(S157,AK157)*100+SUM(M157,AE157)+0.001&gt;AU157*1000000+SUM(W157,AO157)*10000+SUM(Q157,AI157)*100+SUM(K157,AC157)+0.003,1,0)=2,"S",IF(IF(AR157*1000000+SUM(T157,AL157)*10000+SUM(N157,AF157)*100+SUM(H157,Z157)+0.006&gt;AV157*1000000+SUM(X157,AP157)*10000+SUM(R157,AJ157)*100+SUM(L157,AD157)+0.002,1,0)+IF(AS157*1000000+SUM(U157,AM157)*10000+SUM(O157,AG157)*100+SUM(I157,AA157)+0.005&gt;AV157*1000000+SUM(X157,AP157)*10000+SUM(R157,AJ157)*100+SUM(L157,AD157)+0.002,1,0)+IF(AT157*1000000+SUM(V157,AN157)*10000+SUM(P157,AH157)*100+SUM(J157,AB157)+0.004&gt;AV157*1000000+SUM(X157,AP157)*10000+SUM(R157,AJ157)*100+SUM(L157,AD157)+0.002,1,0)+IF(AU157*1000000+SUM(W157,AO157)*10000+SUM(Q157,AI157)*100+SUM(K157,AC157)+0.003&gt;AV157*1000000+SUM(X157,AP157)*10000+SUM(R157,AJ157)*100+SUM(L157,AD157)+0.002,1,0)+IF(AW157*1000000+SUM(Y157,AQ157)*10000+SUM(S157,AK157)*100+SUM(M157,AE157)+0.001&gt;AV157*1000000+SUM(X157,AP157)*10000+SUM(R157,AJ157)*100+SUM(L157,AD157)+0.002,1,0)=2,"E",IF(IF(AR157*1000000+SUM(T157,AL157)*10000+SUM(N157,AF157)*100+SUM(H157,Z157)+0.006&gt;AW157*1000000+SUM(Y157,AQ157)*10000+SUM(S157,AK157)*100+SUM(M157,AE157)+0.001,1,0)+IF(AS157*1000000+SUM(U157,AM157)*10000+SUM(O157,AG157)*100+SUM(I157,AA157)+0.005&gt;AW157*1000000+SUM(Y157,AQ157)*10000+SUM(S157,AK157)*100+SUM(M157,AE157)+0.001,1,0)+IF(AT157*1000000+SUM(V157,AN157)*10000+SUM(P157,AH157)*100+SUM(J157,AB157)+0.004&gt;AW157*1000000+SUM(Y157,AQ157)*10000+SUM(S157,AK157)*100+SUM(M157,AE157)+0.001,1,0)+IF(AU157*1000000+SUM(W157,AO157)*10000+SUM(Q157,AI157)*100+SUM(K157,AC157)+0.003&gt;AW157*1000000+SUM(Y157,AQ157)*10000+SUM(S157,AK157)*100+SUM(M157,AE157)+0.001,1,0)+IF(AV157*1000000+SUM(X157,AP157)*10000+SUM(R157,AJ157)*100+SUM(L157,AD157)+0.002&gt;AW157*1000000+SUM(Y157,AQ157)*10000+SUM(S157,AK157)*100+SUM(M157,AE157)+0.001,1,0)=2,"C","")))))))</x:f>
      </x:c>
      <x:c r="AY157" s="27" t="str">
        <x:f>IF(C157="","",IF(LEFT(AX157,1)="R","นักปฏิบัติ",IF(LEFT(AX157,1)="I","นักคิดวิเคราะห์",IF(LEFT(AX157,1)="A","นักสร้างสรรค์",IF(LEFT(AX157,1)="S","ผู้เข้าใจผู้คน",IF(LEFT(AX157,1)="E","ผู้นำการเปลี่ยนแปลง","ผู้จัดระบบ"))))))</x:f>
      </x:c>
    </x:row>
    <x:row r="158">
      <x:c r="A158" s="27"/>
      <x:c r="B158" s="28"/>
      <x:c r="C158" s="27"/>
      <x:c r="D158" s="27"/>
      <x:c r="E158" s="27"/>
      <x:c r="F158" s="27"/>
      <x:c r="G158" s="27"/>
      <x:c r="H158" s="27"/>
      <x:c r="I158" s="27"/>
      <x:c r="J158" s="27"/>
      <x:c r="K158" s="27"/>
      <x:c r="L158" s="27"/>
      <x:c r="M158" s="27"/>
      <x:c r="N158" s="27"/>
      <x:c r="O158" s="27"/>
      <x:c r="P158" s="27"/>
      <x:c r="Q158" s="27"/>
      <x:c r="R158" s="27"/>
      <x:c r="S158" s="27"/>
      <x:c r="T158" s="27"/>
      <x:c r="U158" s="27"/>
      <x:c r="V158" s="27"/>
      <x:c r="W158" s="27"/>
      <x:c r="X158" s="27"/>
      <x:c r="Y158" s="27"/>
      <x:c r="Z158" s="27"/>
      <x:c r="AA158" s="27"/>
      <x:c r="AB158" s="27"/>
      <x:c r="AC158" s="27"/>
      <x:c r="AD158" s="27"/>
      <x:c r="AE158" s="27"/>
      <x:c r="AF158" s="27"/>
      <x:c r="AG158" s="27"/>
      <x:c r="AH158" s="27"/>
      <x:c r="AI158" s="27"/>
      <x:c r="AJ158" s="27"/>
      <x:c r="AK158" s="27"/>
      <x:c r="AL158" s="27"/>
      <x:c r="AM158" s="27"/>
      <x:c r="AN158" s="27"/>
      <x:c r="AO158" s="27"/>
      <x:c r="AP158" s="27"/>
      <x:c r="AQ158" s="27"/>
      <x:c r="AR158" s="27" t="str">
        <x:f>IF(C158="","",SUM(H158,N158,T158,Z158,AF158,AL158))</x:f>
      </x:c>
      <x:c r="AS158" s="27" t="str">
        <x:f>IF(C158="","",SUM(I158,O158,U158,AA158,AG158,AM158))</x:f>
      </x:c>
      <x:c r="AT158" s="27" t="str">
        <x:f>IF(C158="","",SUM(J158,P158,V158,AB158,AH158,AN158))</x:f>
      </x:c>
      <x:c r="AU158" s="27" t="str">
        <x:f>IF(C158="","",SUM(K158,Q158,W158,AC158,AI158,AO158))</x:f>
      </x:c>
      <x:c r="AV158" s="27" t="str">
        <x:f>IF(C158="","",SUM(L158,R158,X158,AD158,AJ158,AP158))</x:f>
      </x:c>
      <x:c r="AW158" s="27" t="str">
        <x:f>IF(C158="","",SUM(M158,S158,Y158,AE158,AK158,AQ158))</x:f>
      </x:c>
      <x:c r="AX158" s="27" t="str">
        <x:f>IF(C158="","",IF(IF(AS158*1000000+SUM(U158,AM158)*10000+SUM(O158,AG158)*100+SUM(I158,AA158)+0.005&gt;AR158*1000000+SUM(T158,AL158)*10000+SUM(N158,AF158)*100+SUM(H158,Z158)+0.006,1,0)+IF(AT158*1000000+SUM(V158,AN158)*10000+SUM(P158,AH158)*100+SUM(J158,AB158)+0.004&gt;AR158*1000000+SUM(T158,AL158)*10000+SUM(N158,AF158)*100+SUM(H158,Z158)+0.006,1,0)+IF(AU158*1000000+SUM(W158,AO158)*10000+SUM(Q158,AI158)*100+SUM(K158,AC158)+0.003&gt;AR158*1000000+SUM(T158,AL158)*10000+SUM(N158,AF158)*100+SUM(H158,Z158)+0.006,1,0)+IF(AV158*1000000+SUM(X158,AP158)*10000+SUM(R158,AJ158)*100+SUM(L158,AD158)+0.002&gt;AR158*1000000+SUM(T158,AL158)*10000+SUM(N158,AF158)*100+SUM(H158,Z158)+0.006,1,0)+IF(AW158*1000000+SUM(Y158,AQ158)*10000+SUM(S158,AK158)*100+SUM(M158,AE158)+0.001&gt;AR158*1000000+SUM(T158,AL158)*10000+SUM(N158,AF158)*100+SUM(H158,Z158)+0.006,1,0)=0,"R",IF(IF(AR158*1000000+SUM(T158,AL158)*10000+SUM(N158,AF158)*100+SUM(H158,Z158)+0.006&gt;AS158*1000000+SUM(U158,AM158)*10000+SUM(O158,AG158)*100+SUM(I158,AA158)+0.005,1,0)+IF(AT158*1000000+SUM(V158,AN158)*10000+SUM(P158,AH158)*100+SUM(J158,AB158)+0.004&gt;AS158*1000000+SUM(U158,AM158)*10000+SUM(O158,AG158)*100+SUM(I158,AA158)+0.005,1,0)+IF(AU158*1000000+SUM(W158,AO158)*10000+SUM(Q158,AI158)*100+SUM(K158,AC158)+0.003&gt;AS158*1000000+SUM(U158,AM158)*10000+SUM(O158,AG158)*100+SUM(I158,AA158)+0.005,1,0)+IF(AV158*1000000+SUM(X158,AP158)*10000+SUM(R158,AJ158)*100+SUM(L158,AD158)+0.002&gt;AS158*1000000+SUM(U158,AM158)*10000+SUM(O158,AG158)*100+SUM(I158,AA158)+0.005,1,0)+IF(AW158*1000000+SUM(Y158,AQ158)*10000+SUM(S158,AK158)*100+SUM(M158,AE158)+0.001&gt;AS158*1000000+SUM(U158,AM158)*10000+SUM(O158,AG158)*100+SUM(I158,AA158)+0.005,1,0)=0,"I",IF(IF(AR158*1000000+SUM(T158,AL158)*10000+SUM(N158,AF158)*100+SUM(H158,Z158)+0.006&gt;AT158*1000000+SUM(V158,AN158)*10000+SUM(P158,AH158)*100+SUM(J158,AB158)+0.004,1,0)+IF(AS158*1000000+SUM(U158,AM158)*10000+SUM(O158,AG158)*100+SUM(I158,AA158)+0.005&gt;AT158*1000000+SUM(V158,AN158)*10000+SUM(P158,AH158)*100+SUM(J158,AB158)+0.004,1,0)+IF(AU158*1000000+SUM(W158,AO158)*10000+SUM(Q158,AI158)*100+SUM(K158,AC158)+0.003&gt;AT158*1000000+SUM(V158,AN158)*10000+SUM(P158,AH158)*100+SUM(J158,AB158)+0.004,1,0)+IF(AV158*1000000+SUM(X158,AP158)*10000+SUM(R158,AJ158)*100+SUM(L158,AD158)+0.002&gt;AT158*1000000+SUM(V158,AN158)*10000+SUM(P158,AH158)*100+SUM(J158,AB158)+0.004,1,0)+IF(AW158*1000000+SUM(Y158,AQ158)*10000+SUM(S158,AK158)*100+SUM(M158,AE158)+0.001&gt;AT158*1000000+SUM(V158,AN158)*10000+SUM(P158,AH158)*100+SUM(J158,AB158)+0.004,1,0)=0,"A",IF(IF(AR158*1000000+SUM(T158,AL158)*10000+SUM(N158,AF158)*100+SUM(H158,Z158)+0.006&gt;AU158*1000000+SUM(W158,AO158)*10000+SUM(Q158,AI158)*100+SUM(K158,AC158)+0.003,1,0)+IF(AS158*1000000+SUM(U158,AM158)*10000+SUM(O158,AG158)*100+SUM(I158,AA158)+0.005&gt;AU158*1000000+SUM(W158,AO158)*10000+SUM(Q158,AI158)*100+SUM(K158,AC158)+0.003,1,0)+IF(AT158*1000000+SUM(V158,AN158)*10000+SUM(P158,AH158)*100+SUM(J158,AB158)+0.004&gt;AU158*1000000+SUM(W158,AO158)*10000+SUM(Q158,AI158)*100+SUM(K158,AC158)+0.003,1,0)+IF(AV158*1000000+SUM(X158,AP158)*10000+SUM(R158,AJ158)*100+SUM(L158,AD158)+0.002&gt;AU158*1000000+SUM(W158,AO158)*10000+SUM(Q158,AI158)*100+SUM(K158,AC158)+0.003,1,0)+IF(AW158*1000000+SUM(Y158,AQ158)*10000+SUM(S158,AK158)*100+SUM(M158,AE158)+0.001&gt;AU158*1000000+SUM(W158,AO158)*10000+SUM(Q158,AI158)*100+SUM(K158,AC158)+0.003,1,0)=0,"S",IF(IF(AR158*1000000+SUM(T158,AL158)*10000+SUM(N158,AF158)*100+SUM(H158,Z158)+0.006&gt;AV158*1000000+SUM(X158,AP158)*10000+SUM(R158,AJ158)*100+SUM(L158,AD158)+0.002,1,0)+IF(AS158*1000000+SUM(U158,AM158)*10000+SUM(O158,AG158)*100+SUM(I158,AA158)+0.005&gt;AV158*1000000+SUM(X158,AP158)*10000+SUM(R158,AJ158)*100+SUM(L158,AD158)+0.002,1,0)+IF(AT158*1000000+SUM(V158,AN158)*10000+SUM(P158,AH158)*100+SUM(J158,AB158)+0.004&gt;AV158*1000000+SUM(X158,AP158)*10000+SUM(R158,AJ158)*100+SUM(L158,AD158)+0.002,1,0)+IF(AU158*1000000+SUM(W158,AO158)*10000+SUM(Q158,AI158)*100+SUM(K158,AC158)+0.003&gt;AV158*1000000+SUM(X158,AP158)*10000+SUM(R158,AJ158)*100+SUM(L158,AD158)+0.002,1,0)+IF(AW158*1000000+SUM(Y158,AQ158)*10000+SUM(S158,AK158)*100+SUM(M158,AE158)+0.001&gt;AV158*1000000+SUM(X158,AP158)*10000+SUM(R158,AJ158)*100+SUM(L158,AD158)+0.002,1,0)=0,"E",IF(IF(AR158*1000000+SUM(T158,AL158)*10000+SUM(N158,AF158)*100+SUM(H158,Z158)+0.006&gt;AW158*1000000+SUM(Y158,AQ158)*10000+SUM(S158,AK158)*100+SUM(M158,AE158)+0.001,1,0)+IF(AS158*1000000+SUM(U158,AM158)*10000+SUM(O158,AG158)*100+SUM(I158,AA158)+0.005&gt;AW158*1000000+SUM(Y158,AQ158)*10000+SUM(S158,AK158)*100+SUM(M158,AE158)+0.001,1,0)+IF(AT158*1000000+SUM(V158,AN158)*10000+SUM(P158,AH158)*100+SUM(J158,AB158)+0.004&gt;AW158*1000000+SUM(Y158,AQ158)*10000+SUM(S158,AK158)*100+SUM(M158,AE158)+0.001,1,0)+IF(AU158*1000000+SUM(W158,AO158)*10000+SUM(Q158,AI158)*100+SUM(K158,AC158)+0.003&gt;AW158*1000000+SUM(Y158,AQ158)*10000+SUM(S158,AK158)*100+SUM(M158,AE158)+0.001,1,0)+IF(AV158*1000000+SUM(X158,AP158)*10000+SUM(R158,AJ158)*100+SUM(L158,AD158)+0.002&gt;AW158*1000000+SUM(Y158,AQ158)*10000+SUM(S158,AK158)*100+SUM(M158,AE158)+0.001,1,0)=0,"C",""))))))&amp;IF(IF(AS158*1000000+SUM(U158,AM158)*10000+SUM(O158,AG158)*100+SUM(I158,AA158)+0.005&gt;AR158*1000000+SUM(T158,AL158)*10000+SUM(N158,AF158)*100+SUM(H158,Z158)+0.006,1,0)+IF(AT158*1000000+SUM(V158,AN158)*10000+SUM(P158,AH158)*100+SUM(J158,AB158)+0.004&gt;AR158*1000000+SUM(T158,AL158)*10000+SUM(N158,AF158)*100+SUM(H158,Z158)+0.006,1,0)+IF(AU158*1000000+SUM(W158,AO158)*10000+SUM(Q158,AI158)*100+SUM(K158,AC158)+0.003&gt;AR158*1000000+SUM(T158,AL158)*10000+SUM(N158,AF158)*100+SUM(H158,Z158)+0.006,1,0)+IF(AV158*1000000+SUM(X158,AP158)*10000+SUM(R158,AJ158)*100+SUM(L158,AD158)+0.002&gt;AR158*1000000+SUM(T158,AL158)*10000+SUM(N158,AF158)*100+SUM(H158,Z158)+0.006,1,0)+IF(AW158*1000000+SUM(Y158,AQ158)*10000+SUM(S158,AK158)*100+SUM(M158,AE158)+0.001&gt;AR158*1000000+SUM(T158,AL158)*10000+SUM(N158,AF158)*100+SUM(H158,Z158)+0.006,1,0)=1,"R",IF(IF(AR158*1000000+SUM(T158,AL158)*10000+SUM(N158,AF158)*100+SUM(H158,Z158)+0.006&gt;AS158*1000000+SUM(U158,AM158)*10000+SUM(O158,AG158)*100+SUM(I158,AA158)+0.005,1,0)+IF(AT158*1000000+SUM(V158,AN158)*10000+SUM(P158,AH158)*100+SUM(J158,AB158)+0.004&gt;AS158*1000000+SUM(U158,AM158)*10000+SUM(O158,AG158)*100+SUM(I158,AA158)+0.005,1,0)+IF(AU158*1000000+SUM(W158,AO158)*10000+SUM(Q158,AI158)*100+SUM(K158,AC158)+0.003&gt;AS158*1000000+SUM(U158,AM158)*10000+SUM(O158,AG158)*100+SUM(I158,AA158)+0.005,1,0)+IF(AV158*1000000+SUM(X158,AP158)*10000+SUM(R158,AJ158)*100+SUM(L158,AD158)+0.002&gt;AS158*1000000+SUM(U158,AM158)*10000+SUM(O158,AG158)*100+SUM(I158,AA158)+0.005,1,0)+IF(AW158*1000000+SUM(Y158,AQ158)*10000+SUM(S158,AK158)*100+SUM(M158,AE158)+0.001&gt;AS158*1000000+SUM(U158,AM158)*10000+SUM(O158,AG158)*100+SUM(I158,AA158)+0.005,1,0)=1,"I",IF(IF(AR158*1000000+SUM(T158,AL158)*10000+SUM(N158,AF158)*100+SUM(H158,Z158)+0.006&gt;AT158*1000000+SUM(V158,AN158)*10000+SUM(P158,AH158)*100+SUM(J158,AB158)+0.004,1,0)+IF(AS158*1000000+SUM(U158,AM158)*10000+SUM(O158,AG158)*100+SUM(I158,AA158)+0.005&gt;AT158*1000000+SUM(V158,AN158)*10000+SUM(P158,AH158)*100+SUM(J158,AB158)+0.004,1,0)+IF(AU158*1000000+SUM(W158,AO158)*10000+SUM(Q158,AI158)*100+SUM(K158,AC158)+0.003&gt;AT158*1000000+SUM(V158,AN158)*10000+SUM(P158,AH158)*100+SUM(J158,AB158)+0.004,1,0)+IF(AV158*1000000+SUM(X158,AP158)*10000+SUM(R158,AJ158)*100+SUM(L158,AD158)+0.002&gt;AT158*1000000+SUM(V158,AN158)*10000+SUM(P158,AH158)*100+SUM(J158,AB158)+0.004,1,0)+IF(AW158*1000000+SUM(Y158,AQ158)*10000+SUM(S158,AK158)*100+SUM(M158,AE158)+0.001&gt;AT158*1000000+SUM(V158,AN158)*10000+SUM(P158,AH158)*100+SUM(J158,AB158)+0.004,1,0)=1,"A",IF(IF(AR158*1000000+SUM(T158,AL158)*10000+SUM(N158,AF158)*100+SUM(H158,Z158)+0.006&gt;AU158*1000000+SUM(W158,AO158)*10000+SUM(Q158,AI158)*100+SUM(K158,AC158)+0.003,1,0)+IF(AS158*1000000+SUM(U158,AM158)*10000+SUM(O158,AG158)*100+SUM(I158,AA158)+0.005&gt;AU158*1000000+SUM(W158,AO158)*10000+SUM(Q158,AI158)*100+SUM(K158,AC158)+0.003,1,0)+IF(AT158*1000000+SUM(V158,AN158)*10000+SUM(P158,AH158)*100+SUM(J158,AB158)+0.004&gt;AU158*1000000+SUM(W158,AO158)*10000+SUM(Q158,AI158)*100+SUM(K158,AC158)+0.003,1,0)+IF(AV158*1000000+SUM(X158,AP158)*10000+SUM(R158,AJ158)*100+SUM(L158,AD158)+0.002&gt;AU158*1000000+SUM(W158,AO158)*10000+SUM(Q158,AI158)*100+SUM(K158,AC158)+0.003,1,0)+IF(AW158*1000000+SUM(Y158,AQ158)*10000+SUM(S158,AK158)*100+SUM(M158,AE158)+0.001&gt;AU158*1000000+SUM(W158,AO158)*10000+SUM(Q158,AI158)*100+SUM(K158,AC158)+0.003,1,0)=1,"S",IF(IF(AR158*1000000+SUM(T158,AL158)*10000+SUM(N158,AF158)*100+SUM(H158,Z158)+0.006&gt;AV158*1000000+SUM(X158,AP158)*10000+SUM(R158,AJ158)*100+SUM(L158,AD158)+0.002,1,0)+IF(AS158*1000000+SUM(U158,AM158)*10000+SUM(O158,AG158)*100+SUM(I158,AA158)+0.005&gt;AV158*1000000+SUM(X158,AP158)*10000+SUM(R158,AJ158)*100+SUM(L158,AD158)+0.002,1,0)+IF(AT158*1000000+SUM(V158,AN158)*10000+SUM(P158,AH158)*100+SUM(J158,AB158)+0.004&gt;AV158*1000000+SUM(X158,AP158)*10000+SUM(R158,AJ158)*100+SUM(L158,AD158)+0.002,1,0)+IF(AU158*1000000+SUM(W158,AO158)*10000+SUM(Q158,AI158)*100+SUM(K158,AC158)+0.003&gt;AV158*1000000+SUM(X158,AP158)*10000+SUM(R158,AJ158)*100+SUM(L158,AD158)+0.002,1,0)+IF(AW158*1000000+SUM(Y158,AQ158)*10000+SUM(S158,AK158)*100+SUM(M158,AE158)+0.001&gt;AV158*1000000+SUM(X158,AP158)*10000+SUM(R158,AJ158)*100+SUM(L158,AD158)+0.002,1,0)=1,"E",IF(IF(AR158*1000000+SUM(T158,AL158)*10000+SUM(N158,AF158)*100+SUM(H158,Z158)+0.006&gt;AW158*1000000+SUM(Y158,AQ158)*10000+SUM(S158,AK158)*100+SUM(M158,AE158)+0.001,1,0)+IF(AS158*1000000+SUM(U158,AM158)*10000+SUM(O158,AG158)*100+SUM(I158,AA158)+0.005&gt;AW158*1000000+SUM(Y158,AQ158)*10000+SUM(S158,AK158)*100+SUM(M158,AE158)+0.001,1,0)+IF(AT158*1000000+SUM(V158,AN158)*10000+SUM(P158,AH158)*100+SUM(J158,AB158)+0.004&gt;AW158*1000000+SUM(Y158,AQ158)*10000+SUM(S158,AK158)*100+SUM(M158,AE158)+0.001,1,0)+IF(AU158*1000000+SUM(W158,AO158)*10000+SUM(Q158,AI158)*100+SUM(K158,AC158)+0.003&gt;AW158*1000000+SUM(Y158,AQ158)*10000+SUM(S158,AK158)*100+SUM(M158,AE158)+0.001,1,0)+IF(AV158*1000000+SUM(X158,AP158)*10000+SUM(R158,AJ158)*100+SUM(L158,AD158)+0.002&gt;AW158*1000000+SUM(Y158,AQ158)*10000+SUM(S158,AK158)*100+SUM(M158,AE158)+0.001,1,0)=1,"C",""))))))&amp;IF(IF(AS158*1000000+SUM(U158,AM158)*10000+SUM(O158,AG158)*100+SUM(I158,AA158)+0.005&gt;AR158*1000000+SUM(T158,AL158)*10000+SUM(N158,AF158)*100+SUM(H158,Z158)+0.006,1,0)+IF(AT158*1000000+SUM(V158,AN158)*10000+SUM(P158,AH158)*100+SUM(J158,AB158)+0.004&gt;AR158*1000000+SUM(T158,AL158)*10000+SUM(N158,AF158)*100+SUM(H158,Z158)+0.006,1,0)+IF(AU158*1000000+SUM(W158,AO158)*10000+SUM(Q158,AI158)*100+SUM(K158,AC158)+0.003&gt;AR158*1000000+SUM(T158,AL158)*10000+SUM(N158,AF158)*100+SUM(H158,Z158)+0.006,1,0)+IF(AV158*1000000+SUM(X158,AP158)*10000+SUM(R158,AJ158)*100+SUM(L158,AD158)+0.002&gt;AR158*1000000+SUM(T158,AL158)*10000+SUM(N158,AF158)*100+SUM(H158,Z158)+0.006,1,0)+IF(AW158*1000000+SUM(Y158,AQ158)*10000+SUM(S158,AK158)*100+SUM(M158,AE158)+0.001&gt;AR158*1000000+SUM(T158,AL158)*10000+SUM(N158,AF158)*100+SUM(H158,Z158)+0.006,1,0)=2,"R",IF(IF(AR158*1000000+SUM(T158,AL158)*10000+SUM(N158,AF158)*100+SUM(H158,Z158)+0.006&gt;AS158*1000000+SUM(U158,AM158)*10000+SUM(O158,AG158)*100+SUM(I158,AA158)+0.005,1,0)+IF(AT158*1000000+SUM(V158,AN158)*10000+SUM(P158,AH158)*100+SUM(J158,AB158)+0.004&gt;AS158*1000000+SUM(U158,AM158)*10000+SUM(O158,AG158)*100+SUM(I158,AA158)+0.005,1,0)+IF(AU158*1000000+SUM(W158,AO158)*10000+SUM(Q158,AI158)*100+SUM(K158,AC158)+0.003&gt;AS158*1000000+SUM(U158,AM158)*10000+SUM(O158,AG158)*100+SUM(I158,AA158)+0.005,1,0)+IF(AV158*1000000+SUM(X158,AP158)*10000+SUM(R158,AJ158)*100+SUM(L158,AD158)+0.002&gt;AS158*1000000+SUM(U158,AM158)*10000+SUM(O158,AG158)*100+SUM(I158,AA158)+0.005,1,0)+IF(AW158*1000000+SUM(Y158,AQ158)*10000+SUM(S158,AK158)*100+SUM(M158,AE158)+0.001&gt;AS158*1000000+SUM(U158,AM158)*10000+SUM(O158,AG158)*100+SUM(I158,AA158)+0.005,1,0)=2,"I",IF(IF(AR158*1000000+SUM(T158,AL158)*10000+SUM(N158,AF158)*100+SUM(H158,Z158)+0.006&gt;AT158*1000000+SUM(V158,AN158)*10000+SUM(P158,AH158)*100+SUM(J158,AB158)+0.004,1,0)+IF(AS158*1000000+SUM(U158,AM158)*10000+SUM(O158,AG158)*100+SUM(I158,AA158)+0.005&gt;AT158*1000000+SUM(V158,AN158)*10000+SUM(P158,AH158)*100+SUM(J158,AB158)+0.004,1,0)+IF(AU158*1000000+SUM(W158,AO158)*10000+SUM(Q158,AI158)*100+SUM(K158,AC158)+0.003&gt;AT158*1000000+SUM(V158,AN158)*10000+SUM(P158,AH158)*100+SUM(J158,AB158)+0.004,1,0)+IF(AV158*1000000+SUM(X158,AP158)*10000+SUM(R158,AJ158)*100+SUM(L158,AD158)+0.002&gt;AT158*1000000+SUM(V158,AN158)*10000+SUM(P158,AH158)*100+SUM(J158,AB158)+0.004,1,0)+IF(AW158*1000000+SUM(Y158,AQ158)*10000+SUM(S158,AK158)*100+SUM(M158,AE158)+0.001&gt;AT158*1000000+SUM(V158,AN158)*10000+SUM(P158,AH158)*100+SUM(J158,AB158)+0.004,1,0)=2,"A",IF(IF(AR158*1000000+SUM(T158,AL158)*10000+SUM(N158,AF158)*100+SUM(H158,Z158)+0.006&gt;AU158*1000000+SUM(W158,AO158)*10000+SUM(Q158,AI158)*100+SUM(K158,AC158)+0.003,1,0)+IF(AS158*1000000+SUM(U158,AM158)*10000+SUM(O158,AG158)*100+SUM(I158,AA158)+0.005&gt;AU158*1000000+SUM(W158,AO158)*10000+SUM(Q158,AI158)*100+SUM(K158,AC158)+0.003,1,0)+IF(AT158*1000000+SUM(V158,AN158)*10000+SUM(P158,AH158)*100+SUM(J158,AB158)+0.004&gt;AU158*1000000+SUM(W158,AO158)*10000+SUM(Q158,AI158)*100+SUM(K158,AC158)+0.003,1,0)+IF(AV158*1000000+SUM(X158,AP158)*10000+SUM(R158,AJ158)*100+SUM(L158,AD158)+0.002&gt;AU158*1000000+SUM(W158,AO158)*10000+SUM(Q158,AI158)*100+SUM(K158,AC158)+0.003,1,0)+IF(AW158*1000000+SUM(Y158,AQ158)*10000+SUM(S158,AK158)*100+SUM(M158,AE158)+0.001&gt;AU158*1000000+SUM(W158,AO158)*10000+SUM(Q158,AI158)*100+SUM(K158,AC158)+0.003,1,0)=2,"S",IF(IF(AR158*1000000+SUM(T158,AL158)*10000+SUM(N158,AF158)*100+SUM(H158,Z158)+0.006&gt;AV158*1000000+SUM(X158,AP158)*10000+SUM(R158,AJ158)*100+SUM(L158,AD158)+0.002,1,0)+IF(AS158*1000000+SUM(U158,AM158)*10000+SUM(O158,AG158)*100+SUM(I158,AA158)+0.005&gt;AV158*1000000+SUM(X158,AP158)*10000+SUM(R158,AJ158)*100+SUM(L158,AD158)+0.002,1,0)+IF(AT158*1000000+SUM(V158,AN158)*10000+SUM(P158,AH158)*100+SUM(J158,AB158)+0.004&gt;AV158*1000000+SUM(X158,AP158)*10000+SUM(R158,AJ158)*100+SUM(L158,AD158)+0.002,1,0)+IF(AU158*1000000+SUM(W158,AO158)*10000+SUM(Q158,AI158)*100+SUM(K158,AC158)+0.003&gt;AV158*1000000+SUM(X158,AP158)*10000+SUM(R158,AJ158)*100+SUM(L158,AD158)+0.002,1,0)+IF(AW158*1000000+SUM(Y158,AQ158)*10000+SUM(S158,AK158)*100+SUM(M158,AE158)+0.001&gt;AV158*1000000+SUM(X158,AP158)*10000+SUM(R158,AJ158)*100+SUM(L158,AD158)+0.002,1,0)=2,"E",IF(IF(AR158*1000000+SUM(T158,AL158)*10000+SUM(N158,AF158)*100+SUM(H158,Z158)+0.006&gt;AW158*1000000+SUM(Y158,AQ158)*10000+SUM(S158,AK158)*100+SUM(M158,AE158)+0.001,1,0)+IF(AS158*1000000+SUM(U158,AM158)*10000+SUM(O158,AG158)*100+SUM(I158,AA158)+0.005&gt;AW158*1000000+SUM(Y158,AQ158)*10000+SUM(S158,AK158)*100+SUM(M158,AE158)+0.001,1,0)+IF(AT158*1000000+SUM(V158,AN158)*10000+SUM(P158,AH158)*100+SUM(J158,AB158)+0.004&gt;AW158*1000000+SUM(Y158,AQ158)*10000+SUM(S158,AK158)*100+SUM(M158,AE158)+0.001,1,0)+IF(AU158*1000000+SUM(W158,AO158)*10000+SUM(Q158,AI158)*100+SUM(K158,AC158)+0.003&gt;AW158*1000000+SUM(Y158,AQ158)*10000+SUM(S158,AK158)*100+SUM(M158,AE158)+0.001,1,0)+IF(AV158*1000000+SUM(X158,AP158)*10000+SUM(R158,AJ158)*100+SUM(L158,AD158)+0.002&gt;AW158*1000000+SUM(Y158,AQ158)*10000+SUM(S158,AK158)*100+SUM(M158,AE158)+0.001,1,0)=2,"C","")))))))</x:f>
      </x:c>
      <x:c r="AY158" s="27" t="str">
        <x:f>IF(C158="","",IF(LEFT(AX158,1)="R","นักปฏิบัติ",IF(LEFT(AX158,1)="I","นักคิดวิเคราะห์",IF(LEFT(AX158,1)="A","นักสร้างสรรค์",IF(LEFT(AX158,1)="S","ผู้เข้าใจผู้คน",IF(LEFT(AX158,1)="E","ผู้นำการเปลี่ยนแปลง","ผู้จัดระบบ"))))))</x:f>
      </x:c>
    </x:row>
    <x:row r="159">
      <x:c r="A159" s="27"/>
      <x:c r="B159" s="28"/>
      <x:c r="C159" s="27"/>
      <x:c r="D159" s="27"/>
      <x:c r="E159" s="27"/>
      <x:c r="F159" s="27"/>
      <x:c r="G159" s="27"/>
      <x:c r="H159" s="27"/>
      <x:c r="I159" s="27"/>
      <x:c r="J159" s="27"/>
      <x:c r="K159" s="27"/>
      <x:c r="L159" s="27"/>
      <x:c r="M159" s="27"/>
      <x:c r="N159" s="27"/>
      <x:c r="O159" s="27"/>
      <x:c r="P159" s="27"/>
      <x:c r="Q159" s="27"/>
      <x:c r="R159" s="27"/>
      <x:c r="S159" s="27"/>
      <x:c r="T159" s="27"/>
      <x:c r="U159" s="27"/>
      <x:c r="V159" s="27"/>
      <x:c r="W159" s="27"/>
      <x:c r="X159" s="27"/>
      <x:c r="Y159" s="27"/>
      <x:c r="Z159" s="27"/>
      <x:c r="AA159" s="27"/>
      <x:c r="AB159" s="27"/>
      <x:c r="AC159" s="27"/>
      <x:c r="AD159" s="27"/>
      <x:c r="AE159" s="27"/>
      <x:c r="AF159" s="27"/>
      <x:c r="AG159" s="27"/>
      <x:c r="AH159" s="27"/>
      <x:c r="AI159" s="27"/>
      <x:c r="AJ159" s="27"/>
      <x:c r="AK159" s="27"/>
      <x:c r="AL159" s="27"/>
      <x:c r="AM159" s="27"/>
      <x:c r="AN159" s="27"/>
      <x:c r="AO159" s="27"/>
      <x:c r="AP159" s="27"/>
      <x:c r="AQ159" s="27"/>
      <x:c r="AR159" s="27" t="str">
        <x:f>IF(C159="","",SUM(H159,N159,T159,Z159,AF159,AL159))</x:f>
      </x:c>
      <x:c r="AS159" s="27" t="str">
        <x:f>IF(C159="","",SUM(I159,O159,U159,AA159,AG159,AM159))</x:f>
      </x:c>
      <x:c r="AT159" s="27" t="str">
        <x:f>IF(C159="","",SUM(J159,P159,V159,AB159,AH159,AN159))</x:f>
      </x:c>
      <x:c r="AU159" s="27" t="str">
        <x:f>IF(C159="","",SUM(K159,Q159,W159,AC159,AI159,AO159))</x:f>
      </x:c>
      <x:c r="AV159" s="27" t="str">
        <x:f>IF(C159="","",SUM(L159,R159,X159,AD159,AJ159,AP159))</x:f>
      </x:c>
      <x:c r="AW159" s="27" t="str">
        <x:f>IF(C159="","",SUM(M159,S159,Y159,AE159,AK159,AQ159))</x:f>
      </x:c>
      <x:c r="AX159" s="27" t="str">
        <x:f>IF(C159="","",IF(IF(AS159*1000000+SUM(U159,AM159)*10000+SUM(O159,AG159)*100+SUM(I159,AA159)+0.005&gt;AR159*1000000+SUM(T159,AL159)*10000+SUM(N159,AF159)*100+SUM(H159,Z159)+0.006,1,0)+IF(AT159*1000000+SUM(V159,AN159)*10000+SUM(P159,AH159)*100+SUM(J159,AB159)+0.004&gt;AR159*1000000+SUM(T159,AL159)*10000+SUM(N159,AF159)*100+SUM(H159,Z159)+0.006,1,0)+IF(AU159*1000000+SUM(W159,AO159)*10000+SUM(Q159,AI159)*100+SUM(K159,AC159)+0.003&gt;AR159*1000000+SUM(T159,AL159)*10000+SUM(N159,AF159)*100+SUM(H159,Z159)+0.006,1,0)+IF(AV159*1000000+SUM(X159,AP159)*10000+SUM(R159,AJ159)*100+SUM(L159,AD159)+0.002&gt;AR159*1000000+SUM(T159,AL159)*10000+SUM(N159,AF159)*100+SUM(H159,Z159)+0.006,1,0)+IF(AW159*1000000+SUM(Y159,AQ159)*10000+SUM(S159,AK159)*100+SUM(M159,AE159)+0.001&gt;AR159*1000000+SUM(T159,AL159)*10000+SUM(N159,AF159)*100+SUM(H159,Z159)+0.006,1,0)=0,"R",IF(IF(AR159*1000000+SUM(T159,AL159)*10000+SUM(N159,AF159)*100+SUM(H159,Z159)+0.006&gt;AS159*1000000+SUM(U159,AM159)*10000+SUM(O159,AG159)*100+SUM(I159,AA159)+0.005,1,0)+IF(AT159*1000000+SUM(V159,AN159)*10000+SUM(P159,AH159)*100+SUM(J159,AB159)+0.004&gt;AS159*1000000+SUM(U159,AM159)*10000+SUM(O159,AG159)*100+SUM(I159,AA159)+0.005,1,0)+IF(AU159*1000000+SUM(W159,AO159)*10000+SUM(Q159,AI159)*100+SUM(K159,AC159)+0.003&gt;AS159*1000000+SUM(U159,AM159)*10000+SUM(O159,AG159)*100+SUM(I159,AA159)+0.005,1,0)+IF(AV159*1000000+SUM(X159,AP159)*10000+SUM(R159,AJ159)*100+SUM(L159,AD159)+0.002&gt;AS159*1000000+SUM(U159,AM159)*10000+SUM(O159,AG159)*100+SUM(I159,AA159)+0.005,1,0)+IF(AW159*1000000+SUM(Y159,AQ159)*10000+SUM(S159,AK159)*100+SUM(M159,AE159)+0.001&gt;AS159*1000000+SUM(U159,AM159)*10000+SUM(O159,AG159)*100+SUM(I159,AA159)+0.005,1,0)=0,"I",IF(IF(AR159*1000000+SUM(T159,AL159)*10000+SUM(N159,AF159)*100+SUM(H159,Z159)+0.006&gt;AT159*1000000+SUM(V159,AN159)*10000+SUM(P159,AH159)*100+SUM(J159,AB159)+0.004,1,0)+IF(AS159*1000000+SUM(U159,AM159)*10000+SUM(O159,AG159)*100+SUM(I159,AA159)+0.005&gt;AT159*1000000+SUM(V159,AN159)*10000+SUM(P159,AH159)*100+SUM(J159,AB159)+0.004,1,0)+IF(AU159*1000000+SUM(W159,AO159)*10000+SUM(Q159,AI159)*100+SUM(K159,AC159)+0.003&gt;AT159*1000000+SUM(V159,AN159)*10000+SUM(P159,AH159)*100+SUM(J159,AB159)+0.004,1,0)+IF(AV159*1000000+SUM(X159,AP159)*10000+SUM(R159,AJ159)*100+SUM(L159,AD159)+0.002&gt;AT159*1000000+SUM(V159,AN159)*10000+SUM(P159,AH159)*100+SUM(J159,AB159)+0.004,1,0)+IF(AW159*1000000+SUM(Y159,AQ159)*10000+SUM(S159,AK159)*100+SUM(M159,AE159)+0.001&gt;AT159*1000000+SUM(V159,AN159)*10000+SUM(P159,AH159)*100+SUM(J159,AB159)+0.004,1,0)=0,"A",IF(IF(AR159*1000000+SUM(T159,AL159)*10000+SUM(N159,AF159)*100+SUM(H159,Z159)+0.006&gt;AU159*1000000+SUM(W159,AO159)*10000+SUM(Q159,AI159)*100+SUM(K159,AC159)+0.003,1,0)+IF(AS159*1000000+SUM(U159,AM159)*10000+SUM(O159,AG159)*100+SUM(I159,AA159)+0.005&gt;AU159*1000000+SUM(W159,AO159)*10000+SUM(Q159,AI159)*100+SUM(K159,AC159)+0.003,1,0)+IF(AT159*1000000+SUM(V159,AN159)*10000+SUM(P159,AH159)*100+SUM(J159,AB159)+0.004&gt;AU159*1000000+SUM(W159,AO159)*10000+SUM(Q159,AI159)*100+SUM(K159,AC159)+0.003,1,0)+IF(AV159*1000000+SUM(X159,AP159)*10000+SUM(R159,AJ159)*100+SUM(L159,AD159)+0.002&gt;AU159*1000000+SUM(W159,AO159)*10000+SUM(Q159,AI159)*100+SUM(K159,AC159)+0.003,1,0)+IF(AW159*1000000+SUM(Y159,AQ159)*10000+SUM(S159,AK159)*100+SUM(M159,AE159)+0.001&gt;AU159*1000000+SUM(W159,AO159)*10000+SUM(Q159,AI159)*100+SUM(K159,AC159)+0.003,1,0)=0,"S",IF(IF(AR159*1000000+SUM(T159,AL159)*10000+SUM(N159,AF159)*100+SUM(H159,Z159)+0.006&gt;AV159*1000000+SUM(X159,AP159)*10000+SUM(R159,AJ159)*100+SUM(L159,AD159)+0.002,1,0)+IF(AS159*1000000+SUM(U159,AM159)*10000+SUM(O159,AG159)*100+SUM(I159,AA159)+0.005&gt;AV159*1000000+SUM(X159,AP159)*10000+SUM(R159,AJ159)*100+SUM(L159,AD159)+0.002,1,0)+IF(AT159*1000000+SUM(V159,AN159)*10000+SUM(P159,AH159)*100+SUM(J159,AB159)+0.004&gt;AV159*1000000+SUM(X159,AP159)*10000+SUM(R159,AJ159)*100+SUM(L159,AD159)+0.002,1,0)+IF(AU159*1000000+SUM(W159,AO159)*10000+SUM(Q159,AI159)*100+SUM(K159,AC159)+0.003&gt;AV159*1000000+SUM(X159,AP159)*10000+SUM(R159,AJ159)*100+SUM(L159,AD159)+0.002,1,0)+IF(AW159*1000000+SUM(Y159,AQ159)*10000+SUM(S159,AK159)*100+SUM(M159,AE159)+0.001&gt;AV159*1000000+SUM(X159,AP159)*10000+SUM(R159,AJ159)*100+SUM(L159,AD159)+0.002,1,0)=0,"E",IF(IF(AR159*1000000+SUM(T159,AL159)*10000+SUM(N159,AF159)*100+SUM(H159,Z159)+0.006&gt;AW159*1000000+SUM(Y159,AQ159)*10000+SUM(S159,AK159)*100+SUM(M159,AE159)+0.001,1,0)+IF(AS159*1000000+SUM(U159,AM159)*10000+SUM(O159,AG159)*100+SUM(I159,AA159)+0.005&gt;AW159*1000000+SUM(Y159,AQ159)*10000+SUM(S159,AK159)*100+SUM(M159,AE159)+0.001,1,0)+IF(AT159*1000000+SUM(V159,AN159)*10000+SUM(P159,AH159)*100+SUM(J159,AB159)+0.004&gt;AW159*1000000+SUM(Y159,AQ159)*10000+SUM(S159,AK159)*100+SUM(M159,AE159)+0.001,1,0)+IF(AU159*1000000+SUM(W159,AO159)*10000+SUM(Q159,AI159)*100+SUM(K159,AC159)+0.003&gt;AW159*1000000+SUM(Y159,AQ159)*10000+SUM(S159,AK159)*100+SUM(M159,AE159)+0.001,1,0)+IF(AV159*1000000+SUM(X159,AP159)*10000+SUM(R159,AJ159)*100+SUM(L159,AD159)+0.002&gt;AW159*1000000+SUM(Y159,AQ159)*10000+SUM(S159,AK159)*100+SUM(M159,AE159)+0.001,1,0)=0,"C",""))))))&amp;IF(IF(AS159*1000000+SUM(U159,AM159)*10000+SUM(O159,AG159)*100+SUM(I159,AA159)+0.005&gt;AR159*1000000+SUM(T159,AL159)*10000+SUM(N159,AF159)*100+SUM(H159,Z159)+0.006,1,0)+IF(AT159*1000000+SUM(V159,AN159)*10000+SUM(P159,AH159)*100+SUM(J159,AB159)+0.004&gt;AR159*1000000+SUM(T159,AL159)*10000+SUM(N159,AF159)*100+SUM(H159,Z159)+0.006,1,0)+IF(AU159*1000000+SUM(W159,AO159)*10000+SUM(Q159,AI159)*100+SUM(K159,AC159)+0.003&gt;AR159*1000000+SUM(T159,AL159)*10000+SUM(N159,AF159)*100+SUM(H159,Z159)+0.006,1,0)+IF(AV159*1000000+SUM(X159,AP159)*10000+SUM(R159,AJ159)*100+SUM(L159,AD159)+0.002&gt;AR159*1000000+SUM(T159,AL159)*10000+SUM(N159,AF159)*100+SUM(H159,Z159)+0.006,1,0)+IF(AW159*1000000+SUM(Y159,AQ159)*10000+SUM(S159,AK159)*100+SUM(M159,AE159)+0.001&gt;AR159*1000000+SUM(T159,AL159)*10000+SUM(N159,AF159)*100+SUM(H159,Z159)+0.006,1,0)=1,"R",IF(IF(AR159*1000000+SUM(T159,AL159)*10000+SUM(N159,AF159)*100+SUM(H159,Z159)+0.006&gt;AS159*1000000+SUM(U159,AM159)*10000+SUM(O159,AG159)*100+SUM(I159,AA159)+0.005,1,0)+IF(AT159*1000000+SUM(V159,AN159)*10000+SUM(P159,AH159)*100+SUM(J159,AB159)+0.004&gt;AS159*1000000+SUM(U159,AM159)*10000+SUM(O159,AG159)*100+SUM(I159,AA159)+0.005,1,0)+IF(AU159*1000000+SUM(W159,AO159)*10000+SUM(Q159,AI159)*100+SUM(K159,AC159)+0.003&gt;AS159*1000000+SUM(U159,AM159)*10000+SUM(O159,AG159)*100+SUM(I159,AA159)+0.005,1,0)+IF(AV159*1000000+SUM(X159,AP159)*10000+SUM(R159,AJ159)*100+SUM(L159,AD159)+0.002&gt;AS159*1000000+SUM(U159,AM159)*10000+SUM(O159,AG159)*100+SUM(I159,AA159)+0.005,1,0)+IF(AW159*1000000+SUM(Y159,AQ159)*10000+SUM(S159,AK159)*100+SUM(M159,AE159)+0.001&gt;AS159*1000000+SUM(U159,AM159)*10000+SUM(O159,AG159)*100+SUM(I159,AA159)+0.005,1,0)=1,"I",IF(IF(AR159*1000000+SUM(T159,AL159)*10000+SUM(N159,AF159)*100+SUM(H159,Z159)+0.006&gt;AT159*1000000+SUM(V159,AN159)*10000+SUM(P159,AH159)*100+SUM(J159,AB159)+0.004,1,0)+IF(AS159*1000000+SUM(U159,AM159)*10000+SUM(O159,AG159)*100+SUM(I159,AA159)+0.005&gt;AT159*1000000+SUM(V159,AN159)*10000+SUM(P159,AH159)*100+SUM(J159,AB159)+0.004,1,0)+IF(AU159*1000000+SUM(W159,AO159)*10000+SUM(Q159,AI159)*100+SUM(K159,AC159)+0.003&gt;AT159*1000000+SUM(V159,AN159)*10000+SUM(P159,AH159)*100+SUM(J159,AB159)+0.004,1,0)+IF(AV159*1000000+SUM(X159,AP159)*10000+SUM(R159,AJ159)*100+SUM(L159,AD159)+0.002&gt;AT159*1000000+SUM(V159,AN159)*10000+SUM(P159,AH159)*100+SUM(J159,AB159)+0.004,1,0)+IF(AW159*1000000+SUM(Y159,AQ159)*10000+SUM(S159,AK159)*100+SUM(M159,AE159)+0.001&gt;AT159*1000000+SUM(V159,AN159)*10000+SUM(P159,AH159)*100+SUM(J159,AB159)+0.004,1,0)=1,"A",IF(IF(AR159*1000000+SUM(T159,AL159)*10000+SUM(N159,AF159)*100+SUM(H159,Z159)+0.006&gt;AU159*1000000+SUM(W159,AO159)*10000+SUM(Q159,AI159)*100+SUM(K159,AC159)+0.003,1,0)+IF(AS159*1000000+SUM(U159,AM159)*10000+SUM(O159,AG159)*100+SUM(I159,AA159)+0.005&gt;AU159*1000000+SUM(W159,AO159)*10000+SUM(Q159,AI159)*100+SUM(K159,AC159)+0.003,1,0)+IF(AT159*1000000+SUM(V159,AN159)*10000+SUM(P159,AH159)*100+SUM(J159,AB159)+0.004&gt;AU159*1000000+SUM(W159,AO159)*10000+SUM(Q159,AI159)*100+SUM(K159,AC159)+0.003,1,0)+IF(AV159*1000000+SUM(X159,AP159)*10000+SUM(R159,AJ159)*100+SUM(L159,AD159)+0.002&gt;AU159*1000000+SUM(W159,AO159)*10000+SUM(Q159,AI159)*100+SUM(K159,AC159)+0.003,1,0)+IF(AW159*1000000+SUM(Y159,AQ159)*10000+SUM(S159,AK159)*100+SUM(M159,AE159)+0.001&gt;AU159*1000000+SUM(W159,AO159)*10000+SUM(Q159,AI159)*100+SUM(K159,AC159)+0.003,1,0)=1,"S",IF(IF(AR159*1000000+SUM(T159,AL159)*10000+SUM(N159,AF159)*100+SUM(H159,Z159)+0.006&gt;AV159*1000000+SUM(X159,AP159)*10000+SUM(R159,AJ159)*100+SUM(L159,AD159)+0.002,1,0)+IF(AS159*1000000+SUM(U159,AM159)*10000+SUM(O159,AG159)*100+SUM(I159,AA159)+0.005&gt;AV159*1000000+SUM(X159,AP159)*10000+SUM(R159,AJ159)*100+SUM(L159,AD159)+0.002,1,0)+IF(AT159*1000000+SUM(V159,AN159)*10000+SUM(P159,AH159)*100+SUM(J159,AB159)+0.004&gt;AV159*1000000+SUM(X159,AP159)*10000+SUM(R159,AJ159)*100+SUM(L159,AD159)+0.002,1,0)+IF(AU159*1000000+SUM(W159,AO159)*10000+SUM(Q159,AI159)*100+SUM(K159,AC159)+0.003&gt;AV159*1000000+SUM(X159,AP159)*10000+SUM(R159,AJ159)*100+SUM(L159,AD159)+0.002,1,0)+IF(AW159*1000000+SUM(Y159,AQ159)*10000+SUM(S159,AK159)*100+SUM(M159,AE159)+0.001&gt;AV159*1000000+SUM(X159,AP159)*10000+SUM(R159,AJ159)*100+SUM(L159,AD159)+0.002,1,0)=1,"E",IF(IF(AR159*1000000+SUM(T159,AL159)*10000+SUM(N159,AF159)*100+SUM(H159,Z159)+0.006&gt;AW159*1000000+SUM(Y159,AQ159)*10000+SUM(S159,AK159)*100+SUM(M159,AE159)+0.001,1,0)+IF(AS159*1000000+SUM(U159,AM159)*10000+SUM(O159,AG159)*100+SUM(I159,AA159)+0.005&gt;AW159*1000000+SUM(Y159,AQ159)*10000+SUM(S159,AK159)*100+SUM(M159,AE159)+0.001,1,0)+IF(AT159*1000000+SUM(V159,AN159)*10000+SUM(P159,AH159)*100+SUM(J159,AB159)+0.004&gt;AW159*1000000+SUM(Y159,AQ159)*10000+SUM(S159,AK159)*100+SUM(M159,AE159)+0.001,1,0)+IF(AU159*1000000+SUM(W159,AO159)*10000+SUM(Q159,AI159)*100+SUM(K159,AC159)+0.003&gt;AW159*1000000+SUM(Y159,AQ159)*10000+SUM(S159,AK159)*100+SUM(M159,AE159)+0.001,1,0)+IF(AV159*1000000+SUM(X159,AP159)*10000+SUM(R159,AJ159)*100+SUM(L159,AD159)+0.002&gt;AW159*1000000+SUM(Y159,AQ159)*10000+SUM(S159,AK159)*100+SUM(M159,AE159)+0.001,1,0)=1,"C",""))))))&amp;IF(IF(AS159*1000000+SUM(U159,AM159)*10000+SUM(O159,AG159)*100+SUM(I159,AA159)+0.005&gt;AR159*1000000+SUM(T159,AL159)*10000+SUM(N159,AF159)*100+SUM(H159,Z159)+0.006,1,0)+IF(AT159*1000000+SUM(V159,AN159)*10000+SUM(P159,AH159)*100+SUM(J159,AB159)+0.004&gt;AR159*1000000+SUM(T159,AL159)*10000+SUM(N159,AF159)*100+SUM(H159,Z159)+0.006,1,0)+IF(AU159*1000000+SUM(W159,AO159)*10000+SUM(Q159,AI159)*100+SUM(K159,AC159)+0.003&gt;AR159*1000000+SUM(T159,AL159)*10000+SUM(N159,AF159)*100+SUM(H159,Z159)+0.006,1,0)+IF(AV159*1000000+SUM(X159,AP159)*10000+SUM(R159,AJ159)*100+SUM(L159,AD159)+0.002&gt;AR159*1000000+SUM(T159,AL159)*10000+SUM(N159,AF159)*100+SUM(H159,Z159)+0.006,1,0)+IF(AW159*1000000+SUM(Y159,AQ159)*10000+SUM(S159,AK159)*100+SUM(M159,AE159)+0.001&gt;AR159*1000000+SUM(T159,AL159)*10000+SUM(N159,AF159)*100+SUM(H159,Z159)+0.006,1,0)=2,"R",IF(IF(AR159*1000000+SUM(T159,AL159)*10000+SUM(N159,AF159)*100+SUM(H159,Z159)+0.006&gt;AS159*1000000+SUM(U159,AM159)*10000+SUM(O159,AG159)*100+SUM(I159,AA159)+0.005,1,0)+IF(AT159*1000000+SUM(V159,AN159)*10000+SUM(P159,AH159)*100+SUM(J159,AB159)+0.004&gt;AS159*1000000+SUM(U159,AM159)*10000+SUM(O159,AG159)*100+SUM(I159,AA159)+0.005,1,0)+IF(AU159*1000000+SUM(W159,AO159)*10000+SUM(Q159,AI159)*100+SUM(K159,AC159)+0.003&gt;AS159*1000000+SUM(U159,AM159)*10000+SUM(O159,AG159)*100+SUM(I159,AA159)+0.005,1,0)+IF(AV159*1000000+SUM(X159,AP159)*10000+SUM(R159,AJ159)*100+SUM(L159,AD159)+0.002&gt;AS159*1000000+SUM(U159,AM159)*10000+SUM(O159,AG159)*100+SUM(I159,AA159)+0.005,1,0)+IF(AW159*1000000+SUM(Y159,AQ159)*10000+SUM(S159,AK159)*100+SUM(M159,AE159)+0.001&gt;AS159*1000000+SUM(U159,AM159)*10000+SUM(O159,AG159)*100+SUM(I159,AA159)+0.005,1,0)=2,"I",IF(IF(AR159*1000000+SUM(T159,AL159)*10000+SUM(N159,AF159)*100+SUM(H159,Z159)+0.006&gt;AT159*1000000+SUM(V159,AN159)*10000+SUM(P159,AH159)*100+SUM(J159,AB159)+0.004,1,0)+IF(AS159*1000000+SUM(U159,AM159)*10000+SUM(O159,AG159)*100+SUM(I159,AA159)+0.005&gt;AT159*1000000+SUM(V159,AN159)*10000+SUM(P159,AH159)*100+SUM(J159,AB159)+0.004,1,0)+IF(AU159*1000000+SUM(W159,AO159)*10000+SUM(Q159,AI159)*100+SUM(K159,AC159)+0.003&gt;AT159*1000000+SUM(V159,AN159)*10000+SUM(P159,AH159)*100+SUM(J159,AB159)+0.004,1,0)+IF(AV159*1000000+SUM(X159,AP159)*10000+SUM(R159,AJ159)*100+SUM(L159,AD159)+0.002&gt;AT159*1000000+SUM(V159,AN159)*10000+SUM(P159,AH159)*100+SUM(J159,AB159)+0.004,1,0)+IF(AW159*1000000+SUM(Y159,AQ159)*10000+SUM(S159,AK159)*100+SUM(M159,AE159)+0.001&gt;AT159*1000000+SUM(V159,AN159)*10000+SUM(P159,AH159)*100+SUM(J159,AB159)+0.004,1,0)=2,"A",IF(IF(AR159*1000000+SUM(T159,AL159)*10000+SUM(N159,AF159)*100+SUM(H159,Z159)+0.006&gt;AU159*1000000+SUM(W159,AO159)*10000+SUM(Q159,AI159)*100+SUM(K159,AC159)+0.003,1,0)+IF(AS159*1000000+SUM(U159,AM159)*10000+SUM(O159,AG159)*100+SUM(I159,AA159)+0.005&gt;AU159*1000000+SUM(W159,AO159)*10000+SUM(Q159,AI159)*100+SUM(K159,AC159)+0.003,1,0)+IF(AT159*1000000+SUM(V159,AN159)*10000+SUM(P159,AH159)*100+SUM(J159,AB159)+0.004&gt;AU159*1000000+SUM(W159,AO159)*10000+SUM(Q159,AI159)*100+SUM(K159,AC159)+0.003,1,0)+IF(AV159*1000000+SUM(X159,AP159)*10000+SUM(R159,AJ159)*100+SUM(L159,AD159)+0.002&gt;AU159*1000000+SUM(W159,AO159)*10000+SUM(Q159,AI159)*100+SUM(K159,AC159)+0.003,1,0)+IF(AW159*1000000+SUM(Y159,AQ159)*10000+SUM(S159,AK159)*100+SUM(M159,AE159)+0.001&gt;AU159*1000000+SUM(W159,AO159)*10000+SUM(Q159,AI159)*100+SUM(K159,AC159)+0.003,1,0)=2,"S",IF(IF(AR159*1000000+SUM(T159,AL159)*10000+SUM(N159,AF159)*100+SUM(H159,Z159)+0.006&gt;AV159*1000000+SUM(X159,AP159)*10000+SUM(R159,AJ159)*100+SUM(L159,AD159)+0.002,1,0)+IF(AS159*1000000+SUM(U159,AM159)*10000+SUM(O159,AG159)*100+SUM(I159,AA159)+0.005&gt;AV159*1000000+SUM(X159,AP159)*10000+SUM(R159,AJ159)*100+SUM(L159,AD159)+0.002,1,0)+IF(AT159*1000000+SUM(V159,AN159)*10000+SUM(P159,AH159)*100+SUM(J159,AB159)+0.004&gt;AV159*1000000+SUM(X159,AP159)*10000+SUM(R159,AJ159)*100+SUM(L159,AD159)+0.002,1,0)+IF(AU159*1000000+SUM(W159,AO159)*10000+SUM(Q159,AI159)*100+SUM(K159,AC159)+0.003&gt;AV159*1000000+SUM(X159,AP159)*10000+SUM(R159,AJ159)*100+SUM(L159,AD159)+0.002,1,0)+IF(AW159*1000000+SUM(Y159,AQ159)*10000+SUM(S159,AK159)*100+SUM(M159,AE159)+0.001&gt;AV159*1000000+SUM(X159,AP159)*10000+SUM(R159,AJ159)*100+SUM(L159,AD159)+0.002,1,0)=2,"E",IF(IF(AR159*1000000+SUM(T159,AL159)*10000+SUM(N159,AF159)*100+SUM(H159,Z159)+0.006&gt;AW159*1000000+SUM(Y159,AQ159)*10000+SUM(S159,AK159)*100+SUM(M159,AE159)+0.001,1,0)+IF(AS159*1000000+SUM(U159,AM159)*10000+SUM(O159,AG159)*100+SUM(I159,AA159)+0.005&gt;AW159*1000000+SUM(Y159,AQ159)*10000+SUM(S159,AK159)*100+SUM(M159,AE159)+0.001,1,0)+IF(AT159*1000000+SUM(V159,AN159)*10000+SUM(P159,AH159)*100+SUM(J159,AB159)+0.004&gt;AW159*1000000+SUM(Y159,AQ159)*10000+SUM(S159,AK159)*100+SUM(M159,AE159)+0.001,1,0)+IF(AU159*1000000+SUM(W159,AO159)*10000+SUM(Q159,AI159)*100+SUM(K159,AC159)+0.003&gt;AW159*1000000+SUM(Y159,AQ159)*10000+SUM(S159,AK159)*100+SUM(M159,AE159)+0.001,1,0)+IF(AV159*1000000+SUM(X159,AP159)*10000+SUM(R159,AJ159)*100+SUM(L159,AD159)+0.002&gt;AW159*1000000+SUM(Y159,AQ159)*10000+SUM(S159,AK159)*100+SUM(M159,AE159)+0.001,1,0)=2,"C","")))))))</x:f>
      </x:c>
      <x:c r="AY159" s="27" t="str">
        <x:f>IF(C159="","",IF(LEFT(AX159,1)="R","นักปฏิบัติ",IF(LEFT(AX159,1)="I","นักคิดวิเคราะห์",IF(LEFT(AX159,1)="A","นักสร้างสรรค์",IF(LEFT(AX159,1)="S","ผู้เข้าใจผู้คน",IF(LEFT(AX159,1)="E","ผู้นำการเปลี่ยนแปลง","ผู้จัดระบบ"))))))</x:f>
      </x:c>
    </x:row>
    <x:row r="160">
      <x:c r="A160" s="27"/>
      <x:c r="B160" s="28"/>
      <x:c r="C160" s="27"/>
      <x:c r="D160" s="27"/>
      <x:c r="E160" s="27"/>
      <x:c r="F160" s="27"/>
      <x:c r="G160" s="27"/>
      <x:c r="H160" s="27"/>
      <x:c r="I160" s="27"/>
      <x:c r="J160" s="27"/>
      <x:c r="K160" s="27"/>
      <x:c r="L160" s="27"/>
      <x:c r="M160" s="27"/>
      <x:c r="N160" s="27"/>
      <x:c r="O160" s="27"/>
      <x:c r="P160" s="27"/>
      <x:c r="Q160" s="27"/>
      <x:c r="R160" s="27"/>
      <x:c r="S160" s="27"/>
      <x:c r="T160" s="27"/>
      <x:c r="U160" s="27"/>
      <x:c r="V160" s="27"/>
      <x:c r="W160" s="27"/>
      <x:c r="X160" s="27"/>
      <x:c r="Y160" s="27"/>
      <x:c r="Z160" s="27"/>
      <x:c r="AA160" s="27"/>
      <x:c r="AB160" s="27"/>
      <x:c r="AC160" s="27"/>
      <x:c r="AD160" s="27"/>
      <x:c r="AE160" s="27"/>
      <x:c r="AF160" s="27"/>
      <x:c r="AG160" s="27"/>
      <x:c r="AH160" s="27"/>
      <x:c r="AI160" s="27"/>
      <x:c r="AJ160" s="27"/>
      <x:c r="AK160" s="27"/>
      <x:c r="AL160" s="27"/>
      <x:c r="AM160" s="27"/>
      <x:c r="AN160" s="27"/>
      <x:c r="AO160" s="27"/>
      <x:c r="AP160" s="27"/>
      <x:c r="AQ160" s="27"/>
      <x:c r="AR160" s="27" t="str">
        <x:f>IF(C160="","",SUM(H160,N160,T160,Z160,AF160,AL160))</x:f>
      </x:c>
      <x:c r="AS160" s="27" t="str">
        <x:f>IF(C160="","",SUM(I160,O160,U160,AA160,AG160,AM160))</x:f>
      </x:c>
      <x:c r="AT160" s="27" t="str">
        <x:f>IF(C160="","",SUM(J160,P160,V160,AB160,AH160,AN160))</x:f>
      </x:c>
      <x:c r="AU160" s="27" t="str">
        <x:f>IF(C160="","",SUM(K160,Q160,W160,AC160,AI160,AO160))</x:f>
      </x:c>
      <x:c r="AV160" s="27" t="str">
        <x:f>IF(C160="","",SUM(L160,R160,X160,AD160,AJ160,AP160))</x:f>
      </x:c>
      <x:c r="AW160" s="27" t="str">
        <x:f>IF(C160="","",SUM(M160,S160,Y160,AE160,AK160,AQ160))</x:f>
      </x:c>
      <x:c r="AX160" s="27" t="str">
        <x:f>IF(C160="","",IF(IF(AS160*1000000+SUM(U160,AM160)*10000+SUM(O160,AG160)*100+SUM(I160,AA160)+0.005&gt;AR160*1000000+SUM(T160,AL160)*10000+SUM(N160,AF160)*100+SUM(H160,Z160)+0.006,1,0)+IF(AT160*1000000+SUM(V160,AN160)*10000+SUM(P160,AH160)*100+SUM(J160,AB160)+0.004&gt;AR160*1000000+SUM(T160,AL160)*10000+SUM(N160,AF160)*100+SUM(H160,Z160)+0.006,1,0)+IF(AU160*1000000+SUM(W160,AO160)*10000+SUM(Q160,AI160)*100+SUM(K160,AC160)+0.003&gt;AR160*1000000+SUM(T160,AL160)*10000+SUM(N160,AF160)*100+SUM(H160,Z160)+0.006,1,0)+IF(AV160*1000000+SUM(X160,AP160)*10000+SUM(R160,AJ160)*100+SUM(L160,AD160)+0.002&gt;AR160*1000000+SUM(T160,AL160)*10000+SUM(N160,AF160)*100+SUM(H160,Z160)+0.006,1,0)+IF(AW160*1000000+SUM(Y160,AQ160)*10000+SUM(S160,AK160)*100+SUM(M160,AE160)+0.001&gt;AR160*1000000+SUM(T160,AL160)*10000+SUM(N160,AF160)*100+SUM(H160,Z160)+0.006,1,0)=0,"R",IF(IF(AR160*1000000+SUM(T160,AL160)*10000+SUM(N160,AF160)*100+SUM(H160,Z160)+0.006&gt;AS160*1000000+SUM(U160,AM160)*10000+SUM(O160,AG160)*100+SUM(I160,AA160)+0.005,1,0)+IF(AT160*1000000+SUM(V160,AN160)*10000+SUM(P160,AH160)*100+SUM(J160,AB160)+0.004&gt;AS160*1000000+SUM(U160,AM160)*10000+SUM(O160,AG160)*100+SUM(I160,AA160)+0.005,1,0)+IF(AU160*1000000+SUM(W160,AO160)*10000+SUM(Q160,AI160)*100+SUM(K160,AC160)+0.003&gt;AS160*1000000+SUM(U160,AM160)*10000+SUM(O160,AG160)*100+SUM(I160,AA160)+0.005,1,0)+IF(AV160*1000000+SUM(X160,AP160)*10000+SUM(R160,AJ160)*100+SUM(L160,AD160)+0.002&gt;AS160*1000000+SUM(U160,AM160)*10000+SUM(O160,AG160)*100+SUM(I160,AA160)+0.005,1,0)+IF(AW160*1000000+SUM(Y160,AQ160)*10000+SUM(S160,AK160)*100+SUM(M160,AE160)+0.001&gt;AS160*1000000+SUM(U160,AM160)*10000+SUM(O160,AG160)*100+SUM(I160,AA160)+0.005,1,0)=0,"I",IF(IF(AR160*1000000+SUM(T160,AL160)*10000+SUM(N160,AF160)*100+SUM(H160,Z160)+0.006&gt;AT160*1000000+SUM(V160,AN160)*10000+SUM(P160,AH160)*100+SUM(J160,AB160)+0.004,1,0)+IF(AS160*1000000+SUM(U160,AM160)*10000+SUM(O160,AG160)*100+SUM(I160,AA160)+0.005&gt;AT160*1000000+SUM(V160,AN160)*10000+SUM(P160,AH160)*100+SUM(J160,AB160)+0.004,1,0)+IF(AU160*1000000+SUM(W160,AO160)*10000+SUM(Q160,AI160)*100+SUM(K160,AC160)+0.003&gt;AT160*1000000+SUM(V160,AN160)*10000+SUM(P160,AH160)*100+SUM(J160,AB160)+0.004,1,0)+IF(AV160*1000000+SUM(X160,AP160)*10000+SUM(R160,AJ160)*100+SUM(L160,AD160)+0.002&gt;AT160*1000000+SUM(V160,AN160)*10000+SUM(P160,AH160)*100+SUM(J160,AB160)+0.004,1,0)+IF(AW160*1000000+SUM(Y160,AQ160)*10000+SUM(S160,AK160)*100+SUM(M160,AE160)+0.001&gt;AT160*1000000+SUM(V160,AN160)*10000+SUM(P160,AH160)*100+SUM(J160,AB160)+0.004,1,0)=0,"A",IF(IF(AR160*1000000+SUM(T160,AL160)*10000+SUM(N160,AF160)*100+SUM(H160,Z160)+0.006&gt;AU160*1000000+SUM(W160,AO160)*10000+SUM(Q160,AI160)*100+SUM(K160,AC160)+0.003,1,0)+IF(AS160*1000000+SUM(U160,AM160)*10000+SUM(O160,AG160)*100+SUM(I160,AA160)+0.005&gt;AU160*1000000+SUM(W160,AO160)*10000+SUM(Q160,AI160)*100+SUM(K160,AC160)+0.003,1,0)+IF(AT160*1000000+SUM(V160,AN160)*10000+SUM(P160,AH160)*100+SUM(J160,AB160)+0.004&gt;AU160*1000000+SUM(W160,AO160)*10000+SUM(Q160,AI160)*100+SUM(K160,AC160)+0.003,1,0)+IF(AV160*1000000+SUM(X160,AP160)*10000+SUM(R160,AJ160)*100+SUM(L160,AD160)+0.002&gt;AU160*1000000+SUM(W160,AO160)*10000+SUM(Q160,AI160)*100+SUM(K160,AC160)+0.003,1,0)+IF(AW160*1000000+SUM(Y160,AQ160)*10000+SUM(S160,AK160)*100+SUM(M160,AE160)+0.001&gt;AU160*1000000+SUM(W160,AO160)*10000+SUM(Q160,AI160)*100+SUM(K160,AC160)+0.003,1,0)=0,"S",IF(IF(AR160*1000000+SUM(T160,AL160)*10000+SUM(N160,AF160)*100+SUM(H160,Z160)+0.006&gt;AV160*1000000+SUM(X160,AP160)*10000+SUM(R160,AJ160)*100+SUM(L160,AD160)+0.002,1,0)+IF(AS160*1000000+SUM(U160,AM160)*10000+SUM(O160,AG160)*100+SUM(I160,AA160)+0.005&gt;AV160*1000000+SUM(X160,AP160)*10000+SUM(R160,AJ160)*100+SUM(L160,AD160)+0.002,1,0)+IF(AT160*1000000+SUM(V160,AN160)*10000+SUM(P160,AH160)*100+SUM(J160,AB160)+0.004&gt;AV160*1000000+SUM(X160,AP160)*10000+SUM(R160,AJ160)*100+SUM(L160,AD160)+0.002,1,0)+IF(AU160*1000000+SUM(W160,AO160)*10000+SUM(Q160,AI160)*100+SUM(K160,AC160)+0.003&gt;AV160*1000000+SUM(X160,AP160)*10000+SUM(R160,AJ160)*100+SUM(L160,AD160)+0.002,1,0)+IF(AW160*1000000+SUM(Y160,AQ160)*10000+SUM(S160,AK160)*100+SUM(M160,AE160)+0.001&gt;AV160*1000000+SUM(X160,AP160)*10000+SUM(R160,AJ160)*100+SUM(L160,AD160)+0.002,1,0)=0,"E",IF(IF(AR160*1000000+SUM(T160,AL160)*10000+SUM(N160,AF160)*100+SUM(H160,Z160)+0.006&gt;AW160*1000000+SUM(Y160,AQ160)*10000+SUM(S160,AK160)*100+SUM(M160,AE160)+0.001,1,0)+IF(AS160*1000000+SUM(U160,AM160)*10000+SUM(O160,AG160)*100+SUM(I160,AA160)+0.005&gt;AW160*1000000+SUM(Y160,AQ160)*10000+SUM(S160,AK160)*100+SUM(M160,AE160)+0.001,1,0)+IF(AT160*1000000+SUM(V160,AN160)*10000+SUM(P160,AH160)*100+SUM(J160,AB160)+0.004&gt;AW160*1000000+SUM(Y160,AQ160)*10000+SUM(S160,AK160)*100+SUM(M160,AE160)+0.001,1,0)+IF(AU160*1000000+SUM(W160,AO160)*10000+SUM(Q160,AI160)*100+SUM(K160,AC160)+0.003&gt;AW160*1000000+SUM(Y160,AQ160)*10000+SUM(S160,AK160)*100+SUM(M160,AE160)+0.001,1,0)+IF(AV160*1000000+SUM(X160,AP160)*10000+SUM(R160,AJ160)*100+SUM(L160,AD160)+0.002&gt;AW160*1000000+SUM(Y160,AQ160)*10000+SUM(S160,AK160)*100+SUM(M160,AE160)+0.001,1,0)=0,"C",""))))))&amp;IF(IF(AS160*1000000+SUM(U160,AM160)*10000+SUM(O160,AG160)*100+SUM(I160,AA160)+0.005&gt;AR160*1000000+SUM(T160,AL160)*10000+SUM(N160,AF160)*100+SUM(H160,Z160)+0.006,1,0)+IF(AT160*1000000+SUM(V160,AN160)*10000+SUM(P160,AH160)*100+SUM(J160,AB160)+0.004&gt;AR160*1000000+SUM(T160,AL160)*10000+SUM(N160,AF160)*100+SUM(H160,Z160)+0.006,1,0)+IF(AU160*1000000+SUM(W160,AO160)*10000+SUM(Q160,AI160)*100+SUM(K160,AC160)+0.003&gt;AR160*1000000+SUM(T160,AL160)*10000+SUM(N160,AF160)*100+SUM(H160,Z160)+0.006,1,0)+IF(AV160*1000000+SUM(X160,AP160)*10000+SUM(R160,AJ160)*100+SUM(L160,AD160)+0.002&gt;AR160*1000000+SUM(T160,AL160)*10000+SUM(N160,AF160)*100+SUM(H160,Z160)+0.006,1,0)+IF(AW160*1000000+SUM(Y160,AQ160)*10000+SUM(S160,AK160)*100+SUM(M160,AE160)+0.001&gt;AR160*1000000+SUM(T160,AL160)*10000+SUM(N160,AF160)*100+SUM(H160,Z160)+0.006,1,0)=1,"R",IF(IF(AR160*1000000+SUM(T160,AL160)*10000+SUM(N160,AF160)*100+SUM(H160,Z160)+0.006&gt;AS160*1000000+SUM(U160,AM160)*10000+SUM(O160,AG160)*100+SUM(I160,AA160)+0.005,1,0)+IF(AT160*1000000+SUM(V160,AN160)*10000+SUM(P160,AH160)*100+SUM(J160,AB160)+0.004&gt;AS160*1000000+SUM(U160,AM160)*10000+SUM(O160,AG160)*100+SUM(I160,AA160)+0.005,1,0)+IF(AU160*1000000+SUM(W160,AO160)*10000+SUM(Q160,AI160)*100+SUM(K160,AC160)+0.003&gt;AS160*1000000+SUM(U160,AM160)*10000+SUM(O160,AG160)*100+SUM(I160,AA160)+0.005,1,0)+IF(AV160*1000000+SUM(X160,AP160)*10000+SUM(R160,AJ160)*100+SUM(L160,AD160)+0.002&gt;AS160*1000000+SUM(U160,AM160)*10000+SUM(O160,AG160)*100+SUM(I160,AA160)+0.005,1,0)+IF(AW160*1000000+SUM(Y160,AQ160)*10000+SUM(S160,AK160)*100+SUM(M160,AE160)+0.001&gt;AS160*1000000+SUM(U160,AM160)*10000+SUM(O160,AG160)*100+SUM(I160,AA160)+0.005,1,0)=1,"I",IF(IF(AR160*1000000+SUM(T160,AL160)*10000+SUM(N160,AF160)*100+SUM(H160,Z160)+0.006&gt;AT160*1000000+SUM(V160,AN160)*10000+SUM(P160,AH160)*100+SUM(J160,AB160)+0.004,1,0)+IF(AS160*1000000+SUM(U160,AM160)*10000+SUM(O160,AG160)*100+SUM(I160,AA160)+0.005&gt;AT160*1000000+SUM(V160,AN160)*10000+SUM(P160,AH160)*100+SUM(J160,AB160)+0.004,1,0)+IF(AU160*1000000+SUM(W160,AO160)*10000+SUM(Q160,AI160)*100+SUM(K160,AC160)+0.003&gt;AT160*1000000+SUM(V160,AN160)*10000+SUM(P160,AH160)*100+SUM(J160,AB160)+0.004,1,0)+IF(AV160*1000000+SUM(X160,AP160)*10000+SUM(R160,AJ160)*100+SUM(L160,AD160)+0.002&gt;AT160*1000000+SUM(V160,AN160)*10000+SUM(P160,AH160)*100+SUM(J160,AB160)+0.004,1,0)+IF(AW160*1000000+SUM(Y160,AQ160)*10000+SUM(S160,AK160)*100+SUM(M160,AE160)+0.001&gt;AT160*1000000+SUM(V160,AN160)*10000+SUM(P160,AH160)*100+SUM(J160,AB160)+0.004,1,0)=1,"A",IF(IF(AR160*1000000+SUM(T160,AL160)*10000+SUM(N160,AF160)*100+SUM(H160,Z160)+0.006&gt;AU160*1000000+SUM(W160,AO160)*10000+SUM(Q160,AI160)*100+SUM(K160,AC160)+0.003,1,0)+IF(AS160*1000000+SUM(U160,AM160)*10000+SUM(O160,AG160)*100+SUM(I160,AA160)+0.005&gt;AU160*1000000+SUM(W160,AO160)*10000+SUM(Q160,AI160)*100+SUM(K160,AC160)+0.003,1,0)+IF(AT160*1000000+SUM(V160,AN160)*10000+SUM(P160,AH160)*100+SUM(J160,AB160)+0.004&gt;AU160*1000000+SUM(W160,AO160)*10000+SUM(Q160,AI160)*100+SUM(K160,AC160)+0.003,1,0)+IF(AV160*1000000+SUM(X160,AP160)*10000+SUM(R160,AJ160)*100+SUM(L160,AD160)+0.002&gt;AU160*1000000+SUM(W160,AO160)*10000+SUM(Q160,AI160)*100+SUM(K160,AC160)+0.003,1,0)+IF(AW160*1000000+SUM(Y160,AQ160)*10000+SUM(S160,AK160)*100+SUM(M160,AE160)+0.001&gt;AU160*1000000+SUM(W160,AO160)*10000+SUM(Q160,AI160)*100+SUM(K160,AC160)+0.003,1,0)=1,"S",IF(IF(AR160*1000000+SUM(T160,AL160)*10000+SUM(N160,AF160)*100+SUM(H160,Z160)+0.006&gt;AV160*1000000+SUM(X160,AP160)*10000+SUM(R160,AJ160)*100+SUM(L160,AD160)+0.002,1,0)+IF(AS160*1000000+SUM(U160,AM160)*10000+SUM(O160,AG160)*100+SUM(I160,AA160)+0.005&gt;AV160*1000000+SUM(X160,AP160)*10000+SUM(R160,AJ160)*100+SUM(L160,AD160)+0.002,1,0)+IF(AT160*1000000+SUM(V160,AN160)*10000+SUM(P160,AH160)*100+SUM(J160,AB160)+0.004&gt;AV160*1000000+SUM(X160,AP160)*10000+SUM(R160,AJ160)*100+SUM(L160,AD160)+0.002,1,0)+IF(AU160*1000000+SUM(W160,AO160)*10000+SUM(Q160,AI160)*100+SUM(K160,AC160)+0.003&gt;AV160*1000000+SUM(X160,AP160)*10000+SUM(R160,AJ160)*100+SUM(L160,AD160)+0.002,1,0)+IF(AW160*1000000+SUM(Y160,AQ160)*10000+SUM(S160,AK160)*100+SUM(M160,AE160)+0.001&gt;AV160*1000000+SUM(X160,AP160)*10000+SUM(R160,AJ160)*100+SUM(L160,AD160)+0.002,1,0)=1,"E",IF(IF(AR160*1000000+SUM(T160,AL160)*10000+SUM(N160,AF160)*100+SUM(H160,Z160)+0.006&gt;AW160*1000000+SUM(Y160,AQ160)*10000+SUM(S160,AK160)*100+SUM(M160,AE160)+0.001,1,0)+IF(AS160*1000000+SUM(U160,AM160)*10000+SUM(O160,AG160)*100+SUM(I160,AA160)+0.005&gt;AW160*1000000+SUM(Y160,AQ160)*10000+SUM(S160,AK160)*100+SUM(M160,AE160)+0.001,1,0)+IF(AT160*1000000+SUM(V160,AN160)*10000+SUM(P160,AH160)*100+SUM(J160,AB160)+0.004&gt;AW160*1000000+SUM(Y160,AQ160)*10000+SUM(S160,AK160)*100+SUM(M160,AE160)+0.001,1,0)+IF(AU160*1000000+SUM(W160,AO160)*10000+SUM(Q160,AI160)*100+SUM(K160,AC160)+0.003&gt;AW160*1000000+SUM(Y160,AQ160)*10000+SUM(S160,AK160)*100+SUM(M160,AE160)+0.001,1,0)+IF(AV160*1000000+SUM(X160,AP160)*10000+SUM(R160,AJ160)*100+SUM(L160,AD160)+0.002&gt;AW160*1000000+SUM(Y160,AQ160)*10000+SUM(S160,AK160)*100+SUM(M160,AE160)+0.001,1,0)=1,"C",""))))))&amp;IF(IF(AS160*1000000+SUM(U160,AM160)*10000+SUM(O160,AG160)*100+SUM(I160,AA160)+0.005&gt;AR160*1000000+SUM(T160,AL160)*10000+SUM(N160,AF160)*100+SUM(H160,Z160)+0.006,1,0)+IF(AT160*1000000+SUM(V160,AN160)*10000+SUM(P160,AH160)*100+SUM(J160,AB160)+0.004&gt;AR160*1000000+SUM(T160,AL160)*10000+SUM(N160,AF160)*100+SUM(H160,Z160)+0.006,1,0)+IF(AU160*1000000+SUM(W160,AO160)*10000+SUM(Q160,AI160)*100+SUM(K160,AC160)+0.003&gt;AR160*1000000+SUM(T160,AL160)*10000+SUM(N160,AF160)*100+SUM(H160,Z160)+0.006,1,0)+IF(AV160*1000000+SUM(X160,AP160)*10000+SUM(R160,AJ160)*100+SUM(L160,AD160)+0.002&gt;AR160*1000000+SUM(T160,AL160)*10000+SUM(N160,AF160)*100+SUM(H160,Z160)+0.006,1,0)+IF(AW160*1000000+SUM(Y160,AQ160)*10000+SUM(S160,AK160)*100+SUM(M160,AE160)+0.001&gt;AR160*1000000+SUM(T160,AL160)*10000+SUM(N160,AF160)*100+SUM(H160,Z160)+0.006,1,0)=2,"R",IF(IF(AR160*1000000+SUM(T160,AL160)*10000+SUM(N160,AF160)*100+SUM(H160,Z160)+0.006&gt;AS160*1000000+SUM(U160,AM160)*10000+SUM(O160,AG160)*100+SUM(I160,AA160)+0.005,1,0)+IF(AT160*1000000+SUM(V160,AN160)*10000+SUM(P160,AH160)*100+SUM(J160,AB160)+0.004&gt;AS160*1000000+SUM(U160,AM160)*10000+SUM(O160,AG160)*100+SUM(I160,AA160)+0.005,1,0)+IF(AU160*1000000+SUM(W160,AO160)*10000+SUM(Q160,AI160)*100+SUM(K160,AC160)+0.003&gt;AS160*1000000+SUM(U160,AM160)*10000+SUM(O160,AG160)*100+SUM(I160,AA160)+0.005,1,0)+IF(AV160*1000000+SUM(X160,AP160)*10000+SUM(R160,AJ160)*100+SUM(L160,AD160)+0.002&gt;AS160*1000000+SUM(U160,AM160)*10000+SUM(O160,AG160)*100+SUM(I160,AA160)+0.005,1,0)+IF(AW160*1000000+SUM(Y160,AQ160)*10000+SUM(S160,AK160)*100+SUM(M160,AE160)+0.001&gt;AS160*1000000+SUM(U160,AM160)*10000+SUM(O160,AG160)*100+SUM(I160,AA160)+0.005,1,0)=2,"I",IF(IF(AR160*1000000+SUM(T160,AL160)*10000+SUM(N160,AF160)*100+SUM(H160,Z160)+0.006&gt;AT160*1000000+SUM(V160,AN160)*10000+SUM(P160,AH160)*100+SUM(J160,AB160)+0.004,1,0)+IF(AS160*1000000+SUM(U160,AM160)*10000+SUM(O160,AG160)*100+SUM(I160,AA160)+0.005&gt;AT160*1000000+SUM(V160,AN160)*10000+SUM(P160,AH160)*100+SUM(J160,AB160)+0.004,1,0)+IF(AU160*1000000+SUM(W160,AO160)*10000+SUM(Q160,AI160)*100+SUM(K160,AC160)+0.003&gt;AT160*1000000+SUM(V160,AN160)*10000+SUM(P160,AH160)*100+SUM(J160,AB160)+0.004,1,0)+IF(AV160*1000000+SUM(X160,AP160)*10000+SUM(R160,AJ160)*100+SUM(L160,AD160)+0.002&gt;AT160*1000000+SUM(V160,AN160)*10000+SUM(P160,AH160)*100+SUM(J160,AB160)+0.004,1,0)+IF(AW160*1000000+SUM(Y160,AQ160)*10000+SUM(S160,AK160)*100+SUM(M160,AE160)+0.001&gt;AT160*1000000+SUM(V160,AN160)*10000+SUM(P160,AH160)*100+SUM(J160,AB160)+0.004,1,0)=2,"A",IF(IF(AR160*1000000+SUM(T160,AL160)*10000+SUM(N160,AF160)*100+SUM(H160,Z160)+0.006&gt;AU160*1000000+SUM(W160,AO160)*10000+SUM(Q160,AI160)*100+SUM(K160,AC160)+0.003,1,0)+IF(AS160*1000000+SUM(U160,AM160)*10000+SUM(O160,AG160)*100+SUM(I160,AA160)+0.005&gt;AU160*1000000+SUM(W160,AO160)*10000+SUM(Q160,AI160)*100+SUM(K160,AC160)+0.003,1,0)+IF(AT160*1000000+SUM(V160,AN160)*10000+SUM(P160,AH160)*100+SUM(J160,AB160)+0.004&gt;AU160*1000000+SUM(W160,AO160)*10000+SUM(Q160,AI160)*100+SUM(K160,AC160)+0.003,1,0)+IF(AV160*1000000+SUM(X160,AP160)*10000+SUM(R160,AJ160)*100+SUM(L160,AD160)+0.002&gt;AU160*1000000+SUM(W160,AO160)*10000+SUM(Q160,AI160)*100+SUM(K160,AC160)+0.003,1,0)+IF(AW160*1000000+SUM(Y160,AQ160)*10000+SUM(S160,AK160)*100+SUM(M160,AE160)+0.001&gt;AU160*1000000+SUM(W160,AO160)*10000+SUM(Q160,AI160)*100+SUM(K160,AC160)+0.003,1,0)=2,"S",IF(IF(AR160*1000000+SUM(T160,AL160)*10000+SUM(N160,AF160)*100+SUM(H160,Z160)+0.006&gt;AV160*1000000+SUM(X160,AP160)*10000+SUM(R160,AJ160)*100+SUM(L160,AD160)+0.002,1,0)+IF(AS160*1000000+SUM(U160,AM160)*10000+SUM(O160,AG160)*100+SUM(I160,AA160)+0.005&gt;AV160*1000000+SUM(X160,AP160)*10000+SUM(R160,AJ160)*100+SUM(L160,AD160)+0.002,1,0)+IF(AT160*1000000+SUM(V160,AN160)*10000+SUM(P160,AH160)*100+SUM(J160,AB160)+0.004&gt;AV160*1000000+SUM(X160,AP160)*10000+SUM(R160,AJ160)*100+SUM(L160,AD160)+0.002,1,0)+IF(AU160*1000000+SUM(W160,AO160)*10000+SUM(Q160,AI160)*100+SUM(K160,AC160)+0.003&gt;AV160*1000000+SUM(X160,AP160)*10000+SUM(R160,AJ160)*100+SUM(L160,AD160)+0.002,1,0)+IF(AW160*1000000+SUM(Y160,AQ160)*10000+SUM(S160,AK160)*100+SUM(M160,AE160)+0.001&gt;AV160*1000000+SUM(X160,AP160)*10000+SUM(R160,AJ160)*100+SUM(L160,AD160)+0.002,1,0)=2,"E",IF(IF(AR160*1000000+SUM(T160,AL160)*10000+SUM(N160,AF160)*100+SUM(H160,Z160)+0.006&gt;AW160*1000000+SUM(Y160,AQ160)*10000+SUM(S160,AK160)*100+SUM(M160,AE160)+0.001,1,0)+IF(AS160*1000000+SUM(U160,AM160)*10000+SUM(O160,AG160)*100+SUM(I160,AA160)+0.005&gt;AW160*1000000+SUM(Y160,AQ160)*10000+SUM(S160,AK160)*100+SUM(M160,AE160)+0.001,1,0)+IF(AT160*1000000+SUM(V160,AN160)*10000+SUM(P160,AH160)*100+SUM(J160,AB160)+0.004&gt;AW160*1000000+SUM(Y160,AQ160)*10000+SUM(S160,AK160)*100+SUM(M160,AE160)+0.001,1,0)+IF(AU160*1000000+SUM(W160,AO160)*10000+SUM(Q160,AI160)*100+SUM(K160,AC160)+0.003&gt;AW160*1000000+SUM(Y160,AQ160)*10000+SUM(S160,AK160)*100+SUM(M160,AE160)+0.001,1,0)+IF(AV160*1000000+SUM(X160,AP160)*10000+SUM(R160,AJ160)*100+SUM(L160,AD160)+0.002&gt;AW160*1000000+SUM(Y160,AQ160)*10000+SUM(S160,AK160)*100+SUM(M160,AE160)+0.001,1,0)=2,"C","")))))))</x:f>
      </x:c>
      <x:c r="AY160" s="27" t="str">
        <x:f>IF(C160="","",IF(LEFT(AX160,1)="R","นักปฏิบัติ",IF(LEFT(AX160,1)="I","นักคิดวิเคราะห์",IF(LEFT(AX160,1)="A","นักสร้างสรรค์",IF(LEFT(AX160,1)="S","ผู้เข้าใจผู้คน",IF(LEFT(AX160,1)="E","ผู้นำการเปลี่ยนแปลง","ผู้จัดระบบ"))))))</x:f>
      </x:c>
    </x:row>
    <x:row r="161">
      <x:c r="A161" s="27"/>
      <x:c r="B161" s="28"/>
      <x:c r="C161" s="27"/>
      <x:c r="D161" s="27"/>
      <x:c r="E161" s="27"/>
      <x:c r="F161" s="27"/>
      <x:c r="G161" s="27"/>
      <x:c r="H161" s="27"/>
      <x:c r="I161" s="27"/>
      <x:c r="J161" s="27"/>
      <x:c r="K161" s="27"/>
      <x:c r="L161" s="27"/>
      <x:c r="M161" s="27"/>
      <x:c r="N161" s="27"/>
      <x:c r="O161" s="27"/>
      <x:c r="P161" s="27"/>
      <x:c r="Q161" s="27"/>
      <x:c r="R161" s="27"/>
      <x:c r="S161" s="27"/>
      <x:c r="T161" s="27"/>
      <x:c r="U161" s="27"/>
      <x:c r="V161" s="27"/>
      <x:c r="W161" s="27"/>
      <x:c r="X161" s="27"/>
      <x:c r="Y161" s="27"/>
      <x:c r="Z161" s="27"/>
      <x:c r="AA161" s="27"/>
      <x:c r="AB161" s="27"/>
      <x:c r="AC161" s="27"/>
      <x:c r="AD161" s="27"/>
      <x:c r="AE161" s="27"/>
      <x:c r="AF161" s="27"/>
      <x:c r="AG161" s="27"/>
      <x:c r="AH161" s="27"/>
      <x:c r="AI161" s="27"/>
      <x:c r="AJ161" s="27"/>
      <x:c r="AK161" s="27"/>
      <x:c r="AL161" s="27"/>
      <x:c r="AM161" s="27"/>
      <x:c r="AN161" s="27"/>
      <x:c r="AO161" s="27"/>
      <x:c r="AP161" s="27"/>
      <x:c r="AQ161" s="27"/>
      <x:c r="AR161" s="27" t="str">
        <x:f>IF(C161="","",SUM(H161,N161,T161,Z161,AF161,AL161))</x:f>
      </x:c>
      <x:c r="AS161" s="27" t="str">
        <x:f>IF(C161="","",SUM(I161,O161,U161,AA161,AG161,AM161))</x:f>
      </x:c>
      <x:c r="AT161" s="27" t="str">
        <x:f>IF(C161="","",SUM(J161,P161,V161,AB161,AH161,AN161))</x:f>
      </x:c>
      <x:c r="AU161" s="27" t="str">
        <x:f>IF(C161="","",SUM(K161,Q161,W161,AC161,AI161,AO161))</x:f>
      </x:c>
      <x:c r="AV161" s="27" t="str">
        <x:f>IF(C161="","",SUM(L161,R161,X161,AD161,AJ161,AP161))</x:f>
      </x:c>
      <x:c r="AW161" s="27" t="str">
        <x:f>IF(C161="","",SUM(M161,S161,Y161,AE161,AK161,AQ161))</x:f>
      </x:c>
      <x:c r="AX161" s="27" t="str">
        <x:f>IF(C161="","",IF(IF(AS161*1000000+SUM(U161,AM161)*10000+SUM(O161,AG161)*100+SUM(I161,AA161)+0.005&gt;AR161*1000000+SUM(T161,AL161)*10000+SUM(N161,AF161)*100+SUM(H161,Z161)+0.006,1,0)+IF(AT161*1000000+SUM(V161,AN161)*10000+SUM(P161,AH161)*100+SUM(J161,AB161)+0.004&gt;AR161*1000000+SUM(T161,AL161)*10000+SUM(N161,AF161)*100+SUM(H161,Z161)+0.006,1,0)+IF(AU161*1000000+SUM(W161,AO161)*10000+SUM(Q161,AI161)*100+SUM(K161,AC161)+0.003&gt;AR161*1000000+SUM(T161,AL161)*10000+SUM(N161,AF161)*100+SUM(H161,Z161)+0.006,1,0)+IF(AV161*1000000+SUM(X161,AP161)*10000+SUM(R161,AJ161)*100+SUM(L161,AD161)+0.002&gt;AR161*1000000+SUM(T161,AL161)*10000+SUM(N161,AF161)*100+SUM(H161,Z161)+0.006,1,0)+IF(AW161*1000000+SUM(Y161,AQ161)*10000+SUM(S161,AK161)*100+SUM(M161,AE161)+0.001&gt;AR161*1000000+SUM(T161,AL161)*10000+SUM(N161,AF161)*100+SUM(H161,Z161)+0.006,1,0)=0,"R",IF(IF(AR161*1000000+SUM(T161,AL161)*10000+SUM(N161,AF161)*100+SUM(H161,Z161)+0.006&gt;AS161*1000000+SUM(U161,AM161)*10000+SUM(O161,AG161)*100+SUM(I161,AA161)+0.005,1,0)+IF(AT161*1000000+SUM(V161,AN161)*10000+SUM(P161,AH161)*100+SUM(J161,AB161)+0.004&gt;AS161*1000000+SUM(U161,AM161)*10000+SUM(O161,AG161)*100+SUM(I161,AA161)+0.005,1,0)+IF(AU161*1000000+SUM(W161,AO161)*10000+SUM(Q161,AI161)*100+SUM(K161,AC161)+0.003&gt;AS161*1000000+SUM(U161,AM161)*10000+SUM(O161,AG161)*100+SUM(I161,AA161)+0.005,1,0)+IF(AV161*1000000+SUM(X161,AP161)*10000+SUM(R161,AJ161)*100+SUM(L161,AD161)+0.002&gt;AS161*1000000+SUM(U161,AM161)*10000+SUM(O161,AG161)*100+SUM(I161,AA161)+0.005,1,0)+IF(AW161*1000000+SUM(Y161,AQ161)*10000+SUM(S161,AK161)*100+SUM(M161,AE161)+0.001&gt;AS161*1000000+SUM(U161,AM161)*10000+SUM(O161,AG161)*100+SUM(I161,AA161)+0.005,1,0)=0,"I",IF(IF(AR161*1000000+SUM(T161,AL161)*10000+SUM(N161,AF161)*100+SUM(H161,Z161)+0.006&gt;AT161*1000000+SUM(V161,AN161)*10000+SUM(P161,AH161)*100+SUM(J161,AB161)+0.004,1,0)+IF(AS161*1000000+SUM(U161,AM161)*10000+SUM(O161,AG161)*100+SUM(I161,AA161)+0.005&gt;AT161*1000000+SUM(V161,AN161)*10000+SUM(P161,AH161)*100+SUM(J161,AB161)+0.004,1,0)+IF(AU161*1000000+SUM(W161,AO161)*10000+SUM(Q161,AI161)*100+SUM(K161,AC161)+0.003&gt;AT161*1000000+SUM(V161,AN161)*10000+SUM(P161,AH161)*100+SUM(J161,AB161)+0.004,1,0)+IF(AV161*1000000+SUM(X161,AP161)*10000+SUM(R161,AJ161)*100+SUM(L161,AD161)+0.002&gt;AT161*1000000+SUM(V161,AN161)*10000+SUM(P161,AH161)*100+SUM(J161,AB161)+0.004,1,0)+IF(AW161*1000000+SUM(Y161,AQ161)*10000+SUM(S161,AK161)*100+SUM(M161,AE161)+0.001&gt;AT161*1000000+SUM(V161,AN161)*10000+SUM(P161,AH161)*100+SUM(J161,AB161)+0.004,1,0)=0,"A",IF(IF(AR161*1000000+SUM(T161,AL161)*10000+SUM(N161,AF161)*100+SUM(H161,Z161)+0.006&gt;AU161*1000000+SUM(W161,AO161)*10000+SUM(Q161,AI161)*100+SUM(K161,AC161)+0.003,1,0)+IF(AS161*1000000+SUM(U161,AM161)*10000+SUM(O161,AG161)*100+SUM(I161,AA161)+0.005&gt;AU161*1000000+SUM(W161,AO161)*10000+SUM(Q161,AI161)*100+SUM(K161,AC161)+0.003,1,0)+IF(AT161*1000000+SUM(V161,AN161)*10000+SUM(P161,AH161)*100+SUM(J161,AB161)+0.004&gt;AU161*1000000+SUM(W161,AO161)*10000+SUM(Q161,AI161)*100+SUM(K161,AC161)+0.003,1,0)+IF(AV161*1000000+SUM(X161,AP161)*10000+SUM(R161,AJ161)*100+SUM(L161,AD161)+0.002&gt;AU161*1000000+SUM(W161,AO161)*10000+SUM(Q161,AI161)*100+SUM(K161,AC161)+0.003,1,0)+IF(AW161*1000000+SUM(Y161,AQ161)*10000+SUM(S161,AK161)*100+SUM(M161,AE161)+0.001&gt;AU161*1000000+SUM(W161,AO161)*10000+SUM(Q161,AI161)*100+SUM(K161,AC161)+0.003,1,0)=0,"S",IF(IF(AR161*1000000+SUM(T161,AL161)*10000+SUM(N161,AF161)*100+SUM(H161,Z161)+0.006&gt;AV161*1000000+SUM(X161,AP161)*10000+SUM(R161,AJ161)*100+SUM(L161,AD161)+0.002,1,0)+IF(AS161*1000000+SUM(U161,AM161)*10000+SUM(O161,AG161)*100+SUM(I161,AA161)+0.005&gt;AV161*1000000+SUM(X161,AP161)*10000+SUM(R161,AJ161)*100+SUM(L161,AD161)+0.002,1,0)+IF(AT161*1000000+SUM(V161,AN161)*10000+SUM(P161,AH161)*100+SUM(J161,AB161)+0.004&gt;AV161*1000000+SUM(X161,AP161)*10000+SUM(R161,AJ161)*100+SUM(L161,AD161)+0.002,1,0)+IF(AU161*1000000+SUM(W161,AO161)*10000+SUM(Q161,AI161)*100+SUM(K161,AC161)+0.003&gt;AV161*1000000+SUM(X161,AP161)*10000+SUM(R161,AJ161)*100+SUM(L161,AD161)+0.002,1,0)+IF(AW161*1000000+SUM(Y161,AQ161)*10000+SUM(S161,AK161)*100+SUM(M161,AE161)+0.001&gt;AV161*1000000+SUM(X161,AP161)*10000+SUM(R161,AJ161)*100+SUM(L161,AD161)+0.002,1,0)=0,"E",IF(IF(AR161*1000000+SUM(T161,AL161)*10000+SUM(N161,AF161)*100+SUM(H161,Z161)+0.006&gt;AW161*1000000+SUM(Y161,AQ161)*10000+SUM(S161,AK161)*100+SUM(M161,AE161)+0.001,1,0)+IF(AS161*1000000+SUM(U161,AM161)*10000+SUM(O161,AG161)*100+SUM(I161,AA161)+0.005&gt;AW161*1000000+SUM(Y161,AQ161)*10000+SUM(S161,AK161)*100+SUM(M161,AE161)+0.001,1,0)+IF(AT161*1000000+SUM(V161,AN161)*10000+SUM(P161,AH161)*100+SUM(J161,AB161)+0.004&gt;AW161*1000000+SUM(Y161,AQ161)*10000+SUM(S161,AK161)*100+SUM(M161,AE161)+0.001,1,0)+IF(AU161*1000000+SUM(W161,AO161)*10000+SUM(Q161,AI161)*100+SUM(K161,AC161)+0.003&gt;AW161*1000000+SUM(Y161,AQ161)*10000+SUM(S161,AK161)*100+SUM(M161,AE161)+0.001,1,0)+IF(AV161*1000000+SUM(X161,AP161)*10000+SUM(R161,AJ161)*100+SUM(L161,AD161)+0.002&gt;AW161*1000000+SUM(Y161,AQ161)*10000+SUM(S161,AK161)*100+SUM(M161,AE161)+0.001,1,0)=0,"C",""))))))&amp;IF(IF(AS161*1000000+SUM(U161,AM161)*10000+SUM(O161,AG161)*100+SUM(I161,AA161)+0.005&gt;AR161*1000000+SUM(T161,AL161)*10000+SUM(N161,AF161)*100+SUM(H161,Z161)+0.006,1,0)+IF(AT161*1000000+SUM(V161,AN161)*10000+SUM(P161,AH161)*100+SUM(J161,AB161)+0.004&gt;AR161*1000000+SUM(T161,AL161)*10000+SUM(N161,AF161)*100+SUM(H161,Z161)+0.006,1,0)+IF(AU161*1000000+SUM(W161,AO161)*10000+SUM(Q161,AI161)*100+SUM(K161,AC161)+0.003&gt;AR161*1000000+SUM(T161,AL161)*10000+SUM(N161,AF161)*100+SUM(H161,Z161)+0.006,1,0)+IF(AV161*1000000+SUM(X161,AP161)*10000+SUM(R161,AJ161)*100+SUM(L161,AD161)+0.002&gt;AR161*1000000+SUM(T161,AL161)*10000+SUM(N161,AF161)*100+SUM(H161,Z161)+0.006,1,0)+IF(AW161*1000000+SUM(Y161,AQ161)*10000+SUM(S161,AK161)*100+SUM(M161,AE161)+0.001&gt;AR161*1000000+SUM(T161,AL161)*10000+SUM(N161,AF161)*100+SUM(H161,Z161)+0.006,1,0)=1,"R",IF(IF(AR161*1000000+SUM(T161,AL161)*10000+SUM(N161,AF161)*100+SUM(H161,Z161)+0.006&gt;AS161*1000000+SUM(U161,AM161)*10000+SUM(O161,AG161)*100+SUM(I161,AA161)+0.005,1,0)+IF(AT161*1000000+SUM(V161,AN161)*10000+SUM(P161,AH161)*100+SUM(J161,AB161)+0.004&gt;AS161*1000000+SUM(U161,AM161)*10000+SUM(O161,AG161)*100+SUM(I161,AA161)+0.005,1,0)+IF(AU161*1000000+SUM(W161,AO161)*10000+SUM(Q161,AI161)*100+SUM(K161,AC161)+0.003&gt;AS161*1000000+SUM(U161,AM161)*10000+SUM(O161,AG161)*100+SUM(I161,AA161)+0.005,1,0)+IF(AV161*1000000+SUM(X161,AP161)*10000+SUM(R161,AJ161)*100+SUM(L161,AD161)+0.002&gt;AS161*1000000+SUM(U161,AM161)*10000+SUM(O161,AG161)*100+SUM(I161,AA161)+0.005,1,0)+IF(AW161*1000000+SUM(Y161,AQ161)*10000+SUM(S161,AK161)*100+SUM(M161,AE161)+0.001&gt;AS161*1000000+SUM(U161,AM161)*10000+SUM(O161,AG161)*100+SUM(I161,AA161)+0.005,1,0)=1,"I",IF(IF(AR161*1000000+SUM(T161,AL161)*10000+SUM(N161,AF161)*100+SUM(H161,Z161)+0.006&gt;AT161*1000000+SUM(V161,AN161)*10000+SUM(P161,AH161)*100+SUM(J161,AB161)+0.004,1,0)+IF(AS161*1000000+SUM(U161,AM161)*10000+SUM(O161,AG161)*100+SUM(I161,AA161)+0.005&gt;AT161*1000000+SUM(V161,AN161)*10000+SUM(P161,AH161)*100+SUM(J161,AB161)+0.004,1,0)+IF(AU161*1000000+SUM(W161,AO161)*10000+SUM(Q161,AI161)*100+SUM(K161,AC161)+0.003&gt;AT161*1000000+SUM(V161,AN161)*10000+SUM(P161,AH161)*100+SUM(J161,AB161)+0.004,1,0)+IF(AV161*1000000+SUM(X161,AP161)*10000+SUM(R161,AJ161)*100+SUM(L161,AD161)+0.002&gt;AT161*1000000+SUM(V161,AN161)*10000+SUM(P161,AH161)*100+SUM(J161,AB161)+0.004,1,0)+IF(AW161*1000000+SUM(Y161,AQ161)*10000+SUM(S161,AK161)*100+SUM(M161,AE161)+0.001&gt;AT161*1000000+SUM(V161,AN161)*10000+SUM(P161,AH161)*100+SUM(J161,AB161)+0.004,1,0)=1,"A",IF(IF(AR161*1000000+SUM(T161,AL161)*10000+SUM(N161,AF161)*100+SUM(H161,Z161)+0.006&gt;AU161*1000000+SUM(W161,AO161)*10000+SUM(Q161,AI161)*100+SUM(K161,AC161)+0.003,1,0)+IF(AS161*1000000+SUM(U161,AM161)*10000+SUM(O161,AG161)*100+SUM(I161,AA161)+0.005&gt;AU161*1000000+SUM(W161,AO161)*10000+SUM(Q161,AI161)*100+SUM(K161,AC161)+0.003,1,0)+IF(AT161*1000000+SUM(V161,AN161)*10000+SUM(P161,AH161)*100+SUM(J161,AB161)+0.004&gt;AU161*1000000+SUM(W161,AO161)*10000+SUM(Q161,AI161)*100+SUM(K161,AC161)+0.003,1,0)+IF(AV161*1000000+SUM(X161,AP161)*10000+SUM(R161,AJ161)*100+SUM(L161,AD161)+0.002&gt;AU161*1000000+SUM(W161,AO161)*10000+SUM(Q161,AI161)*100+SUM(K161,AC161)+0.003,1,0)+IF(AW161*1000000+SUM(Y161,AQ161)*10000+SUM(S161,AK161)*100+SUM(M161,AE161)+0.001&gt;AU161*1000000+SUM(W161,AO161)*10000+SUM(Q161,AI161)*100+SUM(K161,AC161)+0.003,1,0)=1,"S",IF(IF(AR161*1000000+SUM(T161,AL161)*10000+SUM(N161,AF161)*100+SUM(H161,Z161)+0.006&gt;AV161*1000000+SUM(X161,AP161)*10000+SUM(R161,AJ161)*100+SUM(L161,AD161)+0.002,1,0)+IF(AS161*1000000+SUM(U161,AM161)*10000+SUM(O161,AG161)*100+SUM(I161,AA161)+0.005&gt;AV161*1000000+SUM(X161,AP161)*10000+SUM(R161,AJ161)*100+SUM(L161,AD161)+0.002,1,0)+IF(AT161*1000000+SUM(V161,AN161)*10000+SUM(P161,AH161)*100+SUM(J161,AB161)+0.004&gt;AV161*1000000+SUM(X161,AP161)*10000+SUM(R161,AJ161)*100+SUM(L161,AD161)+0.002,1,0)+IF(AU161*1000000+SUM(W161,AO161)*10000+SUM(Q161,AI161)*100+SUM(K161,AC161)+0.003&gt;AV161*1000000+SUM(X161,AP161)*10000+SUM(R161,AJ161)*100+SUM(L161,AD161)+0.002,1,0)+IF(AW161*1000000+SUM(Y161,AQ161)*10000+SUM(S161,AK161)*100+SUM(M161,AE161)+0.001&gt;AV161*1000000+SUM(X161,AP161)*10000+SUM(R161,AJ161)*100+SUM(L161,AD161)+0.002,1,0)=1,"E",IF(IF(AR161*1000000+SUM(T161,AL161)*10000+SUM(N161,AF161)*100+SUM(H161,Z161)+0.006&gt;AW161*1000000+SUM(Y161,AQ161)*10000+SUM(S161,AK161)*100+SUM(M161,AE161)+0.001,1,0)+IF(AS161*1000000+SUM(U161,AM161)*10000+SUM(O161,AG161)*100+SUM(I161,AA161)+0.005&gt;AW161*1000000+SUM(Y161,AQ161)*10000+SUM(S161,AK161)*100+SUM(M161,AE161)+0.001,1,0)+IF(AT161*1000000+SUM(V161,AN161)*10000+SUM(P161,AH161)*100+SUM(J161,AB161)+0.004&gt;AW161*1000000+SUM(Y161,AQ161)*10000+SUM(S161,AK161)*100+SUM(M161,AE161)+0.001,1,0)+IF(AU161*1000000+SUM(W161,AO161)*10000+SUM(Q161,AI161)*100+SUM(K161,AC161)+0.003&gt;AW161*1000000+SUM(Y161,AQ161)*10000+SUM(S161,AK161)*100+SUM(M161,AE161)+0.001,1,0)+IF(AV161*1000000+SUM(X161,AP161)*10000+SUM(R161,AJ161)*100+SUM(L161,AD161)+0.002&gt;AW161*1000000+SUM(Y161,AQ161)*10000+SUM(S161,AK161)*100+SUM(M161,AE161)+0.001,1,0)=1,"C",""))))))&amp;IF(IF(AS161*1000000+SUM(U161,AM161)*10000+SUM(O161,AG161)*100+SUM(I161,AA161)+0.005&gt;AR161*1000000+SUM(T161,AL161)*10000+SUM(N161,AF161)*100+SUM(H161,Z161)+0.006,1,0)+IF(AT161*1000000+SUM(V161,AN161)*10000+SUM(P161,AH161)*100+SUM(J161,AB161)+0.004&gt;AR161*1000000+SUM(T161,AL161)*10000+SUM(N161,AF161)*100+SUM(H161,Z161)+0.006,1,0)+IF(AU161*1000000+SUM(W161,AO161)*10000+SUM(Q161,AI161)*100+SUM(K161,AC161)+0.003&gt;AR161*1000000+SUM(T161,AL161)*10000+SUM(N161,AF161)*100+SUM(H161,Z161)+0.006,1,0)+IF(AV161*1000000+SUM(X161,AP161)*10000+SUM(R161,AJ161)*100+SUM(L161,AD161)+0.002&gt;AR161*1000000+SUM(T161,AL161)*10000+SUM(N161,AF161)*100+SUM(H161,Z161)+0.006,1,0)+IF(AW161*1000000+SUM(Y161,AQ161)*10000+SUM(S161,AK161)*100+SUM(M161,AE161)+0.001&gt;AR161*1000000+SUM(T161,AL161)*10000+SUM(N161,AF161)*100+SUM(H161,Z161)+0.006,1,0)=2,"R",IF(IF(AR161*1000000+SUM(T161,AL161)*10000+SUM(N161,AF161)*100+SUM(H161,Z161)+0.006&gt;AS161*1000000+SUM(U161,AM161)*10000+SUM(O161,AG161)*100+SUM(I161,AA161)+0.005,1,0)+IF(AT161*1000000+SUM(V161,AN161)*10000+SUM(P161,AH161)*100+SUM(J161,AB161)+0.004&gt;AS161*1000000+SUM(U161,AM161)*10000+SUM(O161,AG161)*100+SUM(I161,AA161)+0.005,1,0)+IF(AU161*1000000+SUM(W161,AO161)*10000+SUM(Q161,AI161)*100+SUM(K161,AC161)+0.003&gt;AS161*1000000+SUM(U161,AM161)*10000+SUM(O161,AG161)*100+SUM(I161,AA161)+0.005,1,0)+IF(AV161*1000000+SUM(X161,AP161)*10000+SUM(R161,AJ161)*100+SUM(L161,AD161)+0.002&gt;AS161*1000000+SUM(U161,AM161)*10000+SUM(O161,AG161)*100+SUM(I161,AA161)+0.005,1,0)+IF(AW161*1000000+SUM(Y161,AQ161)*10000+SUM(S161,AK161)*100+SUM(M161,AE161)+0.001&gt;AS161*1000000+SUM(U161,AM161)*10000+SUM(O161,AG161)*100+SUM(I161,AA161)+0.005,1,0)=2,"I",IF(IF(AR161*1000000+SUM(T161,AL161)*10000+SUM(N161,AF161)*100+SUM(H161,Z161)+0.006&gt;AT161*1000000+SUM(V161,AN161)*10000+SUM(P161,AH161)*100+SUM(J161,AB161)+0.004,1,0)+IF(AS161*1000000+SUM(U161,AM161)*10000+SUM(O161,AG161)*100+SUM(I161,AA161)+0.005&gt;AT161*1000000+SUM(V161,AN161)*10000+SUM(P161,AH161)*100+SUM(J161,AB161)+0.004,1,0)+IF(AU161*1000000+SUM(W161,AO161)*10000+SUM(Q161,AI161)*100+SUM(K161,AC161)+0.003&gt;AT161*1000000+SUM(V161,AN161)*10000+SUM(P161,AH161)*100+SUM(J161,AB161)+0.004,1,0)+IF(AV161*1000000+SUM(X161,AP161)*10000+SUM(R161,AJ161)*100+SUM(L161,AD161)+0.002&gt;AT161*1000000+SUM(V161,AN161)*10000+SUM(P161,AH161)*100+SUM(J161,AB161)+0.004,1,0)+IF(AW161*1000000+SUM(Y161,AQ161)*10000+SUM(S161,AK161)*100+SUM(M161,AE161)+0.001&gt;AT161*1000000+SUM(V161,AN161)*10000+SUM(P161,AH161)*100+SUM(J161,AB161)+0.004,1,0)=2,"A",IF(IF(AR161*1000000+SUM(T161,AL161)*10000+SUM(N161,AF161)*100+SUM(H161,Z161)+0.006&gt;AU161*1000000+SUM(W161,AO161)*10000+SUM(Q161,AI161)*100+SUM(K161,AC161)+0.003,1,0)+IF(AS161*1000000+SUM(U161,AM161)*10000+SUM(O161,AG161)*100+SUM(I161,AA161)+0.005&gt;AU161*1000000+SUM(W161,AO161)*10000+SUM(Q161,AI161)*100+SUM(K161,AC161)+0.003,1,0)+IF(AT161*1000000+SUM(V161,AN161)*10000+SUM(P161,AH161)*100+SUM(J161,AB161)+0.004&gt;AU161*1000000+SUM(W161,AO161)*10000+SUM(Q161,AI161)*100+SUM(K161,AC161)+0.003,1,0)+IF(AV161*1000000+SUM(X161,AP161)*10000+SUM(R161,AJ161)*100+SUM(L161,AD161)+0.002&gt;AU161*1000000+SUM(W161,AO161)*10000+SUM(Q161,AI161)*100+SUM(K161,AC161)+0.003,1,0)+IF(AW161*1000000+SUM(Y161,AQ161)*10000+SUM(S161,AK161)*100+SUM(M161,AE161)+0.001&gt;AU161*1000000+SUM(W161,AO161)*10000+SUM(Q161,AI161)*100+SUM(K161,AC161)+0.003,1,0)=2,"S",IF(IF(AR161*1000000+SUM(T161,AL161)*10000+SUM(N161,AF161)*100+SUM(H161,Z161)+0.006&gt;AV161*1000000+SUM(X161,AP161)*10000+SUM(R161,AJ161)*100+SUM(L161,AD161)+0.002,1,0)+IF(AS161*1000000+SUM(U161,AM161)*10000+SUM(O161,AG161)*100+SUM(I161,AA161)+0.005&gt;AV161*1000000+SUM(X161,AP161)*10000+SUM(R161,AJ161)*100+SUM(L161,AD161)+0.002,1,0)+IF(AT161*1000000+SUM(V161,AN161)*10000+SUM(P161,AH161)*100+SUM(J161,AB161)+0.004&gt;AV161*1000000+SUM(X161,AP161)*10000+SUM(R161,AJ161)*100+SUM(L161,AD161)+0.002,1,0)+IF(AU161*1000000+SUM(W161,AO161)*10000+SUM(Q161,AI161)*100+SUM(K161,AC161)+0.003&gt;AV161*1000000+SUM(X161,AP161)*10000+SUM(R161,AJ161)*100+SUM(L161,AD161)+0.002,1,0)+IF(AW161*1000000+SUM(Y161,AQ161)*10000+SUM(S161,AK161)*100+SUM(M161,AE161)+0.001&gt;AV161*1000000+SUM(X161,AP161)*10000+SUM(R161,AJ161)*100+SUM(L161,AD161)+0.002,1,0)=2,"E",IF(IF(AR161*1000000+SUM(T161,AL161)*10000+SUM(N161,AF161)*100+SUM(H161,Z161)+0.006&gt;AW161*1000000+SUM(Y161,AQ161)*10000+SUM(S161,AK161)*100+SUM(M161,AE161)+0.001,1,0)+IF(AS161*1000000+SUM(U161,AM161)*10000+SUM(O161,AG161)*100+SUM(I161,AA161)+0.005&gt;AW161*1000000+SUM(Y161,AQ161)*10000+SUM(S161,AK161)*100+SUM(M161,AE161)+0.001,1,0)+IF(AT161*1000000+SUM(V161,AN161)*10000+SUM(P161,AH161)*100+SUM(J161,AB161)+0.004&gt;AW161*1000000+SUM(Y161,AQ161)*10000+SUM(S161,AK161)*100+SUM(M161,AE161)+0.001,1,0)+IF(AU161*1000000+SUM(W161,AO161)*10000+SUM(Q161,AI161)*100+SUM(K161,AC161)+0.003&gt;AW161*1000000+SUM(Y161,AQ161)*10000+SUM(S161,AK161)*100+SUM(M161,AE161)+0.001,1,0)+IF(AV161*1000000+SUM(X161,AP161)*10000+SUM(R161,AJ161)*100+SUM(L161,AD161)+0.002&gt;AW161*1000000+SUM(Y161,AQ161)*10000+SUM(S161,AK161)*100+SUM(M161,AE161)+0.001,1,0)=2,"C","")))))))</x:f>
      </x:c>
      <x:c r="AY161" s="27" t="str">
        <x:f>IF(C161="","",IF(LEFT(AX161,1)="R","นักปฏิบัติ",IF(LEFT(AX161,1)="I","นักคิดวิเคราะห์",IF(LEFT(AX161,1)="A","นักสร้างสรรค์",IF(LEFT(AX161,1)="S","ผู้เข้าใจผู้คน",IF(LEFT(AX161,1)="E","ผู้นำการเปลี่ยนแปลง","ผู้จัดระบบ"))))))</x:f>
      </x:c>
    </x:row>
    <x:row r="162">
      <x:c r="A162" s="27"/>
      <x:c r="B162" s="28"/>
      <x:c r="C162" s="27"/>
      <x:c r="D162" s="27"/>
      <x:c r="E162" s="27"/>
      <x:c r="F162" s="27"/>
      <x:c r="G162" s="27"/>
      <x:c r="H162" s="27"/>
      <x:c r="I162" s="27"/>
      <x:c r="J162" s="27"/>
      <x:c r="K162" s="27"/>
      <x:c r="L162" s="27"/>
      <x:c r="M162" s="27"/>
      <x:c r="N162" s="27"/>
      <x:c r="O162" s="27"/>
      <x:c r="P162" s="27"/>
      <x:c r="Q162" s="27"/>
      <x:c r="R162" s="27"/>
      <x:c r="S162" s="27"/>
      <x:c r="T162" s="27"/>
      <x:c r="U162" s="27"/>
      <x:c r="V162" s="27"/>
      <x:c r="W162" s="27"/>
      <x:c r="X162" s="27"/>
      <x:c r="Y162" s="27"/>
      <x:c r="Z162" s="27"/>
      <x:c r="AA162" s="27"/>
      <x:c r="AB162" s="27"/>
      <x:c r="AC162" s="27"/>
      <x:c r="AD162" s="27"/>
      <x:c r="AE162" s="27"/>
      <x:c r="AF162" s="27"/>
      <x:c r="AG162" s="27"/>
      <x:c r="AH162" s="27"/>
      <x:c r="AI162" s="27"/>
      <x:c r="AJ162" s="27"/>
      <x:c r="AK162" s="27"/>
      <x:c r="AL162" s="27"/>
      <x:c r="AM162" s="27"/>
      <x:c r="AN162" s="27"/>
      <x:c r="AO162" s="27"/>
      <x:c r="AP162" s="27"/>
      <x:c r="AQ162" s="27"/>
      <x:c r="AR162" s="27" t="str">
        <x:f>IF(C162="","",SUM(H162,N162,T162,Z162,AF162,AL162))</x:f>
      </x:c>
      <x:c r="AS162" s="27" t="str">
        <x:f>IF(C162="","",SUM(I162,O162,U162,AA162,AG162,AM162))</x:f>
      </x:c>
      <x:c r="AT162" s="27" t="str">
        <x:f>IF(C162="","",SUM(J162,P162,V162,AB162,AH162,AN162))</x:f>
      </x:c>
      <x:c r="AU162" s="27" t="str">
        <x:f>IF(C162="","",SUM(K162,Q162,W162,AC162,AI162,AO162))</x:f>
      </x:c>
      <x:c r="AV162" s="27" t="str">
        <x:f>IF(C162="","",SUM(L162,R162,X162,AD162,AJ162,AP162))</x:f>
      </x:c>
      <x:c r="AW162" s="27" t="str">
        <x:f>IF(C162="","",SUM(M162,S162,Y162,AE162,AK162,AQ162))</x:f>
      </x:c>
      <x:c r="AX162" s="27" t="str">
        <x:f>IF(C162="","",IF(IF(AS162*1000000+SUM(U162,AM162)*10000+SUM(O162,AG162)*100+SUM(I162,AA162)+0.005&gt;AR162*1000000+SUM(T162,AL162)*10000+SUM(N162,AF162)*100+SUM(H162,Z162)+0.006,1,0)+IF(AT162*1000000+SUM(V162,AN162)*10000+SUM(P162,AH162)*100+SUM(J162,AB162)+0.004&gt;AR162*1000000+SUM(T162,AL162)*10000+SUM(N162,AF162)*100+SUM(H162,Z162)+0.006,1,0)+IF(AU162*1000000+SUM(W162,AO162)*10000+SUM(Q162,AI162)*100+SUM(K162,AC162)+0.003&gt;AR162*1000000+SUM(T162,AL162)*10000+SUM(N162,AF162)*100+SUM(H162,Z162)+0.006,1,0)+IF(AV162*1000000+SUM(X162,AP162)*10000+SUM(R162,AJ162)*100+SUM(L162,AD162)+0.002&gt;AR162*1000000+SUM(T162,AL162)*10000+SUM(N162,AF162)*100+SUM(H162,Z162)+0.006,1,0)+IF(AW162*1000000+SUM(Y162,AQ162)*10000+SUM(S162,AK162)*100+SUM(M162,AE162)+0.001&gt;AR162*1000000+SUM(T162,AL162)*10000+SUM(N162,AF162)*100+SUM(H162,Z162)+0.006,1,0)=0,"R",IF(IF(AR162*1000000+SUM(T162,AL162)*10000+SUM(N162,AF162)*100+SUM(H162,Z162)+0.006&gt;AS162*1000000+SUM(U162,AM162)*10000+SUM(O162,AG162)*100+SUM(I162,AA162)+0.005,1,0)+IF(AT162*1000000+SUM(V162,AN162)*10000+SUM(P162,AH162)*100+SUM(J162,AB162)+0.004&gt;AS162*1000000+SUM(U162,AM162)*10000+SUM(O162,AG162)*100+SUM(I162,AA162)+0.005,1,0)+IF(AU162*1000000+SUM(W162,AO162)*10000+SUM(Q162,AI162)*100+SUM(K162,AC162)+0.003&gt;AS162*1000000+SUM(U162,AM162)*10000+SUM(O162,AG162)*100+SUM(I162,AA162)+0.005,1,0)+IF(AV162*1000000+SUM(X162,AP162)*10000+SUM(R162,AJ162)*100+SUM(L162,AD162)+0.002&gt;AS162*1000000+SUM(U162,AM162)*10000+SUM(O162,AG162)*100+SUM(I162,AA162)+0.005,1,0)+IF(AW162*1000000+SUM(Y162,AQ162)*10000+SUM(S162,AK162)*100+SUM(M162,AE162)+0.001&gt;AS162*1000000+SUM(U162,AM162)*10000+SUM(O162,AG162)*100+SUM(I162,AA162)+0.005,1,0)=0,"I",IF(IF(AR162*1000000+SUM(T162,AL162)*10000+SUM(N162,AF162)*100+SUM(H162,Z162)+0.006&gt;AT162*1000000+SUM(V162,AN162)*10000+SUM(P162,AH162)*100+SUM(J162,AB162)+0.004,1,0)+IF(AS162*1000000+SUM(U162,AM162)*10000+SUM(O162,AG162)*100+SUM(I162,AA162)+0.005&gt;AT162*1000000+SUM(V162,AN162)*10000+SUM(P162,AH162)*100+SUM(J162,AB162)+0.004,1,0)+IF(AU162*1000000+SUM(W162,AO162)*10000+SUM(Q162,AI162)*100+SUM(K162,AC162)+0.003&gt;AT162*1000000+SUM(V162,AN162)*10000+SUM(P162,AH162)*100+SUM(J162,AB162)+0.004,1,0)+IF(AV162*1000000+SUM(X162,AP162)*10000+SUM(R162,AJ162)*100+SUM(L162,AD162)+0.002&gt;AT162*1000000+SUM(V162,AN162)*10000+SUM(P162,AH162)*100+SUM(J162,AB162)+0.004,1,0)+IF(AW162*1000000+SUM(Y162,AQ162)*10000+SUM(S162,AK162)*100+SUM(M162,AE162)+0.001&gt;AT162*1000000+SUM(V162,AN162)*10000+SUM(P162,AH162)*100+SUM(J162,AB162)+0.004,1,0)=0,"A",IF(IF(AR162*1000000+SUM(T162,AL162)*10000+SUM(N162,AF162)*100+SUM(H162,Z162)+0.006&gt;AU162*1000000+SUM(W162,AO162)*10000+SUM(Q162,AI162)*100+SUM(K162,AC162)+0.003,1,0)+IF(AS162*1000000+SUM(U162,AM162)*10000+SUM(O162,AG162)*100+SUM(I162,AA162)+0.005&gt;AU162*1000000+SUM(W162,AO162)*10000+SUM(Q162,AI162)*100+SUM(K162,AC162)+0.003,1,0)+IF(AT162*1000000+SUM(V162,AN162)*10000+SUM(P162,AH162)*100+SUM(J162,AB162)+0.004&gt;AU162*1000000+SUM(W162,AO162)*10000+SUM(Q162,AI162)*100+SUM(K162,AC162)+0.003,1,0)+IF(AV162*1000000+SUM(X162,AP162)*10000+SUM(R162,AJ162)*100+SUM(L162,AD162)+0.002&gt;AU162*1000000+SUM(W162,AO162)*10000+SUM(Q162,AI162)*100+SUM(K162,AC162)+0.003,1,0)+IF(AW162*1000000+SUM(Y162,AQ162)*10000+SUM(S162,AK162)*100+SUM(M162,AE162)+0.001&gt;AU162*1000000+SUM(W162,AO162)*10000+SUM(Q162,AI162)*100+SUM(K162,AC162)+0.003,1,0)=0,"S",IF(IF(AR162*1000000+SUM(T162,AL162)*10000+SUM(N162,AF162)*100+SUM(H162,Z162)+0.006&gt;AV162*1000000+SUM(X162,AP162)*10000+SUM(R162,AJ162)*100+SUM(L162,AD162)+0.002,1,0)+IF(AS162*1000000+SUM(U162,AM162)*10000+SUM(O162,AG162)*100+SUM(I162,AA162)+0.005&gt;AV162*1000000+SUM(X162,AP162)*10000+SUM(R162,AJ162)*100+SUM(L162,AD162)+0.002,1,0)+IF(AT162*1000000+SUM(V162,AN162)*10000+SUM(P162,AH162)*100+SUM(J162,AB162)+0.004&gt;AV162*1000000+SUM(X162,AP162)*10000+SUM(R162,AJ162)*100+SUM(L162,AD162)+0.002,1,0)+IF(AU162*1000000+SUM(W162,AO162)*10000+SUM(Q162,AI162)*100+SUM(K162,AC162)+0.003&gt;AV162*1000000+SUM(X162,AP162)*10000+SUM(R162,AJ162)*100+SUM(L162,AD162)+0.002,1,0)+IF(AW162*1000000+SUM(Y162,AQ162)*10000+SUM(S162,AK162)*100+SUM(M162,AE162)+0.001&gt;AV162*1000000+SUM(X162,AP162)*10000+SUM(R162,AJ162)*100+SUM(L162,AD162)+0.002,1,0)=0,"E",IF(IF(AR162*1000000+SUM(T162,AL162)*10000+SUM(N162,AF162)*100+SUM(H162,Z162)+0.006&gt;AW162*1000000+SUM(Y162,AQ162)*10000+SUM(S162,AK162)*100+SUM(M162,AE162)+0.001,1,0)+IF(AS162*1000000+SUM(U162,AM162)*10000+SUM(O162,AG162)*100+SUM(I162,AA162)+0.005&gt;AW162*1000000+SUM(Y162,AQ162)*10000+SUM(S162,AK162)*100+SUM(M162,AE162)+0.001,1,0)+IF(AT162*1000000+SUM(V162,AN162)*10000+SUM(P162,AH162)*100+SUM(J162,AB162)+0.004&gt;AW162*1000000+SUM(Y162,AQ162)*10000+SUM(S162,AK162)*100+SUM(M162,AE162)+0.001,1,0)+IF(AU162*1000000+SUM(W162,AO162)*10000+SUM(Q162,AI162)*100+SUM(K162,AC162)+0.003&gt;AW162*1000000+SUM(Y162,AQ162)*10000+SUM(S162,AK162)*100+SUM(M162,AE162)+0.001,1,0)+IF(AV162*1000000+SUM(X162,AP162)*10000+SUM(R162,AJ162)*100+SUM(L162,AD162)+0.002&gt;AW162*1000000+SUM(Y162,AQ162)*10000+SUM(S162,AK162)*100+SUM(M162,AE162)+0.001,1,0)=0,"C",""))))))&amp;IF(IF(AS162*1000000+SUM(U162,AM162)*10000+SUM(O162,AG162)*100+SUM(I162,AA162)+0.005&gt;AR162*1000000+SUM(T162,AL162)*10000+SUM(N162,AF162)*100+SUM(H162,Z162)+0.006,1,0)+IF(AT162*1000000+SUM(V162,AN162)*10000+SUM(P162,AH162)*100+SUM(J162,AB162)+0.004&gt;AR162*1000000+SUM(T162,AL162)*10000+SUM(N162,AF162)*100+SUM(H162,Z162)+0.006,1,0)+IF(AU162*1000000+SUM(W162,AO162)*10000+SUM(Q162,AI162)*100+SUM(K162,AC162)+0.003&gt;AR162*1000000+SUM(T162,AL162)*10000+SUM(N162,AF162)*100+SUM(H162,Z162)+0.006,1,0)+IF(AV162*1000000+SUM(X162,AP162)*10000+SUM(R162,AJ162)*100+SUM(L162,AD162)+0.002&gt;AR162*1000000+SUM(T162,AL162)*10000+SUM(N162,AF162)*100+SUM(H162,Z162)+0.006,1,0)+IF(AW162*1000000+SUM(Y162,AQ162)*10000+SUM(S162,AK162)*100+SUM(M162,AE162)+0.001&gt;AR162*1000000+SUM(T162,AL162)*10000+SUM(N162,AF162)*100+SUM(H162,Z162)+0.006,1,0)=1,"R",IF(IF(AR162*1000000+SUM(T162,AL162)*10000+SUM(N162,AF162)*100+SUM(H162,Z162)+0.006&gt;AS162*1000000+SUM(U162,AM162)*10000+SUM(O162,AG162)*100+SUM(I162,AA162)+0.005,1,0)+IF(AT162*1000000+SUM(V162,AN162)*10000+SUM(P162,AH162)*100+SUM(J162,AB162)+0.004&gt;AS162*1000000+SUM(U162,AM162)*10000+SUM(O162,AG162)*100+SUM(I162,AA162)+0.005,1,0)+IF(AU162*1000000+SUM(W162,AO162)*10000+SUM(Q162,AI162)*100+SUM(K162,AC162)+0.003&gt;AS162*1000000+SUM(U162,AM162)*10000+SUM(O162,AG162)*100+SUM(I162,AA162)+0.005,1,0)+IF(AV162*1000000+SUM(X162,AP162)*10000+SUM(R162,AJ162)*100+SUM(L162,AD162)+0.002&gt;AS162*1000000+SUM(U162,AM162)*10000+SUM(O162,AG162)*100+SUM(I162,AA162)+0.005,1,0)+IF(AW162*1000000+SUM(Y162,AQ162)*10000+SUM(S162,AK162)*100+SUM(M162,AE162)+0.001&gt;AS162*1000000+SUM(U162,AM162)*10000+SUM(O162,AG162)*100+SUM(I162,AA162)+0.005,1,0)=1,"I",IF(IF(AR162*1000000+SUM(T162,AL162)*10000+SUM(N162,AF162)*100+SUM(H162,Z162)+0.006&gt;AT162*1000000+SUM(V162,AN162)*10000+SUM(P162,AH162)*100+SUM(J162,AB162)+0.004,1,0)+IF(AS162*1000000+SUM(U162,AM162)*10000+SUM(O162,AG162)*100+SUM(I162,AA162)+0.005&gt;AT162*1000000+SUM(V162,AN162)*10000+SUM(P162,AH162)*100+SUM(J162,AB162)+0.004,1,0)+IF(AU162*1000000+SUM(W162,AO162)*10000+SUM(Q162,AI162)*100+SUM(K162,AC162)+0.003&gt;AT162*1000000+SUM(V162,AN162)*10000+SUM(P162,AH162)*100+SUM(J162,AB162)+0.004,1,0)+IF(AV162*1000000+SUM(X162,AP162)*10000+SUM(R162,AJ162)*100+SUM(L162,AD162)+0.002&gt;AT162*1000000+SUM(V162,AN162)*10000+SUM(P162,AH162)*100+SUM(J162,AB162)+0.004,1,0)+IF(AW162*1000000+SUM(Y162,AQ162)*10000+SUM(S162,AK162)*100+SUM(M162,AE162)+0.001&gt;AT162*1000000+SUM(V162,AN162)*10000+SUM(P162,AH162)*100+SUM(J162,AB162)+0.004,1,0)=1,"A",IF(IF(AR162*1000000+SUM(T162,AL162)*10000+SUM(N162,AF162)*100+SUM(H162,Z162)+0.006&gt;AU162*1000000+SUM(W162,AO162)*10000+SUM(Q162,AI162)*100+SUM(K162,AC162)+0.003,1,0)+IF(AS162*1000000+SUM(U162,AM162)*10000+SUM(O162,AG162)*100+SUM(I162,AA162)+0.005&gt;AU162*1000000+SUM(W162,AO162)*10000+SUM(Q162,AI162)*100+SUM(K162,AC162)+0.003,1,0)+IF(AT162*1000000+SUM(V162,AN162)*10000+SUM(P162,AH162)*100+SUM(J162,AB162)+0.004&gt;AU162*1000000+SUM(W162,AO162)*10000+SUM(Q162,AI162)*100+SUM(K162,AC162)+0.003,1,0)+IF(AV162*1000000+SUM(X162,AP162)*10000+SUM(R162,AJ162)*100+SUM(L162,AD162)+0.002&gt;AU162*1000000+SUM(W162,AO162)*10000+SUM(Q162,AI162)*100+SUM(K162,AC162)+0.003,1,0)+IF(AW162*1000000+SUM(Y162,AQ162)*10000+SUM(S162,AK162)*100+SUM(M162,AE162)+0.001&gt;AU162*1000000+SUM(W162,AO162)*10000+SUM(Q162,AI162)*100+SUM(K162,AC162)+0.003,1,0)=1,"S",IF(IF(AR162*1000000+SUM(T162,AL162)*10000+SUM(N162,AF162)*100+SUM(H162,Z162)+0.006&gt;AV162*1000000+SUM(X162,AP162)*10000+SUM(R162,AJ162)*100+SUM(L162,AD162)+0.002,1,0)+IF(AS162*1000000+SUM(U162,AM162)*10000+SUM(O162,AG162)*100+SUM(I162,AA162)+0.005&gt;AV162*1000000+SUM(X162,AP162)*10000+SUM(R162,AJ162)*100+SUM(L162,AD162)+0.002,1,0)+IF(AT162*1000000+SUM(V162,AN162)*10000+SUM(P162,AH162)*100+SUM(J162,AB162)+0.004&gt;AV162*1000000+SUM(X162,AP162)*10000+SUM(R162,AJ162)*100+SUM(L162,AD162)+0.002,1,0)+IF(AU162*1000000+SUM(W162,AO162)*10000+SUM(Q162,AI162)*100+SUM(K162,AC162)+0.003&gt;AV162*1000000+SUM(X162,AP162)*10000+SUM(R162,AJ162)*100+SUM(L162,AD162)+0.002,1,0)+IF(AW162*1000000+SUM(Y162,AQ162)*10000+SUM(S162,AK162)*100+SUM(M162,AE162)+0.001&gt;AV162*1000000+SUM(X162,AP162)*10000+SUM(R162,AJ162)*100+SUM(L162,AD162)+0.002,1,0)=1,"E",IF(IF(AR162*1000000+SUM(T162,AL162)*10000+SUM(N162,AF162)*100+SUM(H162,Z162)+0.006&gt;AW162*1000000+SUM(Y162,AQ162)*10000+SUM(S162,AK162)*100+SUM(M162,AE162)+0.001,1,0)+IF(AS162*1000000+SUM(U162,AM162)*10000+SUM(O162,AG162)*100+SUM(I162,AA162)+0.005&gt;AW162*1000000+SUM(Y162,AQ162)*10000+SUM(S162,AK162)*100+SUM(M162,AE162)+0.001,1,0)+IF(AT162*1000000+SUM(V162,AN162)*10000+SUM(P162,AH162)*100+SUM(J162,AB162)+0.004&gt;AW162*1000000+SUM(Y162,AQ162)*10000+SUM(S162,AK162)*100+SUM(M162,AE162)+0.001,1,0)+IF(AU162*1000000+SUM(W162,AO162)*10000+SUM(Q162,AI162)*100+SUM(K162,AC162)+0.003&gt;AW162*1000000+SUM(Y162,AQ162)*10000+SUM(S162,AK162)*100+SUM(M162,AE162)+0.001,1,0)+IF(AV162*1000000+SUM(X162,AP162)*10000+SUM(R162,AJ162)*100+SUM(L162,AD162)+0.002&gt;AW162*1000000+SUM(Y162,AQ162)*10000+SUM(S162,AK162)*100+SUM(M162,AE162)+0.001,1,0)=1,"C",""))))))&amp;IF(IF(AS162*1000000+SUM(U162,AM162)*10000+SUM(O162,AG162)*100+SUM(I162,AA162)+0.005&gt;AR162*1000000+SUM(T162,AL162)*10000+SUM(N162,AF162)*100+SUM(H162,Z162)+0.006,1,0)+IF(AT162*1000000+SUM(V162,AN162)*10000+SUM(P162,AH162)*100+SUM(J162,AB162)+0.004&gt;AR162*1000000+SUM(T162,AL162)*10000+SUM(N162,AF162)*100+SUM(H162,Z162)+0.006,1,0)+IF(AU162*1000000+SUM(W162,AO162)*10000+SUM(Q162,AI162)*100+SUM(K162,AC162)+0.003&gt;AR162*1000000+SUM(T162,AL162)*10000+SUM(N162,AF162)*100+SUM(H162,Z162)+0.006,1,0)+IF(AV162*1000000+SUM(X162,AP162)*10000+SUM(R162,AJ162)*100+SUM(L162,AD162)+0.002&gt;AR162*1000000+SUM(T162,AL162)*10000+SUM(N162,AF162)*100+SUM(H162,Z162)+0.006,1,0)+IF(AW162*1000000+SUM(Y162,AQ162)*10000+SUM(S162,AK162)*100+SUM(M162,AE162)+0.001&gt;AR162*1000000+SUM(T162,AL162)*10000+SUM(N162,AF162)*100+SUM(H162,Z162)+0.006,1,0)=2,"R",IF(IF(AR162*1000000+SUM(T162,AL162)*10000+SUM(N162,AF162)*100+SUM(H162,Z162)+0.006&gt;AS162*1000000+SUM(U162,AM162)*10000+SUM(O162,AG162)*100+SUM(I162,AA162)+0.005,1,0)+IF(AT162*1000000+SUM(V162,AN162)*10000+SUM(P162,AH162)*100+SUM(J162,AB162)+0.004&gt;AS162*1000000+SUM(U162,AM162)*10000+SUM(O162,AG162)*100+SUM(I162,AA162)+0.005,1,0)+IF(AU162*1000000+SUM(W162,AO162)*10000+SUM(Q162,AI162)*100+SUM(K162,AC162)+0.003&gt;AS162*1000000+SUM(U162,AM162)*10000+SUM(O162,AG162)*100+SUM(I162,AA162)+0.005,1,0)+IF(AV162*1000000+SUM(X162,AP162)*10000+SUM(R162,AJ162)*100+SUM(L162,AD162)+0.002&gt;AS162*1000000+SUM(U162,AM162)*10000+SUM(O162,AG162)*100+SUM(I162,AA162)+0.005,1,0)+IF(AW162*1000000+SUM(Y162,AQ162)*10000+SUM(S162,AK162)*100+SUM(M162,AE162)+0.001&gt;AS162*1000000+SUM(U162,AM162)*10000+SUM(O162,AG162)*100+SUM(I162,AA162)+0.005,1,0)=2,"I",IF(IF(AR162*1000000+SUM(T162,AL162)*10000+SUM(N162,AF162)*100+SUM(H162,Z162)+0.006&gt;AT162*1000000+SUM(V162,AN162)*10000+SUM(P162,AH162)*100+SUM(J162,AB162)+0.004,1,0)+IF(AS162*1000000+SUM(U162,AM162)*10000+SUM(O162,AG162)*100+SUM(I162,AA162)+0.005&gt;AT162*1000000+SUM(V162,AN162)*10000+SUM(P162,AH162)*100+SUM(J162,AB162)+0.004,1,0)+IF(AU162*1000000+SUM(W162,AO162)*10000+SUM(Q162,AI162)*100+SUM(K162,AC162)+0.003&gt;AT162*1000000+SUM(V162,AN162)*10000+SUM(P162,AH162)*100+SUM(J162,AB162)+0.004,1,0)+IF(AV162*1000000+SUM(X162,AP162)*10000+SUM(R162,AJ162)*100+SUM(L162,AD162)+0.002&gt;AT162*1000000+SUM(V162,AN162)*10000+SUM(P162,AH162)*100+SUM(J162,AB162)+0.004,1,0)+IF(AW162*1000000+SUM(Y162,AQ162)*10000+SUM(S162,AK162)*100+SUM(M162,AE162)+0.001&gt;AT162*1000000+SUM(V162,AN162)*10000+SUM(P162,AH162)*100+SUM(J162,AB162)+0.004,1,0)=2,"A",IF(IF(AR162*1000000+SUM(T162,AL162)*10000+SUM(N162,AF162)*100+SUM(H162,Z162)+0.006&gt;AU162*1000000+SUM(W162,AO162)*10000+SUM(Q162,AI162)*100+SUM(K162,AC162)+0.003,1,0)+IF(AS162*1000000+SUM(U162,AM162)*10000+SUM(O162,AG162)*100+SUM(I162,AA162)+0.005&gt;AU162*1000000+SUM(W162,AO162)*10000+SUM(Q162,AI162)*100+SUM(K162,AC162)+0.003,1,0)+IF(AT162*1000000+SUM(V162,AN162)*10000+SUM(P162,AH162)*100+SUM(J162,AB162)+0.004&gt;AU162*1000000+SUM(W162,AO162)*10000+SUM(Q162,AI162)*100+SUM(K162,AC162)+0.003,1,0)+IF(AV162*1000000+SUM(X162,AP162)*10000+SUM(R162,AJ162)*100+SUM(L162,AD162)+0.002&gt;AU162*1000000+SUM(W162,AO162)*10000+SUM(Q162,AI162)*100+SUM(K162,AC162)+0.003,1,0)+IF(AW162*1000000+SUM(Y162,AQ162)*10000+SUM(S162,AK162)*100+SUM(M162,AE162)+0.001&gt;AU162*1000000+SUM(W162,AO162)*10000+SUM(Q162,AI162)*100+SUM(K162,AC162)+0.003,1,0)=2,"S",IF(IF(AR162*1000000+SUM(T162,AL162)*10000+SUM(N162,AF162)*100+SUM(H162,Z162)+0.006&gt;AV162*1000000+SUM(X162,AP162)*10000+SUM(R162,AJ162)*100+SUM(L162,AD162)+0.002,1,0)+IF(AS162*1000000+SUM(U162,AM162)*10000+SUM(O162,AG162)*100+SUM(I162,AA162)+0.005&gt;AV162*1000000+SUM(X162,AP162)*10000+SUM(R162,AJ162)*100+SUM(L162,AD162)+0.002,1,0)+IF(AT162*1000000+SUM(V162,AN162)*10000+SUM(P162,AH162)*100+SUM(J162,AB162)+0.004&gt;AV162*1000000+SUM(X162,AP162)*10000+SUM(R162,AJ162)*100+SUM(L162,AD162)+0.002,1,0)+IF(AU162*1000000+SUM(W162,AO162)*10000+SUM(Q162,AI162)*100+SUM(K162,AC162)+0.003&gt;AV162*1000000+SUM(X162,AP162)*10000+SUM(R162,AJ162)*100+SUM(L162,AD162)+0.002,1,0)+IF(AW162*1000000+SUM(Y162,AQ162)*10000+SUM(S162,AK162)*100+SUM(M162,AE162)+0.001&gt;AV162*1000000+SUM(X162,AP162)*10000+SUM(R162,AJ162)*100+SUM(L162,AD162)+0.002,1,0)=2,"E",IF(IF(AR162*1000000+SUM(T162,AL162)*10000+SUM(N162,AF162)*100+SUM(H162,Z162)+0.006&gt;AW162*1000000+SUM(Y162,AQ162)*10000+SUM(S162,AK162)*100+SUM(M162,AE162)+0.001,1,0)+IF(AS162*1000000+SUM(U162,AM162)*10000+SUM(O162,AG162)*100+SUM(I162,AA162)+0.005&gt;AW162*1000000+SUM(Y162,AQ162)*10000+SUM(S162,AK162)*100+SUM(M162,AE162)+0.001,1,0)+IF(AT162*1000000+SUM(V162,AN162)*10000+SUM(P162,AH162)*100+SUM(J162,AB162)+0.004&gt;AW162*1000000+SUM(Y162,AQ162)*10000+SUM(S162,AK162)*100+SUM(M162,AE162)+0.001,1,0)+IF(AU162*1000000+SUM(W162,AO162)*10000+SUM(Q162,AI162)*100+SUM(K162,AC162)+0.003&gt;AW162*1000000+SUM(Y162,AQ162)*10000+SUM(S162,AK162)*100+SUM(M162,AE162)+0.001,1,0)+IF(AV162*1000000+SUM(X162,AP162)*10000+SUM(R162,AJ162)*100+SUM(L162,AD162)+0.002&gt;AW162*1000000+SUM(Y162,AQ162)*10000+SUM(S162,AK162)*100+SUM(M162,AE162)+0.001,1,0)=2,"C","")))))))</x:f>
      </x:c>
      <x:c r="AY162" s="27" t="str">
        <x:f>IF(C162="","",IF(LEFT(AX162,1)="R","นักปฏิบัติ",IF(LEFT(AX162,1)="I","นักคิดวิเคราะห์",IF(LEFT(AX162,1)="A","นักสร้างสรรค์",IF(LEFT(AX162,1)="S","ผู้เข้าใจผู้คน",IF(LEFT(AX162,1)="E","ผู้นำการเปลี่ยนแปลง","ผู้จัดระบบ"))))))</x:f>
      </x:c>
    </x:row>
    <x:row r="163">
      <x:c r="A163" s="27"/>
      <x:c r="B163" s="28"/>
      <x:c r="C163" s="27"/>
      <x:c r="D163" s="27"/>
      <x:c r="E163" s="27"/>
      <x:c r="F163" s="27"/>
      <x:c r="G163" s="27"/>
      <x:c r="H163" s="27"/>
      <x:c r="I163" s="27"/>
      <x:c r="J163" s="27"/>
      <x:c r="K163" s="27"/>
      <x:c r="L163" s="27"/>
      <x:c r="M163" s="27"/>
      <x:c r="N163" s="27"/>
      <x:c r="O163" s="27"/>
      <x:c r="P163" s="27"/>
      <x:c r="Q163" s="27"/>
      <x:c r="R163" s="27"/>
      <x:c r="S163" s="27"/>
      <x:c r="T163" s="27"/>
      <x:c r="U163" s="27"/>
      <x:c r="V163" s="27"/>
      <x:c r="W163" s="27"/>
      <x:c r="X163" s="27"/>
      <x:c r="Y163" s="27"/>
      <x:c r="Z163" s="27"/>
      <x:c r="AA163" s="27"/>
      <x:c r="AB163" s="27"/>
      <x:c r="AC163" s="27"/>
      <x:c r="AD163" s="27"/>
      <x:c r="AE163" s="27"/>
      <x:c r="AF163" s="27"/>
      <x:c r="AG163" s="27"/>
      <x:c r="AH163" s="27"/>
      <x:c r="AI163" s="27"/>
      <x:c r="AJ163" s="27"/>
      <x:c r="AK163" s="27"/>
      <x:c r="AL163" s="27"/>
      <x:c r="AM163" s="27"/>
      <x:c r="AN163" s="27"/>
      <x:c r="AO163" s="27"/>
      <x:c r="AP163" s="27"/>
      <x:c r="AQ163" s="27"/>
      <x:c r="AR163" s="27" t="str">
        <x:f>IF(C163="","",SUM(H163,N163,T163,Z163,AF163,AL163))</x:f>
      </x:c>
      <x:c r="AS163" s="27" t="str">
        <x:f>IF(C163="","",SUM(I163,O163,U163,AA163,AG163,AM163))</x:f>
      </x:c>
      <x:c r="AT163" s="27" t="str">
        <x:f>IF(C163="","",SUM(J163,P163,V163,AB163,AH163,AN163))</x:f>
      </x:c>
      <x:c r="AU163" s="27" t="str">
        <x:f>IF(C163="","",SUM(K163,Q163,W163,AC163,AI163,AO163))</x:f>
      </x:c>
      <x:c r="AV163" s="27" t="str">
        <x:f>IF(C163="","",SUM(L163,R163,X163,AD163,AJ163,AP163))</x:f>
      </x:c>
      <x:c r="AW163" s="27" t="str">
        <x:f>IF(C163="","",SUM(M163,S163,Y163,AE163,AK163,AQ163))</x:f>
      </x:c>
      <x:c r="AX163" s="27" t="str">
        <x:f>IF(C163="","",IF(IF(AS163*1000000+SUM(U163,AM163)*10000+SUM(O163,AG163)*100+SUM(I163,AA163)+0.005&gt;AR163*1000000+SUM(T163,AL163)*10000+SUM(N163,AF163)*100+SUM(H163,Z163)+0.006,1,0)+IF(AT163*1000000+SUM(V163,AN163)*10000+SUM(P163,AH163)*100+SUM(J163,AB163)+0.004&gt;AR163*1000000+SUM(T163,AL163)*10000+SUM(N163,AF163)*100+SUM(H163,Z163)+0.006,1,0)+IF(AU163*1000000+SUM(W163,AO163)*10000+SUM(Q163,AI163)*100+SUM(K163,AC163)+0.003&gt;AR163*1000000+SUM(T163,AL163)*10000+SUM(N163,AF163)*100+SUM(H163,Z163)+0.006,1,0)+IF(AV163*1000000+SUM(X163,AP163)*10000+SUM(R163,AJ163)*100+SUM(L163,AD163)+0.002&gt;AR163*1000000+SUM(T163,AL163)*10000+SUM(N163,AF163)*100+SUM(H163,Z163)+0.006,1,0)+IF(AW163*1000000+SUM(Y163,AQ163)*10000+SUM(S163,AK163)*100+SUM(M163,AE163)+0.001&gt;AR163*1000000+SUM(T163,AL163)*10000+SUM(N163,AF163)*100+SUM(H163,Z163)+0.006,1,0)=0,"R",IF(IF(AR163*1000000+SUM(T163,AL163)*10000+SUM(N163,AF163)*100+SUM(H163,Z163)+0.006&gt;AS163*1000000+SUM(U163,AM163)*10000+SUM(O163,AG163)*100+SUM(I163,AA163)+0.005,1,0)+IF(AT163*1000000+SUM(V163,AN163)*10000+SUM(P163,AH163)*100+SUM(J163,AB163)+0.004&gt;AS163*1000000+SUM(U163,AM163)*10000+SUM(O163,AG163)*100+SUM(I163,AA163)+0.005,1,0)+IF(AU163*1000000+SUM(W163,AO163)*10000+SUM(Q163,AI163)*100+SUM(K163,AC163)+0.003&gt;AS163*1000000+SUM(U163,AM163)*10000+SUM(O163,AG163)*100+SUM(I163,AA163)+0.005,1,0)+IF(AV163*1000000+SUM(X163,AP163)*10000+SUM(R163,AJ163)*100+SUM(L163,AD163)+0.002&gt;AS163*1000000+SUM(U163,AM163)*10000+SUM(O163,AG163)*100+SUM(I163,AA163)+0.005,1,0)+IF(AW163*1000000+SUM(Y163,AQ163)*10000+SUM(S163,AK163)*100+SUM(M163,AE163)+0.001&gt;AS163*1000000+SUM(U163,AM163)*10000+SUM(O163,AG163)*100+SUM(I163,AA163)+0.005,1,0)=0,"I",IF(IF(AR163*1000000+SUM(T163,AL163)*10000+SUM(N163,AF163)*100+SUM(H163,Z163)+0.006&gt;AT163*1000000+SUM(V163,AN163)*10000+SUM(P163,AH163)*100+SUM(J163,AB163)+0.004,1,0)+IF(AS163*1000000+SUM(U163,AM163)*10000+SUM(O163,AG163)*100+SUM(I163,AA163)+0.005&gt;AT163*1000000+SUM(V163,AN163)*10000+SUM(P163,AH163)*100+SUM(J163,AB163)+0.004,1,0)+IF(AU163*1000000+SUM(W163,AO163)*10000+SUM(Q163,AI163)*100+SUM(K163,AC163)+0.003&gt;AT163*1000000+SUM(V163,AN163)*10000+SUM(P163,AH163)*100+SUM(J163,AB163)+0.004,1,0)+IF(AV163*1000000+SUM(X163,AP163)*10000+SUM(R163,AJ163)*100+SUM(L163,AD163)+0.002&gt;AT163*1000000+SUM(V163,AN163)*10000+SUM(P163,AH163)*100+SUM(J163,AB163)+0.004,1,0)+IF(AW163*1000000+SUM(Y163,AQ163)*10000+SUM(S163,AK163)*100+SUM(M163,AE163)+0.001&gt;AT163*1000000+SUM(V163,AN163)*10000+SUM(P163,AH163)*100+SUM(J163,AB163)+0.004,1,0)=0,"A",IF(IF(AR163*1000000+SUM(T163,AL163)*10000+SUM(N163,AF163)*100+SUM(H163,Z163)+0.006&gt;AU163*1000000+SUM(W163,AO163)*10000+SUM(Q163,AI163)*100+SUM(K163,AC163)+0.003,1,0)+IF(AS163*1000000+SUM(U163,AM163)*10000+SUM(O163,AG163)*100+SUM(I163,AA163)+0.005&gt;AU163*1000000+SUM(W163,AO163)*10000+SUM(Q163,AI163)*100+SUM(K163,AC163)+0.003,1,0)+IF(AT163*1000000+SUM(V163,AN163)*10000+SUM(P163,AH163)*100+SUM(J163,AB163)+0.004&gt;AU163*1000000+SUM(W163,AO163)*10000+SUM(Q163,AI163)*100+SUM(K163,AC163)+0.003,1,0)+IF(AV163*1000000+SUM(X163,AP163)*10000+SUM(R163,AJ163)*100+SUM(L163,AD163)+0.002&gt;AU163*1000000+SUM(W163,AO163)*10000+SUM(Q163,AI163)*100+SUM(K163,AC163)+0.003,1,0)+IF(AW163*1000000+SUM(Y163,AQ163)*10000+SUM(S163,AK163)*100+SUM(M163,AE163)+0.001&gt;AU163*1000000+SUM(W163,AO163)*10000+SUM(Q163,AI163)*100+SUM(K163,AC163)+0.003,1,0)=0,"S",IF(IF(AR163*1000000+SUM(T163,AL163)*10000+SUM(N163,AF163)*100+SUM(H163,Z163)+0.006&gt;AV163*1000000+SUM(X163,AP163)*10000+SUM(R163,AJ163)*100+SUM(L163,AD163)+0.002,1,0)+IF(AS163*1000000+SUM(U163,AM163)*10000+SUM(O163,AG163)*100+SUM(I163,AA163)+0.005&gt;AV163*1000000+SUM(X163,AP163)*10000+SUM(R163,AJ163)*100+SUM(L163,AD163)+0.002,1,0)+IF(AT163*1000000+SUM(V163,AN163)*10000+SUM(P163,AH163)*100+SUM(J163,AB163)+0.004&gt;AV163*1000000+SUM(X163,AP163)*10000+SUM(R163,AJ163)*100+SUM(L163,AD163)+0.002,1,0)+IF(AU163*1000000+SUM(W163,AO163)*10000+SUM(Q163,AI163)*100+SUM(K163,AC163)+0.003&gt;AV163*1000000+SUM(X163,AP163)*10000+SUM(R163,AJ163)*100+SUM(L163,AD163)+0.002,1,0)+IF(AW163*1000000+SUM(Y163,AQ163)*10000+SUM(S163,AK163)*100+SUM(M163,AE163)+0.001&gt;AV163*1000000+SUM(X163,AP163)*10000+SUM(R163,AJ163)*100+SUM(L163,AD163)+0.002,1,0)=0,"E",IF(IF(AR163*1000000+SUM(T163,AL163)*10000+SUM(N163,AF163)*100+SUM(H163,Z163)+0.006&gt;AW163*1000000+SUM(Y163,AQ163)*10000+SUM(S163,AK163)*100+SUM(M163,AE163)+0.001,1,0)+IF(AS163*1000000+SUM(U163,AM163)*10000+SUM(O163,AG163)*100+SUM(I163,AA163)+0.005&gt;AW163*1000000+SUM(Y163,AQ163)*10000+SUM(S163,AK163)*100+SUM(M163,AE163)+0.001,1,0)+IF(AT163*1000000+SUM(V163,AN163)*10000+SUM(P163,AH163)*100+SUM(J163,AB163)+0.004&gt;AW163*1000000+SUM(Y163,AQ163)*10000+SUM(S163,AK163)*100+SUM(M163,AE163)+0.001,1,0)+IF(AU163*1000000+SUM(W163,AO163)*10000+SUM(Q163,AI163)*100+SUM(K163,AC163)+0.003&gt;AW163*1000000+SUM(Y163,AQ163)*10000+SUM(S163,AK163)*100+SUM(M163,AE163)+0.001,1,0)+IF(AV163*1000000+SUM(X163,AP163)*10000+SUM(R163,AJ163)*100+SUM(L163,AD163)+0.002&gt;AW163*1000000+SUM(Y163,AQ163)*10000+SUM(S163,AK163)*100+SUM(M163,AE163)+0.001,1,0)=0,"C",""))))))&amp;IF(IF(AS163*1000000+SUM(U163,AM163)*10000+SUM(O163,AG163)*100+SUM(I163,AA163)+0.005&gt;AR163*1000000+SUM(T163,AL163)*10000+SUM(N163,AF163)*100+SUM(H163,Z163)+0.006,1,0)+IF(AT163*1000000+SUM(V163,AN163)*10000+SUM(P163,AH163)*100+SUM(J163,AB163)+0.004&gt;AR163*1000000+SUM(T163,AL163)*10000+SUM(N163,AF163)*100+SUM(H163,Z163)+0.006,1,0)+IF(AU163*1000000+SUM(W163,AO163)*10000+SUM(Q163,AI163)*100+SUM(K163,AC163)+0.003&gt;AR163*1000000+SUM(T163,AL163)*10000+SUM(N163,AF163)*100+SUM(H163,Z163)+0.006,1,0)+IF(AV163*1000000+SUM(X163,AP163)*10000+SUM(R163,AJ163)*100+SUM(L163,AD163)+0.002&gt;AR163*1000000+SUM(T163,AL163)*10000+SUM(N163,AF163)*100+SUM(H163,Z163)+0.006,1,0)+IF(AW163*1000000+SUM(Y163,AQ163)*10000+SUM(S163,AK163)*100+SUM(M163,AE163)+0.001&gt;AR163*1000000+SUM(T163,AL163)*10000+SUM(N163,AF163)*100+SUM(H163,Z163)+0.006,1,0)=1,"R",IF(IF(AR163*1000000+SUM(T163,AL163)*10000+SUM(N163,AF163)*100+SUM(H163,Z163)+0.006&gt;AS163*1000000+SUM(U163,AM163)*10000+SUM(O163,AG163)*100+SUM(I163,AA163)+0.005,1,0)+IF(AT163*1000000+SUM(V163,AN163)*10000+SUM(P163,AH163)*100+SUM(J163,AB163)+0.004&gt;AS163*1000000+SUM(U163,AM163)*10000+SUM(O163,AG163)*100+SUM(I163,AA163)+0.005,1,0)+IF(AU163*1000000+SUM(W163,AO163)*10000+SUM(Q163,AI163)*100+SUM(K163,AC163)+0.003&gt;AS163*1000000+SUM(U163,AM163)*10000+SUM(O163,AG163)*100+SUM(I163,AA163)+0.005,1,0)+IF(AV163*1000000+SUM(X163,AP163)*10000+SUM(R163,AJ163)*100+SUM(L163,AD163)+0.002&gt;AS163*1000000+SUM(U163,AM163)*10000+SUM(O163,AG163)*100+SUM(I163,AA163)+0.005,1,0)+IF(AW163*1000000+SUM(Y163,AQ163)*10000+SUM(S163,AK163)*100+SUM(M163,AE163)+0.001&gt;AS163*1000000+SUM(U163,AM163)*10000+SUM(O163,AG163)*100+SUM(I163,AA163)+0.005,1,0)=1,"I",IF(IF(AR163*1000000+SUM(T163,AL163)*10000+SUM(N163,AF163)*100+SUM(H163,Z163)+0.006&gt;AT163*1000000+SUM(V163,AN163)*10000+SUM(P163,AH163)*100+SUM(J163,AB163)+0.004,1,0)+IF(AS163*1000000+SUM(U163,AM163)*10000+SUM(O163,AG163)*100+SUM(I163,AA163)+0.005&gt;AT163*1000000+SUM(V163,AN163)*10000+SUM(P163,AH163)*100+SUM(J163,AB163)+0.004,1,0)+IF(AU163*1000000+SUM(W163,AO163)*10000+SUM(Q163,AI163)*100+SUM(K163,AC163)+0.003&gt;AT163*1000000+SUM(V163,AN163)*10000+SUM(P163,AH163)*100+SUM(J163,AB163)+0.004,1,0)+IF(AV163*1000000+SUM(X163,AP163)*10000+SUM(R163,AJ163)*100+SUM(L163,AD163)+0.002&gt;AT163*1000000+SUM(V163,AN163)*10000+SUM(P163,AH163)*100+SUM(J163,AB163)+0.004,1,0)+IF(AW163*1000000+SUM(Y163,AQ163)*10000+SUM(S163,AK163)*100+SUM(M163,AE163)+0.001&gt;AT163*1000000+SUM(V163,AN163)*10000+SUM(P163,AH163)*100+SUM(J163,AB163)+0.004,1,0)=1,"A",IF(IF(AR163*1000000+SUM(T163,AL163)*10000+SUM(N163,AF163)*100+SUM(H163,Z163)+0.006&gt;AU163*1000000+SUM(W163,AO163)*10000+SUM(Q163,AI163)*100+SUM(K163,AC163)+0.003,1,0)+IF(AS163*1000000+SUM(U163,AM163)*10000+SUM(O163,AG163)*100+SUM(I163,AA163)+0.005&gt;AU163*1000000+SUM(W163,AO163)*10000+SUM(Q163,AI163)*100+SUM(K163,AC163)+0.003,1,0)+IF(AT163*1000000+SUM(V163,AN163)*10000+SUM(P163,AH163)*100+SUM(J163,AB163)+0.004&gt;AU163*1000000+SUM(W163,AO163)*10000+SUM(Q163,AI163)*100+SUM(K163,AC163)+0.003,1,0)+IF(AV163*1000000+SUM(X163,AP163)*10000+SUM(R163,AJ163)*100+SUM(L163,AD163)+0.002&gt;AU163*1000000+SUM(W163,AO163)*10000+SUM(Q163,AI163)*100+SUM(K163,AC163)+0.003,1,0)+IF(AW163*1000000+SUM(Y163,AQ163)*10000+SUM(S163,AK163)*100+SUM(M163,AE163)+0.001&gt;AU163*1000000+SUM(W163,AO163)*10000+SUM(Q163,AI163)*100+SUM(K163,AC163)+0.003,1,0)=1,"S",IF(IF(AR163*1000000+SUM(T163,AL163)*10000+SUM(N163,AF163)*100+SUM(H163,Z163)+0.006&gt;AV163*1000000+SUM(X163,AP163)*10000+SUM(R163,AJ163)*100+SUM(L163,AD163)+0.002,1,0)+IF(AS163*1000000+SUM(U163,AM163)*10000+SUM(O163,AG163)*100+SUM(I163,AA163)+0.005&gt;AV163*1000000+SUM(X163,AP163)*10000+SUM(R163,AJ163)*100+SUM(L163,AD163)+0.002,1,0)+IF(AT163*1000000+SUM(V163,AN163)*10000+SUM(P163,AH163)*100+SUM(J163,AB163)+0.004&gt;AV163*1000000+SUM(X163,AP163)*10000+SUM(R163,AJ163)*100+SUM(L163,AD163)+0.002,1,0)+IF(AU163*1000000+SUM(W163,AO163)*10000+SUM(Q163,AI163)*100+SUM(K163,AC163)+0.003&gt;AV163*1000000+SUM(X163,AP163)*10000+SUM(R163,AJ163)*100+SUM(L163,AD163)+0.002,1,0)+IF(AW163*1000000+SUM(Y163,AQ163)*10000+SUM(S163,AK163)*100+SUM(M163,AE163)+0.001&gt;AV163*1000000+SUM(X163,AP163)*10000+SUM(R163,AJ163)*100+SUM(L163,AD163)+0.002,1,0)=1,"E",IF(IF(AR163*1000000+SUM(T163,AL163)*10000+SUM(N163,AF163)*100+SUM(H163,Z163)+0.006&gt;AW163*1000000+SUM(Y163,AQ163)*10000+SUM(S163,AK163)*100+SUM(M163,AE163)+0.001,1,0)+IF(AS163*1000000+SUM(U163,AM163)*10000+SUM(O163,AG163)*100+SUM(I163,AA163)+0.005&gt;AW163*1000000+SUM(Y163,AQ163)*10000+SUM(S163,AK163)*100+SUM(M163,AE163)+0.001,1,0)+IF(AT163*1000000+SUM(V163,AN163)*10000+SUM(P163,AH163)*100+SUM(J163,AB163)+0.004&gt;AW163*1000000+SUM(Y163,AQ163)*10000+SUM(S163,AK163)*100+SUM(M163,AE163)+0.001,1,0)+IF(AU163*1000000+SUM(W163,AO163)*10000+SUM(Q163,AI163)*100+SUM(K163,AC163)+0.003&gt;AW163*1000000+SUM(Y163,AQ163)*10000+SUM(S163,AK163)*100+SUM(M163,AE163)+0.001,1,0)+IF(AV163*1000000+SUM(X163,AP163)*10000+SUM(R163,AJ163)*100+SUM(L163,AD163)+0.002&gt;AW163*1000000+SUM(Y163,AQ163)*10000+SUM(S163,AK163)*100+SUM(M163,AE163)+0.001,1,0)=1,"C",""))))))&amp;IF(IF(AS163*1000000+SUM(U163,AM163)*10000+SUM(O163,AG163)*100+SUM(I163,AA163)+0.005&gt;AR163*1000000+SUM(T163,AL163)*10000+SUM(N163,AF163)*100+SUM(H163,Z163)+0.006,1,0)+IF(AT163*1000000+SUM(V163,AN163)*10000+SUM(P163,AH163)*100+SUM(J163,AB163)+0.004&gt;AR163*1000000+SUM(T163,AL163)*10000+SUM(N163,AF163)*100+SUM(H163,Z163)+0.006,1,0)+IF(AU163*1000000+SUM(W163,AO163)*10000+SUM(Q163,AI163)*100+SUM(K163,AC163)+0.003&gt;AR163*1000000+SUM(T163,AL163)*10000+SUM(N163,AF163)*100+SUM(H163,Z163)+0.006,1,0)+IF(AV163*1000000+SUM(X163,AP163)*10000+SUM(R163,AJ163)*100+SUM(L163,AD163)+0.002&gt;AR163*1000000+SUM(T163,AL163)*10000+SUM(N163,AF163)*100+SUM(H163,Z163)+0.006,1,0)+IF(AW163*1000000+SUM(Y163,AQ163)*10000+SUM(S163,AK163)*100+SUM(M163,AE163)+0.001&gt;AR163*1000000+SUM(T163,AL163)*10000+SUM(N163,AF163)*100+SUM(H163,Z163)+0.006,1,0)=2,"R",IF(IF(AR163*1000000+SUM(T163,AL163)*10000+SUM(N163,AF163)*100+SUM(H163,Z163)+0.006&gt;AS163*1000000+SUM(U163,AM163)*10000+SUM(O163,AG163)*100+SUM(I163,AA163)+0.005,1,0)+IF(AT163*1000000+SUM(V163,AN163)*10000+SUM(P163,AH163)*100+SUM(J163,AB163)+0.004&gt;AS163*1000000+SUM(U163,AM163)*10000+SUM(O163,AG163)*100+SUM(I163,AA163)+0.005,1,0)+IF(AU163*1000000+SUM(W163,AO163)*10000+SUM(Q163,AI163)*100+SUM(K163,AC163)+0.003&gt;AS163*1000000+SUM(U163,AM163)*10000+SUM(O163,AG163)*100+SUM(I163,AA163)+0.005,1,0)+IF(AV163*1000000+SUM(X163,AP163)*10000+SUM(R163,AJ163)*100+SUM(L163,AD163)+0.002&gt;AS163*1000000+SUM(U163,AM163)*10000+SUM(O163,AG163)*100+SUM(I163,AA163)+0.005,1,0)+IF(AW163*1000000+SUM(Y163,AQ163)*10000+SUM(S163,AK163)*100+SUM(M163,AE163)+0.001&gt;AS163*1000000+SUM(U163,AM163)*10000+SUM(O163,AG163)*100+SUM(I163,AA163)+0.005,1,0)=2,"I",IF(IF(AR163*1000000+SUM(T163,AL163)*10000+SUM(N163,AF163)*100+SUM(H163,Z163)+0.006&gt;AT163*1000000+SUM(V163,AN163)*10000+SUM(P163,AH163)*100+SUM(J163,AB163)+0.004,1,0)+IF(AS163*1000000+SUM(U163,AM163)*10000+SUM(O163,AG163)*100+SUM(I163,AA163)+0.005&gt;AT163*1000000+SUM(V163,AN163)*10000+SUM(P163,AH163)*100+SUM(J163,AB163)+0.004,1,0)+IF(AU163*1000000+SUM(W163,AO163)*10000+SUM(Q163,AI163)*100+SUM(K163,AC163)+0.003&gt;AT163*1000000+SUM(V163,AN163)*10000+SUM(P163,AH163)*100+SUM(J163,AB163)+0.004,1,0)+IF(AV163*1000000+SUM(X163,AP163)*10000+SUM(R163,AJ163)*100+SUM(L163,AD163)+0.002&gt;AT163*1000000+SUM(V163,AN163)*10000+SUM(P163,AH163)*100+SUM(J163,AB163)+0.004,1,0)+IF(AW163*1000000+SUM(Y163,AQ163)*10000+SUM(S163,AK163)*100+SUM(M163,AE163)+0.001&gt;AT163*1000000+SUM(V163,AN163)*10000+SUM(P163,AH163)*100+SUM(J163,AB163)+0.004,1,0)=2,"A",IF(IF(AR163*1000000+SUM(T163,AL163)*10000+SUM(N163,AF163)*100+SUM(H163,Z163)+0.006&gt;AU163*1000000+SUM(W163,AO163)*10000+SUM(Q163,AI163)*100+SUM(K163,AC163)+0.003,1,0)+IF(AS163*1000000+SUM(U163,AM163)*10000+SUM(O163,AG163)*100+SUM(I163,AA163)+0.005&gt;AU163*1000000+SUM(W163,AO163)*10000+SUM(Q163,AI163)*100+SUM(K163,AC163)+0.003,1,0)+IF(AT163*1000000+SUM(V163,AN163)*10000+SUM(P163,AH163)*100+SUM(J163,AB163)+0.004&gt;AU163*1000000+SUM(W163,AO163)*10000+SUM(Q163,AI163)*100+SUM(K163,AC163)+0.003,1,0)+IF(AV163*1000000+SUM(X163,AP163)*10000+SUM(R163,AJ163)*100+SUM(L163,AD163)+0.002&gt;AU163*1000000+SUM(W163,AO163)*10000+SUM(Q163,AI163)*100+SUM(K163,AC163)+0.003,1,0)+IF(AW163*1000000+SUM(Y163,AQ163)*10000+SUM(S163,AK163)*100+SUM(M163,AE163)+0.001&gt;AU163*1000000+SUM(W163,AO163)*10000+SUM(Q163,AI163)*100+SUM(K163,AC163)+0.003,1,0)=2,"S",IF(IF(AR163*1000000+SUM(T163,AL163)*10000+SUM(N163,AF163)*100+SUM(H163,Z163)+0.006&gt;AV163*1000000+SUM(X163,AP163)*10000+SUM(R163,AJ163)*100+SUM(L163,AD163)+0.002,1,0)+IF(AS163*1000000+SUM(U163,AM163)*10000+SUM(O163,AG163)*100+SUM(I163,AA163)+0.005&gt;AV163*1000000+SUM(X163,AP163)*10000+SUM(R163,AJ163)*100+SUM(L163,AD163)+0.002,1,0)+IF(AT163*1000000+SUM(V163,AN163)*10000+SUM(P163,AH163)*100+SUM(J163,AB163)+0.004&gt;AV163*1000000+SUM(X163,AP163)*10000+SUM(R163,AJ163)*100+SUM(L163,AD163)+0.002,1,0)+IF(AU163*1000000+SUM(W163,AO163)*10000+SUM(Q163,AI163)*100+SUM(K163,AC163)+0.003&gt;AV163*1000000+SUM(X163,AP163)*10000+SUM(R163,AJ163)*100+SUM(L163,AD163)+0.002,1,0)+IF(AW163*1000000+SUM(Y163,AQ163)*10000+SUM(S163,AK163)*100+SUM(M163,AE163)+0.001&gt;AV163*1000000+SUM(X163,AP163)*10000+SUM(R163,AJ163)*100+SUM(L163,AD163)+0.002,1,0)=2,"E",IF(IF(AR163*1000000+SUM(T163,AL163)*10000+SUM(N163,AF163)*100+SUM(H163,Z163)+0.006&gt;AW163*1000000+SUM(Y163,AQ163)*10000+SUM(S163,AK163)*100+SUM(M163,AE163)+0.001,1,0)+IF(AS163*1000000+SUM(U163,AM163)*10000+SUM(O163,AG163)*100+SUM(I163,AA163)+0.005&gt;AW163*1000000+SUM(Y163,AQ163)*10000+SUM(S163,AK163)*100+SUM(M163,AE163)+0.001,1,0)+IF(AT163*1000000+SUM(V163,AN163)*10000+SUM(P163,AH163)*100+SUM(J163,AB163)+0.004&gt;AW163*1000000+SUM(Y163,AQ163)*10000+SUM(S163,AK163)*100+SUM(M163,AE163)+0.001,1,0)+IF(AU163*1000000+SUM(W163,AO163)*10000+SUM(Q163,AI163)*100+SUM(K163,AC163)+0.003&gt;AW163*1000000+SUM(Y163,AQ163)*10000+SUM(S163,AK163)*100+SUM(M163,AE163)+0.001,1,0)+IF(AV163*1000000+SUM(X163,AP163)*10000+SUM(R163,AJ163)*100+SUM(L163,AD163)+0.002&gt;AW163*1000000+SUM(Y163,AQ163)*10000+SUM(S163,AK163)*100+SUM(M163,AE163)+0.001,1,0)=2,"C","")))))))</x:f>
      </x:c>
      <x:c r="AY163" s="27" t="str">
        <x:f>IF(C163="","",IF(LEFT(AX163,1)="R","นักปฏิบัติ",IF(LEFT(AX163,1)="I","นักคิดวิเคราะห์",IF(LEFT(AX163,1)="A","นักสร้างสรรค์",IF(LEFT(AX163,1)="S","ผู้เข้าใจผู้คน",IF(LEFT(AX163,1)="E","ผู้นำการเปลี่ยนแปลง","ผู้จัดระบบ"))))))</x:f>
      </x:c>
    </x:row>
    <x:row r="164">
      <x:c r="A164" s="27"/>
      <x:c r="B164" s="28"/>
      <x:c r="C164" s="27"/>
      <x:c r="D164" s="27"/>
      <x:c r="E164" s="27"/>
      <x:c r="F164" s="27"/>
      <x:c r="G164" s="27"/>
      <x:c r="H164" s="27"/>
      <x:c r="I164" s="27"/>
      <x:c r="J164" s="27"/>
      <x:c r="K164" s="27"/>
      <x:c r="L164" s="27"/>
      <x:c r="M164" s="27"/>
      <x:c r="N164" s="27"/>
      <x:c r="O164" s="27"/>
      <x:c r="P164" s="27"/>
      <x:c r="Q164" s="27"/>
      <x:c r="R164" s="27"/>
      <x:c r="S164" s="27"/>
      <x:c r="T164" s="27"/>
      <x:c r="U164" s="27"/>
      <x:c r="V164" s="27"/>
      <x:c r="W164" s="27"/>
      <x:c r="X164" s="27"/>
      <x:c r="Y164" s="27"/>
      <x:c r="Z164" s="27"/>
      <x:c r="AA164" s="27"/>
      <x:c r="AB164" s="27"/>
      <x:c r="AC164" s="27"/>
      <x:c r="AD164" s="27"/>
      <x:c r="AE164" s="27"/>
      <x:c r="AF164" s="27"/>
      <x:c r="AG164" s="27"/>
      <x:c r="AH164" s="27"/>
      <x:c r="AI164" s="27"/>
      <x:c r="AJ164" s="27"/>
      <x:c r="AK164" s="27"/>
      <x:c r="AL164" s="27"/>
      <x:c r="AM164" s="27"/>
      <x:c r="AN164" s="27"/>
      <x:c r="AO164" s="27"/>
      <x:c r="AP164" s="27"/>
      <x:c r="AQ164" s="27"/>
      <x:c r="AR164" s="27" t="str">
        <x:f>IF(C164="","",SUM(H164,N164,T164,Z164,AF164,AL164))</x:f>
      </x:c>
      <x:c r="AS164" s="27" t="str">
        <x:f>IF(C164="","",SUM(I164,O164,U164,AA164,AG164,AM164))</x:f>
      </x:c>
      <x:c r="AT164" s="27" t="str">
        <x:f>IF(C164="","",SUM(J164,P164,V164,AB164,AH164,AN164))</x:f>
      </x:c>
      <x:c r="AU164" s="27" t="str">
        <x:f>IF(C164="","",SUM(K164,Q164,W164,AC164,AI164,AO164))</x:f>
      </x:c>
      <x:c r="AV164" s="27" t="str">
        <x:f>IF(C164="","",SUM(L164,R164,X164,AD164,AJ164,AP164))</x:f>
      </x:c>
      <x:c r="AW164" s="27" t="str">
        <x:f>IF(C164="","",SUM(M164,S164,Y164,AE164,AK164,AQ164))</x:f>
      </x:c>
      <x:c r="AX164" s="27" t="str">
        <x:f>IF(C164="","",IF(IF(AS164*1000000+SUM(U164,AM164)*10000+SUM(O164,AG164)*100+SUM(I164,AA164)+0.005&gt;AR164*1000000+SUM(T164,AL164)*10000+SUM(N164,AF164)*100+SUM(H164,Z164)+0.006,1,0)+IF(AT164*1000000+SUM(V164,AN164)*10000+SUM(P164,AH164)*100+SUM(J164,AB164)+0.004&gt;AR164*1000000+SUM(T164,AL164)*10000+SUM(N164,AF164)*100+SUM(H164,Z164)+0.006,1,0)+IF(AU164*1000000+SUM(W164,AO164)*10000+SUM(Q164,AI164)*100+SUM(K164,AC164)+0.003&gt;AR164*1000000+SUM(T164,AL164)*10000+SUM(N164,AF164)*100+SUM(H164,Z164)+0.006,1,0)+IF(AV164*1000000+SUM(X164,AP164)*10000+SUM(R164,AJ164)*100+SUM(L164,AD164)+0.002&gt;AR164*1000000+SUM(T164,AL164)*10000+SUM(N164,AF164)*100+SUM(H164,Z164)+0.006,1,0)+IF(AW164*1000000+SUM(Y164,AQ164)*10000+SUM(S164,AK164)*100+SUM(M164,AE164)+0.001&gt;AR164*1000000+SUM(T164,AL164)*10000+SUM(N164,AF164)*100+SUM(H164,Z164)+0.006,1,0)=0,"R",IF(IF(AR164*1000000+SUM(T164,AL164)*10000+SUM(N164,AF164)*100+SUM(H164,Z164)+0.006&gt;AS164*1000000+SUM(U164,AM164)*10000+SUM(O164,AG164)*100+SUM(I164,AA164)+0.005,1,0)+IF(AT164*1000000+SUM(V164,AN164)*10000+SUM(P164,AH164)*100+SUM(J164,AB164)+0.004&gt;AS164*1000000+SUM(U164,AM164)*10000+SUM(O164,AG164)*100+SUM(I164,AA164)+0.005,1,0)+IF(AU164*1000000+SUM(W164,AO164)*10000+SUM(Q164,AI164)*100+SUM(K164,AC164)+0.003&gt;AS164*1000000+SUM(U164,AM164)*10000+SUM(O164,AG164)*100+SUM(I164,AA164)+0.005,1,0)+IF(AV164*1000000+SUM(X164,AP164)*10000+SUM(R164,AJ164)*100+SUM(L164,AD164)+0.002&gt;AS164*1000000+SUM(U164,AM164)*10000+SUM(O164,AG164)*100+SUM(I164,AA164)+0.005,1,0)+IF(AW164*1000000+SUM(Y164,AQ164)*10000+SUM(S164,AK164)*100+SUM(M164,AE164)+0.001&gt;AS164*1000000+SUM(U164,AM164)*10000+SUM(O164,AG164)*100+SUM(I164,AA164)+0.005,1,0)=0,"I",IF(IF(AR164*1000000+SUM(T164,AL164)*10000+SUM(N164,AF164)*100+SUM(H164,Z164)+0.006&gt;AT164*1000000+SUM(V164,AN164)*10000+SUM(P164,AH164)*100+SUM(J164,AB164)+0.004,1,0)+IF(AS164*1000000+SUM(U164,AM164)*10000+SUM(O164,AG164)*100+SUM(I164,AA164)+0.005&gt;AT164*1000000+SUM(V164,AN164)*10000+SUM(P164,AH164)*100+SUM(J164,AB164)+0.004,1,0)+IF(AU164*1000000+SUM(W164,AO164)*10000+SUM(Q164,AI164)*100+SUM(K164,AC164)+0.003&gt;AT164*1000000+SUM(V164,AN164)*10000+SUM(P164,AH164)*100+SUM(J164,AB164)+0.004,1,0)+IF(AV164*1000000+SUM(X164,AP164)*10000+SUM(R164,AJ164)*100+SUM(L164,AD164)+0.002&gt;AT164*1000000+SUM(V164,AN164)*10000+SUM(P164,AH164)*100+SUM(J164,AB164)+0.004,1,0)+IF(AW164*1000000+SUM(Y164,AQ164)*10000+SUM(S164,AK164)*100+SUM(M164,AE164)+0.001&gt;AT164*1000000+SUM(V164,AN164)*10000+SUM(P164,AH164)*100+SUM(J164,AB164)+0.004,1,0)=0,"A",IF(IF(AR164*1000000+SUM(T164,AL164)*10000+SUM(N164,AF164)*100+SUM(H164,Z164)+0.006&gt;AU164*1000000+SUM(W164,AO164)*10000+SUM(Q164,AI164)*100+SUM(K164,AC164)+0.003,1,0)+IF(AS164*1000000+SUM(U164,AM164)*10000+SUM(O164,AG164)*100+SUM(I164,AA164)+0.005&gt;AU164*1000000+SUM(W164,AO164)*10000+SUM(Q164,AI164)*100+SUM(K164,AC164)+0.003,1,0)+IF(AT164*1000000+SUM(V164,AN164)*10000+SUM(P164,AH164)*100+SUM(J164,AB164)+0.004&gt;AU164*1000000+SUM(W164,AO164)*10000+SUM(Q164,AI164)*100+SUM(K164,AC164)+0.003,1,0)+IF(AV164*1000000+SUM(X164,AP164)*10000+SUM(R164,AJ164)*100+SUM(L164,AD164)+0.002&gt;AU164*1000000+SUM(W164,AO164)*10000+SUM(Q164,AI164)*100+SUM(K164,AC164)+0.003,1,0)+IF(AW164*1000000+SUM(Y164,AQ164)*10000+SUM(S164,AK164)*100+SUM(M164,AE164)+0.001&gt;AU164*1000000+SUM(W164,AO164)*10000+SUM(Q164,AI164)*100+SUM(K164,AC164)+0.003,1,0)=0,"S",IF(IF(AR164*1000000+SUM(T164,AL164)*10000+SUM(N164,AF164)*100+SUM(H164,Z164)+0.006&gt;AV164*1000000+SUM(X164,AP164)*10000+SUM(R164,AJ164)*100+SUM(L164,AD164)+0.002,1,0)+IF(AS164*1000000+SUM(U164,AM164)*10000+SUM(O164,AG164)*100+SUM(I164,AA164)+0.005&gt;AV164*1000000+SUM(X164,AP164)*10000+SUM(R164,AJ164)*100+SUM(L164,AD164)+0.002,1,0)+IF(AT164*1000000+SUM(V164,AN164)*10000+SUM(P164,AH164)*100+SUM(J164,AB164)+0.004&gt;AV164*1000000+SUM(X164,AP164)*10000+SUM(R164,AJ164)*100+SUM(L164,AD164)+0.002,1,0)+IF(AU164*1000000+SUM(W164,AO164)*10000+SUM(Q164,AI164)*100+SUM(K164,AC164)+0.003&gt;AV164*1000000+SUM(X164,AP164)*10000+SUM(R164,AJ164)*100+SUM(L164,AD164)+0.002,1,0)+IF(AW164*1000000+SUM(Y164,AQ164)*10000+SUM(S164,AK164)*100+SUM(M164,AE164)+0.001&gt;AV164*1000000+SUM(X164,AP164)*10000+SUM(R164,AJ164)*100+SUM(L164,AD164)+0.002,1,0)=0,"E",IF(IF(AR164*1000000+SUM(T164,AL164)*10000+SUM(N164,AF164)*100+SUM(H164,Z164)+0.006&gt;AW164*1000000+SUM(Y164,AQ164)*10000+SUM(S164,AK164)*100+SUM(M164,AE164)+0.001,1,0)+IF(AS164*1000000+SUM(U164,AM164)*10000+SUM(O164,AG164)*100+SUM(I164,AA164)+0.005&gt;AW164*1000000+SUM(Y164,AQ164)*10000+SUM(S164,AK164)*100+SUM(M164,AE164)+0.001,1,0)+IF(AT164*1000000+SUM(V164,AN164)*10000+SUM(P164,AH164)*100+SUM(J164,AB164)+0.004&gt;AW164*1000000+SUM(Y164,AQ164)*10000+SUM(S164,AK164)*100+SUM(M164,AE164)+0.001,1,0)+IF(AU164*1000000+SUM(W164,AO164)*10000+SUM(Q164,AI164)*100+SUM(K164,AC164)+0.003&gt;AW164*1000000+SUM(Y164,AQ164)*10000+SUM(S164,AK164)*100+SUM(M164,AE164)+0.001,1,0)+IF(AV164*1000000+SUM(X164,AP164)*10000+SUM(R164,AJ164)*100+SUM(L164,AD164)+0.002&gt;AW164*1000000+SUM(Y164,AQ164)*10000+SUM(S164,AK164)*100+SUM(M164,AE164)+0.001,1,0)=0,"C",""))))))&amp;IF(IF(AS164*1000000+SUM(U164,AM164)*10000+SUM(O164,AG164)*100+SUM(I164,AA164)+0.005&gt;AR164*1000000+SUM(T164,AL164)*10000+SUM(N164,AF164)*100+SUM(H164,Z164)+0.006,1,0)+IF(AT164*1000000+SUM(V164,AN164)*10000+SUM(P164,AH164)*100+SUM(J164,AB164)+0.004&gt;AR164*1000000+SUM(T164,AL164)*10000+SUM(N164,AF164)*100+SUM(H164,Z164)+0.006,1,0)+IF(AU164*1000000+SUM(W164,AO164)*10000+SUM(Q164,AI164)*100+SUM(K164,AC164)+0.003&gt;AR164*1000000+SUM(T164,AL164)*10000+SUM(N164,AF164)*100+SUM(H164,Z164)+0.006,1,0)+IF(AV164*1000000+SUM(X164,AP164)*10000+SUM(R164,AJ164)*100+SUM(L164,AD164)+0.002&gt;AR164*1000000+SUM(T164,AL164)*10000+SUM(N164,AF164)*100+SUM(H164,Z164)+0.006,1,0)+IF(AW164*1000000+SUM(Y164,AQ164)*10000+SUM(S164,AK164)*100+SUM(M164,AE164)+0.001&gt;AR164*1000000+SUM(T164,AL164)*10000+SUM(N164,AF164)*100+SUM(H164,Z164)+0.006,1,0)=1,"R",IF(IF(AR164*1000000+SUM(T164,AL164)*10000+SUM(N164,AF164)*100+SUM(H164,Z164)+0.006&gt;AS164*1000000+SUM(U164,AM164)*10000+SUM(O164,AG164)*100+SUM(I164,AA164)+0.005,1,0)+IF(AT164*1000000+SUM(V164,AN164)*10000+SUM(P164,AH164)*100+SUM(J164,AB164)+0.004&gt;AS164*1000000+SUM(U164,AM164)*10000+SUM(O164,AG164)*100+SUM(I164,AA164)+0.005,1,0)+IF(AU164*1000000+SUM(W164,AO164)*10000+SUM(Q164,AI164)*100+SUM(K164,AC164)+0.003&gt;AS164*1000000+SUM(U164,AM164)*10000+SUM(O164,AG164)*100+SUM(I164,AA164)+0.005,1,0)+IF(AV164*1000000+SUM(X164,AP164)*10000+SUM(R164,AJ164)*100+SUM(L164,AD164)+0.002&gt;AS164*1000000+SUM(U164,AM164)*10000+SUM(O164,AG164)*100+SUM(I164,AA164)+0.005,1,0)+IF(AW164*1000000+SUM(Y164,AQ164)*10000+SUM(S164,AK164)*100+SUM(M164,AE164)+0.001&gt;AS164*1000000+SUM(U164,AM164)*10000+SUM(O164,AG164)*100+SUM(I164,AA164)+0.005,1,0)=1,"I",IF(IF(AR164*1000000+SUM(T164,AL164)*10000+SUM(N164,AF164)*100+SUM(H164,Z164)+0.006&gt;AT164*1000000+SUM(V164,AN164)*10000+SUM(P164,AH164)*100+SUM(J164,AB164)+0.004,1,0)+IF(AS164*1000000+SUM(U164,AM164)*10000+SUM(O164,AG164)*100+SUM(I164,AA164)+0.005&gt;AT164*1000000+SUM(V164,AN164)*10000+SUM(P164,AH164)*100+SUM(J164,AB164)+0.004,1,0)+IF(AU164*1000000+SUM(W164,AO164)*10000+SUM(Q164,AI164)*100+SUM(K164,AC164)+0.003&gt;AT164*1000000+SUM(V164,AN164)*10000+SUM(P164,AH164)*100+SUM(J164,AB164)+0.004,1,0)+IF(AV164*1000000+SUM(X164,AP164)*10000+SUM(R164,AJ164)*100+SUM(L164,AD164)+0.002&gt;AT164*1000000+SUM(V164,AN164)*10000+SUM(P164,AH164)*100+SUM(J164,AB164)+0.004,1,0)+IF(AW164*1000000+SUM(Y164,AQ164)*10000+SUM(S164,AK164)*100+SUM(M164,AE164)+0.001&gt;AT164*1000000+SUM(V164,AN164)*10000+SUM(P164,AH164)*100+SUM(J164,AB164)+0.004,1,0)=1,"A",IF(IF(AR164*1000000+SUM(T164,AL164)*10000+SUM(N164,AF164)*100+SUM(H164,Z164)+0.006&gt;AU164*1000000+SUM(W164,AO164)*10000+SUM(Q164,AI164)*100+SUM(K164,AC164)+0.003,1,0)+IF(AS164*1000000+SUM(U164,AM164)*10000+SUM(O164,AG164)*100+SUM(I164,AA164)+0.005&gt;AU164*1000000+SUM(W164,AO164)*10000+SUM(Q164,AI164)*100+SUM(K164,AC164)+0.003,1,0)+IF(AT164*1000000+SUM(V164,AN164)*10000+SUM(P164,AH164)*100+SUM(J164,AB164)+0.004&gt;AU164*1000000+SUM(W164,AO164)*10000+SUM(Q164,AI164)*100+SUM(K164,AC164)+0.003,1,0)+IF(AV164*1000000+SUM(X164,AP164)*10000+SUM(R164,AJ164)*100+SUM(L164,AD164)+0.002&gt;AU164*1000000+SUM(W164,AO164)*10000+SUM(Q164,AI164)*100+SUM(K164,AC164)+0.003,1,0)+IF(AW164*1000000+SUM(Y164,AQ164)*10000+SUM(S164,AK164)*100+SUM(M164,AE164)+0.001&gt;AU164*1000000+SUM(W164,AO164)*10000+SUM(Q164,AI164)*100+SUM(K164,AC164)+0.003,1,0)=1,"S",IF(IF(AR164*1000000+SUM(T164,AL164)*10000+SUM(N164,AF164)*100+SUM(H164,Z164)+0.006&gt;AV164*1000000+SUM(X164,AP164)*10000+SUM(R164,AJ164)*100+SUM(L164,AD164)+0.002,1,0)+IF(AS164*1000000+SUM(U164,AM164)*10000+SUM(O164,AG164)*100+SUM(I164,AA164)+0.005&gt;AV164*1000000+SUM(X164,AP164)*10000+SUM(R164,AJ164)*100+SUM(L164,AD164)+0.002,1,0)+IF(AT164*1000000+SUM(V164,AN164)*10000+SUM(P164,AH164)*100+SUM(J164,AB164)+0.004&gt;AV164*1000000+SUM(X164,AP164)*10000+SUM(R164,AJ164)*100+SUM(L164,AD164)+0.002,1,0)+IF(AU164*1000000+SUM(W164,AO164)*10000+SUM(Q164,AI164)*100+SUM(K164,AC164)+0.003&gt;AV164*1000000+SUM(X164,AP164)*10000+SUM(R164,AJ164)*100+SUM(L164,AD164)+0.002,1,0)+IF(AW164*1000000+SUM(Y164,AQ164)*10000+SUM(S164,AK164)*100+SUM(M164,AE164)+0.001&gt;AV164*1000000+SUM(X164,AP164)*10000+SUM(R164,AJ164)*100+SUM(L164,AD164)+0.002,1,0)=1,"E",IF(IF(AR164*1000000+SUM(T164,AL164)*10000+SUM(N164,AF164)*100+SUM(H164,Z164)+0.006&gt;AW164*1000000+SUM(Y164,AQ164)*10000+SUM(S164,AK164)*100+SUM(M164,AE164)+0.001,1,0)+IF(AS164*1000000+SUM(U164,AM164)*10000+SUM(O164,AG164)*100+SUM(I164,AA164)+0.005&gt;AW164*1000000+SUM(Y164,AQ164)*10000+SUM(S164,AK164)*100+SUM(M164,AE164)+0.001,1,0)+IF(AT164*1000000+SUM(V164,AN164)*10000+SUM(P164,AH164)*100+SUM(J164,AB164)+0.004&gt;AW164*1000000+SUM(Y164,AQ164)*10000+SUM(S164,AK164)*100+SUM(M164,AE164)+0.001,1,0)+IF(AU164*1000000+SUM(W164,AO164)*10000+SUM(Q164,AI164)*100+SUM(K164,AC164)+0.003&gt;AW164*1000000+SUM(Y164,AQ164)*10000+SUM(S164,AK164)*100+SUM(M164,AE164)+0.001,1,0)+IF(AV164*1000000+SUM(X164,AP164)*10000+SUM(R164,AJ164)*100+SUM(L164,AD164)+0.002&gt;AW164*1000000+SUM(Y164,AQ164)*10000+SUM(S164,AK164)*100+SUM(M164,AE164)+0.001,1,0)=1,"C",""))))))&amp;IF(IF(AS164*1000000+SUM(U164,AM164)*10000+SUM(O164,AG164)*100+SUM(I164,AA164)+0.005&gt;AR164*1000000+SUM(T164,AL164)*10000+SUM(N164,AF164)*100+SUM(H164,Z164)+0.006,1,0)+IF(AT164*1000000+SUM(V164,AN164)*10000+SUM(P164,AH164)*100+SUM(J164,AB164)+0.004&gt;AR164*1000000+SUM(T164,AL164)*10000+SUM(N164,AF164)*100+SUM(H164,Z164)+0.006,1,0)+IF(AU164*1000000+SUM(W164,AO164)*10000+SUM(Q164,AI164)*100+SUM(K164,AC164)+0.003&gt;AR164*1000000+SUM(T164,AL164)*10000+SUM(N164,AF164)*100+SUM(H164,Z164)+0.006,1,0)+IF(AV164*1000000+SUM(X164,AP164)*10000+SUM(R164,AJ164)*100+SUM(L164,AD164)+0.002&gt;AR164*1000000+SUM(T164,AL164)*10000+SUM(N164,AF164)*100+SUM(H164,Z164)+0.006,1,0)+IF(AW164*1000000+SUM(Y164,AQ164)*10000+SUM(S164,AK164)*100+SUM(M164,AE164)+0.001&gt;AR164*1000000+SUM(T164,AL164)*10000+SUM(N164,AF164)*100+SUM(H164,Z164)+0.006,1,0)=2,"R",IF(IF(AR164*1000000+SUM(T164,AL164)*10000+SUM(N164,AF164)*100+SUM(H164,Z164)+0.006&gt;AS164*1000000+SUM(U164,AM164)*10000+SUM(O164,AG164)*100+SUM(I164,AA164)+0.005,1,0)+IF(AT164*1000000+SUM(V164,AN164)*10000+SUM(P164,AH164)*100+SUM(J164,AB164)+0.004&gt;AS164*1000000+SUM(U164,AM164)*10000+SUM(O164,AG164)*100+SUM(I164,AA164)+0.005,1,0)+IF(AU164*1000000+SUM(W164,AO164)*10000+SUM(Q164,AI164)*100+SUM(K164,AC164)+0.003&gt;AS164*1000000+SUM(U164,AM164)*10000+SUM(O164,AG164)*100+SUM(I164,AA164)+0.005,1,0)+IF(AV164*1000000+SUM(X164,AP164)*10000+SUM(R164,AJ164)*100+SUM(L164,AD164)+0.002&gt;AS164*1000000+SUM(U164,AM164)*10000+SUM(O164,AG164)*100+SUM(I164,AA164)+0.005,1,0)+IF(AW164*1000000+SUM(Y164,AQ164)*10000+SUM(S164,AK164)*100+SUM(M164,AE164)+0.001&gt;AS164*1000000+SUM(U164,AM164)*10000+SUM(O164,AG164)*100+SUM(I164,AA164)+0.005,1,0)=2,"I",IF(IF(AR164*1000000+SUM(T164,AL164)*10000+SUM(N164,AF164)*100+SUM(H164,Z164)+0.006&gt;AT164*1000000+SUM(V164,AN164)*10000+SUM(P164,AH164)*100+SUM(J164,AB164)+0.004,1,0)+IF(AS164*1000000+SUM(U164,AM164)*10000+SUM(O164,AG164)*100+SUM(I164,AA164)+0.005&gt;AT164*1000000+SUM(V164,AN164)*10000+SUM(P164,AH164)*100+SUM(J164,AB164)+0.004,1,0)+IF(AU164*1000000+SUM(W164,AO164)*10000+SUM(Q164,AI164)*100+SUM(K164,AC164)+0.003&gt;AT164*1000000+SUM(V164,AN164)*10000+SUM(P164,AH164)*100+SUM(J164,AB164)+0.004,1,0)+IF(AV164*1000000+SUM(X164,AP164)*10000+SUM(R164,AJ164)*100+SUM(L164,AD164)+0.002&gt;AT164*1000000+SUM(V164,AN164)*10000+SUM(P164,AH164)*100+SUM(J164,AB164)+0.004,1,0)+IF(AW164*1000000+SUM(Y164,AQ164)*10000+SUM(S164,AK164)*100+SUM(M164,AE164)+0.001&gt;AT164*1000000+SUM(V164,AN164)*10000+SUM(P164,AH164)*100+SUM(J164,AB164)+0.004,1,0)=2,"A",IF(IF(AR164*1000000+SUM(T164,AL164)*10000+SUM(N164,AF164)*100+SUM(H164,Z164)+0.006&gt;AU164*1000000+SUM(W164,AO164)*10000+SUM(Q164,AI164)*100+SUM(K164,AC164)+0.003,1,0)+IF(AS164*1000000+SUM(U164,AM164)*10000+SUM(O164,AG164)*100+SUM(I164,AA164)+0.005&gt;AU164*1000000+SUM(W164,AO164)*10000+SUM(Q164,AI164)*100+SUM(K164,AC164)+0.003,1,0)+IF(AT164*1000000+SUM(V164,AN164)*10000+SUM(P164,AH164)*100+SUM(J164,AB164)+0.004&gt;AU164*1000000+SUM(W164,AO164)*10000+SUM(Q164,AI164)*100+SUM(K164,AC164)+0.003,1,0)+IF(AV164*1000000+SUM(X164,AP164)*10000+SUM(R164,AJ164)*100+SUM(L164,AD164)+0.002&gt;AU164*1000000+SUM(W164,AO164)*10000+SUM(Q164,AI164)*100+SUM(K164,AC164)+0.003,1,0)+IF(AW164*1000000+SUM(Y164,AQ164)*10000+SUM(S164,AK164)*100+SUM(M164,AE164)+0.001&gt;AU164*1000000+SUM(W164,AO164)*10000+SUM(Q164,AI164)*100+SUM(K164,AC164)+0.003,1,0)=2,"S",IF(IF(AR164*1000000+SUM(T164,AL164)*10000+SUM(N164,AF164)*100+SUM(H164,Z164)+0.006&gt;AV164*1000000+SUM(X164,AP164)*10000+SUM(R164,AJ164)*100+SUM(L164,AD164)+0.002,1,0)+IF(AS164*1000000+SUM(U164,AM164)*10000+SUM(O164,AG164)*100+SUM(I164,AA164)+0.005&gt;AV164*1000000+SUM(X164,AP164)*10000+SUM(R164,AJ164)*100+SUM(L164,AD164)+0.002,1,0)+IF(AT164*1000000+SUM(V164,AN164)*10000+SUM(P164,AH164)*100+SUM(J164,AB164)+0.004&gt;AV164*1000000+SUM(X164,AP164)*10000+SUM(R164,AJ164)*100+SUM(L164,AD164)+0.002,1,0)+IF(AU164*1000000+SUM(W164,AO164)*10000+SUM(Q164,AI164)*100+SUM(K164,AC164)+0.003&gt;AV164*1000000+SUM(X164,AP164)*10000+SUM(R164,AJ164)*100+SUM(L164,AD164)+0.002,1,0)+IF(AW164*1000000+SUM(Y164,AQ164)*10000+SUM(S164,AK164)*100+SUM(M164,AE164)+0.001&gt;AV164*1000000+SUM(X164,AP164)*10000+SUM(R164,AJ164)*100+SUM(L164,AD164)+0.002,1,0)=2,"E",IF(IF(AR164*1000000+SUM(T164,AL164)*10000+SUM(N164,AF164)*100+SUM(H164,Z164)+0.006&gt;AW164*1000000+SUM(Y164,AQ164)*10000+SUM(S164,AK164)*100+SUM(M164,AE164)+0.001,1,0)+IF(AS164*1000000+SUM(U164,AM164)*10000+SUM(O164,AG164)*100+SUM(I164,AA164)+0.005&gt;AW164*1000000+SUM(Y164,AQ164)*10000+SUM(S164,AK164)*100+SUM(M164,AE164)+0.001,1,0)+IF(AT164*1000000+SUM(V164,AN164)*10000+SUM(P164,AH164)*100+SUM(J164,AB164)+0.004&gt;AW164*1000000+SUM(Y164,AQ164)*10000+SUM(S164,AK164)*100+SUM(M164,AE164)+0.001,1,0)+IF(AU164*1000000+SUM(W164,AO164)*10000+SUM(Q164,AI164)*100+SUM(K164,AC164)+0.003&gt;AW164*1000000+SUM(Y164,AQ164)*10000+SUM(S164,AK164)*100+SUM(M164,AE164)+0.001,1,0)+IF(AV164*1000000+SUM(X164,AP164)*10000+SUM(R164,AJ164)*100+SUM(L164,AD164)+0.002&gt;AW164*1000000+SUM(Y164,AQ164)*10000+SUM(S164,AK164)*100+SUM(M164,AE164)+0.001,1,0)=2,"C","")))))))</x:f>
      </x:c>
      <x:c r="AY164" s="27" t="str">
        <x:f>IF(C164="","",IF(LEFT(AX164,1)="R","นักปฏิบัติ",IF(LEFT(AX164,1)="I","นักคิดวิเคราะห์",IF(LEFT(AX164,1)="A","นักสร้างสรรค์",IF(LEFT(AX164,1)="S","ผู้เข้าใจผู้คน",IF(LEFT(AX164,1)="E","ผู้นำการเปลี่ยนแปลง","ผู้จัดระบบ"))))))</x:f>
      </x:c>
    </x:row>
    <x:row r="165">
      <x:c r="A165" s="27"/>
      <x:c r="B165" s="28"/>
      <x:c r="C165" s="27"/>
      <x:c r="D165" s="27"/>
      <x:c r="E165" s="27"/>
      <x:c r="F165" s="27"/>
      <x:c r="G165" s="27"/>
      <x:c r="H165" s="27"/>
      <x:c r="I165" s="27"/>
      <x:c r="J165" s="27"/>
      <x:c r="K165" s="27"/>
      <x:c r="L165" s="27"/>
      <x:c r="M165" s="27"/>
      <x:c r="N165" s="27"/>
      <x:c r="O165" s="27"/>
      <x:c r="P165" s="27"/>
      <x:c r="Q165" s="27"/>
      <x:c r="R165" s="27"/>
      <x:c r="S165" s="27"/>
      <x:c r="T165" s="27"/>
      <x:c r="U165" s="27"/>
      <x:c r="V165" s="27"/>
      <x:c r="W165" s="27"/>
      <x:c r="X165" s="27"/>
      <x:c r="Y165" s="27"/>
      <x:c r="Z165" s="27"/>
      <x:c r="AA165" s="27"/>
      <x:c r="AB165" s="27"/>
      <x:c r="AC165" s="27"/>
      <x:c r="AD165" s="27"/>
      <x:c r="AE165" s="27"/>
      <x:c r="AF165" s="27"/>
      <x:c r="AG165" s="27"/>
      <x:c r="AH165" s="27"/>
      <x:c r="AI165" s="27"/>
      <x:c r="AJ165" s="27"/>
      <x:c r="AK165" s="27"/>
      <x:c r="AL165" s="27"/>
      <x:c r="AM165" s="27"/>
      <x:c r="AN165" s="27"/>
      <x:c r="AO165" s="27"/>
      <x:c r="AP165" s="27"/>
      <x:c r="AQ165" s="27"/>
      <x:c r="AR165" s="27" t="str">
        <x:f>IF(C165="","",SUM(H165,N165,T165,Z165,AF165,AL165))</x:f>
      </x:c>
      <x:c r="AS165" s="27" t="str">
        <x:f>IF(C165="","",SUM(I165,O165,U165,AA165,AG165,AM165))</x:f>
      </x:c>
      <x:c r="AT165" s="27" t="str">
        <x:f>IF(C165="","",SUM(J165,P165,V165,AB165,AH165,AN165))</x:f>
      </x:c>
      <x:c r="AU165" s="27" t="str">
        <x:f>IF(C165="","",SUM(K165,Q165,W165,AC165,AI165,AO165))</x:f>
      </x:c>
      <x:c r="AV165" s="27" t="str">
        <x:f>IF(C165="","",SUM(L165,R165,X165,AD165,AJ165,AP165))</x:f>
      </x:c>
      <x:c r="AW165" s="27" t="str">
        <x:f>IF(C165="","",SUM(M165,S165,Y165,AE165,AK165,AQ165))</x:f>
      </x:c>
      <x:c r="AX165" s="27" t="str">
        <x:f>IF(C165="","",IF(IF(AS165*1000000+SUM(U165,AM165)*10000+SUM(O165,AG165)*100+SUM(I165,AA165)+0.005&gt;AR165*1000000+SUM(T165,AL165)*10000+SUM(N165,AF165)*100+SUM(H165,Z165)+0.006,1,0)+IF(AT165*1000000+SUM(V165,AN165)*10000+SUM(P165,AH165)*100+SUM(J165,AB165)+0.004&gt;AR165*1000000+SUM(T165,AL165)*10000+SUM(N165,AF165)*100+SUM(H165,Z165)+0.006,1,0)+IF(AU165*1000000+SUM(W165,AO165)*10000+SUM(Q165,AI165)*100+SUM(K165,AC165)+0.003&gt;AR165*1000000+SUM(T165,AL165)*10000+SUM(N165,AF165)*100+SUM(H165,Z165)+0.006,1,0)+IF(AV165*1000000+SUM(X165,AP165)*10000+SUM(R165,AJ165)*100+SUM(L165,AD165)+0.002&gt;AR165*1000000+SUM(T165,AL165)*10000+SUM(N165,AF165)*100+SUM(H165,Z165)+0.006,1,0)+IF(AW165*1000000+SUM(Y165,AQ165)*10000+SUM(S165,AK165)*100+SUM(M165,AE165)+0.001&gt;AR165*1000000+SUM(T165,AL165)*10000+SUM(N165,AF165)*100+SUM(H165,Z165)+0.006,1,0)=0,"R",IF(IF(AR165*1000000+SUM(T165,AL165)*10000+SUM(N165,AF165)*100+SUM(H165,Z165)+0.006&gt;AS165*1000000+SUM(U165,AM165)*10000+SUM(O165,AG165)*100+SUM(I165,AA165)+0.005,1,0)+IF(AT165*1000000+SUM(V165,AN165)*10000+SUM(P165,AH165)*100+SUM(J165,AB165)+0.004&gt;AS165*1000000+SUM(U165,AM165)*10000+SUM(O165,AG165)*100+SUM(I165,AA165)+0.005,1,0)+IF(AU165*1000000+SUM(W165,AO165)*10000+SUM(Q165,AI165)*100+SUM(K165,AC165)+0.003&gt;AS165*1000000+SUM(U165,AM165)*10000+SUM(O165,AG165)*100+SUM(I165,AA165)+0.005,1,0)+IF(AV165*1000000+SUM(X165,AP165)*10000+SUM(R165,AJ165)*100+SUM(L165,AD165)+0.002&gt;AS165*1000000+SUM(U165,AM165)*10000+SUM(O165,AG165)*100+SUM(I165,AA165)+0.005,1,0)+IF(AW165*1000000+SUM(Y165,AQ165)*10000+SUM(S165,AK165)*100+SUM(M165,AE165)+0.001&gt;AS165*1000000+SUM(U165,AM165)*10000+SUM(O165,AG165)*100+SUM(I165,AA165)+0.005,1,0)=0,"I",IF(IF(AR165*1000000+SUM(T165,AL165)*10000+SUM(N165,AF165)*100+SUM(H165,Z165)+0.006&gt;AT165*1000000+SUM(V165,AN165)*10000+SUM(P165,AH165)*100+SUM(J165,AB165)+0.004,1,0)+IF(AS165*1000000+SUM(U165,AM165)*10000+SUM(O165,AG165)*100+SUM(I165,AA165)+0.005&gt;AT165*1000000+SUM(V165,AN165)*10000+SUM(P165,AH165)*100+SUM(J165,AB165)+0.004,1,0)+IF(AU165*1000000+SUM(W165,AO165)*10000+SUM(Q165,AI165)*100+SUM(K165,AC165)+0.003&gt;AT165*1000000+SUM(V165,AN165)*10000+SUM(P165,AH165)*100+SUM(J165,AB165)+0.004,1,0)+IF(AV165*1000000+SUM(X165,AP165)*10000+SUM(R165,AJ165)*100+SUM(L165,AD165)+0.002&gt;AT165*1000000+SUM(V165,AN165)*10000+SUM(P165,AH165)*100+SUM(J165,AB165)+0.004,1,0)+IF(AW165*1000000+SUM(Y165,AQ165)*10000+SUM(S165,AK165)*100+SUM(M165,AE165)+0.001&gt;AT165*1000000+SUM(V165,AN165)*10000+SUM(P165,AH165)*100+SUM(J165,AB165)+0.004,1,0)=0,"A",IF(IF(AR165*1000000+SUM(T165,AL165)*10000+SUM(N165,AF165)*100+SUM(H165,Z165)+0.006&gt;AU165*1000000+SUM(W165,AO165)*10000+SUM(Q165,AI165)*100+SUM(K165,AC165)+0.003,1,0)+IF(AS165*1000000+SUM(U165,AM165)*10000+SUM(O165,AG165)*100+SUM(I165,AA165)+0.005&gt;AU165*1000000+SUM(W165,AO165)*10000+SUM(Q165,AI165)*100+SUM(K165,AC165)+0.003,1,0)+IF(AT165*1000000+SUM(V165,AN165)*10000+SUM(P165,AH165)*100+SUM(J165,AB165)+0.004&gt;AU165*1000000+SUM(W165,AO165)*10000+SUM(Q165,AI165)*100+SUM(K165,AC165)+0.003,1,0)+IF(AV165*1000000+SUM(X165,AP165)*10000+SUM(R165,AJ165)*100+SUM(L165,AD165)+0.002&gt;AU165*1000000+SUM(W165,AO165)*10000+SUM(Q165,AI165)*100+SUM(K165,AC165)+0.003,1,0)+IF(AW165*1000000+SUM(Y165,AQ165)*10000+SUM(S165,AK165)*100+SUM(M165,AE165)+0.001&gt;AU165*1000000+SUM(W165,AO165)*10000+SUM(Q165,AI165)*100+SUM(K165,AC165)+0.003,1,0)=0,"S",IF(IF(AR165*1000000+SUM(T165,AL165)*10000+SUM(N165,AF165)*100+SUM(H165,Z165)+0.006&gt;AV165*1000000+SUM(X165,AP165)*10000+SUM(R165,AJ165)*100+SUM(L165,AD165)+0.002,1,0)+IF(AS165*1000000+SUM(U165,AM165)*10000+SUM(O165,AG165)*100+SUM(I165,AA165)+0.005&gt;AV165*1000000+SUM(X165,AP165)*10000+SUM(R165,AJ165)*100+SUM(L165,AD165)+0.002,1,0)+IF(AT165*1000000+SUM(V165,AN165)*10000+SUM(P165,AH165)*100+SUM(J165,AB165)+0.004&gt;AV165*1000000+SUM(X165,AP165)*10000+SUM(R165,AJ165)*100+SUM(L165,AD165)+0.002,1,0)+IF(AU165*1000000+SUM(W165,AO165)*10000+SUM(Q165,AI165)*100+SUM(K165,AC165)+0.003&gt;AV165*1000000+SUM(X165,AP165)*10000+SUM(R165,AJ165)*100+SUM(L165,AD165)+0.002,1,0)+IF(AW165*1000000+SUM(Y165,AQ165)*10000+SUM(S165,AK165)*100+SUM(M165,AE165)+0.001&gt;AV165*1000000+SUM(X165,AP165)*10000+SUM(R165,AJ165)*100+SUM(L165,AD165)+0.002,1,0)=0,"E",IF(IF(AR165*1000000+SUM(T165,AL165)*10000+SUM(N165,AF165)*100+SUM(H165,Z165)+0.006&gt;AW165*1000000+SUM(Y165,AQ165)*10000+SUM(S165,AK165)*100+SUM(M165,AE165)+0.001,1,0)+IF(AS165*1000000+SUM(U165,AM165)*10000+SUM(O165,AG165)*100+SUM(I165,AA165)+0.005&gt;AW165*1000000+SUM(Y165,AQ165)*10000+SUM(S165,AK165)*100+SUM(M165,AE165)+0.001,1,0)+IF(AT165*1000000+SUM(V165,AN165)*10000+SUM(P165,AH165)*100+SUM(J165,AB165)+0.004&gt;AW165*1000000+SUM(Y165,AQ165)*10000+SUM(S165,AK165)*100+SUM(M165,AE165)+0.001,1,0)+IF(AU165*1000000+SUM(W165,AO165)*10000+SUM(Q165,AI165)*100+SUM(K165,AC165)+0.003&gt;AW165*1000000+SUM(Y165,AQ165)*10000+SUM(S165,AK165)*100+SUM(M165,AE165)+0.001,1,0)+IF(AV165*1000000+SUM(X165,AP165)*10000+SUM(R165,AJ165)*100+SUM(L165,AD165)+0.002&gt;AW165*1000000+SUM(Y165,AQ165)*10000+SUM(S165,AK165)*100+SUM(M165,AE165)+0.001,1,0)=0,"C",""))))))&amp;IF(IF(AS165*1000000+SUM(U165,AM165)*10000+SUM(O165,AG165)*100+SUM(I165,AA165)+0.005&gt;AR165*1000000+SUM(T165,AL165)*10000+SUM(N165,AF165)*100+SUM(H165,Z165)+0.006,1,0)+IF(AT165*1000000+SUM(V165,AN165)*10000+SUM(P165,AH165)*100+SUM(J165,AB165)+0.004&gt;AR165*1000000+SUM(T165,AL165)*10000+SUM(N165,AF165)*100+SUM(H165,Z165)+0.006,1,0)+IF(AU165*1000000+SUM(W165,AO165)*10000+SUM(Q165,AI165)*100+SUM(K165,AC165)+0.003&gt;AR165*1000000+SUM(T165,AL165)*10000+SUM(N165,AF165)*100+SUM(H165,Z165)+0.006,1,0)+IF(AV165*1000000+SUM(X165,AP165)*10000+SUM(R165,AJ165)*100+SUM(L165,AD165)+0.002&gt;AR165*1000000+SUM(T165,AL165)*10000+SUM(N165,AF165)*100+SUM(H165,Z165)+0.006,1,0)+IF(AW165*1000000+SUM(Y165,AQ165)*10000+SUM(S165,AK165)*100+SUM(M165,AE165)+0.001&gt;AR165*1000000+SUM(T165,AL165)*10000+SUM(N165,AF165)*100+SUM(H165,Z165)+0.006,1,0)=1,"R",IF(IF(AR165*1000000+SUM(T165,AL165)*10000+SUM(N165,AF165)*100+SUM(H165,Z165)+0.006&gt;AS165*1000000+SUM(U165,AM165)*10000+SUM(O165,AG165)*100+SUM(I165,AA165)+0.005,1,0)+IF(AT165*1000000+SUM(V165,AN165)*10000+SUM(P165,AH165)*100+SUM(J165,AB165)+0.004&gt;AS165*1000000+SUM(U165,AM165)*10000+SUM(O165,AG165)*100+SUM(I165,AA165)+0.005,1,0)+IF(AU165*1000000+SUM(W165,AO165)*10000+SUM(Q165,AI165)*100+SUM(K165,AC165)+0.003&gt;AS165*1000000+SUM(U165,AM165)*10000+SUM(O165,AG165)*100+SUM(I165,AA165)+0.005,1,0)+IF(AV165*1000000+SUM(X165,AP165)*10000+SUM(R165,AJ165)*100+SUM(L165,AD165)+0.002&gt;AS165*1000000+SUM(U165,AM165)*10000+SUM(O165,AG165)*100+SUM(I165,AA165)+0.005,1,0)+IF(AW165*1000000+SUM(Y165,AQ165)*10000+SUM(S165,AK165)*100+SUM(M165,AE165)+0.001&gt;AS165*1000000+SUM(U165,AM165)*10000+SUM(O165,AG165)*100+SUM(I165,AA165)+0.005,1,0)=1,"I",IF(IF(AR165*1000000+SUM(T165,AL165)*10000+SUM(N165,AF165)*100+SUM(H165,Z165)+0.006&gt;AT165*1000000+SUM(V165,AN165)*10000+SUM(P165,AH165)*100+SUM(J165,AB165)+0.004,1,0)+IF(AS165*1000000+SUM(U165,AM165)*10000+SUM(O165,AG165)*100+SUM(I165,AA165)+0.005&gt;AT165*1000000+SUM(V165,AN165)*10000+SUM(P165,AH165)*100+SUM(J165,AB165)+0.004,1,0)+IF(AU165*1000000+SUM(W165,AO165)*10000+SUM(Q165,AI165)*100+SUM(K165,AC165)+0.003&gt;AT165*1000000+SUM(V165,AN165)*10000+SUM(P165,AH165)*100+SUM(J165,AB165)+0.004,1,0)+IF(AV165*1000000+SUM(X165,AP165)*10000+SUM(R165,AJ165)*100+SUM(L165,AD165)+0.002&gt;AT165*1000000+SUM(V165,AN165)*10000+SUM(P165,AH165)*100+SUM(J165,AB165)+0.004,1,0)+IF(AW165*1000000+SUM(Y165,AQ165)*10000+SUM(S165,AK165)*100+SUM(M165,AE165)+0.001&gt;AT165*1000000+SUM(V165,AN165)*10000+SUM(P165,AH165)*100+SUM(J165,AB165)+0.004,1,0)=1,"A",IF(IF(AR165*1000000+SUM(T165,AL165)*10000+SUM(N165,AF165)*100+SUM(H165,Z165)+0.006&gt;AU165*1000000+SUM(W165,AO165)*10000+SUM(Q165,AI165)*100+SUM(K165,AC165)+0.003,1,0)+IF(AS165*1000000+SUM(U165,AM165)*10000+SUM(O165,AG165)*100+SUM(I165,AA165)+0.005&gt;AU165*1000000+SUM(W165,AO165)*10000+SUM(Q165,AI165)*100+SUM(K165,AC165)+0.003,1,0)+IF(AT165*1000000+SUM(V165,AN165)*10000+SUM(P165,AH165)*100+SUM(J165,AB165)+0.004&gt;AU165*1000000+SUM(W165,AO165)*10000+SUM(Q165,AI165)*100+SUM(K165,AC165)+0.003,1,0)+IF(AV165*1000000+SUM(X165,AP165)*10000+SUM(R165,AJ165)*100+SUM(L165,AD165)+0.002&gt;AU165*1000000+SUM(W165,AO165)*10000+SUM(Q165,AI165)*100+SUM(K165,AC165)+0.003,1,0)+IF(AW165*1000000+SUM(Y165,AQ165)*10000+SUM(S165,AK165)*100+SUM(M165,AE165)+0.001&gt;AU165*1000000+SUM(W165,AO165)*10000+SUM(Q165,AI165)*100+SUM(K165,AC165)+0.003,1,0)=1,"S",IF(IF(AR165*1000000+SUM(T165,AL165)*10000+SUM(N165,AF165)*100+SUM(H165,Z165)+0.006&gt;AV165*1000000+SUM(X165,AP165)*10000+SUM(R165,AJ165)*100+SUM(L165,AD165)+0.002,1,0)+IF(AS165*1000000+SUM(U165,AM165)*10000+SUM(O165,AG165)*100+SUM(I165,AA165)+0.005&gt;AV165*1000000+SUM(X165,AP165)*10000+SUM(R165,AJ165)*100+SUM(L165,AD165)+0.002,1,0)+IF(AT165*1000000+SUM(V165,AN165)*10000+SUM(P165,AH165)*100+SUM(J165,AB165)+0.004&gt;AV165*1000000+SUM(X165,AP165)*10000+SUM(R165,AJ165)*100+SUM(L165,AD165)+0.002,1,0)+IF(AU165*1000000+SUM(W165,AO165)*10000+SUM(Q165,AI165)*100+SUM(K165,AC165)+0.003&gt;AV165*1000000+SUM(X165,AP165)*10000+SUM(R165,AJ165)*100+SUM(L165,AD165)+0.002,1,0)+IF(AW165*1000000+SUM(Y165,AQ165)*10000+SUM(S165,AK165)*100+SUM(M165,AE165)+0.001&gt;AV165*1000000+SUM(X165,AP165)*10000+SUM(R165,AJ165)*100+SUM(L165,AD165)+0.002,1,0)=1,"E",IF(IF(AR165*1000000+SUM(T165,AL165)*10000+SUM(N165,AF165)*100+SUM(H165,Z165)+0.006&gt;AW165*1000000+SUM(Y165,AQ165)*10000+SUM(S165,AK165)*100+SUM(M165,AE165)+0.001,1,0)+IF(AS165*1000000+SUM(U165,AM165)*10000+SUM(O165,AG165)*100+SUM(I165,AA165)+0.005&gt;AW165*1000000+SUM(Y165,AQ165)*10000+SUM(S165,AK165)*100+SUM(M165,AE165)+0.001,1,0)+IF(AT165*1000000+SUM(V165,AN165)*10000+SUM(P165,AH165)*100+SUM(J165,AB165)+0.004&gt;AW165*1000000+SUM(Y165,AQ165)*10000+SUM(S165,AK165)*100+SUM(M165,AE165)+0.001,1,0)+IF(AU165*1000000+SUM(W165,AO165)*10000+SUM(Q165,AI165)*100+SUM(K165,AC165)+0.003&gt;AW165*1000000+SUM(Y165,AQ165)*10000+SUM(S165,AK165)*100+SUM(M165,AE165)+0.001,1,0)+IF(AV165*1000000+SUM(X165,AP165)*10000+SUM(R165,AJ165)*100+SUM(L165,AD165)+0.002&gt;AW165*1000000+SUM(Y165,AQ165)*10000+SUM(S165,AK165)*100+SUM(M165,AE165)+0.001,1,0)=1,"C",""))))))&amp;IF(IF(AS165*1000000+SUM(U165,AM165)*10000+SUM(O165,AG165)*100+SUM(I165,AA165)+0.005&gt;AR165*1000000+SUM(T165,AL165)*10000+SUM(N165,AF165)*100+SUM(H165,Z165)+0.006,1,0)+IF(AT165*1000000+SUM(V165,AN165)*10000+SUM(P165,AH165)*100+SUM(J165,AB165)+0.004&gt;AR165*1000000+SUM(T165,AL165)*10000+SUM(N165,AF165)*100+SUM(H165,Z165)+0.006,1,0)+IF(AU165*1000000+SUM(W165,AO165)*10000+SUM(Q165,AI165)*100+SUM(K165,AC165)+0.003&gt;AR165*1000000+SUM(T165,AL165)*10000+SUM(N165,AF165)*100+SUM(H165,Z165)+0.006,1,0)+IF(AV165*1000000+SUM(X165,AP165)*10000+SUM(R165,AJ165)*100+SUM(L165,AD165)+0.002&gt;AR165*1000000+SUM(T165,AL165)*10000+SUM(N165,AF165)*100+SUM(H165,Z165)+0.006,1,0)+IF(AW165*1000000+SUM(Y165,AQ165)*10000+SUM(S165,AK165)*100+SUM(M165,AE165)+0.001&gt;AR165*1000000+SUM(T165,AL165)*10000+SUM(N165,AF165)*100+SUM(H165,Z165)+0.006,1,0)=2,"R",IF(IF(AR165*1000000+SUM(T165,AL165)*10000+SUM(N165,AF165)*100+SUM(H165,Z165)+0.006&gt;AS165*1000000+SUM(U165,AM165)*10000+SUM(O165,AG165)*100+SUM(I165,AA165)+0.005,1,0)+IF(AT165*1000000+SUM(V165,AN165)*10000+SUM(P165,AH165)*100+SUM(J165,AB165)+0.004&gt;AS165*1000000+SUM(U165,AM165)*10000+SUM(O165,AG165)*100+SUM(I165,AA165)+0.005,1,0)+IF(AU165*1000000+SUM(W165,AO165)*10000+SUM(Q165,AI165)*100+SUM(K165,AC165)+0.003&gt;AS165*1000000+SUM(U165,AM165)*10000+SUM(O165,AG165)*100+SUM(I165,AA165)+0.005,1,0)+IF(AV165*1000000+SUM(X165,AP165)*10000+SUM(R165,AJ165)*100+SUM(L165,AD165)+0.002&gt;AS165*1000000+SUM(U165,AM165)*10000+SUM(O165,AG165)*100+SUM(I165,AA165)+0.005,1,0)+IF(AW165*1000000+SUM(Y165,AQ165)*10000+SUM(S165,AK165)*100+SUM(M165,AE165)+0.001&gt;AS165*1000000+SUM(U165,AM165)*10000+SUM(O165,AG165)*100+SUM(I165,AA165)+0.005,1,0)=2,"I",IF(IF(AR165*1000000+SUM(T165,AL165)*10000+SUM(N165,AF165)*100+SUM(H165,Z165)+0.006&gt;AT165*1000000+SUM(V165,AN165)*10000+SUM(P165,AH165)*100+SUM(J165,AB165)+0.004,1,0)+IF(AS165*1000000+SUM(U165,AM165)*10000+SUM(O165,AG165)*100+SUM(I165,AA165)+0.005&gt;AT165*1000000+SUM(V165,AN165)*10000+SUM(P165,AH165)*100+SUM(J165,AB165)+0.004,1,0)+IF(AU165*1000000+SUM(W165,AO165)*10000+SUM(Q165,AI165)*100+SUM(K165,AC165)+0.003&gt;AT165*1000000+SUM(V165,AN165)*10000+SUM(P165,AH165)*100+SUM(J165,AB165)+0.004,1,0)+IF(AV165*1000000+SUM(X165,AP165)*10000+SUM(R165,AJ165)*100+SUM(L165,AD165)+0.002&gt;AT165*1000000+SUM(V165,AN165)*10000+SUM(P165,AH165)*100+SUM(J165,AB165)+0.004,1,0)+IF(AW165*1000000+SUM(Y165,AQ165)*10000+SUM(S165,AK165)*100+SUM(M165,AE165)+0.001&gt;AT165*1000000+SUM(V165,AN165)*10000+SUM(P165,AH165)*100+SUM(J165,AB165)+0.004,1,0)=2,"A",IF(IF(AR165*1000000+SUM(T165,AL165)*10000+SUM(N165,AF165)*100+SUM(H165,Z165)+0.006&gt;AU165*1000000+SUM(W165,AO165)*10000+SUM(Q165,AI165)*100+SUM(K165,AC165)+0.003,1,0)+IF(AS165*1000000+SUM(U165,AM165)*10000+SUM(O165,AG165)*100+SUM(I165,AA165)+0.005&gt;AU165*1000000+SUM(W165,AO165)*10000+SUM(Q165,AI165)*100+SUM(K165,AC165)+0.003,1,0)+IF(AT165*1000000+SUM(V165,AN165)*10000+SUM(P165,AH165)*100+SUM(J165,AB165)+0.004&gt;AU165*1000000+SUM(W165,AO165)*10000+SUM(Q165,AI165)*100+SUM(K165,AC165)+0.003,1,0)+IF(AV165*1000000+SUM(X165,AP165)*10000+SUM(R165,AJ165)*100+SUM(L165,AD165)+0.002&gt;AU165*1000000+SUM(W165,AO165)*10000+SUM(Q165,AI165)*100+SUM(K165,AC165)+0.003,1,0)+IF(AW165*1000000+SUM(Y165,AQ165)*10000+SUM(S165,AK165)*100+SUM(M165,AE165)+0.001&gt;AU165*1000000+SUM(W165,AO165)*10000+SUM(Q165,AI165)*100+SUM(K165,AC165)+0.003,1,0)=2,"S",IF(IF(AR165*1000000+SUM(T165,AL165)*10000+SUM(N165,AF165)*100+SUM(H165,Z165)+0.006&gt;AV165*1000000+SUM(X165,AP165)*10000+SUM(R165,AJ165)*100+SUM(L165,AD165)+0.002,1,0)+IF(AS165*1000000+SUM(U165,AM165)*10000+SUM(O165,AG165)*100+SUM(I165,AA165)+0.005&gt;AV165*1000000+SUM(X165,AP165)*10000+SUM(R165,AJ165)*100+SUM(L165,AD165)+0.002,1,0)+IF(AT165*1000000+SUM(V165,AN165)*10000+SUM(P165,AH165)*100+SUM(J165,AB165)+0.004&gt;AV165*1000000+SUM(X165,AP165)*10000+SUM(R165,AJ165)*100+SUM(L165,AD165)+0.002,1,0)+IF(AU165*1000000+SUM(W165,AO165)*10000+SUM(Q165,AI165)*100+SUM(K165,AC165)+0.003&gt;AV165*1000000+SUM(X165,AP165)*10000+SUM(R165,AJ165)*100+SUM(L165,AD165)+0.002,1,0)+IF(AW165*1000000+SUM(Y165,AQ165)*10000+SUM(S165,AK165)*100+SUM(M165,AE165)+0.001&gt;AV165*1000000+SUM(X165,AP165)*10000+SUM(R165,AJ165)*100+SUM(L165,AD165)+0.002,1,0)=2,"E",IF(IF(AR165*1000000+SUM(T165,AL165)*10000+SUM(N165,AF165)*100+SUM(H165,Z165)+0.006&gt;AW165*1000000+SUM(Y165,AQ165)*10000+SUM(S165,AK165)*100+SUM(M165,AE165)+0.001,1,0)+IF(AS165*1000000+SUM(U165,AM165)*10000+SUM(O165,AG165)*100+SUM(I165,AA165)+0.005&gt;AW165*1000000+SUM(Y165,AQ165)*10000+SUM(S165,AK165)*100+SUM(M165,AE165)+0.001,1,0)+IF(AT165*1000000+SUM(V165,AN165)*10000+SUM(P165,AH165)*100+SUM(J165,AB165)+0.004&gt;AW165*1000000+SUM(Y165,AQ165)*10000+SUM(S165,AK165)*100+SUM(M165,AE165)+0.001,1,0)+IF(AU165*1000000+SUM(W165,AO165)*10000+SUM(Q165,AI165)*100+SUM(K165,AC165)+0.003&gt;AW165*1000000+SUM(Y165,AQ165)*10000+SUM(S165,AK165)*100+SUM(M165,AE165)+0.001,1,0)+IF(AV165*1000000+SUM(X165,AP165)*10000+SUM(R165,AJ165)*100+SUM(L165,AD165)+0.002&gt;AW165*1000000+SUM(Y165,AQ165)*10000+SUM(S165,AK165)*100+SUM(M165,AE165)+0.001,1,0)=2,"C","")))))))</x:f>
      </x:c>
      <x:c r="AY165" s="27" t="str">
        <x:f>IF(C165="","",IF(LEFT(AX165,1)="R","นักปฏิบัติ",IF(LEFT(AX165,1)="I","นักคิดวิเคราะห์",IF(LEFT(AX165,1)="A","นักสร้างสรรค์",IF(LEFT(AX165,1)="S","ผู้เข้าใจผู้คน",IF(LEFT(AX165,1)="E","ผู้นำการเปลี่ยนแปลง","ผู้จัดระบบ"))))))</x:f>
      </x:c>
    </x:row>
    <x:row r="166">
      <x:c r="A166" s="27"/>
      <x:c r="B166" s="28"/>
      <x:c r="C166" s="27"/>
      <x:c r="D166" s="27"/>
      <x:c r="E166" s="27"/>
      <x:c r="F166" s="27"/>
      <x:c r="G166" s="27"/>
      <x:c r="H166" s="27"/>
      <x:c r="I166" s="27"/>
      <x:c r="J166" s="27"/>
      <x:c r="K166" s="27"/>
      <x:c r="L166" s="27"/>
      <x:c r="M166" s="27"/>
      <x:c r="N166" s="27"/>
      <x:c r="O166" s="27"/>
      <x:c r="P166" s="27"/>
      <x:c r="Q166" s="27"/>
      <x:c r="R166" s="27"/>
      <x:c r="S166" s="27"/>
      <x:c r="T166" s="27"/>
      <x:c r="U166" s="27"/>
      <x:c r="V166" s="27"/>
      <x:c r="W166" s="27"/>
      <x:c r="X166" s="27"/>
      <x:c r="Y166" s="27"/>
      <x:c r="Z166" s="27"/>
      <x:c r="AA166" s="27"/>
      <x:c r="AB166" s="27"/>
      <x:c r="AC166" s="27"/>
      <x:c r="AD166" s="27"/>
      <x:c r="AE166" s="27"/>
      <x:c r="AF166" s="27"/>
      <x:c r="AG166" s="27"/>
      <x:c r="AH166" s="27"/>
      <x:c r="AI166" s="27"/>
      <x:c r="AJ166" s="27"/>
      <x:c r="AK166" s="27"/>
      <x:c r="AL166" s="27"/>
      <x:c r="AM166" s="27"/>
      <x:c r="AN166" s="27"/>
      <x:c r="AO166" s="27"/>
      <x:c r="AP166" s="27"/>
      <x:c r="AQ166" s="27"/>
      <x:c r="AR166" s="27" t="str">
        <x:f>IF(C166="","",SUM(H166,N166,T166,Z166,AF166,AL166))</x:f>
      </x:c>
      <x:c r="AS166" s="27" t="str">
        <x:f>IF(C166="","",SUM(I166,O166,U166,AA166,AG166,AM166))</x:f>
      </x:c>
      <x:c r="AT166" s="27" t="str">
        <x:f>IF(C166="","",SUM(J166,P166,V166,AB166,AH166,AN166))</x:f>
      </x:c>
      <x:c r="AU166" s="27" t="str">
        <x:f>IF(C166="","",SUM(K166,Q166,W166,AC166,AI166,AO166))</x:f>
      </x:c>
      <x:c r="AV166" s="27" t="str">
        <x:f>IF(C166="","",SUM(L166,R166,X166,AD166,AJ166,AP166))</x:f>
      </x:c>
      <x:c r="AW166" s="27" t="str">
        <x:f>IF(C166="","",SUM(M166,S166,Y166,AE166,AK166,AQ166))</x:f>
      </x:c>
      <x:c r="AX166" s="27" t="str">
        <x:f>IF(C166="","",IF(IF(AS166*1000000+SUM(U166,AM166)*10000+SUM(O166,AG166)*100+SUM(I166,AA166)+0.005&gt;AR166*1000000+SUM(T166,AL166)*10000+SUM(N166,AF166)*100+SUM(H166,Z166)+0.006,1,0)+IF(AT166*1000000+SUM(V166,AN166)*10000+SUM(P166,AH166)*100+SUM(J166,AB166)+0.004&gt;AR166*1000000+SUM(T166,AL166)*10000+SUM(N166,AF166)*100+SUM(H166,Z166)+0.006,1,0)+IF(AU166*1000000+SUM(W166,AO166)*10000+SUM(Q166,AI166)*100+SUM(K166,AC166)+0.003&gt;AR166*1000000+SUM(T166,AL166)*10000+SUM(N166,AF166)*100+SUM(H166,Z166)+0.006,1,0)+IF(AV166*1000000+SUM(X166,AP166)*10000+SUM(R166,AJ166)*100+SUM(L166,AD166)+0.002&gt;AR166*1000000+SUM(T166,AL166)*10000+SUM(N166,AF166)*100+SUM(H166,Z166)+0.006,1,0)+IF(AW166*1000000+SUM(Y166,AQ166)*10000+SUM(S166,AK166)*100+SUM(M166,AE166)+0.001&gt;AR166*1000000+SUM(T166,AL166)*10000+SUM(N166,AF166)*100+SUM(H166,Z166)+0.006,1,0)=0,"R",IF(IF(AR166*1000000+SUM(T166,AL166)*10000+SUM(N166,AF166)*100+SUM(H166,Z166)+0.006&gt;AS166*1000000+SUM(U166,AM166)*10000+SUM(O166,AG166)*100+SUM(I166,AA166)+0.005,1,0)+IF(AT166*1000000+SUM(V166,AN166)*10000+SUM(P166,AH166)*100+SUM(J166,AB166)+0.004&gt;AS166*1000000+SUM(U166,AM166)*10000+SUM(O166,AG166)*100+SUM(I166,AA166)+0.005,1,0)+IF(AU166*1000000+SUM(W166,AO166)*10000+SUM(Q166,AI166)*100+SUM(K166,AC166)+0.003&gt;AS166*1000000+SUM(U166,AM166)*10000+SUM(O166,AG166)*100+SUM(I166,AA166)+0.005,1,0)+IF(AV166*1000000+SUM(X166,AP166)*10000+SUM(R166,AJ166)*100+SUM(L166,AD166)+0.002&gt;AS166*1000000+SUM(U166,AM166)*10000+SUM(O166,AG166)*100+SUM(I166,AA166)+0.005,1,0)+IF(AW166*1000000+SUM(Y166,AQ166)*10000+SUM(S166,AK166)*100+SUM(M166,AE166)+0.001&gt;AS166*1000000+SUM(U166,AM166)*10000+SUM(O166,AG166)*100+SUM(I166,AA166)+0.005,1,0)=0,"I",IF(IF(AR166*1000000+SUM(T166,AL166)*10000+SUM(N166,AF166)*100+SUM(H166,Z166)+0.006&gt;AT166*1000000+SUM(V166,AN166)*10000+SUM(P166,AH166)*100+SUM(J166,AB166)+0.004,1,0)+IF(AS166*1000000+SUM(U166,AM166)*10000+SUM(O166,AG166)*100+SUM(I166,AA166)+0.005&gt;AT166*1000000+SUM(V166,AN166)*10000+SUM(P166,AH166)*100+SUM(J166,AB166)+0.004,1,0)+IF(AU166*1000000+SUM(W166,AO166)*10000+SUM(Q166,AI166)*100+SUM(K166,AC166)+0.003&gt;AT166*1000000+SUM(V166,AN166)*10000+SUM(P166,AH166)*100+SUM(J166,AB166)+0.004,1,0)+IF(AV166*1000000+SUM(X166,AP166)*10000+SUM(R166,AJ166)*100+SUM(L166,AD166)+0.002&gt;AT166*1000000+SUM(V166,AN166)*10000+SUM(P166,AH166)*100+SUM(J166,AB166)+0.004,1,0)+IF(AW166*1000000+SUM(Y166,AQ166)*10000+SUM(S166,AK166)*100+SUM(M166,AE166)+0.001&gt;AT166*1000000+SUM(V166,AN166)*10000+SUM(P166,AH166)*100+SUM(J166,AB166)+0.004,1,0)=0,"A",IF(IF(AR166*1000000+SUM(T166,AL166)*10000+SUM(N166,AF166)*100+SUM(H166,Z166)+0.006&gt;AU166*1000000+SUM(W166,AO166)*10000+SUM(Q166,AI166)*100+SUM(K166,AC166)+0.003,1,0)+IF(AS166*1000000+SUM(U166,AM166)*10000+SUM(O166,AG166)*100+SUM(I166,AA166)+0.005&gt;AU166*1000000+SUM(W166,AO166)*10000+SUM(Q166,AI166)*100+SUM(K166,AC166)+0.003,1,0)+IF(AT166*1000000+SUM(V166,AN166)*10000+SUM(P166,AH166)*100+SUM(J166,AB166)+0.004&gt;AU166*1000000+SUM(W166,AO166)*10000+SUM(Q166,AI166)*100+SUM(K166,AC166)+0.003,1,0)+IF(AV166*1000000+SUM(X166,AP166)*10000+SUM(R166,AJ166)*100+SUM(L166,AD166)+0.002&gt;AU166*1000000+SUM(W166,AO166)*10000+SUM(Q166,AI166)*100+SUM(K166,AC166)+0.003,1,0)+IF(AW166*1000000+SUM(Y166,AQ166)*10000+SUM(S166,AK166)*100+SUM(M166,AE166)+0.001&gt;AU166*1000000+SUM(W166,AO166)*10000+SUM(Q166,AI166)*100+SUM(K166,AC166)+0.003,1,0)=0,"S",IF(IF(AR166*1000000+SUM(T166,AL166)*10000+SUM(N166,AF166)*100+SUM(H166,Z166)+0.006&gt;AV166*1000000+SUM(X166,AP166)*10000+SUM(R166,AJ166)*100+SUM(L166,AD166)+0.002,1,0)+IF(AS166*1000000+SUM(U166,AM166)*10000+SUM(O166,AG166)*100+SUM(I166,AA166)+0.005&gt;AV166*1000000+SUM(X166,AP166)*10000+SUM(R166,AJ166)*100+SUM(L166,AD166)+0.002,1,0)+IF(AT166*1000000+SUM(V166,AN166)*10000+SUM(P166,AH166)*100+SUM(J166,AB166)+0.004&gt;AV166*1000000+SUM(X166,AP166)*10000+SUM(R166,AJ166)*100+SUM(L166,AD166)+0.002,1,0)+IF(AU166*1000000+SUM(W166,AO166)*10000+SUM(Q166,AI166)*100+SUM(K166,AC166)+0.003&gt;AV166*1000000+SUM(X166,AP166)*10000+SUM(R166,AJ166)*100+SUM(L166,AD166)+0.002,1,0)+IF(AW166*1000000+SUM(Y166,AQ166)*10000+SUM(S166,AK166)*100+SUM(M166,AE166)+0.001&gt;AV166*1000000+SUM(X166,AP166)*10000+SUM(R166,AJ166)*100+SUM(L166,AD166)+0.002,1,0)=0,"E",IF(IF(AR166*1000000+SUM(T166,AL166)*10000+SUM(N166,AF166)*100+SUM(H166,Z166)+0.006&gt;AW166*1000000+SUM(Y166,AQ166)*10000+SUM(S166,AK166)*100+SUM(M166,AE166)+0.001,1,0)+IF(AS166*1000000+SUM(U166,AM166)*10000+SUM(O166,AG166)*100+SUM(I166,AA166)+0.005&gt;AW166*1000000+SUM(Y166,AQ166)*10000+SUM(S166,AK166)*100+SUM(M166,AE166)+0.001,1,0)+IF(AT166*1000000+SUM(V166,AN166)*10000+SUM(P166,AH166)*100+SUM(J166,AB166)+0.004&gt;AW166*1000000+SUM(Y166,AQ166)*10000+SUM(S166,AK166)*100+SUM(M166,AE166)+0.001,1,0)+IF(AU166*1000000+SUM(W166,AO166)*10000+SUM(Q166,AI166)*100+SUM(K166,AC166)+0.003&gt;AW166*1000000+SUM(Y166,AQ166)*10000+SUM(S166,AK166)*100+SUM(M166,AE166)+0.001,1,0)+IF(AV166*1000000+SUM(X166,AP166)*10000+SUM(R166,AJ166)*100+SUM(L166,AD166)+0.002&gt;AW166*1000000+SUM(Y166,AQ166)*10000+SUM(S166,AK166)*100+SUM(M166,AE166)+0.001,1,0)=0,"C",""))))))&amp;IF(IF(AS166*1000000+SUM(U166,AM166)*10000+SUM(O166,AG166)*100+SUM(I166,AA166)+0.005&gt;AR166*1000000+SUM(T166,AL166)*10000+SUM(N166,AF166)*100+SUM(H166,Z166)+0.006,1,0)+IF(AT166*1000000+SUM(V166,AN166)*10000+SUM(P166,AH166)*100+SUM(J166,AB166)+0.004&gt;AR166*1000000+SUM(T166,AL166)*10000+SUM(N166,AF166)*100+SUM(H166,Z166)+0.006,1,0)+IF(AU166*1000000+SUM(W166,AO166)*10000+SUM(Q166,AI166)*100+SUM(K166,AC166)+0.003&gt;AR166*1000000+SUM(T166,AL166)*10000+SUM(N166,AF166)*100+SUM(H166,Z166)+0.006,1,0)+IF(AV166*1000000+SUM(X166,AP166)*10000+SUM(R166,AJ166)*100+SUM(L166,AD166)+0.002&gt;AR166*1000000+SUM(T166,AL166)*10000+SUM(N166,AF166)*100+SUM(H166,Z166)+0.006,1,0)+IF(AW166*1000000+SUM(Y166,AQ166)*10000+SUM(S166,AK166)*100+SUM(M166,AE166)+0.001&gt;AR166*1000000+SUM(T166,AL166)*10000+SUM(N166,AF166)*100+SUM(H166,Z166)+0.006,1,0)=1,"R",IF(IF(AR166*1000000+SUM(T166,AL166)*10000+SUM(N166,AF166)*100+SUM(H166,Z166)+0.006&gt;AS166*1000000+SUM(U166,AM166)*10000+SUM(O166,AG166)*100+SUM(I166,AA166)+0.005,1,0)+IF(AT166*1000000+SUM(V166,AN166)*10000+SUM(P166,AH166)*100+SUM(J166,AB166)+0.004&gt;AS166*1000000+SUM(U166,AM166)*10000+SUM(O166,AG166)*100+SUM(I166,AA166)+0.005,1,0)+IF(AU166*1000000+SUM(W166,AO166)*10000+SUM(Q166,AI166)*100+SUM(K166,AC166)+0.003&gt;AS166*1000000+SUM(U166,AM166)*10000+SUM(O166,AG166)*100+SUM(I166,AA166)+0.005,1,0)+IF(AV166*1000000+SUM(X166,AP166)*10000+SUM(R166,AJ166)*100+SUM(L166,AD166)+0.002&gt;AS166*1000000+SUM(U166,AM166)*10000+SUM(O166,AG166)*100+SUM(I166,AA166)+0.005,1,0)+IF(AW166*1000000+SUM(Y166,AQ166)*10000+SUM(S166,AK166)*100+SUM(M166,AE166)+0.001&gt;AS166*1000000+SUM(U166,AM166)*10000+SUM(O166,AG166)*100+SUM(I166,AA166)+0.005,1,0)=1,"I",IF(IF(AR166*1000000+SUM(T166,AL166)*10000+SUM(N166,AF166)*100+SUM(H166,Z166)+0.006&gt;AT166*1000000+SUM(V166,AN166)*10000+SUM(P166,AH166)*100+SUM(J166,AB166)+0.004,1,0)+IF(AS166*1000000+SUM(U166,AM166)*10000+SUM(O166,AG166)*100+SUM(I166,AA166)+0.005&gt;AT166*1000000+SUM(V166,AN166)*10000+SUM(P166,AH166)*100+SUM(J166,AB166)+0.004,1,0)+IF(AU166*1000000+SUM(W166,AO166)*10000+SUM(Q166,AI166)*100+SUM(K166,AC166)+0.003&gt;AT166*1000000+SUM(V166,AN166)*10000+SUM(P166,AH166)*100+SUM(J166,AB166)+0.004,1,0)+IF(AV166*1000000+SUM(X166,AP166)*10000+SUM(R166,AJ166)*100+SUM(L166,AD166)+0.002&gt;AT166*1000000+SUM(V166,AN166)*10000+SUM(P166,AH166)*100+SUM(J166,AB166)+0.004,1,0)+IF(AW166*1000000+SUM(Y166,AQ166)*10000+SUM(S166,AK166)*100+SUM(M166,AE166)+0.001&gt;AT166*1000000+SUM(V166,AN166)*10000+SUM(P166,AH166)*100+SUM(J166,AB166)+0.004,1,0)=1,"A",IF(IF(AR166*1000000+SUM(T166,AL166)*10000+SUM(N166,AF166)*100+SUM(H166,Z166)+0.006&gt;AU166*1000000+SUM(W166,AO166)*10000+SUM(Q166,AI166)*100+SUM(K166,AC166)+0.003,1,0)+IF(AS166*1000000+SUM(U166,AM166)*10000+SUM(O166,AG166)*100+SUM(I166,AA166)+0.005&gt;AU166*1000000+SUM(W166,AO166)*10000+SUM(Q166,AI166)*100+SUM(K166,AC166)+0.003,1,0)+IF(AT166*1000000+SUM(V166,AN166)*10000+SUM(P166,AH166)*100+SUM(J166,AB166)+0.004&gt;AU166*1000000+SUM(W166,AO166)*10000+SUM(Q166,AI166)*100+SUM(K166,AC166)+0.003,1,0)+IF(AV166*1000000+SUM(X166,AP166)*10000+SUM(R166,AJ166)*100+SUM(L166,AD166)+0.002&gt;AU166*1000000+SUM(W166,AO166)*10000+SUM(Q166,AI166)*100+SUM(K166,AC166)+0.003,1,0)+IF(AW166*1000000+SUM(Y166,AQ166)*10000+SUM(S166,AK166)*100+SUM(M166,AE166)+0.001&gt;AU166*1000000+SUM(W166,AO166)*10000+SUM(Q166,AI166)*100+SUM(K166,AC166)+0.003,1,0)=1,"S",IF(IF(AR166*1000000+SUM(T166,AL166)*10000+SUM(N166,AF166)*100+SUM(H166,Z166)+0.006&gt;AV166*1000000+SUM(X166,AP166)*10000+SUM(R166,AJ166)*100+SUM(L166,AD166)+0.002,1,0)+IF(AS166*1000000+SUM(U166,AM166)*10000+SUM(O166,AG166)*100+SUM(I166,AA166)+0.005&gt;AV166*1000000+SUM(X166,AP166)*10000+SUM(R166,AJ166)*100+SUM(L166,AD166)+0.002,1,0)+IF(AT166*1000000+SUM(V166,AN166)*10000+SUM(P166,AH166)*100+SUM(J166,AB166)+0.004&gt;AV166*1000000+SUM(X166,AP166)*10000+SUM(R166,AJ166)*100+SUM(L166,AD166)+0.002,1,0)+IF(AU166*1000000+SUM(W166,AO166)*10000+SUM(Q166,AI166)*100+SUM(K166,AC166)+0.003&gt;AV166*1000000+SUM(X166,AP166)*10000+SUM(R166,AJ166)*100+SUM(L166,AD166)+0.002,1,0)+IF(AW166*1000000+SUM(Y166,AQ166)*10000+SUM(S166,AK166)*100+SUM(M166,AE166)+0.001&gt;AV166*1000000+SUM(X166,AP166)*10000+SUM(R166,AJ166)*100+SUM(L166,AD166)+0.002,1,0)=1,"E",IF(IF(AR166*1000000+SUM(T166,AL166)*10000+SUM(N166,AF166)*100+SUM(H166,Z166)+0.006&gt;AW166*1000000+SUM(Y166,AQ166)*10000+SUM(S166,AK166)*100+SUM(M166,AE166)+0.001,1,0)+IF(AS166*1000000+SUM(U166,AM166)*10000+SUM(O166,AG166)*100+SUM(I166,AA166)+0.005&gt;AW166*1000000+SUM(Y166,AQ166)*10000+SUM(S166,AK166)*100+SUM(M166,AE166)+0.001,1,0)+IF(AT166*1000000+SUM(V166,AN166)*10000+SUM(P166,AH166)*100+SUM(J166,AB166)+0.004&gt;AW166*1000000+SUM(Y166,AQ166)*10000+SUM(S166,AK166)*100+SUM(M166,AE166)+0.001,1,0)+IF(AU166*1000000+SUM(W166,AO166)*10000+SUM(Q166,AI166)*100+SUM(K166,AC166)+0.003&gt;AW166*1000000+SUM(Y166,AQ166)*10000+SUM(S166,AK166)*100+SUM(M166,AE166)+0.001,1,0)+IF(AV166*1000000+SUM(X166,AP166)*10000+SUM(R166,AJ166)*100+SUM(L166,AD166)+0.002&gt;AW166*1000000+SUM(Y166,AQ166)*10000+SUM(S166,AK166)*100+SUM(M166,AE166)+0.001,1,0)=1,"C",""))))))&amp;IF(IF(AS166*1000000+SUM(U166,AM166)*10000+SUM(O166,AG166)*100+SUM(I166,AA166)+0.005&gt;AR166*1000000+SUM(T166,AL166)*10000+SUM(N166,AF166)*100+SUM(H166,Z166)+0.006,1,0)+IF(AT166*1000000+SUM(V166,AN166)*10000+SUM(P166,AH166)*100+SUM(J166,AB166)+0.004&gt;AR166*1000000+SUM(T166,AL166)*10000+SUM(N166,AF166)*100+SUM(H166,Z166)+0.006,1,0)+IF(AU166*1000000+SUM(W166,AO166)*10000+SUM(Q166,AI166)*100+SUM(K166,AC166)+0.003&gt;AR166*1000000+SUM(T166,AL166)*10000+SUM(N166,AF166)*100+SUM(H166,Z166)+0.006,1,0)+IF(AV166*1000000+SUM(X166,AP166)*10000+SUM(R166,AJ166)*100+SUM(L166,AD166)+0.002&gt;AR166*1000000+SUM(T166,AL166)*10000+SUM(N166,AF166)*100+SUM(H166,Z166)+0.006,1,0)+IF(AW166*1000000+SUM(Y166,AQ166)*10000+SUM(S166,AK166)*100+SUM(M166,AE166)+0.001&gt;AR166*1000000+SUM(T166,AL166)*10000+SUM(N166,AF166)*100+SUM(H166,Z166)+0.006,1,0)=2,"R",IF(IF(AR166*1000000+SUM(T166,AL166)*10000+SUM(N166,AF166)*100+SUM(H166,Z166)+0.006&gt;AS166*1000000+SUM(U166,AM166)*10000+SUM(O166,AG166)*100+SUM(I166,AA166)+0.005,1,0)+IF(AT166*1000000+SUM(V166,AN166)*10000+SUM(P166,AH166)*100+SUM(J166,AB166)+0.004&gt;AS166*1000000+SUM(U166,AM166)*10000+SUM(O166,AG166)*100+SUM(I166,AA166)+0.005,1,0)+IF(AU166*1000000+SUM(W166,AO166)*10000+SUM(Q166,AI166)*100+SUM(K166,AC166)+0.003&gt;AS166*1000000+SUM(U166,AM166)*10000+SUM(O166,AG166)*100+SUM(I166,AA166)+0.005,1,0)+IF(AV166*1000000+SUM(X166,AP166)*10000+SUM(R166,AJ166)*100+SUM(L166,AD166)+0.002&gt;AS166*1000000+SUM(U166,AM166)*10000+SUM(O166,AG166)*100+SUM(I166,AA166)+0.005,1,0)+IF(AW166*1000000+SUM(Y166,AQ166)*10000+SUM(S166,AK166)*100+SUM(M166,AE166)+0.001&gt;AS166*1000000+SUM(U166,AM166)*10000+SUM(O166,AG166)*100+SUM(I166,AA166)+0.005,1,0)=2,"I",IF(IF(AR166*1000000+SUM(T166,AL166)*10000+SUM(N166,AF166)*100+SUM(H166,Z166)+0.006&gt;AT166*1000000+SUM(V166,AN166)*10000+SUM(P166,AH166)*100+SUM(J166,AB166)+0.004,1,0)+IF(AS166*1000000+SUM(U166,AM166)*10000+SUM(O166,AG166)*100+SUM(I166,AA166)+0.005&gt;AT166*1000000+SUM(V166,AN166)*10000+SUM(P166,AH166)*100+SUM(J166,AB166)+0.004,1,0)+IF(AU166*1000000+SUM(W166,AO166)*10000+SUM(Q166,AI166)*100+SUM(K166,AC166)+0.003&gt;AT166*1000000+SUM(V166,AN166)*10000+SUM(P166,AH166)*100+SUM(J166,AB166)+0.004,1,0)+IF(AV166*1000000+SUM(X166,AP166)*10000+SUM(R166,AJ166)*100+SUM(L166,AD166)+0.002&gt;AT166*1000000+SUM(V166,AN166)*10000+SUM(P166,AH166)*100+SUM(J166,AB166)+0.004,1,0)+IF(AW166*1000000+SUM(Y166,AQ166)*10000+SUM(S166,AK166)*100+SUM(M166,AE166)+0.001&gt;AT166*1000000+SUM(V166,AN166)*10000+SUM(P166,AH166)*100+SUM(J166,AB166)+0.004,1,0)=2,"A",IF(IF(AR166*1000000+SUM(T166,AL166)*10000+SUM(N166,AF166)*100+SUM(H166,Z166)+0.006&gt;AU166*1000000+SUM(W166,AO166)*10000+SUM(Q166,AI166)*100+SUM(K166,AC166)+0.003,1,0)+IF(AS166*1000000+SUM(U166,AM166)*10000+SUM(O166,AG166)*100+SUM(I166,AA166)+0.005&gt;AU166*1000000+SUM(W166,AO166)*10000+SUM(Q166,AI166)*100+SUM(K166,AC166)+0.003,1,0)+IF(AT166*1000000+SUM(V166,AN166)*10000+SUM(P166,AH166)*100+SUM(J166,AB166)+0.004&gt;AU166*1000000+SUM(W166,AO166)*10000+SUM(Q166,AI166)*100+SUM(K166,AC166)+0.003,1,0)+IF(AV166*1000000+SUM(X166,AP166)*10000+SUM(R166,AJ166)*100+SUM(L166,AD166)+0.002&gt;AU166*1000000+SUM(W166,AO166)*10000+SUM(Q166,AI166)*100+SUM(K166,AC166)+0.003,1,0)+IF(AW166*1000000+SUM(Y166,AQ166)*10000+SUM(S166,AK166)*100+SUM(M166,AE166)+0.001&gt;AU166*1000000+SUM(W166,AO166)*10000+SUM(Q166,AI166)*100+SUM(K166,AC166)+0.003,1,0)=2,"S",IF(IF(AR166*1000000+SUM(T166,AL166)*10000+SUM(N166,AF166)*100+SUM(H166,Z166)+0.006&gt;AV166*1000000+SUM(X166,AP166)*10000+SUM(R166,AJ166)*100+SUM(L166,AD166)+0.002,1,0)+IF(AS166*1000000+SUM(U166,AM166)*10000+SUM(O166,AG166)*100+SUM(I166,AA166)+0.005&gt;AV166*1000000+SUM(X166,AP166)*10000+SUM(R166,AJ166)*100+SUM(L166,AD166)+0.002,1,0)+IF(AT166*1000000+SUM(V166,AN166)*10000+SUM(P166,AH166)*100+SUM(J166,AB166)+0.004&gt;AV166*1000000+SUM(X166,AP166)*10000+SUM(R166,AJ166)*100+SUM(L166,AD166)+0.002,1,0)+IF(AU166*1000000+SUM(W166,AO166)*10000+SUM(Q166,AI166)*100+SUM(K166,AC166)+0.003&gt;AV166*1000000+SUM(X166,AP166)*10000+SUM(R166,AJ166)*100+SUM(L166,AD166)+0.002,1,0)+IF(AW166*1000000+SUM(Y166,AQ166)*10000+SUM(S166,AK166)*100+SUM(M166,AE166)+0.001&gt;AV166*1000000+SUM(X166,AP166)*10000+SUM(R166,AJ166)*100+SUM(L166,AD166)+0.002,1,0)=2,"E",IF(IF(AR166*1000000+SUM(T166,AL166)*10000+SUM(N166,AF166)*100+SUM(H166,Z166)+0.006&gt;AW166*1000000+SUM(Y166,AQ166)*10000+SUM(S166,AK166)*100+SUM(M166,AE166)+0.001,1,0)+IF(AS166*1000000+SUM(U166,AM166)*10000+SUM(O166,AG166)*100+SUM(I166,AA166)+0.005&gt;AW166*1000000+SUM(Y166,AQ166)*10000+SUM(S166,AK166)*100+SUM(M166,AE166)+0.001,1,0)+IF(AT166*1000000+SUM(V166,AN166)*10000+SUM(P166,AH166)*100+SUM(J166,AB166)+0.004&gt;AW166*1000000+SUM(Y166,AQ166)*10000+SUM(S166,AK166)*100+SUM(M166,AE166)+0.001,1,0)+IF(AU166*1000000+SUM(W166,AO166)*10000+SUM(Q166,AI166)*100+SUM(K166,AC166)+0.003&gt;AW166*1000000+SUM(Y166,AQ166)*10000+SUM(S166,AK166)*100+SUM(M166,AE166)+0.001,1,0)+IF(AV166*1000000+SUM(X166,AP166)*10000+SUM(R166,AJ166)*100+SUM(L166,AD166)+0.002&gt;AW166*1000000+SUM(Y166,AQ166)*10000+SUM(S166,AK166)*100+SUM(M166,AE166)+0.001,1,0)=2,"C","")))))))</x:f>
      </x:c>
      <x:c r="AY166" s="27" t="str">
        <x:f>IF(C166="","",IF(LEFT(AX166,1)="R","นักปฏิบัติ",IF(LEFT(AX166,1)="I","นักคิดวิเคราะห์",IF(LEFT(AX166,1)="A","นักสร้างสรรค์",IF(LEFT(AX166,1)="S","ผู้เข้าใจผู้คน",IF(LEFT(AX166,1)="E","ผู้นำการเปลี่ยนแปลง","ผู้จัดระบบ"))))))</x:f>
      </x:c>
    </x:row>
    <x:row r="167">
      <x:c r="A167" s="27"/>
      <x:c r="B167" s="28"/>
      <x:c r="C167" s="27"/>
      <x:c r="D167" s="27"/>
      <x:c r="E167" s="27"/>
      <x:c r="F167" s="27"/>
      <x:c r="G167" s="27"/>
      <x:c r="H167" s="27"/>
      <x:c r="I167" s="27"/>
      <x:c r="J167" s="27"/>
      <x:c r="K167" s="27"/>
      <x:c r="L167" s="27"/>
      <x:c r="M167" s="27"/>
      <x:c r="N167" s="27"/>
      <x:c r="O167" s="27"/>
      <x:c r="P167" s="27"/>
      <x:c r="Q167" s="27"/>
      <x:c r="R167" s="27"/>
      <x:c r="S167" s="27"/>
      <x:c r="T167" s="27"/>
      <x:c r="U167" s="27"/>
      <x:c r="V167" s="27"/>
      <x:c r="W167" s="27"/>
      <x:c r="X167" s="27"/>
      <x:c r="Y167" s="27"/>
      <x:c r="Z167" s="27"/>
      <x:c r="AA167" s="27"/>
      <x:c r="AB167" s="27"/>
      <x:c r="AC167" s="27"/>
      <x:c r="AD167" s="27"/>
      <x:c r="AE167" s="27"/>
      <x:c r="AF167" s="27"/>
      <x:c r="AG167" s="27"/>
      <x:c r="AH167" s="27"/>
      <x:c r="AI167" s="27"/>
      <x:c r="AJ167" s="27"/>
      <x:c r="AK167" s="27"/>
      <x:c r="AL167" s="27"/>
      <x:c r="AM167" s="27"/>
      <x:c r="AN167" s="27"/>
      <x:c r="AO167" s="27"/>
      <x:c r="AP167" s="27"/>
      <x:c r="AQ167" s="27"/>
      <x:c r="AR167" s="27" t="str">
        <x:f>IF(C167="","",SUM(H167,N167,T167,Z167,AF167,AL167))</x:f>
      </x:c>
      <x:c r="AS167" s="27" t="str">
        <x:f>IF(C167="","",SUM(I167,O167,U167,AA167,AG167,AM167))</x:f>
      </x:c>
      <x:c r="AT167" s="27" t="str">
        <x:f>IF(C167="","",SUM(J167,P167,V167,AB167,AH167,AN167))</x:f>
      </x:c>
      <x:c r="AU167" s="27" t="str">
        <x:f>IF(C167="","",SUM(K167,Q167,W167,AC167,AI167,AO167))</x:f>
      </x:c>
      <x:c r="AV167" s="27" t="str">
        <x:f>IF(C167="","",SUM(L167,R167,X167,AD167,AJ167,AP167))</x:f>
      </x:c>
      <x:c r="AW167" s="27" t="str">
        <x:f>IF(C167="","",SUM(M167,S167,Y167,AE167,AK167,AQ167))</x:f>
      </x:c>
      <x:c r="AX167" s="27" t="str">
        <x:f>IF(C167="","",IF(IF(AS167*1000000+SUM(U167,AM167)*10000+SUM(O167,AG167)*100+SUM(I167,AA167)+0.005&gt;AR167*1000000+SUM(T167,AL167)*10000+SUM(N167,AF167)*100+SUM(H167,Z167)+0.006,1,0)+IF(AT167*1000000+SUM(V167,AN167)*10000+SUM(P167,AH167)*100+SUM(J167,AB167)+0.004&gt;AR167*1000000+SUM(T167,AL167)*10000+SUM(N167,AF167)*100+SUM(H167,Z167)+0.006,1,0)+IF(AU167*1000000+SUM(W167,AO167)*10000+SUM(Q167,AI167)*100+SUM(K167,AC167)+0.003&gt;AR167*1000000+SUM(T167,AL167)*10000+SUM(N167,AF167)*100+SUM(H167,Z167)+0.006,1,0)+IF(AV167*1000000+SUM(X167,AP167)*10000+SUM(R167,AJ167)*100+SUM(L167,AD167)+0.002&gt;AR167*1000000+SUM(T167,AL167)*10000+SUM(N167,AF167)*100+SUM(H167,Z167)+0.006,1,0)+IF(AW167*1000000+SUM(Y167,AQ167)*10000+SUM(S167,AK167)*100+SUM(M167,AE167)+0.001&gt;AR167*1000000+SUM(T167,AL167)*10000+SUM(N167,AF167)*100+SUM(H167,Z167)+0.006,1,0)=0,"R",IF(IF(AR167*1000000+SUM(T167,AL167)*10000+SUM(N167,AF167)*100+SUM(H167,Z167)+0.006&gt;AS167*1000000+SUM(U167,AM167)*10000+SUM(O167,AG167)*100+SUM(I167,AA167)+0.005,1,0)+IF(AT167*1000000+SUM(V167,AN167)*10000+SUM(P167,AH167)*100+SUM(J167,AB167)+0.004&gt;AS167*1000000+SUM(U167,AM167)*10000+SUM(O167,AG167)*100+SUM(I167,AA167)+0.005,1,0)+IF(AU167*1000000+SUM(W167,AO167)*10000+SUM(Q167,AI167)*100+SUM(K167,AC167)+0.003&gt;AS167*1000000+SUM(U167,AM167)*10000+SUM(O167,AG167)*100+SUM(I167,AA167)+0.005,1,0)+IF(AV167*1000000+SUM(X167,AP167)*10000+SUM(R167,AJ167)*100+SUM(L167,AD167)+0.002&gt;AS167*1000000+SUM(U167,AM167)*10000+SUM(O167,AG167)*100+SUM(I167,AA167)+0.005,1,0)+IF(AW167*1000000+SUM(Y167,AQ167)*10000+SUM(S167,AK167)*100+SUM(M167,AE167)+0.001&gt;AS167*1000000+SUM(U167,AM167)*10000+SUM(O167,AG167)*100+SUM(I167,AA167)+0.005,1,0)=0,"I",IF(IF(AR167*1000000+SUM(T167,AL167)*10000+SUM(N167,AF167)*100+SUM(H167,Z167)+0.006&gt;AT167*1000000+SUM(V167,AN167)*10000+SUM(P167,AH167)*100+SUM(J167,AB167)+0.004,1,0)+IF(AS167*1000000+SUM(U167,AM167)*10000+SUM(O167,AG167)*100+SUM(I167,AA167)+0.005&gt;AT167*1000000+SUM(V167,AN167)*10000+SUM(P167,AH167)*100+SUM(J167,AB167)+0.004,1,0)+IF(AU167*1000000+SUM(W167,AO167)*10000+SUM(Q167,AI167)*100+SUM(K167,AC167)+0.003&gt;AT167*1000000+SUM(V167,AN167)*10000+SUM(P167,AH167)*100+SUM(J167,AB167)+0.004,1,0)+IF(AV167*1000000+SUM(X167,AP167)*10000+SUM(R167,AJ167)*100+SUM(L167,AD167)+0.002&gt;AT167*1000000+SUM(V167,AN167)*10000+SUM(P167,AH167)*100+SUM(J167,AB167)+0.004,1,0)+IF(AW167*1000000+SUM(Y167,AQ167)*10000+SUM(S167,AK167)*100+SUM(M167,AE167)+0.001&gt;AT167*1000000+SUM(V167,AN167)*10000+SUM(P167,AH167)*100+SUM(J167,AB167)+0.004,1,0)=0,"A",IF(IF(AR167*1000000+SUM(T167,AL167)*10000+SUM(N167,AF167)*100+SUM(H167,Z167)+0.006&gt;AU167*1000000+SUM(W167,AO167)*10000+SUM(Q167,AI167)*100+SUM(K167,AC167)+0.003,1,0)+IF(AS167*1000000+SUM(U167,AM167)*10000+SUM(O167,AG167)*100+SUM(I167,AA167)+0.005&gt;AU167*1000000+SUM(W167,AO167)*10000+SUM(Q167,AI167)*100+SUM(K167,AC167)+0.003,1,0)+IF(AT167*1000000+SUM(V167,AN167)*10000+SUM(P167,AH167)*100+SUM(J167,AB167)+0.004&gt;AU167*1000000+SUM(W167,AO167)*10000+SUM(Q167,AI167)*100+SUM(K167,AC167)+0.003,1,0)+IF(AV167*1000000+SUM(X167,AP167)*10000+SUM(R167,AJ167)*100+SUM(L167,AD167)+0.002&gt;AU167*1000000+SUM(W167,AO167)*10000+SUM(Q167,AI167)*100+SUM(K167,AC167)+0.003,1,0)+IF(AW167*1000000+SUM(Y167,AQ167)*10000+SUM(S167,AK167)*100+SUM(M167,AE167)+0.001&gt;AU167*1000000+SUM(W167,AO167)*10000+SUM(Q167,AI167)*100+SUM(K167,AC167)+0.003,1,0)=0,"S",IF(IF(AR167*1000000+SUM(T167,AL167)*10000+SUM(N167,AF167)*100+SUM(H167,Z167)+0.006&gt;AV167*1000000+SUM(X167,AP167)*10000+SUM(R167,AJ167)*100+SUM(L167,AD167)+0.002,1,0)+IF(AS167*1000000+SUM(U167,AM167)*10000+SUM(O167,AG167)*100+SUM(I167,AA167)+0.005&gt;AV167*1000000+SUM(X167,AP167)*10000+SUM(R167,AJ167)*100+SUM(L167,AD167)+0.002,1,0)+IF(AT167*1000000+SUM(V167,AN167)*10000+SUM(P167,AH167)*100+SUM(J167,AB167)+0.004&gt;AV167*1000000+SUM(X167,AP167)*10000+SUM(R167,AJ167)*100+SUM(L167,AD167)+0.002,1,0)+IF(AU167*1000000+SUM(W167,AO167)*10000+SUM(Q167,AI167)*100+SUM(K167,AC167)+0.003&gt;AV167*1000000+SUM(X167,AP167)*10000+SUM(R167,AJ167)*100+SUM(L167,AD167)+0.002,1,0)+IF(AW167*1000000+SUM(Y167,AQ167)*10000+SUM(S167,AK167)*100+SUM(M167,AE167)+0.001&gt;AV167*1000000+SUM(X167,AP167)*10000+SUM(R167,AJ167)*100+SUM(L167,AD167)+0.002,1,0)=0,"E",IF(IF(AR167*1000000+SUM(T167,AL167)*10000+SUM(N167,AF167)*100+SUM(H167,Z167)+0.006&gt;AW167*1000000+SUM(Y167,AQ167)*10000+SUM(S167,AK167)*100+SUM(M167,AE167)+0.001,1,0)+IF(AS167*1000000+SUM(U167,AM167)*10000+SUM(O167,AG167)*100+SUM(I167,AA167)+0.005&gt;AW167*1000000+SUM(Y167,AQ167)*10000+SUM(S167,AK167)*100+SUM(M167,AE167)+0.001,1,0)+IF(AT167*1000000+SUM(V167,AN167)*10000+SUM(P167,AH167)*100+SUM(J167,AB167)+0.004&gt;AW167*1000000+SUM(Y167,AQ167)*10000+SUM(S167,AK167)*100+SUM(M167,AE167)+0.001,1,0)+IF(AU167*1000000+SUM(W167,AO167)*10000+SUM(Q167,AI167)*100+SUM(K167,AC167)+0.003&gt;AW167*1000000+SUM(Y167,AQ167)*10000+SUM(S167,AK167)*100+SUM(M167,AE167)+0.001,1,0)+IF(AV167*1000000+SUM(X167,AP167)*10000+SUM(R167,AJ167)*100+SUM(L167,AD167)+0.002&gt;AW167*1000000+SUM(Y167,AQ167)*10000+SUM(S167,AK167)*100+SUM(M167,AE167)+0.001,1,0)=0,"C",""))))))&amp;IF(IF(AS167*1000000+SUM(U167,AM167)*10000+SUM(O167,AG167)*100+SUM(I167,AA167)+0.005&gt;AR167*1000000+SUM(T167,AL167)*10000+SUM(N167,AF167)*100+SUM(H167,Z167)+0.006,1,0)+IF(AT167*1000000+SUM(V167,AN167)*10000+SUM(P167,AH167)*100+SUM(J167,AB167)+0.004&gt;AR167*1000000+SUM(T167,AL167)*10000+SUM(N167,AF167)*100+SUM(H167,Z167)+0.006,1,0)+IF(AU167*1000000+SUM(W167,AO167)*10000+SUM(Q167,AI167)*100+SUM(K167,AC167)+0.003&gt;AR167*1000000+SUM(T167,AL167)*10000+SUM(N167,AF167)*100+SUM(H167,Z167)+0.006,1,0)+IF(AV167*1000000+SUM(X167,AP167)*10000+SUM(R167,AJ167)*100+SUM(L167,AD167)+0.002&gt;AR167*1000000+SUM(T167,AL167)*10000+SUM(N167,AF167)*100+SUM(H167,Z167)+0.006,1,0)+IF(AW167*1000000+SUM(Y167,AQ167)*10000+SUM(S167,AK167)*100+SUM(M167,AE167)+0.001&gt;AR167*1000000+SUM(T167,AL167)*10000+SUM(N167,AF167)*100+SUM(H167,Z167)+0.006,1,0)=1,"R",IF(IF(AR167*1000000+SUM(T167,AL167)*10000+SUM(N167,AF167)*100+SUM(H167,Z167)+0.006&gt;AS167*1000000+SUM(U167,AM167)*10000+SUM(O167,AG167)*100+SUM(I167,AA167)+0.005,1,0)+IF(AT167*1000000+SUM(V167,AN167)*10000+SUM(P167,AH167)*100+SUM(J167,AB167)+0.004&gt;AS167*1000000+SUM(U167,AM167)*10000+SUM(O167,AG167)*100+SUM(I167,AA167)+0.005,1,0)+IF(AU167*1000000+SUM(W167,AO167)*10000+SUM(Q167,AI167)*100+SUM(K167,AC167)+0.003&gt;AS167*1000000+SUM(U167,AM167)*10000+SUM(O167,AG167)*100+SUM(I167,AA167)+0.005,1,0)+IF(AV167*1000000+SUM(X167,AP167)*10000+SUM(R167,AJ167)*100+SUM(L167,AD167)+0.002&gt;AS167*1000000+SUM(U167,AM167)*10000+SUM(O167,AG167)*100+SUM(I167,AA167)+0.005,1,0)+IF(AW167*1000000+SUM(Y167,AQ167)*10000+SUM(S167,AK167)*100+SUM(M167,AE167)+0.001&gt;AS167*1000000+SUM(U167,AM167)*10000+SUM(O167,AG167)*100+SUM(I167,AA167)+0.005,1,0)=1,"I",IF(IF(AR167*1000000+SUM(T167,AL167)*10000+SUM(N167,AF167)*100+SUM(H167,Z167)+0.006&gt;AT167*1000000+SUM(V167,AN167)*10000+SUM(P167,AH167)*100+SUM(J167,AB167)+0.004,1,0)+IF(AS167*1000000+SUM(U167,AM167)*10000+SUM(O167,AG167)*100+SUM(I167,AA167)+0.005&gt;AT167*1000000+SUM(V167,AN167)*10000+SUM(P167,AH167)*100+SUM(J167,AB167)+0.004,1,0)+IF(AU167*1000000+SUM(W167,AO167)*10000+SUM(Q167,AI167)*100+SUM(K167,AC167)+0.003&gt;AT167*1000000+SUM(V167,AN167)*10000+SUM(P167,AH167)*100+SUM(J167,AB167)+0.004,1,0)+IF(AV167*1000000+SUM(X167,AP167)*10000+SUM(R167,AJ167)*100+SUM(L167,AD167)+0.002&gt;AT167*1000000+SUM(V167,AN167)*10000+SUM(P167,AH167)*100+SUM(J167,AB167)+0.004,1,0)+IF(AW167*1000000+SUM(Y167,AQ167)*10000+SUM(S167,AK167)*100+SUM(M167,AE167)+0.001&gt;AT167*1000000+SUM(V167,AN167)*10000+SUM(P167,AH167)*100+SUM(J167,AB167)+0.004,1,0)=1,"A",IF(IF(AR167*1000000+SUM(T167,AL167)*10000+SUM(N167,AF167)*100+SUM(H167,Z167)+0.006&gt;AU167*1000000+SUM(W167,AO167)*10000+SUM(Q167,AI167)*100+SUM(K167,AC167)+0.003,1,0)+IF(AS167*1000000+SUM(U167,AM167)*10000+SUM(O167,AG167)*100+SUM(I167,AA167)+0.005&gt;AU167*1000000+SUM(W167,AO167)*10000+SUM(Q167,AI167)*100+SUM(K167,AC167)+0.003,1,0)+IF(AT167*1000000+SUM(V167,AN167)*10000+SUM(P167,AH167)*100+SUM(J167,AB167)+0.004&gt;AU167*1000000+SUM(W167,AO167)*10000+SUM(Q167,AI167)*100+SUM(K167,AC167)+0.003,1,0)+IF(AV167*1000000+SUM(X167,AP167)*10000+SUM(R167,AJ167)*100+SUM(L167,AD167)+0.002&gt;AU167*1000000+SUM(W167,AO167)*10000+SUM(Q167,AI167)*100+SUM(K167,AC167)+0.003,1,0)+IF(AW167*1000000+SUM(Y167,AQ167)*10000+SUM(S167,AK167)*100+SUM(M167,AE167)+0.001&gt;AU167*1000000+SUM(W167,AO167)*10000+SUM(Q167,AI167)*100+SUM(K167,AC167)+0.003,1,0)=1,"S",IF(IF(AR167*1000000+SUM(T167,AL167)*10000+SUM(N167,AF167)*100+SUM(H167,Z167)+0.006&gt;AV167*1000000+SUM(X167,AP167)*10000+SUM(R167,AJ167)*100+SUM(L167,AD167)+0.002,1,0)+IF(AS167*1000000+SUM(U167,AM167)*10000+SUM(O167,AG167)*100+SUM(I167,AA167)+0.005&gt;AV167*1000000+SUM(X167,AP167)*10000+SUM(R167,AJ167)*100+SUM(L167,AD167)+0.002,1,0)+IF(AT167*1000000+SUM(V167,AN167)*10000+SUM(P167,AH167)*100+SUM(J167,AB167)+0.004&gt;AV167*1000000+SUM(X167,AP167)*10000+SUM(R167,AJ167)*100+SUM(L167,AD167)+0.002,1,0)+IF(AU167*1000000+SUM(W167,AO167)*10000+SUM(Q167,AI167)*100+SUM(K167,AC167)+0.003&gt;AV167*1000000+SUM(X167,AP167)*10000+SUM(R167,AJ167)*100+SUM(L167,AD167)+0.002,1,0)+IF(AW167*1000000+SUM(Y167,AQ167)*10000+SUM(S167,AK167)*100+SUM(M167,AE167)+0.001&gt;AV167*1000000+SUM(X167,AP167)*10000+SUM(R167,AJ167)*100+SUM(L167,AD167)+0.002,1,0)=1,"E",IF(IF(AR167*1000000+SUM(T167,AL167)*10000+SUM(N167,AF167)*100+SUM(H167,Z167)+0.006&gt;AW167*1000000+SUM(Y167,AQ167)*10000+SUM(S167,AK167)*100+SUM(M167,AE167)+0.001,1,0)+IF(AS167*1000000+SUM(U167,AM167)*10000+SUM(O167,AG167)*100+SUM(I167,AA167)+0.005&gt;AW167*1000000+SUM(Y167,AQ167)*10000+SUM(S167,AK167)*100+SUM(M167,AE167)+0.001,1,0)+IF(AT167*1000000+SUM(V167,AN167)*10000+SUM(P167,AH167)*100+SUM(J167,AB167)+0.004&gt;AW167*1000000+SUM(Y167,AQ167)*10000+SUM(S167,AK167)*100+SUM(M167,AE167)+0.001,1,0)+IF(AU167*1000000+SUM(W167,AO167)*10000+SUM(Q167,AI167)*100+SUM(K167,AC167)+0.003&gt;AW167*1000000+SUM(Y167,AQ167)*10000+SUM(S167,AK167)*100+SUM(M167,AE167)+0.001,1,0)+IF(AV167*1000000+SUM(X167,AP167)*10000+SUM(R167,AJ167)*100+SUM(L167,AD167)+0.002&gt;AW167*1000000+SUM(Y167,AQ167)*10000+SUM(S167,AK167)*100+SUM(M167,AE167)+0.001,1,0)=1,"C",""))))))&amp;IF(IF(AS167*1000000+SUM(U167,AM167)*10000+SUM(O167,AG167)*100+SUM(I167,AA167)+0.005&gt;AR167*1000000+SUM(T167,AL167)*10000+SUM(N167,AF167)*100+SUM(H167,Z167)+0.006,1,0)+IF(AT167*1000000+SUM(V167,AN167)*10000+SUM(P167,AH167)*100+SUM(J167,AB167)+0.004&gt;AR167*1000000+SUM(T167,AL167)*10000+SUM(N167,AF167)*100+SUM(H167,Z167)+0.006,1,0)+IF(AU167*1000000+SUM(W167,AO167)*10000+SUM(Q167,AI167)*100+SUM(K167,AC167)+0.003&gt;AR167*1000000+SUM(T167,AL167)*10000+SUM(N167,AF167)*100+SUM(H167,Z167)+0.006,1,0)+IF(AV167*1000000+SUM(X167,AP167)*10000+SUM(R167,AJ167)*100+SUM(L167,AD167)+0.002&gt;AR167*1000000+SUM(T167,AL167)*10000+SUM(N167,AF167)*100+SUM(H167,Z167)+0.006,1,0)+IF(AW167*1000000+SUM(Y167,AQ167)*10000+SUM(S167,AK167)*100+SUM(M167,AE167)+0.001&gt;AR167*1000000+SUM(T167,AL167)*10000+SUM(N167,AF167)*100+SUM(H167,Z167)+0.006,1,0)=2,"R",IF(IF(AR167*1000000+SUM(T167,AL167)*10000+SUM(N167,AF167)*100+SUM(H167,Z167)+0.006&gt;AS167*1000000+SUM(U167,AM167)*10000+SUM(O167,AG167)*100+SUM(I167,AA167)+0.005,1,0)+IF(AT167*1000000+SUM(V167,AN167)*10000+SUM(P167,AH167)*100+SUM(J167,AB167)+0.004&gt;AS167*1000000+SUM(U167,AM167)*10000+SUM(O167,AG167)*100+SUM(I167,AA167)+0.005,1,0)+IF(AU167*1000000+SUM(W167,AO167)*10000+SUM(Q167,AI167)*100+SUM(K167,AC167)+0.003&gt;AS167*1000000+SUM(U167,AM167)*10000+SUM(O167,AG167)*100+SUM(I167,AA167)+0.005,1,0)+IF(AV167*1000000+SUM(X167,AP167)*10000+SUM(R167,AJ167)*100+SUM(L167,AD167)+0.002&gt;AS167*1000000+SUM(U167,AM167)*10000+SUM(O167,AG167)*100+SUM(I167,AA167)+0.005,1,0)+IF(AW167*1000000+SUM(Y167,AQ167)*10000+SUM(S167,AK167)*100+SUM(M167,AE167)+0.001&gt;AS167*1000000+SUM(U167,AM167)*10000+SUM(O167,AG167)*100+SUM(I167,AA167)+0.005,1,0)=2,"I",IF(IF(AR167*1000000+SUM(T167,AL167)*10000+SUM(N167,AF167)*100+SUM(H167,Z167)+0.006&gt;AT167*1000000+SUM(V167,AN167)*10000+SUM(P167,AH167)*100+SUM(J167,AB167)+0.004,1,0)+IF(AS167*1000000+SUM(U167,AM167)*10000+SUM(O167,AG167)*100+SUM(I167,AA167)+0.005&gt;AT167*1000000+SUM(V167,AN167)*10000+SUM(P167,AH167)*100+SUM(J167,AB167)+0.004,1,0)+IF(AU167*1000000+SUM(W167,AO167)*10000+SUM(Q167,AI167)*100+SUM(K167,AC167)+0.003&gt;AT167*1000000+SUM(V167,AN167)*10000+SUM(P167,AH167)*100+SUM(J167,AB167)+0.004,1,0)+IF(AV167*1000000+SUM(X167,AP167)*10000+SUM(R167,AJ167)*100+SUM(L167,AD167)+0.002&gt;AT167*1000000+SUM(V167,AN167)*10000+SUM(P167,AH167)*100+SUM(J167,AB167)+0.004,1,0)+IF(AW167*1000000+SUM(Y167,AQ167)*10000+SUM(S167,AK167)*100+SUM(M167,AE167)+0.001&gt;AT167*1000000+SUM(V167,AN167)*10000+SUM(P167,AH167)*100+SUM(J167,AB167)+0.004,1,0)=2,"A",IF(IF(AR167*1000000+SUM(T167,AL167)*10000+SUM(N167,AF167)*100+SUM(H167,Z167)+0.006&gt;AU167*1000000+SUM(W167,AO167)*10000+SUM(Q167,AI167)*100+SUM(K167,AC167)+0.003,1,0)+IF(AS167*1000000+SUM(U167,AM167)*10000+SUM(O167,AG167)*100+SUM(I167,AA167)+0.005&gt;AU167*1000000+SUM(W167,AO167)*10000+SUM(Q167,AI167)*100+SUM(K167,AC167)+0.003,1,0)+IF(AT167*1000000+SUM(V167,AN167)*10000+SUM(P167,AH167)*100+SUM(J167,AB167)+0.004&gt;AU167*1000000+SUM(W167,AO167)*10000+SUM(Q167,AI167)*100+SUM(K167,AC167)+0.003,1,0)+IF(AV167*1000000+SUM(X167,AP167)*10000+SUM(R167,AJ167)*100+SUM(L167,AD167)+0.002&gt;AU167*1000000+SUM(W167,AO167)*10000+SUM(Q167,AI167)*100+SUM(K167,AC167)+0.003,1,0)+IF(AW167*1000000+SUM(Y167,AQ167)*10000+SUM(S167,AK167)*100+SUM(M167,AE167)+0.001&gt;AU167*1000000+SUM(W167,AO167)*10000+SUM(Q167,AI167)*100+SUM(K167,AC167)+0.003,1,0)=2,"S",IF(IF(AR167*1000000+SUM(T167,AL167)*10000+SUM(N167,AF167)*100+SUM(H167,Z167)+0.006&gt;AV167*1000000+SUM(X167,AP167)*10000+SUM(R167,AJ167)*100+SUM(L167,AD167)+0.002,1,0)+IF(AS167*1000000+SUM(U167,AM167)*10000+SUM(O167,AG167)*100+SUM(I167,AA167)+0.005&gt;AV167*1000000+SUM(X167,AP167)*10000+SUM(R167,AJ167)*100+SUM(L167,AD167)+0.002,1,0)+IF(AT167*1000000+SUM(V167,AN167)*10000+SUM(P167,AH167)*100+SUM(J167,AB167)+0.004&gt;AV167*1000000+SUM(X167,AP167)*10000+SUM(R167,AJ167)*100+SUM(L167,AD167)+0.002,1,0)+IF(AU167*1000000+SUM(W167,AO167)*10000+SUM(Q167,AI167)*100+SUM(K167,AC167)+0.003&gt;AV167*1000000+SUM(X167,AP167)*10000+SUM(R167,AJ167)*100+SUM(L167,AD167)+0.002,1,0)+IF(AW167*1000000+SUM(Y167,AQ167)*10000+SUM(S167,AK167)*100+SUM(M167,AE167)+0.001&gt;AV167*1000000+SUM(X167,AP167)*10000+SUM(R167,AJ167)*100+SUM(L167,AD167)+0.002,1,0)=2,"E",IF(IF(AR167*1000000+SUM(T167,AL167)*10000+SUM(N167,AF167)*100+SUM(H167,Z167)+0.006&gt;AW167*1000000+SUM(Y167,AQ167)*10000+SUM(S167,AK167)*100+SUM(M167,AE167)+0.001,1,0)+IF(AS167*1000000+SUM(U167,AM167)*10000+SUM(O167,AG167)*100+SUM(I167,AA167)+0.005&gt;AW167*1000000+SUM(Y167,AQ167)*10000+SUM(S167,AK167)*100+SUM(M167,AE167)+0.001,1,0)+IF(AT167*1000000+SUM(V167,AN167)*10000+SUM(P167,AH167)*100+SUM(J167,AB167)+0.004&gt;AW167*1000000+SUM(Y167,AQ167)*10000+SUM(S167,AK167)*100+SUM(M167,AE167)+0.001,1,0)+IF(AU167*1000000+SUM(W167,AO167)*10000+SUM(Q167,AI167)*100+SUM(K167,AC167)+0.003&gt;AW167*1000000+SUM(Y167,AQ167)*10000+SUM(S167,AK167)*100+SUM(M167,AE167)+0.001,1,0)+IF(AV167*1000000+SUM(X167,AP167)*10000+SUM(R167,AJ167)*100+SUM(L167,AD167)+0.002&gt;AW167*1000000+SUM(Y167,AQ167)*10000+SUM(S167,AK167)*100+SUM(M167,AE167)+0.001,1,0)=2,"C","")))))))</x:f>
      </x:c>
      <x:c r="AY167" s="27" t="str">
        <x:f>IF(C167="","",IF(LEFT(AX167,1)="R","นักปฏิบัติ",IF(LEFT(AX167,1)="I","นักคิดวิเคราะห์",IF(LEFT(AX167,1)="A","นักสร้างสรรค์",IF(LEFT(AX167,1)="S","ผู้เข้าใจผู้คน",IF(LEFT(AX167,1)="E","ผู้นำการเปลี่ยนแปลง","ผู้จัดระบบ"))))))</x:f>
      </x:c>
    </x:row>
    <x:row r="168">
      <x:c r="A168" s="27"/>
      <x:c r="B168" s="28"/>
      <x:c r="C168" s="27"/>
      <x:c r="D168" s="27"/>
      <x:c r="E168" s="27"/>
      <x:c r="F168" s="27"/>
      <x:c r="G168" s="27"/>
      <x:c r="H168" s="27"/>
      <x:c r="I168" s="27"/>
      <x:c r="J168" s="27"/>
      <x:c r="K168" s="27"/>
      <x:c r="L168" s="27"/>
      <x:c r="M168" s="27"/>
      <x:c r="N168" s="27"/>
      <x:c r="O168" s="27"/>
      <x:c r="P168" s="27"/>
      <x:c r="Q168" s="27"/>
      <x:c r="R168" s="27"/>
      <x:c r="S168" s="27"/>
      <x:c r="T168" s="27"/>
      <x:c r="U168" s="27"/>
      <x:c r="V168" s="27"/>
      <x:c r="W168" s="27"/>
      <x:c r="X168" s="27"/>
      <x:c r="Y168" s="27"/>
      <x:c r="Z168" s="27"/>
      <x:c r="AA168" s="27"/>
      <x:c r="AB168" s="27"/>
      <x:c r="AC168" s="27"/>
      <x:c r="AD168" s="27"/>
      <x:c r="AE168" s="27"/>
      <x:c r="AF168" s="27"/>
      <x:c r="AG168" s="27"/>
      <x:c r="AH168" s="27"/>
      <x:c r="AI168" s="27"/>
      <x:c r="AJ168" s="27"/>
      <x:c r="AK168" s="27"/>
      <x:c r="AL168" s="27"/>
      <x:c r="AM168" s="27"/>
      <x:c r="AN168" s="27"/>
      <x:c r="AO168" s="27"/>
      <x:c r="AP168" s="27"/>
      <x:c r="AQ168" s="27"/>
      <x:c r="AR168" s="27" t="str">
        <x:f>IF(C168="","",SUM(H168,N168,T168,Z168,AF168,AL168))</x:f>
      </x:c>
      <x:c r="AS168" s="27" t="str">
        <x:f>IF(C168="","",SUM(I168,O168,U168,AA168,AG168,AM168))</x:f>
      </x:c>
      <x:c r="AT168" s="27" t="str">
        <x:f>IF(C168="","",SUM(J168,P168,V168,AB168,AH168,AN168))</x:f>
      </x:c>
      <x:c r="AU168" s="27" t="str">
        <x:f>IF(C168="","",SUM(K168,Q168,W168,AC168,AI168,AO168))</x:f>
      </x:c>
      <x:c r="AV168" s="27" t="str">
        <x:f>IF(C168="","",SUM(L168,R168,X168,AD168,AJ168,AP168))</x:f>
      </x:c>
      <x:c r="AW168" s="27" t="str">
        <x:f>IF(C168="","",SUM(M168,S168,Y168,AE168,AK168,AQ168))</x:f>
      </x:c>
      <x:c r="AX168" s="27" t="str">
        <x:f>IF(C168="","",IF(IF(AS168*1000000+SUM(U168,AM168)*10000+SUM(O168,AG168)*100+SUM(I168,AA168)+0.005&gt;AR168*1000000+SUM(T168,AL168)*10000+SUM(N168,AF168)*100+SUM(H168,Z168)+0.006,1,0)+IF(AT168*1000000+SUM(V168,AN168)*10000+SUM(P168,AH168)*100+SUM(J168,AB168)+0.004&gt;AR168*1000000+SUM(T168,AL168)*10000+SUM(N168,AF168)*100+SUM(H168,Z168)+0.006,1,0)+IF(AU168*1000000+SUM(W168,AO168)*10000+SUM(Q168,AI168)*100+SUM(K168,AC168)+0.003&gt;AR168*1000000+SUM(T168,AL168)*10000+SUM(N168,AF168)*100+SUM(H168,Z168)+0.006,1,0)+IF(AV168*1000000+SUM(X168,AP168)*10000+SUM(R168,AJ168)*100+SUM(L168,AD168)+0.002&gt;AR168*1000000+SUM(T168,AL168)*10000+SUM(N168,AF168)*100+SUM(H168,Z168)+0.006,1,0)+IF(AW168*1000000+SUM(Y168,AQ168)*10000+SUM(S168,AK168)*100+SUM(M168,AE168)+0.001&gt;AR168*1000000+SUM(T168,AL168)*10000+SUM(N168,AF168)*100+SUM(H168,Z168)+0.006,1,0)=0,"R",IF(IF(AR168*1000000+SUM(T168,AL168)*10000+SUM(N168,AF168)*100+SUM(H168,Z168)+0.006&gt;AS168*1000000+SUM(U168,AM168)*10000+SUM(O168,AG168)*100+SUM(I168,AA168)+0.005,1,0)+IF(AT168*1000000+SUM(V168,AN168)*10000+SUM(P168,AH168)*100+SUM(J168,AB168)+0.004&gt;AS168*1000000+SUM(U168,AM168)*10000+SUM(O168,AG168)*100+SUM(I168,AA168)+0.005,1,0)+IF(AU168*1000000+SUM(W168,AO168)*10000+SUM(Q168,AI168)*100+SUM(K168,AC168)+0.003&gt;AS168*1000000+SUM(U168,AM168)*10000+SUM(O168,AG168)*100+SUM(I168,AA168)+0.005,1,0)+IF(AV168*1000000+SUM(X168,AP168)*10000+SUM(R168,AJ168)*100+SUM(L168,AD168)+0.002&gt;AS168*1000000+SUM(U168,AM168)*10000+SUM(O168,AG168)*100+SUM(I168,AA168)+0.005,1,0)+IF(AW168*1000000+SUM(Y168,AQ168)*10000+SUM(S168,AK168)*100+SUM(M168,AE168)+0.001&gt;AS168*1000000+SUM(U168,AM168)*10000+SUM(O168,AG168)*100+SUM(I168,AA168)+0.005,1,0)=0,"I",IF(IF(AR168*1000000+SUM(T168,AL168)*10000+SUM(N168,AF168)*100+SUM(H168,Z168)+0.006&gt;AT168*1000000+SUM(V168,AN168)*10000+SUM(P168,AH168)*100+SUM(J168,AB168)+0.004,1,0)+IF(AS168*1000000+SUM(U168,AM168)*10000+SUM(O168,AG168)*100+SUM(I168,AA168)+0.005&gt;AT168*1000000+SUM(V168,AN168)*10000+SUM(P168,AH168)*100+SUM(J168,AB168)+0.004,1,0)+IF(AU168*1000000+SUM(W168,AO168)*10000+SUM(Q168,AI168)*100+SUM(K168,AC168)+0.003&gt;AT168*1000000+SUM(V168,AN168)*10000+SUM(P168,AH168)*100+SUM(J168,AB168)+0.004,1,0)+IF(AV168*1000000+SUM(X168,AP168)*10000+SUM(R168,AJ168)*100+SUM(L168,AD168)+0.002&gt;AT168*1000000+SUM(V168,AN168)*10000+SUM(P168,AH168)*100+SUM(J168,AB168)+0.004,1,0)+IF(AW168*1000000+SUM(Y168,AQ168)*10000+SUM(S168,AK168)*100+SUM(M168,AE168)+0.001&gt;AT168*1000000+SUM(V168,AN168)*10000+SUM(P168,AH168)*100+SUM(J168,AB168)+0.004,1,0)=0,"A",IF(IF(AR168*1000000+SUM(T168,AL168)*10000+SUM(N168,AF168)*100+SUM(H168,Z168)+0.006&gt;AU168*1000000+SUM(W168,AO168)*10000+SUM(Q168,AI168)*100+SUM(K168,AC168)+0.003,1,0)+IF(AS168*1000000+SUM(U168,AM168)*10000+SUM(O168,AG168)*100+SUM(I168,AA168)+0.005&gt;AU168*1000000+SUM(W168,AO168)*10000+SUM(Q168,AI168)*100+SUM(K168,AC168)+0.003,1,0)+IF(AT168*1000000+SUM(V168,AN168)*10000+SUM(P168,AH168)*100+SUM(J168,AB168)+0.004&gt;AU168*1000000+SUM(W168,AO168)*10000+SUM(Q168,AI168)*100+SUM(K168,AC168)+0.003,1,0)+IF(AV168*1000000+SUM(X168,AP168)*10000+SUM(R168,AJ168)*100+SUM(L168,AD168)+0.002&gt;AU168*1000000+SUM(W168,AO168)*10000+SUM(Q168,AI168)*100+SUM(K168,AC168)+0.003,1,0)+IF(AW168*1000000+SUM(Y168,AQ168)*10000+SUM(S168,AK168)*100+SUM(M168,AE168)+0.001&gt;AU168*1000000+SUM(W168,AO168)*10000+SUM(Q168,AI168)*100+SUM(K168,AC168)+0.003,1,0)=0,"S",IF(IF(AR168*1000000+SUM(T168,AL168)*10000+SUM(N168,AF168)*100+SUM(H168,Z168)+0.006&gt;AV168*1000000+SUM(X168,AP168)*10000+SUM(R168,AJ168)*100+SUM(L168,AD168)+0.002,1,0)+IF(AS168*1000000+SUM(U168,AM168)*10000+SUM(O168,AG168)*100+SUM(I168,AA168)+0.005&gt;AV168*1000000+SUM(X168,AP168)*10000+SUM(R168,AJ168)*100+SUM(L168,AD168)+0.002,1,0)+IF(AT168*1000000+SUM(V168,AN168)*10000+SUM(P168,AH168)*100+SUM(J168,AB168)+0.004&gt;AV168*1000000+SUM(X168,AP168)*10000+SUM(R168,AJ168)*100+SUM(L168,AD168)+0.002,1,0)+IF(AU168*1000000+SUM(W168,AO168)*10000+SUM(Q168,AI168)*100+SUM(K168,AC168)+0.003&gt;AV168*1000000+SUM(X168,AP168)*10000+SUM(R168,AJ168)*100+SUM(L168,AD168)+0.002,1,0)+IF(AW168*1000000+SUM(Y168,AQ168)*10000+SUM(S168,AK168)*100+SUM(M168,AE168)+0.001&gt;AV168*1000000+SUM(X168,AP168)*10000+SUM(R168,AJ168)*100+SUM(L168,AD168)+0.002,1,0)=0,"E",IF(IF(AR168*1000000+SUM(T168,AL168)*10000+SUM(N168,AF168)*100+SUM(H168,Z168)+0.006&gt;AW168*1000000+SUM(Y168,AQ168)*10000+SUM(S168,AK168)*100+SUM(M168,AE168)+0.001,1,0)+IF(AS168*1000000+SUM(U168,AM168)*10000+SUM(O168,AG168)*100+SUM(I168,AA168)+0.005&gt;AW168*1000000+SUM(Y168,AQ168)*10000+SUM(S168,AK168)*100+SUM(M168,AE168)+0.001,1,0)+IF(AT168*1000000+SUM(V168,AN168)*10000+SUM(P168,AH168)*100+SUM(J168,AB168)+0.004&gt;AW168*1000000+SUM(Y168,AQ168)*10000+SUM(S168,AK168)*100+SUM(M168,AE168)+0.001,1,0)+IF(AU168*1000000+SUM(W168,AO168)*10000+SUM(Q168,AI168)*100+SUM(K168,AC168)+0.003&gt;AW168*1000000+SUM(Y168,AQ168)*10000+SUM(S168,AK168)*100+SUM(M168,AE168)+0.001,1,0)+IF(AV168*1000000+SUM(X168,AP168)*10000+SUM(R168,AJ168)*100+SUM(L168,AD168)+0.002&gt;AW168*1000000+SUM(Y168,AQ168)*10000+SUM(S168,AK168)*100+SUM(M168,AE168)+0.001,1,0)=0,"C",""))))))&amp;IF(IF(AS168*1000000+SUM(U168,AM168)*10000+SUM(O168,AG168)*100+SUM(I168,AA168)+0.005&gt;AR168*1000000+SUM(T168,AL168)*10000+SUM(N168,AF168)*100+SUM(H168,Z168)+0.006,1,0)+IF(AT168*1000000+SUM(V168,AN168)*10000+SUM(P168,AH168)*100+SUM(J168,AB168)+0.004&gt;AR168*1000000+SUM(T168,AL168)*10000+SUM(N168,AF168)*100+SUM(H168,Z168)+0.006,1,0)+IF(AU168*1000000+SUM(W168,AO168)*10000+SUM(Q168,AI168)*100+SUM(K168,AC168)+0.003&gt;AR168*1000000+SUM(T168,AL168)*10000+SUM(N168,AF168)*100+SUM(H168,Z168)+0.006,1,0)+IF(AV168*1000000+SUM(X168,AP168)*10000+SUM(R168,AJ168)*100+SUM(L168,AD168)+0.002&gt;AR168*1000000+SUM(T168,AL168)*10000+SUM(N168,AF168)*100+SUM(H168,Z168)+0.006,1,0)+IF(AW168*1000000+SUM(Y168,AQ168)*10000+SUM(S168,AK168)*100+SUM(M168,AE168)+0.001&gt;AR168*1000000+SUM(T168,AL168)*10000+SUM(N168,AF168)*100+SUM(H168,Z168)+0.006,1,0)=1,"R",IF(IF(AR168*1000000+SUM(T168,AL168)*10000+SUM(N168,AF168)*100+SUM(H168,Z168)+0.006&gt;AS168*1000000+SUM(U168,AM168)*10000+SUM(O168,AG168)*100+SUM(I168,AA168)+0.005,1,0)+IF(AT168*1000000+SUM(V168,AN168)*10000+SUM(P168,AH168)*100+SUM(J168,AB168)+0.004&gt;AS168*1000000+SUM(U168,AM168)*10000+SUM(O168,AG168)*100+SUM(I168,AA168)+0.005,1,0)+IF(AU168*1000000+SUM(W168,AO168)*10000+SUM(Q168,AI168)*100+SUM(K168,AC168)+0.003&gt;AS168*1000000+SUM(U168,AM168)*10000+SUM(O168,AG168)*100+SUM(I168,AA168)+0.005,1,0)+IF(AV168*1000000+SUM(X168,AP168)*10000+SUM(R168,AJ168)*100+SUM(L168,AD168)+0.002&gt;AS168*1000000+SUM(U168,AM168)*10000+SUM(O168,AG168)*100+SUM(I168,AA168)+0.005,1,0)+IF(AW168*1000000+SUM(Y168,AQ168)*10000+SUM(S168,AK168)*100+SUM(M168,AE168)+0.001&gt;AS168*1000000+SUM(U168,AM168)*10000+SUM(O168,AG168)*100+SUM(I168,AA168)+0.005,1,0)=1,"I",IF(IF(AR168*1000000+SUM(T168,AL168)*10000+SUM(N168,AF168)*100+SUM(H168,Z168)+0.006&gt;AT168*1000000+SUM(V168,AN168)*10000+SUM(P168,AH168)*100+SUM(J168,AB168)+0.004,1,0)+IF(AS168*1000000+SUM(U168,AM168)*10000+SUM(O168,AG168)*100+SUM(I168,AA168)+0.005&gt;AT168*1000000+SUM(V168,AN168)*10000+SUM(P168,AH168)*100+SUM(J168,AB168)+0.004,1,0)+IF(AU168*1000000+SUM(W168,AO168)*10000+SUM(Q168,AI168)*100+SUM(K168,AC168)+0.003&gt;AT168*1000000+SUM(V168,AN168)*10000+SUM(P168,AH168)*100+SUM(J168,AB168)+0.004,1,0)+IF(AV168*1000000+SUM(X168,AP168)*10000+SUM(R168,AJ168)*100+SUM(L168,AD168)+0.002&gt;AT168*1000000+SUM(V168,AN168)*10000+SUM(P168,AH168)*100+SUM(J168,AB168)+0.004,1,0)+IF(AW168*1000000+SUM(Y168,AQ168)*10000+SUM(S168,AK168)*100+SUM(M168,AE168)+0.001&gt;AT168*1000000+SUM(V168,AN168)*10000+SUM(P168,AH168)*100+SUM(J168,AB168)+0.004,1,0)=1,"A",IF(IF(AR168*1000000+SUM(T168,AL168)*10000+SUM(N168,AF168)*100+SUM(H168,Z168)+0.006&gt;AU168*1000000+SUM(W168,AO168)*10000+SUM(Q168,AI168)*100+SUM(K168,AC168)+0.003,1,0)+IF(AS168*1000000+SUM(U168,AM168)*10000+SUM(O168,AG168)*100+SUM(I168,AA168)+0.005&gt;AU168*1000000+SUM(W168,AO168)*10000+SUM(Q168,AI168)*100+SUM(K168,AC168)+0.003,1,0)+IF(AT168*1000000+SUM(V168,AN168)*10000+SUM(P168,AH168)*100+SUM(J168,AB168)+0.004&gt;AU168*1000000+SUM(W168,AO168)*10000+SUM(Q168,AI168)*100+SUM(K168,AC168)+0.003,1,0)+IF(AV168*1000000+SUM(X168,AP168)*10000+SUM(R168,AJ168)*100+SUM(L168,AD168)+0.002&gt;AU168*1000000+SUM(W168,AO168)*10000+SUM(Q168,AI168)*100+SUM(K168,AC168)+0.003,1,0)+IF(AW168*1000000+SUM(Y168,AQ168)*10000+SUM(S168,AK168)*100+SUM(M168,AE168)+0.001&gt;AU168*1000000+SUM(W168,AO168)*10000+SUM(Q168,AI168)*100+SUM(K168,AC168)+0.003,1,0)=1,"S",IF(IF(AR168*1000000+SUM(T168,AL168)*10000+SUM(N168,AF168)*100+SUM(H168,Z168)+0.006&gt;AV168*1000000+SUM(X168,AP168)*10000+SUM(R168,AJ168)*100+SUM(L168,AD168)+0.002,1,0)+IF(AS168*1000000+SUM(U168,AM168)*10000+SUM(O168,AG168)*100+SUM(I168,AA168)+0.005&gt;AV168*1000000+SUM(X168,AP168)*10000+SUM(R168,AJ168)*100+SUM(L168,AD168)+0.002,1,0)+IF(AT168*1000000+SUM(V168,AN168)*10000+SUM(P168,AH168)*100+SUM(J168,AB168)+0.004&gt;AV168*1000000+SUM(X168,AP168)*10000+SUM(R168,AJ168)*100+SUM(L168,AD168)+0.002,1,0)+IF(AU168*1000000+SUM(W168,AO168)*10000+SUM(Q168,AI168)*100+SUM(K168,AC168)+0.003&gt;AV168*1000000+SUM(X168,AP168)*10000+SUM(R168,AJ168)*100+SUM(L168,AD168)+0.002,1,0)+IF(AW168*1000000+SUM(Y168,AQ168)*10000+SUM(S168,AK168)*100+SUM(M168,AE168)+0.001&gt;AV168*1000000+SUM(X168,AP168)*10000+SUM(R168,AJ168)*100+SUM(L168,AD168)+0.002,1,0)=1,"E",IF(IF(AR168*1000000+SUM(T168,AL168)*10000+SUM(N168,AF168)*100+SUM(H168,Z168)+0.006&gt;AW168*1000000+SUM(Y168,AQ168)*10000+SUM(S168,AK168)*100+SUM(M168,AE168)+0.001,1,0)+IF(AS168*1000000+SUM(U168,AM168)*10000+SUM(O168,AG168)*100+SUM(I168,AA168)+0.005&gt;AW168*1000000+SUM(Y168,AQ168)*10000+SUM(S168,AK168)*100+SUM(M168,AE168)+0.001,1,0)+IF(AT168*1000000+SUM(V168,AN168)*10000+SUM(P168,AH168)*100+SUM(J168,AB168)+0.004&gt;AW168*1000000+SUM(Y168,AQ168)*10000+SUM(S168,AK168)*100+SUM(M168,AE168)+0.001,1,0)+IF(AU168*1000000+SUM(W168,AO168)*10000+SUM(Q168,AI168)*100+SUM(K168,AC168)+0.003&gt;AW168*1000000+SUM(Y168,AQ168)*10000+SUM(S168,AK168)*100+SUM(M168,AE168)+0.001,1,0)+IF(AV168*1000000+SUM(X168,AP168)*10000+SUM(R168,AJ168)*100+SUM(L168,AD168)+0.002&gt;AW168*1000000+SUM(Y168,AQ168)*10000+SUM(S168,AK168)*100+SUM(M168,AE168)+0.001,1,0)=1,"C",""))))))&amp;IF(IF(AS168*1000000+SUM(U168,AM168)*10000+SUM(O168,AG168)*100+SUM(I168,AA168)+0.005&gt;AR168*1000000+SUM(T168,AL168)*10000+SUM(N168,AF168)*100+SUM(H168,Z168)+0.006,1,0)+IF(AT168*1000000+SUM(V168,AN168)*10000+SUM(P168,AH168)*100+SUM(J168,AB168)+0.004&gt;AR168*1000000+SUM(T168,AL168)*10000+SUM(N168,AF168)*100+SUM(H168,Z168)+0.006,1,0)+IF(AU168*1000000+SUM(W168,AO168)*10000+SUM(Q168,AI168)*100+SUM(K168,AC168)+0.003&gt;AR168*1000000+SUM(T168,AL168)*10000+SUM(N168,AF168)*100+SUM(H168,Z168)+0.006,1,0)+IF(AV168*1000000+SUM(X168,AP168)*10000+SUM(R168,AJ168)*100+SUM(L168,AD168)+0.002&gt;AR168*1000000+SUM(T168,AL168)*10000+SUM(N168,AF168)*100+SUM(H168,Z168)+0.006,1,0)+IF(AW168*1000000+SUM(Y168,AQ168)*10000+SUM(S168,AK168)*100+SUM(M168,AE168)+0.001&gt;AR168*1000000+SUM(T168,AL168)*10000+SUM(N168,AF168)*100+SUM(H168,Z168)+0.006,1,0)=2,"R",IF(IF(AR168*1000000+SUM(T168,AL168)*10000+SUM(N168,AF168)*100+SUM(H168,Z168)+0.006&gt;AS168*1000000+SUM(U168,AM168)*10000+SUM(O168,AG168)*100+SUM(I168,AA168)+0.005,1,0)+IF(AT168*1000000+SUM(V168,AN168)*10000+SUM(P168,AH168)*100+SUM(J168,AB168)+0.004&gt;AS168*1000000+SUM(U168,AM168)*10000+SUM(O168,AG168)*100+SUM(I168,AA168)+0.005,1,0)+IF(AU168*1000000+SUM(W168,AO168)*10000+SUM(Q168,AI168)*100+SUM(K168,AC168)+0.003&gt;AS168*1000000+SUM(U168,AM168)*10000+SUM(O168,AG168)*100+SUM(I168,AA168)+0.005,1,0)+IF(AV168*1000000+SUM(X168,AP168)*10000+SUM(R168,AJ168)*100+SUM(L168,AD168)+0.002&gt;AS168*1000000+SUM(U168,AM168)*10000+SUM(O168,AG168)*100+SUM(I168,AA168)+0.005,1,0)+IF(AW168*1000000+SUM(Y168,AQ168)*10000+SUM(S168,AK168)*100+SUM(M168,AE168)+0.001&gt;AS168*1000000+SUM(U168,AM168)*10000+SUM(O168,AG168)*100+SUM(I168,AA168)+0.005,1,0)=2,"I",IF(IF(AR168*1000000+SUM(T168,AL168)*10000+SUM(N168,AF168)*100+SUM(H168,Z168)+0.006&gt;AT168*1000000+SUM(V168,AN168)*10000+SUM(P168,AH168)*100+SUM(J168,AB168)+0.004,1,0)+IF(AS168*1000000+SUM(U168,AM168)*10000+SUM(O168,AG168)*100+SUM(I168,AA168)+0.005&gt;AT168*1000000+SUM(V168,AN168)*10000+SUM(P168,AH168)*100+SUM(J168,AB168)+0.004,1,0)+IF(AU168*1000000+SUM(W168,AO168)*10000+SUM(Q168,AI168)*100+SUM(K168,AC168)+0.003&gt;AT168*1000000+SUM(V168,AN168)*10000+SUM(P168,AH168)*100+SUM(J168,AB168)+0.004,1,0)+IF(AV168*1000000+SUM(X168,AP168)*10000+SUM(R168,AJ168)*100+SUM(L168,AD168)+0.002&gt;AT168*1000000+SUM(V168,AN168)*10000+SUM(P168,AH168)*100+SUM(J168,AB168)+0.004,1,0)+IF(AW168*1000000+SUM(Y168,AQ168)*10000+SUM(S168,AK168)*100+SUM(M168,AE168)+0.001&gt;AT168*1000000+SUM(V168,AN168)*10000+SUM(P168,AH168)*100+SUM(J168,AB168)+0.004,1,0)=2,"A",IF(IF(AR168*1000000+SUM(T168,AL168)*10000+SUM(N168,AF168)*100+SUM(H168,Z168)+0.006&gt;AU168*1000000+SUM(W168,AO168)*10000+SUM(Q168,AI168)*100+SUM(K168,AC168)+0.003,1,0)+IF(AS168*1000000+SUM(U168,AM168)*10000+SUM(O168,AG168)*100+SUM(I168,AA168)+0.005&gt;AU168*1000000+SUM(W168,AO168)*10000+SUM(Q168,AI168)*100+SUM(K168,AC168)+0.003,1,0)+IF(AT168*1000000+SUM(V168,AN168)*10000+SUM(P168,AH168)*100+SUM(J168,AB168)+0.004&gt;AU168*1000000+SUM(W168,AO168)*10000+SUM(Q168,AI168)*100+SUM(K168,AC168)+0.003,1,0)+IF(AV168*1000000+SUM(X168,AP168)*10000+SUM(R168,AJ168)*100+SUM(L168,AD168)+0.002&gt;AU168*1000000+SUM(W168,AO168)*10000+SUM(Q168,AI168)*100+SUM(K168,AC168)+0.003,1,0)+IF(AW168*1000000+SUM(Y168,AQ168)*10000+SUM(S168,AK168)*100+SUM(M168,AE168)+0.001&gt;AU168*1000000+SUM(W168,AO168)*10000+SUM(Q168,AI168)*100+SUM(K168,AC168)+0.003,1,0)=2,"S",IF(IF(AR168*1000000+SUM(T168,AL168)*10000+SUM(N168,AF168)*100+SUM(H168,Z168)+0.006&gt;AV168*1000000+SUM(X168,AP168)*10000+SUM(R168,AJ168)*100+SUM(L168,AD168)+0.002,1,0)+IF(AS168*1000000+SUM(U168,AM168)*10000+SUM(O168,AG168)*100+SUM(I168,AA168)+0.005&gt;AV168*1000000+SUM(X168,AP168)*10000+SUM(R168,AJ168)*100+SUM(L168,AD168)+0.002,1,0)+IF(AT168*1000000+SUM(V168,AN168)*10000+SUM(P168,AH168)*100+SUM(J168,AB168)+0.004&gt;AV168*1000000+SUM(X168,AP168)*10000+SUM(R168,AJ168)*100+SUM(L168,AD168)+0.002,1,0)+IF(AU168*1000000+SUM(W168,AO168)*10000+SUM(Q168,AI168)*100+SUM(K168,AC168)+0.003&gt;AV168*1000000+SUM(X168,AP168)*10000+SUM(R168,AJ168)*100+SUM(L168,AD168)+0.002,1,0)+IF(AW168*1000000+SUM(Y168,AQ168)*10000+SUM(S168,AK168)*100+SUM(M168,AE168)+0.001&gt;AV168*1000000+SUM(X168,AP168)*10000+SUM(R168,AJ168)*100+SUM(L168,AD168)+0.002,1,0)=2,"E",IF(IF(AR168*1000000+SUM(T168,AL168)*10000+SUM(N168,AF168)*100+SUM(H168,Z168)+0.006&gt;AW168*1000000+SUM(Y168,AQ168)*10000+SUM(S168,AK168)*100+SUM(M168,AE168)+0.001,1,0)+IF(AS168*1000000+SUM(U168,AM168)*10000+SUM(O168,AG168)*100+SUM(I168,AA168)+0.005&gt;AW168*1000000+SUM(Y168,AQ168)*10000+SUM(S168,AK168)*100+SUM(M168,AE168)+0.001,1,0)+IF(AT168*1000000+SUM(V168,AN168)*10000+SUM(P168,AH168)*100+SUM(J168,AB168)+0.004&gt;AW168*1000000+SUM(Y168,AQ168)*10000+SUM(S168,AK168)*100+SUM(M168,AE168)+0.001,1,0)+IF(AU168*1000000+SUM(W168,AO168)*10000+SUM(Q168,AI168)*100+SUM(K168,AC168)+0.003&gt;AW168*1000000+SUM(Y168,AQ168)*10000+SUM(S168,AK168)*100+SUM(M168,AE168)+0.001,1,0)+IF(AV168*1000000+SUM(X168,AP168)*10000+SUM(R168,AJ168)*100+SUM(L168,AD168)+0.002&gt;AW168*1000000+SUM(Y168,AQ168)*10000+SUM(S168,AK168)*100+SUM(M168,AE168)+0.001,1,0)=2,"C","")))))))</x:f>
      </x:c>
      <x:c r="AY168" s="27" t="str">
        <x:f>IF(C168="","",IF(LEFT(AX168,1)="R","นักปฏิบัติ",IF(LEFT(AX168,1)="I","นักคิดวิเคราะห์",IF(LEFT(AX168,1)="A","นักสร้างสรรค์",IF(LEFT(AX168,1)="S","ผู้เข้าใจผู้คน",IF(LEFT(AX168,1)="E","ผู้นำการเปลี่ยนแปลง","ผู้จัดระบบ"))))))</x:f>
      </x:c>
    </x:row>
    <x:row r="169">
      <x:c r="A169" s="27"/>
      <x:c r="B169" s="28"/>
      <x:c r="C169" s="27"/>
      <x:c r="D169" s="27"/>
      <x:c r="E169" s="27"/>
      <x:c r="F169" s="27"/>
      <x:c r="G169" s="27"/>
      <x:c r="H169" s="27"/>
      <x:c r="I169" s="27"/>
      <x:c r="J169" s="27"/>
      <x:c r="K169" s="27"/>
      <x:c r="L169" s="27"/>
      <x:c r="M169" s="27"/>
      <x:c r="N169" s="27"/>
      <x:c r="O169" s="27"/>
      <x:c r="P169" s="27"/>
      <x:c r="Q169" s="27"/>
      <x:c r="R169" s="27"/>
      <x:c r="S169" s="27"/>
      <x:c r="T169" s="27"/>
      <x:c r="U169" s="27"/>
      <x:c r="V169" s="27"/>
      <x:c r="W169" s="27"/>
      <x:c r="X169" s="27"/>
      <x:c r="Y169" s="27"/>
      <x:c r="Z169" s="27"/>
      <x:c r="AA169" s="27"/>
      <x:c r="AB169" s="27"/>
      <x:c r="AC169" s="27"/>
      <x:c r="AD169" s="27"/>
      <x:c r="AE169" s="27"/>
      <x:c r="AF169" s="27"/>
      <x:c r="AG169" s="27"/>
      <x:c r="AH169" s="27"/>
      <x:c r="AI169" s="27"/>
      <x:c r="AJ169" s="27"/>
      <x:c r="AK169" s="27"/>
      <x:c r="AL169" s="27"/>
      <x:c r="AM169" s="27"/>
      <x:c r="AN169" s="27"/>
      <x:c r="AO169" s="27"/>
      <x:c r="AP169" s="27"/>
      <x:c r="AQ169" s="27"/>
      <x:c r="AR169" s="27" t="str">
        <x:f>IF(C169="","",SUM(H169,N169,T169,Z169,AF169,AL169))</x:f>
      </x:c>
      <x:c r="AS169" s="27" t="str">
        <x:f>IF(C169="","",SUM(I169,O169,U169,AA169,AG169,AM169))</x:f>
      </x:c>
      <x:c r="AT169" s="27" t="str">
        <x:f>IF(C169="","",SUM(J169,P169,V169,AB169,AH169,AN169))</x:f>
      </x:c>
      <x:c r="AU169" s="27" t="str">
        <x:f>IF(C169="","",SUM(K169,Q169,W169,AC169,AI169,AO169))</x:f>
      </x:c>
      <x:c r="AV169" s="27" t="str">
        <x:f>IF(C169="","",SUM(L169,R169,X169,AD169,AJ169,AP169))</x:f>
      </x:c>
      <x:c r="AW169" s="27" t="str">
        <x:f>IF(C169="","",SUM(M169,S169,Y169,AE169,AK169,AQ169))</x:f>
      </x:c>
      <x:c r="AX169" s="27" t="str">
        <x:f>IF(C169="","",IF(IF(AS169*1000000+SUM(U169,AM169)*10000+SUM(O169,AG169)*100+SUM(I169,AA169)+0.005&gt;AR169*1000000+SUM(T169,AL169)*10000+SUM(N169,AF169)*100+SUM(H169,Z169)+0.006,1,0)+IF(AT169*1000000+SUM(V169,AN169)*10000+SUM(P169,AH169)*100+SUM(J169,AB169)+0.004&gt;AR169*1000000+SUM(T169,AL169)*10000+SUM(N169,AF169)*100+SUM(H169,Z169)+0.006,1,0)+IF(AU169*1000000+SUM(W169,AO169)*10000+SUM(Q169,AI169)*100+SUM(K169,AC169)+0.003&gt;AR169*1000000+SUM(T169,AL169)*10000+SUM(N169,AF169)*100+SUM(H169,Z169)+0.006,1,0)+IF(AV169*1000000+SUM(X169,AP169)*10000+SUM(R169,AJ169)*100+SUM(L169,AD169)+0.002&gt;AR169*1000000+SUM(T169,AL169)*10000+SUM(N169,AF169)*100+SUM(H169,Z169)+0.006,1,0)+IF(AW169*1000000+SUM(Y169,AQ169)*10000+SUM(S169,AK169)*100+SUM(M169,AE169)+0.001&gt;AR169*1000000+SUM(T169,AL169)*10000+SUM(N169,AF169)*100+SUM(H169,Z169)+0.006,1,0)=0,"R",IF(IF(AR169*1000000+SUM(T169,AL169)*10000+SUM(N169,AF169)*100+SUM(H169,Z169)+0.006&gt;AS169*1000000+SUM(U169,AM169)*10000+SUM(O169,AG169)*100+SUM(I169,AA169)+0.005,1,0)+IF(AT169*1000000+SUM(V169,AN169)*10000+SUM(P169,AH169)*100+SUM(J169,AB169)+0.004&gt;AS169*1000000+SUM(U169,AM169)*10000+SUM(O169,AG169)*100+SUM(I169,AA169)+0.005,1,0)+IF(AU169*1000000+SUM(W169,AO169)*10000+SUM(Q169,AI169)*100+SUM(K169,AC169)+0.003&gt;AS169*1000000+SUM(U169,AM169)*10000+SUM(O169,AG169)*100+SUM(I169,AA169)+0.005,1,0)+IF(AV169*1000000+SUM(X169,AP169)*10000+SUM(R169,AJ169)*100+SUM(L169,AD169)+0.002&gt;AS169*1000000+SUM(U169,AM169)*10000+SUM(O169,AG169)*100+SUM(I169,AA169)+0.005,1,0)+IF(AW169*1000000+SUM(Y169,AQ169)*10000+SUM(S169,AK169)*100+SUM(M169,AE169)+0.001&gt;AS169*1000000+SUM(U169,AM169)*10000+SUM(O169,AG169)*100+SUM(I169,AA169)+0.005,1,0)=0,"I",IF(IF(AR169*1000000+SUM(T169,AL169)*10000+SUM(N169,AF169)*100+SUM(H169,Z169)+0.006&gt;AT169*1000000+SUM(V169,AN169)*10000+SUM(P169,AH169)*100+SUM(J169,AB169)+0.004,1,0)+IF(AS169*1000000+SUM(U169,AM169)*10000+SUM(O169,AG169)*100+SUM(I169,AA169)+0.005&gt;AT169*1000000+SUM(V169,AN169)*10000+SUM(P169,AH169)*100+SUM(J169,AB169)+0.004,1,0)+IF(AU169*1000000+SUM(W169,AO169)*10000+SUM(Q169,AI169)*100+SUM(K169,AC169)+0.003&gt;AT169*1000000+SUM(V169,AN169)*10000+SUM(P169,AH169)*100+SUM(J169,AB169)+0.004,1,0)+IF(AV169*1000000+SUM(X169,AP169)*10000+SUM(R169,AJ169)*100+SUM(L169,AD169)+0.002&gt;AT169*1000000+SUM(V169,AN169)*10000+SUM(P169,AH169)*100+SUM(J169,AB169)+0.004,1,0)+IF(AW169*1000000+SUM(Y169,AQ169)*10000+SUM(S169,AK169)*100+SUM(M169,AE169)+0.001&gt;AT169*1000000+SUM(V169,AN169)*10000+SUM(P169,AH169)*100+SUM(J169,AB169)+0.004,1,0)=0,"A",IF(IF(AR169*1000000+SUM(T169,AL169)*10000+SUM(N169,AF169)*100+SUM(H169,Z169)+0.006&gt;AU169*1000000+SUM(W169,AO169)*10000+SUM(Q169,AI169)*100+SUM(K169,AC169)+0.003,1,0)+IF(AS169*1000000+SUM(U169,AM169)*10000+SUM(O169,AG169)*100+SUM(I169,AA169)+0.005&gt;AU169*1000000+SUM(W169,AO169)*10000+SUM(Q169,AI169)*100+SUM(K169,AC169)+0.003,1,0)+IF(AT169*1000000+SUM(V169,AN169)*10000+SUM(P169,AH169)*100+SUM(J169,AB169)+0.004&gt;AU169*1000000+SUM(W169,AO169)*10000+SUM(Q169,AI169)*100+SUM(K169,AC169)+0.003,1,0)+IF(AV169*1000000+SUM(X169,AP169)*10000+SUM(R169,AJ169)*100+SUM(L169,AD169)+0.002&gt;AU169*1000000+SUM(W169,AO169)*10000+SUM(Q169,AI169)*100+SUM(K169,AC169)+0.003,1,0)+IF(AW169*1000000+SUM(Y169,AQ169)*10000+SUM(S169,AK169)*100+SUM(M169,AE169)+0.001&gt;AU169*1000000+SUM(W169,AO169)*10000+SUM(Q169,AI169)*100+SUM(K169,AC169)+0.003,1,0)=0,"S",IF(IF(AR169*1000000+SUM(T169,AL169)*10000+SUM(N169,AF169)*100+SUM(H169,Z169)+0.006&gt;AV169*1000000+SUM(X169,AP169)*10000+SUM(R169,AJ169)*100+SUM(L169,AD169)+0.002,1,0)+IF(AS169*1000000+SUM(U169,AM169)*10000+SUM(O169,AG169)*100+SUM(I169,AA169)+0.005&gt;AV169*1000000+SUM(X169,AP169)*10000+SUM(R169,AJ169)*100+SUM(L169,AD169)+0.002,1,0)+IF(AT169*1000000+SUM(V169,AN169)*10000+SUM(P169,AH169)*100+SUM(J169,AB169)+0.004&gt;AV169*1000000+SUM(X169,AP169)*10000+SUM(R169,AJ169)*100+SUM(L169,AD169)+0.002,1,0)+IF(AU169*1000000+SUM(W169,AO169)*10000+SUM(Q169,AI169)*100+SUM(K169,AC169)+0.003&gt;AV169*1000000+SUM(X169,AP169)*10000+SUM(R169,AJ169)*100+SUM(L169,AD169)+0.002,1,0)+IF(AW169*1000000+SUM(Y169,AQ169)*10000+SUM(S169,AK169)*100+SUM(M169,AE169)+0.001&gt;AV169*1000000+SUM(X169,AP169)*10000+SUM(R169,AJ169)*100+SUM(L169,AD169)+0.002,1,0)=0,"E",IF(IF(AR169*1000000+SUM(T169,AL169)*10000+SUM(N169,AF169)*100+SUM(H169,Z169)+0.006&gt;AW169*1000000+SUM(Y169,AQ169)*10000+SUM(S169,AK169)*100+SUM(M169,AE169)+0.001,1,0)+IF(AS169*1000000+SUM(U169,AM169)*10000+SUM(O169,AG169)*100+SUM(I169,AA169)+0.005&gt;AW169*1000000+SUM(Y169,AQ169)*10000+SUM(S169,AK169)*100+SUM(M169,AE169)+0.001,1,0)+IF(AT169*1000000+SUM(V169,AN169)*10000+SUM(P169,AH169)*100+SUM(J169,AB169)+0.004&gt;AW169*1000000+SUM(Y169,AQ169)*10000+SUM(S169,AK169)*100+SUM(M169,AE169)+0.001,1,0)+IF(AU169*1000000+SUM(W169,AO169)*10000+SUM(Q169,AI169)*100+SUM(K169,AC169)+0.003&gt;AW169*1000000+SUM(Y169,AQ169)*10000+SUM(S169,AK169)*100+SUM(M169,AE169)+0.001,1,0)+IF(AV169*1000000+SUM(X169,AP169)*10000+SUM(R169,AJ169)*100+SUM(L169,AD169)+0.002&gt;AW169*1000000+SUM(Y169,AQ169)*10000+SUM(S169,AK169)*100+SUM(M169,AE169)+0.001,1,0)=0,"C",""))))))&amp;IF(IF(AS169*1000000+SUM(U169,AM169)*10000+SUM(O169,AG169)*100+SUM(I169,AA169)+0.005&gt;AR169*1000000+SUM(T169,AL169)*10000+SUM(N169,AF169)*100+SUM(H169,Z169)+0.006,1,0)+IF(AT169*1000000+SUM(V169,AN169)*10000+SUM(P169,AH169)*100+SUM(J169,AB169)+0.004&gt;AR169*1000000+SUM(T169,AL169)*10000+SUM(N169,AF169)*100+SUM(H169,Z169)+0.006,1,0)+IF(AU169*1000000+SUM(W169,AO169)*10000+SUM(Q169,AI169)*100+SUM(K169,AC169)+0.003&gt;AR169*1000000+SUM(T169,AL169)*10000+SUM(N169,AF169)*100+SUM(H169,Z169)+0.006,1,0)+IF(AV169*1000000+SUM(X169,AP169)*10000+SUM(R169,AJ169)*100+SUM(L169,AD169)+0.002&gt;AR169*1000000+SUM(T169,AL169)*10000+SUM(N169,AF169)*100+SUM(H169,Z169)+0.006,1,0)+IF(AW169*1000000+SUM(Y169,AQ169)*10000+SUM(S169,AK169)*100+SUM(M169,AE169)+0.001&gt;AR169*1000000+SUM(T169,AL169)*10000+SUM(N169,AF169)*100+SUM(H169,Z169)+0.006,1,0)=1,"R",IF(IF(AR169*1000000+SUM(T169,AL169)*10000+SUM(N169,AF169)*100+SUM(H169,Z169)+0.006&gt;AS169*1000000+SUM(U169,AM169)*10000+SUM(O169,AG169)*100+SUM(I169,AA169)+0.005,1,0)+IF(AT169*1000000+SUM(V169,AN169)*10000+SUM(P169,AH169)*100+SUM(J169,AB169)+0.004&gt;AS169*1000000+SUM(U169,AM169)*10000+SUM(O169,AG169)*100+SUM(I169,AA169)+0.005,1,0)+IF(AU169*1000000+SUM(W169,AO169)*10000+SUM(Q169,AI169)*100+SUM(K169,AC169)+0.003&gt;AS169*1000000+SUM(U169,AM169)*10000+SUM(O169,AG169)*100+SUM(I169,AA169)+0.005,1,0)+IF(AV169*1000000+SUM(X169,AP169)*10000+SUM(R169,AJ169)*100+SUM(L169,AD169)+0.002&gt;AS169*1000000+SUM(U169,AM169)*10000+SUM(O169,AG169)*100+SUM(I169,AA169)+0.005,1,0)+IF(AW169*1000000+SUM(Y169,AQ169)*10000+SUM(S169,AK169)*100+SUM(M169,AE169)+0.001&gt;AS169*1000000+SUM(U169,AM169)*10000+SUM(O169,AG169)*100+SUM(I169,AA169)+0.005,1,0)=1,"I",IF(IF(AR169*1000000+SUM(T169,AL169)*10000+SUM(N169,AF169)*100+SUM(H169,Z169)+0.006&gt;AT169*1000000+SUM(V169,AN169)*10000+SUM(P169,AH169)*100+SUM(J169,AB169)+0.004,1,0)+IF(AS169*1000000+SUM(U169,AM169)*10000+SUM(O169,AG169)*100+SUM(I169,AA169)+0.005&gt;AT169*1000000+SUM(V169,AN169)*10000+SUM(P169,AH169)*100+SUM(J169,AB169)+0.004,1,0)+IF(AU169*1000000+SUM(W169,AO169)*10000+SUM(Q169,AI169)*100+SUM(K169,AC169)+0.003&gt;AT169*1000000+SUM(V169,AN169)*10000+SUM(P169,AH169)*100+SUM(J169,AB169)+0.004,1,0)+IF(AV169*1000000+SUM(X169,AP169)*10000+SUM(R169,AJ169)*100+SUM(L169,AD169)+0.002&gt;AT169*1000000+SUM(V169,AN169)*10000+SUM(P169,AH169)*100+SUM(J169,AB169)+0.004,1,0)+IF(AW169*1000000+SUM(Y169,AQ169)*10000+SUM(S169,AK169)*100+SUM(M169,AE169)+0.001&gt;AT169*1000000+SUM(V169,AN169)*10000+SUM(P169,AH169)*100+SUM(J169,AB169)+0.004,1,0)=1,"A",IF(IF(AR169*1000000+SUM(T169,AL169)*10000+SUM(N169,AF169)*100+SUM(H169,Z169)+0.006&gt;AU169*1000000+SUM(W169,AO169)*10000+SUM(Q169,AI169)*100+SUM(K169,AC169)+0.003,1,0)+IF(AS169*1000000+SUM(U169,AM169)*10000+SUM(O169,AG169)*100+SUM(I169,AA169)+0.005&gt;AU169*1000000+SUM(W169,AO169)*10000+SUM(Q169,AI169)*100+SUM(K169,AC169)+0.003,1,0)+IF(AT169*1000000+SUM(V169,AN169)*10000+SUM(P169,AH169)*100+SUM(J169,AB169)+0.004&gt;AU169*1000000+SUM(W169,AO169)*10000+SUM(Q169,AI169)*100+SUM(K169,AC169)+0.003,1,0)+IF(AV169*1000000+SUM(X169,AP169)*10000+SUM(R169,AJ169)*100+SUM(L169,AD169)+0.002&gt;AU169*1000000+SUM(W169,AO169)*10000+SUM(Q169,AI169)*100+SUM(K169,AC169)+0.003,1,0)+IF(AW169*1000000+SUM(Y169,AQ169)*10000+SUM(S169,AK169)*100+SUM(M169,AE169)+0.001&gt;AU169*1000000+SUM(W169,AO169)*10000+SUM(Q169,AI169)*100+SUM(K169,AC169)+0.003,1,0)=1,"S",IF(IF(AR169*1000000+SUM(T169,AL169)*10000+SUM(N169,AF169)*100+SUM(H169,Z169)+0.006&gt;AV169*1000000+SUM(X169,AP169)*10000+SUM(R169,AJ169)*100+SUM(L169,AD169)+0.002,1,0)+IF(AS169*1000000+SUM(U169,AM169)*10000+SUM(O169,AG169)*100+SUM(I169,AA169)+0.005&gt;AV169*1000000+SUM(X169,AP169)*10000+SUM(R169,AJ169)*100+SUM(L169,AD169)+0.002,1,0)+IF(AT169*1000000+SUM(V169,AN169)*10000+SUM(P169,AH169)*100+SUM(J169,AB169)+0.004&gt;AV169*1000000+SUM(X169,AP169)*10000+SUM(R169,AJ169)*100+SUM(L169,AD169)+0.002,1,0)+IF(AU169*1000000+SUM(W169,AO169)*10000+SUM(Q169,AI169)*100+SUM(K169,AC169)+0.003&gt;AV169*1000000+SUM(X169,AP169)*10000+SUM(R169,AJ169)*100+SUM(L169,AD169)+0.002,1,0)+IF(AW169*1000000+SUM(Y169,AQ169)*10000+SUM(S169,AK169)*100+SUM(M169,AE169)+0.001&gt;AV169*1000000+SUM(X169,AP169)*10000+SUM(R169,AJ169)*100+SUM(L169,AD169)+0.002,1,0)=1,"E",IF(IF(AR169*1000000+SUM(T169,AL169)*10000+SUM(N169,AF169)*100+SUM(H169,Z169)+0.006&gt;AW169*1000000+SUM(Y169,AQ169)*10000+SUM(S169,AK169)*100+SUM(M169,AE169)+0.001,1,0)+IF(AS169*1000000+SUM(U169,AM169)*10000+SUM(O169,AG169)*100+SUM(I169,AA169)+0.005&gt;AW169*1000000+SUM(Y169,AQ169)*10000+SUM(S169,AK169)*100+SUM(M169,AE169)+0.001,1,0)+IF(AT169*1000000+SUM(V169,AN169)*10000+SUM(P169,AH169)*100+SUM(J169,AB169)+0.004&gt;AW169*1000000+SUM(Y169,AQ169)*10000+SUM(S169,AK169)*100+SUM(M169,AE169)+0.001,1,0)+IF(AU169*1000000+SUM(W169,AO169)*10000+SUM(Q169,AI169)*100+SUM(K169,AC169)+0.003&gt;AW169*1000000+SUM(Y169,AQ169)*10000+SUM(S169,AK169)*100+SUM(M169,AE169)+0.001,1,0)+IF(AV169*1000000+SUM(X169,AP169)*10000+SUM(R169,AJ169)*100+SUM(L169,AD169)+0.002&gt;AW169*1000000+SUM(Y169,AQ169)*10000+SUM(S169,AK169)*100+SUM(M169,AE169)+0.001,1,0)=1,"C",""))))))&amp;IF(IF(AS169*1000000+SUM(U169,AM169)*10000+SUM(O169,AG169)*100+SUM(I169,AA169)+0.005&gt;AR169*1000000+SUM(T169,AL169)*10000+SUM(N169,AF169)*100+SUM(H169,Z169)+0.006,1,0)+IF(AT169*1000000+SUM(V169,AN169)*10000+SUM(P169,AH169)*100+SUM(J169,AB169)+0.004&gt;AR169*1000000+SUM(T169,AL169)*10000+SUM(N169,AF169)*100+SUM(H169,Z169)+0.006,1,0)+IF(AU169*1000000+SUM(W169,AO169)*10000+SUM(Q169,AI169)*100+SUM(K169,AC169)+0.003&gt;AR169*1000000+SUM(T169,AL169)*10000+SUM(N169,AF169)*100+SUM(H169,Z169)+0.006,1,0)+IF(AV169*1000000+SUM(X169,AP169)*10000+SUM(R169,AJ169)*100+SUM(L169,AD169)+0.002&gt;AR169*1000000+SUM(T169,AL169)*10000+SUM(N169,AF169)*100+SUM(H169,Z169)+0.006,1,0)+IF(AW169*1000000+SUM(Y169,AQ169)*10000+SUM(S169,AK169)*100+SUM(M169,AE169)+0.001&gt;AR169*1000000+SUM(T169,AL169)*10000+SUM(N169,AF169)*100+SUM(H169,Z169)+0.006,1,0)=2,"R",IF(IF(AR169*1000000+SUM(T169,AL169)*10000+SUM(N169,AF169)*100+SUM(H169,Z169)+0.006&gt;AS169*1000000+SUM(U169,AM169)*10000+SUM(O169,AG169)*100+SUM(I169,AA169)+0.005,1,0)+IF(AT169*1000000+SUM(V169,AN169)*10000+SUM(P169,AH169)*100+SUM(J169,AB169)+0.004&gt;AS169*1000000+SUM(U169,AM169)*10000+SUM(O169,AG169)*100+SUM(I169,AA169)+0.005,1,0)+IF(AU169*1000000+SUM(W169,AO169)*10000+SUM(Q169,AI169)*100+SUM(K169,AC169)+0.003&gt;AS169*1000000+SUM(U169,AM169)*10000+SUM(O169,AG169)*100+SUM(I169,AA169)+0.005,1,0)+IF(AV169*1000000+SUM(X169,AP169)*10000+SUM(R169,AJ169)*100+SUM(L169,AD169)+0.002&gt;AS169*1000000+SUM(U169,AM169)*10000+SUM(O169,AG169)*100+SUM(I169,AA169)+0.005,1,0)+IF(AW169*1000000+SUM(Y169,AQ169)*10000+SUM(S169,AK169)*100+SUM(M169,AE169)+0.001&gt;AS169*1000000+SUM(U169,AM169)*10000+SUM(O169,AG169)*100+SUM(I169,AA169)+0.005,1,0)=2,"I",IF(IF(AR169*1000000+SUM(T169,AL169)*10000+SUM(N169,AF169)*100+SUM(H169,Z169)+0.006&gt;AT169*1000000+SUM(V169,AN169)*10000+SUM(P169,AH169)*100+SUM(J169,AB169)+0.004,1,0)+IF(AS169*1000000+SUM(U169,AM169)*10000+SUM(O169,AG169)*100+SUM(I169,AA169)+0.005&gt;AT169*1000000+SUM(V169,AN169)*10000+SUM(P169,AH169)*100+SUM(J169,AB169)+0.004,1,0)+IF(AU169*1000000+SUM(W169,AO169)*10000+SUM(Q169,AI169)*100+SUM(K169,AC169)+0.003&gt;AT169*1000000+SUM(V169,AN169)*10000+SUM(P169,AH169)*100+SUM(J169,AB169)+0.004,1,0)+IF(AV169*1000000+SUM(X169,AP169)*10000+SUM(R169,AJ169)*100+SUM(L169,AD169)+0.002&gt;AT169*1000000+SUM(V169,AN169)*10000+SUM(P169,AH169)*100+SUM(J169,AB169)+0.004,1,0)+IF(AW169*1000000+SUM(Y169,AQ169)*10000+SUM(S169,AK169)*100+SUM(M169,AE169)+0.001&gt;AT169*1000000+SUM(V169,AN169)*10000+SUM(P169,AH169)*100+SUM(J169,AB169)+0.004,1,0)=2,"A",IF(IF(AR169*1000000+SUM(T169,AL169)*10000+SUM(N169,AF169)*100+SUM(H169,Z169)+0.006&gt;AU169*1000000+SUM(W169,AO169)*10000+SUM(Q169,AI169)*100+SUM(K169,AC169)+0.003,1,0)+IF(AS169*1000000+SUM(U169,AM169)*10000+SUM(O169,AG169)*100+SUM(I169,AA169)+0.005&gt;AU169*1000000+SUM(W169,AO169)*10000+SUM(Q169,AI169)*100+SUM(K169,AC169)+0.003,1,0)+IF(AT169*1000000+SUM(V169,AN169)*10000+SUM(P169,AH169)*100+SUM(J169,AB169)+0.004&gt;AU169*1000000+SUM(W169,AO169)*10000+SUM(Q169,AI169)*100+SUM(K169,AC169)+0.003,1,0)+IF(AV169*1000000+SUM(X169,AP169)*10000+SUM(R169,AJ169)*100+SUM(L169,AD169)+0.002&gt;AU169*1000000+SUM(W169,AO169)*10000+SUM(Q169,AI169)*100+SUM(K169,AC169)+0.003,1,0)+IF(AW169*1000000+SUM(Y169,AQ169)*10000+SUM(S169,AK169)*100+SUM(M169,AE169)+0.001&gt;AU169*1000000+SUM(W169,AO169)*10000+SUM(Q169,AI169)*100+SUM(K169,AC169)+0.003,1,0)=2,"S",IF(IF(AR169*1000000+SUM(T169,AL169)*10000+SUM(N169,AF169)*100+SUM(H169,Z169)+0.006&gt;AV169*1000000+SUM(X169,AP169)*10000+SUM(R169,AJ169)*100+SUM(L169,AD169)+0.002,1,0)+IF(AS169*1000000+SUM(U169,AM169)*10000+SUM(O169,AG169)*100+SUM(I169,AA169)+0.005&gt;AV169*1000000+SUM(X169,AP169)*10000+SUM(R169,AJ169)*100+SUM(L169,AD169)+0.002,1,0)+IF(AT169*1000000+SUM(V169,AN169)*10000+SUM(P169,AH169)*100+SUM(J169,AB169)+0.004&gt;AV169*1000000+SUM(X169,AP169)*10000+SUM(R169,AJ169)*100+SUM(L169,AD169)+0.002,1,0)+IF(AU169*1000000+SUM(W169,AO169)*10000+SUM(Q169,AI169)*100+SUM(K169,AC169)+0.003&gt;AV169*1000000+SUM(X169,AP169)*10000+SUM(R169,AJ169)*100+SUM(L169,AD169)+0.002,1,0)+IF(AW169*1000000+SUM(Y169,AQ169)*10000+SUM(S169,AK169)*100+SUM(M169,AE169)+0.001&gt;AV169*1000000+SUM(X169,AP169)*10000+SUM(R169,AJ169)*100+SUM(L169,AD169)+0.002,1,0)=2,"E",IF(IF(AR169*1000000+SUM(T169,AL169)*10000+SUM(N169,AF169)*100+SUM(H169,Z169)+0.006&gt;AW169*1000000+SUM(Y169,AQ169)*10000+SUM(S169,AK169)*100+SUM(M169,AE169)+0.001,1,0)+IF(AS169*1000000+SUM(U169,AM169)*10000+SUM(O169,AG169)*100+SUM(I169,AA169)+0.005&gt;AW169*1000000+SUM(Y169,AQ169)*10000+SUM(S169,AK169)*100+SUM(M169,AE169)+0.001,1,0)+IF(AT169*1000000+SUM(V169,AN169)*10000+SUM(P169,AH169)*100+SUM(J169,AB169)+0.004&gt;AW169*1000000+SUM(Y169,AQ169)*10000+SUM(S169,AK169)*100+SUM(M169,AE169)+0.001,1,0)+IF(AU169*1000000+SUM(W169,AO169)*10000+SUM(Q169,AI169)*100+SUM(K169,AC169)+0.003&gt;AW169*1000000+SUM(Y169,AQ169)*10000+SUM(S169,AK169)*100+SUM(M169,AE169)+0.001,1,0)+IF(AV169*1000000+SUM(X169,AP169)*10000+SUM(R169,AJ169)*100+SUM(L169,AD169)+0.002&gt;AW169*1000000+SUM(Y169,AQ169)*10000+SUM(S169,AK169)*100+SUM(M169,AE169)+0.001,1,0)=2,"C","")))))))</x:f>
      </x:c>
      <x:c r="AY169" s="27" t="str">
        <x:f>IF(C169="","",IF(LEFT(AX169,1)="R","นักปฏิบัติ",IF(LEFT(AX169,1)="I","นักคิดวิเคราะห์",IF(LEFT(AX169,1)="A","นักสร้างสรรค์",IF(LEFT(AX169,1)="S","ผู้เข้าใจผู้คน",IF(LEFT(AX169,1)="E","ผู้นำการเปลี่ยนแปลง","ผู้จัดระบบ"))))))</x:f>
      </x:c>
    </x:row>
    <x:row r="170">
      <x:c r="A170" s="27"/>
      <x:c r="B170" s="28"/>
      <x:c r="C170" s="27"/>
      <x:c r="D170" s="27"/>
      <x:c r="E170" s="27"/>
      <x:c r="F170" s="27"/>
      <x:c r="G170" s="27"/>
      <x:c r="H170" s="27"/>
      <x:c r="I170" s="27"/>
      <x:c r="J170" s="27"/>
      <x:c r="K170" s="27"/>
      <x:c r="L170" s="27"/>
      <x:c r="M170" s="27"/>
      <x:c r="N170" s="27"/>
      <x:c r="O170" s="27"/>
      <x:c r="P170" s="27"/>
      <x:c r="Q170" s="27"/>
      <x:c r="R170" s="27"/>
      <x:c r="S170" s="27"/>
      <x:c r="T170" s="27"/>
      <x:c r="U170" s="27"/>
      <x:c r="V170" s="27"/>
      <x:c r="W170" s="27"/>
      <x:c r="X170" s="27"/>
      <x:c r="Y170" s="27"/>
      <x:c r="Z170" s="27"/>
      <x:c r="AA170" s="27"/>
      <x:c r="AB170" s="27"/>
      <x:c r="AC170" s="27"/>
      <x:c r="AD170" s="27"/>
      <x:c r="AE170" s="27"/>
      <x:c r="AF170" s="27"/>
      <x:c r="AG170" s="27"/>
      <x:c r="AH170" s="27"/>
      <x:c r="AI170" s="27"/>
      <x:c r="AJ170" s="27"/>
      <x:c r="AK170" s="27"/>
      <x:c r="AL170" s="27"/>
      <x:c r="AM170" s="27"/>
      <x:c r="AN170" s="27"/>
      <x:c r="AO170" s="27"/>
      <x:c r="AP170" s="27"/>
      <x:c r="AQ170" s="27"/>
      <x:c r="AR170" s="27" t="str">
        <x:f>IF(C170="","",SUM(H170,N170,T170,Z170,AF170,AL170))</x:f>
      </x:c>
      <x:c r="AS170" s="27" t="str">
        <x:f>IF(C170="","",SUM(I170,O170,U170,AA170,AG170,AM170))</x:f>
      </x:c>
      <x:c r="AT170" s="27" t="str">
        <x:f>IF(C170="","",SUM(J170,P170,V170,AB170,AH170,AN170))</x:f>
      </x:c>
      <x:c r="AU170" s="27" t="str">
        <x:f>IF(C170="","",SUM(K170,Q170,W170,AC170,AI170,AO170))</x:f>
      </x:c>
      <x:c r="AV170" s="27" t="str">
        <x:f>IF(C170="","",SUM(L170,R170,X170,AD170,AJ170,AP170))</x:f>
      </x:c>
      <x:c r="AW170" s="27" t="str">
        <x:f>IF(C170="","",SUM(M170,S170,Y170,AE170,AK170,AQ170))</x:f>
      </x:c>
      <x:c r="AX170" s="27" t="str">
        <x:f>IF(C170="","",IF(IF(AS170*1000000+SUM(U170,AM170)*10000+SUM(O170,AG170)*100+SUM(I170,AA170)+0.005&gt;AR170*1000000+SUM(T170,AL170)*10000+SUM(N170,AF170)*100+SUM(H170,Z170)+0.006,1,0)+IF(AT170*1000000+SUM(V170,AN170)*10000+SUM(P170,AH170)*100+SUM(J170,AB170)+0.004&gt;AR170*1000000+SUM(T170,AL170)*10000+SUM(N170,AF170)*100+SUM(H170,Z170)+0.006,1,0)+IF(AU170*1000000+SUM(W170,AO170)*10000+SUM(Q170,AI170)*100+SUM(K170,AC170)+0.003&gt;AR170*1000000+SUM(T170,AL170)*10000+SUM(N170,AF170)*100+SUM(H170,Z170)+0.006,1,0)+IF(AV170*1000000+SUM(X170,AP170)*10000+SUM(R170,AJ170)*100+SUM(L170,AD170)+0.002&gt;AR170*1000000+SUM(T170,AL170)*10000+SUM(N170,AF170)*100+SUM(H170,Z170)+0.006,1,0)+IF(AW170*1000000+SUM(Y170,AQ170)*10000+SUM(S170,AK170)*100+SUM(M170,AE170)+0.001&gt;AR170*1000000+SUM(T170,AL170)*10000+SUM(N170,AF170)*100+SUM(H170,Z170)+0.006,1,0)=0,"R",IF(IF(AR170*1000000+SUM(T170,AL170)*10000+SUM(N170,AF170)*100+SUM(H170,Z170)+0.006&gt;AS170*1000000+SUM(U170,AM170)*10000+SUM(O170,AG170)*100+SUM(I170,AA170)+0.005,1,0)+IF(AT170*1000000+SUM(V170,AN170)*10000+SUM(P170,AH170)*100+SUM(J170,AB170)+0.004&gt;AS170*1000000+SUM(U170,AM170)*10000+SUM(O170,AG170)*100+SUM(I170,AA170)+0.005,1,0)+IF(AU170*1000000+SUM(W170,AO170)*10000+SUM(Q170,AI170)*100+SUM(K170,AC170)+0.003&gt;AS170*1000000+SUM(U170,AM170)*10000+SUM(O170,AG170)*100+SUM(I170,AA170)+0.005,1,0)+IF(AV170*1000000+SUM(X170,AP170)*10000+SUM(R170,AJ170)*100+SUM(L170,AD170)+0.002&gt;AS170*1000000+SUM(U170,AM170)*10000+SUM(O170,AG170)*100+SUM(I170,AA170)+0.005,1,0)+IF(AW170*1000000+SUM(Y170,AQ170)*10000+SUM(S170,AK170)*100+SUM(M170,AE170)+0.001&gt;AS170*1000000+SUM(U170,AM170)*10000+SUM(O170,AG170)*100+SUM(I170,AA170)+0.005,1,0)=0,"I",IF(IF(AR170*1000000+SUM(T170,AL170)*10000+SUM(N170,AF170)*100+SUM(H170,Z170)+0.006&gt;AT170*1000000+SUM(V170,AN170)*10000+SUM(P170,AH170)*100+SUM(J170,AB170)+0.004,1,0)+IF(AS170*1000000+SUM(U170,AM170)*10000+SUM(O170,AG170)*100+SUM(I170,AA170)+0.005&gt;AT170*1000000+SUM(V170,AN170)*10000+SUM(P170,AH170)*100+SUM(J170,AB170)+0.004,1,0)+IF(AU170*1000000+SUM(W170,AO170)*10000+SUM(Q170,AI170)*100+SUM(K170,AC170)+0.003&gt;AT170*1000000+SUM(V170,AN170)*10000+SUM(P170,AH170)*100+SUM(J170,AB170)+0.004,1,0)+IF(AV170*1000000+SUM(X170,AP170)*10000+SUM(R170,AJ170)*100+SUM(L170,AD170)+0.002&gt;AT170*1000000+SUM(V170,AN170)*10000+SUM(P170,AH170)*100+SUM(J170,AB170)+0.004,1,0)+IF(AW170*1000000+SUM(Y170,AQ170)*10000+SUM(S170,AK170)*100+SUM(M170,AE170)+0.001&gt;AT170*1000000+SUM(V170,AN170)*10000+SUM(P170,AH170)*100+SUM(J170,AB170)+0.004,1,0)=0,"A",IF(IF(AR170*1000000+SUM(T170,AL170)*10000+SUM(N170,AF170)*100+SUM(H170,Z170)+0.006&gt;AU170*1000000+SUM(W170,AO170)*10000+SUM(Q170,AI170)*100+SUM(K170,AC170)+0.003,1,0)+IF(AS170*1000000+SUM(U170,AM170)*10000+SUM(O170,AG170)*100+SUM(I170,AA170)+0.005&gt;AU170*1000000+SUM(W170,AO170)*10000+SUM(Q170,AI170)*100+SUM(K170,AC170)+0.003,1,0)+IF(AT170*1000000+SUM(V170,AN170)*10000+SUM(P170,AH170)*100+SUM(J170,AB170)+0.004&gt;AU170*1000000+SUM(W170,AO170)*10000+SUM(Q170,AI170)*100+SUM(K170,AC170)+0.003,1,0)+IF(AV170*1000000+SUM(X170,AP170)*10000+SUM(R170,AJ170)*100+SUM(L170,AD170)+0.002&gt;AU170*1000000+SUM(W170,AO170)*10000+SUM(Q170,AI170)*100+SUM(K170,AC170)+0.003,1,0)+IF(AW170*1000000+SUM(Y170,AQ170)*10000+SUM(S170,AK170)*100+SUM(M170,AE170)+0.001&gt;AU170*1000000+SUM(W170,AO170)*10000+SUM(Q170,AI170)*100+SUM(K170,AC170)+0.003,1,0)=0,"S",IF(IF(AR170*1000000+SUM(T170,AL170)*10000+SUM(N170,AF170)*100+SUM(H170,Z170)+0.006&gt;AV170*1000000+SUM(X170,AP170)*10000+SUM(R170,AJ170)*100+SUM(L170,AD170)+0.002,1,0)+IF(AS170*1000000+SUM(U170,AM170)*10000+SUM(O170,AG170)*100+SUM(I170,AA170)+0.005&gt;AV170*1000000+SUM(X170,AP170)*10000+SUM(R170,AJ170)*100+SUM(L170,AD170)+0.002,1,0)+IF(AT170*1000000+SUM(V170,AN170)*10000+SUM(P170,AH170)*100+SUM(J170,AB170)+0.004&gt;AV170*1000000+SUM(X170,AP170)*10000+SUM(R170,AJ170)*100+SUM(L170,AD170)+0.002,1,0)+IF(AU170*1000000+SUM(W170,AO170)*10000+SUM(Q170,AI170)*100+SUM(K170,AC170)+0.003&gt;AV170*1000000+SUM(X170,AP170)*10000+SUM(R170,AJ170)*100+SUM(L170,AD170)+0.002,1,0)+IF(AW170*1000000+SUM(Y170,AQ170)*10000+SUM(S170,AK170)*100+SUM(M170,AE170)+0.001&gt;AV170*1000000+SUM(X170,AP170)*10000+SUM(R170,AJ170)*100+SUM(L170,AD170)+0.002,1,0)=0,"E",IF(IF(AR170*1000000+SUM(T170,AL170)*10000+SUM(N170,AF170)*100+SUM(H170,Z170)+0.006&gt;AW170*1000000+SUM(Y170,AQ170)*10000+SUM(S170,AK170)*100+SUM(M170,AE170)+0.001,1,0)+IF(AS170*1000000+SUM(U170,AM170)*10000+SUM(O170,AG170)*100+SUM(I170,AA170)+0.005&gt;AW170*1000000+SUM(Y170,AQ170)*10000+SUM(S170,AK170)*100+SUM(M170,AE170)+0.001,1,0)+IF(AT170*1000000+SUM(V170,AN170)*10000+SUM(P170,AH170)*100+SUM(J170,AB170)+0.004&gt;AW170*1000000+SUM(Y170,AQ170)*10000+SUM(S170,AK170)*100+SUM(M170,AE170)+0.001,1,0)+IF(AU170*1000000+SUM(W170,AO170)*10000+SUM(Q170,AI170)*100+SUM(K170,AC170)+0.003&gt;AW170*1000000+SUM(Y170,AQ170)*10000+SUM(S170,AK170)*100+SUM(M170,AE170)+0.001,1,0)+IF(AV170*1000000+SUM(X170,AP170)*10000+SUM(R170,AJ170)*100+SUM(L170,AD170)+0.002&gt;AW170*1000000+SUM(Y170,AQ170)*10000+SUM(S170,AK170)*100+SUM(M170,AE170)+0.001,1,0)=0,"C",""))))))&amp;IF(IF(AS170*1000000+SUM(U170,AM170)*10000+SUM(O170,AG170)*100+SUM(I170,AA170)+0.005&gt;AR170*1000000+SUM(T170,AL170)*10000+SUM(N170,AF170)*100+SUM(H170,Z170)+0.006,1,0)+IF(AT170*1000000+SUM(V170,AN170)*10000+SUM(P170,AH170)*100+SUM(J170,AB170)+0.004&gt;AR170*1000000+SUM(T170,AL170)*10000+SUM(N170,AF170)*100+SUM(H170,Z170)+0.006,1,0)+IF(AU170*1000000+SUM(W170,AO170)*10000+SUM(Q170,AI170)*100+SUM(K170,AC170)+0.003&gt;AR170*1000000+SUM(T170,AL170)*10000+SUM(N170,AF170)*100+SUM(H170,Z170)+0.006,1,0)+IF(AV170*1000000+SUM(X170,AP170)*10000+SUM(R170,AJ170)*100+SUM(L170,AD170)+0.002&gt;AR170*1000000+SUM(T170,AL170)*10000+SUM(N170,AF170)*100+SUM(H170,Z170)+0.006,1,0)+IF(AW170*1000000+SUM(Y170,AQ170)*10000+SUM(S170,AK170)*100+SUM(M170,AE170)+0.001&gt;AR170*1000000+SUM(T170,AL170)*10000+SUM(N170,AF170)*100+SUM(H170,Z170)+0.006,1,0)=1,"R",IF(IF(AR170*1000000+SUM(T170,AL170)*10000+SUM(N170,AF170)*100+SUM(H170,Z170)+0.006&gt;AS170*1000000+SUM(U170,AM170)*10000+SUM(O170,AG170)*100+SUM(I170,AA170)+0.005,1,0)+IF(AT170*1000000+SUM(V170,AN170)*10000+SUM(P170,AH170)*100+SUM(J170,AB170)+0.004&gt;AS170*1000000+SUM(U170,AM170)*10000+SUM(O170,AG170)*100+SUM(I170,AA170)+0.005,1,0)+IF(AU170*1000000+SUM(W170,AO170)*10000+SUM(Q170,AI170)*100+SUM(K170,AC170)+0.003&gt;AS170*1000000+SUM(U170,AM170)*10000+SUM(O170,AG170)*100+SUM(I170,AA170)+0.005,1,0)+IF(AV170*1000000+SUM(X170,AP170)*10000+SUM(R170,AJ170)*100+SUM(L170,AD170)+0.002&gt;AS170*1000000+SUM(U170,AM170)*10000+SUM(O170,AG170)*100+SUM(I170,AA170)+0.005,1,0)+IF(AW170*1000000+SUM(Y170,AQ170)*10000+SUM(S170,AK170)*100+SUM(M170,AE170)+0.001&gt;AS170*1000000+SUM(U170,AM170)*10000+SUM(O170,AG170)*100+SUM(I170,AA170)+0.005,1,0)=1,"I",IF(IF(AR170*1000000+SUM(T170,AL170)*10000+SUM(N170,AF170)*100+SUM(H170,Z170)+0.006&gt;AT170*1000000+SUM(V170,AN170)*10000+SUM(P170,AH170)*100+SUM(J170,AB170)+0.004,1,0)+IF(AS170*1000000+SUM(U170,AM170)*10000+SUM(O170,AG170)*100+SUM(I170,AA170)+0.005&gt;AT170*1000000+SUM(V170,AN170)*10000+SUM(P170,AH170)*100+SUM(J170,AB170)+0.004,1,0)+IF(AU170*1000000+SUM(W170,AO170)*10000+SUM(Q170,AI170)*100+SUM(K170,AC170)+0.003&gt;AT170*1000000+SUM(V170,AN170)*10000+SUM(P170,AH170)*100+SUM(J170,AB170)+0.004,1,0)+IF(AV170*1000000+SUM(X170,AP170)*10000+SUM(R170,AJ170)*100+SUM(L170,AD170)+0.002&gt;AT170*1000000+SUM(V170,AN170)*10000+SUM(P170,AH170)*100+SUM(J170,AB170)+0.004,1,0)+IF(AW170*1000000+SUM(Y170,AQ170)*10000+SUM(S170,AK170)*100+SUM(M170,AE170)+0.001&gt;AT170*1000000+SUM(V170,AN170)*10000+SUM(P170,AH170)*100+SUM(J170,AB170)+0.004,1,0)=1,"A",IF(IF(AR170*1000000+SUM(T170,AL170)*10000+SUM(N170,AF170)*100+SUM(H170,Z170)+0.006&gt;AU170*1000000+SUM(W170,AO170)*10000+SUM(Q170,AI170)*100+SUM(K170,AC170)+0.003,1,0)+IF(AS170*1000000+SUM(U170,AM170)*10000+SUM(O170,AG170)*100+SUM(I170,AA170)+0.005&gt;AU170*1000000+SUM(W170,AO170)*10000+SUM(Q170,AI170)*100+SUM(K170,AC170)+0.003,1,0)+IF(AT170*1000000+SUM(V170,AN170)*10000+SUM(P170,AH170)*100+SUM(J170,AB170)+0.004&gt;AU170*1000000+SUM(W170,AO170)*10000+SUM(Q170,AI170)*100+SUM(K170,AC170)+0.003,1,0)+IF(AV170*1000000+SUM(X170,AP170)*10000+SUM(R170,AJ170)*100+SUM(L170,AD170)+0.002&gt;AU170*1000000+SUM(W170,AO170)*10000+SUM(Q170,AI170)*100+SUM(K170,AC170)+0.003,1,0)+IF(AW170*1000000+SUM(Y170,AQ170)*10000+SUM(S170,AK170)*100+SUM(M170,AE170)+0.001&gt;AU170*1000000+SUM(W170,AO170)*10000+SUM(Q170,AI170)*100+SUM(K170,AC170)+0.003,1,0)=1,"S",IF(IF(AR170*1000000+SUM(T170,AL170)*10000+SUM(N170,AF170)*100+SUM(H170,Z170)+0.006&gt;AV170*1000000+SUM(X170,AP170)*10000+SUM(R170,AJ170)*100+SUM(L170,AD170)+0.002,1,0)+IF(AS170*1000000+SUM(U170,AM170)*10000+SUM(O170,AG170)*100+SUM(I170,AA170)+0.005&gt;AV170*1000000+SUM(X170,AP170)*10000+SUM(R170,AJ170)*100+SUM(L170,AD170)+0.002,1,0)+IF(AT170*1000000+SUM(V170,AN170)*10000+SUM(P170,AH170)*100+SUM(J170,AB170)+0.004&gt;AV170*1000000+SUM(X170,AP170)*10000+SUM(R170,AJ170)*100+SUM(L170,AD170)+0.002,1,0)+IF(AU170*1000000+SUM(W170,AO170)*10000+SUM(Q170,AI170)*100+SUM(K170,AC170)+0.003&gt;AV170*1000000+SUM(X170,AP170)*10000+SUM(R170,AJ170)*100+SUM(L170,AD170)+0.002,1,0)+IF(AW170*1000000+SUM(Y170,AQ170)*10000+SUM(S170,AK170)*100+SUM(M170,AE170)+0.001&gt;AV170*1000000+SUM(X170,AP170)*10000+SUM(R170,AJ170)*100+SUM(L170,AD170)+0.002,1,0)=1,"E",IF(IF(AR170*1000000+SUM(T170,AL170)*10000+SUM(N170,AF170)*100+SUM(H170,Z170)+0.006&gt;AW170*1000000+SUM(Y170,AQ170)*10000+SUM(S170,AK170)*100+SUM(M170,AE170)+0.001,1,0)+IF(AS170*1000000+SUM(U170,AM170)*10000+SUM(O170,AG170)*100+SUM(I170,AA170)+0.005&gt;AW170*1000000+SUM(Y170,AQ170)*10000+SUM(S170,AK170)*100+SUM(M170,AE170)+0.001,1,0)+IF(AT170*1000000+SUM(V170,AN170)*10000+SUM(P170,AH170)*100+SUM(J170,AB170)+0.004&gt;AW170*1000000+SUM(Y170,AQ170)*10000+SUM(S170,AK170)*100+SUM(M170,AE170)+0.001,1,0)+IF(AU170*1000000+SUM(W170,AO170)*10000+SUM(Q170,AI170)*100+SUM(K170,AC170)+0.003&gt;AW170*1000000+SUM(Y170,AQ170)*10000+SUM(S170,AK170)*100+SUM(M170,AE170)+0.001,1,0)+IF(AV170*1000000+SUM(X170,AP170)*10000+SUM(R170,AJ170)*100+SUM(L170,AD170)+0.002&gt;AW170*1000000+SUM(Y170,AQ170)*10000+SUM(S170,AK170)*100+SUM(M170,AE170)+0.001,1,0)=1,"C",""))))))&amp;IF(IF(AS170*1000000+SUM(U170,AM170)*10000+SUM(O170,AG170)*100+SUM(I170,AA170)+0.005&gt;AR170*1000000+SUM(T170,AL170)*10000+SUM(N170,AF170)*100+SUM(H170,Z170)+0.006,1,0)+IF(AT170*1000000+SUM(V170,AN170)*10000+SUM(P170,AH170)*100+SUM(J170,AB170)+0.004&gt;AR170*1000000+SUM(T170,AL170)*10000+SUM(N170,AF170)*100+SUM(H170,Z170)+0.006,1,0)+IF(AU170*1000000+SUM(W170,AO170)*10000+SUM(Q170,AI170)*100+SUM(K170,AC170)+0.003&gt;AR170*1000000+SUM(T170,AL170)*10000+SUM(N170,AF170)*100+SUM(H170,Z170)+0.006,1,0)+IF(AV170*1000000+SUM(X170,AP170)*10000+SUM(R170,AJ170)*100+SUM(L170,AD170)+0.002&gt;AR170*1000000+SUM(T170,AL170)*10000+SUM(N170,AF170)*100+SUM(H170,Z170)+0.006,1,0)+IF(AW170*1000000+SUM(Y170,AQ170)*10000+SUM(S170,AK170)*100+SUM(M170,AE170)+0.001&gt;AR170*1000000+SUM(T170,AL170)*10000+SUM(N170,AF170)*100+SUM(H170,Z170)+0.006,1,0)=2,"R",IF(IF(AR170*1000000+SUM(T170,AL170)*10000+SUM(N170,AF170)*100+SUM(H170,Z170)+0.006&gt;AS170*1000000+SUM(U170,AM170)*10000+SUM(O170,AG170)*100+SUM(I170,AA170)+0.005,1,0)+IF(AT170*1000000+SUM(V170,AN170)*10000+SUM(P170,AH170)*100+SUM(J170,AB170)+0.004&gt;AS170*1000000+SUM(U170,AM170)*10000+SUM(O170,AG170)*100+SUM(I170,AA170)+0.005,1,0)+IF(AU170*1000000+SUM(W170,AO170)*10000+SUM(Q170,AI170)*100+SUM(K170,AC170)+0.003&gt;AS170*1000000+SUM(U170,AM170)*10000+SUM(O170,AG170)*100+SUM(I170,AA170)+0.005,1,0)+IF(AV170*1000000+SUM(X170,AP170)*10000+SUM(R170,AJ170)*100+SUM(L170,AD170)+0.002&gt;AS170*1000000+SUM(U170,AM170)*10000+SUM(O170,AG170)*100+SUM(I170,AA170)+0.005,1,0)+IF(AW170*1000000+SUM(Y170,AQ170)*10000+SUM(S170,AK170)*100+SUM(M170,AE170)+0.001&gt;AS170*1000000+SUM(U170,AM170)*10000+SUM(O170,AG170)*100+SUM(I170,AA170)+0.005,1,0)=2,"I",IF(IF(AR170*1000000+SUM(T170,AL170)*10000+SUM(N170,AF170)*100+SUM(H170,Z170)+0.006&gt;AT170*1000000+SUM(V170,AN170)*10000+SUM(P170,AH170)*100+SUM(J170,AB170)+0.004,1,0)+IF(AS170*1000000+SUM(U170,AM170)*10000+SUM(O170,AG170)*100+SUM(I170,AA170)+0.005&gt;AT170*1000000+SUM(V170,AN170)*10000+SUM(P170,AH170)*100+SUM(J170,AB170)+0.004,1,0)+IF(AU170*1000000+SUM(W170,AO170)*10000+SUM(Q170,AI170)*100+SUM(K170,AC170)+0.003&gt;AT170*1000000+SUM(V170,AN170)*10000+SUM(P170,AH170)*100+SUM(J170,AB170)+0.004,1,0)+IF(AV170*1000000+SUM(X170,AP170)*10000+SUM(R170,AJ170)*100+SUM(L170,AD170)+0.002&gt;AT170*1000000+SUM(V170,AN170)*10000+SUM(P170,AH170)*100+SUM(J170,AB170)+0.004,1,0)+IF(AW170*1000000+SUM(Y170,AQ170)*10000+SUM(S170,AK170)*100+SUM(M170,AE170)+0.001&gt;AT170*1000000+SUM(V170,AN170)*10000+SUM(P170,AH170)*100+SUM(J170,AB170)+0.004,1,0)=2,"A",IF(IF(AR170*1000000+SUM(T170,AL170)*10000+SUM(N170,AF170)*100+SUM(H170,Z170)+0.006&gt;AU170*1000000+SUM(W170,AO170)*10000+SUM(Q170,AI170)*100+SUM(K170,AC170)+0.003,1,0)+IF(AS170*1000000+SUM(U170,AM170)*10000+SUM(O170,AG170)*100+SUM(I170,AA170)+0.005&gt;AU170*1000000+SUM(W170,AO170)*10000+SUM(Q170,AI170)*100+SUM(K170,AC170)+0.003,1,0)+IF(AT170*1000000+SUM(V170,AN170)*10000+SUM(P170,AH170)*100+SUM(J170,AB170)+0.004&gt;AU170*1000000+SUM(W170,AO170)*10000+SUM(Q170,AI170)*100+SUM(K170,AC170)+0.003,1,0)+IF(AV170*1000000+SUM(X170,AP170)*10000+SUM(R170,AJ170)*100+SUM(L170,AD170)+0.002&gt;AU170*1000000+SUM(W170,AO170)*10000+SUM(Q170,AI170)*100+SUM(K170,AC170)+0.003,1,0)+IF(AW170*1000000+SUM(Y170,AQ170)*10000+SUM(S170,AK170)*100+SUM(M170,AE170)+0.001&gt;AU170*1000000+SUM(W170,AO170)*10000+SUM(Q170,AI170)*100+SUM(K170,AC170)+0.003,1,0)=2,"S",IF(IF(AR170*1000000+SUM(T170,AL170)*10000+SUM(N170,AF170)*100+SUM(H170,Z170)+0.006&gt;AV170*1000000+SUM(X170,AP170)*10000+SUM(R170,AJ170)*100+SUM(L170,AD170)+0.002,1,0)+IF(AS170*1000000+SUM(U170,AM170)*10000+SUM(O170,AG170)*100+SUM(I170,AA170)+0.005&gt;AV170*1000000+SUM(X170,AP170)*10000+SUM(R170,AJ170)*100+SUM(L170,AD170)+0.002,1,0)+IF(AT170*1000000+SUM(V170,AN170)*10000+SUM(P170,AH170)*100+SUM(J170,AB170)+0.004&gt;AV170*1000000+SUM(X170,AP170)*10000+SUM(R170,AJ170)*100+SUM(L170,AD170)+0.002,1,0)+IF(AU170*1000000+SUM(W170,AO170)*10000+SUM(Q170,AI170)*100+SUM(K170,AC170)+0.003&gt;AV170*1000000+SUM(X170,AP170)*10000+SUM(R170,AJ170)*100+SUM(L170,AD170)+0.002,1,0)+IF(AW170*1000000+SUM(Y170,AQ170)*10000+SUM(S170,AK170)*100+SUM(M170,AE170)+0.001&gt;AV170*1000000+SUM(X170,AP170)*10000+SUM(R170,AJ170)*100+SUM(L170,AD170)+0.002,1,0)=2,"E",IF(IF(AR170*1000000+SUM(T170,AL170)*10000+SUM(N170,AF170)*100+SUM(H170,Z170)+0.006&gt;AW170*1000000+SUM(Y170,AQ170)*10000+SUM(S170,AK170)*100+SUM(M170,AE170)+0.001,1,0)+IF(AS170*1000000+SUM(U170,AM170)*10000+SUM(O170,AG170)*100+SUM(I170,AA170)+0.005&gt;AW170*1000000+SUM(Y170,AQ170)*10000+SUM(S170,AK170)*100+SUM(M170,AE170)+0.001,1,0)+IF(AT170*1000000+SUM(V170,AN170)*10000+SUM(P170,AH170)*100+SUM(J170,AB170)+0.004&gt;AW170*1000000+SUM(Y170,AQ170)*10000+SUM(S170,AK170)*100+SUM(M170,AE170)+0.001,1,0)+IF(AU170*1000000+SUM(W170,AO170)*10000+SUM(Q170,AI170)*100+SUM(K170,AC170)+0.003&gt;AW170*1000000+SUM(Y170,AQ170)*10000+SUM(S170,AK170)*100+SUM(M170,AE170)+0.001,1,0)+IF(AV170*1000000+SUM(X170,AP170)*10000+SUM(R170,AJ170)*100+SUM(L170,AD170)+0.002&gt;AW170*1000000+SUM(Y170,AQ170)*10000+SUM(S170,AK170)*100+SUM(M170,AE170)+0.001,1,0)=2,"C","")))))))</x:f>
      </x:c>
      <x:c r="AY170" s="27" t="str">
        <x:f>IF(C170="","",IF(LEFT(AX170,1)="R","นักปฏิบัติ",IF(LEFT(AX170,1)="I","นักคิดวิเคราะห์",IF(LEFT(AX170,1)="A","นักสร้างสรรค์",IF(LEFT(AX170,1)="S","ผู้เข้าใจผู้คน",IF(LEFT(AX170,1)="E","ผู้นำการเปลี่ยนแปลง","ผู้จัดระบบ"))))))</x:f>
      </x:c>
    </x:row>
    <x:row r="171">
      <x:c r="A171" s="27"/>
      <x:c r="B171" s="28"/>
      <x:c r="C171" s="27"/>
      <x:c r="D171" s="27"/>
      <x:c r="E171" s="27"/>
      <x:c r="F171" s="27"/>
      <x:c r="G171" s="27"/>
      <x:c r="H171" s="27"/>
      <x:c r="I171" s="27"/>
      <x:c r="J171" s="27"/>
      <x:c r="K171" s="27"/>
      <x:c r="L171" s="27"/>
      <x:c r="M171" s="27"/>
      <x:c r="N171" s="27"/>
      <x:c r="O171" s="27"/>
      <x:c r="P171" s="27"/>
      <x:c r="Q171" s="27"/>
      <x:c r="R171" s="27"/>
      <x:c r="S171" s="27"/>
      <x:c r="T171" s="27"/>
      <x:c r="U171" s="27"/>
      <x:c r="V171" s="27"/>
      <x:c r="W171" s="27"/>
      <x:c r="X171" s="27"/>
      <x:c r="Y171" s="27"/>
      <x:c r="Z171" s="27"/>
      <x:c r="AA171" s="27"/>
      <x:c r="AB171" s="27"/>
      <x:c r="AC171" s="27"/>
      <x:c r="AD171" s="27"/>
      <x:c r="AE171" s="27"/>
      <x:c r="AF171" s="27"/>
      <x:c r="AG171" s="27"/>
      <x:c r="AH171" s="27"/>
      <x:c r="AI171" s="27"/>
      <x:c r="AJ171" s="27"/>
      <x:c r="AK171" s="27"/>
      <x:c r="AL171" s="27"/>
      <x:c r="AM171" s="27"/>
      <x:c r="AN171" s="27"/>
      <x:c r="AO171" s="27"/>
      <x:c r="AP171" s="27"/>
      <x:c r="AQ171" s="27"/>
      <x:c r="AR171" s="27" t="str">
        <x:f>IF(C171="","",SUM(H171,N171,T171,Z171,AF171,AL171))</x:f>
      </x:c>
      <x:c r="AS171" s="27" t="str">
        <x:f>IF(C171="","",SUM(I171,O171,U171,AA171,AG171,AM171))</x:f>
      </x:c>
      <x:c r="AT171" s="27" t="str">
        <x:f>IF(C171="","",SUM(J171,P171,V171,AB171,AH171,AN171))</x:f>
      </x:c>
      <x:c r="AU171" s="27" t="str">
        <x:f>IF(C171="","",SUM(K171,Q171,W171,AC171,AI171,AO171))</x:f>
      </x:c>
      <x:c r="AV171" s="27" t="str">
        <x:f>IF(C171="","",SUM(L171,R171,X171,AD171,AJ171,AP171))</x:f>
      </x:c>
      <x:c r="AW171" s="27" t="str">
        <x:f>IF(C171="","",SUM(M171,S171,Y171,AE171,AK171,AQ171))</x:f>
      </x:c>
      <x:c r="AX171" s="27" t="str">
        <x:f>IF(C171="","",IF(IF(AS171*1000000+SUM(U171,AM171)*10000+SUM(O171,AG171)*100+SUM(I171,AA171)+0.005&gt;AR171*1000000+SUM(T171,AL171)*10000+SUM(N171,AF171)*100+SUM(H171,Z171)+0.006,1,0)+IF(AT171*1000000+SUM(V171,AN171)*10000+SUM(P171,AH171)*100+SUM(J171,AB171)+0.004&gt;AR171*1000000+SUM(T171,AL171)*10000+SUM(N171,AF171)*100+SUM(H171,Z171)+0.006,1,0)+IF(AU171*1000000+SUM(W171,AO171)*10000+SUM(Q171,AI171)*100+SUM(K171,AC171)+0.003&gt;AR171*1000000+SUM(T171,AL171)*10000+SUM(N171,AF171)*100+SUM(H171,Z171)+0.006,1,0)+IF(AV171*1000000+SUM(X171,AP171)*10000+SUM(R171,AJ171)*100+SUM(L171,AD171)+0.002&gt;AR171*1000000+SUM(T171,AL171)*10000+SUM(N171,AF171)*100+SUM(H171,Z171)+0.006,1,0)+IF(AW171*1000000+SUM(Y171,AQ171)*10000+SUM(S171,AK171)*100+SUM(M171,AE171)+0.001&gt;AR171*1000000+SUM(T171,AL171)*10000+SUM(N171,AF171)*100+SUM(H171,Z171)+0.006,1,0)=0,"R",IF(IF(AR171*1000000+SUM(T171,AL171)*10000+SUM(N171,AF171)*100+SUM(H171,Z171)+0.006&gt;AS171*1000000+SUM(U171,AM171)*10000+SUM(O171,AG171)*100+SUM(I171,AA171)+0.005,1,0)+IF(AT171*1000000+SUM(V171,AN171)*10000+SUM(P171,AH171)*100+SUM(J171,AB171)+0.004&gt;AS171*1000000+SUM(U171,AM171)*10000+SUM(O171,AG171)*100+SUM(I171,AA171)+0.005,1,0)+IF(AU171*1000000+SUM(W171,AO171)*10000+SUM(Q171,AI171)*100+SUM(K171,AC171)+0.003&gt;AS171*1000000+SUM(U171,AM171)*10000+SUM(O171,AG171)*100+SUM(I171,AA171)+0.005,1,0)+IF(AV171*1000000+SUM(X171,AP171)*10000+SUM(R171,AJ171)*100+SUM(L171,AD171)+0.002&gt;AS171*1000000+SUM(U171,AM171)*10000+SUM(O171,AG171)*100+SUM(I171,AA171)+0.005,1,0)+IF(AW171*1000000+SUM(Y171,AQ171)*10000+SUM(S171,AK171)*100+SUM(M171,AE171)+0.001&gt;AS171*1000000+SUM(U171,AM171)*10000+SUM(O171,AG171)*100+SUM(I171,AA171)+0.005,1,0)=0,"I",IF(IF(AR171*1000000+SUM(T171,AL171)*10000+SUM(N171,AF171)*100+SUM(H171,Z171)+0.006&gt;AT171*1000000+SUM(V171,AN171)*10000+SUM(P171,AH171)*100+SUM(J171,AB171)+0.004,1,0)+IF(AS171*1000000+SUM(U171,AM171)*10000+SUM(O171,AG171)*100+SUM(I171,AA171)+0.005&gt;AT171*1000000+SUM(V171,AN171)*10000+SUM(P171,AH171)*100+SUM(J171,AB171)+0.004,1,0)+IF(AU171*1000000+SUM(W171,AO171)*10000+SUM(Q171,AI171)*100+SUM(K171,AC171)+0.003&gt;AT171*1000000+SUM(V171,AN171)*10000+SUM(P171,AH171)*100+SUM(J171,AB171)+0.004,1,0)+IF(AV171*1000000+SUM(X171,AP171)*10000+SUM(R171,AJ171)*100+SUM(L171,AD171)+0.002&gt;AT171*1000000+SUM(V171,AN171)*10000+SUM(P171,AH171)*100+SUM(J171,AB171)+0.004,1,0)+IF(AW171*1000000+SUM(Y171,AQ171)*10000+SUM(S171,AK171)*100+SUM(M171,AE171)+0.001&gt;AT171*1000000+SUM(V171,AN171)*10000+SUM(P171,AH171)*100+SUM(J171,AB171)+0.004,1,0)=0,"A",IF(IF(AR171*1000000+SUM(T171,AL171)*10000+SUM(N171,AF171)*100+SUM(H171,Z171)+0.006&gt;AU171*1000000+SUM(W171,AO171)*10000+SUM(Q171,AI171)*100+SUM(K171,AC171)+0.003,1,0)+IF(AS171*1000000+SUM(U171,AM171)*10000+SUM(O171,AG171)*100+SUM(I171,AA171)+0.005&gt;AU171*1000000+SUM(W171,AO171)*10000+SUM(Q171,AI171)*100+SUM(K171,AC171)+0.003,1,0)+IF(AT171*1000000+SUM(V171,AN171)*10000+SUM(P171,AH171)*100+SUM(J171,AB171)+0.004&gt;AU171*1000000+SUM(W171,AO171)*10000+SUM(Q171,AI171)*100+SUM(K171,AC171)+0.003,1,0)+IF(AV171*1000000+SUM(X171,AP171)*10000+SUM(R171,AJ171)*100+SUM(L171,AD171)+0.002&gt;AU171*1000000+SUM(W171,AO171)*10000+SUM(Q171,AI171)*100+SUM(K171,AC171)+0.003,1,0)+IF(AW171*1000000+SUM(Y171,AQ171)*10000+SUM(S171,AK171)*100+SUM(M171,AE171)+0.001&gt;AU171*1000000+SUM(W171,AO171)*10000+SUM(Q171,AI171)*100+SUM(K171,AC171)+0.003,1,0)=0,"S",IF(IF(AR171*1000000+SUM(T171,AL171)*10000+SUM(N171,AF171)*100+SUM(H171,Z171)+0.006&gt;AV171*1000000+SUM(X171,AP171)*10000+SUM(R171,AJ171)*100+SUM(L171,AD171)+0.002,1,0)+IF(AS171*1000000+SUM(U171,AM171)*10000+SUM(O171,AG171)*100+SUM(I171,AA171)+0.005&gt;AV171*1000000+SUM(X171,AP171)*10000+SUM(R171,AJ171)*100+SUM(L171,AD171)+0.002,1,0)+IF(AT171*1000000+SUM(V171,AN171)*10000+SUM(P171,AH171)*100+SUM(J171,AB171)+0.004&gt;AV171*1000000+SUM(X171,AP171)*10000+SUM(R171,AJ171)*100+SUM(L171,AD171)+0.002,1,0)+IF(AU171*1000000+SUM(W171,AO171)*10000+SUM(Q171,AI171)*100+SUM(K171,AC171)+0.003&gt;AV171*1000000+SUM(X171,AP171)*10000+SUM(R171,AJ171)*100+SUM(L171,AD171)+0.002,1,0)+IF(AW171*1000000+SUM(Y171,AQ171)*10000+SUM(S171,AK171)*100+SUM(M171,AE171)+0.001&gt;AV171*1000000+SUM(X171,AP171)*10000+SUM(R171,AJ171)*100+SUM(L171,AD171)+0.002,1,0)=0,"E",IF(IF(AR171*1000000+SUM(T171,AL171)*10000+SUM(N171,AF171)*100+SUM(H171,Z171)+0.006&gt;AW171*1000000+SUM(Y171,AQ171)*10000+SUM(S171,AK171)*100+SUM(M171,AE171)+0.001,1,0)+IF(AS171*1000000+SUM(U171,AM171)*10000+SUM(O171,AG171)*100+SUM(I171,AA171)+0.005&gt;AW171*1000000+SUM(Y171,AQ171)*10000+SUM(S171,AK171)*100+SUM(M171,AE171)+0.001,1,0)+IF(AT171*1000000+SUM(V171,AN171)*10000+SUM(P171,AH171)*100+SUM(J171,AB171)+0.004&gt;AW171*1000000+SUM(Y171,AQ171)*10000+SUM(S171,AK171)*100+SUM(M171,AE171)+0.001,1,0)+IF(AU171*1000000+SUM(W171,AO171)*10000+SUM(Q171,AI171)*100+SUM(K171,AC171)+0.003&gt;AW171*1000000+SUM(Y171,AQ171)*10000+SUM(S171,AK171)*100+SUM(M171,AE171)+0.001,1,0)+IF(AV171*1000000+SUM(X171,AP171)*10000+SUM(R171,AJ171)*100+SUM(L171,AD171)+0.002&gt;AW171*1000000+SUM(Y171,AQ171)*10000+SUM(S171,AK171)*100+SUM(M171,AE171)+0.001,1,0)=0,"C",""))))))&amp;IF(IF(AS171*1000000+SUM(U171,AM171)*10000+SUM(O171,AG171)*100+SUM(I171,AA171)+0.005&gt;AR171*1000000+SUM(T171,AL171)*10000+SUM(N171,AF171)*100+SUM(H171,Z171)+0.006,1,0)+IF(AT171*1000000+SUM(V171,AN171)*10000+SUM(P171,AH171)*100+SUM(J171,AB171)+0.004&gt;AR171*1000000+SUM(T171,AL171)*10000+SUM(N171,AF171)*100+SUM(H171,Z171)+0.006,1,0)+IF(AU171*1000000+SUM(W171,AO171)*10000+SUM(Q171,AI171)*100+SUM(K171,AC171)+0.003&gt;AR171*1000000+SUM(T171,AL171)*10000+SUM(N171,AF171)*100+SUM(H171,Z171)+0.006,1,0)+IF(AV171*1000000+SUM(X171,AP171)*10000+SUM(R171,AJ171)*100+SUM(L171,AD171)+0.002&gt;AR171*1000000+SUM(T171,AL171)*10000+SUM(N171,AF171)*100+SUM(H171,Z171)+0.006,1,0)+IF(AW171*1000000+SUM(Y171,AQ171)*10000+SUM(S171,AK171)*100+SUM(M171,AE171)+0.001&gt;AR171*1000000+SUM(T171,AL171)*10000+SUM(N171,AF171)*100+SUM(H171,Z171)+0.006,1,0)=1,"R",IF(IF(AR171*1000000+SUM(T171,AL171)*10000+SUM(N171,AF171)*100+SUM(H171,Z171)+0.006&gt;AS171*1000000+SUM(U171,AM171)*10000+SUM(O171,AG171)*100+SUM(I171,AA171)+0.005,1,0)+IF(AT171*1000000+SUM(V171,AN171)*10000+SUM(P171,AH171)*100+SUM(J171,AB171)+0.004&gt;AS171*1000000+SUM(U171,AM171)*10000+SUM(O171,AG171)*100+SUM(I171,AA171)+0.005,1,0)+IF(AU171*1000000+SUM(W171,AO171)*10000+SUM(Q171,AI171)*100+SUM(K171,AC171)+0.003&gt;AS171*1000000+SUM(U171,AM171)*10000+SUM(O171,AG171)*100+SUM(I171,AA171)+0.005,1,0)+IF(AV171*1000000+SUM(X171,AP171)*10000+SUM(R171,AJ171)*100+SUM(L171,AD171)+0.002&gt;AS171*1000000+SUM(U171,AM171)*10000+SUM(O171,AG171)*100+SUM(I171,AA171)+0.005,1,0)+IF(AW171*1000000+SUM(Y171,AQ171)*10000+SUM(S171,AK171)*100+SUM(M171,AE171)+0.001&gt;AS171*1000000+SUM(U171,AM171)*10000+SUM(O171,AG171)*100+SUM(I171,AA171)+0.005,1,0)=1,"I",IF(IF(AR171*1000000+SUM(T171,AL171)*10000+SUM(N171,AF171)*100+SUM(H171,Z171)+0.006&gt;AT171*1000000+SUM(V171,AN171)*10000+SUM(P171,AH171)*100+SUM(J171,AB171)+0.004,1,0)+IF(AS171*1000000+SUM(U171,AM171)*10000+SUM(O171,AG171)*100+SUM(I171,AA171)+0.005&gt;AT171*1000000+SUM(V171,AN171)*10000+SUM(P171,AH171)*100+SUM(J171,AB171)+0.004,1,0)+IF(AU171*1000000+SUM(W171,AO171)*10000+SUM(Q171,AI171)*100+SUM(K171,AC171)+0.003&gt;AT171*1000000+SUM(V171,AN171)*10000+SUM(P171,AH171)*100+SUM(J171,AB171)+0.004,1,0)+IF(AV171*1000000+SUM(X171,AP171)*10000+SUM(R171,AJ171)*100+SUM(L171,AD171)+0.002&gt;AT171*1000000+SUM(V171,AN171)*10000+SUM(P171,AH171)*100+SUM(J171,AB171)+0.004,1,0)+IF(AW171*1000000+SUM(Y171,AQ171)*10000+SUM(S171,AK171)*100+SUM(M171,AE171)+0.001&gt;AT171*1000000+SUM(V171,AN171)*10000+SUM(P171,AH171)*100+SUM(J171,AB171)+0.004,1,0)=1,"A",IF(IF(AR171*1000000+SUM(T171,AL171)*10000+SUM(N171,AF171)*100+SUM(H171,Z171)+0.006&gt;AU171*1000000+SUM(W171,AO171)*10000+SUM(Q171,AI171)*100+SUM(K171,AC171)+0.003,1,0)+IF(AS171*1000000+SUM(U171,AM171)*10000+SUM(O171,AG171)*100+SUM(I171,AA171)+0.005&gt;AU171*1000000+SUM(W171,AO171)*10000+SUM(Q171,AI171)*100+SUM(K171,AC171)+0.003,1,0)+IF(AT171*1000000+SUM(V171,AN171)*10000+SUM(P171,AH171)*100+SUM(J171,AB171)+0.004&gt;AU171*1000000+SUM(W171,AO171)*10000+SUM(Q171,AI171)*100+SUM(K171,AC171)+0.003,1,0)+IF(AV171*1000000+SUM(X171,AP171)*10000+SUM(R171,AJ171)*100+SUM(L171,AD171)+0.002&gt;AU171*1000000+SUM(W171,AO171)*10000+SUM(Q171,AI171)*100+SUM(K171,AC171)+0.003,1,0)+IF(AW171*1000000+SUM(Y171,AQ171)*10000+SUM(S171,AK171)*100+SUM(M171,AE171)+0.001&gt;AU171*1000000+SUM(W171,AO171)*10000+SUM(Q171,AI171)*100+SUM(K171,AC171)+0.003,1,0)=1,"S",IF(IF(AR171*1000000+SUM(T171,AL171)*10000+SUM(N171,AF171)*100+SUM(H171,Z171)+0.006&gt;AV171*1000000+SUM(X171,AP171)*10000+SUM(R171,AJ171)*100+SUM(L171,AD171)+0.002,1,0)+IF(AS171*1000000+SUM(U171,AM171)*10000+SUM(O171,AG171)*100+SUM(I171,AA171)+0.005&gt;AV171*1000000+SUM(X171,AP171)*10000+SUM(R171,AJ171)*100+SUM(L171,AD171)+0.002,1,0)+IF(AT171*1000000+SUM(V171,AN171)*10000+SUM(P171,AH171)*100+SUM(J171,AB171)+0.004&gt;AV171*1000000+SUM(X171,AP171)*10000+SUM(R171,AJ171)*100+SUM(L171,AD171)+0.002,1,0)+IF(AU171*1000000+SUM(W171,AO171)*10000+SUM(Q171,AI171)*100+SUM(K171,AC171)+0.003&gt;AV171*1000000+SUM(X171,AP171)*10000+SUM(R171,AJ171)*100+SUM(L171,AD171)+0.002,1,0)+IF(AW171*1000000+SUM(Y171,AQ171)*10000+SUM(S171,AK171)*100+SUM(M171,AE171)+0.001&gt;AV171*1000000+SUM(X171,AP171)*10000+SUM(R171,AJ171)*100+SUM(L171,AD171)+0.002,1,0)=1,"E",IF(IF(AR171*1000000+SUM(T171,AL171)*10000+SUM(N171,AF171)*100+SUM(H171,Z171)+0.006&gt;AW171*1000000+SUM(Y171,AQ171)*10000+SUM(S171,AK171)*100+SUM(M171,AE171)+0.001,1,0)+IF(AS171*1000000+SUM(U171,AM171)*10000+SUM(O171,AG171)*100+SUM(I171,AA171)+0.005&gt;AW171*1000000+SUM(Y171,AQ171)*10000+SUM(S171,AK171)*100+SUM(M171,AE171)+0.001,1,0)+IF(AT171*1000000+SUM(V171,AN171)*10000+SUM(P171,AH171)*100+SUM(J171,AB171)+0.004&gt;AW171*1000000+SUM(Y171,AQ171)*10000+SUM(S171,AK171)*100+SUM(M171,AE171)+0.001,1,0)+IF(AU171*1000000+SUM(W171,AO171)*10000+SUM(Q171,AI171)*100+SUM(K171,AC171)+0.003&gt;AW171*1000000+SUM(Y171,AQ171)*10000+SUM(S171,AK171)*100+SUM(M171,AE171)+0.001,1,0)+IF(AV171*1000000+SUM(X171,AP171)*10000+SUM(R171,AJ171)*100+SUM(L171,AD171)+0.002&gt;AW171*1000000+SUM(Y171,AQ171)*10000+SUM(S171,AK171)*100+SUM(M171,AE171)+0.001,1,0)=1,"C",""))))))&amp;IF(IF(AS171*1000000+SUM(U171,AM171)*10000+SUM(O171,AG171)*100+SUM(I171,AA171)+0.005&gt;AR171*1000000+SUM(T171,AL171)*10000+SUM(N171,AF171)*100+SUM(H171,Z171)+0.006,1,0)+IF(AT171*1000000+SUM(V171,AN171)*10000+SUM(P171,AH171)*100+SUM(J171,AB171)+0.004&gt;AR171*1000000+SUM(T171,AL171)*10000+SUM(N171,AF171)*100+SUM(H171,Z171)+0.006,1,0)+IF(AU171*1000000+SUM(W171,AO171)*10000+SUM(Q171,AI171)*100+SUM(K171,AC171)+0.003&gt;AR171*1000000+SUM(T171,AL171)*10000+SUM(N171,AF171)*100+SUM(H171,Z171)+0.006,1,0)+IF(AV171*1000000+SUM(X171,AP171)*10000+SUM(R171,AJ171)*100+SUM(L171,AD171)+0.002&gt;AR171*1000000+SUM(T171,AL171)*10000+SUM(N171,AF171)*100+SUM(H171,Z171)+0.006,1,0)+IF(AW171*1000000+SUM(Y171,AQ171)*10000+SUM(S171,AK171)*100+SUM(M171,AE171)+0.001&gt;AR171*1000000+SUM(T171,AL171)*10000+SUM(N171,AF171)*100+SUM(H171,Z171)+0.006,1,0)=2,"R",IF(IF(AR171*1000000+SUM(T171,AL171)*10000+SUM(N171,AF171)*100+SUM(H171,Z171)+0.006&gt;AS171*1000000+SUM(U171,AM171)*10000+SUM(O171,AG171)*100+SUM(I171,AA171)+0.005,1,0)+IF(AT171*1000000+SUM(V171,AN171)*10000+SUM(P171,AH171)*100+SUM(J171,AB171)+0.004&gt;AS171*1000000+SUM(U171,AM171)*10000+SUM(O171,AG171)*100+SUM(I171,AA171)+0.005,1,0)+IF(AU171*1000000+SUM(W171,AO171)*10000+SUM(Q171,AI171)*100+SUM(K171,AC171)+0.003&gt;AS171*1000000+SUM(U171,AM171)*10000+SUM(O171,AG171)*100+SUM(I171,AA171)+0.005,1,0)+IF(AV171*1000000+SUM(X171,AP171)*10000+SUM(R171,AJ171)*100+SUM(L171,AD171)+0.002&gt;AS171*1000000+SUM(U171,AM171)*10000+SUM(O171,AG171)*100+SUM(I171,AA171)+0.005,1,0)+IF(AW171*1000000+SUM(Y171,AQ171)*10000+SUM(S171,AK171)*100+SUM(M171,AE171)+0.001&gt;AS171*1000000+SUM(U171,AM171)*10000+SUM(O171,AG171)*100+SUM(I171,AA171)+0.005,1,0)=2,"I",IF(IF(AR171*1000000+SUM(T171,AL171)*10000+SUM(N171,AF171)*100+SUM(H171,Z171)+0.006&gt;AT171*1000000+SUM(V171,AN171)*10000+SUM(P171,AH171)*100+SUM(J171,AB171)+0.004,1,0)+IF(AS171*1000000+SUM(U171,AM171)*10000+SUM(O171,AG171)*100+SUM(I171,AA171)+0.005&gt;AT171*1000000+SUM(V171,AN171)*10000+SUM(P171,AH171)*100+SUM(J171,AB171)+0.004,1,0)+IF(AU171*1000000+SUM(W171,AO171)*10000+SUM(Q171,AI171)*100+SUM(K171,AC171)+0.003&gt;AT171*1000000+SUM(V171,AN171)*10000+SUM(P171,AH171)*100+SUM(J171,AB171)+0.004,1,0)+IF(AV171*1000000+SUM(X171,AP171)*10000+SUM(R171,AJ171)*100+SUM(L171,AD171)+0.002&gt;AT171*1000000+SUM(V171,AN171)*10000+SUM(P171,AH171)*100+SUM(J171,AB171)+0.004,1,0)+IF(AW171*1000000+SUM(Y171,AQ171)*10000+SUM(S171,AK171)*100+SUM(M171,AE171)+0.001&gt;AT171*1000000+SUM(V171,AN171)*10000+SUM(P171,AH171)*100+SUM(J171,AB171)+0.004,1,0)=2,"A",IF(IF(AR171*1000000+SUM(T171,AL171)*10000+SUM(N171,AF171)*100+SUM(H171,Z171)+0.006&gt;AU171*1000000+SUM(W171,AO171)*10000+SUM(Q171,AI171)*100+SUM(K171,AC171)+0.003,1,0)+IF(AS171*1000000+SUM(U171,AM171)*10000+SUM(O171,AG171)*100+SUM(I171,AA171)+0.005&gt;AU171*1000000+SUM(W171,AO171)*10000+SUM(Q171,AI171)*100+SUM(K171,AC171)+0.003,1,0)+IF(AT171*1000000+SUM(V171,AN171)*10000+SUM(P171,AH171)*100+SUM(J171,AB171)+0.004&gt;AU171*1000000+SUM(W171,AO171)*10000+SUM(Q171,AI171)*100+SUM(K171,AC171)+0.003,1,0)+IF(AV171*1000000+SUM(X171,AP171)*10000+SUM(R171,AJ171)*100+SUM(L171,AD171)+0.002&gt;AU171*1000000+SUM(W171,AO171)*10000+SUM(Q171,AI171)*100+SUM(K171,AC171)+0.003,1,0)+IF(AW171*1000000+SUM(Y171,AQ171)*10000+SUM(S171,AK171)*100+SUM(M171,AE171)+0.001&gt;AU171*1000000+SUM(W171,AO171)*10000+SUM(Q171,AI171)*100+SUM(K171,AC171)+0.003,1,0)=2,"S",IF(IF(AR171*1000000+SUM(T171,AL171)*10000+SUM(N171,AF171)*100+SUM(H171,Z171)+0.006&gt;AV171*1000000+SUM(X171,AP171)*10000+SUM(R171,AJ171)*100+SUM(L171,AD171)+0.002,1,0)+IF(AS171*1000000+SUM(U171,AM171)*10000+SUM(O171,AG171)*100+SUM(I171,AA171)+0.005&gt;AV171*1000000+SUM(X171,AP171)*10000+SUM(R171,AJ171)*100+SUM(L171,AD171)+0.002,1,0)+IF(AT171*1000000+SUM(V171,AN171)*10000+SUM(P171,AH171)*100+SUM(J171,AB171)+0.004&gt;AV171*1000000+SUM(X171,AP171)*10000+SUM(R171,AJ171)*100+SUM(L171,AD171)+0.002,1,0)+IF(AU171*1000000+SUM(W171,AO171)*10000+SUM(Q171,AI171)*100+SUM(K171,AC171)+0.003&gt;AV171*1000000+SUM(X171,AP171)*10000+SUM(R171,AJ171)*100+SUM(L171,AD171)+0.002,1,0)+IF(AW171*1000000+SUM(Y171,AQ171)*10000+SUM(S171,AK171)*100+SUM(M171,AE171)+0.001&gt;AV171*1000000+SUM(X171,AP171)*10000+SUM(R171,AJ171)*100+SUM(L171,AD171)+0.002,1,0)=2,"E",IF(IF(AR171*1000000+SUM(T171,AL171)*10000+SUM(N171,AF171)*100+SUM(H171,Z171)+0.006&gt;AW171*1000000+SUM(Y171,AQ171)*10000+SUM(S171,AK171)*100+SUM(M171,AE171)+0.001,1,0)+IF(AS171*1000000+SUM(U171,AM171)*10000+SUM(O171,AG171)*100+SUM(I171,AA171)+0.005&gt;AW171*1000000+SUM(Y171,AQ171)*10000+SUM(S171,AK171)*100+SUM(M171,AE171)+0.001,1,0)+IF(AT171*1000000+SUM(V171,AN171)*10000+SUM(P171,AH171)*100+SUM(J171,AB171)+0.004&gt;AW171*1000000+SUM(Y171,AQ171)*10000+SUM(S171,AK171)*100+SUM(M171,AE171)+0.001,1,0)+IF(AU171*1000000+SUM(W171,AO171)*10000+SUM(Q171,AI171)*100+SUM(K171,AC171)+0.003&gt;AW171*1000000+SUM(Y171,AQ171)*10000+SUM(S171,AK171)*100+SUM(M171,AE171)+0.001,1,0)+IF(AV171*1000000+SUM(X171,AP171)*10000+SUM(R171,AJ171)*100+SUM(L171,AD171)+0.002&gt;AW171*1000000+SUM(Y171,AQ171)*10000+SUM(S171,AK171)*100+SUM(M171,AE171)+0.001,1,0)=2,"C","")))))))</x:f>
      </x:c>
      <x:c r="AY171" s="27" t="str">
        <x:f>IF(C171="","",IF(LEFT(AX171,1)="R","นักปฏิบัติ",IF(LEFT(AX171,1)="I","นักคิดวิเคราะห์",IF(LEFT(AX171,1)="A","นักสร้างสรรค์",IF(LEFT(AX171,1)="S","ผู้เข้าใจผู้คน",IF(LEFT(AX171,1)="E","ผู้นำการเปลี่ยนแปลง","ผู้จัดระบบ"))))))</x:f>
      </x:c>
    </x:row>
    <x:row r="172">
      <x:c r="A172" s="27"/>
      <x:c r="B172" s="28"/>
      <x:c r="C172" s="27"/>
      <x:c r="D172" s="27"/>
      <x:c r="E172" s="27"/>
      <x:c r="F172" s="27"/>
      <x:c r="G172" s="27"/>
      <x:c r="H172" s="27"/>
      <x:c r="I172" s="27"/>
      <x:c r="J172" s="27"/>
      <x:c r="K172" s="27"/>
      <x:c r="L172" s="27"/>
      <x:c r="M172" s="27"/>
      <x:c r="N172" s="27"/>
      <x:c r="O172" s="27"/>
      <x:c r="P172" s="27"/>
      <x:c r="Q172" s="27"/>
      <x:c r="R172" s="27"/>
      <x:c r="S172" s="27"/>
      <x:c r="T172" s="27"/>
      <x:c r="U172" s="27"/>
      <x:c r="V172" s="27"/>
      <x:c r="W172" s="27"/>
      <x:c r="X172" s="27"/>
      <x:c r="Y172" s="27"/>
      <x:c r="Z172" s="27"/>
      <x:c r="AA172" s="27"/>
      <x:c r="AB172" s="27"/>
      <x:c r="AC172" s="27"/>
      <x:c r="AD172" s="27"/>
      <x:c r="AE172" s="27"/>
      <x:c r="AF172" s="27"/>
      <x:c r="AG172" s="27"/>
      <x:c r="AH172" s="27"/>
      <x:c r="AI172" s="27"/>
      <x:c r="AJ172" s="27"/>
      <x:c r="AK172" s="27"/>
      <x:c r="AL172" s="27"/>
      <x:c r="AM172" s="27"/>
      <x:c r="AN172" s="27"/>
      <x:c r="AO172" s="27"/>
      <x:c r="AP172" s="27"/>
      <x:c r="AQ172" s="27"/>
      <x:c r="AR172" s="27" t="str">
        <x:f>IF(C172="","",SUM(H172,N172,T172,Z172,AF172,AL172))</x:f>
      </x:c>
      <x:c r="AS172" s="27" t="str">
        <x:f>IF(C172="","",SUM(I172,O172,U172,AA172,AG172,AM172))</x:f>
      </x:c>
      <x:c r="AT172" s="27" t="str">
        <x:f>IF(C172="","",SUM(J172,P172,V172,AB172,AH172,AN172))</x:f>
      </x:c>
      <x:c r="AU172" s="27" t="str">
        <x:f>IF(C172="","",SUM(K172,Q172,W172,AC172,AI172,AO172))</x:f>
      </x:c>
      <x:c r="AV172" s="27" t="str">
        <x:f>IF(C172="","",SUM(L172,R172,X172,AD172,AJ172,AP172))</x:f>
      </x:c>
      <x:c r="AW172" s="27" t="str">
        <x:f>IF(C172="","",SUM(M172,S172,Y172,AE172,AK172,AQ172))</x:f>
      </x:c>
      <x:c r="AX172" s="27" t="str">
        <x:f>IF(C172="","",IF(IF(AS172*1000000+SUM(U172,AM172)*10000+SUM(O172,AG172)*100+SUM(I172,AA172)+0.005&gt;AR172*1000000+SUM(T172,AL172)*10000+SUM(N172,AF172)*100+SUM(H172,Z172)+0.006,1,0)+IF(AT172*1000000+SUM(V172,AN172)*10000+SUM(P172,AH172)*100+SUM(J172,AB172)+0.004&gt;AR172*1000000+SUM(T172,AL172)*10000+SUM(N172,AF172)*100+SUM(H172,Z172)+0.006,1,0)+IF(AU172*1000000+SUM(W172,AO172)*10000+SUM(Q172,AI172)*100+SUM(K172,AC172)+0.003&gt;AR172*1000000+SUM(T172,AL172)*10000+SUM(N172,AF172)*100+SUM(H172,Z172)+0.006,1,0)+IF(AV172*1000000+SUM(X172,AP172)*10000+SUM(R172,AJ172)*100+SUM(L172,AD172)+0.002&gt;AR172*1000000+SUM(T172,AL172)*10000+SUM(N172,AF172)*100+SUM(H172,Z172)+0.006,1,0)+IF(AW172*1000000+SUM(Y172,AQ172)*10000+SUM(S172,AK172)*100+SUM(M172,AE172)+0.001&gt;AR172*1000000+SUM(T172,AL172)*10000+SUM(N172,AF172)*100+SUM(H172,Z172)+0.006,1,0)=0,"R",IF(IF(AR172*1000000+SUM(T172,AL172)*10000+SUM(N172,AF172)*100+SUM(H172,Z172)+0.006&gt;AS172*1000000+SUM(U172,AM172)*10000+SUM(O172,AG172)*100+SUM(I172,AA172)+0.005,1,0)+IF(AT172*1000000+SUM(V172,AN172)*10000+SUM(P172,AH172)*100+SUM(J172,AB172)+0.004&gt;AS172*1000000+SUM(U172,AM172)*10000+SUM(O172,AG172)*100+SUM(I172,AA172)+0.005,1,0)+IF(AU172*1000000+SUM(W172,AO172)*10000+SUM(Q172,AI172)*100+SUM(K172,AC172)+0.003&gt;AS172*1000000+SUM(U172,AM172)*10000+SUM(O172,AG172)*100+SUM(I172,AA172)+0.005,1,0)+IF(AV172*1000000+SUM(X172,AP172)*10000+SUM(R172,AJ172)*100+SUM(L172,AD172)+0.002&gt;AS172*1000000+SUM(U172,AM172)*10000+SUM(O172,AG172)*100+SUM(I172,AA172)+0.005,1,0)+IF(AW172*1000000+SUM(Y172,AQ172)*10000+SUM(S172,AK172)*100+SUM(M172,AE172)+0.001&gt;AS172*1000000+SUM(U172,AM172)*10000+SUM(O172,AG172)*100+SUM(I172,AA172)+0.005,1,0)=0,"I",IF(IF(AR172*1000000+SUM(T172,AL172)*10000+SUM(N172,AF172)*100+SUM(H172,Z172)+0.006&gt;AT172*1000000+SUM(V172,AN172)*10000+SUM(P172,AH172)*100+SUM(J172,AB172)+0.004,1,0)+IF(AS172*1000000+SUM(U172,AM172)*10000+SUM(O172,AG172)*100+SUM(I172,AA172)+0.005&gt;AT172*1000000+SUM(V172,AN172)*10000+SUM(P172,AH172)*100+SUM(J172,AB172)+0.004,1,0)+IF(AU172*1000000+SUM(W172,AO172)*10000+SUM(Q172,AI172)*100+SUM(K172,AC172)+0.003&gt;AT172*1000000+SUM(V172,AN172)*10000+SUM(P172,AH172)*100+SUM(J172,AB172)+0.004,1,0)+IF(AV172*1000000+SUM(X172,AP172)*10000+SUM(R172,AJ172)*100+SUM(L172,AD172)+0.002&gt;AT172*1000000+SUM(V172,AN172)*10000+SUM(P172,AH172)*100+SUM(J172,AB172)+0.004,1,0)+IF(AW172*1000000+SUM(Y172,AQ172)*10000+SUM(S172,AK172)*100+SUM(M172,AE172)+0.001&gt;AT172*1000000+SUM(V172,AN172)*10000+SUM(P172,AH172)*100+SUM(J172,AB172)+0.004,1,0)=0,"A",IF(IF(AR172*1000000+SUM(T172,AL172)*10000+SUM(N172,AF172)*100+SUM(H172,Z172)+0.006&gt;AU172*1000000+SUM(W172,AO172)*10000+SUM(Q172,AI172)*100+SUM(K172,AC172)+0.003,1,0)+IF(AS172*1000000+SUM(U172,AM172)*10000+SUM(O172,AG172)*100+SUM(I172,AA172)+0.005&gt;AU172*1000000+SUM(W172,AO172)*10000+SUM(Q172,AI172)*100+SUM(K172,AC172)+0.003,1,0)+IF(AT172*1000000+SUM(V172,AN172)*10000+SUM(P172,AH172)*100+SUM(J172,AB172)+0.004&gt;AU172*1000000+SUM(W172,AO172)*10000+SUM(Q172,AI172)*100+SUM(K172,AC172)+0.003,1,0)+IF(AV172*1000000+SUM(X172,AP172)*10000+SUM(R172,AJ172)*100+SUM(L172,AD172)+0.002&gt;AU172*1000000+SUM(W172,AO172)*10000+SUM(Q172,AI172)*100+SUM(K172,AC172)+0.003,1,0)+IF(AW172*1000000+SUM(Y172,AQ172)*10000+SUM(S172,AK172)*100+SUM(M172,AE172)+0.001&gt;AU172*1000000+SUM(W172,AO172)*10000+SUM(Q172,AI172)*100+SUM(K172,AC172)+0.003,1,0)=0,"S",IF(IF(AR172*1000000+SUM(T172,AL172)*10000+SUM(N172,AF172)*100+SUM(H172,Z172)+0.006&gt;AV172*1000000+SUM(X172,AP172)*10000+SUM(R172,AJ172)*100+SUM(L172,AD172)+0.002,1,0)+IF(AS172*1000000+SUM(U172,AM172)*10000+SUM(O172,AG172)*100+SUM(I172,AA172)+0.005&gt;AV172*1000000+SUM(X172,AP172)*10000+SUM(R172,AJ172)*100+SUM(L172,AD172)+0.002,1,0)+IF(AT172*1000000+SUM(V172,AN172)*10000+SUM(P172,AH172)*100+SUM(J172,AB172)+0.004&gt;AV172*1000000+SUM(X172,AP172)*10000+SUM(R172,AJ172)*100+SUM(L172,AD172)+0.002,1,0)+IF(AU172*1000000+SUM(W172,AO172)*10000+SUM(Q172,AI172)*100+SUM(K172,AC172)+0.003&gt;AV172*1000000+SUM(X172,AP172)*10000+SUM(R172,AJ172)*100+SUM(L172,AD172)+0.002,1,0)+IF(AW172*1000000+SUM(Y172,AQ172)*10000+SUM(S172,AK172)*100+SUM(M172,AE172)+0.001&gt;AV172*1000000+SUM(X172,AP172)*10000+SUM(R172,AJ172)*100+SUM(L172,AD172)+0.002,1,0)=0,"E",IF(IF(AR172*1000000+SUM(T172,AL172)*10000+SUM(N172,AF172)*100+SUM(H172,Z172)+0.006&gt;AW172*1000000+SUM(Y172,AQ172)*10000+SUM(S172,AK172)*100+SUM(M172,AE172)+0.001,1,0)+IF(AS172*1000000+SUM(U172,AM172)*10000+SUM(O172,AG172)*100+SUM(I172,AA172)+0.005&gt;AW172*1000000+SUM(Y172,AQ172)*10000+SUM(S172,AK172)*100+SUM(M172,AE172)+0.001,1,0)+IF(AT172*1000000+SUM(V172,AN172)*10000+SUM(P172,AH172)*100+SUM(J172,AB172)+0.004&gt;AW172*1000000+SUM(Y172,AQ172)*10000+SUM(S172,AK172)*100+SUM(M172,AE172)+0.001,1,0)+IF(AU172*1000000+SUM(W172,AO172)*10000+SUM(Q172,AI172)*100+SUM(K172,AC172)+0.003&gt;AW172*1000000+SUM(Y172,AQ172)*10000+SUM(S172,AK172)*100+SUM(M172,AE172)+0.001,1,0)+IF(AV172*1000000+SUM(X172,AP172)*10000+SUM(R172,AJ172)*100+SUM(L172,AD172)+0.002&gt;AW172*1000000+SUM(Y172,AQ172)*10000+SUM(S172,AK172)*100+SUM(M172,AE172)+0.001,1,0)=0,"C",""))))))&amp;IF(IF(AS172*1000000+SUM(U172,AM172)*10000+SUM(O172,AG172)*100+SUM(I172,AA172)+0.005&gt;AR172*1000000+SUM(T172,AL172)*10000+SUM(N172,AF172)*100+SUM(H172,Z172)+0.006,1,0)+IF(AT172*1000000+SUM(V172,AN172)*10000+SUM(P172,AH172)*100+SUM(J172,AB172)+0.004&gt;AR172*1000000+SUM(T172,AL172)*10000+SUM(N172,AF172)*100+SUM(H172,Z172)+0.006,1,0)+IF(AU172*1000000+SUM(W172,AO172)*10000+SUM(Q172,AI172)*100+SUM(K172,AC172)+0.003&gt;AR172*1000000+SUM(T172,AL172)*10000+SUM(N172,AF172)*100+SUM(H172,Z172)+0.006,1,0)+IF(AV172*1000000+SUM(X172,AP172)*10000+SUM(R172,AJ172)*100+SUM(L172,AD172)+0.002&gt;AR172*1000000+SUM(T172,AL172)*10000+SUM(N172,AF172)*100+SUM(H172,Z172)+0.006,1,0)+IF(AW172*1000000+SUM(Y172,AQ172)*10000+SUM(S172,AK172)*100+SUM(M172,AE172)+0.001&gt;AR172*1000000+SUM(T172,AL172)*10000+SUM(N172,AF172)*100+SUM(H172,Z172)+0.006,1,0)=1,"R",IF(IF(AR172*1000000+SUM(T172,AL172)*10000+SUM(N172,AF172)*100+SUM(H172,Z172)+0.006&gt;AS172*1000000+SUM(U172,AM172)*10000+SUM(O172,AG172)*100+SUM(I172,AA172)+0.005,1,0)+IF(AT172*1000000+SUM(V172,AN172)*10000+SUM(P172,AH172)*100+SUM(J172,AB172)+0.004&gt;AS172*1000000+SUM(U172,AM172)*10000+SUM(O172,AG172)*100+SUM(I172,AA172)+0.005,1,0)+IF(AU172*1000000+SUM(W172,AO172)*10000+SUM(Q172,AI172)*100+SUM(K172,AC172)+0.003&gt;AS172*1000000+SUM(U172,AM172)*10000+SUM(O172,AG172)*100+SUM(I172,AA172)+0.005,1,0)+IF(AV172*1000000+SUM(X172,AP172)*10000+SUM(R172,AJ172)*100+SUM(L172,AD172)+0.002&gt;AS172*1000000+SUM(U172,AM172)*10000+SUM(O172,AG172)*100+SUM(I172,AA172)+0.005,1,0)+IF(AW172*1000000+SUM(Y172,AQ172)*10000+SUM(S172,AK172)*100+SUM(M172,AE172)+0.001&gt;AS172*1000000+SUM(U172,AM172)*10000+SUM(O172,AG172)*100+SUM(I172,AA172)+0.005,1,0)=1,"I",IF(IF(AR172*1000000+SUM(T172,AL172)*10000+SUM(N172,AF172)*100+SUM(H172,Z172)+0.006&gt;AT172*1000000+SUM(V172,AN172)*10000+SUM(P172,AH172)*100+SUM(J172,AB172)+0.004,1,0)+IF(AS172*1000000+SUM(U172,AM172)*10000+SUM(O172,AG172)*100+SUM(I172,AA172)+0.005&gt;AT172*1000000+SUM(V172,AN172)*10000+SUM(P172,AH172)*100+SUM(J172,AB172)+0.004,1,0)+IF(AU172*1000000+SUM(W172,AO172)*10000+SUM(Q172,AI172)*100+SUM(K172,AC172)+0.003&gt;AT172*1000000+SUM(V172,AN172)*10000+SUM(P172,AH172)*100+SUM(J172,AB172)+0.004,1,0)+IF(AV172*1000000+SUM(X172,AP172)*10000+SUM(R172,AJ172)*100+SUM(L172,AD172)+0.002&gt;AT172*1000000+SUM(V172,AN172)*10000+SUM(P172,AH172)*100+SUM(J172,AB172)+0.004,1,0)+IF(AW172*1000000+SUM(Y172,AQ172)*10000+SUM(S172,AK172)*100+SUM(M172,AE172)+0.001&gt;AT172*1000000+SUM(V172,AN172)*10000+SUM(P172,AH172)*100+SUM(J172,AB172)+0.004,1,0)=1,"A",IF(IF(AR172*1000000+SUM(T172,AL172)*10000+SUM(N172,AF172)*100+SUM(H172,Z172)+0.006&gt;AU172*1000000+SUM(W172,AO172)*10000+SUM(Q172,AI172)*100+SUM(K172,AC172)+0.003,1,0)+IF(AS172*1000000+SUM(U172,AM172)*10000+SUM(O172,AG172)*100+SUM(I172,AA172)+0.005&gt;AU172*1000000+SUM(W172,AO172)*10000+SUM(Q172,AI172)*100+SUM(K172,AC172)+0.003,1,0)+IF(AT172*1000000+SUM(V172,AN172)*10000+SUM(P172,AH172)*100+SUM(J172,AB172)+0.004&gt;AU172*1000000+SUM(W172,AO172)*10000+SUM(Q172,AI172)*100+SUM(K172,AC172)+0.003,1,0)+IF(AV172*1000000+SUM(X172,AP172)*10000+SUM(R172,AJ172)*100+SUM(L172,AD172)+0.002&gt;AU172*1000000+SUM(W172,AO172)*10000+SUM(Q172,AI172)*100+SUM(K172,AC172)+0.003,1,0)+IF(AW172*1000000+SUM(Y172,AQ172)*10000+SUM(S172,AK172)*100+SUM(M172,AE172)+0.001&gt;AU172*1000000+SUM(W172,AO172)*10000+SUM(Q172,AI172)*100+SUM(K172,AC172)+0.003,1,0)=1,"S",IF(IF(AR172*1000000+SUM(T172,AL172)*10000+SUM(N172,AF172)*100+SUM(H172,Z172)+0.006&gt;AV172*1000000+SUM(X172,AP172)*10000+SUM(R172,AJ172)*100+SUM(L172,AD172)+0.002,1,0)+IF(AS172*1000000+SUM(U172,AM172)*10000+SUM(O172,AG172)*100+SUM(I172,AA172)+0.005&gt;AV172*1000000+SUM(X172,AP172)*10000+SUM(R172,AJ172)*100+SUM(L172,AD172)+0.002,1,0)+IF(AT172*1000000+SUM(V172,AN172)*10000+SUM(P172,AH172)*100+SUM(J172,AB172)+0.004&gt;AV172*1000000+SUM(X172,AP172)*10000+SUM(R172,AJ172)*100+SUM(L172,AD172)+0.002,1,0)+IF(AU172*1000000+SUM(W172,AO172)*10000+SUM(Q172,AI172)*100+SUM(K172,AC172)+0.003&gt;AV172*1000000+SUM(X172,AP172)*10000+SUM(R172,AJ172)*100+SUM(L172,AD172)+0.002,1,0)+IF(AW172*1000000+SUM(Y172,AQ172)*10000+SUM(S172,AK172)*100+SUM(M172,AE172)+0.001&gt;AV172*1000000+SUM(X172,AP172)*10000+SUM(R172,AJ172)*100+SUM(L172,AD172)+0.002,1,0)=1,"E",IF(IF(AR172*1000000+SUM(T172,AL172)*10000+SUM(N172,AF172)*100+SUM(H172,Z172)+0.006&gt;AW172*1000000+SUM(Y172,AQ172)*10000+SUM(S172,AK172)*100+SUM(M172,AE172)+0.001,1,0)+IF(AS172*1000000+SUM(U172,AM172)*10000+SUM(O172,AG172)*100+SUM(I172,AA172)+0.005&gt;AW172*1000000+SUM(Y172,AQ172)*10000+SUM(S172,AK172)*100+SUM(M172,AE172)+0.001,1,0)+IF(AT172*1000000+SUM(V172,AN172)*10000+SUM(P172,AH172)*100+SUM(J172,AB172)+0.004&gt;AW172*1000000+SUM(Y172,AQ172)*10000+SUM(S172,AK172)*100+SUM(M172,AE172)+0.001,1,0)+IF(AU172*1000000+SUM(W172,AO172)*10000+SUM(Q172,AI172)*100+SUM(K172,AC172)+0.003&gt;AW172*1000000+SUM(Y172,AQ172)*10000+SUM(S172,AK172)*100+SUM(M172,AE172)+0.001,1,0)+IF(AV172*1000000+SUM(X172,AP172)*10000+SUM(R172,AJ172)*100+SUM(L172,AD172)+0.002&gt;AW172*1000000+SUM(Y172,AQ172)*10000+SUM(S172,AK172)*100+SUM(M172,AE172)+0.001,1,0)=1,"C",""))))))&amp;IF(IF(AS172*1000000+SUM(U172,AM172)*10000+SUM(O172,AG172)*100+SUM(I172,AA172)+0.005&gt;AR172*1000000+SUM(T172,AL172)*10000+SUM(N172,AF172)*100+SUM(H172,Z172)+0.006,1,0)+IF(AT172*1000000+SUM(V172,AN172)*10000+SUM(P172,AH172)*100+SUM(J172,AB172)+0.004&gt;AR172*1000000+SUM(T172,AL172)*10000+SUM(N172,AF172)*100+SUM(H172,Z172)+0.006,1,0)+IF(AU172*1000000+SUM(W172,AO172)*10000+SUM(Q172,AI172)*100+SUM(K172,AC172)+0.003&gt;AR172*1000000+SUM(T172,AL172)*10000+SUM(N172,AF172)*100+SUM(H172,Z172)+0.006,1,0)+IF(AV172*1000000+SUM(X172,AP172)*10000+SUM(R172,AJ172)*100+SUM(L172,AD172)+0.002&gt;AR172*1000000+SUM(T172,AL172)*10000+SUM(N172,AF172)*100+SUM(H172,Z172)+0.006,1,0)+IF(AW172*1000000+SUM(Y172,AQ172)*10000+SUM(S172,AK172)*100+SUM(M172,AE172)+0.001&gt;AR172*1000000+SUM(T172,AL172)*10000+SUM(N172,AF172)*100+SUM(H172,Z172)+0.006,1,0)=2,"R",IF(IF(AR172*1000000+SUM(T172,AL172)*10000+SUM(N172,AF172)*100+SUM(H172,Z172)+0.006&gt;AS172*1000000+SUM(U172,AM172)*10000+SUM(O172,AG172)*100+SUM(I172,AA172)+0.005,1,0)+IF(AT172*1000000+SUM(V172,AN172)*10000+SUM(P172,AH172)*100+SUM(J172,AB172)+0.004&gt;AS172*1000000+SUM(U172,AM172)*10000+SUM(O172,AG172)*100+SUM(I172,AA172)+0.005,1,0)+IF(AU172*1000000+SUM(W172,AO172)*10000+SUM(Q172,AI172)*100+SUM(K172,AC172)+0.003&gt;AS172*1000000+SUM(U172,AM172)*10000+SUM(O172,AG172)*100+SUM(I172,AA172)+0.005,1,0)+IF(AV172*1000000+SUM(X172,AP172)*10000+SUM(R172,AJ172)*100+SUM(L172,AD172)+0.002&gt;AS172*1000000+SUM(U172,AM172)*10000+SUM(O172,AG172)*100+SUM(I172,AA172)+0.005,1,0)+IF(AW172*1000000+SUM(Y172,AQ172)*10000+SUM(S172,AK172)*100+SUM(M172,AE172)+0.001&gt;AS172*1000000+SUM(U172,AM172)*10000+SUM(O172,AG172)*100+SUM(I172,AA172)+0.005,1,0)=2,"I",IF(IF(AR172*1000000+SUM(T172,AL172)*10000+SUM(N172,AF172)*100+SUM(H172,Z172)+0.006&gt;AT172*1000000+SUM(V172,AN172)*10000+SUM(P172,AH172)*100+SUM(J172,AB172)+0.004,1,0)+IF(AS172*1000000+SUM(U172,AM172)*10000+SUM(O172,AG172)*100+SUM(I172,AA172)+0.005&gt;AT172*1000000+SUM(V172,AN172)*10000+SUM(P172,AH172)*100+SUM(J172,AB172)+0.004,1,0)+IF(AU172*1000000+SUM(W172,AO172)*10000+SUM(Q172,AI172)*100+SUM(K172,AC172)+0.003&gt;AT172*1000000+SUM(V172,AN172)*10000+SUM(P172,AH172)*100+SUM(J172,AB172)+0.004,1,0)+IF(AV172*1000000+SUM(X172,AP172)*10000+SUM(R172,AJ172)*100+SUM(L172,AD172)+0.002&gt;AT172*1000000+SUM(V172,AN172)*10000+SUM(P172,AH172)*100+SUM(J172,AB172)+0.004,1,0)+IF(AW172*1000000+SUM(Y172,AQ172)*10000+SUM(S172,AK172)*100+SUM(M172,AE172)+0.001&gt;AT172*1000000+SUM(V172,AN172)*10000+SUM(P172,AH172)*100+SUM(J172,AB172)+0.004,1,0)=2,"A",IF(IF(AR172*1000000+SUM(T172,AL172)*10000+SUM(N172,AF172)*100+SUM(H172,Z172)+0.006&gt;AU172*1000000+SUM(W172,AO172)*10000+SUM(Q172,AI172)*100+SUM(K172,AC172)+0.003,1,0)+IF(AS172*1000000+SUM(U172,AM172)*10000+SUM(O172,AG172)*100+SUM(I172,AA172)+0.005&gt;AU172*1000000+SUM(W172,AO172)*10000+SUM(Q172,AI172)*100+SUM(K172,AC172)+0.003,1,0)+IF(AT172*1000000+SUM(V172,AN172)*10000+SUM(P172,AH172)*100+SUM(J172,AB172)+0.004&gt;AU172*1000000+SUM(W172,AO172)*10000+SUM(Q172,AI172)*100+SUM(K172,AC172)+0.003,1,0)+IF(AV172*1000000+SUM(X172,AP172)*10000+SUM(R172,AJ172)*100+SUM(L172,AD172)+0.002&gt;AU172*1000000+SUM(W172,AO172)*10000+SUM(Q172,AI172)*100+SUM(K172,AC172)+0.003,1,0)+IF(AW172*1000000+SUM(Y172,AQ172)*10000+SUM(S172,AK172)*100+SUM(M172,AE172)+0.001&gt;AU172*1000000+SUM(W172,AO172)*10000+SUM(Q172,AI172)*100+SUM(K172,AC172)+0.003,1,0)=2,"S",IF(IF(AR172*1000000+SUM(T172,AL172)*10000+SUM(N172,AF172)*100+SUM(H172,Z172)+0.006&gt;AV172*1000000+SUM(X172,AP172)*10000+SUM(R172,AJ172)*100+SUM(L172,AD172)+0.002,1,0)+IF(AS172*1000000+SUM(U172,AM172)*10000+SUM(O172,AG172)*100+SUM(I172,AA172)+0.005&gt;AV172*1000000+SUM(X172,AP172)*10000+SUM(R172,AJ172)*100+SUM(L172,AD172)+0.002,1,0)+IF(AT172*1000000+SUM(V172,AN172)*10000+SUM(P172,AH172)*100+SUM(J172,AB172)+0.004&gt;AV172*1000000+SUM(X172,AP172)*10000+SUM(R172,AJ172)*100+SUM(L172,AD172)+0.002,1,0)+IF(AU172*1000000+SUM(W172,AO172)*10000+SUM(Q172,AI172)*100+SUM(K172,AC172)+0.003&gt;AV172*1000000+SUM(X172,AP172)*10000+SUM(R172,AJ172)*100+SUM(L172,AD172)+0.002,1,0)+IF(AW172*1000000+SUM(Y172,AQ172)*10000+SUM(S172,AK172)*100+SUM(M172,AE172)+0.001&gt;AV172*1000000+SUM(X172,AP172)*10000+SUM(R172,AJ172)*100+SUM(L172,AD172)+0.002,1,0)=2,"E",IF(IF(AR172*1000000+SUM(T172,AL172)*10000+SUM(N172,AF172)*100+SUM(H172,Z172)+0.006&gt;AW172*1000000+SUM(Y172,AQ172)*10000+SUM(S172,AK172)*100+SUM(M172,AE172)+0.001,1,0)+IF(AS172*1000000+SUM(U172,AM172)*10000+SUM(O172,AG172)*100+SUM(I172,AA172)+0.005&gt;AW172*1000000+SUM(Y172,AQ172)*10000+SUM(S172,AK172)*100+SUM(M172,AE172)+0.001,1,0)+IF(AT172*1000000+SUM(V172,AN172)*10000+SUM(P172,AH172)*100+SUM(J172,AB172)+0.004&gt;AW172*1000000+SUM(Y172,AQ172)*10000+SUM(S172,AK172)*100+SUM(M172,AE172)+0.001,1,0)+IF(AU172*1000000+SUM(W172,AO172)*10000+SUM(Q172,AI172)*100+SUM(K172,AC172)+0.003&gt;AW172*1000000+SUM(Y172,AQ172)*10000+SUM(S172,AK172)*100+SUM(M172,AE172)+0.001,1,0)+IF(AV172*1000000+SUM(X172,AP172)*10000+SUM(R172,AJ172)*100+SUM(L172,AD172)+0.002&gt;AW172*1000000+SUM(Y172,AQ172)*10000+SUM(S172,AK172)*100+SUM(M172,AE172)+0.001,1,0)=2,"C","")))))))</x:f>
      </x:c>
      <x:c r="AY172" s="27" t="str">
        <x:f>IF(C172="","",IF(LEFT(AX172,1)="R","นักปฏิบัติ",IF(LEFT(AX172,1)="I","นักคิดวิเคราะห์",IF(LEFT(AX172,1)="A","นักสร้างสรรค์",IF(LEFT(AX172,1)="S","ผู้เข้าใจผู้คน",IF(LEFT(AX172,1)="E","ผู้นำการเปลี่ยนแปลง","ผู้จัดระบบ"))))))</x:f>
      </x:c>
    </x:row>
    <x:row r="173">
      <x:c r="A173" s="27"/>
      <x:c r="B173" s="28"/>
      <x:c r="C173" s="27"/>
      <x:c r="D173" s="27"/>
      <x:c r="E173" s="27"/>
      <x:c r="F173" s="27"/>
      <x:c r="G173" s="27"/>
      <x:c r="H173" s="27"/>
      <x:c r="I173" s="27"/>
      <x:c r="J173" s="27"/>
      <x:c r="K173" s="27"/>
      <x:c r="L173" s="27"/>
      <x:c r="M173" s="27"/>
      <x:c r="N173" s="27"/>
      <x:c r="O173" s="27"/>
      <x:c r="P173" s="27"/>
      <x:c r="Q173" s="27"/>
      <x:c r="R173" s="27"/>
      <x:c r="S173" s="27"/>
      <x:c r="T173" s="27"/>
      <x:c r="U173" s="27"/>
      <x:c r="V173" s="27"/>
      <x:c r="W173" s="27"/>
      <x:c r="X173" s="27"/>
      <x:c r="Y173" s="27"/>
      <x:c r="Z173" s="27"/>
      <x:c r="AA173" s="27"/>
      <x:c r="AB173" s="27"/>
      <x:c r="AC173" s="27"/>
      <x:c r="AD173" s="27"/>
      <x:c r="AE173" s="27"/>
      <x:c r="AF173" s="27"/>
      <x:c r="AG173" s="27"/>
      <x:c r="AH173" s="27"/>
      <x:c r="AI173" s="27"/>
      <x:c r="AJ173" s="27"/>
      <x:c r="AK173" s="27"/>
      <x:c r="AL173" s="27"/>
      <x:c r="AM173" s="27"/>
      <x:c r="AN173" s="27"/>
      <x:c r="AO173" s="27"/>
      <x:c r="AP173" s="27"/>
      <x:c r="AQ173" s="27"/>
      <x:c r="AR173" s="27" t="str">
        <x:f>IF(C173="","",SUM(H173,N173,T173,Z173,AF173,AL173))</x:f>
      </x:c>
      <x:c r="AS173" s="27" t="str">
        <x:f>IF(C173="","",SUM(I173,O173,U173,AA173,AG173,AM173))</x:f>
      </x:c>
      <x:c r="AT173" s="27" t="str">
        <x:f>IF(C173="","",SUM(J173,P173,V173,AB173,AH173,AN173))</x:f>
      </x:c>
      <x:c r="AU173" s="27" t="str">
        <x:f>IF(C173="","",SUM(K173,Q173,W173,AC173,AI173,AO173))</x:f>
      </x:c>
      <x:c r="AV173" s="27" t="str">
        <x:f>IF(C173="","",SUM(L173,R173,X173,AD173,AJ173,AP173))</x:f>
      </x:c>
      <x:c r="AW173" s="27" t="str">
        <x:f>IF(C173="","",SUM(M173,S173,Y173,AE173,AK173,AQ173))</x:f>
      </x:c>
      <x:c r="AX173" s="27" t="str">
        <x:f>IF(C173="","",IF(IF(AS173*1000000+SUM(U173,AM173)*10000+SUM(O173,AG173)*100+SUM(I173,AA173)+0.005&gt;AR173*1000000+SUM(T173,AL173)*10000+SUM(N173,AF173)*100+SUM(H173,Z173)+0.006,1,0)+IF(AT173*1000000+SUM(V173,AN173)*10000+SUM(P173,AH173)*100+SUM(J173,AB173)+0.004&gt;AR173*1000000+SUM(T173,AL173)*10000+SUM(N173,AF173)*100+SUM(H173,Z173)+0.006,1,0)+IF(AU173*1000000+SUM(W173,AO173)*10000+SUM(Q173,AI173)*100+SUM(K173,AC173)+0.003&gt;AR173*1000000+SUM(T173,AL173)*10000+SUM(N173,AF173)*100+SUM(H173,Z173)+0.006,1,0)+IF(AV173*1000000+SUM(X173,AP173)*10000+SUM(R173,AJ173)*100+SUM(L173,AD173)+0.002&gt;AR173*1000000+SUM(T173,AL173)*10000+SUM(N173,AF173)*100+SUM(H173,Z173)+0.006,1,0)+IF(AW173*1000000+SUM(Y173,AQ173)*10000+SUM(S173,AK173)*100+SUM(M173,AE173)+0.001&gt;AR173*1000000+SUM(T173,AL173)*10000+SUM(N173,AF173)*100+SUM(H173,Z173)+0.006,1,0)=0,"R",IF(IF(AR173*1000000+SUM(T173,AL173)*10000+SUM(N173,AF173)*100+SUM(H173,Z173)+0.006&gt;AS173*1000000+SUM(U173,AM173)*10000+SUM(O173,AG173)*100+SUM(I173,AA173)+0.005,1,0)+IF(AT173*1000000+SUM(V173,AN173)*10000+SUM(P173,AH173)*100+SUM(J173,AB173)+0.004&gt;AS173*1000000+SUM(U173,AM173)*10000+SUM(O173,AG173)*100+SUM(I173,AA173)+0.005,1,0)+IF(AU173*1000000+SUM(W173,AO173)*10000+SUM(Q173,AI173)*100+SUM(K173,AC173)+0.003&gt;AS173*1000000+SUM(U173,AM173)*10000+SUM(O173,AG173)*100+SUM(I173,AA173)+0.005,1,0)+IF(AV173*1000000+SUM(X173,AP173)*10000+SUM(R173,AJ173)*100+SUM(L173,AD173)+0.002&gt;AS173*1000000+SUM(U173,AM173)*10000+SUM(O173,AG173)*100+SUM(I173,AA173)+0.005,1,0)+IF(AW173*1000000+SUM(Y173,AQ173)*10000+SUM(S173,AK173)*100+SUM(M173,AE173)+0.001&gt;AS173*1000000+SUM(U173,AM173)*10000+SUM(O173,AG173)*100+SUM(I173,AA173)+0.005,1,0)=0,"I",IF(IF(AR173*1000000+SUM(T173,AL173)*10000+SUM(N173,AF173)*100+SUM(H173,Z173)+0.006&gt;AT173*1000000+SUM(V173,AN173)*10000+SUM(P173,AH173)*100+SUM(J173,AB173)+0.004,1,0)+IF(AS173*1000000+SUM(U173,AM173)*10000+SUM(O173,AG173)*100+SUM(I173,AA173)+0.005&gt;AT173*1000000+SUM(V173,AN173)*10000+SUM(P173,AH173)*100+SUM(J173,AB173)+0.004,1,0)+IF(AU173*1000000+SUM(W173,AO173)*10000+SUM(Q173,AI173)*100+SUM(K173,AC173)+0.003&gt;AT173*1000000+SUM(V173,AN173)*10000+SUM(P173,AH173)*100+SUM(J173,AB173)+0.004,1,0)+IF(AV173*1000000+SUM(X173,AP173)*10000+SUM(R173,AJ173)*100+SUM(L173,AD173)+0.002&gt;AT173*1000000+SUM(V173,AN173)*10000+SUM(P173,AH173)*100+SUM(J173,AB173)+0.004,1,0)+IF(AW173*1000000+SUM(Y173,AQ173)*10000+SUM(S173,AK173)*100+SUM(M173,AE173)+0.001&gt;AT173*1000000+SUM(V173,AN173)*10000+SUM(P173,AH173)*100+SUM(J173,AB173)+0.004,1,0)=0,"A",IF(IF(AR173*1000000+SUM(T173,AL173)*10000+SUM(N173,AF173)*100+SUM(H173,Z173)+0.006&gt;AU173*1000000+SUM(W173,AO173)*10000+SUM(Q173,AI173)*100+SUM(K173,AC173)+0.003,1,0)+IF(AS173*1000000+SUM(U173,AM173)*10000+SUM(O173,AG173)*100+SUM(I173,AA173)+0.005&gt;AU173*1000000+SUM(W173,AO173)*10000+SUM(Q173,AI173)*100+SUM(K173,AC173)+0.003,1,0)+IF(AT173*1000000+SUM(V173,AN173)*10000+SUM(P173,AH173)*100+SUM(J173,AB173)+0.004&gt;AU173*1000000+SUM(W173,AO173)*10000+SUM(Q173,AI173)*100+SUM(K173,AC173)+0.003,1,0)+IF(AV173*1000000+SUM(X173,AP173)*10000+SUM(R173,AJ173)*100+SUM(L173,AD173)+0.002&gt;AU173*1000000+SUM(W173,AO173)*10000+SUM(Q173,AI173)*100+SUM(K173,AC173)+0.003,1,0)+IF(AW173*1000000+SUM(Y173,AQ173)*10000+SUM(S173,AK173)*100+SUM(M173,AE173)+0.001&gt;AU173*1000000+SUM(W173,AO173)*10000+SUM(Q173,AI173)*100+SUM(K173,AC173)+0.003,1,0)=0,"S",IF(IF(AR173*1000000+SUM(T173,AL173)*10000+SUM(N173,AF173)*100+SUM(H173,Z173)+0.006&gt;AV173*1000000+SUM(X173,AP173)*10000+SUM(R173,AJ173)*100+SUM(L173,AD173)+0.002,1,0)+IF(AS173*1000000+SUM(U173,AM173)*10000+SUM(O173,AG173)*100+SUM(I173,AA173)+0.005&gt;AV173*1000000+SUM(X173,AP173)*10000+SUM(R173,AJ173)*100+SUM(L173,AD173)+0.002,1,0)+IF(AT173*1000000+SUM(V173,AN173)*10000+SUM(P173,AH173)*100+SUM(J173,AB173)+0.004&gt;AV173*1000000+SUM(X173,AP173)*10000+SUM(R173,AJ173)*100+SUM(L173,AD173)+0.002,1,0)+IF(AU173*1000000+SUM(W173,AO173)*10000+SUM(Q173,AI173)*100+SUM(K173,AC173)+0.003&gt;AV173*1000000+SUM(X173,AP173)*10000+SUM(R173,AJ173)*100+SUM(L173,AD173)+0.002,1,0)+IF(AW173*1000000+SUM(Y173,AQ173)*10000+SUM(S173,AK173)*100+SUM(M173,AE173)+0.001&gt;AV173*1000000+SUM(X173,AP173)*10000+SUM(R173,AJ173)*100+SUM(L173,AD173)+0.002,1,0)=0,"E",IF(IF(AR173*1000000+SUM(T173,AL173)*10000+SUM(N173,AF173)*100+SUM(H173,Z173)+0.006&gt;AW173*1000000+SUM(Y173,AQ173)*10000+SUM(S173,AK173)*100+SUM(M173,AE173)+0.001,1,0)+IF(AS173*1000000+SUM(U173,AM173)*10000+SUM(O173,AG173)*100+SUM(I173,AA173)+0.005&gt;AW173*1000000+SUM(Y173,AQ173)*10000+SUM(S173,AK173)*100+SUM(M173,AE173)+0.001,1,0)+IF(AT173*1000000+SUM(V173,AN173)*10000+SUM(P173,AH173)*100+SUM(J173,AB173)+0.004&gt;AW173*1000000+SUM(Y173,AQ173)*10000+SUM(S173,AK173)*100+SUM(M173,AE173)+0.001,1,0)+IF(AU173*1000000+SUM(W173,AO173)*10000+SUM(Q173,AI173)*100+SUM(K173,AC173)+0.003&gt;AW173*1000000+SUM(Y173,AQ173)*10000+SUM(S173,AK173)*100+SUM(M173,AE173)+0.001,1,0)+IF(AV173*1000000+SUM(X173,AP173)*10000+SUM(R173,AJ173)*100+SUM(L173,AD173)+0.002&gt;AW173*1000000+SUM(Y173,AQ173)*10000+SUM(S173,AK173)*100+SUM(M173,AE173)+0.001,1,0)=0,"C",""))))))&amp;IF(IF(AS173*1000000+SUM(U173,AM173)*10000+SUM(O173,AG173)*100+SUM(I173,AA173)+0.005&gt;AR173*1000000+SUM(T173,AL173)*10000+SUM(N173,AF173)*100+SUM(H173,Z173)+0.006,1,0)+IF(AT173*1000000+SUM(V173,AN173)*10000+SUM(P173,AH173)*100+SUM(J173,AB173)+0.004&gt;AR173*1000000+SUM(T173,AL173)*10000+SUM(N173,AF173)*100+SUM(H173,Z173)+0.006,1,0)+IF(AU173*1000000+SUM(W173,AO173)*10000+SUM(Q173,AI173)*100+SUM(K173,AC173)+0.003&gt;AR173*1000000+SUM(T173,AL173)*10000+SUM(N173,AF173)*100+SUM(H173,Z173)+0.006,1,0)+IF(AV173*1000000+SUM(X173,AP173)*10000+SUM(R173,AJ173)*100+SUM(L173,AD173)+0.002&gt;AR173*1000000+SUM(T173,AL173)*10000+SUM(N173,AF173)*100+SUM(H173,Z173)+0.006,1,0)+IF(AW173*1000000+SUM(Y173,AQ173)*10000+SUM(S173,AK173)*100+SUM(M173,AE173)+0.001&gt;AR173*1000000+SUM(T173,AL173)*10000+SUM(N173,AF173)*100+SUM(H173,Z173)+0.006,1,0)=1,"R",IF(IF(AR173*1000000+SUM(T173,AL173)*10000+SUM(N173,AF173)*100+SUM(H173,Z173)+0.006&gt;AS173*1000000+SUM(U173,AM173)*10000+SUM(O173,AG173)*100+SUM(I173,AA173)+0.005,1,0)+IF(AT173*1000000+SUM(V173,AN173)*10000+SUM(P173,AH173)*100+SUM(J173,AB173)+0.004&gt;AS173*1000000+SUM(U173,AM173)*10000+SUM(O173,AG173)*100+SUM(I173,AA173)+0.005,1,0)+IF(AU173*1000000+SUM(W173,AO173)*10000+SUM(Q173,AI173)*100+SUM(K173,AC173)+0.003&gt;AS173*1000000+SUM(U173,AM173)*10000+SUM(O173,AG173)*100+SUM(I173,AA173)+0.005,1,0)+IF(AV173*1000000+SUM(X173,AP173)*10000+SUM(R173,AJ173)*100+SUM(L173,AD173)+0.002&gt;AS173*1000000+SUM(U173,AM173)*10000+SUM(O173,AG173)*100+SUM(I173,AA173)+0.005,1,0)+IF(AW173*1000000+SUM(Y173,AQ173)*10000+SUM(S173,AK173)*100+SUM(M173,AE173)+0.001&gt;AS173*1000000+SUM(U173,AM173)*10000+SUM(O173,AG173)*100+SUM(I173,AA173)+0.005,1,0)=1,"I",IF(IF(AR173*1000000+SUM(T173,AL173)*10000+SUM(N173,AF173)*100+SUM(H173,Z173)+0.006&gt;AT173*1000000+SUM(V173,AN173)*10000+SUM(P173,AH173)*100+SUM(J173,AB173)+0.004,1,0)+IF(AS173*1000000+SUM(U173,AM173)*10000+SUM(O173,AG173)*100+SUM(I173,AA173)+0.005&gt;AT173*1000000+SUM(V173,AN173)*10000+SUM(P173,AH173)*100+SUM(J173,AB173)+0.004,1,0)+IF(AU173*1000000+SUM(W173,AO173)*10000+SUM(Q173,AI173)*100+SUM(K173,AC173)+0.003&gt;AT173*1000000+SUM(V173,AN173)*10000+SUM(P173,AH173)*100+SUM(J173,AB173)+0.004,1,0)+IF(AV173*1000000+SUM(X173,AP173)*10000+SUM(R173,AJ173)*100+SUM(L173,AD173)+0.002&gt;AT173*1000000+SUM(V173,AN173)*10000+SUM(P173,AH173)*100+SUM(J173,AB173)+0.004,1,0)+IF(AW173*1000000+SUM(Y173,AQ173)*10000+SUM(S173,AK173)*100+SUM(M173,AE173)+0.001&gt;AT173*1000000+SUM(V173,AN173)*10000+SUM(P173,AH173)*100+SUM(J173,AB173)+0.004,1,0)=1,"A",IF(IF(AR173*1000000+SUM(T173,AL173)*10000+SUM(N173,AF173)*100+SUM(H173,Z173)+0.006&gt;AU173*1000000+SUM(W173,AO173)*10000+SUM(Q173,AI173)*100+SUM(K173,AC173)+0.003,1,0)+IF(AS173*1000000+SUM(U173,AM173)*10000+SUM(O173,AG173)*100+SUM(I173,AA173)+0.005&gt;AU173*1000000+SUM(W173,AO173)*10000+SUM(Q173,AI173)*100+SUM(K173,AC173)+0.003,1,0)+IF(AT173*1000000+SUM(V173,AN173)*10000+SUM(P173,AH173)*100+SUM(J173,AB173)+0.004&gt;AU173*1000000+SUM(W173,AO173)*10000+SUM(Q173,AI173)*100+SUM(K173,AC173)+0.003,1,0)+IF(AV173*1000000+SUM(X173,AP173)*10000+SUM(R173,AJ173)*100+SUM(L173,AD173)+0.002&gt;AU173*1000000+SUM(W173,AO173)*10000+SUM(Q173,AI173)*100+SUM(K173,AC173)+0.003,1,0)+IF(AW173*1000000+SUM(Y173,AQ173)*10000+SUM(S173,AK173)*100+SUM(M173,AE173)+0.001&gt;AU173*1000000+SUM(W173,AO173)*10000+SUM(Q173,AI173)*100+SUM(K173,AC173)+0.003,1,0)=1,"S",IF(IF(AR173*1000000+SUM(T173,AL173)*10000+SUM(N173,AF173)*100+SUM(H173,Z173)+0.006&gt;AV173*1000000+SUM(X173,AP173)*10000+SUM(R173,AJ173)*100+SUM(L173,AD173)+0.002,1,0)+IF(AS173*1000000+SUM(U173,AM173)*10000+SUM(O173,AG173)*100+SUM(I173,AA173)+0.005&gt;AV173*1000000+SUM(X173,AP173)*10000+SUM(R173,AJ173)*100+SUM(L173,AD173)+0.002,1,0)+IF(AT173*1000000+SUM(V173,AN173)*10000+SUM(P173,AH173)*100+SUM(J173,AB173)+0.004&gt;AV173*1000000+SUM(X173,AP173)*10000+SUM(R173,AJ173)*100+SUM(L173,AD173)+0.002,1,0)+IF(AU173*1000000+SUM(W173,AO173)*10000+SUM(Q173,AI173)*100+SUM(K173,AC173)+0.003&gt;AV173*1000000+SUM(X173,AP173)*10000+SUM(R173,AJ173)*100+SUM(L173,AD173)+0.002,1,0)+IF(AW173*1000000+SUM(Y173,AQ173)*10000+SUM(S173,AK173)*100+SUM(M173,AE173)+0.001&gt;AV173*1000000+SUM(X173,AP173)*10000+SUM(R173,AJ173)*100+SUM(L173,AD173)+0.002,1,0)=1,"E",IF(IF(AR173*1000000+SUM(T173,AL173)*10000+SUM(N173,AF173)*100+SUM(H173,Z173)+0.006&gt;AW173*1000000+SUM(Y173,AQ173)*10000+SUM(S173,AK173)*100+SUM(M173,AE173)+0.001,1,0)+IF(AS173*1000000+SUM(U173,AM173)*10000+SUM(O173,AG173)*100+SUM(I173,AA173)+0.005&gt;AW173*1000000+SUM(Y173,AQ173)*10000+SUM(S173,AK173)*100+SUM(M173,AE173)+0.001,1,0)+IF(AT173*1000000+SUM(V173,AN173)*10000+SUM(P173,AH173)*100+SUM(J173,AB173)+0.004&gt;AW173*1000000+SUM(Y173,AQ173)*10000+SUM(S173,AK173)*100+SUM(M173,AE173)+0.001,1,0)+IF(AU173*1000000+SUM(W173,AO173)*10000+SUM(Q173,AI173)*100+SUM(K173,AC173)+0.003&gt;AW173*1000000+SUM(Y173,AQ173)*10000+SUM(S173,AK173)*100+SUM(M173,AE173)+0.001,1,0)+IF(AV173*1000000+SUM(X173,AP173)*10000+SUM(R173,AJ173)*100+SUM(L173,AD173)+0.002&gt;AW173*1000000+SUM(Y173,AQ173)*10000+SUM(S173,AK173)*100+SUM(M173,AE173)+0.001,1,0)=1,"C",""))))))&amp;IF(IF(AS173*1000000+SUM(U173,AM173)*10000+SUM(O173,AG173)*100+SUM(I173,AA173)+0.005&gt;AR173*1000000+SUM(T173,AL173)*10000+SUM(N173,AF173)*100+SUM(H173,Z173)+0.006,1,0)+IF(AT173*1000000+SUM(V173,AN173)*10000+SUM(P173,AH173)*100+SUM(J173,AB173)+0.004&gt;AR173*1000000+SUM(T173,AL173)*10000+SUM(N173,AF173)*100+SUM(H173,Z173)+0.006,1,0)+IF(AU173*1000000+SUM(W173,AO173)*10000+SUM(Q173,AI173)*100+SUM(K173,AC173)+0.003&gt;AR173*1000000+SUM(T173,AL173)*10000+SUM(N173,AF173)*100+SUM(H173,Z173)+0.006,1,0)+IF(AV173*1000000+SUM(X173,AP173)*10000+SUM(R173,AJ173)*100+SUM(L173,AD173)+0.002&gt;AR173*1000000+SUM(T173,AL173)*10000+SUM(N173,AF173)*100+SUM(H173,Z173)+0.006,1,0)+IF(AW173*1000000+SUM(Y173,AQ173)*10000+SUM(S173,AK173)*100+SUM(M173,AE173)+0.001&gt;AR173*1000000+SUM(T173,AL173)*10000+SUM(N173,AF173)*100+SUM(H173,Z173)+0.006,1,0)=2,"R",IF(IF(AR173*1000000+SUM(T173,AL173)*10000+SUM(N173,AF173)*100+SUM(H173,Z173)+0.006&gt;AS173*1000000+SUM(U173,AM173)*10000+SUM(O173,AG173)*100+SUM(I173,AA173)+0.005,1,0)+IF(AT173*1000000+SUM(V173,AN173)*10000+SUM(P173,AH173)*100+SUM(J173,AB173)+0.004&gt;AS173*1000000+SUM(U173,AM173)*10000+SUM(O173,AG173)*100+SUM(I173,AA173)+0.005,1,0)+IF(AU173*1000000+SUM(W173,AO173)*10000+SUM(Q173,AI173)*100+SUM(K173,AC173)+0.003&gt;AS173*1000000+SUM(U173,AM173)*10000+SUM(O173,AG173)*100+SUM(I173,AA173)+0.005,1,0)+IF(AV173*1000000+SUM(X173,AP173)*10000+SUM(R173,AJ173)*100+SUM(L173,AD173)+0.002&gt;AS173*1000000+SUM(U173,AM173)*10000+SUM(O173,AG173)*100+SUM(I173,AA173)+0.005,1,0)+IF(AW173*1000000+SUM(Y173,AQ173)*10000+SUM(S173,AK173)*100+SUM(M173,AE173)+0.001&gt;AS173*1000000+SUM(U173,AM173)*10000+SUM(O173,AG173)*100+SUM(I173,AA173)+0.005,1,0)=2,"I",IF(IF(AR173*1000000+SUM(T173,AL173)*10000+SUM(N173,AF173)*100+SUM(H173,Z173)+0.006&gt;AT173*1000000+SUM(V173,AN173)*10000+SUM(P173,AH173)*100+SUM(J173,AB173)+0.004,1,0)+IF(AS173*1000000+SUM(U173,AM173)*10000+SUM(O173,AG173)*100+SUM(I173,AA173)+0.005&gt;AT173*1000000+SUM(V173,AN173)*10000+SUM(P173,AH173)*100+SUM(J173,AB173)+0.004,1,0)+IF(AU173*1000000+SUM(W173,AO173)*10000+SUM(Q173,AI173)*100+SUM(K173,AC173)+0.003&gt;AT173*1000000+SUM(V173,AN173)*10000+SUM(P173,AH173)*100+SUM(J173,AB173)+0.004,1,0)+IF(AV173*1000000+SUM(X173,AP173)*10000+SUM(R173,AJ173)*100+SUM(L173,AD173)+0.002&gt;AT173*1000000+SUM(V173,AN173)*10000+SUM(P173,AH173)*100+SUM(J173,AB173)+0.004,1,0)+IF(AW173*1000000+SUM(Y173,AQ173)*10000+SUM(S173,AK173)*100+SUM(M173,AE173)+0.001&gt;AT173*1000000+SUM(V173,AN173)*10000+SUM(P173,AH173)*100+SUM(J173,AB173)+0.004,1,0)=2,"A",IF(IF(AR173*1000000+SUM(T173,AL173)*10000+SUM(N173,AF173)*100+SUM(H173,Z173)+0.006&gt;AU173*1000000+SUM(W173,AO173)*10000+SUM(Q173,AI173)*100+SUM(K173,AC173)+0.003,1,0)+IF(AS173*1000000+SUM(U173,AM173)*10000+SUM(O173,AG173)*100+SUM(I173,AA173)+0.005&gt;AU173*1000000+SUM(W173,AO173)*10000+SUM(Q173,AI173)*100+SUM(K173,AC173)+0.003,1,0)+IF(AT173*1000000+SUM(V173,AN173)*10000+SUM(P173,AH173)*100+SUM(J173,AB173)+0.004&gt;AU173*1000000+SUM(W173,AO173)*10000+SUM(Q173,AI173)*100+SUM(K173,AC173)+0.003,1,0)+IF(AV173*1000000+SUM(X173,AP173)*10000+SUM(R173,AJ173)*100+SUM(L173,AD173)+0.002&gt;AU173*1000000+SUM(W173,AO173)*10000+SUM(Q173,AI173)*100+SUM(K173,AC173)+0.003,1,0)+IF(AW173*1000000+SUM(Y173,AQ173)*10000+SUM(S173,AK173)*100+SUM(M173,AE173)+0.001&gt;AU173*1000000+SUM(W173,AO173)*10000+SUM(Q173,AI173)*100+SUM(K173,AC173)+0.003,1,0)=2,"S",IF(IF(AR173*1000000+SUM(T173,AL173)*10000+SUM(N173,AF173)*100+SUM(H173,Z173)+0.006&gt;AV173*1000000+SUM(X173,AP173)*10000+SUM(R173,AJ173)*100+SUM(L173,AD173)+0.002,1,0)+IF(AS173*1000000+SUM(U173,AM173)*10000+SUM(O173,AG173)*100+SUM(I173,AA173)+0.005&gt;AV173*1000000+SUM(X173,AP173)*10000+SUM(R173,AJ173)*100+SUM(L173,AD173)+0.002,1,0)+IF(AT173*1000000+SUM(V173,AN173)*10000+SUM(P173,AH173)*100+SUM(J173,AB173)+0.004&gt;AV173*1000000+SUM(X173,AP173)*10000+SUM(R173,AJ173)*100+SUM(L173,AD173)+0.002,1,0)+IF(AU173*1000000+SUM(W173,AO173)*10000+SUM(Q173,AI173)*100+SUM(K173,AC173)+0.003&gt;AV173*1000000+SUM(X173,AP173)*10000+SUM(R173,AJ173)*100+SUM(L173,AD173)+0.002,1,0)+IF(AW173*1000000+SUM(Y173,AQ173)*10000+SUM(S173,AK173)*100+SUM(M173,AE173)+0.001&gt;AV173*1000000+SUM(X173,AP173)*10000+SUM(R173,AJ173)*100+SUM(L173,AD173)+0.002,1,0)=2,"E",IF(IF(AR173*1000000+SUM(T173,AL173)*10000+SUM(N173,AF173)*100+SUM(H173,Z173)+0.006&gt;AW173*1000000+SUM(Y173,AQ173)*10000+SUM(S173,AK173)*100+SUM(M173,AE173)+0.001,1,0)+IF(AS173*1000000+SUM(U173,AM173)*10000+SUM(O173,AG173)*100+SUM(I173,AA173)+0.005&gt;AW173*1000000+SUM(Y173,AQ173)*10000+SUM(S173,AK173)*100+SUM(M173,AE173)+0.001,1,0)+IF(AT173*1000000+SUM(V173,AN173)*10000+SUM(P173,AH173)*100+SUM(J173,AB173)+0.004&gt;AW173*1000000+SUM(Y173,AQ173)*10000+SUM(S173,AK173)*100+SUM(M173,AE173)+0.001,1,0)+IF(AU173*1000000+SUM(W173,AO173)*10000+SUM(Q173,AI173)*100+SUM(K173,AC173)+0.003&gt;AW173*1000000+SUM(Y173,AQ173)*10000+SUM(S173,AK173)*100+SUM(M173,AE173)+0.001,1,0)+IF(AV173*1000000+SUM(X173,AP173)*10000+SUM(R173,AJ173)*100+SUM(L173,AD173)+0.002&gt;AW173*1000000+SUM(Y173,AQ173)*10000+SUM(S173,AK173)*100+SUM(M173,AE173)+0.001,1,0)=2,"C","")))))))</x:f>
      </x:c>
      <x:c r="AY173" s="27" t="str">
        <x:f>IF(C173="","",IF(LEFT(AX173,1)="R","นักปฏิบัติ",IF(LEFT(AX173,1)="I","นักคิดวิเคราะห์",IF(LEFT(AX173,1)="A","นักสร้างสรรค์",IF(LEFT(AX173,1)="S","ผู้เข้าใจผู้คน",IF(LEFT(AX173,1)="E","ผู้นำการเปลี่ยนแปลง","ผู้จัดระบบ"))))))</x:f>
      </x:c>
    </x:row>
    <x:row r="174">
      <x:c r="A174" s="27"/>
      <x:c r="B174" s="28"/>
      <x:c r="C174" s="27"/>
      <x:c r="D174" s="27"/>
      <x:c r="E174" s="27"/>
      <x:c r="F174" s="27"/>
      <x:c r="G174" s="27"/>
      <x:c r="H174" s="27"/>
      <x:c r="I174" s="27"/>
      <x:c r="J174" s="27"/>
      <x:c r="K174" s="27"/>
      <x:c r="L174" s="27"/>
      <x:c r="M174" s="27"/>
      <x:c r="N174" s="27"/>
      <x:c r="O174" s="27"/>
      <x:c r="P174" s="27"/>
      <x:c r="Q174" s="27"/>
      <x:c r="R174" s="27"/>
      <x:c r="S174" s="27"/>
      <x:c r="T174" s="27"/>
      <x:c r="U174" s="27"/>
      <x:c r="V174" s="27"/>
      <x:c r="W174" s="27"/>
      <x:c r="X174" s="27"/>
      <x:c r="Y174" s="27"/>
      <x:c r="Z174" s="27"/>
      <x:c r="AA174" s="27"/>
      <x:c r="AB174" s="27"/>
      <x:c r="AC174" s="27"/>
      <x:c r="AD174" s="27"/>
      <x:c r="AE174" s="27"/>
      <x:c r="AF174" s="27"/>
      <x:c r="AG174" s="27"/>
      <x:c r="AH174" s="27"/>
      <x:c r="AI174" s="27"/>
      <x:c r="AJ174" s="27"/>
      <x:c r="AK174" s="27"/>
      <x:c r="AL174" s="27"/>
      <x:c r="AM174" s="27"/>
      <x:c r="AN174" s="27"/>
      <x:c r="AO174" s="27"/>
      <x:c r="AP174" s="27"/>
      <x:c r="AQ174" s="27"/>
      <x:c r="AR174" s="27" t="str">
        <x:f>IF(C174="","",SUM(H174,N174,T174,Z174,AF174,AL174))</x:f>
      </x:c>
      <x:c r="AS174" s="27" t="str">
        <x:f>IF(C174="","",SUM(I174,O174,U174,AA174,AG174,AM174))</x:f>
      </x:c>
      <x:c r="AT174" s="27" t="str">
        <x:f>IF(C174="","",SUM(J174,P174,V174,AB174,AH174,AN174))</x:f>
      </x:c>
      <x:c r="AU174" s="27" t="str">
        <x:f>IF(C174="","",SUM(K174,Q174,W174,AC174,AI174,AO174))</x:f>
      </x:c>
      <x:c r="AV174" s="27" t="str">
        <x:f>IF(C174="","",SUM(L174,R174,X174,AD174,AJ174,AP174))</x:f>
      </x:c>
      <x:c r="AW174" s="27" t="str">
        <x:f>IF(C174="","",SUM(M174,S174,Y174,AE174,AK174,AQ174))</x:f>
      </x:c>
      <x:c r="AX174" s="27" t="str">
        <x:f>IF(C174="","",IF(IF(AS174*1000000+SUM(U174,AM174)*10000+SUM(O174,AG174)*100+SUM(I174,AA174)+0.005&gt;AR174*1000000+SUM(T174,AL174)*10000+SUM(N174,AF174)*100+SUM(H174,Z174)+0.006,1,0)+IF(AT174*1000000+SUM(V174,AN174)*10000+SUM(P174,AH174)*100+SUM(J174,AB174)+0.004&gt;AR174*1000000+SUM(T174,AL174)*10000+SUM(N174,AF174)*100+SUM(H174,Z174)+0.006,1,0)+IF(AU174*1000000+SUM(W174,AO174)*10000+SUM(Q174,AI174)*100+SUM(K174,AC174)+0.003&gt;AR174*1000000+SUM(T174,AL174)*10000+SUM(N174,AF174)*100+SUM(H174,Z174)+0.006,1,0)+IF(AV174*1000000+SUM(X174,AP174)*10000+SUM(R174,AJ174)*100+SUM(L174,AD174)+0.002&gt;AR174*1000000+SUM(T174,AL174)*10000+SUM(N174,AF174)*100+SUM(H174,Z174)+0.006,1,0)+IF(AW174*1000000+SUM(Y174,AQ174)*10000+SUM(S174,AK174)*100+SUM(M174,AE174)+0.001&gt;AR174*1000000+SUM(T174,AL174)*10000+SUM(N174,AF174)*100+SUM(H174,Z174)+0.006,1,0)=0,"R",IF(IF(AR174*1000000+SUM(T174,AL174)*10000+SUM(N174,AF174)*100+SUM(H174,Z174)+0.006&gt;AS174*1000000+SUM(U174,AM174)*10000+SUM(O174,AG174)*100+SUM(I174,AA174)+0.005,1,0)+IF(AT174*1000000+SUM(V174,AN174)*10000+SUM(P174,AH174)*100+SUM(J174,AB174)+0.004&gt;AS174*1000000+SUM(U174,AM174)*10000+SUM(O174,AG174)*100+SUM(I174,AA174)+0.005,1,0)+IF(AU174*1000000+SUM(W174,AO174)*10000+SUM(Q174,AI174)*100+SUM(K174,AC174)+0.003&gt;AS174*1000000+SUM(U174,AM174)*10000+SUM(O174,AG174)*100+SUM(I174,AA174)+0.005,1,0)+IF(AV174*1000000+SUM(X174,AP174)*10000+SUM(R174,AJ174)*100+SUM(L174,AD174)+0.002&gt;AS174*1000000+SUM(U174,AM174)*10000+SUM(O174,AG174)*100+SUM(I174,AA174)+0.005,1,0)+IF(AW174*1000000+SUM(Y174,AQ174)*10000+SUM(S174,AK174)*100+SUM(M174,AE174)+0.001&gt;AS174*1000000+SUM(U174,AM174)*10000+SUM(O174,AG174)*100+SUM(I174,AA174)+0.005,1,0)=0,"I",IF(IF(AR174*1000000+SUM(T174,AL174)*10000+SUM(N174,AF174)*100+SUM(H174,Z174)+0.006&gt;AT174*1000000+SUM(V174,AN174)*10000+SUM(P174,AH174)*100+SUM(J174,AB174)+0.004,1,0)+IF(AS174*1000000+SUM(U174,AM174)*10000+SUM(O174,AG174)*100+SUM(I174,AA174)+0.005&gt;AT174*1000000+SUM(V174,AN174)*10000+SUM(P174,AH174)*100+SUM(J174,AB174)+0.004,1,0)+IF(AU174*1000000+SUM(W174,AO174)*10000+SUM(Q174,AI174)*100+SUM(K174,AC174)+0.003&gt;AT174*1000000+SUM(V174,AN174)*10000+SUM(P174,AH174)*100+SUM(J174,AB174)+0.004,1,0)+IF(AV174*1000000+SUM(X174,AP174)*10000+SUM(R174,AJ174)*100+SUM(L174,AD174)+0.002&gt;AT174*1000000+SUM(V174,AN174)*10000+SUM(P174,AH174)*100+SUM(J174,AB174)+0.004,1,0)+IF(AW174*1000000+SUM(Y174,AQ174)*10000+SUM(S174,AK174)*100+SUM(M174,AE174)+0.001&gt;AT174*1000000+SUM(V174,AN174)*10000+SUM(P174,AH174)*100+SUM(J174,AB174)+0.004,1,0)=0,"A",IF(IF(AR174*1000000+SUM(T174,AL174)*10000+SUM(N174,AF174)*100+SUM(H174,Z174)+0.006&gt;AU174*1000000+SUM(W174,AO174)*10000+SUM(Q174,AI174)*100+SUM(K174,AC174)+0.003,1,0)+IF(AS174*1000000+SUM(U174,AM174)*10000+SUM(O174,AG174)*100+SUM(I174,AA174)+0.005&gt;AU174*1000000+SUM(W174,AO174)*10000+SUM(Q174,AI174)*100+SUM(K174,AC174)+0.003,1,0)+IF(AT174*1000000+SUM(V174,AN174)*10000+SUM(P174,AH174)*100+SUM(J174,AB174)+0.004&gt;AU174*1000000+SUM(W174,AO174)*10000+SUM(Q174,AI174)*100+SUM(K174,AC174)+0.003,1,0)+IF(AV174*1000000+SUM(X174,AP174)*10000+SUM(R174,AJ174)*100+SUM(L174,AD174)+0.002&gt;AU174*1000000+SUM(W174,AO174)*10000+SUM(Q174,AI174)*100+SUM(K174,AC174)+0.003,1,0)+IF(AW174*1000000+SUM(Y174,AQ174)*10000+SUM(S174,AK174)*100+SUM(M174,AE174)+0.001&gt;AU174*1000000+SUM(W174,AO174)*10000+SUM(Q174,AI174)*100+SUM(K174,AC174)+0.003,1,0)=0,"S",IF(IF(AR174*1000000+SUM(T174,AL174)*10000+SUM(N174,AF174)*100+SUM(H174,Z174)+0.006&gt;AV174*1000000+SUM(X174,AP174)*10000+SUM(R174,AJ174)*100+SUM(L174,AD174)+0.002,1,0)+IF(AS174*1000000+SUM(U174,AM174)*10000+SUM(O174,AG174)*100+SUM(I174,AA174)+0.005&gt;AV174*1000000+SUM(X174,AP174)*10000+SUM(R174,AJ174)*100+SUM(L174,AD174)+0.002,1,0)+IF(AT174*1000000+SUM(V174,AN174)*10000+SUM(P174,AH174)*100+SUM(J174,AB174)+0.004&gt;AV174*1000000+SUM(X174,AP174)*10000+SUM(R174,AJ174)*100+SUM(L174,AD174)+0.002,1,0)+IF(AU174*1000000+SUM(W174,AO174)*10000+SUM(Q174,AI174)*100+SUM(K174,AC174)+0.003&gt;AV174*1000000+SUM(X174,AP174)*10000+SUM(R174,AJ174)*100+SUM(L174,AD174)+0.002,1,0)+IF(AW174*1000000+SUM(Y174,AQ174)*10000+SUM(S174,AK174)*100+SUM(M174,AE174)+0.001&gt;AV174*1000000+SUM(X174,AP174)*10000+SUM(R174,AJ174)*100+SUM(L174,AD174)+0.002,1,0)=0,"E",IF(IF(AR174*1000000+SUM(T174,AL174)*10000+SUM(N174,AF174)*100+SUM(H174,Z174)+0.006&gt;AW174*1000000+SUM(Y174,AQ174)*10000+SUM(S174,AK174)*100+SUM(M174,AE174)+0.001,1,0)+IF(AS174*1000000+SUM(U174,AM174)*10000+SUM(O174,AG174)*100+SUM(I174,AA174)+0.005&gt;AW174*1000000+SUM(Y174,AQ174)*10000+SUM(S174,AK174)*100+SUM(M174,AE174)+0.001,1,0)+IF(AT174*1000000+SUM(V174,AN174)*10000+SUM(P174,AH174)*100+SUM(J174,AB174)+0.004&gt;AW174*1000000+SUM(Y174,AQ174)*10000+SUM(S174,AK174)*100+SUM(M174,AE174)+0.001,1,0)+IF(AU174*1000000+SUM(W174,AO174)*10000+SUM(Q174,AI174)*100+SUM(K174,AC174)+0.003&gt;AW174*1000000+SUM(Y174,AQ174)*10000+SUM(S174,AK174)*100+SUM(M174,AE174)+0.001,1,0)+IF(AV174*1000000+SUM(X174,AP174)*10000+SUM(R174,AJ174)*100+SUM(L174,AD174)+0.002&gt;AW174*1000000+SUM(Y174,AQ174)*10000+SUM(S174,AK174)*100+SUM(M174,AE174)+0.001,1,0)=0,"C",""))))))&amp;IF(IF(AS174*1000000+SUM(U174,AM174)*10000+SUM(O174,AG174)*100+SUM(I174,AA174)+0.005&gt;AR174*1000000+SUM(T174,AL174)*10000+SUM(N174,AF174)*100+SUM(H174,Z174)+0.006,1,0)+IF(AT174*1000000+SUM(V174,AN174)*10000+SUM(P174,AH174)*100+SUM(J174,AB174)+0.004&gt;AR174*1000000+SUM(T174,AL174)*10000+SUM(N174,AF174)*100+SUM(H174,Z174)+0.006,1,0)+IF(AU174*1000000+SUM(W174,AO174)*10000+SUM(Q174,AI174)*100+SUM(K174,AC174)+0.003&gt;AR174*1000000+SUM(T174,AL174)*10000+SUM(N174,AF174)*100+SUM(H174,Z174)+0.006,1,0)+IF(AV174*1000000+SUM(X174,AP174)*10000+SUM(R174,AJ174)*100+SUM(L174,AD174)+0.002&gt;AR174*1000000+SUM(T174,AL174)*10000+SUM(N174,AF174)*100+SUM(H174,Z174)+0.006,1,0)+IF(AW174*1000000+SUM(Y174,AQ174)*10000+SUM(S174,AK174)*100+SUM(M174,AE174)+0.001&gt;AR174*1000000+SUM(T174,AL174)*10000+SUM(N174,AF174)*100+SUM(H174,Z174)+0.006,1,0)=1,"R",IF(IF(AR174*1000000+SUM(T174,AL174)*10000+SUM(N174,AF174)*100+SUM(H174,Z174)+0.006&gt;AS174*1000000+SUM(U174,AM174)*10000+SUM(O174,AG174)*100+SUM(I174,AA174)+0.005,1,0)+IF(AT174*1000000+SUM(V174,AN174)*10000+SUM(P174,AH174)*100+SUM(J174,AB174)+0.004&gt;AS174*1000000+SUM(U174,AM174)*10000+SUM(O174,AG174)*100+SUM(I174,AA174)+0.005,1,0)+IF(AU174*1000000+SUM(W174,AO174)*10000+SUM(Q174,AI174)*100+SUM(K174,AC174)+0.003&gt;AS174*1000000+SUM(U174,AM174)*10000+SUM(O174,AG174)*100+SUM(I174,AA174)+0.005,1,0)+IF(AV174*1000000+SUM(X174,AP174)*10000+SUM(R174,AJ174)*100+SUM(L174,AD174)+0.002&gt;AS174*1000000+SUM(U174,AM174)*10000+SUM(O174,AG174)*100+SUM(I174,AA174)+0.005,1,0)+IF(AW174*1000000+SUM(Y174,AQ174)*10000+SUM(S174,AK174)*100+SUM(M174,AE174)+0.001&gt;AS174*1000000+SUM(U174,AM174)*10000+SUM(O174,AG174)*100+SUM(I174,AA174)+0.005,1,0)=1,"I",IF(IF(AR174*1000000+SUM(T174,AL174)*10000+SUM(N174,AF174)*100+SUM(H174,Z174)+0.006&gt;AT174*1000000+SUM(V174,AN174)*10000+SUM(P174,AH174)*100+SUM(J174,AB174)+0.004,1,0)+IF(AS174*1000000+SUM(U174,AM174)*10000+SUM(O174,AG174)*100+SUM(I174,AA174)+0.005&gt;AT174*1000000+SUM(V174,AN174)*10000+SUM(P174,AH174)*100+SUM(J174,AB174)+0.004,1,0)+IF(AU174*1000000+SUM(W174,AO174)*10000+SUM(Q174,AI174)*100+SUM(K174,AC174)+0.003&gt;AT174*1000000+SUM(V174,AN174)*10000+SUM(P174,AH174)*100+SUM(J174,AB174)+0.004,1,0)+IF(AV174*1000000+SUM(X174,AP174)*10000+SUM(R174,AJ174)*100+SUM(L174,AD174)+0.002&gt;AT174*1000000+SUM(V174,AN174)*10000+SUM(P174,AH174)*100+SUM(J174,AB174)+0.004,1,0)+IF(AW174*1000000+SUM(Y174,AQ174)*10000+SUM(S174,AK174)*100+SUM(M174,AE174)+0.001&gt;AT174*1000000+SUM(V174,AN174)*10000+SUM(P174,AH174)*100+SUM(J174,AB174)+0.004,1,0)=1,"A",IF(IF(AR174*1000000+SUM(T174,AL174)*10000+SUM(N174,AF174)*100+SUM(H174,Z174)+0.006&gt;AU174*1000000+SUM(W174,AO174)*10000+SUM(Q174,AI174)*100+SUM(K174,AC174)+0.003,1,0)+IF(AS174*1000000+SUM(U174,AM174)*10000+SUM(O174,AG174)*100+SUM(I174,AA174)+0.005&gt;AU174*1000000+SUM(W174,AO174)*10000+SUM(Q174,AI174)*100+SUM(K174,AC174)+0.003,1,0)+IF(AT174*1000000+SUM(V174,AN174)*10000+SUM(P174,AH174)*100+SUM(J174,AB174)+0.004&gt;AU174*1000000+SUM(W174,AO174)*10000+SUM(Q174,AI174)*100+SUM(K174,AC174)+0.003,1,0)+IF(AV174*1000000+SUM(X174,AP174)*10000+SUM(R174,AJ174)*100+SUM(L174,AD174)+0.002&gt;AU174*1000000+SUM(W174,AO174)*10000+SUM(Q174,AI174)*100+SUM(K174,AC174)+0.003,1,0)+IF(AW174*1000000+SUM(Y174,AQ174)*10000+SUM(S174,AK174)*100+SUM(M174,AE174)+0.001&gt;AU174*1000000+SUM(W174,AO174)*10000+SUM(Q174,AI174)*100+SUM(K174,AC174)+0.003,1,0)=1,"S",IF(IF(AR174*1000000+SUM(T174,AL174)*10000+SUM(N174,AF174)*100+SUM(H174,Z174)+0.006&gt;AV174*1000000+SUM(X174,AP174)*10000+SUM(R174,AJ174)*100+SUM(L174,AD174)+0.002,1,0)+IF(AS174*1000000+SUM(U174,AM174)*10000+SUM(O174,AG174)*100+SUM(I174,AA174)+0.005&gt;AV174*1000000+SUM(X174,AP174)*10000+SUM(R174,AJ174)*100+SUM(L174,AD174)+0.002,1,0)+IF(AT174*1000000+SUM(V174,AN174)*10000+SUM(P174,AH174)*100+SUM(J174,AB174)+0.004&gt;AV174*1000000+SUM(X174,AP174)*10000+SUM(R174,AJ174)*100+SUM(L174,AD174)+0.002,1,0)+IF(AU174*1000000+SUM(W174,AO174)*10000+SUM(Q174,AI174)*100+SUM(K174,AC174)+0.003&gt;AV174*1000000+SUM(X174,AP174)*10000+SUM(R174,AJ174)*100+SUM(L174,AD174)+0.002,1,0)+IF(AW174*1000000+SUM(Y174,AQ174)*10000+SUM(S174,AK174)*100+SUM(M174,AE174)+0.001&gt;AV174*1000000+SUM(X174,AP174)*10000+SUM(R174,AJ174)*100+SUM(L174,AD174)+0.002,1,0)=1,"E",IF(IF(AR174*1000000+SUM(T174,AL174)*10000+SUM(N174,AF174)*100+SUM(H174,Z174)+0.006&gt;AW174*1000000+SUM(Y174,AQ174)*10000+SUM(S174,AK174)*100+SUM(M174,AE174)+0.001,1,0)+IF(AS174*1000000+SUM(U174,AM174)*10000+SUM(O174,AG174)*100+SUM(I174,AA174)+0.005&gt;AW174*1000000+SUM(Y174,AQ174)*10000+SUM(S174,AK174)*100+SUM(M174,AE174)+0.001,1,0)+IF(AT174*1000000+SUM(V174,AN174)*10000+SUM(P174,AH174)*100+SUM(J174,AB174)+0.004&gt;AW174*1000000+SUM(Y174,AQ174)*10000+SUM(S174,AK174)*100+SUM(M174,AE174)+0.001,1,0)+IF(AU174*1000000+SUM(W174,AO174)*10000+SUM(Q174,AI174)*100+SUM(K174,AC174)+0.003&gt;AW174*1000000+SUM(Y174,AQ174)*10000+SUM(S174,AK174)*100+SUM(M174,AE174)+0.001,1,0)+IF(AV174*1000000+SUM(X174,AP174)*10000+SUM(R174,AJ174)*100+SUM(L174,AD174)+0.002&gt;AW174*1000000+SUM(Y174,AQ174)*10000+SUM(S174,AK174)*100+SUM(M174,AE174)+0.001,1,0)=1,"C",""))))))&amp;IF(IF(AS174*1000000+SUM(U174,AM174)*10000+SUM(O174,AG174)*100+SUM(I174,AA174)+0.005&gt;AR174*1000000+SUM(T174,AL174)*10000+SUM(N174,AF174)*100+SUM(H174,Z174)+0.006,1,0)+IF(AT174*1000000+SUM(V174,AN174)*10000+SUM(P174,AH174)*100+SUM(J174,AB174)+0.004&gt;AR174*1000000+SUM(T174,AL174)*10000+SUM(N174,AF174)*100+SUM(H174,Z174)+0.006,1,0)+IF(AU174*1000000+SUM(W174,AO174)*10000+SUM(Q174,AI174)*100+SUM(K174,AC174)+0.003&gt;AR174*1000000+SUM(T174,AL174)*10000+SUM(N174,AF174)*100+SUM(H174,Z174)+0.006,1,0)+IF(AV174*1000000+SUM(X174,AP174)*10000+SUM(R174,AJ174)*100+SUM(L174,AD174)+0.002&gt;AR174*1000000+SUM(T174,AL174)*10000+SUM(N174,AF174)*100+SUM(H174,Z174)+0.006,1,0)+IF(AW174*1000000+SUM(Y174,AQ174)*10000+SUM(S174,AK174)*100+SUM(M174,AE174)+0.001&gt;AR174*1000000+SUM(T174,AL174)*10000+SUM(N174,AF174)*100+SUM(H174,Z174)+0.006,1,0)=2,"R",IF(IF(AR174*1000000+SUM(T174,AL174)*10000+SUM(N174,AF174)*100+SUM(H174,Z174)+0.006&gt;AS174*1000000+SUM(U174,AM174)*10000+SUM(O174,AG174)*100+SUM(I174,AA174)+0.005,1,0)+IF(AT174*1000000+SUM(V174,AN174)*10000+SUM(P174,AH174)*100+SUM(J174,AB174)+0.004&gt;AS174*1000000+SUM(U174,AM174)*10000+SUM(O174,AG174)*100+SUM(I174,AA174)+0.005,1,0)+IF(AU174*1000000+SUM(W174,AO174)*10000+SUM(Q174,AI174)*100+SUM(K174,AC174)+0.003&gt;AS174*1000000+SUM(U174,AM174)*10000+SUM(O174,AG174)*100+SUM(I174,AA174)+0.005,1,0)+IF(AV174*1000000+SUM(X174,AP174)*10000+SUM(R174,AJ174)*100+SUM(L174,AD174)+0.002&gt;AS174*1000000+SUM(U174,AM174)*10000+SUM(O174,AG174)*100+SUM(I174,AA174)+0.005,1,0)+IF(AW174*1000000+SUM(Y174,AQ174)*10000+SUM(S174,AK174)*100+SUM(M174,AE174)+0.001&gt;AS174*1000000+SUM(U174,AM174)*10000+SUM(O174,AG174)*100+SUM(I174,AA174)+0.005,1,0)=2,"I",IF(IF(AR174*1000000+SUM(T174,AL174)*10000+SUM(N174,AF174)*100+SUM(H174,Z174)+0.006&gt;AT174*1000000+SUM(V174,AN174)*10000+SUM(P174,AH174)*100+SUM(J174,AB174)+0.004,1,0)+IF(AS174*1000000+SUM(U174,AM174)*10000+SUM(O174,AG174)*100+SUM(I174,AA174)+0.005&gt;AT174*1000000+SUM(V174,AN174)*10000+SUM(P174,AH174)*100+SUM(J174,AB174)+0.004,1,0)+IF(AU174*1000000+SUM(W174,AO174)*10000+SUM(Q174,AI174)*100+SUM(K174,AC174)+0.003&gt;AT174*1000000+SUM(V174,AN174)*10000+SUM(P174,AH174)*100+SUM(J174,AB174)+0.004,1,0)+IF(AV174*1000000+SUM(X174,AP174)*10000+SUM(R174,AJ174)*100+SUM(L174,AD174)+0.002&gt;AT174*1000000+SUM(V174,AN174)*10000+SUM(P174,AH174)*100+SUM(J174,AB174)+0.004,1,0)+IF(AW174*1000000+SUM(Y174,AQ174)*10000+SUM(S174,AK174)*100+SUM(M174,AE174)+0.001&gt;AT174*1000000+SUM(V174,AN174)*10000+SUM(P174,AH174)*100+SUM(J174,AB174)+0.004,1,0)=2,"A",IF(IF(AR174*1000000+SUM(T174,AL174)*10000+SUM(N174,AF174)*100+SUM(H174,Z174)+0.006&gt;AU174*1000000+SUM(W174,AO174)*10000+SUM(Q174,AI174)*100+SUM(K174,AC174)+0.003,1,0)+IF(AS174*1000000+SUM(U174,AM174)*10000+SUM(O174,AG174)*100+SUM(I174,AA174)+0.005&gt;AU174*1000000+SUM(W174,AO174)*10000+SUM(Q174,AI174)*100+SUM(K174,AC174)+0.003,1,0)+IF(AT174*1000000+SUM(V174,AN174)*10000+SUM(P174,AH174)*100+SUM(J174,AB174)+0.004&gt;AU174*1000000+SUM(W174,AO174)*10000+SUM(Q174,AI174)*100+SUM(K174,AC174)+0.003,1,0)+IF(AV174*1000000+SUM(X174,AP174)*10000+SUM(R174,AJ174)*100+SUM(L174,AD174)+0.002&gt;AU174*1000000+SUM(W174,AO174)*10000+SUM(Q174,AI174)*100+SUM(K174,AC174)+0.003,1,0)+IF(AW174*1000000+SUM(Y174,AQ174)*10000+SUM(S174,AK174)*100+SUM(M174,AE174)+0.001&gt;AU174*1000000+SUM(W174,AO174)*10000+SUM(Q174,AI174)*100+SUM(K174,AC174)+0.003,1,0)=2,"S",IF(IF(AR174*1000000+SUM(T174,AL174)*10000+SUM(N174,AF174)*100+SUM(H174,Z174)+0.006&gt;AV174*1000000+SUM(X174,AP174)*10000+SUM(R174,AJ174)*100+SUM(L174,AD174)+0.002,1,0)+IF(AS174*1000000+SUM(U174,AM174)*10000+SUM(O174,AG174)*100+SUM(I174,AA174)+0.005&gt;AV174*1000000+SUM(X174,AP174)*10000+SUM(R174,AJ174)*100+SUM(L174,AD174)+0.002,1,0)+IF(AT174*1000000+SUM(V174,AN174)*10000+SUM(P174,AH174)*100+SUM(J174,AB174)+0.004&gt;AV174*1000000+SUM(X174,AP174)*10000+SUM(R174,AJ174)*100+SUM(L174,AD174)+0.002,1,0)+IF(AU174*1000000+SUM(W174,AO174)*10000+SUM(Q174,AI174)*100+SUM(K174,AC174)+0.003&gt;AV174*1000000+SUM(X174,AP174)*10000+SUM(R174,AJ174)*100+SUM(L174,AD174)+0.002,1,0)+IF(AW174*1000000+SUM(Y174,AQ174)*10000+SUM(S174,AK174)*100+SUM(M174,AE174)+0.001&gt;AV174*1000000+SUM(X174,AP174)*10000+SUM(R174,AJ174)*100+SUM(L174,AD174)+0.002,1,0)=2,"E",IF(IF(AR174*1000000+SUM(T174,AL174)*10000+SUM(N174,AF174)*100+SUM(H174,Z174)+0.006&gt;AW174*1000000+SUM(Y174,AQ174)*10000+SUM(S174,AK174)*100+SUM(M174,AE174)+0.001,1,0)+IF(AS174*1000000+SUM(U174,AM174)*10000+SUM(O174,AG174)*100+SUM(I174,AA174)+0.005&gt;AW174*1000000+SUM(Y174,AQ174)*10000+SUM(S174,AK174)*100+SUM(M174,AE174)+0.001,1,0)+IF(AT174*1000000+SUM(V174,AN174)*10000+SUM(P174,AH174)*100+SUM(J174,AB174)+0.004&gt;AW174*1000000+SUM(Y174,AQ174)*10000+SUM(S174,AK174)*100+SUM(M174,AE174)+0.001,1,0)+IF(AU174*1000000+SUM(W174,AO174)*10000+SUM(Q174,AI174)*100+SUM(K174,AC174)+0.003&gt;AW174*1000000+SUM(Y174,AQ174)*10000+SUM(S174,AK174)*100+SUM(M174,AE174)+0.001,1,0)+IF(AV174*1000000+SUM(X174,AP174)*10000+SUM(R174,AJ174)*100+SUM(L174,AD174)+0.002&gt;AW174*1000000+SUM(Y174,AQ174)*10000+SUM(S174,AK174)*100+SUM(M174,AE174)+0.001,1,0)=2,"C","")))))))</x:f>
      </x:c>
      <x:c r="AY174" s="27" t="str">
        <x:f>IF(C174="","",IF(LEFT(AX174,1)="R","นักปฏิบัติ",IF(LEFT(AX174,1)="I","นักคิดวิเคราะห์",IF(LEFT(AX174,1)="A","นักสร้างสรรค์",IF(LEFT(AX174,1)="S","ผู้เข้าใจผู้คน",IF(LEFT(AX174,1)="E","ผู้นำการเปลี่ยนแปลง","ผู้จัดระบบ"))))))</x:f>
      </x:c>
    </x:row>
    <x:row r="175">
      <x:c r="A175" s="27"/>
      <x:c r="B175" s="28"/>
      <x:c r="C175" s="27"/>
      <x:c r="D175" s="27"/>
      <x:c r="E175" s="27"/>
      <x:c r="F175" s="27"/>
      <x:c r="G175" s="27"/>
      <x:c r="H175" s="27"/>
      <x:c r="I175" s="27"/>
      <x:c r="J175" s="27"/>
      <x:c r="K175" s="27"/>
      <x:c r="L175" s="27"/>
      <x:c r="M175" s="27"/>
      <x:c r="N175" s="27"/>
      <x:c r="O175" s="27"/>
      <x:c r="P175" s="27"/>
      <x:c r="Q175" s="27"/>
      <x:c r="R175" s="27"/>
      <x:c r="S175" s="27"/>
      <x:c r="T175" s="27"/>
      <x:c r="U175" s="27"/>
      <x:c r="V175" s="27"/>
      <x:c r="W175" s="27"/>
      <x:c r="X175" s="27"/>
      <x:c r="Y175" s="27"/>
      <x:c r="Z175" s="27"/>
      <x:c r="AA175" s="27"/>
      <x:c r="AB175" s="27"/>
      <x:c r="AC175" s="27"/>
      <x:c r="AD175" s="27"/>
      <x:c r="AE175" s="27"/>
      <x:c r="AF175" s="27"/>
      <x:c r="AG175" s="27"/>
      <x:c r="AH175" s="27"/>
      <x:c r="AI175" s="27"/>
      <x:c r="AJ175" s="27"/>
      <x:c r="AK175" s="27"/>
      <x:c r="AL175" s="27"/>
      <x:c r="AM175" s="27"/>
      <x:c r="AN175" s="27"/>
      <x:c r="AO175" s="27"/>
      <x:c r="AP175" s="27"/>
      <x:c r="AQ175" s="27"/>
      <x:c r="AR175" s="27" t="str">
        <x:f>IF(C175="","",SUM(H175,N175,T175,Z175,AF175,AL175))</x:f>
      </x:c>
      <x:c r="AS175" s="27" t="str">
        <x:f>IF(C175="","",SUM(I175,O175,U175,AA175,AG175,AM175))</x:f>
      </x:c>
      <x:c r="AT175" s="27" t="str">
        <x:f>IF(C175="","",SUM(J175,P175,V175,AB175,AH175,AN175))</x:f>
      </x:c>
      <x:c r="AU175" s="27" t="str">
        <x:f>IF(C175="","",SUM(K175,Q175,W175,AC175,AI175,AO175))</x:f>
      </x:c>
      <x:c r="AV175" s="27" t="str">
        <x:f>IF(C175="","",SUM(L175,R175,X175,AD175,AJ175,AP175))</x:f>
      </x:c>
      <x:c r="AW175" s="27" t="str">
        <x:f>IF(C175="","",SUM(M175,S175,Y175,AE175,AK175,AQ175))</x:f>
      </x:c>
      <x:c r="AX175" s="27" t="str">
        <x:f>IF(C175="","",IF(IF(AS175*1000000+SUM(U175,AM175)*10000+SUM(O175,AG175)*100+SUM(I175,AA175)+0.005&gt;AR175*1000000+SUM(T175,AL175)*10000+SUM(N175,AF175)*100+SUM(H175,Z175)+0.006,1,0)+IF(AT175*1000000+SUM(V175,AN175)*10000+SUM(P175,AH175)*100+SUM(J175,AB175)+0.004&gt;AR175*1000000+SUM(T175,AL175)*10000+SUM(N175,AF175)*100+SUM(H175,Z175)+0.006,1,0)+IF(AU175*1000000+SUM(W175,AO175)*10000+SUM(Q175,AI175)*100+SUM(K175,AC175)+0.003&gt;AR175*1000000+SUM(T175,AL175)*10000+SUM(N175,AF175)*100+SUM(H175,Z175)+0.006,1,0)+IF(AV175*1000000+SUM(X175,AP175)*10000+SUM(R175,AJ175)*100+SUM(L175,AD175)+0.002&gt;AR175*1000000+SUM(T175,AL175)*10000+SUM(N175,AF175)*100+SUM(H175,Z175)+0.006,1,0)+IF(AW175*1000000+SUM(Y175,AQ175)*10000+SUM(S175,AK175)*100+SUM(M175,AE175)+0.001&gt;AR175*1000000+SUM(T175,AL175)*10000+SUM(N175,AF175)*100+SUM(H175,Z175)+0.006,1,0)=0,"R",IF(IF(AR175*1000000+SUM(T175,AL175)*10000+SUM(N175,AF175)*100+SUM(H175,Z175)+0.006&gt;AS175*1000000+SUM(U175,AM175)*10000+SUM(O175,AG175)*100+SUM(I175,AA175)+0.005,1,0)+IF(AT175*1000000+SUM(V175,AN175)*10000+SUM(P175,AH175)*100+SUM(J175,AB175)+0.004&gt;AS175*1000000+SUM(U175,AM175)*10000+SUM(O175,AG175)*100+SUM(I175,AA175)+0.005,1,0)+IF(AU175*1000000+SUM(W175,AO175)*10000+SUM(Q175,AI175)*100+SUM(K175,AC175)+0.003&gt;AS175*1000000+SUM(U175,AM175)*10000+SUM(O175,AG175)*100+SUM(I175,AA175)+0.005,1,0)+IF(AV175*1000000+SUM(X175,AP175)*10000+SUM(R175,AJ175)*100+SUM(L175,AD175)+0.002&gt;AS175*1000000+SUM(U175,AM175)*10000+SUM(O175,AG175)*100+SUM(I175,AA175)+0.005,1,0)+IF(AW175*1000000+SUM(Y175,AQ175)*10000+SUM(S175,AK175)*100+SUM(M175,AE175)+0.001&gt;AS175*1000000+SUM(U175,AM175)*10000+SUM(O175,AG175)*100+SUM(I175,AA175)+0.005,1,0)=0,"I",IF(IF(AR175*1000000+SUM(T175,AL175)*10000+SUM(N175,AF175)*100+SUM(H175,Z175)+0.006&gt;AT175*1000000+SUM(V175,AN175)*10000+SUM(P175,AH175)*100+SUM(J175,AB175)+0.004,1,0)+IF(AS175*1000000+SUM(U175,AM175)*10000+SUM(O175,AG175)*100+SUM(I175,AA175)+0.005&gt;AT175*1000000+SUM(V175,AN175)*10000+SUM(P175,AH175)*100+SUM(J175,AB175)+0.004,1,0)+IF(AU175*1000000+SUM(W175,AO175)*10000+SUM(Q175,AI175)*100+SUM(K175,AC175)+0.003&gt;AT175*1000000+SUM(V175,AN175)*10000+SUM(P175,AH175)*100+SUM(J175,AB175)+0.004,1,0)+IF(AV175*1000000+SUM(X175,AP175)*10000+SUM(R175,AJ175)*100+SUM(L175,AD175)+0.002&gt;AT175*1000000+SUM(V175,AN175)*10000+SUM(P175,AH175)*100+SUM(J175,AB175)+0.004,1,0)+IF(AW175*1000000+SUM(Y175,AQ175)*10000+SUM(S175,AK175)*100+SUM(M175,AE175)+0.001&gt;AT175*1000000+SUM(V175,AN175)*10000+SUM(P175,AH175)*100+SUM(J175,AB175)+0.004,1,0)=0,"A",IF(IF(AR175*1000000+SUM(T175,AL175)*10000+SUM(N175,AF175)*100+SUM(H175,Z175)+0.006&gt;AU175*1000000+SUM(W175,AO175)*10000+SUM(Q175,AI175)*100+SUM(K175,AC175)+0.003,1,0)+IF(AS175*1000000+SUM(U175,AM175)*10000+SUM(O175,AG175)*100+SUM(I175,AA175)+0.005&gt;AU175*1000000+SUM(W175,AO175)*10000+SUM(Q175,AI175)*100+SUM(K175,AC175)+0.003,1,0)+IF(AT175*1000000+SUM(V175,AN175)*10000+SUM(P175,AH175)*100+SUM(J175,AB175)+0.004&gt;AU175*1000000+SUM(W175,AO175)*10000+SUM(Q175,AI175)*100+SUM(K175,AC175)+0.003,1,0)+IF(AV175*1000000+SUM(X175,AP175)*10000+SUM(R175,AJ175)*100+SUM(L175,AD175)+0.002&gt;AU175*1000000+SUM(W175,AO175)*10000+SUM(Q175,AI175)*100+SUM(K175,AC175)+0.003,1,0)+IF(AW175*1000000+SUM(Y175,AQ175)*10000+SUM(S175,AK175)*100+SUM(M175,AE175)+0.001&gt;AU175*1000000+SUM(W175,AO175)*10000+SUM(Q175,AI175)*100+SUM(K175,AC175)+0.003,1,0)=0,"S",IF(IF(AR175*1000000+SUM(T175,AL175)*10000+SUM(N175,AF175)*100+SUM(H175,Z175)+0.006&gt;AV175*1000000+SUM(X175,AP175)*10000+SUM(R175,AJ175)*100+SUM(L175,AD175)+0.002,1,0)+IF(AS175*1000000+SUM(U175,AM175)*10000+SUM(O175,AG175)*100+SUM(I175,AA175)+0.005&gt;AV175*1000000+SUM(X175,AP175)*10000+SUM(R175,AJ175)*100+SUM(L175,AD175)+0.002,1,0)+IF(AT175*1000000+SUM(V175,AN175)*10000+SUM(P175,AH175)*100+SUM(J175,AB175)+0.004&gt;AV175*1000000+SUM(X175,AP175)*10000+SUM(R175,AJ175)*100+SUM(L175,AD175)+0.002,1,0)+IF(AU175*1000000+SUM(W175,AO175)*10000+SUM(Q175,AI175)*100+SUM(K175,AC175)+0.003&gt;AV175*1000000+SUM(X175,AP175)*10000+SUM(R175,AJ175)*100+SUM(L175,AD175)+0.002,1,0)+IF(AW175*1000000+SUM(Y175,AQ175)*10000+SUM(S175,AK175)*100+SUM(M175,AE175)+0.001&gt;AV175*1000000+SUM(X175,AP175)*10000+SUM(R175,AJ175)*100+SUM(L175,AD175)+0.002,1,0)=0,"E",IF(IF(AR175*1000000+SUM(T175,AL175)*10000+SUM(N175,AF175)*100+SUM(H175,Z175)+0.006&gt;AW175*1000000+SUM(Y175,AQ175)*10000+SUM(S175,AK175)*100+SUM(M175,AE175)+0.001,1,0)+IF(AS175*1000000+SUM(U175,AM175)*10000+SUM(O175,AG175)*100+SUM(I175,AA175)+0.005&gt;AW175*1000000+SUM(Y175,AQ175)*10000+SUM(S175,AK175)*100+SUM(M175,AE175)+0.001,1,0)+IF(AT175*1000000+SUM(V175,AN175)*10000+SUM(P175,AH175)*100+SUM(J175,AB175)+0.004&gt;AW175*1000000+SUM(Y175,AQ175)*10000+SUM(S175,AK175)*100+SUM(M175,AE175)+0.001,1,0)+IF(AU175*1000000+SUM(W175,AO175)*10000+SUM(Q175,AI175)*100+SUM(K175,AC175)+0.003&gt;AW175*1000000+SUM(Y175,AQ175)*10000+SUM(S175,AK175)*100+SUM(M175,AE175)+0.001,1,0)+IF(AV175*1000000+SUM(X175,AP175)*10000+SUM(R175,AJ175)*100+SUM(L175,AD175)+0.002&gt;AW175*1000000+SUM(Y175,AQ175)*10000+SUM(S175,AK175)*100+SUM(M175,AE175)+0.001,1,0)=0,"C",""))))))&amp;IF(IF(AS175*1000000+SUM(U175,AM175)*10000+SUM(O175,AG175)*100+SUM(I175,AA175)+0.005&gt;AR175*1000000+SUM(T175,AL175)*10000+SUM(N175,AF175)*100+SUM(H175,Z175)+0.006,1,0)+IF(AT175*1000000+SUM(V175,AN175)*10000+SUM(P175,AH175)*100+SUM(J175,AB175)+0.004&gt;AR175*1000000+SUM(T175,AL175)*10000+SUM(N175,AF175)*100+SUM(H175,Z175)+0.006,1,0)+IF(AU175*1000000+SUM(W175,AO175)*10000+SUM(Q175,AI175)*100+SUM(K175,AC175)+0.003&gt;AR175*1000000+SUM(T175,AL175)*10000+SUM(N175,AF175)*100+SUM(H175,Z175)+0.006,1,0)+IF(AV175*1000000+SUM(X175,AP175)*10000+SUM(R175,AJ175)*100+SUM(L175,AD175)+0.002&gt;AR175*1000000+SUM(T175,AL175)*10000+SUM(N175,AF175)*100+SUM(H175,Z175)+0.006,1,0)+IF(AW175*1000000+SUM(Y175,AQ175)*10000+SUM(S175,AK175)*100+SUM(M175,AE175)+0.001&gt;AR175*1000000+SUM(T175,AL175)*10000+SUM(N175,AF175)*100+SUM(H175,Z175)+0.006,1,0)=1,"R",IF(IF(AR175*1000000+SUM(T175,AL175)*10000+SUM(N175,AF175)*100+SUM(H175,Z175)+0.006&gt;AS175*1000000+SUM(U175,AM175)*10000+SUM(O175,AG175)*100+SUM(I175,AA175)+0.005,1,0)+IF(AT175*1000000+SUM(V175,AN175)*10000+SUM(P175,AH175)*100+SUM(J175,AB175)+0.004&gt;AS175*1000000+SUM(U175,AM175)*10000+SUM(O175,AG175)*100+SUM(I175,AA175)+0.005,1,0)+IF(AU175*1000000+SUM(W175,AO175)*10000+SUM(Q175,AI175)*100+SUM(K175,AC175)+0.003&gt;AS175*1000000+SUM(U175,AM175)*10000+SUM(O175,AG175)*100+SUM(I175,AA175)+0.005,1,0)+IF(AV175*1000000+SUM(X175,AP175)*10000+SUM(R175,AJ175)*100+SUM(L175,AD175)+0.002&gt;AS175*1000000+SUM(U175,AM175)*10000+SUM(O175,AG175)*100+SUM(I175,AA175)+0.005,1,0)+IF(AW175*1000000+SUM(Y175,AQ175)*10000+SUM(S175,AK175)*100+SUM(M175,AE175)+0.001&gt;AS175*1000000+SUM(U175,AM175)*10000+SUM(O175,AG175)*100+SUM(I175,AA175)+0.005,1,0)=1,"I",IF(IF(AR175*1000000+SUM(T175,AL175)*10000+SUM(N175,AF175)*100+SUM(H175,Z175)+0.006&gt;AT175*1000000+SUM(V175,AN175)*10000+SUM(P175,AH175)*100+SUM(J175,AB175)+0.004,1,0)+IF(AS175*1000000+SUM(U175,AM175)*10000+SUM(O175,AG175)*100+SUM(I175,AA175)+0.005&gt;AT175*1000000+SUM(V175,AN175)*10000+SUM(P175,AH175)*100+SUM(J175,AB175)+0.004,1,0)+IF(AU175*1000000+SUM(W175,AO175)*10000+SUM(Q175,AI175)*100+SUM(K175,AC175)+0.003&gt;AT175*1000000+SUM(V175,AN175)*10000+SUM(P175,AH175)*100+SUM(J175,AB175)+0.004,1,0)+IF(AV175*1000000+SUM(X175,AP175)*10000+SUM(R175,AJ175)*100+SUM(L175,AD175)+0.002&gt;AT175*1000000+SUM(V175,AN175)*10000+SUM(P175,AH175)*100+SUM(J175,AB175)+0.004,1,0)+IF(AW175*1000000+SUM(Y175,AQ175)*10000+SUM(S175,AK175)*100+SUM(M175,AE175)+0.001&gt;AT175*1000000+SUM(V175,AN175)*10000+SUM(P175,AH175)*100+SUM(J175,AB175)+0.004,1,0)=1,"A",IF(IF(AR175*1000000+SUM(T175,AL175)*10000+SUM(N175,AF175)*100+SUM(H175,Z175)+0.006&gt;AU175*1000000+SUM(W175,AO175)*10000+SUM(Q175,AI175)*100+SUM(K175,AC175)+0.003,1,0)+IF(AS175*1000000+SUM(U175,AM175)*10000+SUM(O175,AG175)*100+SUM(I175,AA175)+0.005&gt;AU175*1000000+SUM(W175,AO175)*10000+SUM(Q175,AI175)*100+SUM(K175,AC175)+0.003,1,0)+IF(AT175*1000000+SUM(V175,AN175)*10000+SUM(P175,AH175)*100+SUM(J175,AB175)+0.004&gt;AU175*1000000+SUM(W175,AO175)*10000+SUM(Q175,AI175)*100+SUM(K175,AC175)+0.003,1,0)+IF(AV175*1000000+SUM(X175,AP175)*10000+SUM(R175,AJ175)*100+SUM(L175,AD175)+0.002&gt;AU175*1000000+SUM(W175,AO175)*10000+SUM(Q175,AI175)*100+SUM(K175,AC175)+0.003,1,0)+IF(AW175*1000000+SUM(Y175,AQ175)*10000+SUM(S175,AK175)*100+SUM(M175,AE175)+0.001&gt;AU175*1000000+SUM(W175,AO175)*10000+SUM(Q175,AI175)*100+SUM(K175,AC175)+0.003,1,0)=1,"S",IF(IF(AR175*1000000+SUM(T175,AL175)*10000+SUM(N175,AF175)*100+SUM(H175,Z175)+0.006&gt;AV175*1000000+SUM(X175,AP175)*10000+SUM(R175,AJ175)*100+SUM(L175,AD175)+0.002,1,0)+IF(AS175*1000000+SUM(U175,AM175)*10000+SUM(O175,AG175)*100+SUM(I175,AA175)+0.005&gt;AV175*1000000+SUM(X175,AP175)*10000+SUM(R175,AJ175)*100+SUM(L175,AD175)+0.002,1,0)+IF(AT175*1000000+SUM(V175,AN175)*10000+SUM(P175,AH175)*100+SUM(J175,AB175)+0.004&gt;AV175*1000000+SUM(X175,AP175)*10000+SUM(R175,AJ175)*100+SUM(L175,AD175)+0.002,1,0)+IF(AU175*1000000+SUM(W175,AO175)*10000+SUM(Q175,AI175)*100+SUM(K175,AC175)+0.003&gt;AV175*1000000+SUM(X175,AP175)*10000+SUM(R175,AJ175)*100+SUM(L175,AD175)+0.002,1,0)+IF(AW175*1000000+SUM(Y175,AQ175)*10000+SUM(S175,AK175)*100+SUM(M175,AE175)+0.001&gt;AV175*1000000+SUM(X175,AP175)*10000+SUM(R175,AJ175)*100+SUM(L175,AD175)+0.002,1,0)=1,"E",IF(IF(AR175*1000000+SUM(T175,AL175)*10000+SUM(N175,AF175)*100+SUM(H175,Z175)+0.006&gt;AW175*1000000+SUM(Y175,AQ175)*10000+SUM(S175,AK175)*100+SUM(M175,AE175)+0.001,1,0)+IF(AS175*1000000+SUM(U175,AM175)*10000+SUM(O175,AG175)*100+SUM(I175,AA175)+0.005&gt;AW175*1000000+SUM(Y175,AQ175)*10000+SUM(S175,AK175)*100+SUM(M175,AE175)+0.001,1,0)+IF(AT175*1000000+SUM(V175,AN175)*10000+SUM(P175,AH175)*100+SUM(J175,AB175)+0.004&gt;AW175*1000000+SUM(Y175,AQ175)*10000+SUM(S175,AK175)*100+SUM(M175,AE175)+0.001,1,0)+IF(AU175*1000000+SUM(W175,AO175)*10000+SUM(Q175,AI175)*100+SUM(K175,AC175)+0.003&gt;AW175*1000000+SUM(Y175,AQ175)*10000+SUM(S175,AK175)*100+SUM(M175,AE175)+0.001,1,0)+IF(AV175*1000000+SUM(X175,AP175)*10000+SUM(R175,AJ175)*100+SUM(L175,AD175)+0.002&gt;AW175*1000000+SUM(Y175,AQ175)*10000+SUM(S175,AK175)*100+SUM(M175,AE175)+0.001,1,0)=1,"C",""))))))&amp;IF(IF(AS175*1000000+SUM(U175,AM175)*10000+SUM(O175,AG175)*100+SUM(I175,AA175)+0.005&gt;AR175*1000000+SUM(T175,AL175)*10000+SUM(N175,AF175)*100+SUM(H175,Z175)+0.006,1,0)+IF(AT175*1000000+SUM(V175,AN175)*10000+SUM(P175,AH175)*100+SUM(J175,AB175)+0.004&gt;AR175*1000000+SUM(T175,AL175)*10000+SUM(N175,AF175)*100+SUM(H175,Z175)+0.006,1,0)+IF(AU175*1000000+SUM(W175,AO175)*10000+SUM(Q175,AI175)*100+SUM(K175,AC175)+0.003&gt;AR175*1000000+SUM(T175,AL175)*10000+SUM(N175,AF175)*100+SUM(H175,Z175)+0.006,1,0)+IF(AV175*1000000+SUM(X175,AP175)*10000+SUM(R175,AJ175)*100+SUM(L175,AD175)+0.002&gt;AR175*1000000+SUM(T175,AL175)*10000+SUM(N175,AF175)*100+SUM(H175,Z175)+0.006,1,0)+IF(AW175*1000000+SUM(Y175,AQ175)*10000+SUM(S175,AK175)*100+SUM(M175,AE175)+0.001&gt;AR175*1000000+SUM(T175,AL175)*10000+SUM(N175,AF175)*100+SUM(H175,Z175)+0.006,1,0)=2,"R",IF(IF(AR175*1000000+SUM(T175,AL175)*10000+SUM(N175,AF175)*100+SUM(H175,Z175)+0.006&gt;AS175*1000000+SUM(U175,AM175)*10000+SUM(O175,AG175)*100+SUM(I175,AA175)+0.005,1,0)+IF(AT175*1000000+SUM(V175,AN175)*10000+SUM(P175,AH175)*100+SUM(J175,AB175)+0.004&gt;AS175*1000000+SUM(U175,AM175)*10000+SUM(O175,AG175)*100+SUM(I175,AA175)+0.005,1,0)+IF(AU175*1000000+SUM(W175,AO175)*10000+SUM(Q175,AI175)*100+SUM(K175,AC175)+0.003&gt;AS175*1000000+SUM(U175,AM175)*10000+SUM(O175,AG175)*100+SUM(I175,AA175)+0.005,1,0)+IF(AV175*1000000+SUM(X175,AP175)*10000+SUM(R175,AJ175)*100+SUM(L175,AD175)+0.002&gt;AS175*1000000+SUM(U175,AM175)*10000+SUM(O175,AG175)*100+SUM(I175,AA175)+0.005,1,0)+IF(AW175*1000000+SUM(Y175,AQ175)*10000+SUM(S175,AK175)*100+SUM(M175,AE175)+0.001&gt;AS175*1000000+SUM(U175,AM175)*10000+SUM(O175,AG175)*100+SUM(I175,AA175)+0.005,1,0)=2,"I",IF(IF(AR175*1000000+SUM(T175,AL175)*10000+SUM(N175,AF175)*100+SUM(H175,Z175)+0.006&gt;AT175*1000000+SUM(V175,AN175)*10000+SUM(P175,AH175)*100+SUM(J175,AB175)+0.004,1,0)+IF(AS175*1000000+SUM(U175,AM175)*10000+SUM(O175,AG175)*100+SUM(I175,AA175)+0.005&gt;AT175*1000000+SUM(V175,AN175)*10000+SUM(P175,AH175)*100+SUM(J175,AB175)+0.004,1,0)+IF(AU175*1000000+SUM(W175,AO175)*10000+SUM(Q175,AI175)*100+SUM(K175,AC175)+0.003&gt;AT175*1000000+SUM(V175,AN175)*10000+SUM(P175,AH175)*100+SUM(J175,AB175)+0.004,1,0)+IF(AV175*1000000+SUM(X175,AP175)*10000+SUM(R175,AJ175)*100+SUM(L175,AD175)+0.002&gt;AT175*1000000+SUM(V175,AN175)*10000+SUM(P175,AH175)*100+SUM(J175,AB175)+0.004,1,0)+IF(AW175*1000000+SUM(Y175,AQ175)*10000+SUM(S175,AK175)*100+SUM(M175,AE175)+0.001&gt;AT175*1000000+SUM(V175,AN175)*10000+SUM(P175,AH175)*100+SUM(J175,AB175)+0.004,1,0)=2,"A",IF(IF(AR175*1000000+SUM(T175,AL175)*10000+SUM(N175,AF175)*100+SUM(H175,Z175)+0.006&gt;AU175*1000000+SUM(W175,AO175)*10000+SUM(Q175,AI175)*100+SUM(K175,AC175)+0.003,1,0)+IF(AS175*1000000+SUM(U175,AM175)*10000+SUM(O175,AG175)*100+SUM(I175,AA175)+0.005&gt;AU175*1000000+SUM(W175,AO175)*10000+SUM(Q175,AI175)*100+SUM(K175,AC175)+0.003,1,0)+IF(AT175*1000000+SUM(V175,AN175)*10000+SUM(P175,AH175)*100+SUM(J175,AB175)+0.004&gt;AU175*1000000+SUM(W175,AO175)*10000+SUM(Q175,AI175)*100+SUM(K175,AC175)+0.003,1,0)+IF(AV175*1000000+SUM(X175,AP175)*10000+SUM(R175,AJ175)*100+SUM(L175,AD175)+0.002&gt;AU175*1000000+SUM(W175,AO175)*10000+SUM(Q175,AI175)*100+SUM(K175,AC175)+0.003,1,0)+IF(AW175*1000000+SUM(Y175,AQ175)*10000+SUM(S175,AK175)*100+SUM(M175,AE175)+0.001&gt;AU175*1000000+SUM(W175,AO175)*10000+SUM(Q175,AI175)*100+SUM(K175,AC175)+0.003,1,0)=2,"S",IF(IF(AR175*1000000+SUM(T175,AL175)*10000+SUM(N175,AF175)*100+SUM(H175,Z175)+0.006&gt;AV175*1000000+SUM(X175,AP175)*10000+SUM(R175,AJ175)*100+SUM(L175,AD175)+0.002,1,0)+IF(AS175*1000000+SUM(U175,AM175)*10000+SUM(O175,AG175)*100+SUM(I175,AA175)+0.005&gt;AV175*1000000+SUM(X175,AP175)*10000+SUM(R175,AJ175)*100+SUM(L175,AD175)+0.002,1,0)+IF(AT175*1000000+SUM(V175,AN175)*10000+SUM(P175,AH175)*100+SUM(J175,AB175)+0.004&gt;AV175*1000000+SUM(X175,AP175)*10000+SUM(R175,AJ175)*100+SUM(L175,AD175)+0.002,1,0)+IF(AU175*1000000+SUM(W175,AO175)*10000+SUM(Q175,AI175)*100+SUM(K175,AC175)+0.003&gt;AV175*1000000+SUM(X175,AP175)*10000+SUM(R175,AJ175)*100+SUM(L175,AD175)+0.002,1,0)+IF(AW175*1000000+SUM(Y175,AQ175)*10000+SUM(S175,AK175)*100+SUM(M175,AE175)+0.001&gt;AV175*1000000+SUM(X175,AP175)*10000+SUM(R175,AJ175)*100+SUM(L175,AD175)+0.002,1,0)=2,"E",IF(IF(AR175*1000000+SUM(T175,AL175)*10000+SUM(N175,AF175)*100+SUM(H175,Z175)+0.006&gt;AW175*1000000+SUM(Y175,AQ175)*10000+SUM(S175,AK175)*100+SUM(M175,AE175)+0.001,1,0)+IF(AS175*1000000+SUM(U175,AM175)*10000+SUM(O175,AG175)*100+SUM(I175,AA175)+0.005&gt;AW175*1000000+SUM(Y175,AQ175)*10000+SUM(S175,AK175)*100+SUM(M175,AE175)+0.001,1,0)+IF(AT175*1000000+SUM(V175,AN175)*10000+SUM(P175,AH175)*100+SUM(J175,AB175)+0.004&gt;AW175*1000000+SUM(Y175,AQ175)*10000+SUM(S175,AK175)*100+SUM(M175,AE175)+0.001,1,0)+IF(AU175*1000000+SUM(W175,AO175)*10000+SUM(Q175,AI175)*100+SUM(K175,AC175)+0.003&gt;AW175*1000000+SUM(Y175,AQ175)*10000+SUM(S175,AK175)*100+SUM(M175,AE175)+0.001,1,0)+IF(AV175*1000000+SUM(X175,AP175)*10000+SUM(R175,AJ175)*100+SUM(L175,AD175)+0.002&gt;AW175*1000000+SUM(Y175,AQ175)*10000+SUM(S175,AK175)*100+SUM(M175,AE175)+0.001,1,0)=2,"C","")))))))</x:f>
      </x:c>
      <x:c r="AY175" s="27" t="str">
        <x:f>IF(C175="","",IF(LEFT(AX175,1)="R","นักปฏิบัติ",IF(LEFT(AX175,1)="I","นักคิดวิเคราะห์",IF(LEFT(AX175,1)="A","นักสร้างสรรค์",IF(LEFT(AX175,1)="S","ผู้เข้าใจผู้คน",IF(LEFT(AX175,1)="E","ผู้นำการเปลี่ยนแปลง","ผู้จัดระบบ"))))))</x:f>
      </x:c>
    </x:row>
    <x:row r="176">
      <x:c r="A176" s="27"/>
      <x:c r="B176" s="28"/>
      <x:c r="C176" s="27"/>
      <x:c r="D176" s="27"/>
      <x:c r="E176" s="27"/>
      <x:c r="F176" s="27"/>
      <x:c r="G176" s="27"/>
      <x:c r="H176" s="27"/>
      <x:c r="I176" s="27"/>
      <x:c r="J176" s="27"/>
      <x:c r="K176" s="27"/>
      <x:c r="L176" s="27"/>
      <x:c r="M176" s="27"/>
      <x:c r="N176" s="27"/>
      <x:c r="O176" s="27"/>
      <x:c r="P176" s="27"/>
      <x:c r="Q176" s="27"/>
      <x:c r="R176" s="27"/>
      <x:c r="S176" s="27"/>
      <x:c r="T176" s="27"/>
      <x:c r="U176" s="27"/>
      <x:c r="V176" s="27"/>
      <x:c r="W176" s="27"/>
      <x:c r="X176" s="27"/>
      <x:c r="Y176" s="27"/>
      <x:c r="Z176" s="27"/>
      <x:c r="AA176" s="27"/>
      <x:c r="AB176" s="27"/>
      <x:c r="AC176" s="27"/>
      <x:c r="AD176" s="27"/>
      <x:c r="AE176" s="27"/>
      <x:c r="AF176" s="27"/>
      <x:c r="AG176" s="27"/>
      <x:c r="AH176" s="27"/>
      <x:c r="AI176" s="27"/>
      <x:c r="AJ176" s="27"/>
      <x:c r="AK176" s="27"/>
      <x:c r="AL176" s="27"/>
      <x:c r="AM176" s="27"/>
      <x:c r="AN176" s="27"/>
      <x:c r="AO176" s="27"/>
      <x:c r="AP176" s="27"/>
      <x:c r="AQ176" s="27"/>
      <x:c r="AR176" s="27" t="str">
        <x:f>IF(C176="","",SUM(H176,N176,T176,Z176,AF176,AL176))</x:f>
      </x:c>
      <x:c r="AS176" s="27" t="str">
        <x:f>IF(C176="","",SUM(I176,O176,U176,AA176,AG176,AM176))</x:f>
      </x:c>
      <x:c r="AT176" s="27" t="str">
        <x:f>IF(C176="","",SUM(J176,P176,V176,AB176,AH176,AN176))</x:f>
      </x:c>
      <x:c r="AU176" s="27" t="str">
        <x:f>IF(C176="","",SUM(K176,Q176,W176,AC176,AI176,AO176))</x:f>
      </x:c>
      <x:c r="AV176" s="27" t="str">
        <x:f>IF(C176="","",SUM(L176,R176,X176,AD176,AJ176,AP176))</x:f>
      </x:c>
      <x:c r="AW176" s="27" t="str">
        <x:f>IF(C176="","",SUM(M176,S176,Y176,AE176,AK176,AQ176))</x:f>
      </x:c>
      <x:c r="AX176" s="27" t="str">
        <x:f>IF(C176="","",IF(IF(AS176*1000000+SUM(U176,AM176)*10000+SUM(O176,AG176)*100+SUM(I176,AA176)+0.005&gt;AR176*1000000+SUM(T176,AL176)*10000+SUM(N176,AF176)*100+SUM(H176,Z176)+0.006,1,0)+IF(AT176*1000000+SUM(V176,AN176)*10000+SUM(P176,AH176)*100+SUM(J176,AB176)+0.004&gt;AR176*1000000+SUM(T176,AL176)*10000+SUM(N176,AF176)*100+SUM(H176,Z176)+0.006,1,0)+IF(AU176*1000000+SUM(W176,AO176)*10000+SUM(Q176,AI176)*100+SUM(K176,AC176)+0.003&gt;AR176*1000000+SUM(T176,AL176)*10000+SUM(N176,AF176)*100+SUM(H176,Z176)+0.006,1,0)+IF(AV176*1000000+SUM(X176,AP176)*10000+SUM(R176,AJ176)*100+SUM(L176,AD176)+0.002&gt;AR176*1000000+SUM(T176,AL176)*10000+SUM(N176,AF176)*100+SUM(H176,Z176)+0.006,1,0)+IF(AW176*1000000+SUM(Y176,AQ176)*10000+SUM(S176,AK176)*100+SUM(M176,AE176)+0.001&gt;AR176*1000000+SUM(T176,AL176)*10000+SUM(N176,AF176)*100+SUM(H176,Z176)+0.006,1,0)=0,"R",IF(IF(AR176*1000000+SUM(T176,AL176)*10000+SUM(N176,AF176)*100+SUM(H176,Z176)+0.006&gt;AS176*1000000+SUM(U176,AM176)*10000+SUM(O176,AG176)*100+SUM(I176,AA176)+0.005,1,0)+IF(AT176*1000000+SUM(V176,AN176)*10000+SUM(P176,AH176)*100+SUM(J176,AB176)+0.004&gt;AS176*1000000+SUM(U176,AM176)*10000+SUM(O176,AG176)*100+SUM(I176,AA176)+0.005,1,0)+IF(AU176*1000000+SUM(W176,AO176)*10000+SUM(Q176,AI176)*100+SUM(K176,AC176)+0.003&gt;AS176*1000000+SUM(U176,AM176)*10000+SUM(O176,AG176)*100+SUM(I176,AA176)+0.005,1,0)+IF(AV176*1000000+SUM(X176,AP176)*10000+SUM(R176,AJ176)*100+SUM(L176,AD176)+0.002&gt;AS176*1000000+SUM(U176,AM176)*10000+SUM(O176,AG176)*100+SUM(I176,AA176)+0.005,1,0)+IF(AW176*1000000+SUM(Y176,AQ176)*10000+SUM(S176,AK176)*100+SUM(M176,AE176)+0.001&gt;AS176*1000000+SUM(U176,AM176)*10000+SUM(O176,AG176)*100+SUM(I176,AA176)+0.005,1,0)=0,"I",IF(IF(AR176*1000000+SUM(T176,AL176)*10000+SUM(N176,AF176)*100+SUM(H176,Z176)+0.006&gt;AT176*1000000+SUM(V176,AN176)*10000+SUM(P176,AH176)*100+SUM(J176,AB176)+0.004,1,0)+IF(AS176*1000000+SUM(U176,AM176)*10000+SUM(O176,AG176)*100+SUM(I176,AA176)+0.005&gt;AT176*1000000+SUM(V176,AN176)*10000+SUM(P176,AH176)*100+SUM(J176,AB176)+0.004,1,0)+IF(AU176*1000000+SUM(W176,AO176)*10000+SUM(Q176,AI176)*100+SUM(K176,AC176)+0.003&gt;AT176*1000000+SUM(V176,AN176)*10000+SUM(P176,AH176)*100+SUM(J176,AB176)+0.004,1,0)+IF(AV176*1000000+SUM(X176,AP176)*10000+SUM(R176,AJ176)*100+SUM(L176,AD176)+0.002&gt;AT176*1000000+SUM(V176,AN176)*10000+SUM(P176,AH176)*100+SUM(J176,AB176)+0.004,1,0)+IF(AW176*1000000+SUM(Y176,AQ176)*10000+SUM(S176,AK176)*100+SUM(M176,AE176)+0.001&gt;AT176*1000000+SUM(V176,AN176)*10000+SUM(P176,AH176)*100+SUM(J176,AB176)+0.004,1,0)=0,"A",IF(IF(AR176*1000000+SUM(T176,AL176)*10000+SUM(N176,AF176)*100+SUM(H176,Z176)+0.006&gt;AU176*1000000+SUM(W176,AO176)*10000+SUM(Q176,AI176)*100+SUM(K176,AC176)+0.003,1,0)+IF(AS176*1000000+SUM(U176,AM176)*10000+SUM(O176,AG176)*100+SUM(I176,AA176)+0.005&gt;AU176*1000000+SUM(W176,AO176)*10000+SUM(Q176,AI176)*100+SUM(K176,AC176)+0.003,1,0)+IF(AT176*1000000+SUM(V176,AN176)*10000+SUM(P176,AH176)*100+SUM(J176,AB176)+0.004&gt;AU176*1000000+SUM(W176,AO176)*10000+SUM(Q176,AI176)*100+SUM(K176,AC176)+0.003,1,0)+IF(AV176*1000000+SUM(X176,AP176)*10000+SUM(R176,AJ176)*100+SUM(L176,AD176)+0.002&gt;AU176*1000000+SUM(W176,AO176)*10000+SUM(Q176,AI176)*100+SUM(K176,AC176)+0.003,1,0)+IF(AW176*1000000+SUM(Y176,AQ176)*10000+SUM(S176,AK176)*100+SUM(M176,AE176)+0.001&gt;AU176*1000000+SUM(W176,AO176)*10000+SUM(Q176,AI176)*100+SUM(K176,AC176)+0.003,1,0)=0,"S",IF(IF(AR176*1000000+SUM(T176,AL176)*10000+SUM(N176,AF176)*100+SUM(H176,Z176)+0.006&gt;AV176*1000000+SUM(X176,AP176)*10000+SUM(R176,AJ176)*100+SUM(L176,AD176)+0.002,1,0)+IF(AS176*1000000+SUM(U176,AM176)*10000+SUM(O176,AG176)*100+SUM(I176,AA176)+0.005&gt;AV176*1000000+SUM(X176,AP176)*10000+SUM(R176,AJ176)*100+SUM(L176,AD176)+0.002,1,0)+IF(AT176*1000000+SUM(V176,AN176)*10000+SUM(P176,AH176)*100+SUM(J176,AB176)+0.004&gt;AV176*1000000+SUM(X176,AP176)*10000+SUM(R176,AJ176)*100+SUM(L176,AD176)+0.002,1,0)+IF(AU176*1000000+SUM(W176,AO176)*10000+SUM(Q176,AI176)*100+SUM(K176,AC176)+0.003&gt;AV176*1000000+SUM(X176,AP176)*10000+SUM(R176,AJ176)*100+SUM(L176,AD176)+0.002,1,0)+IF(AW176*1000000+SUM(Y176,AQ176)*10000+SUM(S176,AK176)*100+SUM(M176,AE176)+0.001&gt;AV176*1000000+SUM(X176,AP176)*10000+SUM(R176,AJ176)*100+SUM(L176,AD176)+0.002,1,0)=0,"E",IF(IF(AR176*1000000+SUM(T176,AL176)*10000+SUM(N176,AF176)*100+SUM(H176,Z176)+0.006&gt;AW176*1000000+SUM(Y176,AQ176)*10000+SUM(S176,AK176)*100+SUM(M176,AE176)+0.001,1,0)+IF(AS176*1000000+SUM(U176,AM176)*10000+SUM(O176,AG176)*100+SUM(I176,AA176)+0.005&gt;AW176*1000000+SUM(Y176,AQ176)*10000+SUM(S176,AK176)*100+SUM(M176,AE176)+0.001,1,0)+IF(AT176*1000000+SUM(V176,AN176)*10000+SUM(P176,AH176)*100+SUM(J176,AB176)+0.004&gt;AW176*1000000+SUM(Y176,AQ176)*10000+SUM(S176,AK176)*100+SUM(M176,AE176)+0.001,1,0)+IF(AU176*1000000+SUM(W176,AO176)*10000+SUM(Q176,AI176)*100+SUM(K176,AC176)+0.003&gt;AW176*1000000+SUM(Y176,AQ176)*10000+SUM(S176,AK176)*100+SUM(M176,AE176)+0.001,1,0)+IF(AV176*1000000+SUM(X176,AP176)*10000+SUM(R176,AJ176)*100+SUM(L176,AD176)+0.002&gt;AW176*1000000+SUM(Y176,AQ176)*10000+SUM(S176,AK176)*100+SUM(M176,AE176)+0.001,1,0)=0,"C",""))))))&amp;IF(IF(AS176*1000000+SUM(U176,AM176)*10000+SUM(O176,AG176)*100+SUM(I176,AA176)+0.005&gt;AR176*1000000+SUM(T176,AL176)*10000+SUM(N176,AF176)*100+SUM(H176,Z176)+0.006,1,0)+IF(AT176*1000000+SUM(V176,AN176)*10000+SUM(P176,AH176)*100+SUM(J176,AB176)+0.004&gt;AR176*1000000+SUM(T176,AL176)*10000+SUM(N176,AF176)*100+SUM(H176,Z176)+0.006,1,0)+IF(AU176*1000000+SUM(W176,AO176)*10000+SUM(Q176,AI176)*100+SUM(K176,AC176)+0.003&gt;AR176*1000000+SUM(T176,AL176)*10000+SUM(N176,AF176)*100+SUM(H176,Z176)+0.006,1,0)+IF(AV176*1000000+SUM(X176,AP176)*10000+SUM(R176,AJ176)*100+SUM(L176,AD176)+0.002&gt;AR176*1000000+SUM(T176,AL176)*10000+SUM(N176,AF176)*100+SUM(H176,Z176)+0.006,1,0)+IF(AW176*1000000+SUM(Y176,AQ176)*10000+SUM(S176,AK176)*100+SUM(M176,AE176)+0.001&gt;AR176*1000000+SUM(T176,AL176)*10000+SUM(N176,AF176)*100+SUM(H176,Z176)+0.006,1,0)=1,"R",IF(IF(AR176*1000000+SUM(T176,AL176)*10000+SUM(N176,AF176)*100+SUM(H176,Z176)+0.006&gt;AS176*1000000+SUM(U176,AM176)*10000+SUM(O176,AG176)*100+SUM(I176,AA176)+0.005,1,0)+IF(AT176*1000000+SUM(V176,AN176)*10000+SUM(P176,AH176)*100+SUM(J176,AB176)+0.004&gt;AS176*1000000+SUM(U176,AM176)*10000+SUM(O176,AG176)*100+SUM(I176,AA176)+0.005,1,0)+IF(AU176*1000000+SUM(W176,AO176)*10000+SUM(Q176,AI176)*100+SUM(K176,AC176)+0.003&gt;AS176*1000000+SUM(U176,AM176)*10000+SUM(O176,AG176)*100+SUM(I176,AA176)+0.005,1,0)+IF(AV176*1000000+SUM(X176,AP176)*10000+SUM(R176,AJ176)*100+SUM(L176,AD176)+0.002&gt;AS176*1000000+SUM(U176,AM176)*10000+SUM(O176,AG176)*100+SUM(I176,AA176)+0.005,1,0)+IF(AW176*1000000+SUM(Y176,AQ176)*10000+SUM(S176,AK176)*100+SUM(M176,AE176)+0.001&gt;AS176*1000000+SUM(U176,AM176)*10000+SUM(O176,AG176)*100+SUM(I176,AA176)+0.005,1,0)=1,"I",IF(IF(AR176*1000000+SUM(T176,AL176)*10000+SUM(N176,AF176)*100+SUM(H176,Z176)+0.006&gt;AT176*1000000+SUM(V176,AN176)*10000+SUM(P176,AH176)*100+SUM(J176,AB176)+0.004,1,0)+IF(AS176*1000000+SUM(U176,AM176)*10000+SUM(O176,AG176)*100+SUM(I176,AA176)+0.005&gt;AT176*1000000+SUM(V176,AN176)*10000+SUM(P176,AH176)*100+SUM(J176,AB176)+0.004,1,0)+IF(AU176*1000000+SUM(W176,AO176)*10000+SUM(Q176,AI176)*100+SUM(K176,AC176)+0.003&gt;AT176*1000000+SUM(V176,AN176)*10000+SUM(P176,AH176)*100+SUM(J176,AB176)+0.004,1,0)+IF(AV176*1000000+SUM(X176,AP176)*10000+SUM(R176,AJ176)*100+SUM(L176,AD176)+0.002&gt;AT176*1000000+SUM(V176,AN176)*10000+SUM(P176,AH176)*100+SUM(J176,AB176)+0.004,1,0)+IF(AW176*1000000+SUM(Y176,AQ176)*10000+SUM(S176,AK176)*100+SUM(M176,AE176)+0.001&gt;AT176*1000000+SUM(V176,AN176)*10000+SUM(P176,AH176)*100+SUM(J176,AB176)+0.004,1,0)=1,"A",IF(IF(AR176*1000000+SUM(T176,AL176)*10000+SUM(N176,AF176)*100+SUM(H176,Z176)+0.006&gt;AU176*1000000+SUM(W176,AO176)*10000+SUM(Q176,AI176)*100+SUM(K176,AC176)+0.003,1,0)+IF(AS176*1000000+SUM(U176,AM176)*10000+SUM(O176,AG176)*100+SUM(I176,AA176)+0.005&gt;AU176*1000000+SUM(W176,AO176)*10000+SUM(Q176,AI176)*100+SUM(K176,AC176)+0.003,1,0)+IF(AT176*1000000+SUM(V176,AN176)*10000+SUM(P176,AH176)*100+SUM(J176,AB176)+0.004&gt;AU176*1000000+SUM(W176,AO176)*10000+SUM(Q176,AI176)*100+SUM(K176,AC176)+0.003,1,0)+IF(AV176*1000000+SUM(X176,AP176)*10000+SUM(R176,AJ176)*100+SUM(L176,AD176)+0.002&gt;AU176*1000000+SUM(W176,AO176)*10000+SUM(Q176,AI176)*100+SUM(K176,AC176)+0.003,1,0)+IF(AW176*1000000+SUM(Y176,AQ176)*10000+SUM(S176,AK176)*100+SUM(M176,AE176)+0.001&gt;AU176*1000000+SUM(W176,AO176)*10000+SUM(Q176,AI176)*100+SUM(K176,AC176)+0.003,1,0)=1,"S",IF(IF(AR176*1000000+SUM(T176,AL176)*10000+SUM(N176,AF176)*100+SUM(H176,Z176)+0.006&gt;AV176*1000000+SUM(X176,AP176)*10000+SUM(R176,AJ176)*100+SUM(L176,AD176)+0.002,1,0)+IF(AS176*1000000+SUM(U176,AM176)*10000+SUM(O176,AG176)*100+SUM(I176,AA176)+0.005&gt;AV176*1000000+SUM(X176,AP176)*10000+SUM(R176,AJ176)*100+SUM(L176,AD176)+0.002,1,0)+IF(AT176*1000000+SUM(V176,AN176)*10000+SUM(P176,AH176)*100+SUM(J176,AB176)+0.004&gt;AV176*1000000+SUM(X176,AP176)*10000+SUM(R176,AJ176)*100+SUM(L176,AD176)+0.002,1,0)+IF(AU176*1000000+SUM(W176,AO176)*10000+SUM(Q176,AI176)*100+SUM(K176,AC176)+0.003&gt;AV176*1000000+SUM(X176,AP176)*10000+SUM(R176,AJ176)*100+SUM(L176,AD176)+0.002,1,0)+IF(AW176*1000000+SUM(Y176,AQ176)*10000+SUM(S176,AK176)*100+SUM(M176,AE176)+0.001&gt;AV176*1000000+SUM(X176,AP176)*10000+SUM(R176,AJ176)*100+SUM(L176,AD176)+0.002,1,0)=1,"E",IF(IF(AR176*1000000+SUM(T176,AL176)*10000+SUM(N176,AF176)*100+SUM(H176,Z176)+0.006&gt;AW176*1000000+SUM(Y176,AQ176)*10000+SUM(S176,AK176)*100+SUM(M176,AE176)+0.001,1,0)+IF(AS176*1000000+SUM(U176,AM176)*10000+SUM(O176,AG176)*100+SUM(I176,AA176)+0.005&gt;AW176*1000000+SUM(Y176,AQ176)*10000+SUM(S176,AK176)*100+SUM(M176,AE176)+0.001,1,0)+IF(AT176*1000000+SUM(V176,AN176)*10000+SUM(P176,AH176)*100+SUM(J176,AB176)+0.004&gt;AW176*1000000+SUM(Y176,AQ176)*10000+SUM(S176,AK176)*100+SUM(M176,AE176)+0.001,1,0)+IF(AU176*1000000+SUM(W176,AO176)*10000+SUM(Q176,AI176)*100+SUM(K176,AC176)+0.003&gt;AW176*1000000+SUM(Y176,AQ176)*10000+SUM(S176,AK176)*100+SUM(M176,AE176)+0.001,1,0)+IF(AV176*1000000+SUM(X176,AP176)*10000+SUM(R176,AJ176)*100+SUM(L176,AD176)+0.002&gt;AW176*1000000+SUM(Y176,AQ176)*10000+SUM(S176,AK176)*100+SUM(M176,AE176)+0.001,1,0)=1,"C",""))))))&amp;IF(IF(AS176*1000000+SUM(U176,AM176)*10000+SUM(O176,AG176)*100+SUM(I176,AA176)+0.005&gt;AR176*1000000+SUM(T176,AL176)*10000+SUM(N176,AF176)*100+SUM(H176,Z176)+0.006,1,0)+IF(AT176*1000000+SUM(V176,AN176)*10000+SUM(P176,AH176)*100+SUM(J176,AB176)+0.004&gt;AR176*1000000+SUM(T176,AL176)*10000+SUM(N176,AF176)*100+SUM(H176,Z176)+0.006,1,0)+IF(AU176*1000000+SUM(W176,AO176)*10000+SUM(Q176,AI176)*100+SUM(K176,AC176)+0.003&gt;AR176*1000000+SUM(T176,AL176)*10000+SUM(N176,AF176)*100+SUM(H176,Z176)+0.006,1,0)+IF(AV176*1000000+SUM(X176,AP176)*10000+SUM(R176,AJ176)*100+SUM(L176,AD176)+0.002&gt;AR176*1000000+SUM(T176,AL176)*10000+SUM(N176,AF176)*100+SUM(H176,Z176)+0.006,1,0)+IF(AW176*1000000+SUM(Y176,AQ176)*10000+SUM(S176,AK176)*100+SUM(M176,AE176)+0.001&gt;AR176*1000000+SUM(T176,AL176)*10000+SUM(N176,AF176)*100+SUM(H176,Z176)+0.006,1,0)=2,"R",IF(IF(AR176*1000000+SUM(T176,AL176)*10000+SUM(N176,AF176)*100+SUM(H176,Z176)+0.006&gt;AS176*1000000+SUM(U176,AM176)*10000+SUM(O176,AG176)*100+SUM(I176,AA176)+0.005,1,0)+IF(AT176*1000000+SUM(V176,AN176)*10000+SUM(P176,AH176)*100+SUM(J176,AB176)+0.004&gt;AS176*1000000+SUM(U176,AM176)*10000+SUM(O176,AG176)*100+SUM(I176,AA176)+0.005,1,0)+IF(AU176*1000000+SUM(W176,AO176)*10000+SUM(Q176,AI176)*100+SUM(K176,AC176)+0.003&gt;AS176*1000000+SUM(U176,AM176)*10000+SUM(O176,AG176)*100+SUM(I176,AA176)+0.005,1,0)+IF(AV176*1000000+SUM(X176,AP176)*10000+SUM(R176,AJ176)*100+SUM(L176,AD176)+0.002&gt;AS176*1000000+SUM(U176,AM176)*10000+SUM(O176,AG176)*100+SUM(I176,AA176)+0.005,1,0)+IF(AW176*1000000+SUM(Y176,AQ176)*10000+SUM(S176,AK176)*100+SUM(M176,AE176)+0.001&gt;AS176*1000000+SUM(U176,AM176)*10000+SUM(O176,AG176)*100+SUM(I176,AA176)+0.005,1,0)=2,"I",IF(IF(AR176*1000000+SUM(T176,AL176)*10000+SUM(N176,AF176)*100+SUM(H176,Z176)+0.006&gt;AT176*1000000+SUM(V176,AN176)*10000+SUM(P176,AH176)*100+SUM(J176,AB176)+0.004,1,0)+IF(AS176*1000000+SUM(U176,AM176)*10000+SUM(O176,AG176)*100+SUM(I176,AA176)+0.005&gt;AT176*1000000+SUM(V176,AN176)*10000+SUM(P176,AH176)*100+SUM(J176,AB176)+0.004,1,0)+IF(AU176*1000000+SUM(W176,AO176)*10000+SUM(Q176,AI176)*100+SUM(K176,AC176)+0.003&gt;AT176*1000000+SUM(V176,AN176)*10000+SUM(P176,AH176)*100+SUM(J176,AB176)+0.004,1,0)+IF(AV176*1000000+SUM(X176,AP176)*10000+SUM(R176,AJ176)*100+SUM(L176,AD176)+0.002&gt;AT176*1000000+SUM(V176,AN176)*10000+SUM(P176,AH176)*100+SUM(J176,AB176)+0.004,1,0)+IF(AW176*1000000+SUM(Y176,AQ176)*10000+SUM(S176,AK176)*100+SUM(M176,AE176)+0.001&gt;AT176*1000000+SUM(V176,AN176)*10000+SUM(P176,AH176)*100+SUM(J176,AB176)+0.004,1,0)=2,"A",IF(IF(AR176*1000000+SUM(T176,AL176)*10000+SUM(N176,AF176)*100+SUM(H176,Z176)+0.006&gt;AU176*1000000+SUM(W176,AO176)*10000+SUM(Q176,AI176)*100+SUM(K176,AC176)+0.003,1,0)+IF(AS176*1000000+SUM(U176,AM176)*10000+SUM(O176,AG176)*100+SUM(I176,AA176)+0.005&gt;AU176*1000000+SUM(W176,AO176)*10000+SUM(Q176,AI176)*100+SUM(K176,AC176)+0.003,1,0)+IF(AT176*1000000+SUM(V176,AN176)*10000+SUM(P176,AH176)*100+SUM(J176,AB176)+0.004&gt;AU176*1000000+SUM(W176,AO176)*10000+SUM(Q176,AI176)*100+SUM(K176,AC176)+0.003,1,0)+IF(AV176*1000000+SUM(X176,AP176)*10000+SUM(R176,AJ176)*100+SUM(L176,AD176)+0.002&gt;AU176*1000000+SUM(W176,AO176)*10000+SUM(Q176,AI176)*100+SUM(K176,AC176)+0.003,1,0)+IF(AW176*1000000+SUM(Y176,AQ176)*10000+SUM(S176,AK176)*100+SUM(M176,AE176)+0.001&gt;AU176*1000000+SUM(W176,AO176)*10000+SUM(Q176,AI176)*100+SUM(K176,AC176)+0.003,1,0)=2,"S",IF(IF(AR176*1000000+SUM(T176,AL176)*10000+SUM(N176,AF176)*100+SUM(H176,Z176)+0.006&gt;AV176*1000000+SUM(X176,AP176)*10000+SUM(R176,AJ176)*100+SUM(L176,AD176)+0.002,1,0)+IF(AS176*1000000+SUM(U176,AM176)*10000+SUM(O176,AG176)*100+SUM(I176,AA176)+0.005&gt;AV176*1000000+SUM(X176,AP176)*10000+SUM(R176,AJ176)*100+SUM(L176,AD176)+0.002,1,0)+IF(AT176*1000000+SUM(V176,AN176)*10000+SUM(P176,AH176)*100+SUM(J176,AB176)+0.004&gt;AV176*1000000+SUM(X176,AP176)*10000+SUM(R176,AJ176)*100+SUM(L176,AD176)+0.002,1,0)+IF(AU176*1000000+SUM(W176,AO176)*10000+SUM(Q176,AI176)*100+SUM(K176,AC176)+0.003&gt;AV176*1000000+SUM(X176,AP176)*10000+SUM(R176,AJ176)*100+SUM(L176,AD176)+0.002,1,0)+IF(AW176*1000000+SUM(Y176,AQ176)*10000+SUM(S176,AK176)*100+SUM(M176,AE176)+0.001&gt;AV176*1000000+SUM(X176,AP176)*10000+SUM(R176,AJ176)*100+SUM(L176,AD176)+0.002,1,0)=2,"E",IF(IF(AR176*1000000+SUM(T176,AL176)*10000+SUM(N176,AF176)*100+SUM(H176,Z176)+0.006&gt;AW176*1000000+SUM(Y176,AQ176)*10000+SUM(S176,AK176)*100+SUM(M176,AE176)+0.001,1,0)+IF(AS176*1000000+SUM(U176,AM176)*10000+SUM(O176,AG176)*100+SUM(I176,AA176)+0.005&gt;AW176*1000000+SUM(Y176,AQ176)*10000+SUM(S176,AK176)*100+SUM(M176,AE176)+0.001,1,0)+IF(AT176*1000000+SUM(V176,AN176)*10000+SUM(P176,AH176)*100+SUM(J176,AB176)+0.004&gt;AW176*1000000+SUM(Y176,AQ176)*10000+SUM(S176,AK176)*100+SUM(M176,AE176)+0.001,1,0)+IF(AU176*1000000+SUM(W176,AO176)*10000+SUM(Q176,AI176)*100+SUM(K176,AC176)+0.003&gt;AW176*1000000+SUM(Y176,AQ176)*10000+SUM(S176,AK176)*100+SUM(M176,AE176)+0.001,1,0)+IF(AV176*1000000+SUM(X176,AP176)*10000+SUM(R176,AJ176)*100+SUM(L176,AD176)+0.002&gt;AW176*1000000+SUM(Y176,AQ176)*10000+SUM(S176,AK176)*100+SUM(M176,AE176)+0.001,1,0)=2,"C","")))))))</x:f>
      </x:c>
      <x:c r="AY176" s="27" t="str">
        <x:f>IF(C176="","",IF(LEFT(AX176,1)="R","นักปฏิบัติ",IF(LEFT(AX176,1)="I","นักคิดวิเคราะห์",IF(LEFT(AX176,1)="A","นักสร้างสรรค์",IF(LEFT(AX176,1)="S","ผู้เข้าใจผู้คน",IF(LEFT(AX176,1)="E","ผู้นำการเปลี่ยนแปลง","ผู้จัดระบบ"))))))</x:f>
      </x:c>
    </x:row>
    <x:row r="177">
      <x:c r="A177" s="27"/>
      <x:c r="B177" s="28"/>
      <x:c r="C177" s="27"/>
      <x:c r="D177" s="27"/>
      <x:c r="E177" s="27"/>
      <x:c r="F177" s="27"/>
      <x:c r="G177" s="27"/>
      <x:c r="H177" s="27"/>
      <x:c r="I177" s="27"/>
      <x:c r="J177" s="27"/>
      <x:c r="K177" s="27"/>
      <x:c r="L177" s="27"/>
      <x:c r="M177" s="27"/>
      <x:c r="N177" s="27"/>
      <x:c r="O177" s="27"/>
      <x:c r="P177" s="27"/>
      <x:c r="Q177" s="27"/>
      <x:c r="R177" s="27"/>
      <x:c r="S177" s="27"/>
      <x:c r="T177" s="27"/>
      <x:c r="U177" s="27"/>
      <x:c r="V177" s="27"/>
      <x:c r="W177" s="27"/>
      <x:c r="X177" s="27"/>
      <x:c r="Y177" s="27"/>
      <x:c r="Z177" s="27"/>
      <x:c r="AA177" s="27"/>
      <x:c r="AB177" s="27"/>
      <x:c r="AC177" s="27"/>
      <x:c r="AD177" s="27"/>
      <x:c r="AE177" s="27"/>
      <x:c r="AF177" s="27"/>
      <x:c r="AG177" s="27"/>
      <x:c r="AH177" s="27"/>
      <x:c r="AI177" s="27"/>
      <x:c r="AJ177" s="27"/>
      <x:c r="AK177" s="27"/>
      <x:c r="AL177" s="27"/>
      <x:c r="AM177" s="27"/>
      <x:c r="AN177" s="27"/>
      <x:c r="AO177" s="27"/>
      <x:c r="AP177" s="27"/>
      <x:c r="AQ177" s="27"/>
      <x:c r="AR177" s="27" t="str">
        <x:f>IF(C177="","",SUM(H177,N177,T177,Z177,AF177,AL177))</x:f>
      </x:c>
      <x:c r="AS177" s="27" t="str">
        <x:f>IF(C177="","",SUM(I177,O177,U177,AA177,AG177,AM177))</x:f>
      </x:c>
      <x:c r="AT177" s="27" t="str">
        <x:f>IF(C177="","",SUM(J177,P177,V177,AB177,AH177,AN177))</x:f>
      </x:c>
      <x:c r="AU177" s="27" t="str">
        <x:f>IF(C177="","",SUM(K177,Q177,W177,AC177,AI177,AO177))</x:f>
      </x:c>
      <x:c r="AV177" s="27" t="str">
        <x:f>IF(C177="","",SUM(L177,R177,X177,AD177,AJ177,AP177))</x:f>
      </x:c>
      <x:c r="AW177" s="27" t="str">
        <x:f>IF(C177="","",SUM(M177,S177,Y177,AE177,AK177,AQ177))</x:f>
      </x:c>
      <x:c r="AX177" s="27" t="str">
        <x:f>IF(C177="","",IF(IF(AS177*1000000+SUM(U177,AM177)*10000+SUM(O177,AG177)*100+SUM(I177,AA177)+0.005&gt;AR177*1000000+SUM(T177,AL177)*10000+SUM(N177,AF177)*100+SUM(H177,Z177)+0.006,1,0)+IF(AT177*1000000+SUM(V177,AN177)*10000+SUM(P177,AH177)*100+SUM(J177,AB177)+0.004&gt;AR177*1000000+SUM(T177,AL177)*10000+SUM(N177,AF177)*100+SUM(H177,Z177)+0.006,1,0)+IF(AU177*1000000+SUM(W177,AO177)*10000+SUM(Q177,AI177)*100+SUM(K177,AC177)+0.003&gt;AR177*1000000+SUM(T177,AL177)*10000+SUM(N177,AF177)*100+SUM(H177,Z177)+0.006,1,0)+IF(AV177*1000000+SUM(X177,AP177)*10000+SUM(R177,AJ177)*100+SUM(L177,AD177)+0.002&gt;AR177*1000000+SUM(T177,AL177)*10000+SUM(N177,AF177)*100+SUM(H177,Z177)+0.006,1,0)+IF(AW177*1000000+SUM(Y177,AQ177)*10000+SUM(S177,AK177)*100+SUM(M177,AE177)+0.001&gt;AR177*1000000+SUM(T177,AL177)*10000+SUM(N177,AF177)*100+SUM(H177,Z177)+0.006,1,0)=0,"R",IF(IF(AR177*1000000+SUM(T177,AL177)*10000+SUM(N177,AF177)*100+SUM(H177,Z177)+0.006&gt;AS177*1000000+SUM(U177,AM177)*10000+SUM(O177,AG177)*100+SUM(I177,AA177)+0.005,1,0)+IF(AT177*1000000+SUM(V177,AN177)*10000+SUM(P177,AH177)*100+SUM(J177,AB177)+0.004&gt;AS177*1000000+SUM(U177,AM177)*10000+SUM(O177,AG177)*100+SUM(I177,AA177)+0.005,1,0)+IF(AU177*1000000+SUM(W177,AO177)*10000+SUM(Q177,AI177)*100+SUM(K177,AC177)+0.003&gt;AS177*1000000+SUM(U177,AM177)*10000+SUM(O177,AG177)*100+SUM(I177,AA177)+0.005,1,0)+IF(AV177*1000000+SUM(X177,AP177)*10000+SUM(R177,AJ177)*100+SUM(L177,AD177)+0.002&gt;AS177*1000000+SUM(U177,AM177)*10000+SUM(O177,AG177)*100+SUM(I177,AA177)+0.005,1,0)+IF(AW177*1000000+SUM(Y177,AQ177)*10000+SUM(S177,AK177)*100+SUM(M177,AE177)+0.001&gt;AS177*1000000+SUM(U177,AM177)*10000+SUM(O177,AG177)*100+SUM(I177,AA177)+0.005,1,0)=0,"I",IF(IF(AR177*1000000+SUM(T177,AL177)*10000+SUM(N177,AF177)*100+SUM(H177,Z177)+0.006&gt;AT177*1000000+SUM(V177,AN177)*10000+SUM(P177,AH177)*100+SUM(J177,AB177)+0.004,1,0)+IF(AS177*1000000+SUM(U177,AM177)*10000+SUM(O177,AG177)*100+SUM(I177,AA177)+0.005&gt;AT177*1000000+SUM(V177,AN177)*10000+SUM(P177,AH177)*100+SUM(J177,AB177)+0.004,1,0)+IF(AU177*1000000+SUM(W177,AO177)*10000+SUM(Q177,AI177)*100+SUM(K177,AC177)+0.003&gt;AT177*1000000+SUM(V177,AN177)*10000+SUM(P177,AH177)*100+SUM(J177,AB177)+0.004,1,0)+IF(AV177*1000000+SUM(X177,AP177)*10000+SUM(R177,AJ177)*100+SUM(L177,AD177)+0.002&gt;AT177*1000000+SUM(V177,AN177)*10000+SUM(P177,AH177)*100+SUM(J177,AB177)+0.004,1,0)+IF(AW177*1000000+SUM(Y177,AQ177)*10000+SUM(S177,AK177)*100+SUM(M177,AE177)+0.001&gt;AT177*1000000+SUM(V177,AN177)*10000+SUM(P177,AH177)*100+SUM(J177,AB177)+0.004,1,0)=0,"A",IF(IF(AR177*1000000+SUM(T177,AL177)*10000+SUM(N177,AF177)*100+SUM(H177,Z177)+0.006&gt;AU177*1000000+SUM(W177,AO177)*10000+SUM(Q177,AI177)*100+SUM(K177,AC177)+0.003,1,0)+IF(AS177*1000000+SUM(U177,AM177)*10000+SUM(O177,AG177)*100+SUM(I177,AA177)+0.005&gt;AU177*1000000+SUM(W177,AO177)*10000+SUM(Q177,AI177)*100+SUM(K177,AC177)+0.003,1,0)+IF(AT177*1000000+SUM(V177,AN177)*10000+SUM(P177,AH177)*100+SUM(J177,AB177)+0.004&gt;AU177*1000000+SUM(W177,AO177)*10000+SUM(Q177,AI177)*100+SUM(K177,AC177)+0.003,1,0)+IF(AV177*1000000+SUM(X177,AP177)*10000+SUM(R177,AJ177)*100+SUM(L177,AD177)+0.002&gt;AU177*1000000+SUM(W177,AO177)*10000+SUM(Q177,AI177)*100+SUM(K177,AC177)+0.003,1,0)+IF(AW177*1000000+SUM(Y177,AQ177)*10000+SUM(S177,AK177)*100+SUM(M177,AE177)+0.001&gt;AU177*1000000+SUM(W177,AO177)*10000+SUM(Q177,AI177)*100+SUM(K177,AC177)+0.003,1,0)=0,"S",IF(IF(AR177*1000000+SUM(T177,AL177)*10000+SUM(N177,AF177)*100+SUM(H177,Z177)+0.006&gt;AV177*1000000+SUM(X177,AP177)*10000+SUM(R177,AJ177)*100+SUM(L177,AD177)+0.002,1,0)+IF(AS177*1000000+SUM(U177,AM177)*10000+SUM(O177,AG177)*100+SUM(I177,AA177)+0.005&gt;AV177*1000000+SUM(X177,AP177)*10000+SUM(R177,AJ177)*100+SUM(L177,AD177)+0.002,1,0)+IF(AT177*1000000+SUM(V177,AN177)*10000+SUM(P177,AH177)*100+SUM(J177,AB177)+0.004&gt;AV177*1000000+SUM(X177,AP177)*10000+SUM(R177,AJ177)*100+SUM(L177,AD177)+0.002,1,0)+IF(AU177*1000000+SUM(W177,AO177)*10000+SUM(Q177,AI177)*100+SUM(K177,AC177)+0.003&gt;AV177*1000000+SUM(X177,AP177)*10000+SUM(R177,AJ177)*100+SUM(L177,AD177)+0.002,1,0)+IF(AW177*1000000+SUM(Y177,AQ177)*10000+SUM(S177,AK177)*100+SUM(M177,AE177)+0.001&gt;AV177*1000000+SUM(X177,AP177)*10000+SUM(R177,AJ177)*100+SUM(L177,AD177)+0.002,1,0)=0,"E",IF(IF(AR177*1000000+SUM(T177,AL177)*10000+SUM(N177,AF177)*100+SUM(H177,Z177)+0.006&gt;AW177*1000000+SUM(Y177,AQ177)*10000+SUM(S177,AK177)*100+SUM(M177,AE177)+0.001,1,0)+IF(AS177*1000000+SUM(U177,AM177)*10000+SUM(O177,AG177)*100+SUM(I177,AA177)+0.005&gt;AW177*1000000+SUM(Y177,AQ177)*10000+SUM(S177,AK177)*100+SUM(M177,AE177)+0.001,1,0)+IF(AT177*1000000+SUM(V177,AN177)*10000+SUM(P177,AH177)*100+SUM(J177,AB177)+0.004&gt;AW177*1000000+SUM(Y177,AQ177)*10000+SUM(S177,AK177)*100+SUM(M177,AE177)+0.001,1,0)+IF(AU177*1000000+SUM(W177,AO177)*10000+SUM(Q177,AI177)*100+SUM(K177,AC177)+0.003&gt;AW177*1000000+SUM(Y177,AQ177)*10000+SUM(S177,AK177)*100+SUM(M177,AE177)+0.001,1,0)+IF(AV177*1000000+SUM(X177,AP177)*10000+SUM(R177,AJ177)*100+SUM(L177,AD177)+0.002&gt;AW177*1000000+SUM(Y177,AQ177)*10000+SUM(S177,AK177)*100+SUM(M177,AE177)+0.001,1,0)=0,"C",""))))))&amp;IF(IF(AS177*1000000+SUM(U177,AM177)*10000+SUM(O177,AG177)*100+SUM(I177,AA177)+0.005&gt;AR177*1000000+SUM(T177,AL177)*10000+SUM(N177,AF177)*100+SUM(H177,Z177)+0.006,1,0)+IF(AT177*1000000+SUM(V177,AN177)*10000+SUM(P177,AH177)*100+SUM(J177,AB177)+0.004&gt;AR177*1000000+SUM(T177,AL177)*10000+SUM(N177,AF177)*100+SUM(H177,Z177)+0.006,1,0)+IF(AU177*1000000+SUM(W177,AO177)*10000+SUM(Q177,AI177)*100+SUM(K177,AC177)+0.003&gt;AR177*1000000+SUM(T177,AL177)*10000+SUM(N177,AF177)*100+SUM(H177,Z177)+0.006,1,0)+IF(AV177*1000000+SUM(X177,AP177)*10000+SUM(R177,AJ177)*100+SUM(L177,AD177)+0.002&gt;AR177*1000000+SUM(T177,AL177)*10000+SUM(N177,AF177)*100+SUM(H177,Z177)+0.006,1,0)+IF(AW177*1000000+SUM(Y177,AQ177)*10000+SUM(S177,AK177)*100+SUM(M177,AE177)+0.001&gt;AR177*1000000+SUM(T177,AL177)*10000+SUM(N177,AF177)*100+SUM(H177,Z177)+0.006,1,0)=1,"R",IF(IF(AR177*1000000+SUM(T177,AL177)*10000+SUM(N177,AF177)*100+SUM(H177,Z177)+0.006&gt;AS177*1000000+SUM(U177,AM177)*10000+SUM(O177,AG177)*100+SUM(I177,AA177)+0.005,1,0)+IF(AT177*1000000+SUM(V177,AN177)*10000+SUM(P177,AH177)*100+SUM(J177,AB177)+0.004&gt;AS177*1000000+SUM(U177,AM177)*10000+SUM(O177,AG177)*100+SUM(I177,AA177)+0.005,1,0)+IF(AU177*1000000+SUM(W177,AO177)*10000+SUM(Q177,AI177)*100+SUM(K177,AC177)+0.003&gt;AS177*1000000+SUM(U177,AM177)*10000+SUM(O177,AG177)*100+SUM(I177,AA177)+0.005,1,0)+IF(AV177*1000000+SUM(X177,AP177)*10000+SUM(R177,AJ177)*100+SUM(L177,AD177)+0.002&gt;AS177*1000000+SUM(U177,AM177)*10000+SUM(O177,AG177)*100+SUM(I177,AA177)+0.005,1,0)+IF(AW177*1000000+SUM(Y177,AQ177)*10000+SUM(S177,AK177)*100+SUM(M177,AE177)+0.001&gt;AS177*1000000+SUM(U177,AM177)*10000+SUM(O177,AG177)*100+SUM(I177,AA177)+0.005,1,0)=1,"I",IF(IF(AR177*1000000+SUM(T177,AL177)*10000+SUM(N177,AF177)*100+SUM(H177,Z177)+0.006&gt;AT177*1000000+SUM(V177,AN177)*10000+SUM(P177,AH177)*100+SUM(J177,AB177)+0.004,1,0)+IF(AS177*1000000+SUM(U177,AM177)*10000+SUM(O177,AG177)*100+SUM(I177,AA177)+0.005&gt;AT177*1000000+SUM(V177,AN177)*10000+SUM(P177,AH177)*100+SUM(J177,AB177)+0.004,1,0)+IF(AU177*1000000+SUM(W177,AO177)*10000+SUM(Q177,AI177)*100+SUM(K177,AC177)+0.003&gt;AT177*1000000+SUM(V177,AN177)*10000+SUM(P177,AH177)*100+SUM(J177,AB177)+0.004,1,0)+IF(AV177*1000000+SUM(X177,AP177)*10000+SUM(R177,AJ177)*100+SUM(L177,AD177)+0.002&gt;AT177*1000000+SUM(V177,AN177)*10000+SUM(P177,AH177)*100+SUM(J177,AB177)+0.004,1,0)+IF(AW177*1000000+SUM(Y177,AQ177)*10000+SUM(S177,AK177)*100+SUM(M177,AE177)+0.001&gt;AT177*1000000+SUM(V177,AN177)*10000+SUM(P177,AH177)*100+SUM(J177,AB177)+0.004,1,0)=1,"A",IF(IF(AR177*1000000+SUM(T177,AL177)*10000+SUM(N177,AF177)*100+SUM(H177,Z177)+0.006&gt;AU177*1000000+SUM(W177,AO177)*10000+SUM(Q177,AI177)*100+SUM(K177,AC177)+0.003,1,0)+IF(AS177*1000000+SUM(U177,AM177)*10000+SUM(O177,AG177)*100+SUM(I177,AA177)+0.005&gt;AU177*1000000+SUM(W177,AO177)*10000+SUM(Q177,AI177)*100+SUM(K177,AC177)+0.003,1,0)+IF(AT177*1000000+SUM(V177,AN177)*10000+SUM(P177,AH177)*100+SUM(J177,AB177)+0.004&gt;AU177*1000000+SUM(W177,AO177)*10000+SUM(Q177,AI177)*100+SUM(K177,AC177)+0.003,1,0)+IF(AV177*1000000+SUM(X177,AP177)*10000+SUM(R177,AJ177)*100+SUM(L177,AD177)+0.002&gt;AU177*1000000+SUM(W177,AO177)*10000+SUM(Q177,AI177)*100+SUM(K177,AC177)+0.003,1,0)+IF(AW177*1000000+SUM(Y177,AQ177)*10000+SUM(S177,AK177)*100+SUM(M177,AE177)+0.001&gt;AU177*1000000+SUM(W177,AO177)*10000+SUM(Q177,AI177)*100+SUM(K177,AC177)+0.003,1,0)=1,"S",IF(IF(AR177*1000000+SUM(T177,AL177)*10000+SUM(N177,AF177)*100+SUM(H177,Z177)+0.006&gt;AV177*1000000+SUM(X177,AP177)*10000+SUM(R177,AJ177)*100+SUM(L177,AD177)+0.002,1,0)+IF(AS177*1000000+SUM(U177,AM177)*10000+SUM(O177,AG177)*100+SUM(I177,AA177)+0.005&gt;AV177*1000000+SUM(X177,AP177)*10000+SUM(R177,AJ177)*100+SUM(L177,AD177)+0.002,1,0)+IF(AT177*1000000+SUM(V177,AN177)*10000+SUM(P177,AH177)*100+SUM(J177,AB177)+0.004&gt;AV177*1000000+SUM(X177,AP177)*10000+SUM(R177,AJ177)*100+SUM(L177,AD177)+0.002,1,0)+IF(AU177*1000000+SUM(W177,AO177)*10000+SUM(Q177,AI177)*100+SUM(K177,AC177)+0.003&gt;AV177*1000000+SUM(X177,AP177)*10000+SUM(R177,AJ177)*100+SUM(L177,AD177)+0.002,1,0)+IF(AW177*1000000+SUM(Y177,AQ177)*10000+SUM(S177,AK177)*100+SUM(M177,AE177)+0.001&gt;AV177*1000000+SUM(X177,AP177)*10000+SUM(R177,AJ177)*100+SUM(L177,AD177)+0.002,1,0)=1,"E",IF(IF(AR177*1000000+SUM(T177,AL177)*10000+SUM(N177,AF177)*100+SUM(H177,Z177)+0.006&gt;AW177*1000000+SUM(Y177,AQ177)*10000+SUM(S177,AK177)*100+SUM(M177,AE177)+0.001,1,0)+IF(AS177*1000000+SUM(U177,AM177)*10000+SUM(O177,AG177)*100+SUM(I177,AA177)+0.005&gt;AW177*1000000+SUM(Y177,AQ177)*10000+SUM(S177,AK177)*100+SUM(M177,AE177)+0.001,1,0)+IF(AT177*1000000+SUM(V177,AN177)*10000+SUM(P177,AH177)*100+SUM(J177,AB177)+0.004&gt;AW177*1000000+SUM(Y177,AQ177)*10000+SUM(S177,AK177)*100+SUM(M177,AE177)+0.001,1,0)+IF(AU177*1000000+SUM(W177,AO177)*10000+SUM(Q177,AI177)*100+SUM(K177,AC177)+0.003&gt;AW177*1000000+SUM(Y177,AQ177)*10000+SUM(S177,AK177)*100+SUM(M177,AE177)+0.001,1,0)+IF(AV177*1000000+SUM(X177,AP177)*10000+SUM(R177,AJ177)*100+SUM(L177,AD177)+0.002&gt;AW177*1000000+SUM(Y177,AQ177)*10000+SUM(S177,AK177)*100+SUM(M177,AE177)+0.001,1,0)=1,"C",""))))))&amp;IF(IF(AS177*1000000+SUM(U177,AM177)*10000+SUM(O177,AG177)*100+SUM(I177,AA177)+0.005&gt;AR177*1000000+SUM(T177,AL177)*10000+SUM(N177,AF177)*100+SUM(H177,Z177)+0.006,1,0)+IF(AT177*1000000+SUM(V177,AN177)*10000+SUM(P177,AH177)*100+SUM(J177,AB177)+0.004&gt;AR177*1000000+SUM(T177,AL177)*10000+SUM(N177,AF177)*100+SUM(H177,Z177)+0.006,1,0)+IF(AU177*1000000+SUM(W177,AO177)*10000+SUM(Q177,AI177)*100+SUM(K177,AC177)+0.003&gt;AR177*1000000+SUM(T177,AL177)*10000+SUM(N177,AF177)*100+SUM(H177,Z177)+0.006,1,0)+IF(AV177*1000000+SUM(X177,AP177)*10000+SUM(R177,AJ177)*100+SUM(L177,AD177)+0.002&gt;AR177*1000000+SUM(T177,AL177)*10000+SUM(N177,AF177)*100+SUM(H177,Z177)+0.006,1,0)+IF(AW177*1000000+SUM(Y177,AQ177)*10000+SUM(S177,AK177)*100+SUM(M177,AE177)+0.001&gt;AR177*1000000+SUM(T177,AL177)*10000+SUM(N177,AF177)*100+SUM(H177,Z177)+0.006,1,0)=2,"R",IF(IF(AR177*1000000+SUM(T177,AL177)*10000+SUM(N177,AF177)*100+SUM(H177,Z177)+0.006&gt;AS177*1000000+SUM(U177,AM177)*10000+SUM(O177,AG177)*100+SUM(I177,AA177)+0.005,1,0)+IF(AT177*1000000+SUM(V177,AN177)*10000+SUM(P177,AH177)*100+SUM(J177,AB177)+0.004&gt;AS177*1000000+SUM(U177,AM177)*10000+SUM(O177,AG177)*100+SUM(I177,AA177)+0.005,1,0)+IF(AU177*1000000+SUM(W177,AO177)*10000+SUM(Q177,AI177)*100+SUM(K177,AC177)+0.003&gt;AS177*1000000+SUM(U177,AM177)*10000+SUM(O177,AG177)*100+SUM(I177,AA177)+0.005,1,0)+IF(AV177*1000000+SUM(X177,AP177)*10000+SUM(R177,AJ177)*100+SUM(L177,AD177)+0.002&gt;AS177*1000000+SUM(U177,AM177)*10000+SUM(O177,AG177)*100+SUM(I177,AA177)+0.005,1,0)+IF(AW177*1000000+SUM(Y177,AQ177)*10000+SUM(S177,AK177)*100+SUM(M177,AE177)+0.001&gt;AS177*1000000+SUM(U177,AM177)*10000+SUM(O177,AG177)*100+SUM(I177,AA177)+0.005,1,0)=2,"I",IF(IF(AR177*1000000+SUM(T177,AL177)*10000+SUM(N177,AF177)*100+SUM(H177,Z177)+0.006&gt;AT177*1000000+SUM(V177,AN177)*10000+SUM(P177,AH177)*100+SUM(J177,AB177)+0.004,1,0)+IF(AS177*1000000+SUM(U177,AM177)*10000+SUM(O177,AG177)*100+SUM(I177,AA177)+0.005&gt;AT177*1000000+SUM(V177,AN177)*10000+SUM(P177,AH177)*100+SUM(J177,AB177)+0.004,1,0)+IF(AU177*1000000+SUM(W177,AO177)*10000+SUM(Q177,AI177)*100+SUM(K177,AC177)+0.003&gt;AT177*1000000+SUM(V177,AN177)*10000+SUM(P177,AH177)*100+SUM(J177,AB177)+0.004,1,0)+IF(AV177*1000000+SUM(X177,AP177)*10000+SUM(R177,AJ177)*100+SUM(L177,AD177)+0.002&gt;AT177*1000000+SUM(V177,AN177)*10000+SUM(P177,AH177)*100+SUM(J177,AB177)+0.004,1,0)+IF(AW177*1000000+SUM(Y177,AQ177)*10000+SUM(S177,AK177)*100+SUM(M177,AE177)+0.001&gt;AT177*1000000+SUM(V177,AN177)*10000+SUM(P177,AH177)*100+SUM(J177,AB177)+0.004,1,0)=2,"A",IF(IF(AR177*1000000+SUM(T177,AL177)*10000+SUM(N177,AF177)*100+SUM(H177,Z177)+0.006&gt;AU177*1000000+SUM(W177,AO177)*10000+SUM(Q177,AI177)*100+SUM(K177,AC177)+0.003,1,0)+IF(AS177*1000000+SUM(U177,AM177)*10000+SUM(O177,AG177)*100+SUM(I177,AA177)+0.005&gt;AU177*1000000+SUM(W177,AO177)*10000+SUM(Q177,AI177)*100+SUM(K177,AC177)+0.003,1,0)+IF(AT177*1000000+SUM(V177,AN177)*10000+SUM(P177,AH177)*100+SUM(J177,AB177)+0.004&gt;AU177*1000000+SUM(W177,AO177)*10000+SUM(Q177,AI177)*100+SUM(K177,AC177)+0.003,1,0)+IF(AV177*1000000+SUM(X177,AP177)*10000+SUM(R177,AJ177)*100+SUM(L177,AD177)+0.002&gt;AU177*1000000+SUM(W177,AO177)*10000+SUM(Q177,AI177)*100+SUM(K177,AC177)+0.003,1,0)+IF(AW177*1000000+SUM(Y177,AQ177)*10000+SUM(S177,AK177)*100+SUM(M177,AE177)+0.001&gt;AU177*1000000+SUM(W177,AO177)*10000+SUM(Q177,AI177)*100+SUM(K177,AC177)+0.003,1,0)=2,"S",IF(IF(AR177*1000000+SUM(T177,AL177)*10000+SUM(N177,AF177)*100+SUM(H177,Z177)+0.006&gt;AV177*1000000+SUM(X177,AP177)*10000+SUM(R177,AJ177)*100+SUM(L177,AD177)+0.002,1,0)+IF(AS177*1000000+SUM(U177,AM177)*10000+SUM(O177,AG177)*100+SUM(I177,AA177)+0.005&gt;AV177*1000000+SUM(X177,AP177)*10000+SUM(R177,AJ177)*100+SUM(L177,AD177)+0.002,1,0)+IF(AT177*1000000+SUM(V177,AN177)*10000+SUM(P177,AH177)*100+SUM(J177,AB177)+0.004&gt;AV177*1000000+SUM(X177,AP177)*10000+SUM(R177,AJ177)*100+SUM(L177,AD177)+0.002,1,0)+IF(AU177*1000000+SUM(W177,AO177)*10000+SUM(Q177,AI177)*100+SUM(K177,AC177)+0.003&gt;AV177*1000000+SUM(X177,AP177)*10000+SUM(R177,AJ177)*100+SUM(L177,AD177)+0.002,1,0)+IF(AW177*1000000+SUM(Y177,AQ177)*10000+SUM(S177,AK177)*100+SUM(M177,AE177)+0.001&gt;AV177*1000000+SUM(X177,AP177)*10000+SUM(R177,AJ177)*100+SUM(L177,AD177)+0.002,1,0)=2,"E",IF(IF(AR177*1000000+SUM(T177,AL177)*10000+SUM(N177,AF177)*100+SUM(H177,Z177)+0.006&gt;AW177*1000000+SUM(Y177,AQ177)*10000+SUM(S177,AK177)*100+SUM(M177,AE177)+0.001,1,0)+IF(AS177*1000000+SUM(U177,AM177)*10000+SUM(O177,AG177)*100+SUM(I177,AA177)+0.005&gt;AW177*1000000+SUM(Y177,AQ177)*10000+SUM(S177,AK177)*100+SUM(M177,AE177)+0.001,1,0)+IF(AT177*1000000+SUM(V177,AN177)*10000+SUM(P177,AH177)*100+SUM(J177,AB177)+0.004&gt;AW177*1000000+SUM(Y177,AQ177)*10000+SUM(S177,AK177)*100+SUM(M177,AE177)+0.001,1,0)+IF(AU177*1000000+SUM(W177,AO177)*10000+SUM(Q177,AI177)*100+SUM(K177,AC177)+0.003&gt;AW177*1000000+SUM(Y177,AQ177)*10000+SUM(S177,AK177)*100+SUM(M177,AE177)+0.001,1,0)+IF(AV177*1000000+SUM(X177,AP177)*10000+SUM(R177,AJ177)*100+SUM(L177,AD177)+0.002&gt;AW177*1000000+SUM(Y177,AQ177)*10000+SUM(S177,AK177)*100+SUM(M177,AE177)+0.001,1,0)=2,"C","")))))))</x:f>
      </x:c>
      <x:c r="AY177" s="27" t="str">
        <x:f>IF(C177="","",IF(LEFT(AX177,1)="R","นักปฏิบัติ",IF(LEFT(AX177,1)="I","นักคิดวิเคราะห์",IF(LEFT(AX177,1)="A","นักสร้างสรรค์",IF(LEFT(AX177,1)="S","ผู้เข้าใจผู้คน",IF(LEFT(AX177,1)="E","ผู้นำการเปลี่ยนแปลง","ผู้จัดระบบ"))))))</x:f>
      </x:c>
    </x:row>
    <x:row r="178">
      <x:c r="A178" s="27"/>
      <x:c r="B178" s="28"/>
      <x:c r="C178" s="27"/>
      <x:c r="D178" s="27"/>
      <x:c r="E178" s="27"/>
      <x:c r="F178" s="27"/>
      <x:c r="G178" s="27"/>
      <x:c r="H178" s="27"/>
      <x:c r="I178" s="27"/>
      <x:c r="J178" s="27"/>
      <x:c r="K178" s="27"/>
      <x:c r="L178" s="27"/>
      <x:c r="M178" s="27"/>
      <x:c r="N178" s="27"/>
      <x:c r="O178" s="27"/>
      <x:c r="P178" s="27"/>
      <x:c r="Q178" s="27"/>
      <x:c r="R178" s="27"/>
      <x:c r="S178" s="27"/>
      <x:c r="T178" s="27"/>
      <x:c r="U178" s="27"/>
      <x:c r="V178" s="27"/>
      <x:c r="W178" s="27"/>
      <x:c r="X178" s="27"/>
      <x:c r="Y178" s="27"/>
      <x:c r="Z178" s="27"/>
      <x:c r="AA178" s="27"/>
      <x:c r="AB178" s="27"/>
      <x:c r="AC178" s="27"/>
      <x:c r="AD178" s="27"/>
      <x:c r="AE178" s="27"/>
      <x:c r="AF178" s="27"/>
      <x:c r="AG178" s="27"/>
      <x:c r="AH178" s="27"/>
      <x:c r="AI178" s="27"/>
      <x:c r="AJ178" s="27"/>
      <x:c r="AK178" s="27"/>
      <x:c r="AL178" s="27"/>
      <x:c r="AM178" s="27"/>
      <x:c r="AN178" s="27"/>
      <x:c r="AO178" s="27"/>
      <x:c r="AP178" s="27"/>
      <x:c r="AQ178" s="27"/>
      <x:c r="AR178" s="27" t="str">
        <x:f>IF(C178="","",SUM(H178,N178,T178,Z178,AF178,AL178))</x:f>
      </x:c>
      <x:c r="AS178" s="27" t="str">
        <x:f>IF(C178="","",SUM(I178,O178,U178,AA178,AG178,AM178))</x:f>
      </x:c>
      <x:c r="AT178" s="27" t="str">
        <x:f>IF(C178="","",SUM(J178,P178,V178,AB178,AH178,AN178))</x:f>
      </x:c>
      <x:c r="AU178" s="27" t="str">
        <x:f>IF(C178="","",SUM(K178,Q178,W178,AC178,AI178,AO178))</x:f>
      </x:c>
      <x:c r="AV178" s="27" t="str">
        <x:f>IF(C178="","",SUM(L178,R178,X178,AD178,AJ178,AP178))</x:f>
      </x:c>
      <x:c r="AW178" s="27" t="str">
        <x:f>IF(C178="","",SUM(M178,S178,Y178,AE178,AK178,AQ178))</x:f>
      </x:c>
      <x:c r="AX178" s="27" t="str">
        <x:f>IF(C178="","",IF(IF(AS178*1000000+SUM(U178,AM178)*10000+SUM(O178,AG178)*100+SUM(I178,AA178)+0.005&gt;AR178*1000000+SUM(T178,AL178)*10000+SUM(N178,AF178)*100+SUM(H178,Z178)+0.006,1,0)+IF(AT178*1000000+SUM(V178,AN178)*10000+SUM(P178,AH178)*100+SUM(J178,AB178)+0.004&gt;AR178*1000000+SUM(T178,AL178)*10000+SUM(N178,AF178)*100+SUM(H178,Z178)+0.006,1,0)+IF(AU178*1000000+SUM(W178,AO178)*10000+SUM(Q178,AI178)*100+SUM(K178,AC178)+0.003&gt;AR178*1000000+SUM(T178,AL178)*10000+SUM(N178,AF178)*100+SUM(H178,Z178)+0.006,1,0)+IF(AV178*1000000+SUM(X178,AP178)*10000+SUM(R178,AJ178)*100+SUM(L178,AD178)+0.002&gt;AR178*1000000+SUM(T178,AL178)*10000+SUM(N178,AF178)*100+SUM(H178,Z178)+0.006,1,0)+IF(AW178*1000000+SUM(Y178,AQ178)*10000+SUM(S178,AK178)*100+SUM(M178,AE178)+0.001&gt;AR178*1000000+SUM(T178,AL178)*10000+SUM(N178,AF178)*100+SUM(H178,Z178)+0.006,1,0)=0,"R",IF(IF(AR178*1000000+SUM(T178,AL178)*10000+SUM(N178,AF178)*100+SUM(H178,Z178)+0.006&gt;AS178*1000000+SUM(U178,AM178)*10000+SUM(O178,AG178)*100+SUM(I178,AA178)+0.005,1,0)+IF(AT178*1000000+SUM(V178,AN178)*10000+SUM(P178,AH178)*100+SUM(J178,AB178)+0.004&gt;AS178*1000000+SUM(U178,AM178)*10000+SUM(O178,AG178)*100+SUM(I178,AA178)+0.005,1,0)+IF(AU178*1000000+SUM(W178,AO178)*10000+SUM(Q178,AI178)*100+SUM(K178,AC178)+0.003&gt;AS178*1000000+SUM(U178,AM178)*10000+SUM(O178,AG178)*100+SUM(I178,AA178)+0.005,1,0)+IF(AV178*1000000+SUM(X178,AP178)*10000+SUM(R178,AJ178)*100+SUM(L178,AD178)+0.002&gt;AS178*1000000+SUM(U178,AM178)*10000+SUM(O178,AG178)*100+SUM(I178,AA178)+0.005,1,0)+IF(AW178*1000000+SUM(Y178,AQ178)*10000+SUM(S178,AK178)*100+SUM(M178,AE178)+0.001&gt;AS178*1000000+SUM(U178,AM178)*10000+SUM(O178,AG178)*100+SUM(I178,AA178)+0.005,1,0)=0,"I",IF(IF(AR178*1000000+SUM(T178,AL178)*10000+SUM(N178,AF178)*100+SUM(H178,Z178)+0.006&gt;AT178*1000000+SUM(V178,AN178)*10000+SUM(P178,AH178)*100+SUM(J178,AB178)+0.004,1,0)+IF(AS178*1000000+SUM(U178,AM178)*10000+SUM(O178,AG178)*100+SUM(I178,AA178)+0.005&gt;AT178*1000000+SUM(V178,AN178)*10000+SUM(P178,AH178)*100+SUM(J178,AB178)+0.004,1,0)+IF(AU178*1000000+SUM(W178,AO178)*10000+SUM(Q178,AI178)*100+SUM(K178,AC178)+0.003&gt;AT178*1000000+SUM(V178,AN178)*10000+SUM(P178,AH178)*100+SUM(J178,AB178)+0.004,1,0)+IF(AV178*1000000+SUM(X178,AP178)*10000+SUM(R178,AJ178)*100+SUM(L178,AD178)+0.002&gt;AT178*1000000+SUM(V178,AN178)*10000+SUM(P178,AH178)*100+SUM(J178,AB178)+0.004,1,0)+IF(AW178*1000000+SUM(Y178,AQ178)*10000+SUM(S178,AK178)*100+SUM(M178,AE178)+0.001&gt;AT178*1000000+SUM(V178,AN178)*10000+SUM(P178,AH178)*100+SUM(J178,AB178)+0.004,1,0)=0,"A",IF(IF(AR178*1000000+SUM(T178,AL178)*10000+SUM(N178,AF178)*100+SUM(H178,Z178)+0.006&gt;AU178*1000000+SUM(W178,AO178)*10000+SUM(Q178,AI178)*100+SUM(K178,AC178)+0.003,1,0)+IF(AS178*1000000+SUM(U178,AM178)*10000+SUM(O178,AG178)*100+SUM(I178,AA178)+0.005&gt;AU178*1000000+SUM(W178,AO178)*10000+SUM(Q178,AI178)*100+SUM(K178,AC178)+0.003,1,0)+IF(AT178*1000000+SUM(V178,AN178)*10000+SUM(P178,AH178)*100+SUM(J178,AB178)+0.004&gt;AU178*1000000+SUM(W178,AO178)*10000+SUM(Q178,AI178)*100+SUM(K178,AC178)+0.003,1,0)+IF(AV178*1000000+SUM(X178,AP178)*10000+SUM(R178,AJ178)*100+SUM(L178,AD178)+0.002&gt;AU178*1000000+SUM(W178,AO178)*10000+SUM(Q178,AI178)*100+SUM(K178,AC178)+0.003,1,0)+IF(AW178*1000000+SUM(Y178,AQ178)*10000+SUM(S178,AK178)*100+SUM(M178,AE178)+0.001&gt;AU178*1000000+SUM(W178,AO178)*10000+SUM(Q178,AI178)*100+SUM(K178,AC178)+0.003,1,0)=0,"S",IF(IF(AR178*1000000+SUM(T178,AL178)*10000+SUM(N178,AF178)*100+SUM(H178,Z178)+0.006&gt;AV178*1000000+SUM(X178,AP178)*10000+SUM(R178,AJ178)*100+SUM(L178,AD178)+0.002,1,0)+IF(AS178*1000000+SUM(U178,AM178)*10000+SUM(O178,AG178)*100+SUM(I178,AA178)+0.005&gt;AV178*1000000+SUM(X178,AP178)*10000+SUM(R178,AJ178)*100+SUM(L178,AD178)+0.002,1,0)+IF(AT178*1000000+SUM(V178,AN178)*10000+SUM(P178,AH178)*100+SUM(J178,AB178)+0.004&gt;AV178*1000000+SUM(X178,AP178)*10000+SUM(R178,AJ178)*100+SUM(L178,AD178)+0.002,1,0)+IF(AU178*1000000+SUM(W178,AO178)*10000+SUM(Q178,AI178)*100+SUM(K178,AC178)+0.003&gt;AV178*1000000+SUM(X178,AP178)*10000+SUM(R178,AJ178)*100+SUM(L178,AD178)+0.002,1,0)+IF(AW178*1000000+SUM(Y178,AQ178)*10000+SUM(S178,AK178)*100+SUM(M178,AE178)+0.001&gt;AV178*1000000+SUM(X178,AP178)*10000+SUM(R178,AJ178)*100+SUM(L178,AD178)+0.002,1,0)=0,"E",IF(IF(AR178*1000000+SUM(T178,AL178)*10000+SUM(N178,AF178)*100+SUM(H178,Z178)+0.006&gt;AW178*1000000+SUM(Y178,AQ178)*10000+SUM(S178,AK178)*100+SUM(M178,AE178)+0.001,1,0)+IF(AS178*1000000+SUM(U178,AM178)*10000+SUM(O178,AG178)*100+SUM(I178,AA178)+0.005&gt;AW178*1000000+SUM(Y178,AQ178)*10000+SUM(S178,AK178)*100+SUM(M178,AE178)+0.001,1,0)+IF(AT178*1000000+SUM(V178,AN178)*10000+SUM(P178,AH178)*100+SUM(J178,AB178)+0.004&gt;AW178*1000000+SUM(Y178,AQ178)*10000+SUM(S178,AK178)*100+SUM(M178,AE178)+0.001,1,0)+IF(AU178*1000000+SUM(W178,AO178)*10000+SUM(Q178,AI178)*100+SUM(K178,AC178)+0.003&gt;AW178*1000000+SUM(Y178,AQ178)*10000+SUM(S178,AK178)*100+SUM(M178,AE178)+0.001,1,0)+IF(AV178*1000000+SUM(X178,AP178)*10000+SUM(R178,AJ178)*100+SUM(L178,AD178)+0.002&gt;AW178*1000000+SUM(Y178,AQ178)*10000+SUM(S178,AK178)*100+SUM(M178,AE178)+0.001,1,0)=0,"C",""))))))&amp;IF(IF(AS178*1000000+SUM(U178,AM178)*10000+SUM(O178,AG178)*100+SUM(I178,AA178)+0.005&gt;AR178*1000000+SUM(T178,AL178)*10000+SUM(N178,AF178)*100+SUM(H178,Z178)+0.006,1,0)+IF(AT178*1000000+SUM(V178,AN178)*10000+SUM(P178,AH178)*100+SUM(J178,AB178)+0.004&gt;AR178*1000000+SUM(T178,AL178)*10000+SUM(N178,AF178)*100+SUM(H178,Z178)+0.006,1,0)+IF(AU178*1000000+SUM(W178,AO178)*10000+SUM(Q178,AI178)*100+SUM(K178,AC178)+0.003&gt;AR178*1000000+SUM(T178,AL178)*10000+SUM(N178,AF178)*100+SUM(H178,Z178)+0.006,1,0)+IF(AV178*1000000+SUM(X178,AP178)*10000+SUM(R178,AJ178)*100+SUM(L178,AD178)+0.002&gt;AR178*1000000+SUM(T178,AL178)*10000+SUM(N178,AF178)*100+SUM(H178,Z178)+0.006,1,0)+IF(AW178*1000000+SUM(Y178,AQ178)*10000+SUM(S178,AK178)*100+SUM(M178,AE178)+0.001&gt;AR178*1000000+SUM(T178,AL178)*10000+SUM(N178,AF178)*100+SUM(H178,Z178)+0.006,1,0)=1,"R",IF(IF(AR178*1000000+SUM(T178,AL178)*10000+SUM(N178,AF178)*100+SUM(H178,Z178)+0.006&gt;AS178*1000000+SUM(U178,AM178)*10000+SUM(O178,AG178)*100+SUM(I178,AA178)+0.005,1,0)+IF(AT178*1000000+SUM(V178,AN178)*10000+SUM(P178,AH178)*100+SUM(J178,AB178)+0.004&gt;AS178*1000000+SUM(U178,AM178)*10000+SUM(O178,AG178)*100+SUM(I178,AA178)+0.005,1,0)+IF(AU178*1000000+SUM(W178,AO178)*10000+SUM(Q178,AI178)*100+SUM(K178,AC178)+0.003&gt;AS178*1000000+SUM(U178,AM178)*10000+SUM(O178,AG178)*100+SUM(I178,AA178)+0.005,1,0)+IF(AV178*1000000+SUM(X178,AP178)*10000+SUM(R178,AJ178)*100+SUM(L178,AD178)+0.002&gt;AS178*1000000+SUM(U178,AM178)*10000+SUM(O178,AG178)*100+SUM(I178,AA178)+0.005,1,0)+IF(AW178*1000000+SUM(Y178,AQ178)*10000+SUM(S178,AK178)*100+SUM(M178,AE178)+0.001&gt;AS178*1000000+SUM(U178,AM178)*10000+SUM(O178,AG178)*100+SUM(I178,AA178)+0.005,1,0)=1,"I",IF(IF(AR178*1000000+SUM(T178,AL178)*10000+SUM(N178,AF178)*100+SUM(H178,Z178)+0.006&gt;AT178*1000000+SUM(V178,AN178)*10000+SUM(P178,AH178)*100+SUM(J178,AB178)+0.004,1,0)+IF(AS178*1000000+SUM(U178,AM178)*10000+SUM(O178,AG178)*100+SUM(I178,AA178)+0.005&gt;AT178*1000000+SUM(V178,AN178)*10000+SUM(P178,AH178)*100+SUM(J178,AB178)+0.004,1,0)+IF(AU178*1000000+SUM(W178,AO178)*10000+SUM(Q178,AI178)*100+SUM(K178,AC178)+0.003&gt;AT178*1000000+SUM(V178,AN178)*10000+SUM(P178,AH178)*100+SUM(J178,AB178)+0.004,1,0)+IF(AV178*1000000+SUM(X178,AP178)*10000+SUM(R178,AJ178)*100+SUM(L178,AD178)+0.002&gt;AT178*1000000+SUM(V178,AN178)*10000+SUM(P178,AH178)*100+SUM(J178,AB178)+0.004,1,0)+IF(AW178*1000000+SUM(Y178,AQ178)*10000+SUM(S178,AK178)*100+SUM(M178,AE178)+0.001&gt;AT178*1000000+SUM(V178,AN178)*10000+SUM(P178,AH178)*100+SUM(J178,AB178)+0.004,1,0)=1,"A",IF(IF(AR178*1000000+SUM(T178,AL178)*10000+SUM(N178,AF178)*100+SUM(H178,Z178)+0.006&gt;AU178*1000000+SUM(W178,AO178)*10000+SUM(Q178,AI178)*100+SUM(K178,AC178)+0.003,1,0)+IF(AS178*1000000+SUM(U178,AM178)*10000+SUM(O178,AG178)*100+SUM(I178,AA178)+0.005&gt;AU178*1000000+SUM(W178,AO178)*10000+SUM(Q178,AI178)*100+SUM(K178,AC178)+0.003,1,0)+IF(AT178*1000000+SUM(V178,AN178)*10000+SUM(P178,AH178)*100+SUM(J178,AB178)+0.004&gt;AU178*1000000+SUM(W178,AO178)*10000+SUM(Q178,AI178)*100+SUM(K178,AC178)+0.003,1,0)+IF(AV178*1000000+SUM(X178,AP178)*10000+SUM(R178,AJ178)*100+SUM(L178,AD178)+0.002&gt;AU178*1000000+SUM(W178,AO178)*10000+SUM(Q178,AI178)*100+SUM(K178,AC178)+0.003,1,0)+IF(AW178*1000000+SUM(Y178,AQ178)*10000+SUM(S178,AK178)*100+SUM(M178,AE178)+0.001&gt;AU178*1000000+SUM(W178,AO178)*10000+SUM(Q178,AI178)*100+SUM(K178,AC178)+0.003,1,0)=1,"S",IF(IF(AR178*1000000+SUM(T178,AL178)*10000+SUM(N178,AF178)*100+SUM(H178,Z178)+0.006&gt;AV178*1000000+SUM(X178,AP178)*10000+SUM(R178,AJ178)*100+SUM(L178,AD178)+0.002,1,0)+IF(AS178*1000000+SUM(U178,AM178)*10000+SUM(O178,AG178)*100+SUM(I178,AA178)+0.005&gt;AV178*1000000+SUM(X178,AP178)*10000+SUM(R178,AJ178)*100+SUM(L178,AD178)+0.002,1,0)+IF(AT178*1000000+SUM(V178,AN178)*10000+SUM(P178,AH178)*100+SUM(J178,AB178)+0.004&gt;AV178*1000000+SUM(X178,AP178)*10000+SUM(R178,AJ178)*100+SUM(L178,AD178)+0.002,1,0)+IF(AU178*1000000+SUM(W178,AO178)*10000+SUM(Q178,AI178)*100+SUM(K178,AC178)+0.003&gt;AV178*1000000+SUM(X178,AP178)*10000+SUM(R178,AJ178)*100+SUM(L178,AD178)+0.002,1,0)+IF(AW178*1000000+SUM(Y178,AQ178)*10000+SUM(S178,AK178)*100+SUM(M178,AE178)+0.001&gt;AV178*1000000+SUM(X178,AP178)*10000+SUM(R178,AJ178)*100+SUM(L178,AD178)+0.002,1,0)=1,"E",IF(IF(AR178*1000000+SUM(T178,AL178)*10000+SUM(N178,AF178)*100+SUM(H178,Z178)+0.006&gt;AW178*1000000+SUM(Y178,AQ178)*10000+SUM(S178,AK178)*100+SUM(M178,AE178)+0.001,1,0)+IF(AS178*1000000+SUM(U178,AM178)*10000+SUM(O178,AG178)*100+SUM(I178,AA178)+0.005&gt;AW178*1000000+SUM(Y178,AQ178)*10000+SUM(S178,AK178)*100+SUM(M178,AE178)+0.001,1,0)+IF(AT178*1000000+SUM(V178,AN178)*10000+SUM(P178,AH178)*100+SUM(J178,AB178)+0.004&gt;AW178*1000000+SUM(Y178,AQ178)*10000+SUM(S178,AK178)*100+SUM(M178,AE178)+0.001,1,0)+IF(AU178*1000000+SUM(W178,AO178)*10000+SUM(Q178,AI178)*100+SUM(K178,AC178)+0.003&gt;AW178*1000000+SUM(Y178,AQ178)*10000+SUM(S178,AK178)*100+SUM(M178,AE178)+0.001,1,0)+IF(AV178*1000000+SUM(X178,AP178)*10000+SUM(R178,AJ178)*100+SUM(L178,AD178)+0.002&gt;AW178*1000000+SUM(Y178,AQ178)*10000+SUM(S178,AK178)*100+SUM(M178,AE178)+0.001,1,0)=1,"C",""))))))&amp;IF(IF(AS178*1000000+SUM(U178,AM178)*10000+SUM(O178,AG178)*100+SUM(I178,AA178)+0.005&gt;AR178*1000000+SUM(T178,AL178)*10000+SUM(N178,AF178)*100+SUM(H178,Z178)+0.006,1,0)+IF(AT178*1000000+SUM(V178,AN178)*10000+SUM(P178,AH178)*100+SUM(J178,AB178)+0.004&gt;AR178*1000000+SUM(T178,AL178)*10000+SUM(N178,AF178)*100+SUM(H178,Z178)+0.006,1,0)+IF(AU178*1000000+SUM(W178,AO178)*10000+SUM(Q178,AI178)*100+SUM(K178,AC178)+0.003&gt;AR178*1000000+SUM(T178,AL178)*10000+SUM(N178,AF178)*100+SUM(H178,Z178)+0.006,1,0)+IF(AV178*1000000+SUM(X178,AP178)*10000+SUM(R178,AJ178)*100+SUM(L178,AD178)+0.002&gt;AR178*1000000+SUM(T178,AL178)*10000+SUM(N178,AF178)*100+SUM(H178,Z178)+0.006,1,0)+IF(AW178*1000000+SUM(Y178,AQ178)*10000+SUM(S178,AK178)*100+SUM(M178,AE178)+0.001&gt;AR178*1000000+SUM(T178,AL178)*10000+SUM(N178,AF178)*100+SUM(H178,Z178)+0.006,1,0)=2,"R",IF(IF(AR178*1000000+SUM(T178,AL178)*10000+SUM(N178,AF178)*100+SUM(H178,Z178)+0.006&gt;AS178*1000000+SUM(U178,AM178)*10000+SUM(O178,AG178)*100+SUM(I178,AA178)+0.005,1,0)+IF(AT178*1000000+SUM(V178,AN178)*10000+SUM(P178,AH178)*100+SUM(J178,AB178)+0.004&gt;AS178*1000000+SUM(U178,AM178)*10000+SUM(O178,AG178)*100+SUM(I178,AA178)+0.005,1,0)+IF(AU178*1000000+SUM(W178,AO178)*10000+SUM(Q178,AI178)*100+SUM(K178,AC178)+0.003&gt;AS178*1000000+SUM(U178,AM178)*10000+SUM(O178,AG178)*100+SUM(I178,AA178)+0.005,1,0)+IF(AV178*1000000+SUM(X178,AP178)*10000+SUM(R178,AJ178)*100+SUM(L178,AD178)+0.002&gt;AS178*1000000+SUM(U178,AM178)*10000+SUM(O178,AG178)*100+SUM(I178,AA178)+0.005,1,0)+IF(AW178*1000000+SUM(Y178,AQ178)*10000+SUM(S178,AK178)*100+SUM(M178,AE178)+0.001&gt;AS178*1000000+SUM(U178,AM178)*10000+SUM(O178,AG178)*100+SUM(I178,AA178)+0.005,1,0)=2,"I",IF(IF(AR178*1000000+SUM(T178,AL178)*10000+SUM(N178,AF178)*100+SUM(H178,Z178)+0.006&gt;AT178*1000000+SUM(V178,AN178)*10000+SUM(P178,AH178)*100+SUM(J178,AB178)+0.004,1,0)+IF(AS178*1000000+SUM(U178,AM178)*10000+SUM(O178,AG178)*100+SUM(I178,AA178)+0.005&gt;AT178*1000000+SUM(V178,AN178)*10000+SUM(P178,AH178)*100+SUM(J178,AB178)+0.004,1,0)+IF(AU178*1000000+SUM(W178,AO178)*10000+SUM(Q178,AI178)*100+SUM(K178,AC178)+0.003&gt;AT178*1000000+SUM(V178,AN178)*10000+SUM(P178,AH178)*100+SUM(J178,AB178)+0.004,1,0)+IF(AV178*1000000+SUM(X178,AP178)*10000+SUM(R178,AJ178)*100+SUM(L178,AD178)+0.002&gt;AT178*1000000+SUM(V178,AN178)*10000+SUM(P178,AH178)*100+SUM(J178,AB178)+0.004,1,0)+IF(AW178*1000000+SUM(Y178,AQ178)*10000+SUM(S178,AK178)*100+SUM(M178,AE178)+0.001&gt;AT178*1000000+SUM(V178,AN178)*10000+SUM(P178,AH178)*100+SUM(J178,AB178)+0.004,1,0)=2,"A",IF(IF(AR178*1000000+SUM(T178,AL178)*10000+SUM(N178,AF178)*100+SUM(H178,Z178)+0.006&gt;AU178*1000000+SUM(W178,AO178)*10000+SUM(Q178,AI178)*100+SUM(K178,AC178)+0.003,1,0)+IF(AS178*1000000+SUM(U178,AM178)*10000+SUM(O178,AG178)*100+SUM(I178,AA178)+0.005&gt;AU178*1000000+SUM(W178,AO178)*10000+SUM(Q178,AI178)*100+SUM(K178,AC178)+0.003,1,0)+IF(AT178*1000000+SUM(V178,AN178)*10000+SUM(P178,AH178)*100+SUM(J178,AB178)+0.004&gt;AU178*1000000+SUM(W178,AO178)*10000+SUM(Q178,AI178)*100+SUM(K178,AC178)+0.003,1,0)+IF(AV178*1000000+SUM(X178,AP178)*10000+SUM(R178,AJ178)*100+SUM(L178,AD178)+0.002&gt;AU178*1000000+SUM(W178,AO178)*10000+SUM(Q178,AI178)*100+SUM(K178,AC178)+0.003,1,0)+IF(AW178*1000000+SUM(Y178,AQ178)*10000+SUM(S178,AK178)*100+SUM(M178,AE178)+0.001&gt;AU178*1000000+SUM(W178,AO178)*10000+SUM(Q178,AI178)*100+SUM(K178,AC178)+0.003,1,0)=2,"S",IF(IF(AR178*1000000+SUM(T178,AL178)*10000+SUM(N178,AF178)*100+SUM(H178,Z178)+0.006&gt;AV178*1000000+SUM(X178,AP178)*10000+SUM(R178,AJ178)*100+SUM(L178,AD178)+0.002,1,0)+IF(AS178*1000000+SUM(U178,AM178)*10000+SUM(O178,AG178)*100+SUM(I178,AA178)+0.005&gt;AV178*1000000+SUM(X178,AP178)*10000+SUM(R178,AJ178)*100+SUM(L178,AD178)+0.002,1,0)+IF(AT178*1000000+SUM(V178,AN178)*10000+SUM(P178,AH178)*100+SUM(J178,AB178)+0.004&gt;AV178*1000000+SUM(X178,AP178)*10000+SUM(R178,AJ178)*100+SUM(L178,AD178)+0.002,1,0)+IF(AU178*1000000+SUM(W178,AO178)*10000+SUM(Q178,AI178)*100+SUM(K178,AC178)+0.003&gt;AV178*1000000+SUM(X178,AP178)*10000+SUM(R178,AJ178)*100+SUM(L178,AD178)+0.002,1,0)+IF(AW178*1000000+SUM(Y178,AQ178)*10000+SUM(S178,AK178)*100+SUM(M178,AE178)+0.001&gt;AV178*1000000+SUM(X178,AP178)*10000+SUM(R178,AJ178)*100+SUM(L178,AD178)+0.002,1,0)=2,"E",IF(IF(AR178*1000000+SUM(T178,AL178)*10000+SUM(N178,AF178)*100+SUM(H178,Z178)+0.006&gt;AW178*1000000+SUM(Y178,AQ178)*10000+SUM(S178,AK178)*100+SUM(M178,AE178)+0.001,1,0)+IF(AS178*1000000+SUM(U178,AM178)*10000+SUM(O178,AG178)*100+SUM(I178,AA178)+0.005&gt;AW178*1000000+SUM(Y178,AQ178)*10000+SUM(S178,AK178)*100+SUM(M178,AE178)+0.001,1,0)+IF(AT178*1000000+SUM(V178,AN178)*10000+SUM(P178,AH178)*100+SUM(J178,AB178)+0.004&gt;AW178*1000000+SUM(Y178,AQ178)*10000+SUM(S178,AK178)*100+SUM(M178,AE178)+0.001,1,0)+IF(AU178*1000000+SUM(W178,AO178)*10000+SUM(Q178,AI178)*100+SUM(K178,AC178)+0.003&gt;AW178*1000000+SUM(Y178,AQ178)*10000+SUM(S178,AK178)*100+SUM(M178,AE178)+0.001,1,0)+IF(AV178*1000000+SUM(X178,AP178)*10000+SUM(R178,AJ178)*100+SUM(L178,AD178)+0.002&gt;AW178*1000000+SUM(Y178,AQ178)*10000+SUM(S178,AK178)*100+SUM(M178,AE178)+0.001,1,0)=2,"C","")))))))</x:f>
      </x:c>
      <x:c r="AY178" s="27" t="str">
        <x:f>IF(C178="","",IF(LEFT(AX178,1)="R","นักปฏิบัติ",IF(LEFT(AX178,1)="I","นักคิดวิเคราะห์",IF(LEFT(AX178,1)="A","นักสร้างสรรค์",IF(LEFT(AX178,1)="S","ผู้เข้าใจผู้คน",IF(LEFT(AX178,1)="E","ผู้นำการเปลี่ยนแปลง","ผู้จัดระบบ"))))))</x:f>
      </x:c>
    </x:row>
    <x:row r="179">
      <x:c r="A179" s="27"/>
      <x:c r="B179" s="28"/>
      <x:c r="C179" s="27"/>
      <x:c r="D179" s="27"/>
      <x:c r="E179" s="27"/>
      <x:c r="F179" s="27"/>
      <x:c r="G179" s="27"/>
      <x:c r="H179" s="27"/>
      <x:c r="I179" s="27"/>
      <x:c r="J179" s="27"/>
      <x:c r="K179" s="27"/>
      <x:c r="L179" s="27"/>
      <x:c r="M179" s="27"/>
      <x:c r="N179" s="27"/>
      <x:c r="O179" s="27"/>
      <x:c r="P179" s="27"/>
      <x:c r="Q179" s="27"/>
      <x:c r="R179" s="27"/>
      <x:c r="S179" s="27"/>
      <x:c r="T179" s="27"/>
      <x:c r="U179" s="27"/>
      <x:c r="V179" s="27"/>
      <x:c r="W179" s="27"/>
      <x:c r="X179" s="27"/>
      <x:c r="Y179" s="27"/>
      <x:c r="Z179" s="27"/>
      <x:c r="AA179" s="27"/>
      <x:c r="AB179" s="27"/>
      <x:c r="AC179" s="27"/>
      <x:c r="AD179" s="27"/>
      <x:c r="AE179" s="27"/>
      <x:c r="AF179" s="27"/>
      <x:c r="AG179" s="27"/>
      <x:c r="AH179" s="27"/>
      <x:c r="AI179" s="27"/>
      <x:c r="AJ179" s="27"/>
      <x:c r="AK179" s="27"/>
      <x:c r="AL179" s="27"/>
      <x:c r="AM179" s="27"/>
      <x:c r="AN179" s="27"/>
      <x:c r="AO179" s="27"/>
      <x:c r="AP179" s="27"/>
      <x:c r="AQ179" s="27"/>
      <x:c r="AR179" s="27" t="str">
        <x:f>IF(C179="","",SUM(H179,N179,T179,Z179,AF179,AL179))</x:f>
      </x:c>
      <x:c r="AS179" s="27" t="str">
        <x:f>IF(C179="","",SUM(I179,O179,U179,AA179,AG179,AM179))</x:f>
      </x:c>
      <x:c r="AT179" s="27" t="str">
        <x:f>IF(C179="","",SUM(J179,P179,V179,AB179,AH179,AN179))</x:f>
      </x:c>
      <x:c r="AU179" s="27" t="str">
        <x:f>IF(C179="","",SUM(K179,Q179,W179,AC179,AI179,AO179))</x:f>
      </x:c>
      <x:c r="AV179" s="27" t="str">
        <x:f>IF(C179="","",SUM(L179,R179,X179,AD179,AJ179,AP179))</x:f>
      </x:c>
      <x:c r="AW179" s="27" t="str">
        <x:f>IF(C179="","",SUM(M179,S179,Y179,AE179,AK179,AQ179))</x:f>
      </x:c>
      <x:c r="AX179" s="27" t="str">
        <x:f>IF(C179="","",IF(IF(AS179*1000000+SUM(U179,AM179)*10000+SUM(O179,AG179)*100+SUM(I179,AA179)+0.005&gt;AR179*1000000+SUM(T179,AL179)*10000+SUM(N179,AF179)*100+SUM(H179,Z179)+0.006,1,0)+IF(AT179*1000000+SUM(V179,AN179)*10000+SUM(P179,AH179)*100+SUM(J179,AB179)+0.004&gt;AR179*1000000+SUM(T179,AL179)*10000+SUM(N179,AF179)*100+SUM(H179,Z179)+0.006,1,0)+IF(AU179*1000000+SUM(W179,AO179)*10000+SUM(Q179,AI179)*100+SUM(K179,AC179)+0.003&gt;AR179*1000000+SUM(T179,AL179)*10000+SUM(N179,AF179)*100+SUM(H179,Z179)+0.006,1,0)+IF(AV179*1000000+SUM(X179,AP179)*10000+SUM(R179,AJ179)*100+SUM(L179,AD179)+0.002&gt;AR179*1000000+SUM(T179,AL179)*10000+SUM(N179,AF179)*100+SUM(H179,Z179)+0.006,1,0)+IF(AW179*1000000+SUM(Y179,AQ179)*10000+SUM(S179,AK179)*100+SUM(M179,AE179)+0.001&gt;AR179*1000000+SUM(T179,AL179)*10000+SUM(N179,AF179)*100+SUM(H179,Z179)+0.006,1,0)=0,"R",IF(IF(AR179*1000000+SUM(T179,AL179)*10000+SUM(N179,AF179)*100+SUM(H179,Z179)+0.006&gt;AS179*1000000+SUM(U179,AM179)*10000+SUM(O179,AG179)*100+SUM(I179,AA179)+0.005,1,0)+IF(AT179*1000000+SUM(V179,AN179)*10000+SUM(P179,AH179)*100+SUM(J179,AB179)+0.004&gt;AS179*1000000+SUM(U179,AM179)*10000+SUM(O179,AG179)*100+SUM(I179,AA179)+0.005,1,0)+IF(AU179*1000000+SUM(W179,AO179)*10000+SUM(Q179,AI179)*100+SUM(K179,AC179)+0.003&gt;AS179*1000000+SUM(U179,AM179)*10000+SUM(O179,AG179)*100+SUM(I179,AA179)+0.005,1,0)+IF(AV179*1000000+SUM(X179,AP179)*10000+SUM(R179,AJ179)*100+SUM(L179,AD179)+0.002&gt;AS179*1000000+SUM(U179,AM179)*10000+SUM(O179,AG179)*100+SUM(I179,AA179)+0.005,1,0)+IF(AW179*1000000+SUM(Y179,AQ179)*10000+SUM(S179,AK179)*100+SUM(M179,AE179)+0.001&gt;AS179*1000000+SUM(U179,AM179)*10000+SUM(O179,AG179)*100+SUM(I179,AA179)+0.005,1,0)=0,"I",IF(IF(AR179*1000000+SUM(T179,AL179)*10000+SUM(N179,AF179)*100+SUM(H179,Z179)+0.006&gt;AT179*1000000+SUM(V179,AN179)*10000+SUM(P179,AH179)*100+SUM(J179,AB179)+0.004,1,0)+IF(AS179*1000000+SUM(U179,AM179)*10000+SUM(O179,AG179)*100+SUM(I179,AA179)+0.005&gt;AT179*1000000+SUM(V179,AN179)*10000+SUM(P179,AH179)*100+SUM(J179,AB179)+0.004,1,0)+IF(AU179*1000000+SUM(W179,AO179)*10000+SUM(Q179,AI179)*100+SUM(K179,AC179)+0.003&gt;AT179*1000000+SUM(V179,AN179)*10000+SUM(P179,AH179)*100+SUM(J179,AB179)+0.004,1,0)+IF(AV179*1000000+SUM(X179,AP179)*10000+SUM(R179,AJ179)*100+SUM(L179,AD179)+0.002&gt;AT179*1000000+SUM(V179,AN179)*10000+SUM(P179,AH179)*100+SUM(J179,AB179)+0.004,1,0)+IF(AW179*1000000+SUM(Y179,AQ179)*10000+SUM(S179,AK179)*100+SUM(M179,AE179)+0.001&gt;AT179*1000000+SUM(V179,AN179)*10000+SUM(P179,AH179)*100+SUM(J179,AB179)+0.004,1,0)=0,"A",IF(IF(AR179*1000000+SUM(T179,AL179)*10000+SUM(N179,AF179)*100+SUM(H179,Z179)+0.006&gt;AU179*1000000+SUM(W179,AO179)*10000+SUM(Q179,AI179)*100+SUM(K179,AC179)+0.003,1,0)+IF(AS179*1000000+SUM(U179,AM179)*10000+SUM(O179,AG179)*100+SUM(I179,AA179)+0.005&gt;AU179*1000000+SUM(W179,AO179)*10000+SUM(Q179,AI179)*100+SUM(K179,AC179)+0.003,1,0)+IF(AT179*1000000+SUM(V179,AN179)*10000+SUM(P179,AH179)*100+SUM(J179,AB179)+0.004&gt;AU179*1000000+SUM(W179,AO179)*10000+SUM(Q179,AI179)*100+SUM(K179,AC179)+0.003,1,0)+IF(AV179*1000000+SUM(X179,AP179)*10000+SUM(R179,AJ179)*100+SUM(L179,AD179)+0.002&gt;AU179*1000000+SUM(W179,AO179)*10000+SUM(Q179,AI179)*100+SUM(K179,AC179)+0.003,1,0)+IF(AW179*1000000+SUM(Y179,AQ179)*10000+SUM(S179,AK179)*100+SUM(M179,AE179)+0.001&gt;AU179*1000000+SUM(W179,AO179)*10000+SUM(Q179,AI179)*100+SUM(K179,AC179)+0.003,1,0)=0,"S",IF(IF(AR179*1000000+SUM(T179,AL179)*10000+SUM(N179,AF179)*100+SUM(H179,Z179)+0.006&gt;AV179*1000000+SUM(X179,AP179)*10000+SUM(R179,AJ179)*100+SUM(L179,AD179)+0.002,1,0)+IF(AS179*1000000+SUM(U179,AM179)*10000+SUM(O179,AG179)*100+SUM(I179,AA179)+0.005&gt;AV179*1000000+SUM(X179,AP179)*10000+SUM(R179,AJ179)*100+SUM(L179,AD179)+0.002,1,0)+IF(AT179*1000000+SUM(V179,AN179)*10000+SUM(P179,AH179)*100+SUM(J179,AB179)+0.004&gt;AV179*1000000+SUM(X179,AP179)*10000+SUM(R179,AJ179)*100+SUM(L179,AD179)+0.002,1,0)+IF(AU179*1000000+SUM(W179,AO179)*10000+SUM(Q179,AI179)*100+SUM(K179,AC179)+0.003&gt;AV179*1000000+SUM(X179,AP179)*10000+SUM(R179,AJ179)*100+SUM(L179,AD179)+0.002,1,0)+IF(AW179*1000000+SUM(Y179,AQ179)*10000+SUM(S179,AK179)*100+SUM(M179,AE179)+0.001&gt;AV179*1000000+SUM(X179,AP179)*10000+SUM(R179,AJ179)*100+SUM(L179,AD179)+0.002,1,0)=0,"E",IF(IF(AR179*1000000+SUM(T179,AL179)*10000+SUM(N179,AF179)*100+SUM(H179,Z179)+0.006&gt;AW179*1000000+SUM(Y179,AQ179)*10000+SUM(S179,AK179)*100+SUM(M179,AE179)+0.001,1,0)+IF(AS179*1000000+SUM(U179,AM179)*10000+SUM(O179,AG179)*100+SUM(I179,AA179)+0.005&gt;AW179*1000000+SUM(Y179,AQ179)*10000+SUM(S179,AK179)*100+SUM(M179,AE179)+0.001,1,0)+IF(AT179*1000000+SUM(V179,AN179)*10000+SUM(P179,AH179)*100+SUM(J179,AB179)+0.004&gt;AW179*1000000+SUM(Y179,AQ179)*10000+SUM(S179,AK179)*100+SUM(M179,AE179)+0.001,1,0)+IF(AU179*1000000+SUM(W179,AO179)*10000+SUM(Q179,AI179)*100+SUM(K179,AC179)+0.003&gt;AW179*1000000+SUM(Y179,AQ179)*10000+SUM(S179,AK179)*100+SUM(M179,AE179)+0.001,1,0)+IF(AV179*1000000+SUM(X179,AP179)*10000+SUM(R179,AJ179)*100+SUM(L179,AD179)+0.002&gt;AW179*1000000+SUM(Y179,AQ179)*10000+SUM(S179,AK179)*100+SUM(M179,AE179)+0.001,1,0)=0,"C",""))))))&amp;IF(IF(AS179*1000000+SUM(U179,AM179)*10000+SUM(O179,AG179)*100+SUM(I179,AA179)+0.005&gt;AR179*1000000+SUM(T179,AL179)*10000+SUM(N179,AF179)*100+SUM(H179,Z179)+0.006,1,0)+IF(AT179*1000000+SUM(V179,AN179)*10000+SUM(P179,AH179)*100+SUM(J179,AB179)+0.004&gt;AR179*1000000+SUM(T179,AL179)*10000+SUM(N179,AF179)*100+SUM(H179,Z179)+0.006,1,0)+IF(AU179*1000000+SUM(W179,AO179)*10000+SUM(Q179,AI179)*100+SUM(K179,AC179)+0.003&gt;AR179*1000000+SUM(T179,AL179)*10000+SUM(N179,AF179)*100+SUM(H179,Z179)+0.006,1,0)+IF(AV179*1000000+SUM(X179,AP179)*10000+SUM(R179,AJ179)*100+SUM(L179,AD179)+0.002&gt;AR179*1000000+SUM(T179,AL179)*10000+SUM(N179,AF179)*100+SUM(H179,Z179)+0.006,1,0)+IF(AW179*1000000+SUM(Y179,AQ179)*10000+SUM(S179,AK179)*100+SUM(M179,AE179)+0.001&gt;AR179*1000000+SUM(T179,AL179)*10000+SUM(N179,AF179)*100+SUM(H179,Z179)+0.006,1,0)=1,"R",IF(IF(AR179*1000000+SUM(T179,AL179)*10000+SUM(N179,AF179)*100+SUM(H179,Z179)+0.006&gt;AS179*1000000+SUM(U179,AM179)*10000+SUM(O179,AG179)*100+SUM(I179,AA179)+0.005,1,0)+IF(AT179*1000000+SUM(V179,AN179)*10000+SUM(P179,AH179)*100+SUM(J179,AB179)+0.004&gt;AS179*1000000+SUM(U179,AM179)*10000+SUM(O179,AG179)*100+SUM(I179,AA179)+0.005,1,0)+IF(AU179*1000000+SUM(W179,AO179)*10000+SUM(Q179,AI179)*100+SUM(K179,AC179)+0.003&gt;AS179*1000000+SUM(U179,AM179)*10000+SUM(O179,AG179)*100+SUM(I179,AA179)+0.005,1,0)+IF(AV179*1000000+SUM(X179,AP179)*10000+SUM(R179,AJ179)*100+SUM(L179,AD179)+0.002&gt;AS179*1000000+SUM(U179,AM179)*10000+SUM(O179,AG179)*100+SUM(I179,AA179)+0.005,1,0)+IF(AW179*1000000+SUM(Y179,AQ179)*10000+SUM(S179,AK179)*100+SUM(M179,AE179)+0.001&gt;AS179*1000000+SUM(U179,AM179)*10000+SUM(O179,AG179)*100+SUM(I179,AA179)+0.005,1,0)=1,"I",IF(IF(AR179*1000000+SUM(T179,AL179)*10000+SUM(N179,AF179)*100+SUM(H179,Z179)+0.006&gt;AT179*1000000+SUM(V179,AN179)*10000+SUM(P179,AH179)*100+SUM(J179,AB179)+0.004,1,0)+IF(AS179*1000000+SUM(U179,AM179)*10000+SUM(O179,AG179)*100+SUM(I179,AA179)+0.005&gt;AT179*1000000+SUM(V179,AN179)*10000+SUM(P179,AH179)*100+SUM(J179,AB179)+0.004,1,0)+IF(AU179*1000000+SUM(W179,AO179)*10000+SUM(Q179,AI179)*100+SUM(K179,AC179)+0.003&gt;AT179*1000000+SUM(V179,AN179)*10000+SUM(P179,AH179)*100+SUM(J179,AB179)+0.004,1,0)+IF(AV179*1000000+SUM(X179,AP179)*10000+SUM(R179,AJ179)*100+SUM(L179,AD179)+0.002&gt;AT179*1000000+SUM(V179,AN179)*10000+SUM(P179,AH179)*100+SUM(J179,AB179)+0.004,1,0)+IF(AW179*1000000+SUM(Y179,AQ179)*10000+SUM(S179,AK179)*100+SUM(M179,AE179)+0.001&gt;AT179*1000000+SUM(V179,AN179)*10000+SUM(P179,AH179)*100+SUM(J179,AB179)+0.004,1,0)=1,"A",IF(IF(AR179*1000000+SUM(T179,AL179)*10000+SUM(N179,AF179)*100+SUM(H179,Z179)+0.006&gt;AU179*1000000+SUM(W179,AO179)*10000+SUM(Q179,AI179)*100+SUM(K179,AC179)+0.003,1,0)+IF(AS179*1000000+SUM(U179,AM179)*10000+SUM(O179,AG179)*100+SUM(I179,AA179)+0.005&gt;AU179*1000000+SUM(W179,AO179)*10000+SUM(Q179,AI179)*100+SUM(K179,AC179)+0.003,1,0)+IF(AT179*1000000+SUM(V179,AN179)*10000+SUM(P179,AH179)*100+SUM(J179,AB179)+0.004&gt;AU179*1000000+SUM(W179,AO179)*10000+SUM(Q179,AI179)*100+SUM(K179,AC179)+0.003,1,0)+IF(AV179*1000000+SUM(X179,AP179)*10000+SUM(R179,AJ179)*100+SUM(L179,AD179)+0.002&gt;AU179*1000000+SUM(W179,AO179)*10000+SUM(Q179,AI179)*100+SUM(K179,AC179)+0.003,1,0)+IF(AW179*1000000+SUM(Y179,AQ179)*10000+SUM(S179,AK179)*100+SUM(M179,AE179)+0.001&gt;AU179*1000000+SUM(W179,AO179)*10000+SUM(Q179,AI179)*100+SUM(K179,AC179)+0.003,1,0)=1,"S",IF(IF(AR179*1000000+SUM(T179,AL179)*10000+SUM(N179,AF179)*100+SUM(H179,Z179)+0.006&gt;AV179*1000000+SUM(X179,AP179)*10000+SUM(R179,AJ179)*100+SUM(L179,AD179)+0.002,1,0)+IF(AS179*1000000+SUM(U179,AM179)*10000+SUM(O179,AG179)*100+SUM(I179,AA179)+0.005&gt;AV179*1000000+SUM(X179,AP179)*10000+SUM(R179,AJ179)*100+SUM(L179,AD179)+0.002,1,0)+IF(AT179*1000000+SUM(V179,AN179)*10000+SUM(P179,AH179)*100+SUM(J179,AB179)+0.004&gt;AV179*1000000+SUM(X179,AP179)*10000+SUM(R179,AJ179)*100+SUM(L179,AD179)+0.002,1,0)+IF(AU179*1000000+SUM(W179,AO179)*10000+SUM(Q179,AI179)*100+SUM(K179,AC179)+0.003&gt;AV179*1000000+SUM(X179,AP179)*10000+SUM(R179,AJ179)*100+SUM(L179,AD179)+0.002,1,0)+IF(AW179*1000000+SUM(Y179,AQ179)*10000+SUM(S179,AK179)*100+SUM(M179,AE179)+0.001&gt;AV179*1000000+SUM(X179,AP179)*10000+SUM(R179,AJ179)*100+SUM(L179,AD179)+0.002,1,0)=1,"E",IF(IF(AR179*1000000+SUM(T179,AL179)*10000+SUM(N179,AF179)*100+SUM(H179,Z179)+0.006&gt;AW179*1000000+SUM(Y179,AQ179)*10000+SUM(S179,AK179)*100+SUM(M179,AE179)+0.001,1,0)+IF(AS179*1000000+SUM(U179,AM179)*10000+SUM(O179,AG179)*100+SUM(I179,AA179)+0.005&gt;AW179*1000000+SUM(Y179,AQ179)*10000+SUM(S179,AK179)*100+SUM(M179,AE179)+0.001,1,0)+IF(AT179*1000000+SUM(V179,AN179)*10000+SUM(P179,AH179)*100+SUM(J179,AB179)+0.004&gt;AW179*1000000+SUM(Y179,AQ179)*10000+SUM(S179,AK179)*100+SUM(M179,AE179)+0.001,1,0)+IF(AU179*1000000+SUM(W179,AO179)*10000+SUM(Q179,AI179)*100+SUM(K179,AC179)+0.003&gt;AW179*1000000+SUM(Y179,AQ179)*10000+SUM(S179,AK179)*100+SUM(M179,AE179)+0.001,1,0)+IF(AV179*1000000+SUM(X179,AP179)*10000+SUM(R179,AJ179)*100+SUM(L179,AD179)+0.002&gt;AW179*1000000+SUM(Y179,AQ179)*10000+SUM(S179,AK179)*100+SUM(M179,AE179)+0.001,1,0)=1,"C",""))))))&amp;IF(IF(AS179*1000000+SUM(U179,AM179)*10000+SUM(O179,AG179)*100+SUM(I179,AA179)+0.005&gt;AR179*1000000+SUM(T179,AL179)*10000+SUM(N179,AF179)*100+SUM(H179,Z179)+0.006,1,0)+IF(AT179*1000000+SUM(V179,AN179)*10000+SUM(P179,AH179)*100+SUM(J179,AB179)+0.004&gt;AR179*1000000+SUM(T179,AL179)*10000+SUM(N179,AF179)*100+SUM(H179,Z179)+0.006,1,0)+IF(AU179*1000000+SUM(W179,AO179)*10000+SUM(Q179,AI179)*100+SUM(K179,AC179)+0.003&gt;AR179*1000000+SUM(T179,AL179)*10000+SUM(N179,AF179)*100+SUM(H179,Z179)+0.006,1,0)+IF(AV179*1000000+SUM(X179,AP179)*10000+SUM(R179,AJ179)*100+SUM(L179,AD179)+0.002&gt;AR179*1000000+SUM(T179,AL179)*10000+SUM(N179,AF179)*100+SUM(H179,Z179)+0.006,1,0)+IF(AW179*1000000+SUM(Y179,AQ179)*10000+SUM(S179,AK179)*100+SUM(M179,AE179)+0.001&gt;AR179*1000000+SUM(T179,AL179)*10000+SUM(N179,AF179)*100+SUM(H179,Z179)+0.006,1,0)=2,"R",IF(IF(AR179*1000000+SUM(T179,AL179)*10000+SUM(N179,AF179)*100+SUM(H179,Z179)+0.006&gt;AS179*1000000+SUM(U179,AM179)*10000+SUM(O179,AG179)*100+SUM(I179,AA179)+0.005,1,0)+IF(AT179*1000000+SUM(V179,AN179)*10000+SUM(P179,AH179)*100+SUM(J179,AB179)+0.004&gt;AS179*1000000+SUM(U179,AM179)*10000+SUM(O179,AG179)*100+SUM(I179,AA179)+0.005,1,0)+IF(AU179*1000000+SUM(W179,AO179)*10000+SUM(Q179,AI179)*100+SUM(K179,AC179)+0.003&gt;AS179*1000000+SUM(U179,AM179)*10000+SUM(O179,AG179)*100+SUM(I179,AA179)+0.005,1,0)+IF(AV179*1000000+SUM(X179,AP179)*10000+SUM(R179,AJ179)*100+SUM(L179,AD179)+0.002&gt;AS179*1000000+SUM(U179,AM179)*10000+SUM(O179,AG179)*100+SUM(I179,AA179)+0.005,1,0)+IF(AW179*1000000+SUM(Y179,AQ179)*10000+SUM(S179,AK179)*100+SUM(M179,AE179)+0.001&gt;AS179*1000000+SUM(U179,AM179)*10000+SUM(O179,AG179)*100+SUM(I179,AA179)+0.005,1,0)=2,"I",IF(IF(AR179*1000000+SUM(T179,AL179)*10000+SUM(N179,AF179)*100+SUM(H179,Z179)+0.006&gt;AT179*1000000+SUM(V179,AN179)*10000+SUM(P179,AH179)*100+SUM(J179,AB179)+0.004,1,0)+IF(AS179*1000000+SUM(U179,AM179)*10000+SUM(O179,AG179)*100+SUM(I179,AA179)+0.005&gt;AT179*1000000+SUM(V179,AN179)*10000+SUM(P179,AH179)*100+SUM(J179,AB179)+0.004,1,0)+IF(AU179*1000000+SUM(W179,AO179)*10000+SUM(Q179,AI179)*100+SUM(K179,AC179)+0.003&gt;AT179*1000000+SUM(V179,AN179)*10000+SUM(P179,AH179)*100+SUM(J179,AB179)+0.004,1,0)+IF(AV179*1000000+SUM(X179,AP179)*10000+SUM(R179,AJ179)*100+SUM(L179,AD179)+0.002&gt;AT179*1000000+SUM(V179,AN179)*10000+SUM(P179,AH179)*100+SUM(J179,AB179)+0.004,1,0)+IF(AW179*1000000+SUM(Y179,AQ179)*10000+SUM(S179,AK179)*100+SUM(M179,AE179)+0.001&gt;AT179*1000000+SUM(V179,AN179)*10000+SUM(P179,AH179)*100+SUM(J179,AB179)+0.004,1,0)=2,"A",IF(IF(AR179*1000000+SUM(T179,AL179)*10000+SUM(N179,AF179)*100+SUM(H179,Z179)+0.006&gt;AU179*1000000+SUM(W179,AO179)*10000+SUM(Q179,AI179)*100+SUM(K179,AC179)+0.003,1,0)+IF(AS179*1000000+SUM(U179,AM179)*10000+SUM(O179,AG179)*100+SUM(I179,AA179)+0.005&gt;AU179*1000000+SUM(W179,AO179)*10000+SUM(Q179,AI179)*100+SUM(K179,AC179)+0.003,1,0)+IF(AT179*1000000+SUM(V179,AN179)*10000+SUM(P179,AH179)*100+SUM(J179,AB179)+0.004&gt;AU179*1000000+SUM(W179,AO179)*10000+SUM(Q179,AI179)*100+SUM(K179,AC179)+0.003,1,0)+IF(AV179*1000000+SUM(X179,AP179)*10000+SUM(R179,AJ179)*100+SUM(L179,AD179)+0.002&gt;AU179*1000000+SUM(W179,AO179)*10000+SUM(Q179,AI179)*100+SUM(K179,AC179)+0.003,1,0)+IF(AW179*1000000+SUM(Y179,AQ179)*10000+SUM(S179,AK179)*100+SUM(M179,AE179)+0.001&gt;AU179*1000000+SUM(W179,AO179)*10000+SUM(Q179,AI179)*100+SUM(K179,AC179)+0.003,1,0)=2,"S",IF(IF(AR179*1000000+SUM(T179,AL179)*10000+SUM(N179,AF179)*100+SUM(H179,Z179)+0.006&gt;AV179*1000000+SUM(X179,AP179)*10000+SUM(R179,AJ179)*100+SUM(L179,AD179)+0.002,1,0)+IF(AS179*1000000+SUM(U179,AM179)*10000+SUM(O179,AG179)*100+SUM(I179,AA179)+0.005&gt;AV179*1000000+SUM(X179,AP179)*10000+SUM(R179,AJ179)*100+SUM(L179,AD179)+0.002,1,0)+IF(AT179*1000000+SUM(V179,AN179)*10000+SUM(P179,AH179)*100+SUM(J179,AB179)+0.004&gt;AV179*1000000+SUM(X179,AP179)*10000+SUM(R179,AJ179)*100+SUM(L179,AD179)+0.002,1,0)+IF(AU179*1000000+SUM(W179,AO179)*10000+SUM(Q179,AI179)*100+SUM(K179,AC179)+0.003&gt;AV179*1000000+SUM(X179,AP179)*10000+SUM(R179,AJ179)*100+SUM(L179,AD179)+0.002,1,0)+IF(AW179*1000000+SUM(Y179,AQ179)*10000+SUM(S179,AK179)*100+SUM(M179,AE179)+0.001&gt;AV179*1000000+SUM(X179,AP179)*10000+SUM(R179,AJ179)*100+SUM(L179,AD179)+0.002,1,0)=2,"E",IF(IF(AR179*1000000+SUM(T179,AL179)*10000+SUM(N179,AF179)*100+SUM(H179,Z179)+0.006&gt;AW179*1000000+SUM(Y179,AQ179)*10000+SUM(S179,AK179)*100+SUM(M179,AE179)+0.001,1,0)+IF(AS179*1000000+SUM(U179,AM179)*10000+SUM(O179,AG179)*100+SUM(I179,AA179)+0.005&gt;AW179*1000000+SUM(Y179,AQ179)*10000+SUM(S179,AK179)*100+SUM(M179,AE179)+0.001,1,0)+IF(AT179*1000000+SUM(V179,AN179)*10000+SUM(P179,AH179)*100+SUM(J179,AB179)+0.004&gt;AW179*1000000+SUM(Y179,AQ179)*10000+SUM(S179,AK179)*100+SUM(M179,AE179)+0.001,1,0)+IF(AU179*1000000+SUM(W179,AO179)*10000+SUM(Q179,AI179)*100+SUM(K179,AC179)+0.003&gt;AW179*1000000+SUM(Y179,AQ179)*10000+SUM(S179,AK179)*100+SUM(M179,AE179)+0.001,1,0)+IF(AV179*1000000+SUM(X179,AP179)*10000+SUM(R179,AJ179)*100+SUM(L179,AD179)+0.002&gt;AW179*1000000+SUM(Y179,AQ179)*10000+SUM(S179,AK179)*100+SUM(M179,AE179)+0.001,1,0)=2,"C","")))))))</x:f>
      </x:c>
      <x:c r="AY179" s="27" t="str">
        <x:f>IF(C179="","",IF(LEFT(AX179,1)="R","นักปฏิบัติ",IF(LEFT(AX179,1)="I","นักคิดวิเคราะห์",IF(LEFT(AX179,1)="A","นักสร้างสรรค์",IF(LEFT(AX179,1)="S","ผู้เข้าใจผู้คน",IF(LEFT(AX179,1)="E","ผู้นำการเปลี่ยนแปลง","ผู้จัดระบบ"))))))</x:f>
      </x:c>
    </x:row>
    <x:row r="180">
      <x:c r="A180" s="27"/>
      <x:c r="B180" s="28"/>
      <x:c r="C180" s="27"/>
      <x:c r="D180" s="27"/>
      <x:c r="E180" s="27"/>
      <x:c r="F180" s="27"/>
      <x:c r="G180" s="27"/>
      <x:c r="H180" s="27"/>
      <x:c r="I180" s="27"/>
      <x:c r="J180" s="27"/>
      <x:c r="K180" s="27"/>
      <x:c r="L180" s="27"/>
      <x:c r="M180" s="27"/>
      <x:c r="N180" s="27"/>
      <x:c r="O180" s="27"/>
      <x:c r="P180" s="27"/>
      <x:c r="Q180" s="27"/>
      <x:c r="R180" s="27"/>
      <x:c r="S180" s="27"/>
      <x:c r="T180" s="27"/>
      <x:c r="U180" s="27"/>
      <x:c r="V180" s="27"/>
      <x:c r="W180" s="27"/>
      <x:c r="X180" s="27"/>
      <x:c r="Y180" s="27"/>
      <x:c r="Z180" s="27"/>
      <x:c r="AA180" s="27"/>
      <x:c r="AB180" s="27"/>
      <x:c r="AC180" s="27"/>
      <x:c r="AD180" s="27"/>
      <x:c r="AE180" s="27"/>
      <x:c r="AF180" s="27"/>
      <x:c r="AG180" s="27"/>
      <x:c r="AH180" s="27"/>
      <x:c r="AI180" s="27"/>
      <x:c r="AJ180" s="27"/>
      <x:c r="AK180" s="27"/>
      <x:c r="AL180" s="27"/>
      <x:c r="AM180" s="27"/>
      <x:c r="AN180" s="27"/>
      <x:c r="AO180" s="27"/>
      <x:c r="AP180" s="27"/>
      <x:c r="AQ180" s="27"/>
      <x:c r="AR180" s="27" t="str">
        <x:f>IF(C180="","",SUM(H180,N180,T180,Z180,AF180,AL180))</x:f>
      </x:c>
      <x:c r="AS180" s="27" t="str">
        <x:f>IF(C180="","",SUM(I180,O180,U180,AA180,AG180,AM180))</x:f>
      </x:c>
      <x:c r="AT180" s="27" t="str">
        <x:f>IF(C180="","",SUM(J180,P180,V180,AB180,AH180,AN180))</x:f>
      </x:c>
      <x:c r="AU180" s="27" t="str">
        <x:f>IF(C180="","",SUM(K180,Q180,W180,AC180,AI180,AO180))</x:f>
      </x:c>
      <x:c r="AV180" s="27" t="str">
        <x:f>IF(C180="","",SUM(L180,R180,X180,AD180,AJ180,AP180))</x:f>
      </x:c>
      <x:c r="AW180" s="27" t="str">
        <x:f>IF(C180="","",SUM(M180,S180,Y180,AE180,AK180,AQ180))</x:f>
      </x:c>
      <x:c r="AX180" s="27" t="str">
        <x:f>IF(C180="","",IF(IF(AS180*1000000+SUM(U180,AM180)*10000+SUM(O180,AG180)*100+SUM(I180,AA180)+0.005&gt;AR180*1000000+SUM(T180,AL180)*10000+SUM(N180,AF180)*100+SUM(H180,Z180)+0.006,1,0)+IF(AT180*1000000+SUM(V180,AN180)*10000+SUM(P180,AH180)*100+SUM(J180,AB180)+0.004&gt;AR180*1000000+SUM(T180,AL180)*10000+SUM(N180,AF180)*100+SUM(H180,Z180)+0.006,1,0)+IF(AU180*1000000+SUM(W180,AO180)*10000+SUM(Q180,AI180)*100+SUM(K180,AC180)+0.003&gt;AR180*1000000+SUM(T180,AL180)*10000+SUM(N180,AF180)*100+SUM(H180,Z180)+0.006,1,0)+IF(AV180*1000000+SUM(X180,AP180)*10000+SUM(R180,AJ180)*100+SUM(L180,AD180)+0.002&gt;AR180*1000000+SUM(T180,AL180)*10000+SUM(N180,AF180)*100+SUM(H180,Z180)+0.006,1,0)+IF(AW180*1000000+SUM(Y180,AQ180)*10000+SUM(S180,AK180)*100+SUM(M180,AE180)+0.001&gt;AR180*1000000+SUM(T180,AL180)*10000+SUM(N180,AF180)*100+SUM(H180,Z180)+0.006,1,0)=0,"R",IF(IF(AR180*1000000+SUM(T180,AL180)*10000+SUM(N180,AF180)*100+SUM(H180,Z180)+0.006&gt;AS180*1000000+SUM(U180,AM180)*10000+SUM(O180,AG180)*100+SUM(I180,AA180)+0.005,1,0)+IF(AT180*1000000+SUM(V180,AN180)*10000+SUM(P180,AH180)*100+SUM(J180,AB180)+0.004&gt;AS180*1000000+SUM(U180,AM180)*10000+SUM(O180,AG180)*100+SUM(I180,AA180)+0.005,1,0)+IF(AU180*1000000+SUM(W180,AO180)*10000+SUM(Q180,AI180)*100+SUM(K180,AC180)+0.003&gt;AS180*1000000+SUM(U180,AM180)*10000+SUM(O180,AG180)*100+SUM(I180,AA180)+0.005,1,0)+IF(AV180*1000000+SUM(X180,AP180)*10000+SUM(R180,AJ180)*100+SUM(L180,AD180)+0.002&gt;AS180*1000000+SUM(U180,AM180)*10000+SUM(O180,AG180)*100+SUM(I180,AA180)+0.005,1,0)+IF(AW180*1000000+SUM(Y180,AQ180)*10000+SUM(S180,AK180)*100+SUM(M180,AE180)+0.001&gt;AS180*1000000+SUM(U180,AM180)*10000+SUM(O180,AG180)*100+SUM(I180,AA180)+0.005,1,0)=0,"I",IF(IF(AR180*1000000+SUM(T180,AL180)*10000+SUM(N180,AF180)*100+SUM(H180,Z180)+0.006&gt;AT180*1000000+SUM(V180,AN180)*10000+SUM(P180,AH180)*100+SUM(J180,AB180)+0.004,1,0)+IF(AS180*1000000+SUM(U180,AM180)*10000+SUM(O180,AG180)*100+SUM(I180,AA180)+0.005&gt;AT180*1000000+SUM(V180,AN180)*10000+SUM(P180,AH180)*100+SUM(J180,AB180)+0.004,1,0)+IF(AU180*1000000+SUM(W180,AO180)*10000+SUM(Q180,AI180)*100+SUM(K180,AC180)+0.003&gt;AT180*1000000+SUM(V180,AN180)*10000+SUM(P180,AH180)*100+SUM(J180,AB180)+0.004,1,0)+IF(AV180*1000000+SUM(X180,AP180)*10000+SUM(R180,AJ180)*100+SUM(L180,AD180)+0.002&gt;AT180*1000000+SUM(V180,AN180)*10000+SUM(P180,AH180)*100+SUM(J180,AB180)+0.004,1,0)+IF(AW180*1000000+SUM(Y180,AQ180)*10000+SUM(S180,AK180)*100+SUM(M180,AE180)+0.001&gt;AT180*1000000+SUM(V180,AN180)*10000+SUM(P180,AH180)*100+SUM(J180,AB180)+0.004,1,0)=0,"A",IF(IF(AR180*1000000+SUM(T180,AL180)*10000+SUM(N180,AF180)*100+SUM(H180,Z180)+0.006&gt;AU180*1000000+SUM(W180,AO180)*10000+SUM(Q180,AI180)*100+SUM(K180,AC180)+0.003,1,0)+IF(AS180*1000000+SUM(U180,AM180)*10000+SUM(O180,AG180)*100+SUM(I180,AA180)+0.005&gt;AU180*1000000+SUM(W180,AO180)*10000+SUM(Q180,AI180)*100+SUM(K180,AC180)+0.003,1,0)+IF(AT180*1000000+SUM(V180,AN180)*10000+SUM(P180,AH180)*100+SUM(J180,AB180)+0.004&gt;AU180*1000000+SUM(W180,AO180)*10000+SUM(Q180,AI180)*100+SUM(K180,AC180)+0.003,1,0)+IF(AV180*1000000+SUM(X180,AP180)*10000+SUM(R180,AJ180)*100+SUM(L180,AD180)+0.002&gt;AU180*1000000+SUM(W180,AO180)*10000+SUM(Q180,AI180)*100+SUM(K180,AC180)+0.003,1,0)+IF(AW180*1000000+SUM(Y180,AQ180)*10000+SUM(S180,AK180)*100+SUM(M180,AE180)+0.001&gt;AU180*1000000+SUM(W180,AO180)*10000+SUM(Q180,AI180)*100+SUM(K180,AC180)+0.003,1,0)=0,"S",IF(IF(AR180*1000000+SUM(T180,AL180)*10000+SUM(N180,AF180)*100+SUM(H180,Z180)+0.006&gt;AV180*1000000+SUM(X180,AP180)*10000+SUM(R180,AJ180)*100+SUM(L180,AD180)+0.002,1,0)+IF(AS180*1000000+SUM(U180,AM180)*10000+SUM(O180,AG180)*100+SUM(I180,AA180)+0.005&gt;AV180*1000000+SUM(X180,AP180)*10000+SUM(R180,AJ180)*100+SUM(L180,AD180)+0.002,1,0)+IF(AT180*1000000+SUM(V180,AN180)*10000+SUM(P180,AH180)*100+SUM(J180,AB180)+0.004&gt;AV180*1000000+SUM(X180,AP180)*10000+SUM(R180,AJ180)*100+SUM(L180,AD180)+0.002,1,0)+IF(AU180*1000000+SUM(W180,AO180)*10000+SUM(Q180,AI180)*100+SUM(K180,AC180)+0.003&gt;AV180*1000000+SUM(X180,AP180)*10000+SUM(R180,AJ180)*100+SUM(L180,AD180)+0.002,1,0)+IF(AW180*1000000+SUM(Y180,AQ180)*10000+SUM(S180,AK180)*100+SUM(M180,AE180)+0.001&gt;AV180*1000000+SUM(X180,AP180)*10000+SUM(R180,AJ180)*100+SUM(L180,AD180)+0.002,1,0)=0,"E",IF(IF(AR180*1000000+SUM(T180,AL180)*10000+SUM(N180,AF180)*100+SUM(H180,Z180)+0.006&gt;AW180*1000000+SUM(Y180,AQ180)*10000+SUM(S180,AK180)*100+SUM(M180,AE180)+0.001,1,0)+IF(AS180*1000000+SUM(U180,AM180)*10000+SUM(O180,AG180)*100+SUM(I180,AA180)+0.005&gt;AW180*1000000+SUM(Y180,AQ180)*10000+SUM(S180,AK180)*100+SUM(M180,AE180)+0.001,1,0)+IF(AT180*1000000+SUM(V180,AN180)*10000+SUM(P180,AH180)*100+SUM(J180,AB180)+0.004&gt;AW180*1000000+SUM(Y180,AQ180)*10000+SUM(S180,AK180)*100+SUM(M180,AE180)+0.001,1,0)+IF(AU180*1000000+SUM(W180,AO180)*10000+SUM(Q180,AI180)*100+SUM(K180,AC180)+0.003&gt;AW180*1000000+SUM(Y180,AQ180)*10000+SUM(S180,AK180)*100+SUM(M180,AE180)+0.001,1,0)+IF(AV180*1000000+SUM(X180,AP180)*10000+SUM(R180,AJ180)*100+SUM(L180,AD180)+0.002&gt;AW180*1000000+SUM(Y180,AQ180)*10000+SUM(S180,AK180)*100+SUM(M180,AE180)+0.001,1,0)=0,"C",""))))))&amp;IF(IF(AS180*1000000+SUM(U180,AM180)*10000+SUM(O180,AG180)*100+SUM(I180,AA180)+0.005&gt;AR180*1000000+SUM(T180,AL180)*10000+SUM(N180,AF180)*100+SUM(H180,Z180)+0.006,1,0)+IF(AT180*1000000+SUM(V180,AN180)*10000+SUM(P180,AH180)*100+SUM(J180,AB180)+0.004&gt;AR180*1000000+SUM(T180,AL180)*10000+SUM(N180,AF180)*100+SUM(H180,Z180)+0.006,1,0)+IF(AU180*1000000+SUM(W180,AO180)*10000+SUM(Q180,AI180)*100+SUM(K180,AC180)+0.003&gt;AR180*1000000+SUM(T180,AL180)*10000+SUM(N180,AF180)*100+SUM(H180,Z180)+0.006,1,0)+IF(AV180*1000000+SUM(X180,AP180)*10000+SUM(R180,AJ180)*100+SUM(L180,AD180)+0.002&gt;AR180*1000000+SUM(T180,AL180)*10000+SUM(N180,AF180)*100+SUM(H180,Z180)+0.006,1,0)+IF(AW180*1000000+SUM(Y180,AQ180)*10000+SUM(S180,AK180)*100+SUM(M180,AE180)+0.001&gt;AR180*1000000+SUM(T180,AL180)*10000+SUM(N180,AF180)*100+SUM(H180,Z180)+0.006,1,0)=1,"R",IF(IF(AR180*1000000+SUM(T180,AL180)*10000+SUM(N180,AF180)*100+SUM(H180,Z180)+0.006&gt;AS180*1000000+SUM(U180,AM180)*10000+SUM(O180,AG180)*100+SUM(I180,AA180)+0.005,1,0)+IF(AT180*1000000+SUM(V180,AN180)*10000+SUM(P180,AH180)*100+SUM(J180,AB180)+0.004&gt;AS180*1000000+SUM(U180,AM180)*10000+SUM(O180,AG180)*100+SUM(I180,AA180)+0.005,1,0)+IF(AU180*1000000+SUM(W180,AO180)*10000+SUM(Q180,AI180)*100+SUM(K180,AC180)+0.003&gt;AS180*1000000+SUM(U180,AM180)*10000+SUM(O180,AG180)*100+SUM(I180,AA180)+0.005,1,0)+IF(AV180*1000000+SUM(X180,AP180)*10000+SUM(R180,AJ180)*100+SUM(L180,AD180)+0.002&gt;AS180*1000000+SUM(U180,AM180)*10000+SUM(O180,AG180)*100+SUM(I180,AA180)+0.005,1,0)+IF(AW180*1000000+SUM(Y180,AQ180)*10000+SUM(S180,AK180)*100+SUM(M180,AE180)+0.001&gt;AS180*1000000+SUM(U180,AM180)*10000+SUM(O180,AG180)*100+SUM(I180,AA180)+0.005,1,0)=1,"I",IF(IF(AR180*1000000+SUM(T180,AL180)*10000+SUM(N180,AF180)*100+SUM(H180,Z180)+0.006&gt;AT180*1000000+SUM(V180,AN180)*10000+SUM(P180,AH180)*100+SUM(J180,AB180)+0.004,1,0)+IF(AS180*1000000+SUM(U180,AM180)*10000+SUM(O180,AG180)*100+SUM(I180,AA180)+0.005&gt;AT180*1000000+SUM(V180,AN180)*10000+SUM(P180,AH180)*100+SUM(J180,AB180)+0.004,1,0)+IF(AU180*1000000+SUM(W180,AO180)*10000+SUM(Q180,AI180)*100+SUM(K180,AC180)+0.003&gt;AT180*1000000+SUM(V180,AN180)*10000+SUM(P180,AH180)*100+SUM(J180,AB180)+0.004,1,0)+IF(AV180*1000000+SUM(X180,AP180)*10000+SUM(R180,AJ180)*100+SUM(L180,AD180)+0.002&gt;AT180*1000000+SUM(V180,AN180)*10000+SUM(P180,AH180)*100+SUM(J180,AB180)+0.004,1,0)+IF(AW180*1000000+SUM(Y180,AQ180)*10000+SUM(S180,AK180)*100+SUM(M180,AE180)+0.001&gt;AT180*1000000+SUM(V180,AN180)*10000+SUM(P180,AH180)*100+SUM(J180,AB180)+0.004,1,0)=1,"A",IF(IF(AR180*1000000+SUM(T180,AL180)*10000+SUM(N180,AF180)*100+SUM(H180,Z180)+0.006&gt;AU180*1000000+SUM(W180,AO180)*10000+SUM(Q180,AI180)*100+SUM(K180,AC180)+0.003,1,0)+IF(AS180*1000000+SUM(U180,AM180)*10000+SUM(O180,AG180)*100+SUM(I180,AA180)+0.005&gt;AU180*1000000+SUM(W180,AO180)*10000+SUM(Q180,AI180)*100+SUM(K180,AC180)+0.003,1,0)+IF(AT180*1000000+SUM(V180,AN180)*10000+SUM(P180,AH180)*100+SUM(J180,AB180)+0.004&gt;AU180*1000000+SUM(W180,AO180)*10000+SUM(Q180,AI180)*100+SUM(K180,AC180)+0.003,1,0)+IF(AV180*1000000+SUM(X180,AP180)*10000+SUM(R180,AJ180)*100+SUM(L180,AD180)+0.002&gt;AU180*1000000+SUM(W180,AO180)*10000+SUM(Q180,AI180)*100+SUM(K180,AC180)+0.003,1,0)+IF(AW180*1000000+SUM(Y180,AQ180)*10000+SUM(S180,AK180)*100+SUM(M180,AE180)+0.001&gt;AU180*1000000+SUM(W180,AO180)*10000+SUM(Q180,AI180)*100+SUM(K180,AC180)+0.003,1,0)=1,"S",IF(IF(AR180*1000000+SUM(T180,AL180)*10000+SUM(N180,AF180)*100+SUM(H180,Z180)+0.006&gt;AV180*1000000+SUM(X180,AP180)*10000+SUM(R180,AJ180)*100+SUM(L180,AD180)+0.002,1,0)+IF(AS180*1000000+SUM(U180,AM180)*10000+SUM(O180,AG180)*100+SUM(I180,AA180)+0.005&gt;AV180*1000000+SUM(X180,AP180)*10000+SUM(R180,AJ180)*100+SUM(L180,AD180)+0.002,1,0)+IF(AT180*1000000+SUM(V180,AN180)*10000+SUM(P180,AH180)*100+SUM(J180,AB180)+0.004&gt;AV180*1000000+SUM(X180,AP180)*10000+SUM(R180,AJ180)*100+SUM(L180,AD180)+0.002,1,0)+IF(AU180*1000000+SUM(W180,AO180)*10000+SUM(Q180,AI180)*100+SUM(K180,AC180)+0.003&gt;AV180*1000000+SUM(X180,AP180)*10000+SUM(R180,AJ180)*100+SUM(L180,AD180)+0.002,1,0)+IF(AW180*1000000+SUM(Y180,AQ180)*10000+SUM(S180,AK180)*100+SUM(M180,AE180)+0.001&gt;AV180*1000000+SUM(X180,AP180)*10000+SUM(R180,AJ180)*100+SUM(L180,AD180)+0.002,1,0)=1,"E",IF(IF(AR180*1000000+SUM(T180,AL180)*10000+SUM(N180,AF180)*100+SUM(H180,Z180)+0.006&gt;AW180*1000000+SUM(Y180,AQ180)*10000+SUM(S180,AK180)*100+SUM(M180,AE180)+0.001,1,0)+IF(AS180*1000000+SUM(U180,AM180)*10000+SUM(O180,AG180)*100+SUM(I180,AA180)+0.005&gt;AW180*1000000+SUM(Y180,AQ180)*10000+SUM(S180,AK180)*100+SUM(M180,AE180)+0.001,1,0)+IF(AT180*1000000+SUM(V180,AN180)*10000+SUM(P180,AH180)*100+SUM(J180,AB180)+0.004&gt;AW180*1000000+SUM(Y180,AQ180)*10000+SUM(S180,AK180)*100+SUM(M180,AE180)+0.001,1,0)+IF(AU180*1000000+SUM(W180,AO180)*10000+SUM(Q180,AI180)*100+SUM(K180,AC180)+0.003&gt;AW180*1000000+SUM(Y180,AQ180)*10000+SUM(S180,AK180)*100+SUM(M180,AE180)+0.001,1,0)+IF(AV180*1000000+SUM(X180,AP180)*10000+SUM(R180,AJ180)*100+SUM(L180,AD180)+0.002&gt;AW180*1000000+SUM(Y180,AQ180)*10000+SUM(S180,AK180)*100+SUM(M180,AE180)+0.001,1,0)=1,"C",""))))))&amp;IF(IF(AS180*1000000+SUM(U180,AM180)*10000+SUM(O180,AG180)*100+SUM(I180,AA180)+0.005&gt;AR180*1000000+SUM(T180,AL180)*10000+SUM(N180,AF180)*100+SUM(H180,Z180)+0.006,1,0)+IF(AT180*1000000+SUM(V180,AN180)*10000+SUM(P180,AH180)*100+SUM(J180,AB180)+0.004&gt;AR180*1000000+SUM(T180,AL180)*10000+SUM(N180,AF180)*100+SUM(H180,Z180)+0.006,1,0)+IF(AU180*1000000+SUM(W180,AO180)*10000+SUM(Q180,AI180)*100+SUM(K180,AC180)+0.003&gt;AR180*1000000+SUM(T180,AL180)*10000+SUM(N180,AF180)*100+SUM(H180,Z180)+0.006,1,0)+IF(AV180*1000000+SUM(X180,AP180)*10000+SUM(R180,AJ180)*100+SUM(L180,AD180)+0.002&gt;AR180*1000000+SUM(T180,AL180)*10000+SUM(N180,AF180)*100+SUM(H180,Z180)+0.006,1,0)+IF(AW180*1000000+SUM(Y180,AQ180)*10000+SUM(S180,AK180)*100+SUM(M180,AE180)+0.001&gt;AR180*1000000+SUM(T180,AL180)*10000+SUM(N180,AF180)*100+SUM(H180,Z180)+0.006,1,0)=2,"R",IF(IF(AR180*1000000+SUM(T180,AL180)*10000+SUM(N180,AF180)*100+SUM(H180,Z180)+0.006&gt;AS180*1000000+SUM(U180,AM180)*10000+SUM(O180,AG180)*100+SUM(I180,AA180)+0.005,1,0)+IF(AT180*1000000+SUM(V180,AN180)*10000+SUM(P180,AH180)*100+SUM(J180,AB180)+0.004&gt;AS180*1000000+SUM(U180,AM180)*10000+SUM(O180,AG180)*100+SUM(I180,AA180)+0.005,1,0)+IF(AU180*1000000+SUM(W180,AO180)*10000+SUM(Q180,AI180)*100+SUM(K180,AC180)+0.003&gt;AS180*1000000+SUM(U180,AM180)*10000+SUM(O180,AG180)*100+SUM(I180,AA180)+0.005,1,0)+IF(AV180*1000000+SUM(X180,AP180)*10000+SUM(R180,AJ180)*100+SUM(L180,AD180)+0.002&gt;AS180*1000000+SUM(U180,AM180)*10000+SUM(O180,AG180)*100+SUM(I180,AA180)+0.005,1,0)+IF(AW180*1000000+SUM(Y180,AQ180)*10000+SUM(S180,AK180)*100+SUM(M180,AE180)+0.001&gt;AS180*1000000+SUM(U180,AM180)*10000+SUM(O180,AG180)*100+SUM(I180,AA180)+0.005,1,0)=2,"I",IF(IF(AR180*1000000+SUM(T180,AL180)*10000+SUM(N180,AF180)*100+SUM(H180,Z180)+0.006&gt;AT180*1000000+SUM(V180,AN180)*10000+SUM(P180,AH180)*100+SUM(J180,AB180)+0.004,1,0)+IF(AS180*1000000+SUM(U180,AM180)*10000+SUM(O180,AG180)*100+SUM(I180,AA180)+0.005&gt;AT180*1000000+SUM(V180,AN180)*10000+SUM(P180,AH180)*100+SUM(J180,AB180)+0.004,1,0)+IF(AU180*1000000+SUM(W180,AO180)*10000+SUM(Q180,AI180)*100+SUM(K180,AC180)+0.003&gt;AT180*1000000+SUM(V180,AN180)*10000+SUM(P180,AH180)*100+SUM(J180,AB180)+0.004,1,0)+IF(AV180*1000000+SUM(X180,AP180)*10000+SUM(R180,AJ180)*100+SUM(L180,AD180)+0.002&gt;AT180*1000000+SUM(V180,AN180)*10000+SUM(P180,AH180)*100+SUM(J180,AB180)+0.004,1,0)+IF(AW180*1000000+SUM(Y180,AQ180)*10000+SUM(S180,AK180)*100+SUM(M180,AE180)+0.001&gt;AT180*1000000+SUM(V180,AN180)*10000+SUM(P180,AH180)*100+SUM(J180,AB180)+0.004,1,0)=2,"A",IF(IF(AR180*1000000+SUM(T180,AL180)*10000+SUM(N180,AF180)*100+SUM(H180,Z180)+0.006&gt;AU180*1000000+SUM(W180,AO180)*10000+SUM(Q180,AI180)*100+SUM(K180,AC180)+0.003,1,0)+IF(AS180*1000000+SUM(U180,AM180)*10000+SUM(O180,AG180)*100+SUM(I180,AA180)+0.005&gt;AU180*1000000+SUM(W180,AO180)*10000+SUM(Q180,AI180)*100+SUM(K180,AC180)+0.003,1,0)+IF(AT180*1000000+SUM(V180,AN180)*10000+SUM(P180,AH180)*100+SUM(J180,AB180)+0.004&gt;AU180*1000000+SUM(W180,AO180)*10000+SUM(Q180,AI180)*100+SUM(K180,AC180)+0.003,1,0)+IF(AV180*1000000+SUM(X180,AP180)*10000+SUM(R180,AJ180)*100+SUM(L180,AD180)+0.002&gt;AU180*1000000+SUM(W180,AO180)*10000+SUM(Q180,AI180)*100+SUM(K180,AC180)+0.003,1,0)+IF(AW180*1000000+SUM(Y180,AQ180)*10000+SUM(S180,AK180)*100+SUM(M180,AE180)+0.001&gt;AU180*1000000+SUM(W180,AO180)*10000+SUM(Q180,AI180)*100+SUM(K180,AC180)+0.003,1,0)=2,"S",IF(IF(AR180*1000000+SUM(T180,AL180)*10000+SUM(N180,AF180)*100+SUM(H180,Z180)+0.006&gt;AV180*1000000+SUM(X180,AP180)*10000+SUM(R180,AJ180)*100+SUM(L180,AD180)+0.002,1,0)+IF(AS180*1000000+SUM(U180,AM180)*10000+SUM(O180,AG180)*100+SUM(I180,AA180)+0.005&gt;AV180*1000000+SUM(X180,AP180)*10000+SUM(R180,AJ180)*100+SUM(L180,AD180)+0.002,1,0)+IF(AT180*1000000+SUM(V180,AN180)*10000+SUM(P180,AH180)*100+SUM(J180,AB180)+0.004&gt;AV180*1000000+SUM(X180,AP180)*10000+SUM(R180,AJ180)*100+SUM(L180,AD180)+0.002,1,0)+IF(AU180*1000000+SUM(W180,AO180)*10000+SUM(Q180,AI180)*100+SUM(K180,AC180)+0.003&gt;AV180*1000000+SUM(X180,AP180)*10000+SUM(R180,AJ180)*100+SUM(L180,AD180)+0.002,1,0)+IF(AW180*1000000+SUM(Y180,AQ180)*10000+SUM(S180,AK180)*100+SUM(M180,AE180)+0.001&gt;AV180*1000000+SUM(X180,AP180)*10000+SUM(R180,AJ180)*100+SUM(L180,AD180)+0.002,1,0)=2,"E",IF(IF(AR180*1000000+SUM(T180,AL180)*10000+SUM(N180,AF180)*100+SUM(H180,Z180)+0.006&gt;AW180*1000000+SUM(Y180,AQ180)*10000+SUM(S180,AK180)*100+SUM(M180,AE180)+0.001,1,0)+IF(AS180*1000000+SUM(U180,AM180)*10000+SUM(O180,AG180)*100+SUM(I180,AA180)+0.005&gt;AW180*1000000+SUM(Y180,AQ180)*10000+SUM(S180,AK180)*100+SUM(M180,AE180)+0.001,1,0)+IF(AT180*1000000+SUM(V180,AN180)*10000+SUM(P180,AH180)*100+SUM(J180,AB180)+0.004&gt;AW180*1000000+SUM(Y180,AQ180)*10000+SUM(S180,AK180)*100+SUM(M180,AE180)+0.001,1,0)+IF(AU180*1000000+SUM(W180,AO180)*10000+SUM(Q180,AI180)*100+SUM(K180,AC180)+0.003&gt;AW180*1000000+SUM(Y180,AQ180)*10000+SUM(S180,AK180)*100+SUM(M180,AE180)+0.001,1,0)+IF(AV180*1000000+SUM(X180,AP180)*10000+SUM(R180,AJ180)*100+SUM(L180,AD180)+0.002&gt;AW180*1000000+SUM(Y180,AQ180)*10000+SUM(S180,AK180)*100+SUM(M180,AE180)+0.001,1,0)=2,"C","")))))))</x:f>
      </x:c>
      <x:c r="AY180" s="27" t="str">
        <x:f>IF(C180="","",IF(LEFT(AX180,1)="R","นักปฏิบัติ",IF(LEFT(AX180,1)="I","นักคิดวิเคราะห์",IF(LEFT(AX180,1)="A","นักสร้างสรรค์",IF(LEFT(AX180,1)="S","ผู้เข้าใจผู้คน",IF(LEFT(AX180,1)="E","ผู้นำการเปลี่ยนแปลง","ผู้จัดระบบ"))))))</x:f>
      </x:c>
    </x:row>
    <x:row r="181">
      <x:c r="A181" s="27"/>
      <x:c r="B181" s="28"/>
      <x:c r="C181" s="27"/>
      <x:c r="D181" s="27"/>
      <x:c r="E181" s="27"/>
      <x:c r="F181" s="27"/>
      <x:c r="G181" s="27"/>
      <x:c r="H181" s="27"/>
      <x:c r="I181" s="27"/>
      <x:c r="J181" s="27"/>
      <x:c r="K181" s="27"/>
      <x:c r="L181" s="27"/>
      <x:c r="M181" s="27"/>
      <x:c r="N181" s="27"/>
      <x:c r="O181" s="27"/>
      <x:c r="P181" s="27"/>
      <x:c r="Q181" s="27"/>
      <x:c r="R181" s="27"/>
      <x:c r="S181" s="27"/>
      <x:c r="T181" s="27"/>
      <x:c r="U181" s="27"/>
      <x:c r="V181" s="27"/>
      <x:c r="W181" s="27"/>
      <x:c r="X181" s="27"/>
      <x:c r="Y181" s="27"/>
      <x:c r="Z181" s="27"/>
      <x:c r="AA181" s="27"/>
      <x:c r="AB181" s="27"/>
      <x:c r="AC181" s="27"/>
      <x:c r="AD181" s="27"/>
      <x:c r="AE181" s="27"/>
      <x:c r="AF181" s="27"/>
      <x:c r="AG181" s="27"/>
      <x:c r="AH181" s="27"/>
      <x:c r="AI181" s="27"/>
      <x:c r="AJ181" s="27"/>
      <x:c r="AK181" s="27"/>
      <x:c r="AL181" s="27"/>
      <x:c r="AM181" s="27"/>
      <x:c r="AN181" s="27"/>
      <x:c r="AO181" s="27"/>
      <x:c r="AP181" s="27"/>
      <x:c r="AQ181" s="27"/>
      <x:c r="AR181" s="27" t="str">
        <x:f>IF(C181="","",SUM(H181,N181,T181,Z181,AF181,AL181))</x:f>
      </x:c>
      <x:c r="AS181" s="27" t="str">
        <x:f>IF(C181="","",SUM(I181,O181,U181,AA181,AG181,AM181))</x:f>
      </x:c>
      <x:c r="AT181" s="27" t="str">
        <x:f>IF(C181="","",SUM(J181,P181,V181,AB181,AH181,AN181))</x:f>
      </x:c>
      <x:c r="AU181" s="27" t="str">
        <x:f>IF(C181="","",SUM(K181,Q181,W181,AC181,AI181,AO181))</x:f>
      </x:c>
      <x:c r="AV181" s="27" t="str">
        <x:f>IF(C181="","",SUM(L181,R181,X181,AD181,AJ181,AP181))</x:f>
      </x:c>
      <x:c r="AW181" s="27" t="str">
        <x:f>IF(C181="","",SUM(M181,S181,Y181,AE181,AK181,AQ181))</x:f>
      </x:c>
      <x:c r="AX181" s="27" t="str">
        <x:f>IF(C181="","",IF(IF(AS181*1000000+SUM(U181,AM181)*10000+SUM(O181,AG181)*100+SUM(I181,AA181)+0.005&gt;AR181*1000000+SUM(T181,AL181)*10000+SUM(N181,AF181)*100+SUM(H181,Z181)+0.006,1,0)+IF(AT181*1000000+SUM(V181,AN181)*10000+SUM(P181,AH181)*100+SUM(J181,AB181)+0.004&gt;AR181*1000000+SUM(T181,AL181)*10000+SUM(N181,AF181)*100+SUM(H181,Z181)+0.006,1,0)+IF(AU181*1000000+SUM(W181,AO181)*10000+SUM(Q181,AI181)*100+SUM(K181,AC181)+0.003&gt;AR181*1000000+SUM(T181,AL181)*10000+SUM(N181,AF181)*100+SUM(H181,Z181)+0.006,1,0)+IF(AV181*1000000+SUM(X181,AP181)*10000+SUM(R181,AJ181)*100+SUM(L181,AD181)+0.002&gt;AR181*1000000+SUM(T181,AL181)*10000+SUM(N181,AF181)*100+SUM(H181,Z181)+0.006,1,0)+IF(AW181*1000000+SUM(Y181,AQ181)*10000+SUM(S181,AK181)*100+SUM(M181,AE181)+0.001&gt;AR181*1000000+SUM(T181,AL181)*10000+SUM(N181,AF181)*100+SUM(H181,Z181)+0.006,1,0)=0,"R",IF(IF(AR181*1000000+SUM(T181,AL181)*10000+SUM(N181,AF181)*100+SUM(H181,Z181)+0.006&gt;AS181*1000000+SUM(U181,AM181)*10000+SUM(O181,AG181)*100+SUM(I181,AA181)+0.005,1,0)+IF(AT181*1000000+SUM(V181,AN181)*10000+SUM(P181,AH181)*100+SUM(J181,AB181)+0.004&gt;AS181*1000000+SUM(U181,AM181)*10000+SUM(O181,AG181)*100+SUM(I181,AA181)+0.005,1,0)+IF(AU181*1000000+SUM(W181,AO181)*10000+SUM(Q181,AI181)*100+SUM(K181,AC181)+0.003&gt;AS181*1000000+SUM(U181,AM181)*10000+SUM(O181,AG181)*100+SUM(I181,AA181)+0.005,1,0)+IF(AV181*1000000+SUM(X181,AP181)*10000+SUM(R181,AJ181)*100+SUM(L181,AD181)+0.002&gt;AS181*1000000+SUM(U181,AM181)*10000+SUM(O181,AG181)*100+SUM(I181,AA181)+0.005,1,0)+IF(AW181*1000000+SUM(Y181,AQ181)*10000+SUM(S181,AK181)*100+SUM(M181,AE181)+0.001&gt;AS181*1000000+SUM(U181,AM181)*10000+SUM(O181,AG181)*100+SUM(I181,AA181)+0.005,1,0)=0,"I",IF(IF(AR181*1000000+SUM(T181,AL181)*10000+SUM(N181,AF181)*100+SUM(H181,Z181)+0.006&gt;AT181*1000000+SUM(V181,AN181)*10000+SUM(P181,AH181)*100+SUM(J181,AB181)+0.004,1,0)+IF(AS181*1000000+SUM(U181,AM181)*10000+SUM(O181,AG181)*100+SUM(I181,AA181)+0.005&gt;AT181*1000000+SUM(V181,AN181)*10000+SUM(P181,AH181)*100+SUM(J181,AB181)+0.004,1,0)+IF(AU181*1000000+SUM(W181,AO181)*10000+SUM(Q181,AI181)*100+SUM(K181,AC181)+0.003&gt;AT181*1000000+SUM(V181,AN181)*10000+SUM(P181,AH181)*100+SUM(J181,AB181)+0.004,1,0)+IF(AV181*1000000+SUM(X181,AP181)*10000+SUM(R181,AJ181)*100+SUM(L181,AD181)+0.002&gt;AT181*1000000+SUM(V181,AN181)*10000+SUM(P181,AH181)*100+SUM(J181,AB181)+0.004,1,0)+IF(AW181*1000000+SUM(Y181,AQ181)*10000+SUM(S181,AK181)*100+SUM(M181,AE181)+0.001&gt;AT181*1000000+SUM(V181,AN181)*10000+SUM(P181,AH181)*100+SUM(J181,AB181)+0.004,1,0)=0,"A",IF(IF(AR181*1000000+SUM(T181,AL181)*10000+SUM(N181,AF181)*100+SUM(H181,Z181)+0.006&gt;AU181*1000000+SUM(W181,AO181)*10000+SUM(Q181,AI181)*100+SUM(K181,AC181)+0.003,1,0)+IF(AS181*1000000+SUM(U181,AM181)*10000+SUM(O181,AG181)*100+SUM(I181,AA181)+0.005&gt;AU181*1000000+SUM(W181,AO181)*10000+SUM(Q181,AI181)*100+SUM(K181,AC181)+0.003,1,0)+IF(AT181*1000000+SUM(V181,AN181)*10000+SUM(P181,AH181)*100+SUM(J181,AB181)+0.004&gt;AU181*1000000+SUM(W181,AO181)*10000+SUM(Q181,AI181)*100+SUM(K181,AC181)+0.003,1,0)+IF(AV181*1000000+SUM(X181,AP181)*10000+SUM(R181,AJ181)*100+SUM(L181,AD181)+0.002&gt;AU181*1000000+SUM(W181,AO181)*10000+SUM(Q181,AI181)*100+SUM(K181,AC181)+0.003,1,0)+IF(AW181*1000000+SUM(Y181,AQ181)*10000+SUM(S181,AK181)*100+SUM(M181,AE181)+0.001&gt;AU181*1000000+SUM(W181,AO181)*10000+SUM(Q181,AI181)*100+SUM(K181,AC181)+0.003,1,0)=0,"S",IF(IF(AR181*1000000+SUM(T181,AL181)*10000+SUM(N181,AF181)*100+SUM(H181,Z181)+0.006&gt;AV181*1000000+SUM(X181,AP181)*10000+SUM(R181,AJ181)*100+SUM(L181,AD181)+0.002,1,0)+IF(AS181*1000000+SUM(U181,AM181)*10000+SUM(O181,AG181)*100+SUM(I181,AA181)+0.005&gt;AV181*1000000+SUM(X181,AP181)*10000+SUM(R181,AJ181)*100+SUM(L181,AD181)+0.002,1,0)+IF(AT181*1000000+SUM(V181,AN181)*10000+SUM(P181,AH181)*100+SUM(J181,AB181)+0.004&gt;AV181*1000000+SUM(X181,AP181)*10000+SUM(R181,AJ181)*100+SUM(L181,AD181)+0.002,1,0)+IF(AU181*1000000+SUM(W181,AO181)*10000+SUM(Q181,AI181)*100+SUM(K181,AC181)+0.003&gt;AV181*1000000+SUM(X181,AP181)*10000+SUM(R181,AJ181)*100+SUM(L181,AD181)+0.002,1,0)+IF(AW181*1000000+SUM(Y181,AQ181)*10000+SUM(S181,AK181)*100+SUM(M181,AE181)+0.001&gt;AV181*1000000+SUM(X181,AP181)*10000+SUM(R181,AJ181)*100+SUM(L181,AD181)+0.002,1,0)=0,"E",IF(IF(AR181*1000000+SUM(T181,AL181)*10000+SUM(N181,AF181)*100+SUM(H181,Z181)+0.006&gt;AW181*1000000+SUM(Y181,AQ181)*10000+SUM(S181,AK181)*100+SUM(M181,AE181)+0.001,1,0)+IF(AS181*1000000+SUM(U181,AM181)*10000+SUM(O181,AG181)*100+SUM(I181,AA181)+0.005&gt;AW181*1000000+SUM(Y181,AQ181)*10000+SUM(S181,AK181)*100+SUM(M181,AE181)+0.001,1,0)+IF(AT181*1000000+SUM(V181,AN181)*10000+SUM(P181,AH181)*100+SUM(J181,AB181)+0.004&gt;AW181*1000000+SUM(Y181,AQ181)*10000+SUM(S181,AK181)*100+SUM(M181,AE181)+0.001,1,0)+IF(AU181*1000000+SUM(W181,AO181)*10000+SUM(Q181,AI181)*100+SUM(K181,AC181)+0.003&gt;AW181*1000000+SUM(Y181,AQ181)*10000+SUM(S181,AK181)*100+SUM(M181,AE181)+0.001,1,0)+IF(AV181*1000000+SUM(X181,AP181)*10000+SUM(R181,AJ181)*100+SUM(L181,AD181)+0.002&gt;AW181*1000000+SUM(Y181,AQ181)*10000+SUM(S181,AK181)*100+SUM(M181,AE181)+0.001,1,0)=0,"C",""))))))&amp;IF(IF(AS181*1000000+SUM(U181,AM181)*10000+SUM(O181,AG181)*100+SUM(I181,AA181)+0.005&gt;AR181*1000000+SUM(T181,AL181)*10000+SUM(N181,AF181)*100+SUM(H181,Z181)+0.006,1,0)+IF(AT181*1000000+SUM(V181,AN181)*10000+SUM(P181,AH181)*100+SUM(J181,AB181)+0.004&gt;AR181*1000000+SUM(T181,AL181)*10000+SUM(N181,AF181)*100+SUM(H181,Z181)+0.006,1,0)+IF(AU181*1000000+SUM(W181,AO181)*10000+SUM(Q181,AI181)*100+SUM(K181,AC181)+0.003&gt;AR181*1000000+SUM(T181,AL181)*10000+SUM(N181,AF181)*100+SUM(H181,Z181)+0.006,1,0)+IF(AV181*1000000+SUM(X181,AP181)*10000+SUM(R181,AJ181)*100+SUM(L181,AD181)+0.002&gt;AR181*1000000+SUM(T181,AL181)*10000+SUM(N181,AF181)*100+SUM(H181,Z181)+0.006,1,0)+IF(AW181*1000000+SUM(Y181,AQ181)*10000+SUM(S181,AK181)*100+SUM(M181,AE181)+0.001&gt;AR181*1000000+SUM(T181,AL181)*10000+SUM(N181,AF181)*100+SUM(H181,Z181)+0.006,1,0)=1,"R",IF(IF(AR181*1000000+SUM(T181,AL181)*10000+SUM(N181,AF181)*100+SUM(H181,Z181)+0.006&gt;AS181*1000000+SUM(U181,AM181)*10000+SUM(O181,AG181)*100+SUM(I181,AA181)+0.005,1,0)+IF(AT181*1000000+SUM(V181,AN181)*10000+SUM(P181,AH181)*100+SUM(J181,AB181)+0.004&gt;AS181*1000000+SUM(U181,AM181)*10000+SUM(O181,AG181)*100+SUM(I181,AA181)+0.005,1,0)+IF(AU181*1000000+SUM(W181,AO181)*10000+SUM(Q181,AI181)*100+SUM(K181,AC181)+0.003&gt;AS181*1000000+SUM(U181,AM181)*10000+SUM(O181,AG181)*100+SUM(I181,AA181)+0.005,1,0)+IF(AV181*1000000+SUM(X181,AP181)*10000+SUM(R181,AJ181)*100+SUM(L181,AD181)+0.002&gt;AS181*1000000+SUM(U181,AM181)*10000+SUM(O181,AG181)*100+SUM(I181,AA181)+0.005,1,0)+IF(AW181*1000000+SUM(Y181,AQ181)*10000+SUM(S181,AK181)*100+SUM(M181,AE181)+0.001&gt;AS181*1000000+SUM(U181,AM181)*10000+SUM(O181,AG181)*100+SUM(I181,AA181)+0.005,1,0)=1,"I",IF(IF(AR181*1000000+SUM(T181,AL181)*10000+SUM(N181,AF181)*100+SUM(H181,Z181)+0.006&gt;AT181*1000000+SUM(V181,AN181)*10000+SUM(P181,AH181)*100+SUM(J181,AB181)+0.004,1,0)+IF(AS181*1000000+SUM(U181,AM181)*10000+SUM(O181,AG181)*100+SUM(I181,AA181)+0.005&gt;AT181*1000000+SUM(V181,AN181)*10000+SUM(P181,AH181)*100+SUM(J181,AB181)+0.004,1,0)+IF(AU181*1000000+SUM(W181,AO181)*10000+SUM(Q181,AI181)*100+SUM(K181,AC181)+0.003&gt;AT181*1000000+SUM(V181,AN181)*10000+SUM(P181,AH181)*100+SUM(J181,AB181)+0.004,1,0)+IF(AV181*1000000+SUM(X181,AP181)*10000+SUM(R181,AJ181)*100+SUM(L181,AD181)+0.002&gt;AT181*1000000+SUM(V181,AN181)*10000+SUM(P181,AH181)*100+SUM(J181,AB181)+0.004,1,0)+IF(AW181*1000000+SUM(Y181,AQ181)*10000+SUM(S181,AK181)*100+SUM(M181,AE181)+0.001&gt;AT181*1000000+SUM(V181,AN181)*10000+SUM(P181,AH181)*100+SUM(J181,AB181)+0.004,1,0)=1,"A",IF(IF(AR181*1000000+SUM(T181,AL181)*10000+SUM(N181,AF181)*100+SUM(H181,Z181)+0.006&gt;AU181*1000000+SUM(W181,AO181)*10000+SUM(Q181,AI181)*100+SUM(K181,AC181)+0.003,1,0)+IF(AS181*1000000+SUM(U181,AM181)*10000+SUM(O181,AG181)*100+SUM(I181,AA181)+0.005&gt;AU181*1000000+SUM(W181,AO181)*10000+SUM(Q181,AI181)*100+SUM(K181,AC181)+0.003,1,0)+IF(AT181*1000000+SUM(V181,AN181)*10000+SUM(P181,AH181)*100+SUM(J181,AB181)+0.004&gt;AU181*1000000+SUM(W181,AO181)*10000+SUM(Q181,AI181)*100+SUM(K181,AC181)+0.003,1,0)+IF(AV181*1000000+SUM(X181,AP181)*10000+SUM(R181,AJ181)*100+SUM(L181,AD181)+0.002&gt;AU181*1000000+SUM(W181,AO181)*10000+SUM(Q181,AI181)*100+SUM(K181,AC181)+0.003,1,0)+IF(AW181*1000000+SUM(Y181,AQ181)*10000+SUM(S181,AK181)*100+SUM(M181,AE181)+0.001&gt;AU181*1000000+SUM(W181,AO181)*10000+SUM(Q181,AI181)*100+SUM(K181,AC181)+0.003,1,0)=1,"S",IF(IF(AR181*1000000+SUM(T181,AL181)*10000+SUM(N181,AF181)*100+SUM(H181,Z181)+0.006&gt;AV181*1000000+SUM(X181,AP181)*10000+SUM(R181,AJ181)*100+SUM(L181,AD181)+0.002,1,0)+IF(AS181*1000000+SUM(U181,AM181)*10000+SUM(O181,AG181)*100+SUM(I181,AA181)+0.005&gt;AV181*1000000+SUM(X181,AP181)*10000+SUM(R181,AJ181)*100+SUM(L181,AD181)+0.002,1,0)+IF(AT181*1000000+SUM(V181,AN181)*10000+SUM(P181,AH181)*100+SUM(J181,AB181)+0.004&gt;AV181*1000000+SUM(X181,AP181)*10000+SUM(R181,AJ181)*100+SUM(L181,AD181)+0.002,1,0)+IF(AU181*1000000+SUM(W181,AO181)*10000+SUM(Q181,AI181)*100+SUM(K181,AC181)+0.003&gt;AV181*1000000+SUM(X181,AP181)*10000+SUM(R181,AJ181)*100+SUM(L181,AD181)+0.002,1,0)+IF(AW181*1000000+SUM(Y181,AQ181)*10000+SUM(S181,AK181)*100+SUM(M181,AE181)+0.001&gt;AV181*1000000+SUM(X181,AP181)*10000+SUM(R181,AJ181)*100+SUM(L181,AD181)+0.002,1,0)=1,"E",IF(IF(AR181*1000000+SUM(T181,AL181)*10000+SUM(N181,AF181)*100+SUM(H181,Z181)+0.006&gt;AW181*1000000+SUM(Y181,AQ181)*10000+SUM(S181,AK181)*100+SUM(M181,AE181)+0.001,1,0)+IF(AS181*1000000+SUM(U181,AM181)*10000+SUM(O181,AG181)*100+SUM(I181,AA181)+0.005&gt;AW181*1000000+SUM(Y181,AQ181)*10000+SUM(S181,AK181)*100+SUM(M181,AE181)+0.001,1,0)+IF(AT181*1000000+SUM(V181,AN181)*10000+SUM(P181,AH181)*100+SUM(J181,AB181)+0.004&gt;AW181*1000000+SUM(Y181,AQ181)*10000+SUM(S181,AK181)*100+SUM(M181,AE181)+0.001,1,0)+IF(AU181*1000000+SUM(W181,AO181)*10000+SUM(Q181,AI181)*100+SUM(K181,AC181)+0.003&gt;AW181*1000000+SUM(Y181,AQ181)*10000+SUM(S181,AK181)*100+SUM(M181,AE181)+0.001,1,0)+IF(AV181*1000000+SUM(X181,AP181)*10000+SUM(R181,AJ181)*100+SUM(L181,AD181)+0.002&gt;AW181*1000000+SUM(Y181,AQ181)*10000+SUM(S181,AK181)*100+SUM(M181,AE181)+0.001,1,0)=1,"C",""))))))&amp;IF(IF(AS181*1000000+SUM(U181,AM181)*10000+SUM(O181,AG181)*100+SUM(I181,AA181)+0.005&gt;AR181*1000000+SUM(T181,AL181)*10000+SUM(N181,AF181)*100+SUM(H181,Z181)+0.006,1,0)+IF(AT181*1000000+SUM(V181,AN181)*10000+SUM(P181,AH181)*100+SUM(J181,AB181)+0.004&gt;AR181*1000000+SUM(T181,AL181)*10000+SUM(N181,AF181)*100+SUM(H181,Z181)+0.006,1,0)+IF(AU181*1000000+SUM(W181,AO181)*10000+SUM(Q181,AI181)*100+SUM(K181,AC181)+0.003&gt;AR181*1000000+SUM(T181,AL181)*10000+SUM(N181,AF181)*100+SUM(H181,Z181)+0.006,1,0)+IF(AV181*1000000+SUM(X181,AP181)*10000+SUM(R181,AJ181)*100+SUM(L181,AD181)+0.002&gt;AR181*1000000+SUM(T181,AL181)*10000+SUM(N181,AF181)*100+SUM(H181,Z181)+0.006,1,0)+IF(AW181*1000000+SUM(Y181,AQ181)*10000+SUM(S181,AK181)*100+SUM(M181,AE181)+0.001&gt;AR181*1000000+SUM(T181,AL181)*10000+SUM(N181,AF181)*100+SUM(H181,Z181)+0.006,1,0)=2,"R",IF(IF(AR181*1000000+SUM(T181,AL181)*10000+SUM(N181,AF181)*100+SUM(H181,Z181)+0.006&gt;AS181*1000000+SUM(U181,AM181)*10000+SUM(O181,AG181)*100+SUM(I181,AA181)+0.005,1,0)+IF(AT181*1000000+SUM(V181,AN181)*10000+SUM(P181,AH181)*100+SUM(J181,AB181)+0.004&gt;AS181*1000000+SUM(U181,AM181)*10000+SUM(O181,AG181)*100+SUM(I181,AA181)+0.005,1,0)+IF(AU181*1000000+SUM(W181,AO181)*10000+SUM(Q181,AI181)*100+SUM(K181,AC181)+0.003&gt;AS181*1000000+SUM(U181,AM181)*10000+SUM(O181,AG181)*100+SUM(I181,AA181)+0.005,1,0)+IF(AV181*1000000+SUM(X181,AP181)*10000+SUM(R181,AJ181)*100+SUM(L181,AD181)+0.002&gt;AS181*1000000+SUM(U181,AM181)*10000+SUM(O181,AG181)*100+SUM(I181,AA181)+0.005,1,0)+IF(AW181*1000000+SUM(Y181,AQ181)*10000+SUM(S181,AK181)*100+SUM(M181,AE181)+0.001&gt;AS181*1000000+SUM(U181,AM181)*10000+SUM(O181,AG181)*100+SUM(I181,AA181)+0.005,1,0)=2,"I",IF(IF(AR181*1000000+SUM(T181,AL181)*10000+SUM(N181,AF181)*100+SUM(H181,Z181)+0.006&gt;AT181*1000000+SUM(V181,AN181)*10000+SUM(P181,AH181)*100+SUM(J181,AB181)+0.004,1,0)+IF(AS181*1000000+SUM(U181,AM181)*10000+SUM(O181,AG181)*100+SUM(I181,AA181)+0.005&gt;AT181*1000000+SUM(V181,AN181)*10000+SUM(P181,AH181)*100+SUM(J181,AB181)+0.004,1,0)+IF(AU181*1000000+SUM(W181,AO181)*10000+SUM(Q181,AI181)*100+SUM(K181,AC181)+0.003&gt;AT181*1000000+SUM(V181,AN181)*10000+SUM(P181,AH181)*100+SUM(J181,AB181)+0.004,1,0)+IF(AV181*1000000+SUM(X181,AP181)*10000+SUM(R181,AJ181)*100+SUM(L181,AD181)+0.002&gt;AT181*1000000+SUM(V181,AN181)*10000+SUM(P181,AH181)*100+SUM(J181,AB181)+0.004,1,0)+IF(AW181*1000000+SUM(Y181,AQ181)*10000+SUM(S181,AK181)*100+SUM(M181,AE181)+0.001&gt;AT181*1000000+SUM(V181,AN181)*10000+SUM(P181,AH181)*100+SUM(J181,AB181)+0.004,1,0)=2,"A",IF(IF(AR181*1000000+SUM(T181,AL181)*10000+SUM(N181,AF181)*100+SUM(H181,Z181)+0.006&gt;AU181*1000000+SUM(W181,AO181)*10000+SUM(Q181,AI181)*100+SUM(K181,AC181)+0.003,1,0)+IF(AS181*1000000+SUM(U181,AM181)*10000+SUM(O181,AG181)*100+SUM(I181,AA181)+0.005&gt;AU181*1000000+SUM(W181,AO181)*10000+SUM(Q181,AI181)*100+SUM(K181,AC181)+0.003,1,0)+IF(AT181*1000000+SUM(V181,AN181)*10000+SUM(P181,AH181)*100+SUM(J181,AB181)+0.004&gt;AU181*1000000+SUM(W181,AO181)*10000+SUM(Q181,AI181)*100+SUM(K181,AC181)+0.003,1,0)+IF(AV181*1000000+SUM(X181,AP181)*10000+SUM(R181,AJ181)*100+SUM(L181,AD181)+0.002&gt;AU181*1000000+SUM(W181,AO181)*10000+SUM(Q181,AI181)*100+SUM(K181,AC181)+0.003,1,0)+IF(AW181*1000000+SUM(Y181,AQ181)*10000+SUM(S181,AK181)*100+SUM(M181,AE181)+0.001&gt;AU181*1000000+SUM(W181,AO181)*10000+SUM(Q181,AI181)*100+SUM(K181,AC181)+0.003,1,0)=2,"S",IF(IF(AR181*1000000+SUM(T181,AL181)*10000+SUM(N181,AF181)*100+SUM(H181,Z181)+0.006&gt;AV181*1000000+SUM(X181,AP181)*10000+SUM(R181,AJ181)*100+SUM(L181,AD181)+0.002,1,0)+IF(AS181*1000000+SUM(U181,AM181)*10000+SUM(O181,AG181)*100+SUM(I181,AA181)+0.005&gt;AV181*1000000+SUM(X181,AP181)*10000+SUM(R181,AJ181)*100+SUM(L181,AD181)+0.002,1,0)+IF(AT181*1000000+SUM(V181,AN181)*10000+SUM(P181,AH181)*100+SUM(J181,AB181)+0.004&gt;AV181*1000000+SUM(X181,AP181)*10000+SUM(R181,AJ181)*100+SUM(L181,AD181)+0.002,1,0)+IF(AU181*1000000+SUM(W181,AO181)*10000+SUM(Q181,AI181)*100+SUM(K181,AC181)+0.003&gt;AV181*1000000+SUM(X181,AP181)*10000+SUM(R181,AJ181)*100+SUM(L181,AD181)+0.002,1,0)+IF(AW181*1000000+SUM(Y181,AQ181)*10000+SUM(S181,AK181)*100+SUM(M181,AE181)+0.001&gt;AV181*1000000+SUM(X181,AP181)*10000+SUM(R181,AJ181)*100+SUM(L181,AD181)+0.002,1,0)=2,"E",IF(IF(AR181*1000000+SUM(T181,AL181)*10000+SUM(N181,AF181)*100+SUM(H181,Z181)+0.006&gt;AW181*1000000+SUM(Y181,AQ181)*10000+SUM(S181,AK181)*100+SUM(M181,AE181)+0.001,1,0)+IF(AS181*1000000+SUM(U181,AM181)*10000+SUM(O181,AG181)*100+SUM(I181,AA181)+0.005&gt;AW181*1000000+SUM(Y181,AQ181)*10000+SUM(S181,AK181)*100+SUM(M181,AE181)+0.001,1,0)+IF(AT181*1000000+SUM(V181,AN181)*10000+SUM(P181,AH181)*100+SUM(J181,AB181)+0.004&gt;AW181*1000000+SUM(Y181,AQ181)*10000+SUM(S181,AK181)*100+SUM(M181,AE181)+0.001,1,0)+IF(AU181*1000000+SUM(W181,AO181)*10000+SUM(Q181,AI181)*100+SUM(K181,AC181)+0.003&gt;AW181*1000000+SUM(Y181,AQ181)*10000+SUM(S181,AK181)*100+SUM(M181,AE181)+0.001,1,0)+IF(AV181*1000000+SUM(X181,AP181)*10000+SUM(R181,AJ181)*100+SUM(L181,AD181)+0.002&gt;AW181*1000000+SUM(Y181,AQ181)*10000+SUM(S181,AK181)*100+SUM(M181,AE181)+0.001,1,0)=2,"C","")))))))</x:f>
      </x:c>
      <x:c r="AY181" s="27" t="str">
        <x:f>IF(C181="","",IF(LEFT(AX181,1)="R","นักปฏิบัติ",IF(LEFT(AX181,1)="I","นักคิดวิเคราะห์",IF(LEFT(AX181,1)="A","นักสร้างสรรค์",IF(LEFT(AX181,1)="S","ผู้เข้าใจผู้คน",IF(LEFT(AX181,1)="E","ผู้นำการเปลี่ยนแปลง","ผู้จัดระบบ"))))))</x:f>
      </x:c>
    </x:row>
    <x:row r="182">
      <x:c r="A182" s="27"/>
      <x:c r="B182" s="28"/>
      <x:c r="C182" s="27"/>
      <x:c r="D182" s="27"/>
      <x:c r="E182" s="27"/>
      <x:c r="F182" s="27"/>
      <x:c r="G182" s="27"/>
      <x:c r="H182" s="27"/>
      <x:c r="I182" s="27"/>
      <x:c r="J182" s="27"/>
      <x:c r="K182" s="27"/>
      <x:c r="L182" s="27"/>
      <x:c r="M182" s="27"/>
      <x:c r="N182" s="27"/>
      <x:c r="O182" s="27"/>
      <x:c r="P182" s="27"/>
      <x:c r="Q182" s="27"/>
      <x:c r="R182" s="27"/>
      <x:c r="S182" s="27"/>
      <x:c r="T182" s="27"/>
      <x:c r="U182" s="27"/>
      <x:c r="V182" s="27"/>
      <x:c r="W182" s="27"/>
      <x:c r="X182" s="27"/>
      <x:c r="Y182" s="27"/>
      <x:c r="Z182" s="27"/>
      <x:c r="AA182" s="27"/>
      <x:c r="AB182" s="27"/>
      <x:c r="AC182" s="27"/>
      <x:c r="AD182" s="27"/>
      <x:c r="AE182" s="27"/>
      <x:c r="AF182" s="27"/>
      <x:c r="AG182" s="27"/>
      <x:c r="AH182" s="27"/>
      <x:c r="AI182" s="27"/>
      <x:c r="AJ182" s="27"/>
      <x:c r="AK182" s="27"/>
      <x:c r="AL182" s="27"/>
      <x:c r="AM182" s="27"/>
      <x:c r="AN182" s="27"/>
      <x:c r="AO182" s="27"/>
      <x:c r="AP182" s="27"/>
      <x:c r="AQ182" s="27"/>
      <x:c r="AR182" s="27" t="str">
        <x:f>IF(C182="","",SUM(H182,N182,T182,Z182,AF182,AL182))</x:f>
      </x:c>
      <x:c r="AS182" s="27" t="str">
        <x:f>IF(C182="","",SUM(I182,O182,U182,AA182,AG182,AM182))</x:f>
      </x:c>
      <x:c r="AT182" s="27" t="str">
        <x:f>IF(C182="","",SUM(J182,P182,V182,AB182,AH182,AN182))</x:f>
      </x:c>
      <x:c r="AU182" s="27" t="str">
        <x:f>IF(C182="","",SUM(K182,Q182,W182,AC182,AI182,AO182))</x:f>
      </x:c>
      <x:c r="AV182" s="27" t="str">
        <x:f>IF(C182="","",SUM(L182,R182,X182,AD182,AJ182,AP182))</x:f>
      </x:c>
      <x:c r="AW182" s="27" t="str">
        <x:f>IF(C182="","",SUM(M182,S182,Y182,AE182,AK182,AQ182))</x:f>
      </x:c>
      <x:c r="AX182" s="27" t="str">
        <x:f>IF(C182="","",IF(IF(AS182*1000000+SUM(U182,AM182)*10000+SUM(O182,AG182)*100+SUM(I182,AA182)+0.005&gt;AR182*1000000+SUM(T182,AL182)*10000+SUM(N182,AF182)*100+SUM(H182,Z182)+0.006,1,0)+IF(AT182*1000000+SUM(V182,AN182)*10000+SUM(P182,AH182)*100+SUM(J182,AB182)+0.004&gt;AR182*1000000+SUM(T182,AL182)*10000+SUM(N182,AF182)*100+SUM(H182,Z182)+0.006,1,0)+IF(AU182*1000000+SUM(W182,AO182)*10000+SUM(Q182,AI182)*100+SUM(K182,AC182)+0.003&gt;AR182*1000000+SUM(T182,AL182)*10000+SUM(N182,AF182)*100+SUM(H182,Z182)+0.006,1,0)+IF(AV182*1000000+SUM(X182,AP182)*10000+SUM(R182,AJ182)*100+SUM(L182,AD182)+0.002&gt;AR182*1000000+SUM(T182,AL182)*10000+SUM(N182,AF182)*100+SUM(H182,Z182)+0.006,1,0)+IF(AW182*1000000+SUM(Y182,AQ182)*10000+SUM(S182,AK182)*100+SUM(M182,AE182)+0.001&gt;AR182*1000000+SUM(T182,AL182)*10000+SUM(N182,AF182)*100+SUM(H182,Z182)+0.006,1,0)=0,"R",IF(IF(AR182*1000000+SUM(T182,AL182)*10000+SUM(N182,AF182)*100+SUM(H182,Z182)+0.006&gt;AS182*1000000+SUM(U182,AM182)*10000+SUM(O182,AG182)*100+SUM(I182,AA182)+0.005,1,0)+IF(AT182*1000000+SUM(V182,AN182)*10000+SUM(P182,AH182)*100+SUM(J182,AB182)+0.004&gt;AS182*1000000+SUM(U182,AM182)*10000+SUM(O182,AG182)*100+SUM(I182,AA182)+0.005,1,0)+IF(AU182*1000000+SUM(W182,AO182)*10000+SUM(Q182,AI182)*100+SUM(K182,AC182)+0.003&gt;AS182*1000000+SUM(U182,AM182)*10000+SUM(O182,AG182)*100+SUM(I182,AA182)+0.005,1,0)+IF(AV182*1000000+SUM(X182,AP182)*10000+SUM(R182,AJ182)*100+SUM(L182,AD182)+0.002&gt;AS182*1000000+SUM(U182,AM182)*10000+SUM(O182,AG182)*100+SUM(I182,AA182)+0.005,1,0)+IF(AW182*1000000+SUM(Y182,AQ182)*10000+SUM(S182,AK182)*100+SUM(M182,AE182)+0.001&gt;AS182*1000000+SUM(U182,AM182)*10000+SUM(O182,AG182)*100+SUM(I182,AA182)+0.005,1,0)=0,"I",IF(IF(AR182*1000000+SUM(T182,AL182)*10000+SUM(N182,AF182)*100+SUM(H182,Z182)+0.006&gt;AT182*1000000+SUM(V182,AN182)*10000+SUM(P182,AH182)*100+SUM(J182,AB182)+0.004,1,0)+IF(AS182*1000000+SUM(U182,AM182)*10000+SUM(O182,AG182)*100+SUM(I182,AA182)+0.005&gt;AT182*1000000+SUM(V182,AN182)*10000+SUM(P182,AH182)*100+SUM(J182,AB182)+0.004,1,0)+IF(AU182*1000000+SUM(W182,AO182)*10000+SUM(Q182,AI182)*100+SUM(K182,AC182)+0.003&gt;AT182*1000000+SUM(V182,AN182)*10000+SUM(P182,AH182)*100+SUM(J182,AB182)+0.004,1,0)+IF(AV182*1000000+SUM(X182,AP182)*10000+SUM(R182,AJ182)*100+SUM(L182,AD182)+0.002&gt;AT182*1000000+SUM(V182,AN182)*10000+SUM(P182,AH182)*100+SUM(J182,AB182)+0.004,1,0)+IF(AW182*1000000+SUM(Y182,AQ182)*10000+SUM(S182,AK182)*100+SUM(M182,AE182)+0.001&gt;AT182*1000000+SUM(V182,AN182)*10000+SUM(P182,AH182)*100+SUM(J182,AB182)+0.004,1,0)=0,"A",IF(IF(AR182*1000000+SUM(T182,AL182)*10000+SUM(N182,AF182)*100+SUM(H182,Z182)+0.006&gt;AU182*1000000+SUM(W182,AO182)*10000+SUM(Q182,AI182)*100+SUM(K182,AC182)+0.003,1,0)+IF(AS182*1000000+SUM(U182,AM182)*10000+SUM(O182,AG182)*100+SUM(I182,AA182)+0.005&gt;AU182*1000000+SUM(W182,AO182)*10000+SUM(Q182,AI182)*100+SUM(K182,AC182)+0.003,1,0)+IF(AT182*1000000+SUM(V182,AN182)*10000+SUM(P182,AH182)*100+SUM(J182,AB182)+0.004&gt;AU182*1000000+SUM(W182,AO182)*10000+SUM(Q182,AI182)*100+SUM(K182,AC182)+0.003,1,0)+IF(AV182*1000000+SUM(X182,AP182)*10000+SUM(R182,AJ182)*100+SUM(L182,AD182)+0.002&gt;AU182*1000000+SUM(W182,AO182)*10000+SUM(Q182,AI182)*100+SUM(K182,AC182)+0.003,1,0)+IF(AW182*1000000+SUM(Y182,AQ182)*10000+SUM(S182,AK182)*100+SUM(M182,AE182)+0.001&gt;AU182*1000000+SUM(W182,AO182)*10000+SUM(Q182,AI182)*100+SUM(K182,AC182)+0.003,1,0)=0,"S",IF(IF(AR182*1000000+SUM(T182,AL182)*10000+SUM(N182,AF182)*100+SUM(H182,Z182)+0.006&gt;AV182*1000000+SUM(X182,AP182)*10000+SUM(R182,AJ182)*100+SUM(L182,AD182)+0.002,1,0)+IF(AS182*1000000+SUM(U182,AM182)*10000+SUM(O182,AG182)*100+SUM(I182,AA182)+0.005&gt;AV182*1000000+SUM(X182,AP182)*10000+SUM(R182,AJ182)*100+SUM(L182,AD182)+0.002,1,0)+IF(AT182*1000000+SUM(V182,AN182)*10000+SUM(P182,AH182)*100+SUM(J182,AB182)+0.004&gt;AV182*1000000+SUM(X182,AP182)*10000+SUM(R182,AJ182)*100+SUM(L182,AD182)+0.002,1,0)+IF(AU182*1000000+SUM(W182,AO182)*10000+SUM(Q182,AI182)*100+SUM(K182,AC182)+0.003&gt;AV182*1000000+SUM(X182,AP182)*10000+SUM(R182,AJ182)*100+SUM(L182,AD182)+0.002,1,0)+IF(AW182*1000000+SUM(Y182,AQ182)*10000+SUM(S182,AK182)*100+SUM(M182,AE182)+0.001&gt;AV182*1000000+SUM(X182,AP182)*10000+SUM(R182,AJ182)*100+SUM(L182,AD182)+0.002,1,0)=0,"E",IF(IF(AR182*1000000+SUM(T182,AL182)*10000+SUM(N182,AF182)*100+SUM(H182,Z182)+0.006&gt;AW182*1000000+SUM(Y182,AQ182)*10000+SUM(S182,AK182)*100+SUM(M182,AE182)+0.001,1,0)+IF(AS182*1000000+SUM(U182,AM182)*10000+SUM(O182,AG182)*100+SUM(I182,AA182)+0.005&gt;AW182*1000000+SUM(Y182,AQ182)*10000+SUM(S182,AK182)*100+SUM(M182,AE182)+0.001,1,0)+IF(AT182*1000000+SUM(V182,AN182)*10000+SUM(P182,AH182)*100+SUM(J182,AB182)+0.004&gt;AW182*1000000+SUM(Y182,AQ182)*10000+SUM(S182,AK182)*100+SUM(M182,AE182)+0.001,1,0)+IF(AU182*1000000+SUM(W182,AO182)*10000+SUM(Q182,AI182)*100+SUM(K182,AC182)+0.003&gt;AW182*1000000+SUM(Y182,AQ182)*10000+SUM(S182,AK182)*100+SUM(M182,AE182)+0.001,1,0)+IF(AV182*1000000+SUM(X182,AP182)*10000+SUM(R182,AJ182)*100+SUM(L182,AD182)+0.002&gt;AW182*1000000+SUM(Y182,AQ182)*10000+SUM(S182,AK182)*100+SUM(M182,AE182)+0.001,1,0)=0,"C",""))))))&amp;IF(IF(AS182*1000000+SUM(U182,AM182)*10000+SUM(O182,AG182)*100+SUM(I182,AA182)+0.005&gt;AR182*1000000+SUM(T182,AL182)*10000+SUM(N182,AF182)*100+SUM(H182,Z182)+0.006,1,0)+IF(AT182*1000000+SUM(V182,AN182)*10000+SUM(P182,AH182)*100+SUM(J182,AB182)+0.004&gt;AR182*1000000+SUM(T182,AL182)*10000+SUM(N182,AF182)*100+SUM(H182,Z182)+0.006,1,0)+IF(AU182*1000000+SUM(W182,AO182)*10000+SUM(Q182,AI182)*100+SUM(K182,AC182)+0.003&gt;AR182*1000000+SUM(T182,AL182)*10000+SUM(N182,AF182)*100+SUM(H182,Z182)+0.006,1,0)+IF(AV182*1000000+SUM(X182,AP182)*10000+SUM(R182,AJ182)*100+SUM(L182,AD182)+0.002&gt;AR182*1000000+SUM(T182,AL182)*10000+SUM(N182,AF182)*100+SUM(H182,Z182)+0.006,1,0)+IF(AW182*1000000+SUM(Y182,AQ182)*10000+SUM(S182,AK182)*100+SUM(M182,AE182)+0.001&gt;AR182*1000000+SUM(T182,AL182)*10000+SUM(N182,AF182)*100+SUM(H182,Z182)+0.006,1,0)=1,"R",IF(IF(AR182*1000000+SUM(T182,AL182)*10000+SUM(N182,AF182)*100+SUM(H182,Z182)+0.006&gt;AS182*1000000+SUM(U182,AM182)*10000+SUM(O182,AG182)*100+SUM(I182,AA182)+0.005,1,0)+IF(AT182*1000000+SUM(V182,AN182)*10000+SUM(P182,AH182)*100+SUM(J182,AB182)+0.004&gt;AS182*1000000+SUM(U182,AM182)*10000+SUM(O182,AG182)*100+SUM(I182,AA182)+0.005,1,0)+IF(AU182*1000000+SUM(W182,AO182)*10000+SUM(Q182,AI182)*100+SUM(K182,AC182)+0.003&gt;AS182*1000000+SUM(U182,AM182)*10000+SUM(O182,AG182)*100+SUM(I182,AA182)+0.005,1,0)+IF(AV182*1000000+SUM(X182,AP182)*10000+SUM(R182,AJ182)*100+SUM(L182,AD182)+0.002&gt;AS182*1000000+SUM(U182,AM182)*10000+SUM(O182,AG182)*100+SUM(I182,AA182)+0.005,1,0)+IF(AW182*1000000+SUM(Y182,AQ182)*10000+SUM(S182,AK182)*100+SUM(M182,AE182)+0.001&gt;AS182*1000000+SUM(U182,AM182)*10000+SUM(O182,AG182)*100+SUM(I182,AA182)+0.005,1,0)=1,"I",IF(IF(AR182*1000000+SUM(T182,AL182)*10000+SUM(N182,AF182)*100+SUM(H182,Z182)+0.006&gt;AT182*1000000+SUM(V182,AN182)*10000+SUM(P182,AH182)*100+SUM(J182,AB182)+0.004,1,0)+IF(AS182*1000000+SUM(U182,AM182)*10000+SUM(O182,AG182)*100+SUM(I182,AA182)+0.005&gt;AT182*1000000+SUM(V182,AN182)*10000+SUM(P182,AH182)*100+SUM(J182,AB182)+0.004,1,0)+IF(AU182*1000000+SUM(W182,AO182)*10000+SUM(Q182,AI182)*100+SUM(K182,AC182)+0.003&gt;AT182*1000000+SUM(V182,AN182)*10000+SUM(P182,AH182)*100+SUM(J182,AB182)+0.004,1,0)+IF(AV182*1000000+SUM(X182,AP182)*10000+SUM(R182,AJ182)*100+SUM(L182,AD182)+0.002&gt;AT182*1000000+SUM(V182,AN182)*10000+SUM(P182,AH182)*100+SUM(J182,AB182)+0.004,1,0)+IF(AW182*1000000+SUM(Y182,AQ182)*10000+SUM(S182,AK182)*100+SUM(M182,AE182)+0.001&gt;AT182*1000000+SUM(V182,AN182)*10000+SUM(P182,AH182)*100+SUM(J182,AB182)+0.004,1,0)=1,"A",IF(IF(AR182*1000000+SUM(T182,AL182)*10000+SUM(N182,AF182)*100+SUM(H182,Z182)+0.006&gt;AU182*1000000+SUM(W182,AO182)*10000+SUM(Q182,AI182)*100+SUM(K182,AC182)+0.003,1,0)+IF(AS182*1000000+SUM(U182,AM182)*10000+SUM(O182,AG182)*100+SUM(I182,AA182)+0.005&gt;AU182*1000000+SUM(W182,AO182)*10000+SUM(Q182,AI182)*100+SUM(K182,AC182)+0.003,1,0)+IF(AT182*1000000+SUM(V182,AN182)*10000+SUM(P182,AH182)*100+SUM(J182,AB182)+0.004&gt;AU182*1000000+SUM(W182,AO182)*10000+SUM(Q182,AI182)*100+SUM(K182,AC182)+0.003,1,0)+IF(AV182*1000000+SUM(X182,AP182)*10000+SUM(R182,AJ182)*100+SUM(L182,AD182)+0.002&gt;AU182*1000000+SUM(W182,AO182)*10000+SUM(Q182,AI182)*100+SUM(K182,AC182)+0.003,1,0)+IF(AW182*1000000+SUM(Y182,AQ182)*10000+SUM(S182,AK182)*100+SUM(M182,AE182)+0.001&gt;AU182*1000000+SUM(W182,AO182)*10000+SUM(Q182,AI182)*100+SUM(K182,AC182)+0.003,1,0)=1,"S",IF(IF(AR182*1000000+SUM(T182,AL182)*10000+SUM(N182,AF182)*100+SUM(H182,Z182)+0.006&gt;AV182*1000000+SUM(X182,AP182)*10000+SUM(R182,AJ182)*100+SUM(L182,AD182)+0.002,1,0)+IF(AS182*1000000+SUM(U182,AM182)*10000+SUM(O182,AG182)*100+SUM(I182,AA182)+0.005&gt;AV182*1000000+SUM(X182,AP182)*10000+SUM(R182,AJ182)*100+SUM(L182,AD182)+0.002,1,0)+IF(AT182*1000000+SUM(V182,AN182)*10000+SUM(P182,AH182)*100+SUM(J182,AB182)+0.004&gt;AV182*1000000+SUM(X182,AP182)*10000+SUM(R182,AJ182)*100+SUM(L182,AD182)+0.002,1,0)+IF(AU182*1000000+SUM(W182,AO182)*10000+SUM(Q182,AI182)*100+SUM(K182,AC182)+0.003&gt;AV182*1000000+SUM(X182,AP182)*10000+SUM(R182,AJ182)*100+SUM(L182,AD182)+0.002,1,0)+IF(AW182*1000000+SUM(Y182,AQ182)*10000+SUM(S182,AK182)*100+SUM(M182,AE182)+0.001&gt;AV182*1000000+SUM(X182,AP182)*10000+SUM(R182,AJ182)*100+SUM(L182,AD182)+0.002,1,0)=1,"E",IF(IF(AR182*1000000+SUM(T182,AL182)*10000+SUM(N182,AF182)*100+SUM(H182,Z182)+0.006&gt;AW182*1000000+SUM(Y182,AQ182)*10000+SUM(S182,AK182)*100+SUM(M182,AE182)+0.001,1,0)+IF(AS182*1000000+SUM(U182,AM182)*10000+SUM(O182,AG182)*100+SUM(I182,AA182)+0.005&gt;AW182*1000000+SUM(Y182,AQ182)*10000+SUM(S182,AK182)*100+SUM(M182,AE182)+0.001,1,0)+IF(AT182*1000000+SUM(V182,AN182)*10000+SUM(P182,AH182)*100+SUM(J182,AB182)+0.004&gt;AW182*1000000+SUM(Y182,AQ182)*10000+SUM(S182,AK182)*100+SUM(M182,AE182)+0.001,1,0)+IF(AU182*1000000+SUM(W182,AO182)*10000+SUM(Q182,AI182)*100+SUM(K182,AC182)+0.003&gt;AW182*1000000+SUM(Y182,AQ182)*10000+SUM(S182,AK182)*100+SUM(M182,AE182)+0.001,1,0)+IF(AV182*1000000+SUM(X182,AP182)*10000+SUM(R182,AJ182)*100+SUM(L182,AD182)+0.002&gt;AW182*1000000+SUM(Y182,AQ182)*10000+SUM(S182,AK182)*100+SUM(M182,AE182)+0.001,1,0)=1,"C",""))))))&amp;IF(IF(AS182*1000000+SUM(U182,AM182)*10000+SUM(O182,AG182)*100+SUM(I182,AA182)+0.005&gt;AR182*1000000+SUM(T182,AL182)*10000+SUM(N182,AF182)*100+SUM(H182,Z182)+0.006,1,0)+IF(AT182*1000000+SUM(V182,AN182)*10000+SUM(P182,AH182)*100+SUM(J182,AB182)+0.004&gt;AR182*1000000+SUM(T182,AL182)*10000+SUM(N182,AF182)*100+SUM(H182,Z182)+0.006,1,0)+IF(AU182*1000000+SUM(W182,AO182)*10000+SUM(Q182,AI182)*100+SUM(K182,AC182)+0.003&gt;AR182*1000000+SUM(T182,AL182)*10000+SUM(N182,AF182)*100+SUM(H182,Z182)+0.006,1,0)+IF(AV182*1000000+SUM(X182,AP182)*10000+SUM(R182,AJ182)*100+SUM(L182,AD182)+0.002&gt;AR182*1000000+SUM(T182,AL182)*10000+SUM(N182,AF182)*100+SUM(H182,Z182)+0.006,1,0)+IF(AW182*1000000+SUM(Y182,AQ182)*10000+SUM(S182,AK182)*100+SUM(M182,AE182)+0.001&gt;AR182*1000000+SUM(T182,AL182)*10000+SUM(N182,AF182)*100+SUM(H182,Z182)+0.006,1,0)=2,"R",IF(IF(AR182*1000000+SUM(T182,AL182)*10000+SUM(N182,AF182)*100+SUM(H182,Z182)+0.006&gt;AS182*1000000+SUM(U182,AM182)*10000+SUM(O182,AG182)*100+SUM(I182,AA182)+0.005,1,0)+IF(AT182*1000000+SUM(V182,AN182)*10000+SUM(P182,AH182)*100+SUM(J182,AB182)+0.004&gt;AS182*1000000+SUM(U182,AM182)*10000+SUM(O182,AG182)*100+SUM(I182,AA182)+0.005,1,0)+IF(AU182*1000000+SUM(W182,AO182)*10000+SUM(Q182,AI182)*100+SUM(K182,AC182)+0.003&gt;AS182*1000000+SUM(U182,AM182)*10000+SUM(O182,AG182)*100+SUM(I182,AA182)+0.005,1,0)+IF(AV182*1000000+SUM(X182,AP182)*10000+SUM(R182,AJ182)*100+SUM(L182,AD182)+0.002&gt;AS182*1000000+SUM(U182,AM182)*10000+SUM(O182,AG182)*100+SUM(I182,AA182)+0.005,1,0)+IF(AW182*1000000+SUM(Y182,AQ182)*10000+SUM(S182,AK182)*100+SUM(M182,AE182)+0.001&gt;AS182*1000000+SUM(U182,AM182)*10000+SUM(O182,AG182)*100+SUM(I182,AA182)+0.005,1,0)=2,"I",IF(IF(AR182*1000000+SUM(T182,AL182)*10000+SUM(N182,AF182)*100+SUM(H182,Z182)+0.006&gt;AT182*1000000+SUM(V182,AN182)*10000+SUM(P182,AH182)*100+SUM(J182,AB182)+0.004,1,0)+IF(AS182*1000000+SUM(U182,AM182)*10000+SUM(O182,AG182)*100+SUM(I182,AA182)+0.005&gt;AT182*1000000+SUM(V182,AN182)*10000+SUM(P182,AH182)*100+SUM(J182,AB182)+0.004,1,0)+IF(AU182*1000000+SUM(W182,AO182)*10000+SUM(Q182,AI182)*100+SUM(K182,AC182)+0.003&gt;AT182*1000000+SUM(V182,AN182)*10000+SUM(P182,AH182)*100+SUM(J182,AB182)+0.004,1,0)+IF(AV182*1000000+SUM(X182,AP182)*10000+SUM(R182,AJ182)*100+SUM(L182,AD182)+0.002&gt;AT182*1000000+SUM(V182,AN182)*10000+SUM(P182,AH182)*100+SUM(J182,AB182)+0.004,1,0)+IF(AW182*1000000+SUM(Y182,AQ182)*10000+SUM(S182,AK182)*100+SUM(M182,AE182)+0.001&gt;AT182*1000000+SUM(V182,AN182)*10000+SUM(P182,AH182)*100+SUM(J182,AB182)+0.004,1,0)=2,"A",IF(IF(AR182*1000000+SUM(T182,AL182)*10000+SUM(N182,AF182)*100+SUM(H182,Z182)+0.006&gt;AU182*1000000+SUM(W182,AO182)*10000+SUM(Q182,AI182)*100+SUM(K182,AC182)+0.003,1,0)+IF(AS182*1000000+SUM(U182,AM182)*10000+SUM(O182,AG182)*100+SUM(I182,AA182)+0.005&gt;AU182*1000000+SUM(W182,AO182)*10000+SUM(Q182,AI182)*100+SUM(K182,AC182)+0.003,1,0)+IF(AT182*1000000+SUM(V182,AN182)*10000+SUM(P182,AH182)*100+SUM(J182,AB182)+0.004&gt;AU182*1000000+SUM(W182,AO182)*10000+SUM(Q182,AI182)*100+SUM(K182,AC182)+0.003,1,0)+IF(AV182*1000000+SUM(X182,AP182)*10000+SUM(R182,AJ182)*100+SUM(L182,AD182)+0.002&gt;AU182*1000000+SUM(W182,AO182)*10000+SUM(Q182,AI182)*100+SUM(K182,AC182)+0.003,1,0)+IF(AW182*1000000+SUM(Y182,AQ182)*10000+SUM(S182,AK182)*100+SUM(M182,AE182)+0.001&gt;AU182*1000000+SUM(W182,AO182)*10000+SUM(Q182,AI182)*100+SUM(K182,AC182)+0.003,1,0)=2,"S",IF(IF(AR182*1000000+SUM(T182,AL182)*10000+SUM(N182,AF182)*100+SUM(H182,Z182)+0.006&gt;AV182*1000000+SUM(X182,AP182)*10000+SUM(R182,AJ182)*100+SUM(L182,AD182)+0.002,1,0)+IF(AS182*1000000+SUM(U182,AM182)*10000+SUM(O182,AG182)*100+SUM(I182,AA182)+0.005&gt;AV182*1000000+SUM(X182,AP182)*10000+SUM(R182,AJ182)*100+SUM(L182,AD182)+0.002,1,0)+IF(AT182*1000000+SUM(V182,AN182)*10000+SUM(P182,AH182)*100+SUM(J182,AB182)+0.004&gt;AV182*1000000+SUM(X182,AP182)*10000+SUM(R182,AJ182)*100+SUM(L182,AD182)+0.002,1,0)+IF(AU182*1000000+SUM(W182,AO182)*10000+SUM(Q182,AI182)*100+SUM(K182,AC182)+0.003&gt;AV182*1000000+SUM(X182,AP182)*10000+SUM(R182,AJ182)*100+SUM(L182,AD182)+0.002,1,0)+IF(AW182*1000000+SUM(Y182,AQ182)*10000+SUM(S182,AK182)*100+SUM(M182,AE182)+0.001&gt;AV182*1000000+SUM(X182,AP182)*10000+SUM(R182,AJ182)*100+SUM(L182,AD182)+0.002,1,0)=2,"E",IF(IF(AR182*1000000+SUM(T182,AL182)*10000+SUM(N182,AF182)*100+SUM(H182,Z182)+0.006&gt;AW182*1000000+SUM(Y182,AQ182)*10000+SUM(S182,AK182)*100+SUM(M182,AE182)+0.001,1,0)+IF(AS182*1000000+SUM(U182,AM182)*10000+SUM(O182,AG182)*100+SUM(I182,AA182)+0.005&gt;AW182*1000000+SUM(Y182,AQ182)*10000+SUM(S182,AK182)*100+SUM(M182,AE182)+0.001,1,0)+IF(AT182*1000000+SUM(V182,AN182)*10000+SUM(P182,AH182)*100+SUM(J182,AB182)+0.004&gt;AW182*1000000+SUM(Y182,AQ182)*10000+SUM(S182,AK182)*100+SUM(M182,AE182)+0.001,1,0)+IF(AU182*1000000+SUM(W182,AO182)*10000+SUM(Q182,AI182)*100+SUM(K182,AC182)+0.003&gt;AW182*1000000+SUM(Y182,AQ182)*10000+SUM(S182,AK182)*100+SUM(M182,AE182)+0.001,1,0)+IF(AV182*1000000+SUM(X182,AP182)*10000+SUM(R182,AJ182)*100+SUM(L182,AD182)+0.002&gt;AW182*1000000+SUM(Y182,AQ182)*10000+SUM(S182,AK182)*100+SUM(M182,AE182)+0.001,1,0)=2,"C","")))))))</x:f>
      </x:c>
      <x:c r="AY182" s="27" t="str">
        <x:f>IF(C182="","",IF(LEFT(AX182,1)="R","นักปฏิบัติ",IF(LEFT(AX182,1)="I","นักคิดวิเคราะห์",IF(LEFT(AX182,1)="A","นักสร้างสรรค์",IF(LEFT(AX182,1)="S","ผู้เข้าใจผู้คน",IF(LEFT(AX182,1)="E","ผู้นำการเปลี่ยนแปลง","ผู้จัดระบบ"))))))</x:f>
      </x:c>
    </x:row>
    <x:row r="183">
      <x:c r="A183" s="27"/>
      <x:c r="B183" s="28"/>
      <x:c r="C183" s="27"/>
      <x:c r="D183" s="27"/>
      <x:c r="E183" s="27"/>
      <x:c r="F183" s="27"/>
      <x:c r="G183" s="27"/>
      <x:c r="H183" s="27"/>
      <x:c r="I183" s="27"/>
      <x:c r="J183" s="27"/>
      <x:c r="K183" s="27"/>
      <x:c r="L183" s="27"/>
      <x:c r="M183" s="27"/>
      <x:c r="N183" s="27"/>
      <x:c r="O183" s="27"/>
      <x:c r="P183" s="27"/>
      <x:c r="Q183" s="27"/>
      <x:c r="R183" s="27"/>
      <x:c r="S183" s="27"/>
      <x:c r="T183" s="27"/>
      <x:c r="U183" s="27"/>
      <x:c r="V183" s="27"/>
      <x:c r="W183" s="27"/>
      <x:c r="X183" s="27"/>
      <x:c r="Y183" s="27"/>
      <x:c r="Z183" s="27"/>
      <x:c r="AA183" s="27"/>
      <x:c r="AB183" s="27"/>
      <x:c r="AC183" s="27"/>
      <x:c r="AD183" s="27"/>
      <x:c r="AE183" s="27"/>
      <x:c r="AF183" s="27"/>
      <x:c r="AG183" s="27"/>
      <x:c r="AH183" s="27"/>
      <x:c r="AI183" s="27"/>
      <x:c r="AJ183" s="27"/>
      <x:c r="AK183" s="27"/>
      <x:c r="AL183" s="27"/>
      <x:c r="AM183" s="27"/>
      <x:c r="AN183" s="27"/>
      <x:c r="AO183" s="27"/>
      <x:c r="AP183" s="27"/>
      <x:c r="AQ183" s="27"/>
      <x:c r="AR183" s="27" t="str">
        <x:f>IF(C183="","",SUM(H183,N183,T183,Z183,AF183,AL183))</x:f>
      </x:c>
      <x:c r="AS183" s="27" t="str">
        <x:f>IF(C183="","",SUM(I183,O183,U183,AA183,AG183,AM183))</x:f>
      </x:c>
      <x:c r="AT183" s="27" t="str">
        <x:f>IF(C183="","",SUM(J183,P183,V183,AB183,AH183,AN183))</x:f>
      </x:c>
      <x:c r="AU183" s="27" t="str">
        <x:f>IF(C183="","",SUM(K183,Q183,W183,AC183,AI183,AO183))</x:f>
      </x:c>
      <x:c r="AV183" s="27" t="str">
        <x:f>IF(C183="","",SUM(L183,R183,X183,AD183,AJ183,AP183))</x:f>
      </x:c>
      <x:c r="AW183" s="27" t="str">
        <x:f>IF(C183="","",SUM(M183,S183,Y183,AE183,AK183,AQ183))</x:f>
      </x:c>
      <x:c r="AX183" s="27" t="str">
        <x:f>IF(C183="","",IF(IF(AS183*1000000+SUM(U183,AM183)*10000+SUM(O183,AG183)*100+SUM(I183,AA183)+0.005&gt;AR183*1000000+SUM(T183,AL183)*10000+SUM(N183,AF183)*100+SUM(H183,Z183)+0.006,1,0)+IF(AT183*1000000+SUM(V183,AN183)*10000+SUM(P183,AH183)*100+SUM(J183,AB183)+0.004&gt;AR183*1000000+SUM(T183,AL183)*10000+SUM(N183,AF183)*100+SUM(H183,Z183)+0.006,1,0)+IF(AU183*1000000+SUM(W183,AO183)*10000+SUM(Q183,AI183)*100+SUM(K183,AC183)+0.003&gt;AR183*1000000+SUM(T183,AL183)*10000+SUM(N183,AF183)*100+SUM(H183,Z183)+0.006,1,0)+IF(AV183*1000000+SUM(X183,AP183)*10000+SUM(R183,AJ183)*100+SUM(L183,AD183)+0.002&gt;AR183*1000000+SUM(T183,AL183)*10000+SUM(N183,AF183)*100+SUM(H183,Z183)+0.006,1,0)+IF(AW183*1000000+SUM(Y183,AQ183)*10000+SUM(S183,AK183)*100+SUM(M183,AE183)+0.001&gt;AR183*1000000+SUM(T183,AL183)*10000+SUM(N183,AF183)*100+SUM(H183,Z183)+0.006,1,0)=0,"R",IF(IF(AR183*1000000+SUM(T183,AL183)*10000+SUM(N183,AF183)*100+SUM(H183,Z183)+0.006&gt;AS183*1000000+SUM(U183,AM183)*10000+SUM(O183,AG183)*100+SUM(I183,AA183)+0.005,1,0)+IF(AT183*1000000+SUM(V183,AN183)*10000+SUM(P183,AH183)*100+SUM(J183,AB183)+0.004&gt;AS183*1000000+SUM(U183,AM183)*10000+SUM(O183,AG183)*100+SUM(I183,AA183)+0.005,1,0)+IF(AU183*1000000+SUM(W183,AO183)*10000+SUM(Q183,AI183)*100+SUM(K183,AC183)+0.003&gt;AS183*1000000+SUM(U183,AM183)*10000+SUM(O183,AG183)*100+SUM(I183,AA183)+0.005,1,0)+IF(AV183*1000000+SUM(X183,AP183)*10000+SUM(R183,AJ183)*100+SUM(L183,AD183)+0.002&gt;AS183*1000000+SUM(U183,AM183)*10000+SUM(O183,AG183)*100+SUM(I183,AA183)+0.005,1,0)+IF(AW183*1000000+SUM(Y183,AQ183)*10000+SUM(S183,AK183)*100+SUM(M183,AE183)+0.001&gt;AS183*1000000+SUM(U183,AM183)*10000+SUM(O183,AG183)*100+SUM(I183,AA183)+0.005,1,0)=0,"I",IF(IF(AR183*1000000+SUM(T183,AL183)*10000+SUM(N183,AF183)*100+SUM(H183,Z183)+0.006&gt;AT183*1000000+SUM(V183,AN183)*10000+SUM(P183,AH183)*100+SUM(J183,AB183)+0.004,1,0)+IF(AS183*1000000+SUM(U183,AM183)*10000+SUM(O183,AG183)*100+SUM(I183,AA183)+0.005&gt;AT183*1000000+SUM(V183,AN183)*10000+SUM(P183,AH183)*100+SUM(J183,AB183)+0.004,1,0)+IF(AU183*1000000+SUM(W183,AO183)*10000+SUM(Q183,AI183)*100+SUM(K183,AC183)+0.003&gt;AT183*1000000+SUM(V183,AN183)*10000+SUM(P183,AH183)*100+SUM(J183,AB183)+0.004,1,0)+IF(AV183*1000000+SUM(X183,AP183)*10000+SUM(R183,AJ183)*100+SUM(L183,AD183)+0.002&gt;AT183*1000000+SUM(V183,AN183)*10000+SUM(P183,AH183)*100+SUM(J183,AB183)+0.004,1,0)+IF(AW183*1000000+SUM(Y183,AQ183)*10000+SUM(S183,AK183)*100+SUM(M183,AE183)+0.001&gt;AT183*1000000+SUM(V183,AN183)*10000+SUM(P183,AH183)*100+SUM(J183,AB183)+0.004,1,0)=0,"A",IF(IF(AR183*1000000+SUM(T183,AL183)*10000+SUM(N183,AF183)*100+SUM(H183,Z183)+0.006&gt;AU183*1000000+SUM(W183,AO183)*10000+SUM(Q183,AI183)*100+SUM(K183,AC183)+0.003,1,0)+IF(AS183*1000000+SUM(U183,AM183)*10000+SUM(O183,AG183)*100+SUM(I183,AA183)+0.005&gt;AU183*1000000+SUM(W183,AO183)*10000+SUM(Q183,AI183)*100+SUM(K183,AC183)+0.003,1,0)+IF(AT183*1000000+SUM(V183,AN183)*10000+SUM(P183,AH183)*100+SUM(J183,AB183)+0.004&gt;AU183*1000000+SUM(W183,AO183)*10000+SUM(Q183,AI183)*100+SUM(K183,AC183)+0.003,1,0)+IF(AV183*1000000+SUM(X183,AP183)*10000+SUM(R183,AJ183)*100+SUM(L183,AD183)+0.002&gt;AU183*1000000+SUM(W183,AO183)*10000+SUM(Q183,AI183)*100+SUM(K183,AC183)+0.003,1,0)+IF(AW183*1000000+SUM(Y183,AQ183)*10000+SUM(S183,AK183)*100+SUM(M183,AE183)+0.001&gt;AU183*1000000+SUM(W183,AO183)*10000+SUM(Q183,AI183)*100+SUM(K183,AC183)+0.003,1,0)=0,"S",IF(IF(AR183*1000000+SUM(T183,AL183)*10000+SUM(N183,AF183)*100+SUM(H183,Z183)+0.006&gt;AV183*1000000+SUM(X183,AP183)*10000+SUM(R183,AJ183)*100+SUM(L183,AD183)+0.002,1,0)+IF(AS183*1000000+SUM(U183,AM183)*10000+SUM(O183,AG183)*100+SUM(I183,AA183)+0.005&gt;AV183*1000000+SUM(X183,AP183)*10000+SUM(R183,AJ183)*100+SUM(L183,AD183)+0.002,1,0)+IF(AT183*1000000+SUM(V183,AN183)*10000+SUM(P183,AH183)*100+SUM(J183,AB183)+0.004&gt;AV183*1000000+SUM(X183,AP183)*10000+SUM(R183,AJ183)*100+SUM(L183,AD183)+0.002,1,0)+IF(AU183*1000000+SUM(W183,AO183)*10000+SUM(Q183,AI183)*100+SUM(K183,AC183)+0.003&gt;AV183*1000000+SUM(X183,AP183)*10000+SUM(R183,AJ183)*100+SUM(L183,AD183)+0.002,1,0)+IF(AW183*1000000+SUM(Y183,AQ183)*10000+SUM(S183,AK183)*100+SUM(M183,AE183)+0.001&gt;AV183*1000000+SUM(X183,AP183)*10000+SUM(R183,AJ183)*100+SUM(L183,AD183)+0.002,1,0)=0,"E",IF(IF(AR183*1000000+SUM(T183,AL183)*10000+SUM(N183,AF183)*100+SUM(H183,Z183)+0.006&gt;AW183*1000000+SUM(Y183,AQ183)*10000+SUM(S183,AK183)*100+SUM(M183,AE183)+0.001,1,0)+IF(AS183*1000000+SUM(U183,AM183)*10000+SUM(O183,AG183)*100+SUM(I183,AA183)+0.005&gt;AW183*1000000+SUM(Y183,AQ183)*10000+SUM(S183,AK183)*100+SUM(M183,AE183)+0.001,1,0)+IF(AT183*1000000+SUM(V183,AN183)*10000+SUM(P183,AH183)*100+SUM(J183,AB183)+0.004&gt;AW183*1000000+SUM(Y183,AQ183)*10000+SUM(S183,AK183)*100+SUM(M183,AE183)+0.001,1,0)+IF(AU183*1000000+SUM(W183,AO183)*10000+SUM(Q183,AI183)*100+SUM(K183,AC183)+0.003&gt;AW183*1000000+SUM(Y183,AQ183)*10000+SUM(S183,AK183)*100+SUM(M183,AE183)+0.001,1,0)+IF(AV183*1000000+SUM(X183,AP183)*10000+SUM(R183,AJ183)*100+SUM(L183,AD183)+0.002&gt;AW183*1000000+SUM(Y183,AQ183)*10000+SUM(S183,AK183)*100+SUM(M183,AE183)+0.001,1,0)=0,"C",""))))))&amp;IF(IF(AS183*1000000+SUM(U183,AM183)*10000+SUM(O183,AG183)*100+SUM(I183,AA183)+0.005&gt;AR183*1000000+SUM(T183,AL183)*10000+SUM(N183,AF183)*100+SUM(H183,Z183)+0.006,1,0)+IF(AT183*1000000+SUM(V183,AN183)*10000+SUM(P183,AH183)*100+SUM(J183,AB183)+0.004&gt;AR183*1000000+SUM(T183,AL183)*10000+SUM(N183,AF183)*100+SUM(H183,Z183)+0.006,1,0)+IF(AU183*1000000+SUM(W183,AO183)*10000+SUM(Q183,AI183)*100+SUM(K183,AC183)+0.003&gt;AR183*1000000+SUM(T183,AL183)*10000+SUM(N183,AF183)*100+SUM(H183,Z183)+0.006,1,0)+IF(AV183*1000000+SUM(X183,AP183)*10000+SUM(R183,AJ183)*100+SUM(L183,AD183)+0.002&gt;AR183*1000000+SUM(T183,AL183)*10000+SUM(N183,AF183)*100+SUM(H183,Z183)+0.006,1,0)+IF(AW183*1000000+SUM(Y183,AQ183)*10000+SUM(S183,AK183)*100+SUM(M183,AE183)+0.001&gt;AR183*1000000+SUM(T183,AL183)*10000+SUM(N183,AF183)*100+SUM(H183,Z183)+0.006,1,0)=1,"R",IF(IF(AR183*1000000+SUM(T183,AL183)*10000+SUM(N183,AF183)*100+SUM(H183,Z183)+0.006&gt;AS183*1000000+SUM(U183,AM183)*10000+SUM(O183,AG183)*100+SUM(I183,AA183)+0.005,1,0)+IF(AT183*1000000+SUM(V183,AN183)*10000+SUM(P183,AH183)*100+SUM(J183,AB183)+0.004&gt;AS183*1000000+SUM(U183,AM183)*10000+SUM(O183,AG183)*100+SUM(I183,AA183)+0.005,1,0)+IF(AU183*1000000+SUM(W183,AO183)*10000+SUM(Q183,AI183)*100+SUM(K183,AC183)+0.003&gt;AS183*1000000+SUM(U183,AM183)*10000+SUM(O183,AG183)*100+SUM(I183,AA183)+0.005,1,0)+IF(AV183*1000000+SUM(X183,AP183)*10000+SUM(R183,AJ183)*100+SUM(L183,AD183)+0.002&gt;AS183*1000000+SUM(U183,AM183)*10000+SUM(O183,AG183)*100+SUM(I183,AA183)+0.005,1,0)+IF(AW183*1000000+SUM(Y183,AQ183)*10000+SUM(S183,AK183)*100+SUM(M183,AE183)+0.001&gt;AS183*1000000+SUM(U183,AM183)*10000+SUM(O183,AG183)*100+SUM(I183,AA183)+0.005,1,0)=1,"I",IF(IF(AR183*1000000+SUM(T183,AL183)*10000+SUM(N183,AF183)*100+SUM(H183,Z183)+0.006&gt;AT183*1000000+SUM(V183,AN183)*10000+SUM(P183,AH183)*100+SUM(J183,AB183)+0.004,1,0)+IF(AS183*1000000+SUM(U183,AM183)*10000+SUM(O183,AG183)*100+SUM(I183,AA183)+0.005&gt;AT183*1000000+SUM(V183,AN183)*10000+SUM(P183,AH183)*100+SUM(J183,AB183)+0.004,1,0)+IF(AU183*1000000+SUM(W183,AO183)*10000+SUM(Q183,AI183)*100+SUM(K183,AC183)+0.003&gt;AT183*1000000+SUM(V183,AN183)*10000+SUM(P183,AH183)*100+SUM(J183,AB183)+0.004,1,0)+IF(AV183*1000000+SUM(X183,AP183)*10000+SUM(R183,AJ183)*100+SUM(L183,AD183)+0.002&gt;AT183*1000000+SUM(V183,AN183)*10000+SUM(P183,AH183)*100+SUM(J183,AB183)+0.004,1,0)+IF(AW183*1000000+SUM(Y183,AQ183)*10000+SUM(S183,AK183)*100+SUM(M183,AE183)+0.001&gt;AT183*1000000+SUM(V183,AN183)*10000+SUM(P183,AH183)*100+SUM(J183,AB183)+0.004,1,0)=1,"A",IF(IF(AR183*1000000+SUM(T183,AL183)*10000+SUM(N183,AF183)*100+SUM(H183,Z183)+0.006&gt;AU183*1000000+SUM(W183,AO183)*10000+SUM(Q183,AI183)*100+SUM(K183,AC183)+0.003,1,0)+IF(AS183*1000000+SUM(U183,AM183)*10000+SUM(O183,AG183)*100+SUM(I183,AA183)+0.005&gt;AU183*1000000+SUM(W183,AO183)*10000+SUM(Q183,AI183)*100+SUM(K183,AC183)+0.003,1,0)+IF(AT183*1000000+SUM(V183,AN183)*10000+SUM(P183,AH183)*100+SUM(J183,AB183)+0.004&gt;AU183*1000000+SUM(W183,AO183)*10000+SUM(Q183,AI183)*100+SUM(K183,AC183)+0.003,1,0)+IF(AV183*1000000+SUM(X183,AP183)*10000+SUM(R183,AJ183)*100+SUM(L183,AD183)+0.002&gt;AU183*1000000+SUM(W183,AO183)*10000+SUM(Q183,AI183)*100+SUM(K183,AC183)+0.003,1,0)+IF(AW183*1000000+SUM(Y183,AQ183)*10000+SUM(S183,AK183)*100+SUM(M183,AE183)+0.001&gt;AU183*1000000+SUM(W183,AO183)*10000+SUM(Q183,AI183)*100+SUM(K183,AC183)+0.003,1,0)=1,"S",IF(IF(AR183*1000000+SUM(T183,AL183)*10000+SUM(N183,AF183)*100+SUM(H183,Z183)+0.006&gt;AV183*1000000+SUM(X183,AP183)*10000+SUM(R183,AJ183)*100+SUM(L183,AD183)+0.002,1,0)+IF(AS183*1000000+SUM(U183,AM183)*10000+SUM(O183,AG183)*100+SUM(I183,AA183)+0.005&gt;AV183*1000000+SUM(X183,AP183)*10000+SUM(R183,AJ183)*100+SUM(L183,AD183)+0.002,1,0)+IF(AT183*1000000+SUM(V183,AN183)*10000+SUM(P183,AH183)*100+SUM(J183,AB183)+0.004&gt;AV183*1000000+SUM(X183,AP183)*10000+SUM(R183,AJ183)*100+SUM(L183,AD183)+0.002,1,0)+IF(AU183*1000000+SUM(W183,AO183)*10000+SUM(Q183,AI183)*100+SUM(K183,AC183)+0.003&gt;AV183*1000000+SUM(X183,AP183)*10000+SUM(R183,AJ183)*100+SUM(L183,AD183)+0.002,1,0)+IF(AW183*1000000+SUM(Y183,AQ183)*10000+SUM(S183,AK183)*100+SUM(M183,AE183)+0.001&gt;AV183*1000000+SUM(X183,AP183)*10000+SUM(R183,AJ183)*100+SUM(L183,AD183)+0.002,1,0)=1,"E",IF(IF(AR183*1000000+SUM(T183,AL183)*10000+SUM(N183,AF183)*100+SUM(H183,Z183)+0.006&gt;AW183*1000000+SUM(Y183,AQ183)*10000+SUM(S183,AK183)*100+SUM(M183,AE183)+0.001,1,0)+IF(AS183*1000000+SUM(U183,AM183)*10000+SUM(O183,AG183)*100+SUM(I183,AA183)+0.005&gt;AW183*1000000+SUM(Y183,AQ183)*10000+SUM(S183,AK183)*100+SUM(M183,AE183)+0.001,1,0)+IF(AT183*1000000+SUM(V183,AN183)*10000+SUM(P183,AH183)*100+SUM(J183,AB183)+0.004&gt;AW183*1000000+SUM(Y183,AQ183)*10000+SUM(S183,AK183)*100+SUM(M183,AE183)+0.001,1,0)+IF(AU183*1000000+SUM(W183,AO183)*10000+SUM(Q183,AI183)*100+SUM(K183,AC183)+0.003&gt;AW183*1000000+SUM(Y183,AQ183)*10000+SUM(S183,AK183)*100+SUM(M183,AE183)+0.001,1,0)+IF(AV183*1000000+SUM(X183,AP183)*10000+SUM(R183,AJ183)*100+SUM(L183,AD183)+0.002&gt;AW183*1000000+SUM(Y183,AQ183)*10000+SUM(S183,AK183)*100+SUM(M183,AE183)+0.001,1,0)=1,"C",""))))))&amp;IF(IF(AS183*1000000+SUM(U183,AM183)*10000+SUM(O183,AG183)*100+SUM(I183,AA183)+0.005&gt;AR183*1000000+SUM(T183,AL183)*10000+SUM(N183,AF183)*100+SUM(H183,Z183)+0.006,1,0)+IF(AT183*1000000+SUM(V183,AN183)*10000+SUM(P183,AH183)*100+SUM(J183,AB183)+0.004&gt;AR183*1000000+SUM(T183,AL183)*10000+SUM(N183,AF183)*100+SUM(H183,Z183)+0.006,1,0)+IF(AU183*1000000+SUM(W183,AO183)*10000+SUM(Q183,AI183)*100+SUM(K183,AC183)+0.003&gt;AR183*1000000+SUM(T183,AL183)*10000+SUM(N183,AF183)*100+SUM(H183,Z183)+0.006,1,0)+IF(AV183*1000000+SUM(X183,AP183)*10000+SUM(R183,AJ183)*100+SUM(L183,AD183)+0.002&gt;AR183*1000000+SUM(T183,AL183)*10000+SUM(N183,AF183)*100+SUM(H183,Z183)+0.006,1,0)+IF(AW183*1000000+SUM(Y183,AQ183)*10000+SUM(S183,AK183)*100+SUM(M183,AE183)+0.001&gt;AR183*1000000+SUM(T183,AL183)*10000+SUM(N183,AF183)*100+SUM(H183,Z183)+0.006,1,0)=2,"R",IF(IF(AR183*1000000+SUM(T183,AL183)*10000+SUM(N183,AF183)*100+SUM(H183,Z183)+0.006&gt;AS183*1000000+SUM(U183,AM183)*10000+SUM(O183,AG183)*100+SUM(I183,AA183)+0.005,1,0)+IF(AT183*1000000+SUM(V183,AN183)*10000+SUM(P183,AH183)*100+SUM(J183,AB183)+0.004&gt;AS183*1000000+SUM(U183,AM183)*10000+SUM(O183,AG183)*100+SUM(I183,AA183)+0.005,1,0)+IF(AU183*1000000+SUM(W183,AO183)*10000+SUM(Q183,AI183)*100+SUM(K183,AC183)+0.003&gt;AS183*1000000+SUM(U183,AM183)*10000+SUM(O183,AG183)*100+SUM(I183,AA183)+0.005,1,0)+IF(AV183*1000000+SUM(X183,AP183)*10000+SUM(R183,AJ183)*100+SUM(L183,AD183)+0.002&gt;AS183*1000000+SUM(U183,AM183)*10000+SUM(O183,AG183)*100+SUM(I183,AA183)+0.005,1,0)+IF(AW183*1000000+SUM(Y183,AQ183)*10000+SUM(S183,AK183)*100+SUM(M183,AE183)+0.001&gt;AS183*1000000+SUM(U183,AM183)*10000+SUM(O183,AG183)*100+SUM(I183,AA183)+0.005,1,0)=2,"I",IF(IF(AR183*1000000+SUM(T183,AL183)*10000+SUM(N183,AF183)*100+SUM(H183,Z183)+0.006&gt;AT183*1000000+SUM(V183,AN183)*10000+SUM(P183,AH183)*100+SUM(J183,AB183)+0.004,1,0)+IF(AS183*1000000+SUM(U183,AM183)*10000+SUM(O183,AG183)*100+SUM(I183,AA183)+0.005&gt;AT183*1000000+SUM(V183,AN183)*10000+SUM(P183,AH183)*100+SUM(J183,AB183)+0.004,1,0)+IF(AU183*1000000+SUM(W183,AO183)*10000+SUM(Q183,AI183)*100+SUM(K183,AC183)+0.003&gt;AT183*1000000+SUM(V183,AN183)*10000+SUM(P183,AH183)*100+SUM(J183,AB183)+0.004,1,0)+IF(AV183*1000000+SUM(X183,AP183)*10000+SUM(R183,AJ183)*100+SUM(L183,AD183)+0.002&gt;AT183*1000000+SUM(V183,AN183)*10000+SUM(P183,AH183)*100+SUM(J183,AB183)+0.004,1,0)+IF(AW183*1000000+SUM(Y183,AQ183)*10000+SUM(S183,AK183)*100+SUM(M183,AE183)+0.001&gt;AT183*1000000+SUM(V183,AN183)*10000+SUM(P183,AH183)*100+SUM(J183,AB183)+0.004,1,0)=2,"A",IF(IF(AR183*1000000+SUM(T183,AL183)*10000+SUM(N183,AF183)*100+SUM(H183,Z183)+0.006&gt;AU183*1000000+SUM(W183,AO183)*10000+SUM(Q183,AI183)*100+SUM(K183,AC183)+0.003,1,0)+IF(AS183*1000000+SUM(U183,AM183)*10000+SUM(O183,AG183)*100+SUM(I183,AA183)+0.005&gt;AU183*1000000+SUM(W183,AO183)*10000+SUM(Q183,AI183)*100+SUM(K183,AC183)+0.003,1,0)+IF(AT183*1000000+SUM(V183,AN183)*10000+SUM(P183,AH183)*100+SUM(J183,AB183)+0.004&gt;AU183*1000000+SUM(W183,AO183)*10000+SUM(Q183,AI183)*100+SUM(K183,AC183)+0.003,1,0)+IF(AV183*1000000+SUM(X183,AP183)*10000+SUM(R183,AJ183)*100+SUM(L183,AD183)+0.002&gt;AU183*1000000+SUM(W183,AO183)*10000+SUM(Q183,AI183)*100+SUM(K183,AC183)+0.003,1,0)+IF(AW183*1000000+SUM(Y183,AQ183)*10000+SUM(S183,AK183)*100+SUM(M183,AE183)+0.001&gt;AU183*1000000+SUM(W183,AO183)*10000+SUM(Q183,AI183)*100+SUM(K183,AC183)+0.003,1,0)=2,"S",IF(IF(AR183*1000000+SUM(T183,AL183)*10000+SUM(N183,AF183)*100+SUM(H183,Z183)+0.006&gt;AV183*1000000+SUM(X183,AP183)*10000+SUM(R183,AJ183)*100+SUM(L183,AD183)+0.002,1,0)+IF(AS183*1000000+SUM(U183,AM183)*10000+SUM(O183,AG183)*100+SUM(I183,AA183)+0.005&gt;AV183*1000000+SUM(X183,AP183)*10000+SUM(R183,AJ183)*100+SUM(L183,AD183)+0.002,1,0)+IF(AT183*1000000+SUM(V183,AN183)*10000+SUM(P183,AH183)*100+SUM(J183,AB183)+0.004&gt;AV183*1000000+SUM(X183,AP183)*10000+SUM(R183,AJ183)*100+SUM(L183,AD183)+0.002,1,0)+IF(AU183*1000000+SUM(W183,AO183)*10000+SUM(Q183,AI183)*100+SUM(K183,AC183)+0.003&gt;AV183*1000000+SUM(X183,AP183)*10000+SUM(R183,AJ183)*100+SUM(L183,AD183)+0.002,1,0)+IF(AW183*1000000+SUM(Y183,AQ183)*10000+SUM(S183,AK183)*100+SUM(M183,AE183)+0.001&gt;AV183*1000000+SUM(X183,AP183)*10000+SUM(R183,AJ183)*100+SUM(L183,AD183)+0.002,1,0)=2,"E",IF(IF(AR183*1000000+SUM(T183,AL183)*10000+SUM(N183,AF183)*100+SUM(H183,Z183)+0.006&gt;AW183*1000000+SUM(Y183,AQ183)*10000+SUM(S183,AK183)*100+SUM(M183,AE183)+0.001,1,0)+IF(AS183*1000000+SUM(U183,AM183)*10000+SUM(O183,AG183)*100+SUM(I183,AA183)+0.005&gt;AW183*1000000+SUM(Y183,AQ183)*10000+SUM(S183,AK183)*100+SUM(M183,AE183)+0.001,1,0)+IF(AT183*1000000+SUM(V183,AN183)*10000+SUM(P183,AH183)*100+SUM(J183,AB183)+0.004&gt;AW183*1000000+SUM(Y183,AQ183)*10000+SUM(S183,AK183)*100+SUM(M183,AE183)+0.001,1,0)+IF(AU183*1000000+SUM(W183,AO183)*10000+SUM(Q183,AI183)*100+SUM(K183,AC183)+0.003&gt;AW183*1000000+SUM(Y183,AQ183)*10000+SUM(S183,AK183)*100+SUM(M183,AE183)+0.001,1,0)+IF(AV183*1000000+SUM(X183,AP183)*10000+SUM(R183,AJ183)*100+SUM(L183,AD183)+0.002&gt;AW183*1000000+SUM(Y183,AQ183)*10000+SUM(S183,AK183)*100+SUM(M183,AE183)+0.001,1,0)=2,"C","")))))))</x:f>
      </x:c>
      <x:c r="AY183" s="27" t="str">
        <x:f>IF(C183="","",IF(LEFT(AX183,1)="R","นักปฏิบัติ",IF(LEFT(AX183,1)="I","นักคิดวิเคราะห์",IF(LEFT(AX183,1)="A","นักสร้างสรรค์",IF(LEFT(AX183,1)="S","ผู้เข้าใจผู้คน",IF(LEFT(AX183,1)="E","ผู้นำการเปลี่ยนแปลง","ผู้จัดระบบ"))))))</x:f>
      </x:c>
    </x:row>
    <x:row r="184">
      <x:c r="A184" s="27"/>
      <x:c r="B184" s="28"/>
      <x:c r="C184" s="27"/>
      <x:c r="D184" s="27"/>
      <x:c r="E184" s="27"/>
      <x:c r="F184" s="27"/>
      <x:c r="G184" s="27"/>
      <x:c r="H184" s="27"/>
      <x:c r="I184" s="27"/>
      <x:c r="J184" s="27"/>
      <x:c r="K184" s="27"/>
      <x:c r="L184" s="27"/>
      <x:c r="M184" s="27"/>
      <x:c r="N184" s="27"/>
      <x:c r="O184" s="27"/>
      <x:c r="P184" s="27"/>
      <x:c r="Q184" s="27"/>
      <x:c r="R184" s="27"/>
      <x:c r="S184" s="27"/>
      <x:c r="T184" s="27"/>
      <x:c r="U184" s="27"/>
      <x:c r="V184" s="27"/>
      <x:c r="W184" s="27"/>
      <x:c r="X184" s="27"/>
      <x:c r="Y184" s="27"/>
      <x:c r="Z184" s="27"/>
      <x:c r="AA184" s="27"/>
      <x:c r="AB184" s="27"/>
      <x:c r="AC184" s="27"/>
      <x:c r="AD184" s="27"/>
      <x:c r="AE184" s="27"/>
      <x:c r="AF184" s="27"/>
      <x:c r="AG184" s="27"/>
      <x:c r="AH184" s="27"/>
      <x:c r="AI184" s="27"/>
      <x:c r="AJ184" s="27"/>
      <x:c r="AK184" s="27"/>
      <x:c r="AL184" s="27"/>
      <x:c r="AM184" s="27"/>
      <x:c r="AN184" s="27"/>
      <x:c r="AO184" s="27"/>
      <x:c r="AP184" s="27"/>
      <x:c r="AQ184" s="27"/>
      <x:c r="AR184" s="27" t="str">
        <x:f>IF(C184="","",SUM(H184,N184,T184,Z184,AF184,AL184))</x:f>
      </x:c>
      <x:c r="AS184" s="27" t="str">
        <x:f>IF(C184="","",SUM(I184,O184,U184,AA184,AG184,AM184))</x:f>
      </x:c>
      <x:c r="AT184" s="27" t="str">
        <x:f>IF(C184="","",SUM(J184,P184,V184,AB184,AH184,AN184))</x:f>
      </x:c>
      <x:c r="AU184" s="27" t="str">
        <x:f>IF(C184="","",SUM(K184,Q184,W184,AC184,AI184,AO184))</x:f>
      </x:c>
      <x:c r="AV184" s="27" t="str">
        <x:f>IF(C184="","",SUM(L184,R184,X184,AD184,AJ184,AP184))</x:f>
      </x:c>
      <x:c r="AW184" s="27" t="str">
        <x:f>IF(C184="","",SUM(M184,S184,Y184,AE184,AK184,AQ184))</x:f>
      </x:c>
      <x:c r="AX184" s="27" t="str">
        <x:f>IF(C184="","",IF(IF(AS184*1000000+SUM(U184,AM184)*10000+SUM(O184,AG184)*100+SUM(I184,AA184)+0.005&gt;AR184*1000000+SUM(T184,AL184)*10000+SUM(N184,AF184)*100+SUM(H184,Z184)+0.006,1,0)+IF(AT184*1000000+SUM(V184,AN184)*10000+SUM(P184,AH184)*100+SUM(J184,AB184)+0.004&gt;AR184*1000000+SUM(T184,AL184)*10000+SUM(N184,AF184)*100+SUM(H184,Z184)+0.006,1,0)+IF(AU184*1000000+SUM(W184,AO184)*10000+SUM(Q184,AI184)*100+SUM(K184,AC184)+0.003&gt;AR184*1000000+SUM(T184,AL184)*10000+SUM(N184,AF184)*100+SUM(H184,Z184)+0.006,1,0)+IF(AV184*1000000+SUM(X184,AP184)*10000+SUM(R184,AJ184)*100+SUM(L184,AD184)+0.002&gt;AR184*1000000+SUM(T184,AL184)*10000+SUM(N184,AF184)*100+SUM(H184,Z184)+0.006,1,0)+IF(AW184*1000000+SUM(Y184,AQ184)*10000+SUM(S184,AK184)*100+SUM(M184,AE184)+0.001&gt;AR184*1000000+SUM(T184,AL184)*10000+SUM(N184,AF184)*100+SUM(H184,Z184)+0.006,1,0)=0,"R",IF(IF(AR184*1000000+SUM(T184,AL184)*10000+SUM(N184,AF184)*100+SUM(H184,Z184)+0.006&gt;AS184*1000000+SUM(U184,AM184)*10000+SUM(O184,AG184)*100+SUM(I184,AA184)+0.005,1,0)+IF(AT184*1000000+SUM(V184,AN184)*10000+SUM(P184,AH184)*100+SUM(J184,AB184)+0.004&gt;AS184*1000000+SUM(U184,AM184)*10000+SUM(O184,AG184)*100+SUM(I184,AA184)+0.005,1,0)+IF(AU184*1000000+SUM(W184,AO184)*10000+SUM(Q184,AI184)*100+SUM(K184,AC184)+0.003&gt;AS184*1000000+SUM(U184,AM184)*10000+SUM(O184,AG184)*100+SUM(I184,AA184)+0.005,1,0)+IF(AV184*1000000+SUM(X184,AP184)*10000+SUM(R184,AJ184)*100+SUM(L184,AD184)+0.002&gt;AS184*1000000+SUM(U184,AM184)*10000+SUM(O184,AG184)*100+SUM(I184,AA184)+0.005,1,0)+IF(AW184*1000000+SUM(Y184,AQ184)*10000+SUM(S184,AK184)*100+SUM(M184,AE184)+0.001&gt;AS184*1000000+SUM(U184,AM184)*10000+SUM(O184,AG184)*100+SUM(I184,AA184)+0.005,1,0)=0,"I",IF(IF(AR184*1000000+SUM(T184,AL184)*10000+SUM(N184,AF184)*100+SUM(H184,Z184)+0.006&gt;AT184*1000000+SUM(V184,AN184)*10000+SUM(P184,AH184)*100+SUM(J184,AB184)+0.004,1,0)+IF(AS184*1000000+SUM(U184,AM184)*10000+SUM(O184,AG184)*100+SUM(I184,AA184)+0.005&gt;AT184*1000000+SUM(V184,AN184)*10000+SUM(P184,AH184)*100+SUM(J184,AB184)+0.004,1,0)+IF(AU184*1000000+SUM(W184,AO184)*10000+SUM(Q184,AI184)*100+SUM(K184,AC184)+0.003&gt;AT184*1000000+SUM(V184,AN184)*10000+SUM(P184,AH184)*100+SUM(J184,AB184)+0.004,1,0)+IF(AV184*1000000+SUM(X184,AP184)*10000+SUM(R184,AJ184)*100+SUM(L184,AD184)+0.002&gt;AT184*1000000+SUM(V184,AN184)*10000+SUM(P184,AH184)*100+SUM(J184,AB184)+0.004,1,0)+IF(AW184*1000000+SUM(Y184,AQ184)*10000+SUM(S184,AK184)*100+SUM(M184,AE184)+0.001&gt;AT184*1000000+SUM(V184,AN184)*10000+SUM(P184,AH184)*100+SUM(J184,AB184)+0.004,1,0)=0,"A",IF(IF(AR184*1000000+SUM(T184,AL184)*10000+SUM(N184,AF184)*100+SUM(H184,Z184)+0.006&gt;AU184*1000000+SUM(W184,AO184)*10000+SUM(Q184,AI184)*100+SUM(K184,AC184)+0.003,1,0)+IF(AS184*1000000+SUM(U184,AM184)*10000+SUM(O184,AG184)*100+SUM(I184,AA184)+0.005&gt;AU184*1000000+SUM(W184,AO184)*10000+SUM(Q184,AI184)*100+SUM(K184,AC184)+0.003,1,0)+IF(AT184*1000000+SUM(V184,AN184)*10000+SUM(P184,AH184)*100+SUM(J184,AB184)+0.004&gt;AU184*1000000+SUM(W184,AO184)*10000+SUM(Q184,AI184)*100+SUM(K184,AC184)+0.003,1,0)+IF(AV184*1000000+SUM(X184,AP184)*10000+SUM(R184,AJ184)*100+SUM(L184,AD184)+0.002&gt;AU184*1000000+SUM(W184,AO184)*10000+SUM(Q184,AI184)*100+SUM(K184,AC184)+0.003,1,0)+IF(AW184*1000000+SUM(Y184,AQ184)*10000+SUM(S184,AK184)*100+SUM(M184,AE184)+0.001&gt;AU184*1000000+SUM(W184,AO184)*10000+SUM(Q184,AI184)*100+SUM(K184,AC184)+0.003,1,0)=0,"S",IF(IF(AR184*1000000+SUM(T184,AL184)*10000+SUM(N184,AF184)*100+SUM(H184,Z184)+0.006&gt;AV184*1000000+SUM(X184,AP184)*10000+SUM(R184,AJ184)*100+SUM(L184,AD184)+0.002,1,0)+IF(AS184*1000000+SUM(U184,AM184)*10000+SUM(O184,AG184)*100+SUM(I184,AA184)+0.005&gt;AV184*1000000+SUM(X184,AP184)*10000+SUM(R184,AJ184)*100+SUM(L184,AD184)+0.002,1,0)+IF(AT184*1000000+SUM(V184,AN184)*10000+SUM(P184,AH184)*100+SUM(J184,AB184)+0.004&gt;AV184*1000000+SUM(X184,AP184)*10000+SUM(R184,AJ184)*100+SUM(L184,AD184)+0.002,1,0)+IF(AU184*1000000+SUM(W184,AO184)*10000+SUM(Q184,AI184)*100+SUM(K184,AC184)+0.003&gt;AV184*1000000+SUM(X184,AP184)*10000+SUM(R184,AJ184)*100+SUM(L184,AD184)+0.002,1,0)+IF(AW184*1000000+SUM(Y184,AQ184)*10000+SUM(S184,AK184)*100+SUM(M184,AE184)+0.001&gt;AV184*1000000+SUM(X184,AP184)*10000+SUM(R184,AJ184)*100+SUM(L184,AD184)+0.002,1,0)=0,"E",IF(IF(AR184*1000000+SUM(T184,AL184)*10000+SUM(N184,AF184)*100+SUM(H184,Z184)+0.006&gt;AW184*1000000+SUM(Y184,AQ184)*10000+SUM(S184,AK184)*100+SUM(M184,AE184)+0.001,1,0)+IF(AS184*1000000+SUM(U184,AM184)*10000+SUM(O184,AG184)*100+SUM(I184,AA184)+0.005&gt;AW184*1000000+SUM(Y184,AQ184)*10000+SUM(S184,AK184)*100+SUM(M184,AE184)+0.001,1,0)+IF(AT184*1000000+SUM(V184,AN184)*10000+SUM(P184,AH184)*100+SUM(J184,AB184)+0.004&gt;AW184*1000000+SUM(Y184,AQ184)*10000+SUM(S184,AK184)*100+SUM(M184,AE184)+0.001,1,0)+IF(AU184*1000000+SUM(W184,AO184)*10000+SUM(Q184,AI184)*100+SUM(K184,AC184)+0.003&gt;AW184*1000000+SUM(Y184,AQ184)*10000+SUM(S184,AK184)*100+SUM(M184,AE184)+0.001,1,0)+IF(AV184*1000000+SUM(X184,AP184)*10000+SUM(R184,AJ184)*100+SUM(L184,AD184)+0.002&gt;AW184*1000000+SUM(Y184,AQ184)*10000+SUM(S184,AK184)*100+SUM(M184,AE184)+0.001,1,0)=0,"C",""))))))&amp;IF(IF(AS184*1000000+SUM(U184,AM184)*10000+SUM(O184,AG184)*100+SUM(I184,AA184)+0.005&gt;AR184*1000000+SUM(T184,AL184)*10000+SUM(N184,AF184)*100+SUM(H184,Z184)+0.006,1,0)+IF(AT184*1000000+SUM(V184,AN184)*10000+SUM(P184,AH184)*100+SUM(J184,AB184)+0.004&gt;AR184*1000000+SUM(T184,AL184)*10000+SUM(N184,AF184)*100+SUM(H184,Z184)+0.006,1,0)+IF(AU184*1000000+SUM(W184,AO184)*10000+SUM(Q184,AI184)*100+SUM(K184,AC184)+0.003&gt;AR184*1000000+SUM(T184,AL184)*10000+SUM(N184,AF184)*100+SUM(H184,Z184)+0.006,1,0)+IF(AV184*1000000+SUM(X184,AP184)*10000+SUM(R184,AJ184)*100+SUM(L184,AD184)+0.002&gt;AR184*1000000+SUM(T184,AL184)*10000+SUM(N184,AF184)*100+SUM(H184,Z184)+0.006,1,0)+IF(AW184*1000000+SUM(Y184,AQ184)*10000+SUM(S184,AK184)*100+SUM(M184,AE184)+0.001&gt;AR184*1000000+SUM(T184,AL184)*10000+SUM(N184,AF184)*100+SUM(H184,Z184)+0.006,1,0)=1,"R",IF(IF(AR184*1000000+SUM(T184,AL184)*10000+SUM(N184,AF184)*100+SUM(H184,Z184)+0.006&gt;AS184*1000000+SUM(U184,AM184)*10000+SUM(O184,AG184)*100+SUM(I184,AA184)+0.005,1,0)+IF(AT184*1000000+SUM(V184,AN184)*10000+SUM(P184,AH184)*100+SUM(J184,AB184)+0.004&gt;AS184*1000000+SUM(U184,AM184)*10000+SUM(O184,AG184)*100+SUM(I184,AA184)+0.005,1,0)+IF(AU184*1000000+SUM(W184,AO184)*10000+SUM(Q184,AI184)*100+SUM(K184,AC184)+0.003&gt;AS184*1000000+SUM(U184,AM184)*10000+SUM(O184,AG184)*100+SUM(I184,AA184)+0.005,1,0)+IF(AV184*1000000+SUM(X184,AP184)*10000+SUM(R184,AJ184)*100+SUM(L184,AD184)+0.002&gt;AS184*1000000+SUM(U184,AM184)*10000+SUM(O184,AG184)*100+SUM(I184,AA184)+0.005,1,0)+IF(AW184*1000000+SUM(Y184,AQ184)*10000+SUM(S184,AK184)*100+SUM(M184,AE184)+0.001&gt;AS184*1000000+SUM(U184,AM184)*10000+SUM(O184,AG184)*100+SUM(I184,AA184)+0.005,1,0)=1,"I",IF(IF(AR184*1000000+SUM(T184,AL184)*10000+SUM(N184,AF184)*100+SUM(H184,Z184)+0.006&gt;AT184*1000000+SUM(V184,AN184)*10000+SUM(P184,AH184)*100+SUM(J184,AB184)+0.004,1,0)+IF(AS184*1000000+SUM(U184,AM184)*10000+SUM(O184,AG184)*100+SUM(I184,AA184)+0.005&gt;AT184*1000000+SUM(V184,AN184)*10000+SUM(P184,AH184)*100+SUM(J184,AB184)+0.004,1,0)+IF(AU184*1000000+SUM(W184,AO184)*10000+SUM(Q184,AI184)*100+SUM(K184,AC184)+0.003&gt;AT184*1000000+SUM(V184,AN184)*10000+SUM(P184,AH184)*100+SUM(J184,AB184)+0.004,1,0)+IF(AV184*1000000+SUM(X184,AP184)*10000+SUM(R184,AJ184)*100+SUM(L184,AD184)+0.002&gt;AT184*1000000+SUM(V184,AN184)*10000+SUM(P184,AH184)*100+SUM(J184,AB184)+0.004,1,0)+IF(AW184*1000000+SUM(Y184,AQ184)*10000+SUM(S184,AK184)*100+SUM(M184,AE184)+0.001&gt;AT184*1000000+SUM(V184,AN184)*10000+SUM(P184,AH184)*100+SUM(J184,AB184)+0.004,1,0)=1,"A",IF(IF(AR184*1000000+SUM(T184,AL184)*10000+SUM(N184,AF184)*100+SUM(H184,Z184)+0.006&gt;AU184*1000000+SUM(W184,AO184)*10000+SUM(Q184,AI184)*100+SUM(K184,AC184)+0.003,1,0)+IF(AS184*1000000+SUM(U184,AM184)*10000+SUM(O184,AG184)*100+SUM(I184,AA184)+0.005&gt;AU184*1000000+SUM(W184,AO184)*10000+SUM(Q184,AI184)*100+SUM(K184,AC184)+0.003,1,0)+IF(AT184*1000000+SUM(V184,AN184)*10000+SUM(P184,AH184)*100+SUM(J184,AB184)+0.004&gt;AU184*1000000+SUM(W184,AO184)*10000+SUM(Q184,AI184)*100+SUM(K184,AC184)+0.003,1,0)+IF(AV184*1000000+SUM(X184,AP184)*10000+SUM(R184,AJ184)*100+SUM(L184,AD184)+0.002&gt;AU184*1000000+SUM(W184,AO184)*10000+SUM(Q184,AI184)*100+SUM(K184,AC184)+0.003,1,0)+IF(AW184*1000000+SUM(Y184,AQ184)*10000+SUM(S184,AK184)*100+SUM(M184,AE184)+0.001&gt;AU184*1000000+SUM(W184,AO184)*10000+SUM(Q184,AI184)*100+SUM(K184,AC184)+0.003,1,0)=1,"S",IF(IF(AR184*1000000+SUM(T184,AL184)*10000+SUM(N184,AF184)*100+SUM(H184,Z184)+0.006&gt;AV184*1000000+SUM(X184,AP184)*10000+SUM(R184,AJ184)*100+SUM(L184,AD184)+0.002,1,0)+IF(AS184*1000000+SUM(U184,AM184)*10000+SUM(O184,AG184)*100+SUM(I184,AA184)+0.005&gt;AV184*1000000+SUM(X184,AP184)*10000+SUM(R184,AJ184)*100+SUM(L184,AD184)+0.002,1,0)+IF(AT184*1000000+SUM(V184,AN184)*10000+SUM(P184,AH184)*100+SUM(J184,AB184)+0.004&gt;AV184*1000000+SUM(X184,AP184)*10000+SUM(R184,AJ184)*100+SUM(L184,AD184)+0.002,1,0)+IF(AU184*1000000+SUM(W184,AO184)*10000+SUM(Q184,AI184)*100+SUM(K184,AC184)+0.003&gt;AV184*1000000+SUM(X184,AP184)*10000+SUM(R184,AJ184)*100+SUM(L184,AD184)+0.002,1,0)+IF(AW184*1000000+SUM(Y184,AQ184)*10000+SUM(S184,AK184)*100+SUM(M184,AE184)+0.001&gt;AV184*1000000+SUM(X184,AP184)*10000+SUM(R184,AJ184)*100+SUM(L184,AD184)+0.002,1,0)=1,"E",IF(IF(AR184*1000000+SUM(T184,AL184)*10000+SUM(N184,AF184)*100+SUM(H184,Z184)+0.006&gt;AW184*1000000+SUM(Y184,AQ184)*10000+SUM(S184,AK184)*100+SUM(M184,AE184)+0.001,1,0)+IF(AS184*1000000+SUM(U184,AM184)*10000+SUM(O184,AG184)*100+SUM(I184,AA184)+0.005&gt;AW184*1000000+SUM(Y184,AQ184)*10000+SUM(S184,AK184)*100+SUM(M184,AE184)+0.001,1,0)+IF(AT184*1000000+SUM(V184,AN184)*10000+SUM(P184,AH184)*100+SUM(J184,AB184)+0.004&gt;AW184*1000000+SUM(Y184,AQ184)*10000+SUM(S184,AK184)*100+SUM(M184,AE184)+0.001,1,0)+IF(AU184*1000000+SUM(W184,AO184)*10000+SUM(Q184,AI184)*100+SUM(K184,AC184)+0.003&gt;AW184*1000000+SUM(Y184,AQ184)*10000+SUM(S184,AK184)*100+SUM(M184,AE184)+0.001,1,0)+IF(AV184*1000000+SUM(X184,AP184)*10000+SUM(R184,AJ184)*100+SUM(L184,AD184)+0.002&gt;AW184*1000000+SUM(Y184,AQ184)*10000+SUM(S184,AK184)*100+SUM(M184,AE184)+0.001,1,0)=1,"C",""))))))&amp;IF(IF(AS184*1000000+SUM(U184,AM184)*10000+SUM(O184,AG184)*100+SUM(I184,AA184)+0.005&gt;AR184*1000000+SUM(T184,AL184)*10000+SUM(N184,AF184)*100+SUM(H184,Z184)+0.006,1,0)+IF(AT184*1000000+SUM(V184,AN184)*10000+SUM(P184,AH184)*100+SUM(J184,AB184)+0.004&gt;AR184*1000000+SUM(T184,AL184)*10000+SUM(N184,AF184)*100+SUM(H184,Z184)+0.006,1,0)+IF(AU184*1000000+SUM(W184,AO184)*10000+SUM(Q184,AI184)*100+SUM(K184,AC184)+0.003&gt;AR184*1000000+SUM(T184,AL184)*10000+SUM(N184,AF184)*100+SUM(H184,Z184)+0.006,1,0)+IF(AV184*1000000+SUM(X184,AP184)*10000+SUM(R184,AJ184)*100+SUM(L184,AD184)+0.002&gt;AR184*1000000+SUM(T184,AL184)*10000+SUM(N184,AF184)*100+SUM(H184,Z184)+0.006,1,0)+IF(AW184*1000000+SUM(Y184,AQ184)*10000+SUM(S184,AK184)*100+SUM(M184,AE184)+0.001&gt;AR184*1000000+SUM(T184,AL184)*10000+SUM(N184,AF184)*100+SUM(H184,Z184)+0.006,1,0)=2,"R",IF(IF(AR184*1000000+SUM(T184,AL184)*10000+SUM(N184,AF184)*100+SUM(H184,Z184)+0.006&gt;AS184*1000000+SUM(U184,AM184)*10000+SUM(O184,AG184)*100+SUM(I184,AA184)+0.005,1,0)+IF(AT184*1000000+SUM(V184,AN184)*10000+SUM(P184,AH184)*100+SUM(J184,AB184)+0.004&gt;AS184*1000000+SUM(U184,AM184)*10000+SUM(O184,AG184)*100+SUM(I184,AA184)+0.005,1,0)+IF(AU184*1000000+SUM(W184,AO184)*10000+SUM(Q184,AI184)*100+SUM(K184,AC184)+0.003&gt;AS184*1000000+SUM(U184,AM184)*10000+SUM(O184,AG184)*100+SUM(I184,AA184)+0.005,1,0)+IF(AV184*1000000+SUM(X184,AP184)*10000+SUM(R184,AJ184)*100+SUM(L184,AD184)+0.002&gt;AS184*1000000+SUM(U184,AM184)*10000+SUM(O184,AG184)*100+SUM(I184,AA184)+0.005,1,0)+IF(AW184*1000000+SUM(Y184,AQ184)*10000+SUM(S184,AK184)*100+SUM(M184,AE184)+0.001&gt;AS184*1000000+SUM(U184,AM184)*10000+SUM(O184,AG184)*100+SUM(I184,AA184)+0.005,1,0)=2,"I",IF(IF(AR184*1000000+SUM(T184,AL184)*10000+SUM(N184,AF184)*100+SUM(H184,Z184)+0.006&gt;AT184*1000000+SUM(V184,AN184)*10000+SUM(P184,AH184)*100+SUM(J184,AB184)+0.004,1,0)+IF(AS184*1000000+SUM(U184,AM184)*10000+SUM(O184,AG184)*100+SUM(I184,AA184)+0.005&gt;AT184*1000000+SUM(V184,AN184)*10000+SUM(P184,AH184)*100+SUM(J184,AB184)+0.004,1,0)+IF(AU184*1000000+SUM(W184,AO184)*10000+SUM(Q184,AI184)*100+SUM(K184,AC184)+0.003&gt;AT184*1000000+SUM(V184,AN184)*10000+SUM(P184,AH184)*100+SUM(J184,AB184)+0.004,1,0)+IF(AV184*1000000+SUM(X184,AP184)*10000+SUM(R184,AJ184)*100+SUM(L184,AD184)+0.002&gt;AT184*1000000+SUM(V184,AN184)*10000+SUM(P184,AH184)*100+SUM(J184,AB184)+0.004,1,0)+IF(AW184*1000000+SUM(Y184,AQ184)*10000+SUM(S184,AK184)*100+SUM(M184,AE184)+0.001&gt;AT184*1000000+SUM(V184,AN184)*10000+SUM(P184,AH184)*100+SUM(J184,AB184)+0.004,1,0)=2,"A",IF(IF(AR184*1000000+SUM(T184,AL184)*10000+SUM(N184,AF184)*100+SUM(H184,Z184)+0.006&gt;AU184*1000000+SUM(W184,AO184)*10000+SUM(Q184,AI184)*100+SUM(K184,AC184)+0.003,1,0)+IF(AS184*1000000+SUM(U184,AM184)*10000+SUM(O184,AG184)*100+SUM(I184,AA184)+0.005&gt;AU184*1000000+SUM(W184,AO184)*10000+SUM(Q184,AI184)*100+SUM(K184,AC184)+0.003,1,0)+IF(AT184*1000000+SUM(V184,AN184)*10000+SUM(P184,AH184)*100+SUM(J184,AB184)+0.004&gt;AU184*1000000+SUM(W184,AO184)*10000+SUM(Q184,AI184)*100+SUM(K184,AC184)+0.003,1,0)+IF(AV184*1000000+SUM(X184,AP184)*10000+SUM(R184,AJ184)*100+SUM(L184,AD184)+0.002&gt;AU184*1000000+SUM(W184,AO184)*10000+SUM(Q184,AI184)*100+SUM(K184,AC184)+0.003,1,0)+IF(AW184*1000000+SUM(Y184,AQ184)*10000+SUM(S184,AK184)*100+SUM(M184,AE184)+0.001&gt;AU184*1000000+SUM(W184,AO184)*10000+SUM(Q184,AI184)*100+SUM(K184,AC184)+0.003,1,0)=2,"S",IF(IF(AR184*1000000+SUM(T184,AL184)*10000+SUM(N184,AF184)*100+SUM(H184,Z184)+0.006&gt;AV184*1000000+SUM(X184,AP184)*10000+SUM(R184,AJ184)*100+SUM(L184,AD184)+0.002,1,0)+IF(AS184*1000000+SUM(U184,AM184)*10000+SUM(O184,AG184)*100+SUM(I184,AA184)+0.005&gt;AV184*1000000+SUM(X184,AP184)*10000+SUM(R184,AJ184)*100+SUM(L184,AD184)+0.002,1,0)+IF(AT184*1000000+SUM(V184,AN184)*10000+SUM(P184,AH184)*100+SUM(J184,AB184)+0.004&gt;AV184*1000000+SUM(X184,AP184)*10000+SUM(R184,AJ184)*100+SUM(L184,AD184)+0.002,1,0)+IF(AU184*1000000+SUM(W184,AO184)*10000+SUM(Q184,AI184)*100+SUM(K184,AC184)+0.003&gt;AV184*1000000+SUM(X184,AP184)*10000+SUM(R184,AJ184)*100+SUM(L184,AD184)+0.002,1,0)+IF(AW184*1000000+SUM(Y184,AQ184)*10000+SUM(S184,AK184)*100+SUM(M184,AE184)+0.001&gt;AV184*1000000+SUM(X184,AP184)*10000+SUM(R184,AJ184)*100+SUM(L184,AD184)+0.002,1,0)=2,"E",IF(IF(AR184*1000000+SUM(T184,AL184)*10000+SUM(N184,AF184)*100+SUM(H184,Z184)+0.006&gt;AW184*1000000+SUM(Y184,AQ184)*10000+SUM(S184,AK184)*100+SUM(M184,AE184)+0.001,1,0)+IF(AS184*1000000+SUM(U184,AM184)*10000+SUM(O184,AG184)*100+SUM(I184,AA184)+0.005&gt;AW184*1000000+SUM(Y184,AQ184)*10000+SUM(S184,AK184)*100+SUM(M184,AE184)+0.001,1,0)+IF(AT184*1000000+SUM(V184,AN184)*10000+SUM(P184,AH184)*100+SUM(J184,AB184)+0.004&gt;AW184*1000000+SUM(Y184,AQ184)*10000+SUM(S184,AK184)*100+SUM(M184,AE184)+0.001,1,0)+IF(AU184*1000000+SUM(W184,AO184)*10000+SUM(Q184,AI184)*100+SUM(K184,AC184)+0.003&gt;AW184*1000000+SUM(Y184,AQ184)*10000+SUM(S184,AK184)*100+SUM(M184,AE184)+0.001,1,0)+IF(AV184*1000000+SUM(X184,AP184)*10000+SUM(R184,AJ184)*100+SUM(L184,AD184)+0.002&gt;AW184*1000000+SUM(Y184,AQ184)*10000+SUM(S184,AK184)*100+SUM(M184,AE184)+0.001,1,0)=2,"C","")))))))</x:f>
      </x:c>
      <x:c r="AY184" s="27" t="str">
        <x:f>IF(C184="","",IF(LEFT(AX184,1)="R","นักปฏิบัติ",IF(LEFT(AX184,1)="I","นักคิดวิเคราะห์",IF(LEFT(AX184,1)="A","นักสร้างสรรค์",IF(LEFT(AX184,1)="S","ผู้เข้าใจผู้คน",IF(LEFT(AX184,1)="E","ผู้นำการเปลี่ยนแปลง","ผู้จัดระบบ"))))))</x:f>
      </x:c>
    </x:row>
    <x:row r="185">
      <x:c r="A185" s="27"/>
      <x:c r="B185" s="28"/>
      <x:c r="C185" s="27"/>
      <x:c r="D185" s="27"/>
      <x:c r="E185" s="27"/>
      <x:c r="F185" s="27"/>
      <x:c r="G185" s="27"/>
      <x:c r="H185" s="27"/>
      <x:c r="I185" s="27"/>
      <x:c r="J185" s="27"/>
      <x:c r="K185" s="27"/>
      <x:c r="L185" s="27"/>
      <x:c r="M185" s="27"/>
      <x:c r="N185" s="27"/>
      <x:c r="O185" s="27"/>
      <x:c r="P185" s="27"/>
      <x:c r="Q185" s="27"/>
      <x:c r="R185" s="27"/>
      <x:c r="S185" s="27"/>
      <x:c r="T185" s="27"/>
      <x:c r="U185" s="27"/>
      <x:c r="V185" s="27"/>
      <x:c r="W185" s="27"/>
      <x:c r="X185" s="27"/>
      <x:c r="Y185" s="27"/>
      <x:c r="Z185" s="27"/>
      <x:c r="AA185" s="27"/>
      <x:c r="AB185" s="27"/>
      <x:c r="AC185" s="27"/>
      <x:c r="AD185" s="27"/>
      <x:c r="AE185" s="27"/>
      <x:c r="AF185" s="27"/>
      <x:c r="AG185" s="27"/>
      <x:c r="AH185" s="27"/>
      <x:c r="AI185" s="27"/>
      <x:c r="AJ185" s="27"/>
      <x:c r="AK185" s="27"/>
      <x:c r="AL185" s="27"/>
      <x:c r="AM185" s="27"/>
      <x:c r="AN185" s="27"/>
      <x:c r="AO185" s="27"/>
      <x:c r="AP185" s="27"/>
      <x:c r="AQ185" s="27"/>
      <x:c r="AR185" s="27" t="str">
        <x:f>IF(C185="","",SUM(H185,N185,T185,Z185,AF185,AL185))</x:f>
      </x:c>
      <x:c r="AS185" s="27" t="str">
        <x:f>IF(C185="","",SUM(I185,O185,U185,AA185,AG185,AM185))</x:f>
      </x:c>
      <x:c r="AT185" s="27" t="str">
        <x:f>IF(C185="","",SUM(J185,P185,V185,AB185,AH185,AN185))</x:f>
      </x:c>
      <x:c r="AU185" s="27" t="str">
        <x:f>IF(C185="","",SUM(K185,Q185,W185,AC185,AI185,AO185))</x:f>
      </x:c>
      <x:c r="AV185" s="27" t="str">
        <x:f>IF(C185="","",SUM(L185,R185,X185,AD185,AJ185,AP185))</x:f>
      </x:c>
      <x:c r="AW185" s="27" t="str">
        <x:f>IF(C185="","",SUM(M185,S185,Y185,AE185,AK185,AQ185))</x:f>
      </x:c>
      <x:c r="AX185" s="27" t="str">
        <x:f>IF(C185="","",IF(IF(AS185*1000000+SUM(U185,AM185)*10000+SUM(O185,AG185)*100+SUM(I185,AA185)+0.005&gt;AR185*1000000+SUM(T185,AL185)*10000+SUM(N185,AF185)*100+SUM(H185,Z185)+0.006,1,0)+IF(AT185*1000000+SUM(V185,AN185)*10000+SUM(P185,AH185)*100+SUM(J185,AB185)+0.004&gt;AR185*1000000+SUM(T185,AL185)*10000+SUM(N185,AF185)*100+SUM(H185,Z185)+0.006,1,0)+IF(AU185*1000000+SUM(W185,AO185)*10000+SUM(Q185,AI185)*100+SUM(K185,AC185)+0.003&gt;AR185*1000000+SUM(T185,AL185)*10000+SUM(N185,AF185)*100+SUM(H185,Z185)+0.006,1,0)+IF(AV185*1000000+SUM(X185,AP185)*10000+SUM(R185,AJ185)*100+SUM(L185,AD185)+0.002&gt;AR185*1000000+SUM(T185,AL185)*10000+SUM(N185,AF185)*100+SUM(H185,Z185)+0.006,1,0)+IF(AW185*1000000+SUM(Y185,AQ185)*10000+SUM(S185,AK185)*100+SUM(M185,AE185)+0.001&gt;AR185*1000000+SUM(T185,AL185)*10000+SUM(N185,AF185)*100+SUM(H185,Z185)+0.006,1,0)=0,"R",IF(IF(AR185*1000000+SUM(T185,AL185)*10000+SUM(N185,AF185)*100+SUM(H185,Z185)+0.006&gt;AS185*1000000+SUM(U185,AM185)*10000+SUM(O185,AG185)*100+SUM(I185,AA185)+0.005,1,0)+IF(AT185*1000000+SUM(V185,AN185)*10000+SUM(P185,AH185)*100+SUM(J185,AB185)+0.004&gt;AS185*1000000+SUM(U185,AM185)*10000+SUM(O185,AG185)*100+SUM(I185,AA185)+0.005,1,0)+IF(AU185*1000000+SUM(W185,AO185)*10000+SUM(Q185,AI185)*100+SUM(K185,AC185)+0.003&gt;AS185*1000000+SUM(U185,AM185)*10000+SUM(O185,AG185)*100+SUM(I185,AA185)+0.005,1,0)+IF(AV185*1000000+SUM(X185,AP185)*10000+SUM(R185,AJ185)*100+SUM(L185,AD185)+0.002&gt;AS185*1000000+SUM(U185,AM185)*10000+SUM(O185,AG185)*100+SUM(I185,AA185)+0.005,1,0)+IF(AW185*1000000+SUM(Y185,AQ185)*10000+SUM(S185,AK185)*100+SUM(M185,AE185)+0.001&gt;AS185*1000000+SUM(U185,AM185)*10000+SUM(O185,AG185)*100+SUM(I185,AA185)+0.005,1,0)=0,"I",IF(IF(AR185*1000000+SUM(T185,AL185)*10000+SUM(N185,AF185)*100+SUM(H185,Z185)+0.006&gt;AT185*1000000+SUM(V185,AN185)*10000+SUM(P185,AH185)*100+SUM(J185,AB185)+0.004,1,0)+IF(AS185*1000000+SUM(U185,AM185)*10000+SUM(O185,AG185)*100+SUM(I185,AA185)+0.005&gt;AT185*1000000+SUM(V185,AN185)*10000+SUM(P185,AH185)*100+SUM(J185,AB185)+0.004,1,0)+IF(AU185*1000000+SUM(W185,AO185)*10000+SUM(Q185,AI185)*100+SUM(K185,AC185)+0.003&gt;AT185*1000000+SUM(V185,AN185)*10000+SUM(P185,AH185)*100+SUM(J185,AB185)+0.004,1,0)+IF(AV185*1000000+SUM(X185,AP185)*10000+SUM(R185,AJ185)*100+SUM(L185,AD185)+0.002&gt;AT185*1000000+SUM(V185,AN185)*10000+SUM(P185,AH185)*100+SUM(J185,AB185)+0.004,1,0)+IF(AW185*1000000+SUM(Y185,AQ185)*10000+SUM(S185,AK185)*100+SUM(M185,AE185)+0.001&gt;AT185*1000000+SUM(V185,AN185)*10000+SUM(P185,AH185)*100+SUM(J185,AB185)+0.004,1,0)=0,"A",IF(IF(AR185*1000000+SUM(T185,AL185)*10000+SUM(N185,AF185)*100+SUM(H185,Z185)+0.006&gt;AU185*1000000+SUM(W185,AO185)*10000+SUM(Q185,AI185)*100+SUM(K185,AC185)+0.003,1,0)+IF(AS185*1000000+SUM(U185,AM185)*10000+SUM(O185,AG185)*100+SUM(I185,AA185)+0.005&gt;AU185*1000000+SUM(W185,AO185)*10000+SUM(Q185,AI185)*100+SUM(K185,AC185)+0.003,1,0)+IF(AT185*1000000+SUM(V185,AN185)*10000+SUM(P185,AH185)*100+SUM(J185,AB185)+0.004&gt;AU185*1000000+SUM(W185,AO185)*10000+SUM(Q185,AI185)*100+SUM(K185,AC185)+0.003,1,0)+IF(AV185*1000000+SUM(X185,AP185)*10000+SUM(R185,AJ185)*100+SUM(L185,AD185)+0.002&gt;AU185*1000000+SUM(W185,AO185)*10000+SUM(Q185,AI185)*100+SUM(K185,AC185)+0.003,1,0)+IF(AW185*1000000+SUM(Y185,AQ185)*10000+SUM(S185,AK185)*100+SUM(M185,AE185)+0.001&gt;AU185*1000000+SUM(W185,AO185)*10000+SUM(Q185,AI185)*100+SUM(K185,AC185)+0.003,1,0)=0,"S",IF(IF(AR185*1000000+SUM(T185,AL185)*10000+SUM(N185,AF185)*100+SUM(H185,Z185)+0.006&gt;AV185*1000000+SUM(X185,AP185)*10000+SUM(R185,AJ185)*100+SUM(L185,AD185)+0.002,1,0)+IF(AS185*1000000+SUM(U185,AM185)*10000+SUM(O185,AG185)*100+SUM(I185,AA185)+0.005&gt;AV185*1000000+SUM(X185,AP185)*10000+SUM(R185,AJ185)*100+SUM(L185,AD185)+0.002,1,0)+IF(AT185*1000000+SUM(V185,AN185)*10000+SUM(P185,AH185)*100+SUM(J185,AB185)+0.004&gt;AV185*1000000+SUM(X185,AP185)*10000+SUM(R185,AJ185)*100+SUM(L185,AD185)+0.002,1,0)+IF(AU185*1000000+SUM(W185,AO185)*10000+SUM(Q185,AI185)*100+SUM(K185,AC185)+0.003&gt;AV185*1000000+SUM(X185,AP185)*10000+SUM(R185,AJ185)*100+SUM(L185,AD185)+0.002,1,0)+IF(AW185*1000000+SUM(Y185,AQ185)*10000+SUM(S185,AK185)*100+SUM(M185,AE185)+0.001&gt;AV185*1000000+SUM(X185,AP185)*10000+SUM(R185,AJ185)*100+SUM(L185,AD185)+0.002,1,0)=0,"E",IF(IF(AR185*1000000+SUM(T185,AL185)*10000+SUM(N185,AF185)*100+SUM(H185,Z185)+0.006&gt;AW185*1000000+SUM(Y185,AQ185)*10000+SUM(S185,AK185)*100+SUM(M185,AE185)+0.001,1,0)+IF(AS185*1000000+SUM(U185,AM185)*10000+SUM(O185,AG185)*100+SUM(I185,AA185)+0.005&gt;AW185*1000000+SUM(Y185,AQ185)*10000+SUM(S185,AK185)*100+SUM(M185,AE185)+0.001,1,0)+IF(AT185*1000000+SUM(V185,AN185)*10000+SUM(P185,AH185)*100+SUM(J185,AB185)+0.004&gt;AW185*1000000+SUM(Y185,AQ185)*10000+SUM(S185,AK185)*100+SUM(M185,AE185)+0.001,1,0)+IF(AU185*1000000+SUM(W185,AO185)*10000+SUM(Q185,AI185)*100+SUM(K185,AC185)+0.003&gt;AW185*1000000+SUM(Y185,AQ185)*10000+SUM(S185,AK185)*100+SUM(M185,AE185)+0.001,1,0)+IF(AV185*1000000+SUM(X185,AP185)*10000+SUM(R185,AJ185)*100+SUM(L185,AD185)+0.002&gt;AW185*1000000+SUM(Y185,AQ185)*10000+SUM(S185,AK185)*100+SUM(M185,AE185)+0.001,1,0)=0,"C",""))))))&amp;IF(IF(AS185*1000000+SUM(U185,AM185)*10000+SUM(O185,AG185)*100+SUM(I185,AA185)+0.005&gt;AR185*1000000+SUM(T185,AL185)*10000+SUM(N185,AF185)*100+SUM(H185,Z185)+0.006,1,0)+IF(AT185*1000000+SUM(V185,AN185)*10000+SUM(P185,AH185)*100+SUM(J185,AB185)+0.004&gt;AR185*1000000+SUM(T185,AL185)*10000+SUM(N185,AF185)*100+SUM(H185,Z185)+0.006,1,0)+IF(AU185*1000000+SUM(W185,AO185)*10000+SUM(Q185,AI185)*100+SUM(K185,AC185)+0.003&gt;AR185*1000000+SUM(T185,AL185)*10000+SUM(N185,AF185)*100+SUM(H185,Z185)+0.006,1,0)+IF(AV185*1000000+SUM(X185,AP185)*10000+SUM(R185,AJ185)*100+SUM(L185,AD185)+0.002&gt;AR185*1000000+SUM(T185,AL185)*10000+SUM(N185,AF185)*100+SUM(H185,Z185)+0.006,1,0)+IF(AW185*1000000+SUM(Y185,AQ185)*10000+SUM(S185,AK185)*100+SUM(M185,AE185)+0.001&gt;AR185*1000000+SUM(T185,AL185)*10000+SUM(N185,AF185)*100+SUM(H185,Z185)+0.006,1,0)=1,"R",IF(IF(AR185*1000000+SUM(T185,AL185)*10000+SUM(N185,AF185)*100+SUM(H185,Z185)+0.006&gt;AS185*1000000+SUM(U185,AM185)*10000+SUM(O185,AG185)*100+SUM(I185,AA185)+0.005,1,0)+IF(AT185*1000000+SUM(V185,AN185)*10000+SUM(P185,AH185)*100+SUM(J185,AB185)+0.004&gt;AS185*1000000+SUM(U185,AM185)*10000+SUM(O185,AG185)*100+SUM(I185,AA185)+0.005,1,0)+IF(AU185*1000000+SUM(W185,AO185)*10000+SUM(Q185,AI185)*100+SUM(K185,AC185)+0.003&gt;AS185*1000000+SUM(U185,AM185)*10000+SUM(O185,AG185)*100+SUM(I185,AA185)+0.005,1,0)+IF(AV185*1000000+SUM(X185,AP185)*10000+SUM(R185,AJ185)*100+SUM(L185,AD185)+0.002&gt;AS185*1000000+SUM(U185,AM185)*10000+SUM(O185,AG185)*100+SUM(I185,AA185)+0.005,1,0)+IF(AW185*1000000+SUM(Y185,AQ185)*10000+SUM(S185,AK185)*100+SUM(M185,AE185)+0.001&gt;AS185*1000000+SUM(U185,AM185)*10000+SUM(O185,AG185)*100+SUM(I185,AA185)+0.005,1,0)=1,"I",IF(IF(AR185*1000000+SUM(T185,AL185)*10000+SUM(N185,AF185)*100+SUM(H185,Z185)+0.006&gt;AT185*1000000+SUM(V185,AN185)*10000+SUM(P185,AH185)*100+SUM(J185,AB185)+0.004,1,0)+IF(AS185*1000000+SUM(U185,AM185)*10000+SUM(O185,AG185)*100+SUM(I185,AA185)+0.005&gt;AT185*1000000+SUM(V185,AN185)*10000+SUM(P185,AH185)*100+SUM(J185,AB185)+0.004,1,0)+IF(AU185*1000000+SUM(W185,AO185)*10000+SUM(Q185,AI185)*100+SUM(K185,AC185)+0.003&gt;AT185*1000000+SUM(V185,AN185)*10000+SUM(P185,AH185)*100+SUM(J185,AB185)+0.004,1,0)+IF(AV185*1000000+SUM(X185,AP185)*10000+SUM(R185,AJ185)*100+SUM(L185,AD185)+0.002&gt;AT185*1000000+SUM(V185,AN185)*10000+SUM(P185,AH185)*100+SUM(J185,AB185)+0.004,1,0)+IF(AW185*1000000+SUM(Y185,AQ185)*10000+SUM(S185,AK185)*100+SUM(M185,AE185)+0.001&gt;AT185*1000000+SUM(V185,AN185)*10000+SUM(P185,AH185)*100+SUM(J185,AB185)+0.004,1,0)=1,"A",IF(IF(AR185*1000000+SUM(T185,AL185)*10000+SUM(N185,AF185)*100+SUM(H185,Z185)+0.006&gt;AU185*1000000+SUM(W185,AO185)*10000+SUM(Q185,AI185)*100+SUM(K185,AC185)+0.003,1,0)+IF(AS185*1000000+SUM(U185,AM185)*10000+SUM(O185,AG185)*100+SUM(I185,AA185)+0.005&gt;AU185*1000000+SUM(W185,AO185)*10000+SUM(Q185,AI185)*100+SUM(K185,AC185)+0.003,1,0)+IF(AT185*1000000+SUM(V185,AN185)*10000+SUM(P185,AH185)*100+SUM(J185,AB185)+0.004&gt;AU185*1000000+SUM(W185,AO185)*10000+SUM(Q185,AI185)*100+SUM(K185,AC185)+0.003,1,0)+IF(AV185*1000000+SUM(X185,AP185)*10000+SUM(R185,AJ185)*100+SUM(L185,AD185)+0.002&gt;AU185*1000000+SUM(W185,AO185)*10000+SUM(Q185,AI185)*100+SUM(K185,AC185)+0.003,1,0)+IF(AW185*1000000+SUM(Y185,AQ185)*10000+SUM(S185,AK185)*100+SUM(M185,AE185)+0.001&gt;AU185*1000000+SUM(W185,AO185)*10000+SUM(Q185,AI185)*100+SUM(K185,AC185)+0.003,1,0)=1,"S",IF(IF(AR185*1000000+SUM(T185,AL185)*10000+SUM(N185,AF185)*100+SUM(H185,Z185)+0.006&gt;AV185*1000000+SUM(X185,AP185)*10000+SUM(R185,AJ185)*100+SUM(L185,AD185)+0.002,1,0)+IF(AS185*1000000+SUM(U185,AM185)*10000+SUM(O185,AG185)*100+SUM(I185,AA185)+0.005&gt;AV185*1000000+SUM(X185,AP185)*10000+SUM(R185,AJ185)*100+SUM(L185,AD185)+0.002,1,0)+IF(AT185*1000000+SUM(V185,AN185)*10000+SUM(P185,AH185)*100+SUM(J185,AB185)+0.004&gt;AV185*1000000+SUM(X185,AP185)*10000+SUM(R185,AJ185)*100+SUM(L185,AD185)+0.002,1,0)+IF(AU185*1000000+SUM(W185,AO185)*10000+SUM(Q185,AI185)*100+SUM(K185,AC185)+0.003&gt;AV185*1000000+SUM(X185,AP185)*10000+SUM(R185,AJ185)*100+SUM(L185,AD185)+0.002,1,0)+IF(AW185*1000000+SUM(Y185,AQ185)*10000+SUM(S185,AK185)*100+SUM(M185,AE185)+0.001&gt;AV185*1000000+SUM(X185,AP185)*10000+SUM(R185,AJ185)*100+SUM(L185,AD185)+0.002,1,0)=1,"E",IF(IF(AR185*1000000+SUM(T185,AL185)*10000+SUM(N185,AF185)*100+SUM(H185,Z185)+0.006&gt;AW185*1000000+SUM(Y185,AQ185)*10000+SUM(S185,AK185)*100+SUM(M185,AE185)+0.001,1,0)+IF(AS185*1000000+SUM(U185,AM185)*10000+SUM(O185,AG185)*100+SUM(I185,AA185)+0.005&gt;AW185*1000000+SUM(Y185,AQ185)*10000+SUM(S185,AK185)*100+SUM(M185,AE185)+0.001,1,0)+IF(AT185*1000000+SUM(V185,AN185)*10000+SUM(P185,AH185)*100+SUM(J185,AB185)+0.004&gt;AW185*1000000+SUM(Y185,AQ185)*10000+SUM(S185,AK185)*100+SUM(M185,AE185)+0.001,1,0)+IF(AU185*1000000+SUM(W185,AO185)*10000+SUM(Q185,AI185)*100+SUM(K185,AC185)+0.003&gt;AW185*1000000+SUM(Y185,AQ185)*10000+SUM(S185,AK185)*100+SUM(M185,AE185)+0.001,1,0)+IF(AV185*1000000+SUM(X185,AP185)*10000+SUM(R185,AJ185)*100+SUM(L185,AD185)+0.002&gt;AW185*1000000+SUM(Y185,AQ185)*10000+SUM(S185,AK185)*100+SUM(M185,AE185)+0.001,1,0)=1,"C",""))))))&amp;IF(IF(AS185*1000000+SUM(U185,AM185)*10000+SUM(O185,AG185)*100+SUM(I185,AA185)+0.005&gt;AR185*1000000+SUM(T185,AL185)*10000+SUM(N185,AF185)*100+SUM(H185,Z185)+0.006,1,0)+IF(AT185*1000000+SUM(V185,AN185)*10000+SUM(P185,AH185)*100+SUM(J185,AB185)+0.004&gt;AR185*1000000+SUM(T185,AL185)*10000+SUM(N185,AF185)*100+SUM(H185,Z185)+0.006,1,0)+IF(AU185*1000000+SUM(W185,AO185)*10000+SUM(Q185,AI185)*100+SUM(K185,AC185)+0.003&gt;AR185*1000000+SUM(T185,AL185)*10000+SUM(N185,AF185)*100+SUM(H185,Z185)+0.006,1,0)+IF(AV185*1000000+SUM(X185,AP185)*10000+SUM(R185,AJ185)*100+SUM(L185,AD185)+0.002&gt;AR185*1000000+SUM(T185,AL185)*10000+SUM(N185,AF185)*100+SUM(H185,Z185)+0.006,1,0)+IF(AW185*1000000+SUM(Y185,AQ185)*10000+SUM(S185,AK185)*100+SUM(M185,AE185)+0.001&gt;AR185*1000000+SUM(T185,AL185)*10000+SUM(N185,AF185)*100+SUM(H185,Z185)+0.006,1,0)=2,"R",IF(IF(AR185*1000000+SUM(T185,AL185)*10000+SUM(N185,AF185)*100+SUM(H185,Z185)+0.006&gt;AS185*1000000+SUM(U185,AM185)*10000+SUM(O185,AG185)*100+SUM(I185,AA185)+0.005,1,0)+IF(AT185*1000000+SUM(V185,AN185)*10000+SUM(P185,AH185)*100+SUM(J185,AB185)+0.004&gt;AS185*1000000+SUM(U185,AM185)*10000+SUM(O185,AG185)*100+SUM(I185,AA185)+0.005,1,0)+IF(AU185*1000000+SUM(W185,AO185)*10000+SUM(Q185,AI185)*100+SUM(K185,AC185)+0.003&gt;AS185*1000000+SUM(U185,AM185)*10000+SUM(O185,AG185)*100+SUM(I185,AA185)+0.005,1,0)+IF(AV185*1000000+SUM(X185,AP185)*10000+SUM(R185,AJ185)*100+SUM(L185,AD185)+0.002&gt;AS185*1000000+SUM(U185,AM185)*10000+SUM(O185,AG185)*100+SUM(I185,AA185)+0.005,1,0)+IF(AW185*1000000+SUM(Y185,AQ185)*10000+SUM(S185,AK185)*100+SUM(M185,AE185)+0.001&gt;AS185*1000000+SUM(U185,AM185)*10000+SUM(O185,AG185)*100+SUM(I185,AA185)+0.005,1,0)=2,"I",IF(IF(AR185*1000000+SUM(T185,AL185)*10000+SUM(N185,AF185)*100+SUM(H185,Z185)+0.006&gt;AT185*1000000+SUM(V185,AN185)*10000+SUM(P185,AH185)*100+SUM(J185,AB185)+0.004,1,0)+IF(AS185*1000000+SUM(U185,AM185)*10000+SUM(O185,AG185)*100+SUM(I185,AA185)+0.005&gt;AT185*1000000+SUM(V185,AN185)*10000+SUM(P185,AH185)*100+SUM(J185,AB185)+0.004,1,0)+IF(AU185*1000000+SUM(W185,AO185)*10000+SUM(Q185,AI185)*100+SUM(K185,AC185)+0.003&gt;AT185*1000000+SUM(V185,AN185)*10000+SUM(P185,AH185)*100+SUM(J185,AB185)+0.004,1,0)+IF(AV185*1000000+SUM(X185,AP185)*10000+SUM(R185,AJ185)*100+SUM(L185,AD185)+0.002&gt;AT185*1000000+SUM(V185,AN185)*10000+SUM(P185,AH185)*100+SUM(J185,AB185)+0.004,1,0)+IF(AW185*1000000+SUM(Y185,AQ185)*10000+SUM(S185,AK185)*100+SUM(M185,AE185)+0.001&gt;AT185*1000000+SUM(V185,AN185)*10000+SUM(P185,AH185)*100+SUM(J185,AB185)+0.004,1,0)=2,"A",IF(IF(AR185*1000000+SUM(T185,AL185)*10000+SUM(N185,AF185)*100+SUM(H185,Z185)+0.006&gt;AU185*1000000+SUM(W185,AO185)*10000+SUM(Q185,AI185)*100+SUM(K185,AC185)+0.003,1,0)+IF(AS185*1000000+SUM(U185,AM185)*10000+SUM(O185,AG185)*100+SUM(I185,AA185)+0.005&gt;AU185*1000000+SUM(W185,AO185)*10000+SUM(Q185,AI185)*100+SUM(K185,AC185)+0.003,1,0)+IF(AT185*1000000+SUM(V185,AN185)*10000+SUM(P185,AH185)*100+SUM(J185,AB185)+0.004&gt;AU185*1000000+SUM(W185,AO185)*10000+SUM(Q185,AI185)*100+SUM(K185,AC185)+0.003,1,0)+IF(AV185*1000000+SUM(X185,AP185)*10000+SUM(R185,AJ185)*100+SUM(L185,AD185)+0.002&gt;AU185*1000000+SUM(W185,AO185)*10000+SUM(Q185,AI185)*100+SUM(K185,AC185)+0.003,1,0)+IF(AW185*1000000+SUM(Y185,AQ185)*10000+SUM(S185,AK185)*100+SUM(M185,AE185)+0.001&gt;AU185*1000000+SUM(W185,AO185)*10000+SUM(Q185,AI185)*100+SUM(K185,AC185)+0.003,1,0)=2,"S",IF(IF(AR185*1000000+SUM(T185,AL185)*10000+SUM(N185,AF185)*100+SUM(H185,Z185)+0.006&gt;AV185*1000000+SUM(X185,AP185)*10000+SUM(R185,AJ185)*100+SUM(L185,AD185)+0.002,1,0)+IF(AS185*1000000+SUM(U185,AM185)*10000+SUM(O185,AG185)*100+SUM(I185,AA185)+0.005&gt;AV185*1000000+SUM(X185,AP185)*10000+SUM(R185,AJ185)*100+SUM(L185,AD185)+0.002,1,0)+IF(AT185*1000000+SUM(V185,AN185)*10000+SUM(P185,AH185)*100+SUM(J185,AB185)+0.004&gt;AV185*1000000+SUM(X185,AP185)*10000+SUM(R185,AJ185)*100+SUM(L185,AD185)+0.002,1,0)+IF(AU185*1000000+SUM(W185,AO185)*10000+SUM(Q185,AI185)*100+SUM(K185,AC185)+0.003&gt;AV185*1000000+SUM(X185,AP185)*10000+SUM(R185,AJ185)*100+SUM(L185,AD185)+0.002,1,0)+IF(AW185*1000000+SUM(Y185,AQ185)*10000+SUM(S185,AK185)*100+SUM(M185,AE185)+0.001&gt;AV185*1000000+SUM(X185,AP185)*10000+SUM(R185,AJ185)*100+SUM(L185,AD185)+0.002,1,0)=2,"E",IF(IF(AR185*1000000+SUM(T185,AL185)*10000+SUM(N185,AF185)*100+SUM(H185,Z185)+0.006&gt;AW185*1000000+SUM(Y185,AQ185)*10000+SUM(S185,AK185)*100+SUM(M185,AE185)+0.001,1,0)+IF(AS185*1000000+SUM(U185,AM185)*10000+SUM(O185,AG185)*100+SUM(I185,AA185)+0.005&gt;AW185*1000000+SUM(Y185,AQ185)*10000+SUM(S185,AK185)*100+SUM(M185,AE185)+0.001,1,0)+IF(AT185*1000000+SUM(V185,AN185)*10000+SUM(P185,AH185)*100+SUM(J185,AB185)+0.004&gt;AW185*1000000+SUM(Y185,AQ185)*10000+SUM(S185,AK185)*100+SUM(M185,AE185)+0.001,1,0)+IF(AU185*1000000+SUM(W185,AO185)*10000+SUM(Q185,AI185)*100+SUM(K185,AC185)+0.003&gt;AW185*1000000+SUM(Y185,AQ185)*10000+SUM(S185,AK185)*100+SUM(M185,AE185)+0.001,1,0)+IF(AV185*1000000+SUM(X185,AP185)*10000+SUM(R185,AJ185)*100+SUM(L185,AD185)+0.002&gt;AW185*1000000+SUM(Y185,AQ185)*10000+SUM(S185,AK185)*100+SUM(M185,AE185)+0.001,1,0)=2,"C","")))))))</x:f>
      </x:c>
      <x:c r="AY185" s="27" t="str">
        <x:f>IF(C185="","",IF(LEFT(AX185,1)="R","นักปฏิบัติ",IF(LEFT(AX185,1)="I","นักคิดวิเคราะห์",IF(LEFT(AX185,1)="A","นักสร้างสรรค์",IF(LEFT(AX185,1)="S","ผู้เข้าใจผู้คน",IF(LEFT(AX185,1)="E","ผู้นำการเปลี่ยนแปลง","ผู้จัดระบบ"))))))</x:f>
      </x:c>
    </x:row>
    <x:row r="186">
      <x:c r="A186" s="27"/>
      <x:c r="B186" s="28"/>
      <x:c r="C186" s="27"/>
      <x:c r="D186" s="27"/>
      <x:c r="E186" s="27"/>
      <x:c r="F186" s="27"/>
      <x:c r="G186" s="27"/>
      <x:c r="H186" s="27"/>
      <x:c r="I186" s="27"/>
      <x:c r="J186" s="27"/>
      <x:c r="K186" s="27"/>
      <x:c r="L186" s="27"/>
      <x:c r="M186" s="27"/>
      <x:c r="N186" s="27"/>
      <x:c r="O186" s="27"/>
      <x:c r="P186" s="27"/>
      <x:c r="Q186" s="27"/>
      <x:c r="R186" s="27"/>
      <x:c r="S186" s="27"/>
      <x:c r="T186" s="27"/>
      <x:c r="U186" s="27"/>
      <x:c r="V186" s="27"/>
      <x:c r="W186" s="27"/>
      <x:c r="X186" s="27"/>
      <x:c r="Y186" s="27"/>
      <x:c r="Z186" s="27"/>
      <x:c r="AA186" s="27"/>
      <x:c r="AB186" s="27"/>
      <x:c r="AC186" s="27"/>
      <x:c r="AD186" s="27"/>
      <x:c r="AE186" s="27"/>
      <x:c r="AF186" s="27"/>
      <x:c r="AG186" s="27"/>
      <x:c r="AH186" s="27"/>
      <x:c r="AI186" s="27"/>
      <x:c r="AJ186" s="27"/>
      <x:c r="AK186" s="27"/>
      <x:c r="AL186" s="27"/>
      <x:c r="AM186" s="27"/>
      <x:c r="AN186" s="27"/>
      <x:c r="AO186" s="27"/>
      <x:c r="AP186" s="27"/>
      <x:c r="AQ186" s="27"/>
      <x:c r="AR186" s="27" t="str">
        <x:f>IF(C186="","",SUM(H186,N186,T186,Z186,AF186,AL186))</x:f>
      </x:c>
      <x:c r="AS186" s="27" t="str">
        <x:f>IF(C186="","",SUM(I186,O186,U186,AA186,AG186,AM186))</x:f>
      </x:c>
      <x:c r="AT186" s="27" t="str">
        <x:f>IF(C186="","",SUM(J186,P186,V186,AB186,AH186,AN186))</x:f>
      </x:c>
      <x:c r="AU186" s="27" t="str">
        <x:f>IF(C186="","",SUM(K186,Q186,W186,AC186,AI186,AO186))</x:f>
      </x:c>
      <x:c r="AV186" s="27" t="str">
        <x:f>IF(C186="","",SUM(L186,R186,X186,AD186,AJ186,AP186))</x:f>
      </x:c>
      <x:c r="AW186" s="27" t="str">
        <x:f>IF(C186="","",SUM(M186,S186,Y186,AE186,AK186,AQ186))</x:f>
      </x:c>
      <x:c r="AX186" s="27" t="str">
        <x:f>IF(C186="","",IF(IF(AS186*1000000+SUM(U186,AM186)*10000+SUM(O186,AG186)*100+SUM(I186,AA186)+0.005&gt;AR186*1000000+SUM(T186,AL186)*10000+SUM(N186,AF186)*100+SUM(H186,Z186)+0.006,1,0)+IF(AT186*1000000+SUM(V186,AN186)*10000+SUM(P186,AH186)*100+SUM(J186,AB186)+0.004&gt;AR186*1000000+SUM(T186,AL186)*10000+SUM(N186,AF186)*100+SUM(H186,Z186)+0.006,1,0)+IF(AU186*1000000+SUM(W186,AO186)*10000+SUM(Q186,AI186)*100+SUM(K186,AC186)+0.003&gt;AR186*1000000+SUM(T186,AL186)*10000+SUM(N186,AF186)*100+SUM(H186,Z186)+0.006,1,0)+IF(AV186*1000000+SUM(X186,AP186)*10000+SUM(R186,AJ186)*100+SUM(L186,AD186)+0.002&gt;AR186*1000000+SUM(T186,AL186)*10000+SUM(N186,AF186)*100+SUM(H186,Z186)+0.006,1,0)+IF(AW186*1000000+SUM(Y186,AQ186)*10000+SUM(S186,AK186)*100+SUM(M186,AE186)+0.001&gt;AR186*1000000+SUM(T186,AL186)*10000+SUM(N186,AF186)*100+SUM(H186,Z186)+0.006,1,0)=0,"R",IF(IF(AR186*1000000+SUM(T186,AL186)*10000+SUM(N186,AF186)*100+SUM(H186,Z186)+0.006&gt;AS186*1000000+SUM(U186,AM186)*10000+SUM(O186,AG186)*100+SUM(I186,AA186)+0.005,1,0)+IF(AT186*1000000+SUM(V186,AN186)*10000+SUM(P186,AH186)*100+SUM(J186,AB186)+0.004&gt;AS186*1000000+SUM(U186,AM186)*10000+SUM(O186,AG186)*100+SUM(I186,AA186)+0.005,1,0)+IF(AU186*1000000+SUM(W186,AO186)*10000+SUM(Q186,AI186)*100+SUM(K186,AC186)+0.003&gt;AS186*1000000+SUM(U186,AM186)*10000+SUM(O186,AG186)*100+SUM(I186,AA186)+0.005,1,0)+IF(AV186*1000000+SUM(X186,AP186)*10000+SUM(R186,AJ186)*100+SUM(L186,AD186)+0.002&gt;AS186*1000000+SUM(U186,AM186)*10000+SUM(O186,AG186)*100+SUM(I186,AA186)+0.005,1,0)+IF(AW186*1000000+SUM(Y186,AQ186)*10000+SUM(S186,AK186)*100+SUM(M186,AE186)+0.001&gt;AS186*1000000+SUM(U186,AM186)*10000+SUM(O186,AG186)*100+SUM(I186,AA186)+0.005,1,0)=0,"I",IF(IF(AR186*1000000+SUM(T186,AL186)*10000+SUM(N186,AF186)*100+SUM(H186,Z186)+0.006&gt;AT186*1000000+SUM(V186,AN186)*10000+SUM(P186,AH186)*100+SUM(J186,AB186)+0.004,1,0)+IF(AS186*1000000+SUM(U186,AM186)*10000+SUM(O186,AG186)*100+SUM(I186,AA186)+0.005&gt;AT186*1000000+SUM(V186,AN186)*10000+SUM(P186,AH186)*100+SUM(J186,AB186)+0.004,1,0)+IF(AU186*1000000+SUM(W186,AO186)*10000+SUM(Q186,AI186)*100+SUM(K186,AC186)+0.003&gt;AT186*1000000+SUM(V186,AN186)*10000+SUM(P186,AH186)*100+SUM(J186,AB186)+0.004,1,0)+IF(AV186*1000000+SUM(X186,AP186)*10000+SUM(R186,AJ186)*100+SUM(L186,AD186)+0.002&gt;AT186*1000000+SUM(V186,AN186)*10000+SUM(P186,AH186)*100+SUM(J186,AB186)+0.004,1,0)+IF(AW186*1000000+SUM(Y186,AQ186)*10000+SUM(S186,AK186)*100+SUM(M186,AE186)+0.001&gt;AT186*1000000+SUM(V186,AN186)*10000+SUM(P186,AH186)*100+SUM(J186,AB186)+0.004,1,0)=0,"A",IF(IF(AR186*1000000+SUM(T186,AL186)*10000+SUM(N186,AF186)*100+SUM(H186,Z186)+0.006&gt;AU186*1000000+SUM(W186,AO186)*10000+SUM(Q186,AI186)*100+SUM(K186,AC186)+0.003,1,0)+IF(AS186*1000000+SUM(U186,AM186)*10000+SUM(O186,AG186)*100+SUM(I186,AA186)+0.005&gt;AU186*1000000+SUM(W186,AO186)*10000+SUM(Q186,AI186)*100+SUM(K186,AC186)+0.003,1,0)+IF(AT186*1000000+SUM(V186,AN186)*10000+SUM(P186,AH186)*100+SUM(J186,AB186)+0.004&gt;AU186*1000000+SUM(W186,AO186)*10000+SUM(Q186,AI186)*100+SUM(K186,AC186)+0.003,1,0)+IF(AV186*1000000+SUM(X186,AP186)*10000+SUM(R186,AJ186)*100+SUM(L186,AD186)+0.002&gt;AU186*1000000+SUM(W186,AO186)*10000+SUM(Q186,AI186)*100+SUM(K186,AC186)+0.003,1,0)+IF(AW186*1000000+SUM(Y186,AQ186)*10000+SUM(S186,AK186)*100+SUM(M186,AE186)+0.001&gt;AU186*1000000+SUM(W186,AO186)*10000+SUM(Q186,AI186)*100+SUM(K186,AC186)+0.003,1,0)=0,"S",IF(IF(AR186*1000000+SUM(T186,AL186)*10000+SUM(N186,AF186)*100+SUM(H186,Z186)+0.006&gt;AV186*1000000+SUM(X186,AP186)*10000+SUM(R186,AJ186)*100+SUM(L186,AD186)+0.002,1,0)+IF(AS186*1000000+SUM(U186,AM186)*10000+SUM(O186,AG186)*100+SUM(I186,AA186)+0.005&gt;AV186*1000000+SUM(X186,AP186)*10000+SUM(R186,AJ186)*100+SUM(L186,AD186)+0.002,1,0)+IF(AT186*1000000+SUM(V186,AN186)*10000+SUM(P186,AH186)*100+SUM(J186,AB186)+0.004&gt;AV186*1000000+SUM(X186,AP186)*10000+SUM(R186,AJ186)*100+SUM(L186,AD186)+0.002,1,0)+IF(AU186*1000000+SUM(W186,AO186)*10000+SUM(Q186,AI186)*100+SUM(K186,AC186)+0.003&gt;AV186*1000000+SUM(X186,AP186)*10000+SUM(R186,AJ186)*100+SUM(L186,AD186)+0.002,1,0)+IF(AW186*1000000+SUM(Y186,AQ186)*10000+SUM(S186,AK186)*100+SUM(M186,AE186)+0.001&gt;AV186*1000000+SUM(X186,AP186)*10000+SUM(R186,AJ186)*100+SUM(L186,AD186)+0.002,1,0)=0,"E",IF(IF(AR186*1000000+SUM(T186,AL186)*10000+SUM(N186,AF186)*100+SUM(H186,Z186)+0.006&gt;AW186*1000000+SUM(Y186,AQ186)*10000+SUM(S186,AK186)*100+SUM(M186,AE186)+0.001,1,0)+IF(AS186*1000000+SUM(U186,AM186)*10000+SUM(O186,AG186)*100+SUM(I186,AA186)+0.005&gt;AW186*1000000+SUM(Y186,AQ186)*10000+SUM(S186,AK186)*100+SUM(M186,AE186)+0.001,1,0)+IF(AT186*1000000+SUM(V186,AN186)*10000+SUM(P186,AH186)*100+SUM(J186,AB186)+0.004&gt;AW186*1000000+SUM(Y186,AQ186)*10000+SUM(S186,AK186)*100+SUM(M186,AE186)+0.001,1,0)+IF(AU186*1000000+SUM(W186,AO186)*10000+SUM(Q186,AI186)*100+SUM(K186,AC186)+0.003&gt;AW186*1000000+SUM(Y186,AQ186)*10000+SUM(S186,AK186)*100+SUM(M186,AE186)+0.001,1,0)+IF(AV186*1000000+SUM(X186,AP186)*10000+SUM(R186,AJ186)*100+SUM(L186,AD186)+0.002&gt;AW186*1000000+SUM(Y186,AQ186)*10000+SUM(S186,AK186)*100+SUM(M186,AE186)+0.001,1,0)=0,"C",""))))))&amp;IF(IF(AS186*1000000+SUM(U186,AM186)*10000+SUM(O186,AG186)*100+SUM(I186,AA186)+0.005&gt;AR186*1000000+SUM(T186,AL186)*10000+SUM(N186,AF186)*100+SUM(H186,Z186)+0.006,1,0)+IF(AT186*1000000+SUM(V186,AN186)*10000+SUM(P186,AH186)*100+SUM(J186,AB186)+0.004&gt;AR186*1000000+SUM(T186,AL186)*10000+SUM(N186,AF186)*100+SUM(H186,Z186)+0.006,1,0)+IF(AU186*1000000+SUM(W186,AO186)*10000+SUM(Q186,AI186)*100+SUM(K186,AC186)+0.003&gt;AR186*1000000+SUM(T186,AL186)*10000+SUM(N186,AF186)*100+SUM(H186,Z186)+0.006,1,0)+IF(AV186*1000000+SUM(X186,AP186)*10000+SUM(R186,AJ186)*100+SUM(L186,AD186)+0.002&gt;AR186*1000000+SUM(T186,AL186)*10000+SUM(N186,AF186)*100+SUM(H186,Z186)+0.006,1,0)+IF(AW186*1000000+SUM(Y186,AQ186)*10000+SUM(S186,AK186)*100+SUM(M186,AE186)+0.001&gt;AR186*1000000+SUM(T186,AL186)*10000+SUM(N186,AF186)*100+SUM(H186,Z186)+0.006,1,0)=1,"R",IF(IF(AR186*1000000+SUM(T186,AL186)*10000+SUM(N186,AF186)*100+SUM(H186,Z186)+0.006&gt;AS186*1000000+SUM(U186,AM186)*10000+SUM(O186,AG186)*100+SUM(I186,AA186)+0.005,1,0)+IF(AT186*1000000+SUM(V186,AN186)*10000+SUM(P186,AH186)*100+SUM(J186,AB186)+0.004&gt;AS186*1000000+SUM(U186,AM186)*10000+SUM(O186,AG186)*100+SUM(I186,AA186)+0.005,1,0)+IF(AU186*1000000+SUM(W186,AO186)*10000+SUM(Q186,AI186)*100+SUM(K186,AC186)+0.003&gt;AS186*1000000+SUM(U186,AM186)*10000+SUM(O186,AG186)*100+SUM(I186,AA186)+0.005,1,0)+IF(AV186*1000000+SUM(X186,AP186)*10000+SUM(R186,AJ186)*100+SUM(L186,AD186)+0.002&gt;AS186*1000000+SUM(U186,AM186)*10000+SUM(O186,AG186)*100+SUM(I186,AA186)+0.005,1,0)+IF(AW186*1000000+SUM(Y186,AQ186)*10000+SUM(S186,AK186)*100+SUM(M186,AE186)+0.001&gt;AS186*1000000+SUM(U186,AM186)*10000+SUM(O186,AG186)*100+SUM(I186,AA186)+0.005,1,0)=1,"I",IF(IF(AR186*1000000+SUM(T186,AL186)*10000+SUM(N186,AF186)*100+SUM(H186,Z186)+0.006&gt;AT186*1000000+SUM(V186,AN186)*10000+SUM(P186,AH186)*100+SUM(J186,AB186)+0.004,1,0)+IF(AS186*1000000+SUM(U186,AM186)*10000+SUM(O186,AG186)*100+SUM(I186,AA186)+0.005&gt;AT186*1000000+SUM(V186,AN186)*10000+SUM(P186,AH186)*100+SUM(J186,AB186)+0.004,1,0)+IF(AU186*1000000+SUM(W186,AO186)*10000+SUM(Q186,AI186)*100+SUM(K186,AC186)+0.003&gt;AT186*1000000+SUM(V186,AN186)*10000+SUM(P186,AH186)*100+SUM(J186,AB186)+0.004,1,0)+IF(AV186*1000000+SUM(X186,AP186)*10000+SUM(R186,AJ186)*100+SUM(L186,AD186)+0.002&gt;AT186*1000000+SUM(V186,AN186)*10000+SUM(P186,AH186)*100+SUM(J186,AB186)+0.004,1,0)+IF(AW186*1000000+SUM(Y186,AQ186)*10000+SUM(S186,AK186)*100+SUM(M186,AE186)+0.001&gt;AT186*1000000+SUM(V186,AN186)*10000+SUM(P186,AH186)*100+SUM(J186,AB186)+0.004,1,0)=1,"A",IF(IF(AR186*1000000+SUM(T186,AL186)*10000+SUM(N186,AF186)*100+SUM(H186,Z186)+0.006&gt;AU186*1000000+SUM(W186,AO186)*10000+SUM(Q186,AI186)*100+SUM(K186,AC186)+0.003,1,0)+IF(AS186*1000000+SUM(U186,AM186)*10000+SUM(O186,AG186)*100+SUM(I186,AA186)+0.005&gt;AU186*1000000+SUM(W186,AO186)*10000+SUM(Q186,AI186)*100+SUM(K186,AC186)+0.003,1,0)+IF(AT186*1000000+SUM(V186,AN186)*10000+SUM(P186,AH186)*100+SUM(J186,AB186)+0.004&gt;AU186*1000000+SUM(W186,AO186)*10000+SUM(Q186,AI186)*100+SUM(K186,AC186)+0.003,1,0)+IF(AV186*1000000+SUM(X186,AP186)*10000+SUM(R186,AJ186)*100+SUM(L186,AD186)+0.002&gt;AU186*1000000+SUM(W186,AO186)*10000+SUM(Q186,AI186)*100+SUM(K186,AC186)+0.003,1,0)+IF(AW186*1000000+SUM(Y186,AQ186)*10000+SUM(S186,AK186)*100+SUM(M186,AE186)+0.001&gt;AU186*1000000+SUM(W186,AO186)*10000+SUM(Q186,AI186)*100+SUM(K186,AC186)+0.003,1,0)=1,"S",IF(IF(AR186*1000000+SUM(T186,AL186)*10000+SUM(N186,AF186)*100+SUM(H186,Z186)+0.006&gt;AV186*1000000+SUM(X186,AP186)*10000+SUM(R186,AJ186)*100+SUM(L186,AD186)+0.002,1,0)+IF(AS186*1000000+SUM(U186,AM186)*10000+SUM(O186,AG186)*100+SUM(I186,AA186)+0.005&gt;AV186*1000000+SUM(X186,AP186)*10000+SUM(R186,AJ186)*100+SUM(L186,AD186)+0.002,1,0)+IF(AT186*1000000+SUM(V186,AN186)*10000+SUM(P186,AH186)*100+SUM(J186,AB186)+0.004&gt;AV186*1000000+SUM(X186,AP186)*10000+SUM(R186,AJ186)*100+SUM(L186,AD186)+0.002,1,0)+IF(AU186*1000000+SUM(W186,AO186)*10000+SUM(Q186,AI186)*100+SUM(K186,AC186)+0.003&gt;AV186*1000000+SUM(X186,AP186)*10000+SUM(R186,AJ186)*100+SUM(L186,AD186)+0.002,1,0)+IF(AW186*1000000+SUM(Y186,AQ186)*10000+SUM(S186,AK186)*100+SUM(M186,AE186)+0.001&gt;AV186*1000000+SUM(X186,AP186)*10000+SUM(R186,AJ186)*100+SUM(L186,AD186)+0.002,1,0)=1,"E",IF(IF(AR186*1000000+SUM(T186,AL186)*10000+SUM(N186,AF186)*100+SUM(H186,Z186)+0.006&gt;AW186*1000000+SUM(Y186,AQ186)*10000+SUM(S186,AK186)*100+SUM(M186,AE186)+0.001,1,0)+IF(AS186*1000000+SUM(U186,AM186)*10000+SUM(O186,AG186)*100+SUM(I186,AA186)+0.005&gt;AW186*1000000+SUM(Y186,AQ186)*10000+SUM(S186,AK186)*100+SUM(M186,AE186)+0.001,1,0)+IF(AT186*1000000+SUM(V186,AN186)*10000+SUM(P186,AH186)*100+SUM(J186,AB186)+0.004&gt;AW186*1000000+SUM(Y186,AQ186)*10000+SUM(S186,AK186)*100+SUM(M186,AE186)+0.001,1,0)+IF(AU186*1000000+SUM(W186,AO186)*10000+SUM(Q186,AI186)*100+SUM(K186,AC186)+0.003&gt;AW186*1000000+SUM(Y186,AQ186)*10000+SUM(S186,AK186)*100+SUM(M186,AE186)+0.001,1,0)+IF(AV186*1000000+SUM(X186,AP186)*10000+SUM(R186,AJ186)*100+SUM(L186,AD186)+0.002&gt;AW186*1000000+SUM(Y186,AQ186)*10000+SUM(S186,AK186)*100+SUM(M186,AE186)+0.001,1,0)=1,"C",""))))))&amp;IF(IF(AS186*1000000+SUM(U186,AM186)*10000+SUM(O186,AG186)*100+SUM(I186,AA186)+0.005&gt;AR186*1000000+SUM(T186,AL186)*10000+SUM(N186,AF186)*100+SUM(H186,Z186)+0.006,1,0)+IF(AT186*1000000+SUM(V186,AN186)*10000+SUM(P186,AH186)*100+SUM(J186,AB186)+0.004&gt;AR186*1000000+SUM(T186,AL186)*10000+SUM(N186,AF186)*100+SUM(H186,Z186)+0.006,1,0)+IF(AU186*1000000+SUM(W186,AO186)*10000+SUM(Q186,AI186)*100+SUM(K186,AC186)+0.003&gt;AR186*1000000+SUM(T186,AL186)*10000+SUM(N186,AF186)*100+SUM(H186,Z186)+0.006,1,0)+IF(AV186*1000000+SUM(X186,AP186)*10000+SUM(R186,AJ186)*100+SUM(L186,AD186)+0.002&gt;AR186*1000000+SUM(T186,AL186)*10000+SUM(N186,AF186)*100+SUM(H186,Z186)+0.006,1,0)+IF(AW186*1000000+SUM(Y186,AQ186)*10000+SUM(S186,AK186)*100+SUM(M186,AE186)+0.001&gt;AR186*1000000+SUM(T186,AL186)*10000+SUM(N186,AF186)*100+SUM(H186,Z186)+0.006,1,0)=2,"R",IF(IF(AR186*1000000+SUM(T186,AL186)*10000+SUM(N186,AF186)*100+SUM(H186,Z186)+0.006&gt;AS186*1000000+SUM(U186,AM186)*10000+SUM(O186,AG186)*100+SUM(I186,AA186)+0.005,1,0)+IF(AT186*1000000+SUM(V186,AN186)*10000+SUM(P186,AH186)*100+SUM(J186,AB186)+0.004&gt;AS186*1000000+SUM(U186,AM186)*10000+SUM(O186,AG186)*100+SUM(I186,AA186)+0.005,1,0)+IF(AU186*1000000+SUM(W186,AO186)*10000+SUM(Q186,AI186)*100+SUM(K186,AC186)+0.003&gt;AS186*1000000+SUM(U186,AM186)*10000+SUM(O186,AG186)*100+SUM(I186,AA186)+0.005,1,0)+IF(AV186*1000000+SUM(X186,AP186)*10000+SUM(R186,AJ186)*100+SUM(L186,AD186)+0.002&gt;AS186*1000000+SUM(U186,AM186)*10000+SUM(O186,AG186)*100+SUM(I186,AA186)+0.005,1,0)+IF(AW186*1000000+SUM(Y186,AQ186)*10000+SUM(S186,AK186)*100+SUM(M186,AE186)+0.001&gt;AS186*1000000+SUM(U186,AM186)*10000+SUM(O186,AG186)*100+SUM(I186,AA186)+0.005,1,0)=2,"I",IF(IF(AR186*1000000+SUM(T186,AL186)*10000+SUM(N186,AF186)*100+SUM(H186,Z186)+0.006&gt;AT186*1000000+SUM(V186,AN186)*10000+SUM(P186,AH186)*100+SUM(J186,AB186)+0.004,1,0)+IF(AS186*1000000+SUM(U186,AM186)*10000+SUM(O186,AG186)*100+SUM(I186,AA186)+0.005&gt;AT186*1000000+SUM(V186,AN186)*10000+SUM(P186,AH186)*100+SUM(J186,AB186)+0.004,1,0)+IF(AU186*1000000+SUM(W186,AO186)*10000+SUM(Q186,AI186)*100+SUM(K186,AC186)+0.003&gt;AT186*1000000+SUM(V186,AN186)*10000+SUM(P186,AH186)*100+SUM(J186,AB186)+0.004,1,0)+IF(AV186*1000000+SUM(X186,AP186)*10000+SUM(R186,AJ186)*100+SUM(L186,AD186)+0.002&gt;AT186*1000000+SUM(V186,AN186)*10000+SUM(P186,AH186)*100+SUM(J186,AB186)+0.004,1,0)+IF(AW186*1000000+SUM(Y186,AQ186)*10000+SUM(S186,AK186)*100+SUM(M186,AE186)+0.001&gt;AT186*1000000+SUM(V186,AN186)*10000+SUM(P186,AH186)*100+SUM(J186,AB186)+0.004,1,0)=2,"A",IF(IF(AR186*1000000+SUM(T186,AL186)*10000+SUM(N186,AF186)*100+SUM(H186,Z186)+0.006&gt;AU186*1000000+SUM(W186,AO186)*10000+SUM(Q186,AI186)*100+SUM(K186,AC186)+0.003,1,0)+IF(AS186*1000000+SUM(U186,AM186)*10000+SUM(O186,AG186)*100+SUM(I186,AA186)+0.005&gt;AU186*1000000+SUM(W186,AO186)*10000+SUM(Q186,AI186)*100+SUM(K186,AC186)+0.003,1,0)+IF(AT186*1000000+SUM(V186,AN186)*10000+SUM(P186,AH186)*100+SUM(J186,AB186)+0.004&gt;AU186*1000000+SUM(W186,AO186)*10000+SUM(Q186,AI186)*100+SUM(K186,AC186)+0.003,1,0)+IF(AV186*1000000+SUM(X186,AP186)*10000+SUM(R186,AJ186)*100+SUM(L186,AD186)+0.002&gt;AU186*1000000+SUM(W186,AO186)*10000+SUM(Q186,AI186)*100+SUM(K186,AC186)+0.003,1,0)+IF(AW186*1000000+SUM(Y186,AQ186)*10000+SUM(S186,AK186)*100+SUM(M186,AE186)+0.001&gt;AU186*1000000+SUM(W186,AO186)*10000+SUM(Q186,AI186)*100+SUM(K186,AC186)+0.003,1,0)=2,"S",IF(IF(AR186*1000000+SUM(T186,AL186)*10000+SUM(N186,AF186)*100+SUM(H186,Z186)+0.006&gt;AV186*1000000+SUM(X186,AP186)*10000+SUM(R186,AJ186)*100+SUM(L186,AD186)+0.002,1,0)+IF(AS186*1000000+SUM(U186,AM186)*10000+SUM(O186,AG186)*100+SUM(I186,AA186)+0.005&gt;AV186*1000000+SUM(X186,AP186)*10000+SUM(R186,AJ186)*100+SUM(L186,AD186)+0.002,1,0)+IF(AT186*1000000+SUM(V186,AN186)*10000+SUM(P186,AH186)*100+SUM(J186,AB186)+0.004&gt;AV186*1000000+SUM(X186,AP186)*10000+SUM(R186,AJ186)*100+SUM(L186,AD186)+0.002,1,0)+IF(AU186*1000000+SUM(W186,AO186)*10000+SUM(Q186,AI186)*100+SUM(K186,AC186)+0.003&gt;AV186*1000000+SUM(X186,AP186)*10000+SUM(R186,AJ186)*100+SUM(L186,AD186)+0.002,1,0)+IF(AW186*1000000+SUM(Y186,AQ186)*10000+SUM(S186,AK186)*100+SUM(M186,AE186)+0.001&gt;AV186*1000000+SUM(X186,AP186)*10000+SUM(R186,AJ186)*100+SUM(L186,AD186)+0.002,1,0)=2,"E",IF(IF(AR186*1000000+SUM(T186,AL186)*10000+SUM(N186,AF186)*100+SUM(H186,Z186)+0.006&gt;AW186*1000000+SUM(Y186,AQ186)*10000+SUM(S186,AK186)*100+SUM(M186,AE186)+0.001,1,0)+IF(AS186*1000000+SUM(U186,AM186)*10000+SUM(O186,AG186)*100+SUM(I186,AA186)+0.005&gt;AW186*1000000+SUM(Y186,AQ186)*10000+SUM(S186,AK186)*100+SUM(M186,AE186)+0.001,1,0)+IF(AT186*1000000+SUM(V186,AN186)*10000+SUM(P186,AH186)*100+SUM(J186,AB186)+0.004&gt;AW186*1000000+SUM(Y186,AQ186)*10000+SUM(S186,AK186)*100+SUM(M186,AE186)+0.001,1,0)+IF(AU186*1000000+SUM(W186,AO186)*10000+SUM(Q186,AI186)*100+SUM(K186,AC186)+0.003&gt;AW186*1000000+SUM(Y186,AQ186)*10000+SUM(S186,AK186)*100+SUM(M186,AE186)+0.001,1,0)+IF(AV186*1000000+SUM(X186,AP186)*10000+SUM(R186,AJ186)*100+SUM(L186,AD186)+0.002&gt;AW186*1000000+SUM(Y186,AQ186)*10000+SUM(S186,AK186)*100+SUM(M186,AE186)+0.001,1,0)=2,"C","")))))))</x:f>
      </x:c>
      <x:c r="AY186" s="27" t="str">
        <x:f>IF(C186="","",IF(LEFT(AX186,1)="R","นักปฏิบัติ",IF(LEFT(AX186,1)="I","นักคิดวิเคราะห์",IF(LEFT(AX186,1)="A","นักสร้างสรรค์",IF(LEFT(AX186,1)="S","ผู้เข้าใจผู้คน",IF(LEFT(AX186,1)="E","ผู้นำการเปลี่ยนแปลง","ผู้จัดระบบ"))))))</x:f>
      </x:c>
    </x:row>
    <x:row r="187">
      <x:c r="A187" s="27"/>
      <x:c r="B187" s="28"/>
      <x:c r="C187" s="27"/>
      <x:c r="D187" s="27"/>
      <x:c r="E187" s="27"/>
      <x:c r="F187" s="27"/>
      <x:c r="G187" s="27"/>
      <x:c r="H187" s="27"/>
      <x:c r="I187" s="27"/>
      <x:c r="J187" s="27"/>
      <x:c r="K187" s="27"/>
      <x:c r="L187" s="27"/>
      <x:c r="M187" s="27"/>
      <x:c r="N187" s="27"/>
      <x:c r="O187" s="27"/>
      <x:c r="P187" s="27"/>
      <x:c r="Q187" s="27"/>
      <x:c r="R187" s="27"/>
      <x:c r="S187" s="27"/>
      <x:c r="T187" s="27"/>
      <x:c r="U187" s="27"/>
      <x:c r="V187" s="27"/>
      <x:c r="W187" s="27"/>
      <x:c r="X187" s="27"/>
      <x:c r="Y187" s="27"/>
      <x:c r="Z187" s="27"/>
      <x:c r="AA187" s="27"/>
      <x:c r="AB187" s="27"/>
      <x:c r="AC187" s="27"/>
      <x:c r="AD187" s="27"/>
      <x:c r="AE187" s="27"/>
      <x:c r="AF187" s="27"/>
      <x:c r="AG187" s="27"/>
      <x:c r="AH187" s="27"/>
      <x:c r="AI187" s="27"/>
      <x:c r="AJ187" s="27"/>
      <x:c r="AK187" s="27"/>
      <x:c r="AL187" s="27"/>
      <x:c r="AM187" s="27"/>
      <x:c r="AN187" s="27"/>
      <x:c r="AO187" s="27"/>
      <x:c r="AP187" s="27"/>
      <x:c r="AQ187" s="27"/>
      <x:c r="AR187" s="27" t="str">
        <x:f>IF(C187="","",SUM(H187,N187,T187,Z187,AF187,AL187))</x:f>
      </x:c>
      <x:c r="AS187" s="27" t="str">
        <x:f>IF(C187="","",SUM(I187,O187,U187,AA187,AG187,AM187))</x:f>
      </x:c>
      <x:c r="AT187" s="27" t="str">
        <x:f>IF(C187="","",SUM(J187,P187,V187,AB187,AH187,AN187))</x:f>
      </x:c>
      <x:c r="AU187" s="27" t="str">
        <x:f>IF(C187="","",SUM(K187,Q187,W187,AC187,AI187,AO187))</x:f>
      </x:c>
      <x:c r="AV187" s="27" t="str">
        <x:f>IF(C187="","",SUM(L187,R187,X187,AD187,AJ187,AP187))</x:f>
      </x:c>
      <x:c r="AW187" s="27" t="str">
        <x:f>IF(C187="","",SUM(M187,S187,Y187,AE187,AK187,AQ187))</x:f>
      </x:c>
      <x:c r="AX187" s="27" t="str">
        <x:f>IF(C187="","",IF(IF(AS187*1000000+SUM(U187,AM187)*10000+SUM(O187,AG187)*100+SUM(I187,AA187)+0.005&gt;AR187*1000000+SUM(T187,AL187)*10000+SUM(N187,AF187)*100+SUM(H187,Z187)+0.006,1,0)+IF(AT187*1000000+SUM(V187,AN187)*10000+SUM(P187,AH187)*100+SUM(J187,AB187)+0.004&gt;AR187*1000000+SUM(T187,AL187)*10000+SUM(N187,AF187)*100+SUM(H187,Z187)+0.006,1,0)+IF(AU187*1000000+SUM(W187,AO187)*10000+SUM(Q187,AI187)*100+SUM(K187,AC187)+0.003&gt;AR187*1000000+SUM(T187,AL187)*10000+SUM(N187,AF187)*100+SUM(H187,Z187)+0.006,1,0)+IF(AV187*1000000+SUM(X187,AP187)*10000+SUM(R187,AJ187)*100+SUM(L187,AD187)+0.002&gt;AR187*1000000+SUM(T187,AL187)*10000+SUM(N187,AF187)*100+SUM(H187,Z187)+0.006,1,0)+IF(AW187*1000000+SUM(Y187,AQ187)*10000+SUM(S187,AK187)*100+SUM(M187,AE187)+0.001&gt;AR187*1000000+SUM(T187,AL187)*10000+SUM(N187,AF187)*100+SUM(H187,Z187)+0.006,1,0)=0,"R",IF(IF(AR187*1000000+SUM(T187,AL187)*10000+SUM(N187,AF187)*100+SUM(H187,Z187)+0.006&gt;AS187*1000000+SUM(U187,AM187)*10000+SUM(O187,AG187)*100+SUM(I187,AA187)+0.005,1,0)+IF(AT187*1000000+SUM(V187,AN187)*10000+SUM(P187,AH187)*100+SUM(J187,AB187)+0.004&gt;AS187*1000000+SUM(U187,AM187)*10000+SUM(O187,AG187)*100+SUM(I187,AA187)+0.005,1,0)+IF(AU187*1000000+SUM(W187,AO187)*10000+SUM(Q187,AI187)*100+SUM(K187,AC187)+0.003&gt;AS187*1000000+SUM(U187,AM187)*10000+SUM(O187,AG187)*100+SUM(I187,AA187)+0.005,1,0)+IF(AV187*1000000+SUM(X187,AP187)*10000+SUM(R187,AJ187)*100+SUM(L187,AD187)+0.002&gt;AS187*1000000+SUM(U187,AM187)*10000+SUM(O187,AG187)*100+SUM(I187,AA187)+0.005,1,0)+IF(AW187*1000000+SUM(Y187,AQ187)*10000+SUM(S187,AK187)*100+SUM(M187,AE187)+0.001&gt;AS187*1000000+SUM(U187,AM187)*10000+SUM(O187,AG187)*100+SUM(I187,AA187)+0.005,1,0)=0,"I",IF(IF(AR187*1000000+SUM(T187,AL187)*10000+SUM(N187,AF187)*100+SUM(H187,Z187)+0.006&gt;AT187*1000000+SUM(V187,AN187)*10000+SUM(P187,AH187)*100+SUM(J187,AB187)+0.004,1,0)+IF(AS187*1000000+SUM(U187,AM187)*10000+SUM(O187,AG187)*100+SUM(I187,AA187)+0.005&gt;AT187*1000000+SUM(V187,AN187)*10000+SUM(P187,AH187)*100+SUM(J187,AB187)+0.004,1,0)+IF(AU187*1000000+SUM(W187,AO187)*10000+SUM(Q187,AI187)*100+SUM(K187,AC187)+0.003&gt;AT187*1000000+SUM(V187,AN187)*10000+SUM(P187,AH187)*100+SUM(J187,AB187)+0.004,1,0)+IF(AV187*1000000+SUM(X187,AP187)*10000+SUM(R187,AJ187)*100+SUM(L187,AD187)+0.002&gt;AT187*1000000+SUM(V187,AN187)*10000+SUM(P187,AH187)*100+SUM(J187,AB187)+0.004,1,0)+IF(AW187*1000000+SUM(Y187,AQ187)*10000+SUM(S187,AK187)*100+SUM(M187,AE187)+0.001&gt;AT187*1000000+SUM(V187,AN187)*10000+SUM(P187,AH187)*100+SUM(J187,AB187)+0.004,1,0)=0,"A",IF(IF(AR187*1000000+SUM(T187,AL187)*10000+SUM(N187,AF187)*100+SUM(H187,Z187)+0.006&gt;AU187*1000000+SUM(W187,AO187)*10000+SUM(Q187,AI187)*100+SUM(K187,AC187)+0.003,1,0)+IF(AS187*1000000+SUM(U187,AM187)*10000+SUM(O187,AG187)*100+SUM(I187,AA187)+0.005&gt;AU187*1000000+SUM(W187,AO187)*10000+SUM(Q187,AI187)*100+SUM(K187,AC187)+0.003,1,0)+IF(AT187*1000000+SUM(V187,AN187)*10000+SUM(P187,AH187)*100+SUM(J187,AB187)+0.004&gt;AU187*1000000+SUM(W187,AO187)*10000+SUM(Q187,AI187)*100+SUM(K187,AC187)+0.003,1,0)+IF(AV187*1000000+SUM(X187,AP187)*10000+SUM(R187,AJ187)*100+SUM(L187,AD187)+0.002&gt;AU187*1000000+SUM(W187,AO187)*10000+SUM(Q187,AI187)*100+SUM(K187,AC187)+0.003,1,0)+IF(AW187*1000000+SUM(Y187,AQ187)*10000+SUM(S187,AK187)*100+SUM(M187,AE187)+0.001&gt;AU187*1000000+SUM(W187,AO187)*10000+SUM(Q187,AI187)*100+SUM(K187,AC187)+0.003,1,0)=0,"S",IF(IF(AR187*1000000+SUM(T187,AL187)*10000+SUM(N187,AF187)*100+SUM(H187,Z187)+0.006&gt;AV187*1000000+SUM(X187,AP187)*10000+SUM(R187,AJ187)*100+SUM(L187,AD187)+0.002,1,0)+IF(AS187*1000000+SUM(U187,AM187)*10000+SUM(O187,AG187)*100+SUM(I187,AA187)+0.005&gt;AV187*1000000+SUM(X187,AP187)*10000+SUM(R187,AJ187)*100+SUM(L187,AD187)+0.002,1,0)+IF(AT187*1000000+SUM(V187,AN187)*10000+SUM(P187,AH187)*100+SUM(J187,AB187)+0.004&gt;AV187*1000000+SUM(X187,AP187)*10000+SUM(R187,AJ187)*100+SUM(L187,AD187)+0.002,1,0)+IF(AU187*1000000+SUM(W187,AO187)*10000+SUM(Q187,AI187)*100+SUM(K187,AC187)+0.003&gt;AV187*1000000+SUM(X187,AP187)*10000+SUM(R187,AJ187)*100+SUM(L187,AD187)+0.002,1,0)+IF(AW187*1000000+SUM(Y187,AQ187)*10000+SUM(S187,AK187)*100+SUM(M187,AE187)+0.001&gt;AV187*1000000+SUM(X187,AP187)*10000+SUM(R187,AJ187)*100+SUM(L187,AD187)+0.002,1,0)=0,"E",IF(IF(AR187*1000000+SUM(T187,AL187)*10000+SUM(N187,AF187)*100+SUM(H187,Z187)+0.006&gt;AW187*1000000+SUM(Y187,AQ187)*10000+SUM(S187,AK187)*100+SUM(M187,AE187)+0.001,1,0)+IF(AS187*1000000+SUM(U187,AM187)*10000+SUM(O187,AG187)*100+SUM(I187,AA187)+0.005&gt;AW187*1000000+SUM(Y187,AQ187)*10000+SUM(S187,AK187)*100+SUM(M187,AE187)+0.001,1,0)+IF(AT187*1000000+SUM(V187,AN187)*10000+SUM(P187,AH187)*100+SUM(J187,AB187)+0.004&gt;AW187*1000000+SUM(Y187,AQ187)*10000+SUM(S187,AK187)*100+SUM(M187,AE187)+0.001,1,0)+IF(AU187*1000000+SUM(W187,AO187)*10000+SUM(Q187,AI187)*100+SUM(K187,AC187)+0.003&gt;AW187*1000000+SUM(Y187,AQ187)*10000+SUM(S187,AK187)*100+SUM(M187,AE187)+0.001,1,0)+IF(AV187*1000000+SUM(X187,AP187)*10000+SUM(R187,AJ187)*100+SUM(L187,AD187)+0.002&gt;AW187*1000000+SUM(Y187,AQ187)*10000+SUM(S187,AK187)*100+SUM(M187,AE187)+0.001,1,0)=0,"C",""))))))&amp;IF(IF(AS187*1000000+SUM(U187,AM187)*10000+SUM(O187,AG187)*100+SUM(I187,AA187)+0.005&gt;AR187*1000000+SUM(T187,AL187)*10000+SUM(N187,AF187)*100+SUM(H187,Z187)+0.006,1,0)+IF(AT187*1000000+SUM(V187,AN187)*10000+SUM(P187,AH187)*100+SUM(J187,AB187)+0.004&gt;AR187*1000000+SUM(T187,AL187)*10000+SUM(N187,AF187)*100+SUM(H187,Z187)+0.006,1,0)+IF(AU187*1000000+SUM(W187,AO187)*10000+SUM(Q187,AI187)*100+SUM(K187,AC187)+0.003&gt;AR187*1000000+SUM(T187,AL187)*10000+SUM(N187,AF187)*100+SUM(H187,Z187)+0.006,1,0)+IF(AV187*1000000+SUM(X187,AP187)*10000+SUM(R187,AJ187)*100+SUM(L187,AD187)+0.002&gt;AR187*1000000+SUM(T187,AL187)*10000+SUM(N187,AF187)*100+SUM(H187,Z187)+0.006,1,0)+IF(AW187*1000000+SUM(Y187,AQ187)*10000+SUM(S187,AK187)*100+SUM(M187,AE187)+0.001&gt;AR187*1000000+SUM(T187,AL187)*10000+SUM(N187,AF187)*100+SUM(H187,Z187)+0.006,1,0)=1,"R",IF(IF(AR187*1000000+SUM(T187,AL187)*10000+SUM(N187,AF187)*100+SUM(H187,Z187)+0.006&gt;AS187*1000000+SUM(U187,AM187)*10000+SUM(O187,AG187)*100+SUM(I187,AA187)+0.005,1,0)+IF(AT187*1000000+SUM(V187,AN187)*10000+SUM(P187,AH187)*100+SUM(J187,AB187)+0.004&gt;AS187*1000000+SUM(U187,AM187)*10000+SUM(O187,AG187)*100+SUM(I187,AA187)+0.005,1,0)+IF(AU187*1000000+SUM(W187,AO187)*10000+SUM(Q187,AI187)*100+SUM(K187,AC187)+0.003&gt;AS187*1000000+SUM(U187,AM187)*10000+SUM(O187,AG187)*100+SUM(I187,AA187)+0.005,1,0)+IF(AV187*1000000+SUM(X187,AP187)*10000+SUM(R187,AJ187)*100+SUM(L187,AD187)+0.002&gt;AS187*1000000+SUM(U187,AM187)*10000+SUM(O187,AG187)*100+SUM(I187,AA187)+0.005,1,0)+IF(AW187*1000000+SUM(Y187,AQ187)*10000+SUM(S187,AK187)*100+SUM(M187,AE187)+0.001&gt;AS187*1000000+SUM(U187,AM187)*10000+SUM(O187,AG187)*100+SUM(I187,AA187)+0.005,1,0)=1,"I",IF(IF(AR187*1000000+SUM(T187,AL187)*10000+SUM(N187,AF187)*100+SUM(H187,Z187)+0.006&gt;AT187*1000000+SUM(V187,AN187)*10000+SUM(P187,AH187)*100+SUM(J187,AB187)+0.004,1,0)+IF(AS187*1000000+SUM(U187,AM187)*10000+SUM(O187,AG187)*100+SUM(I187,AA187)+0.005&gt;AT187*1000000+SUM(V187,AN187)*10000+SUM(P187,AH187)*100+SUM(J187,AB187)+0.004,1,0)+IF(AU187*1000000+SUM(W187,AO187)*10000+SUM(Q187,AI187)*100+SUM(K187,AC187)+0.003&gt;AT187*1000000+SUM(V187,AN187)*10000+SUM(P187,AH187)*100+SUM(J187,AB187)+0.004,1,0)+IF(AV187*1000000+SUM(X187,AP187)*10000+SUM(R187,AJ187)*100+SUM(L187,AD187)+0.002&gt;AT187*1000000+SUM(V187,AN187)*10000+SUM(P187,AH187)*100+SUM(J187,AB187)+0.004,1,0)+IF(AW187*1000000+SUM(Y187,AQ187)*10000+SUM(S187,AK187)*100+SUM(M187,AE187)+0.001&gt;AT187*1000000+SUM(V187,AN187)*10000+SUM(P187,AH187)*100+SUM(J187,AB187)+0.004,1,0)=1,"A",IF(IF(AR187*1000000+SUM(T187,AL187)*10000+SUM(N187,AF187)*100+SUM(H187,Z187)+0.006&gt;AU187*1000000+SUM(W187,AO187)*10000+SUM(Q187,AI187)*100+SUM(K187,AC187)+0.003,1,0)+IF(AS187*1000000+SUM(U187,AM187)*10000+SUM(O187,AG187)*100+SUM(I187,AA187)+0.005&gt;AU187*1000000+SUM(W187,AO187)*10000+SUM(Q187,AI187)*100+SUM(K187,AC187)+0.003,1,0)+IF(AT187*1000000+SUM(V187,AN187)*10000+SUM(P187,AH187)*100+SUM(J187,AB187)+0.004&gt;AU187*1000000+SUM(W187,AO187)*10000+SUM(Q187,AI187)*100+SUM(K187,AC187)+0.003,1,0)+IF(AV187*1000000+SUM(X187,AP187)*10000+SUM(R187,AJ187)*100+SUM(L187,AD187)+0.002&gt;AU187*1000000+SUM(W187,AO187)*10000+SUM(Q187,AI187)*100+SUM(K187,AC187)+0.003,1,0)+IF(AW187*1000000+SUM(Y187,AQ187)*10000+SUM(S187,AK187)*100+SUM(M187,AE187)+0.001&gt;AU187*1000000+SUM(W187,AO187)*10000+SUM(Q187,AI187)*100+SUM(K187,AC187)+0.003,1,0)=1,"S",IF(IF(AR187*1000000+SUM(T187,AL187)*10000+SUM(N187,AF187)*100+SUM(H187,Z187)+0.006&gt;AV187*1000000+SUM(X187,AP187)*10000+SUM(R187,AJ187)*100+SUM(L187,AD187)+0.002,1,0)+IF(AS187*1000000+SUM(U187,AM187)*10000+SUM(O187,AG187)*100+SUM(I187,AA187)+0.005&gt;AV187*1000000+SUM(X187,AP187)*10000+SUM(R187,AJ187)*100+SUM(L187,AD187)+0.002,1,0)+IF(AT187*1000000+SUM(V187,AN187)*10000+SUM(P187,AH187)*100+SUM(J187,AB187)+0.004&gt;AV187*1000000+SUM(X187,AP187)*10000+SUM(R187,AJ187)*100+SUM(L187,AD187)+0.002,1,0)+IF(AU187*1000000+SUM(W187,AO187)*10000+SUM(Q187,AI187)*100+SUM(K187,AC187)+0.003&gt;AV187*1000000+SUM(X187,AP187)*10000+SUM(R187,AJ187)*100+SUM(L187,AD187)+0.002,1,0)+IF(AW187*1000000+SUM(Y187,AQ187)*10000+SUM(S187,AK187)*100+SUM(M187,AE187)+0.001&gt;AV187*1000000+SUM(X187,AP187)*10000+SUM(R187,AJ187)*100+SUM(L187,AD187)+0.002,1,0)=1,"E",IF(IF(AR187*1000000+SUM(T187,AL187)*10000+SUM(N187,AF187)*100+SUM(H187,Z187)+0.006&gt;AW187*1000000+SUM(Y187,AQ187)*10000+SUM(S187,AK187)*100+SUM(M187,AE187)+0.001,1,0)+IF(AS187*1000000+SUM(U187,AM187)*10000+SUM(O187,AG187)*100+SUM(I187,AA187)+0.005&gt;AW187*1000000+SUM(Y187,AQ187)*10000+SUM(S187,AK187)*100+SUM(M187,AE187)+0.001,1,0)+IF(AT187*1000000+SUM(V187,AN187)*10000+SUM(P187,AH187)*100+SUM(J187,AB187)+0.004&gt;AW187*1000000+SUM(Y187,AQ187)*10000+SUM(S187,AK187)*100+SUM(M187,AE187)+0.001,1,0)+IF(AU187*1000000+SUM(W187,AO187)*10000+SUM(Q187,AI187)*100+SUM(K187,AC187)+0.003&gt;AW187*1000000+SUM(Y187,AQ187)*10000+SUM(S187,AK187)*100+SUM(M187,AE187)+0.001,1,0)+IF(AV187*1000000+SUM(X187,AP187)*10000+SUM(R187,AJ187)*100+SUM(L187,AD187)+0.002&gt;AW187*1000000+SUM(Y187,AQ187)*10000+SUM(S187,AK187)*100+SUM(M187,AE187)+0.001,1,0)=1,"C",""))))))&amp;IF(IF(AS187*1000000+SUM(U187,AM187)*10000+SUM(O187,AG187)*100+SUM(I187,AA187)+0.005&gt;AR187*1000000+SUM(T187,AL187)*10000+SUM(N187,AF187)*100+SUM(H187,Z187)+0.006,1,0)+IF(AT187*1000000+SUM(V187,AN187)*10000+SUM(P187,AH187)*100+SUM(J187,AB187)+0.004&gt;AR187*1000000+SUM(T187,AL187)*10000+SUM(N187,AF187)*100+SUM(H187,Z187)+0.006,1,0)+IF(AU187*1000000+SUM(W187,AO187)*10000+SUM(Q187,AI187)*100+SUM(K187,AC187)+0.003&gt;AR187*1000000+SUM(T187,AL187)*10000+SUM(N187,AF187)*100+SUM(H187,Z187)+0.006,1,0)+IF(AV187*1000000+SUM(X187,AP187)*10000+SUM(R187,AJ187)*100+SUM(L187,AD187)+0.002&gt;AR187*1000000+SUM(T187,AL187)*10000+SUM(N187,AF187)*100+SUM(H187,Z187)+0.006,1,0)+IF(AW187*1000000+SUM(Y187,AQ187)*10000+SUM(S187,AK187)*100+SUM(M187,AE187)+0.001&gt;AR187*1000000+SUM(T187,AL187)*10000+SUM(N187,AF187)*100+SUM(H187,Z187)+0.006,1,0)=2,"R",IF(IF(AR187*1000000+SUM(T187,AL187)*10000+SUM(N187,AF187)*100+SUM(H187,Z187)+0.006&gt;AS187*1000000+SUM(U187,AM187)*10000+SUM(O187,AG187)*100+SUM(I187,AA187)+0.005,1,0)+IF(AT187*1000000+SUM(V187,AN187)*10000+SUM(P187,AH187)*100+SUM(J187,AB187)+0.004&gt;AS187*1000000+SUM(U187,AM187)*10000+SUM(O187,AG187)*100+SUM(I187,AA187)+0.005,1,0)+IF(AU187*1000000+SUM(W187,AO187)*10000+SUM(Q187,AI187)*100+SUM(K187,AC187)+0.003&gt;AS187*1000000+SUM(U187,AM187)*10000+SUM(O187,AG187)*100+SUM(I187,AA187)+0.005,1,0)+IF(AV187*1000000+SUM(X187,AP187)*10000+SUM(R187,AJ187)*100+SUM(L187,AD187)+0.002&gt;AS187*1000000+SUM(U187,AM187)*10000+SUM(O187,AG187)*100+SUM(I187,AA187)+0.005,1,0)+IF(AW187*1000000+SUM(Y187,AQ187)*10000+SUM(S187,AK187)*100+SUM(M187,AE187)+0.001&gt;AS187*1000000+SUM(U187,AM187)*10000+SUM(O187,AG187)*100+SUM(I187,AA187)+0.005,1,0)=2,"I",IF(IF(AR187*1000000+SUM(T187,AL187)*10000+SUM(N187,AF187)*100+SUM(H187,Z187)+0.006&gt;AT187*1000000+SUM(V187,AN187)*10000+SUM(P187,AH187)*100+SUM(J187,AB187)+0.004,1,0)+IF(AS187*1000000+SUM(U187,AM187)*10000+SUM(O187,AG187)*100+SUM(I187,AA187)+0.005&gt;AT187*1000000+SUM(V187,AN187)*10000+SUM(P187,AH187)*100+SUM(J187,AB187)+0.004,1,0)+IF(AU187*1000000+SUM(W187,AO187)*10000+SUM(Q187,AI187)*100+SUM(K187,AC187)+0.003&gt;AT187*1000000+SUM(V187,AN187)*10000+SUM(P187,AH187)*100+SUM(J187,AB187)+0.004,1,0)+IF(AV187*1000000+SUM(X187,AP187)*10000+SUM(R187,AJ187)*100+SUM(L187,AD187)+0.002&gt;AT187*1000000+SUM(V187,AN187)*10000+SUM(P187,AH187)*100+SUM(J187,AB187)+0.004,1,0)+IF(AW187*1000000+SUM(Y187,AQ187)*10000+SUM(S187,AK187)*100+SUM(M187,AE187)+0.001&gt;AT187*1000000+SUM(V187,AN187)*10000+SUM(P187,AH187)*100+SUM(J187,AB187)+0.004,1,0)=2,"A",IF(IF(AR187*1000000+SUM(T187,AL187)*10000+SUM(N187,AF187)*100+SUM(H187,Z187)+0.006&gt;AU187*1000000+SUM(W187,AO187)*10000+SUM(Q187,AI187)*100+SUM(K187,AC187)+0.003,1,0)+IF(AS187*1000000+SUM(U187,AM187)*10000+SUM(O187,AG187)*100+SUM(I187,AA187)+0.005&gt;AU187*1000000+SUM(W187,AO187)*10000+SUM(Q187,AI187)*100+SUM(K187,AC187)+0.003,1,0)+IF(AT187*1000000+SUM(V187,AN187)*10000+SUM(P187,AH187)*100+SUM(J187,AB187)+0.004&gt;AU187*1000000+SUM(W187,AO187)*10000+SUM(Q187,AI187)*100+SUM(K187,AC187)+0.003,1,0)+IF(AV187*1000000+SUM(X187,AP187)*10000+SUM(R187,AJ187)*100+SUM(L187,AD187)+0.002&gt;AU187*1000000+SUM(W187,AO187)*10000+SUM(Q187,AI187)*100+SUM(K187,AC187)+0.003,1,0)+IF(AW187*1000000+SUM(Y187,AQ187)*10000+SUM(S187,AK187)*100+SUM(M187,AE187)+0.001&gt;AU187*1000000+SUM(W187,AO187)*10000+SUM(Q187,AI187)*100+SUM(K187,AC187)+0.003,1,0)=2,"S",IF(IF(AR187*1000000+SUM(T187,AL187)*10000+SUM(N187,AF187)*100+SUM(H187,Z187)+0.006&gt;AV187*1000000+SUM(X187,AP187)*10000+SUM(R187,AJ187)*100+SUM(L187,AD187)+0.002,1,0)+IF(AS187*1000000+SUM(U187,AM187)*10000+SUM(O187,AG187)*100+SUM(I187,AA187)+0.005&gt;AV187*1000000+SUM(X187,AP187)*10000+SUM(R187,AJ187)*100+SUM(L187,AD187)+0.002,1,0)+IF(AT187*1000000+SUM(V187,AN187)*10000+SUM(P187,AH187)*100+SUM(J187,AB187)+0.004&gt;AV187*1000000+SUM(X187,AP187)*10000+SUM(R187,AJ187)*100+SUM(L187,AD187)+0.002,1,0)+IF(AU187*1000000+SUM(W187,AO187)*10000+SUM(Q187,AI187)*100+SUM(K187,AC187)+0.003&gt;AV187*1000000+SUM(X187,AP187)*10000+SUM(R187,AJ187)*100+SUM(L187,AD187)+0.002,1,0)+IF(AW187*1000000+SUM(Y187,AQ187)*10000+SUM(S187,AK187)*100+SUM(M187,AE187)+0.001&gt;AV187*1000000+SUM(X187,AP187)*10000+SUM(R187,AJ187)*100+SUM(L187,AD187)+0.002,1,0)=2,"E",IF(IF(AR187*1000000+SUM(T187,AL187)*10000+SUM(N187,AF187)*100+SUM(H187,Z187)+0.006&gt;AW187*1000000+SUM(Y187,AQ187)*10000+SUM(S187,AK187)*100+SUM(M187,AE187)+0.001,1,0)+IF(AS187*1000000+SUM(U187,AM187)*10000+SUM(O187,AG187)*100+SUM(I187,AA187)+0.005&gt;AW187*1000000+SUM(Y187,AQ187)*10000+SUM(S187,AK187)*100+SUM(M187,AE187)+0.001,1,0)+IF(AT187*1000000+SUM(V187,AN187)*10000+SUM(P187,AH187)*100+SUM(J187,AB187)+0.004&gt;AW187*1000000+SUM(Y187,AQ187)*10000+SUM(S187,AK187)*100+SUM(M187,AE187)+0.001,1,0)+IF(AU187*1000000+SUM(W187,AO187)*10000+SUM(Q187,AI187)*100+SUM(K187,AC187)+0.003&gt;AW187*1000000+SUM(Y187,AQ187)*10000+SUM(S187,AK187)*100+SUM(M187,AE187)+0.001,1,0)+IF(AV187*1000000+SUM(X187,AP187)*10000+SUM(R187,AJ187)*100+SUM(L187,AD187)+0.002&gt;AW187*1000000+SUM(Y187,AQ187)*10000+SUM(S187,AK187)*100+SUM(M187,AE187)+0.001,1,0)=2,"C","")))))))</x:f>
      </x:c>
      <x:c r="AY187" s="27" t="str">
        <x:f>IF(C187="","",IF(LEFT(AX187,1)="R","นักปฏิบัติ",IF(LEFT(AX187,1)="I","นักคิดวิเคราะห์",IF(LEFT(AX187,1)="A","นักสร้างสรรค์",IF(LEFT(AX187,1)="S","ผู้เข้าใจผู้คน",IF(LEFT(AX187,1)="E","ผู้นำการเปลี่ยนแปลง","ผู้จัดระบบ"))))))</x:f>
      </x:c>
    </x:row>
    <x:row r="188">
      <x:c r="A188" s="27"/>
      <x:c r="B188" s="28"/>
      <x:c r="C188" s="27"/>
      <x:c r="D188" s="27"/>
      <x:c r="E188" s="27"/>
      <x:c r="F188" s="27"/>
      <x:c r="G188" s="27"/>
      <x:c r="H188" s="27"/>
      <x:c r="I188" s="27"/>
      <x:c r="J188" s="27"/>
      <x:c r="K188" s="27"/>
      <x:c r="L188" s="27"/>
      <x:c r="M188" s="27"/>
      <x:c r="N188" s="27"/>
      <x:c r="O188" s="27"/>
      <x:c r="P188" s="27"/>
      <x:c r="Q188" s="27"/>
      <x:c r="R188" s="27"/>
      <x:c r="S188" s="27"/>
      <x:c r="T188" s="27"/>
      <x:c r="U188" s="27"/>
      <x:c r="V188" s="27"/>
      <x:c r="W188" s="27"/>
      <x:c r="X188" s="27"/>
      <x:c r="Y188" s="27"/>
      <x:c r="Z188" s="27"/>
      <x:c r="AA188" s="27"/>
      <x:c r="AB188" s="27"/>
      <x:c r="AC188" s="27"/>
      <x:c r="AD188" s="27"/>
      <x:c r="AE188" s="27"/>
      <x:c r="AF188" s="27"/>
      <x:c r="AG188" s="27"/>
      <x:c r="AH188" s="27"/>
      <x:c r="AI188" s="27"/>
      <x:c r="AJ188" s="27"/>
      <x:c r="AK188" s="27"/>
      <x:c r="AL188" s="27"/>
      <x:c r="AM188" s="27"/>
      <x:c r="AN188" s="27"/>
      <x:c r="AO188" s="27"/>
      <x:c r="AP188" s="27"/>
      <x:c r="AQ188" s="27"/>
      <x:c r="AR188" s="27" t="str">
        <x:f>IF(C188="","",SUM(H188,N188,T188,Z188,AF188,AL188))</x:f>
      </x:c>
      <x:c r="AS188" s="27" t="str">
        <x:f>IF(C188="","",SUM(I188,O188,U188,AA188,AG188,AM188))</x:f>
      </x:c>
      <x:c r="AT188" s="27" t="str">
        <x:f>IF(C188="","",SUM(J188,P188,V188,AB188,AH188,AN188))</x:f>
      </x:c>
      <x:c r="AU188" s="27" t="str">
        <x:f>IF(C188="","",SUM(K188,Q188,W188,AC188,AI188,AO188))</x:f>
      </x:c>
      <x:c r="AV188" s="27" t="str">
        <x:f>IF(C188="","",SUM(L188,R188,X188,AD188,AJ188,AP188))</x:f>
      </x:c>
      <x:c r="AW188" s="27" t="str">
        <x:f>IF(C188="","",SUM(M188,S188,Y188,AE188,AK188,AQ188))</x:f>
      </x:c>
      <x:c r="AX188" s="27" t="str">
        <x:f>IF(C188="","",IF(IF(AS188*1000000+SUM(U188,AM188)*10000+SUM(O188,AG188)*100+SUM(I188,AA188)+0.005&gt;AR188*1000000+SUM(T188,AL188)*10000+SUM(N188,AF188)*100+SUM(H188,Z188)+0.006,1,0)+IF(AT188*1000000+SUM(V188,AN188)*10000+SUM(P188,AH188)*100+SUM(J188,AB188)+0.004&gt;AR188*1000000+SUM(T188,AL188)*10000+SUM(N188,AF188)*100+SUM(H188,Z188)+0.006,1,0)+IF(AU188*1000000+SUM(W188,AO188)*10000+SUM(Q188,AI188)*100+SUM(K188,AC188)+0.003&gt;AR188*1000000+SUM(T188,AL188)*10000+SUM(N188,AF188)*100+SUM(H188,Z188)+0.006,1,0)+IF(AV188*1000000+SUM(X188,AP188)*10000+SUM(R188,AJ188)*100+SUM(L188,AD188)+0.002&gt;AR188*1000000+SUM(T188,AL188)*10000+SUM(N188,AF188)*100+SUM(H188,Z188)+0.006,1,0)+IF(AW188*1000000+SUM(Y188,AQ188)*10000+SUM(S188,AK188)*100+SUM(M188,AE188)+0.001&gt;AR188*1000000+SUM(T188,AL188)*10000+SUM(N188,AF188)*100+SUM(H188,Z188)+0.006,1,0)=0,"R",IF(IF(AR188*1000000+SUM(T188,AL188)*10000+SUM(N188,AF188)*100+SUM(H188,Z188)+0.006&gt;AS188*1000000+SUM(U188,AM188)*10000+SUM(O188,AG188)*100+SUM(I188,AA188)+0.005,1,0)+IF(AT188*1000000+SUM(V188,AN188)*10000+SUM(P188,AH188)*100+SUM(J188,AB188)+0.004&gt;AS188*1000000+SUM(U188,AM188)*10000+SUM(O188,AG188)*100+SUM(I188,AA188)+0.005,1,0)+IF(AU188*1000000+SUM(W188,AO188)*10000+SUM(Q188,AI188)*100+SUM(K188,AC188)+0.003&gt;AS188*1000000+SUM(U188,AM188)*10000+SUM(O188,AG188)*100+SUM(I188,AA188)+0.005,1,0)+IF(AV188*1000000+SUM(X188,AP188)*10000+SUM(R188,AJ188)*100+SUM(L188,AD188)+0.002&gt;AS188*1000000+SUM(U188,AM188)*10000+SUM(O188,AG188)*100+SUM(I188,AA188)+0.005,1,0)+IF(AW188*1000000+SUM(Y188,AQ188)*10000+SUM(S188,AK188)*100+SUM(M188,AE188)+0.001&gt;AS188*1000000+SUM(U188,AM188)*10000+SUM(O188,AG188)*100+SUM(I188,AA188)+0.005,1,0)=0,"I",IF(IF(AR188*1000000+SUM(T188,AL188)*10000+SUM(N188,AF188)*100+SUM(H188,Z188)+0.006&gt;AT188*1000000+SUM(V188,AN188)*10000+SUM(P188,AH188)*100+SUM(J188,AB188)+0.004,1,0)+IF(AS188*1000000+SUM(U188,AM188)*10000+SUM(O188,AG188)*100+SUM(I188,AA188)+0.005&gt;AT188*1000000+SUM(V188,AN188)*10000+SUM(P188,AH188)*100+SUM(J188,AB188)+0.004,1,0)+IF(AU188*1000000+SUM(W188,AO188)*10000+SUM(Q188,AI188)*100+SUM(K188,AC188)+0.003&gt;AT188*1000000+SUM(V188,AN188)*10000+SUM(P188,AH188)*100+SUM(J188,AB188)+0.004,1,0)+IF(AV188*1000000+SUM(X188,AP188)*10000+SUM(R188,AJ188)*100+SUM(L188,AD188)+0.002&gt;AT188*1000000+SUM(V188,AN188)*10000+SUM(P188,AH188)*100+SUM(J188,AB188)+0.004,1,0)+IF(AW188*1000000+SUM(Y188,AQ188)*10000+SUM(S188,AK188)*100+SUM(M188,AE188)+0.001&gt;AT188*1000000+SUM(V188,AN188)*10000+SUM(P188,AH188)*100+SUM(J188,AB188)+0.004,1,0)=0,"A",IF(IF(AR188*1000000+SUM(T188,AL188)*10000+SUM(N188,AF188)*100+SUM(H188,Z188)+0.006&gt;AU188*1000000+SUM(W188,AO188)*10000+SUM(Q188,AI188)*100+SUM(K188,AC188)+0.003,1,0)+IF(AS188*1000000+SUM(U188,AM188)*10000+SUM(O188,AG188)*100+SUM(I188,AA188)+0.005&gt;AU188*1000000+SUM(W188,AO188)*10000+SUM(Q188,AI188)*100+SUM(K188,AC188)+0.003,1,0)+IF(AT188*1000000+SUM(V188,AN188)*10000+SUM(P188,AH188)*100+SUM(J188,AB188)+0.004&gt;AU188*1000000+SUM(W188,AO188)*10000+SUM(Q188,AI188)*100+SUM(K188,AC188)+0.003,1,0)+IF(AV188*1000000+SUM(X188,AP188)*10000+SUM(R188,AJ188)*100+SUM(L188,AD188)+0.002&gt;AU188*1000000+SUM(W188,AO188)*10000+SUM(Q188,AI188)*100+SUM(K188,AC188)+0.003,1,0)+IF(AW188*1000000+SUM(Y188,AQ188)*10000+SUM(S188,AK188)*100+SUM(M188,AE188)+0.001&gt;AU188*1000000+SUM(W188,AO188)*10000+SUM(Q188,AI188)*100+SUM(K188,AC188)+0.003,1,0)=0,"S",IF(IF(AR188*1000000+SUM(T188,AL188)*10000+SUM(N188,AF188)*100+SUM(H188,Z188)+0.006&gt;AV188*1000000+SUM(X188,AP188)*10000+SUM(R188,AJ188)*100+SUM(L188,AD188)+0.002,1,0)+IF(AS188*1000000+SUM(U188,AM188)*10000+SUM(O188,AG188)*100+SUM(I188,AA188)+0.005&gt;AV188*1000000+SUM(X188,AP188)*10000+SUM(R188,AJ188)*100+SUM(L188,AD188)+0.002,1,0)+IF(AT188*1000000+SUM(V188,AN188)*10000+SUM(P188,AH188)*100+SUM(J188,AB188)+0.004&gt;AV188*1000000+SUM(X188,AP188)*10000+SUM(R188,AJ188)*100+SUM(L188,AD188)+0.002,1,0)+IF(AU188*1000000+SUM(W188,AO188)*10000+SUM(Q188,AI188)*100+SUM(K188,AC188)+0.003&gt;AV188*1000000+SUM(X188,AP188)*10000+SUM(R188,AJ188)*100+SUM(L188,AD188)+0.002,1,0)+IF(AW188*1000000+SUM(Y188,AQ188)*10000+SUM(S188,AK188)*100+SUM(M188,AE188)+0.001&gt;AV188*1000000+SUM(X188,AP188)*10000+SUM(R188,AJ188)*100+SUM(L188,AD188)+0.002,1,0)=0,"E",IF(IF(AR188*1000000+SUM(T188,AL188)*10000+SUM(N188,AF188)*100+SUM(H188,Z188)+0.006&gt;AW188*1000000+SUM(Y188,AQ188)*10000+SUM(S188,AK188)*100+SUM(M188,AE188)+0.001,1,0)+IF(AS188*1000000+SUM(U188,AM188)*10000+SUM(O188,AG188)*100+SUM(I188,AA188)+0.005&gt;AW188*1000000+SUM(Y188,AQ188)*10000+SUM(S188,AK188)*100+SUM(M188,AE188)+0.001,1,0)+IF(AT188*1000000+SUM(V188,AN188)*10000+SUM(P188,AH188)*100+SUM(J188,AB188)+0.004&gt;AW188*1000000+SUM(Y188,AQ188)*10000+SUM(S188,AK188)*100+SUM(M188,AE188)+0.001,1,0)+IF(AU188*1000000+SUM(W188,AO188)*10000+SUM(Q188,AI188)*100+SUM(K188,AC188)+0.003&gt;AW188*1000000+SUM(Y188,AQ188)*10000+SUM(S188,AK188)*100+SUM(M188,AE188)+0.001,1,0)+IF(AV188*1000000+SUM(X188,AP188)*10000+SUM(R188,AJ188)*100+SUM(L188,AD188)+0.002&gt;AW188*1000000+SUM(Y188,AQ188)*10000+SUM(S188,AK188)*100+SUM(M188,AE188)+0.001,1,0)=0,"C",""))))))&amp;IF(IF(AS188*1000000+SUM(U188,AM188)*10000+SUM(O188,AG188)*100+SUM(I188,AA188)+0.005&gt;AR188*1000000+SUM(T188,AL188)*10000+SUM(N188,AF188)*100+SUM(H188,Z188)+0.006,1,0)+IF(AT188*1000000+SUM(V188,AN188)*10000+SUM(P188,AH188)*100+SUM(J188,AB188)+0.004&gt;AR188*1000000+SUM(T188,AL188)*10000+SUM(N188,AF188)*100+SUM(H188,Z188)+0.006,1,0)+IF(AU188*1000000+SUM(W188,AO188)*10000+SUM(Q188,AI188)*100+SUM(K188,AC188)+0.003&gt;AR188*1000000+SUM(T188,AL188)*10000+SUM(N188,AF188)*100+SUM(H188,Z188)+0.006,1,0)+IF(AV188*1000000+SUM(X188,AP188)*10000+SUM(R188,AJ188)*100+SUM(L188,AD188)+0.002&gt;AR188*1000000+SUM(T188,AL188)*10000+SUM(N188,AF188)*100+SUM(H188,Z188)+0.006,1,0)+IF(AW188*1000000+SUM(Y188,AQ188)*10000+SUM(S188,AK188)*100+SUM(M188,AE188)+0.001&gt;AR188*1000000+SUM(T188,AL188)*10000+SUM(N188,AF188)*100+SUM(H188,Z188)+0.006,1,0)=1,"R",IF(IF(AR188*1000000+SUM(T188,AL188)*10000+SUM(N188,AF188)*100+SUM(H188,Z188)+0.006&gt;AS188*1000000+SUM(U188,AM188)*10000+SUM(O188,AG188)*100+SUM(I188,AA188)+0.005,1,0)+IF(AT188*1000000+SUM(V188,AN188)*10000+SUM(P188,AH188)*100+SUM(J188,AB188)+0.004&gt;AS188*1000000+SUM(U188,AM188)*10000+SUM(O188,AG188)*100+SUM(I188,AA188)+0.005,1,0)+IF(AU188*1000000+SUM(W188,AO188)*10000+SUM(Q188,AI188)*100+SUM(K188,AC188)+0.003&gt;AS188*1000000+SUM(U188,AM188)*10000+SUM(O188,AG188)*100+SUM(I188,AA188)+0.005,1,0)+IF(AV188*1000000+SUM(X188,AP188)*10000+SUM(R188,AJ188)*100+SUM(L188,AD188)+0.002&gt;AS188*1000000+SUM(U188,AM188)*10000+SUM(O188,AG188)*100+SUM(I188,AA188)+0.005,1,0)+IF(AW188*1000000+SUM(Y188,AQ188)*10000+SUM(S188,AK188)*100+SUM(M188,AE188)+0.001&gt;AS188*1000000+SUM(U188,AM188)*10000+SUM(O188,AG188)*100+SUM(I188,AA188)+0.005,1,0)=1,"I",IF(IF(AR188*1000000+SUM(T188,AL188)*10000+SUM(N188,AF188)*100+SUM(H188,Z188)+0.006&gt;AT188*1000000+SUM(V188,AN188)*10000+SUM(P188,AH188)*100+SUM(J188,AB188)+0.004,1,0)+IF(AS188*1000000+SUM(U188,AM188)*10000+SUM(O188,AG188)*100+SUM(I188,AA188)+0.005&gt;AT188*1000000+SUM(V188,AN188)*10000+SUM(P188,AH188)*100+SUM(J188,AB188)+0.004,1,0)+IF(AU188*1000000+SUM(W188,AO188)*10000+SUM(Q188,AI188)*100+SUM(K188,AC188)+0.003&gt;AT188*1000000+SUM(V188,AN188)*10000+SUM(P188,AH188)*100+SUM(J188,AB188)+0.004,1,0)+IF(AV188*1000000+SUM(X188,AP188)*10000+SUM(R188,AJ188)*100+SUM(L188,AD188)+0.002&gt;AT188*1000000+SUM(V188,AN188)*10000+SUM(P188,AH188)*100+SUM(J188,AB188)+0.004,1,0)+IF(AW188*1000000+SUM(Y188,AQ188)*10000+SUM(S188,AK188)*100+SUM(M188,AE188)+0.001&gt;AT188*1000000+SUM(V188,AN188)*10000+SUM(P188,AH188)*100+SUM(J188,AB188)+0.004,1,0)=1,"A",IF(IF(AR188*1000000+SUM(T188,AL188)*10000+SUM(N188,AF188)*100+SUM(H188,Z188)+0.006&gt;AU188*1000000+SUM(W188,AO188)*10000+SUM(Q188,AI188)*100+SUM(K188,AC188)+0.003,1,0)+IF(AS188*1000000+SUM(U188,AM188)*10000+SUM(O188,AG188)*100+SUM(I188,AA188)+0.005&gt;AU188*1000000+SUM(W188,AO188)*10000+SUM(Q188,AI188)*100+SUM(K188,AC188)+0.003,1,0)+IF(AT188*1000000+SUM(V188,AN188)*10000+SUM(P188,AH188)*100+SUM(J188,AB188)+0.004&gt;AU188*1000000+SUM(W188,AO188)*10000+SUM(Q188,AI188)*100+SUM(K188,AC188)+0.003,1,0)+IF(AV188*1000000+SUM(X188,AP188)*10000+SUM(R188,AJ188)*100+SUM(L188,AD188)+0.002&gt;AU188*1000000+SUM(W188,AO188)*10000+SUM(Q188,AI188)*100+SUM(K188,AC188)+0.003,1,0)+IF(AW188*1000000+SUM(Y188,AQ188)*10000+SUM(S188,AK188)*100+SUM(M188,AE188)+0.001&gt;AU188*1000000+SUM(W188,AO188)*10000+SUM(Q188,AI188)*100+SUM(K188,AC188)+0.003,1,0)=1,"S",IF(IF(AR188*1000000+SUM(T188,AL188)*10000+SUM(N188,AF188)*100+SUM(H188,Z188)+0.006&gt;AV188*1000000+SUM(X188,AP188)*10000+SUM(R188,AJ188)*100+SUM(L188,AD188)+0.002,1,0)+IF(AS188*1000000+SUM(U188,AM188)*10000+SUM(O188,AG188)*100+SUM(I188,AA188)+0.005&gt;AV188*1000000+SUM(X188,AP188)*10000+SUM(R188,AJ188)*100+SUM(L188,AD188)+0.002,1,0)+IF(AT188*1000000+SUM(V188,AN188)*10000+SUM(P188,AH188)*100+SUM(J188,AB188)+0.004&gt;AV188*1000000+SUM(X188,AP188)*10000+SUM(R188,AJ188)*100+SUM(L188,AD188)+0.002,1,0)+IF(AU188*1000000+SUM(W188,AO188)*10000+SUM(Q188,AI188)*100+SUM(K188,AC188)+0.003&gt;AV188*1000000+SUM(X188,AP188)*10000+SUM(R188,AJ188)*100+SUM(L188,AD188)+0.002,1,0)+IF(AW188*1000000+SUM(Y188,AQ188)*10000+SUM(S188,AK188)*100+SUM(M188,AE188)+0.001&gt;AV188*1000000+SUM(X188,AP188)*10000+SUM(R188,AJ188)*100+SUM(L188,AD188)+0.002,1,0)=1,"E",IF(IF(AR188*1000000+SUM(T188,AL188)*10000+SUM(N188,AF188)*100+SUM(H188,Z188)+0.006&gt;AW188*1000000+SUM(Y188,AQ188)*10000+SUM(S188,AK188)*100+SUM(M188,AE188)+0.001,1,0)+IF(AS188*1000000+SUM(U188,AM188)*10000+SUM(O188,AG188)*100+SUM(I188,AA188)+0.005&gt;AW188*1000000+SUM(Y188,AQ188)*10000+SUM(S188,AK188)*100+SUM(M188,AE188)+0.001,1,0)+IF(AT188*1000000+SUM(V188,AN188)*10000+SUM(P188,AH188)*100+SUM(J188,AB188)+0.004&gt;AW188*1000000+SUM(Y188,AQ188)*10000+SUM(S188,AK188)*100+SUM(M188,AE188)+0.001,1,0)+IF(AU188*1000000+SUM(W188,AO188)*10000+SUM(Q188,AI188)*100+SUM(K188,AC188)+0.003&gt;AW188*1000000+SUM(Y188,AQ188)*10000+SUM(S188,AK188)*100+SUM(M188,AE188)+0.001,1,0)+IF(AV188*1000000+SUM(X188,AP188)*10000+SUM(R188,AJ188)*100+SUM(L188,AD188)+0.002&gt;AW188*1000000+SUM(Y188,AQ188)*10000+SUM(S188,AK188)*100+SUM(M188,AE188)+0.001,1,0)=1,"C",""))))))&amp;IF(IF(AS188*1000000+SUM(U188,AM188)*10000+SUM(O188,AG188)*100+SUM(I188,AA188)+0.005&gt;AR188*1000000+SUM(T188,AL188)*10000+SUM(N188,AF188)*100+SUM(H188,Z188)+0.006,1,0)+IF(AT188*1000000+SUM(V188,AN188)*10000+SUM(P188,AH188)*100+SUM(J188,AB188)+0.004&gt;AR188*1000000+SUM(T188,AL188)*10000+SUM(N188,AF188)*100+SUM(H188,Z188)+0.006,1,0)+IF(AU188*1000000+SUM(W188,AO188)*10000+SUM(Q188,AI188)*100+SUM(K188,AC188)+0.003&gt;AR188*1000000+SUM(T188,AL188)*10000+SUM(N188,AF188)*100+SUM(H188,Z188)+0.006,1,0)+IF(AV188*1000000+SUM(X188,AP188)*10000+SUM(R188,AJ188)*100+SUM(L188,AD188)+0.002&gt;AR188*1000000+SUM(T188,AL188)*10000+SUM(N188,AF188)*100+SUM(H188,Z188)+0.006,1,0)+IF(AW188*1000000+SUM(Y188,AQ188)*10000+SUM(S188,AK188)*100+SUM(M188,AE188)+0.001&gt;AR188*1000000+SUM(T188,AL188)*10000+SUM(N188,AF188)*100+SUM(H188,Z188)+0.006,1,0)=2,"R",IF(IF(AR188*1000000+SUM(T188,AL188)*10000+SUM(N188,AF188)*100+SUM(H188,Z188)+0.006&gt;AS188*1000000+SUM(U188,AM188)*10000+SUM(O188,AG188)*100+SUM(I188,AA188)+0.005,1,0)+IF(AT188*1000000+SUM(V188,AN188)*10000+SUM(P188,AH188)*100+SUM(J188,AB188)+0.004&gt;AS188*1000000+SUM(U188,AM188)*10000+SUM(O188,AG188)*100+SUM(I188,AA188)+0.005,1,0)+IF(AU188*1000000+SUM(W188,AO188)*10000+SUM(Q188,AI188)*100+SUM(K188,AC188)+0.003&gt;AS188*1000000+SUM(U188,AM188)*10000+SUM(O188,AG188)*100+SUM(I188,AA188)+0.005,1,0)+IF(AV188*1000000+SUM(X188,AP188)*10000+SUM(R188,AJ188)*100+SUM(L188,AD188)+0.002&gt;AS188*1000000+SUM(U188,AM188)*10000+SUM(O188,AG188)*100+SUM(I188,AA188)+0.005,1,0)+IF(AW188*1000000+SUM(Y188,AQ188)*10000+SUM(S188,AK188)*100+SUM(M188,AE188)+0.001&gt;AS188*1000000+SUM(U188,AM188)*10000+SUM(O188,AG188)*100+SUM(I188,AA188)+0.005,1,0)=2,"I",IF(IF(AR188*1000000+SUM(T188,AL188)*10000+SUM(N188,AF188)*100+SUM(H188,Z188)+0.006&gt;AT188*1000000+SUM(V188,AN188)*10000+SUM(P188,AH188)*100+SUM(J188,AB188)+0.004,1,0)+IF(AS188*1000000+SUM(U188,AM188)*10000+SUM(O188,AG188)*100+SUM(I188,AA188)+0.005&gt;AT188*1000000+SUM(V188,AN188)*10000+SUM(P188,AH188)*100+SUM(J188,AB188)+0.004,1,0)+IF(AU188*1000000+SUM(W188,AO188)*10000+SUM(Q188,AI188)*100+SUM(K188,AC188)+0.003&gt;AT188*1000000+SUM(V188,AN188)*10000+SUM(P188,AH188)*100+SUM(J188,AB188)+0.004,1,0)+IF(AV188*1000000+SUM(X188,AP188)*10000+SUM(R188,AJ188)*100+SUM(L188,AD188)+0.002&gt;AT188*1000000+SUM(V188,AN188)*10000+SUM(P188,AH188)*100+SUM(J188,AB188)+0.004,1,0)+IF(AW188*1000000+SUM(Y188,AQ188)*10000+SUM(S188,AK188)*100+SUM(M188,AE188)+0.001&gt;AT188*1000000+SUM(V188,AN188)*10000+SUM(P188,AH188)*100+SUM(J188,AB188)+0.004,1,0)=2,"A",IF(IF(AR188*1000000+SUM(T188,AL188)*10000+SUM(N188,AF188)*100+SUM(H188,Z188)+0.006&gt;AU188*1000000+SUM(W188,AO188)*10000+SUM(Q188,AI188)*100+SUM(K188,AC188)+0.003,1,0)+IF(AS188*1000000+SUM(U188,AM188)*10000+SUM(O188,AG188)*100+SUM(I188,AA188)+0.005&gt;AU188*1000000+SUM(W188,AO188)*10000+SUM(Q188,AI188)*100+SUM(K188,AC188)+0.003,1,0)+IF(AT188*1000000+SUM(V188,AN188)*10000+SUM(P188,AH188)*100+SUM(J188,AB188)+0.004&gt;AU188*1000000+SUM(W188,AO188)*10000+SUM(Q188,AI188)*100+SUM(K188,AC188)+0.003,1,0)+IF(AV188*1000000+SUM(X188,AP188)*10000+SUM(R188,AJ188)*100+SUM(L188,AD188)+0.002&gt;AU188*1000000+SUM(W188,AO188)*10000+SUM(Q188,AI188)*100+SUM(K188,AC188)+0.003,1,0)+IF(AW188*1000000+SUM(Y188,AQ188)*10000+SUM(S188,AK188)*100+SUM(M188,AE188)+0.001&gt;AU188*1000000+SUM(W188,AO188)*10000+SUM(Q188,AI188)*100+SUM(K188,AC188)+0.003,1,0)=2,"S",IF(IF(AR188*1000000+SUM(T188,AL188)*10000+SUM(N188,AF188)*100+SUM(H188,Z188)+0.006&gt;AV188*1000000+SUM(X188,AP188)*10000+SUM(R188,AJ188)*100+SUM(L188,AD188)+0.002,1,0)+IF(AS188*1000000+SUM(U188,AM188)*10000+SUM(O188,AG188)*100+SUM(I188,AA188)+0.005&gt;AV188*1000000+SUM(X188,AP188)*10000+SUM(R188,AJ188)*100+SUM(L188,AD188)+0.002,1,0)+IF(AT188*1000000+SUM(V188,AN188)*10000+SUM(P188,AH188)*100+SUM(J188,AB188)+0.004&gt;AV188*1000000+SUM(X188,AP188)*10000+SUM(R188,AJ188)*100+SUM(L188,AD188)+0.002,1,0)+IF(AU188*1000000+SUM(W188,AO188)*10000+SUM(Q188,AI188)*100+SUM(K188,AC188)+0.003&gt;AV188*1000000+SUM(X188,AP188)*10000+SUM(R188,AJ188)*100+SUM(L188,AD188)+0.002,1,0)+IF(AW188*1000000+SUM(Y188,AQ188)*10000+SUM(S188,AK188)*100+SUM(M188,AE188)+0.001&gt;AV188*1000000+SUM(X188,AP188)*10000+SUM(R188,AJ188)*100+SUM(L188,AD188)+0.002,1,0)=2,"E",IF(IF(AR188*1000000+SUM(T188,AL188)*10000+SUM(N188,AF188)*100+SUM(H188,Z188)+0.006&gt;AW188*1000000+SUM(Y188,AQ188)*10000+SUM(S188,AK188)*100+SUM(M188,AE188)+0.001,1,0)+IF(AS188*1000000+SUM(U188,AM188)*10000+SUM(O188,AG188)*100+SUM(I188,AA188)+0.005&gt;AW188*1000000+SUM(Y188,AQ188)*10000+SUM(S188,AK188)*100+SUM(M188,AE188)+0.001,1,0)+IF(AT188*1000000+SUM(V188,AN188)*10000+SUM(P188,AH188)*100+SUM(J188,AB188)+0.004&gt;AW188*1000000+SUM(Y188,AQ188)*10000+SUM(S188,AK188)*100+SUM(M188,AE188)+0.001,1,0)+IF(AU188*1000000+SUM(W188,AO188)*10000+SUM(Q188,AI188)*100+SUM(K188,AC188)+0.003&gt;AW188*1000000+SUM(Y188,AQ188)*10000+SUM(S188,AK188)*100+SUM(M188,AE188)+0.001,1,0)+IF(AV188*1000000+SUM(X188,AP188)*10000+SUM(R188,AJ188)*100+SUM(L188,AD188)+0.002&gt;AW188*1000000+SUM(Y188,AQ188)*10000+SUM(S188,AK188)*100+SUM(M188,AE188)+0.001,1,0)=2,"C","")))))))</x:f>
      </x:c>
      <x:c r="AY188" s="27" t="str">
        <x:f>IF(C188="","",IF(LEFT(AX188,1)="R","นักปฏิบัติ",IF(LEFT(AX188,1)="I","นักคิดวิเคราะห์",IF(LEFT(AX188,1)="A","นักสร้างสรรค์",IF(LEFT(AX188,1)="S","ผู้เข้าใจผู้คน",IF(LEFT(AX188,1)="E","ผู้นำการเปลี่ยนแปลง","ผู้จัดระบบ"))))))</x:f>
      </x:c>
    </x:row>
    <x:row r="189">
      <x:c r="A189" s="27"/>
      <x:c r="B189" s="28"/>
      <x:c r="C189" s="27"/>
      <x:c r="D189" s="27"/>
      <x:c r="E189" s="27"/>
      <x:c r="F189" s="27"/>
      <x:c r="G189" s="27"/>
      <x:c r="H189" s="27"/>
      <x:c r="I189" s="27"/>
      <x:c r="J189" s="27"/>
      <x:c r="K189" s="27"/>
      <x:c r="L189" s="27"/>
      <x:c r="M189" s="27"/>
      <x:c r="N189" s="27"/>
      <x:c r="O189" s="27"/>
      <x:c r="P189" s="27"/>
      <x:c r="Q189" s="27"/>
      <x:c r="R189" s="27"/>
      <x:c r="S189" s="27"/>
      <x:c r="T189" s="27"/>
      <x:c r="U189" s="27"/>
      <x:c r="V189" s="27"/>
      <x:c r="W189" s="27"/>
      <x:c r="X189" s="27"/>
      <x:c r="Y189" s="27"/>
      <x:c r="Z189" s="27"/>
      <x:c r="AA189" s="27"/>
      <x:c r="AB189" s="27"/>
      <x:c r="AC189" s="27"/>
      <x:c r="AD189" s="27"/>
      <x:c r="AE189" s="27"/>
      <x:c r="AF189" s="27"/>
      <x:c r="AG189" s="27"/>
      <x:c r="AH189" s="27"/>
      <x:c r="AI189" s="27"/>
      <x:c r="AJ189" s="27"/>
      <x:c r="AK189" s="27"/>
      <x:c r="AL189" s="27"/>
      <x:c r="AM189" s="27"/>
      <x:c r="AN189" s="27"/>
      <x:c r="AO189" s="27"/>
      <x:c r="AP189" s="27"/>
      <x:c r="AQ189" s="27"/>
      <x:c r="AR189" s="27" t="str">
        <x:f>IF(C189="","",SUM(H189,N189,T189,Z189,AF189,AL189))</x:f>
      </x:c>
      <x:c r="AS189" s="27" t="str">
        <x:f>IF(C189="","",SUM(I189,O189,U189,AA189,AG189,AM189))</x:f>
      </x:c>
      <x:c r="AT189" s="27" t="str">
        <x:f>IF(C189="","",SUM(J189,P189,V189,AB189,AH189,AN189))</x:f>
      </x:c>
      <x:c r="AU189" s="27" t="str">
        <x:f>IF(C189="","",SUM(K189,Q189,W189,AC189,AI189,AO189))</x:f>
      </x:c>
      <x:c r="AV189" s="27" t="str">
        <x:f>IF(C189="","",SUM(L189,R189,X189,AD189,AJ189,AP189))</x:f>
      </x:c>
      <x:c r="AW189" s="27" t="str">
        <x:f>IF(C189="","",SUM(M189,S189,Y189,AE189,AK189,AQ189))</x:f>
      </x:c>
      <x:c r="AX189" s="27" t="str">
        <x:f>IF(C189="","",IF(IF(AS189*1000000+SUM(U189,AM189)*10000+SUM(O189,AG189)*100+SUM(I189,AA189)+0.005&gt;AR189*1000000+SUM(T189,AL189)*10000+SUM(N189,AF189)*100+SUM(H189,Z189)+0.006,1,0)+IF(AT189*1000000+SUM(V189,AN189)*10000+SUM(P189,AH189)*100+SUM(J189,AB189)+0.004&gt;AR189*1000000+SUM(T189,AL189)*10000+SUM(N189,AF189)*100+SUM(H189,Z189)+0.006,1,0)+IF(AU189*1000000+SUM(W189,AO189)*10000+SUM(Q189,AI189)*100+SUM(K189,AC189)+0.003&gt;AR189*1000000+SUM(T189,AL189)*10000+SUM(N189,AF189)*100+SUM(H189,Z189)+0.006,1,0)+IF(AV189*1000000+SUM(X189,AP189)*10000+SUM(R189,AJ189)*100+SUM(L189,AD189)+0.002&gt;AR189*1000000+SUM(T189,AL189)*10000+SUM(N189,AF189)*100+SUM(H189,Z189)+0.006,1,0)+IF(AW189*1000000+SUM(Y189,AQ189)*10000+SUM(S189,AK189)*100+SUM(M189,AE189)+0.001&gt;AR189*1000000+SUM(T189,AL189)*10000+SUM(N189,AF189)*100+SUM(H189,Z189)+0.006,1,0)=0,"R",IF(IF(AR189*1000000+SUM(T189,AL189)*10000+SUM(N189,AF189)*100+SUM(H189,Z189)+0.006&gt;AS189*1000000+SUM(U189,AM189)*10000+SUM(O189,AG189)*100+SUM(I189,AA189)+0.005,1,0)+IF(AT189*1000000+SUM(V189,AN189)*10000+SUM(P189,AH189)*100+SUM(J189,AB189)+0.004&gt;AS189*1000000+SUM(U189,AM189)*10000+SUM(O189,AG189)*100+SUM(I189,AA189)+0.005,1,0)+IF(AU189*1000000+SUM(W189,AO189)*10000+SUM(Q189,AI189)*100+SUM(K189,AC189)+0.003&gt;AS189*1000000+SUM(U189,AM189)*10000+SUM(O189,AG189)*100+SUM(I189,AA189)+0.005,1,0)+IF(AV189*1000000+SUM(X189,AP189)*10000+SUM(R189,AJ189)*100+SUM(L189,AD189)+0.002&gt;AS189*1000000+SUM(U189,AM189)*10000+SUM(O189,AG189)*100+SUM(I189,AA189)+0.005,1,0)+IF(AW189*1000000+SUM(Y189,AQ189)*10000+SUM(S189,AK189)*100+SUM(M189,AE189)+0.001&gt;AS189*1000000+SUM(U189,AM189)*10000+SUM(O189,AG189)*100+SUM(I189,AA189)+0.005,1,0)=0,"I",IF(IF(AR189*1000000+SUM(T189,AL189)*10000+SUM(N189,AF189)*100+SUM(H189,Z189)+0.006&gt;AT189*1000000+SUM(V189,AN189)*10000+SUM(P189,AH189)*100+SUM(J189,AB189)+0.004,1,0)+IF(AS189*1000000+SUM(U189,AM189)*10000+SUM(O189,AG189)*100+SUM(I189,AA189)+0.005&gt;AT189*1000000+SUM(V189,AN189)*10000+SUM(P189,AH189)*100+SUM(J189,AB189)+0.004,1,0)+IF(AU189*1000000+SUM(W189,AO189)*10000+SUM(Q189,AI189)*100+SUM(K189,AC189)+0.003&gt;AT189*1000000+SUM(V189,AN189)*10000+SUM(P189,AH189)*100+SUM(J189,AB189)+0.004,1,0)+IF(AV189*1000000+SUM(X189,AP189)*10000+SUM(R189,AJ189)*100+SUM(L189,AD189)+0.002&gt;AT189*1000000+SUM(V189,AN189)*10000+SUM(P189,AH189)*100+SUM(J189,AB189)+0.004,1,0)+IF(AW189*1000000+SUM(Y189,AQ189)*10000+SUM(S189,AK189)*100+SUM(M189,AE189)+0.001&gt;AT189*1000000+SUM(V189,AN189)*10000+SUM(P189,AH189)*100+SUM(J189,AB189)+0.004,1,0)=0,"A",IF(IF(AR189*1000000+SUM(T189,AL189)*10000+SUM(N189,AF189)*100+SUM(H189,Z189)+0.006&gt;AU189*1000000+SUM(W189,AO189)*10000+SUM(Q189,AI189)*100+SUM(K189,AC189)+0.003,1,0)+IF(AS189*1000000+SUM(U189,AM189)*10000+SUM(O189,AG189)*100+SUM(I189,AA189)+0.005&gt;AU189*1000000+SUM(W189,AO189)*10000+SUM(Q189,AI189)*100+SUM(K189,AC189)+0.003,1,0)+IF(AT189*1000000+SUM(V189,AN189)*10000+SUM(P189,AH189)*100+SUM(J189,AB189)+0.004&gt;AU189*1000000+SUM(W189,AO189)*10000+SUM(Q189,AI189)*100+SUM(K189,AC189)+0.003,1,0)+IF(AV189*1000000+SUM(X189,AP189)*10000+SUM(R189,AJ189)*100+SUM(L189,AD189)+0.002&gt;AU189*1000000+SUM(W189,AO189)*10000+SUM(Q189,AI189)*100+SUM(K189,AC189)+0.003,1,0)+IF(AW189*1000000+SUM(Y189,AQ189)*10000+SUM(S189,AK189)*100+SUM(M189,AE189)+0.001&gt;AU189*1000000+SUM(W189,AO189)*10000+SUM(Q189,AI189)*100+SUM(K189,AC189)+0.003,1,0)=0,"S",IF(IF(AR189*1000000+SUM(T189,AL189)*10000+SUM(N189,AF189)*100+SUM(H189,Z189)+0.006&gt;AV189*1000000+SUM(X189,AP189)*10000+SUM(R189,AJ189)*100+SUM(L189,AD189)+0.002,1,0)+IF(AS189*1000000+SUM(U189,AM189)*10000+SUM(O189,AG189)*100+SUM(I189,AA189)+0.005&gt;AV189*1000000+SUM(X189,AP189)*10000+SUM(R189,AJ189)*100+SUM(L189,AD189)+0.002,1,0)+IF(AT189*1000000+SUM(V189,AN189)*10000+SUM(P189,AH189)*100+SUM(J189,AB189)+0.004&gt;AV189*1000000+SUM(X189,AP189)*10000+SUM(R189,AJ189)*100+SUM(L189,AD189)+0.002,1,0)+IF(AU189*1000000+SUM(W189,AO189)*10000+SUM(Q189,AI189)*100+SUM(K189,AC189)+0.003&gt;AV189*1000000+SUM(X189,AP189)*10000+SUM(R189,AJ189)*100+SUM(L189,AD189)+0.002,1,0)+IF(AW189*1000000+SUM(Y189,AQ189)*10000+SUM(S189,AK189)*100+SUM(M189,AE189)+0.001&gt;AV189*1000000+SUM(X189,AP189)*10000+SUM(R189,AJ189)*100+SUM(L189,AD189)+0.002,1,0)=0,"E",IF(IF(AR189*1000000+SUM(T189,AL189)*10000+SUM(N189,AF189)*100+SUM(H189,Z189)+0.006&gt;AW189*1000000+SUM(Y189,AQ189)*10000+SUM(S189,AK189)*100+SUM(M189,AE189)+0.001,1,0)+IF(AS189*1000000+SUM(U189,AM189)*10000+SUM(O189,AG189)*100+SUM(I189,AA189)+0.005&gt;AW189*1000000+SUM(Y189,AQ189)*10000+SUM(S189,AK189)*100+SUM(M189,AE189)+0.001,1,0)+IF(AT189*1000000+SUM(V189,AN189)*10000+SUM(P189,AH189)*100+SUM(J189,AB189)+0.004&gt;AW189*1000000+SUM(Y189,AQ189)*10000+SUM(S189,AK189)*100+SUM(M189,AE189)+0.001,1,0)+IF(AU189*1000000+SUM(W189,AO189)*10000+SUM(Q189,AI189)*100+SUM(K189,AC189)+0.003&gt;AW189*1000000+SUM(Y189,AQ189)*10000+SUM(S189,AK189)*100+SUM(M189,AE189)+0.001,1,0)+IF(AV189*1000000+SUM(X189,AP189)*10000+SUM(R189,AJ189)*100+SUM(L189,AD189)+0.002&gt;AW189*1000000+SUM(Y189,AQ189)*10000+SUM(S189,AK189)*100+SUM(M189,AE189)+0.001,1,0)=0,"C",""))))))&amp;IF(IF(AS189*1000000+SUM(U189,AM189)*10000+SUM(O189,AG189)*100+SUM(I189,AA189)+0.005&gt;AR189*1000000+SUM(T189,AL189)*10000+SUM(N189,AF189)*100+SUM(H189,Z189)+0.006,1,0)+IF(AT189*1000000+SUM(V189,AN189)*10000+SUM(P189,AH189)*100+SUM(J189,AB189)+0.004&gt;AR189*1000000+SUM(T189,AL189)*10000+SUM(N189,AF189)*100+SUM(H189,Z189)+0.006,1,0)+IF(AU189*1000000+SUM(W189,AO189)*10000+SUM(Q189,AI189)*100+SUM(K189,AC189)+0.003&gt;AR189*1000000+SUM(T189,AL189)*10000+SUM(N189,AF189)*100+SUM(H189,Z189)+0.006,1,0)+IF(AV189*1000000+SUM(X189,AP189)*10000+SUM(R189,AJ189)*100+SUM(L189,AD189)+0.002&gt;AR189*1000000+SUM(T189,AL189)*10000+SUM(N189,AF189)*100+SUM(H189,Z189)+0.006,1,0)+IF(AW189*1000000+SUM(Y189,AQ189)*10000+SUM(S189,AK189)*100+SUM(M189,AE189)+0.001&gt;AR189*1000000+SUM(T189,AL189)*10000+SUM(N189,AF189)*100+SUM(H189,Z189)+0.006,1,0)=1,"R",IF(IF(AR189*1000000+SUM(T189,AL189)*10000+SUM(N189,AF189)*100+SUM(H189,Z189)+0.006&gt;AS189*1000000+SUM(U189,AM189)*10000+SUM(O189,AG189)*100+SUM(I189,AA189)+0.005,1,0)+IF(AT189*1000000+SUM(V189,AN189)*10000+SUM(P189,AH189)*100+SUM(J189,AB189)+0.004&gt;AS189*1000000+SUM(U189,AM189)*10000+SUM(O189,AG189)*100+SUM(I189,AA189)+0.005,1,0)+IF(AU189*1000000+SUM(W189,AO189)*10000+SUM(Q189,AI189)*100+SUM(K189,AC189)+0.003&gt;AS189*1000000+SUM(U189,AM189)*10000+SUM(O189,AG189)*100+SUM(I189,AA189)+0.005,1,0)+IF(AV189*1000000+SUM(X189,AP189)*10000+SUM(R189,AJ189)*100+SUM(L189,AD189)+0.002&gt;AS189*1000000+SUM(U189,AM189)*10000+SUM(O189,AG189)*100+SUM(I189,AA189)+0.005,1,0)+IF(AW189*1000000+SUM(Y189,AQ189)*10000+SUM(S189,AK189)*100+SUM(M189,AE189)+0.001&gt;AS189*1000000+SUM(U189,AM189)*10000+SUM(O189,AG189)*100+SUM(I189,AA189)+0.005,1,0)=1,"I",IF(IF(AR189*1000000+SUM(T189,AL189)*10000+SUM(N189,AF189)*100+SUM(H189,Z189)+0.006&gt;AT189*1000000+SUM(V189,AN189)*10000+SUM(P189,AH189)*100+SUM(J189,AB189)+0.004,1,0)+IF(AS189*1000000+SUM(U189,AM189)*10000+SUM(O189,AG189)*100+SUM(I189,AA189)+0.005&gt;AT189*1000000+SUM(V189,AN189)*10000+SUM(P189,AH189)*100+SUM(J189,AB189)+0.004,1,0)+IF(AU189*1000000+SUM(W189,AO189)*10000+SUM(Q189,AI189)*100+SUM(K189,AC189)+0.003&gt;AT189*1000000+SUM(V189,AN189)*10000+SUM(P189,AH189)*100+SUM(J189,AB189)+0.004,1,0)+IF(AV189*1000000+SUM(X189,AP189)*10000+SUM(R189,AJ189)*100+SUM(L189,AD189)+0.002&gt;AT189*1000000+SUM(V189,AN189)*10000+SUM(P189,AH189)*100+SUM(J189,AB189)+0.004,1,0)+IF(AW189*1000000+SUM(Y189,AQ189)*10000+SUM(S189,AK189)*100+SUM(M189,AE189)+0.001&gt;AT189*1000000+SUM(V189,AN189)*10000+SUM(P189,AH189)*100+SUM(J189,AB189)+0.004,1,0)=1,"A",IF(IF(AR189*1000000+SUM(T189,AL189)*10000+SUM(N189,AF189)*100+SUM(H189,Z189)+0.006&gt;AU189*1000000+SUM(W189,AO189)*10000+SUM(Q189,AI189)*100+SUM(K189,AC189)+0.003,1,0)+IF(AS189*1000000+SUM(U189,AM189)*10000+SUM(O189,AG189)*100+SUM(I189,AA189)+0.005&gt;AU189*1000000+SUM(W189,AO189)*10000+SUM(Q189,AI189)*100+SUM(K189,AC189)+0.003,1,0)+IF(AT189*1000000+SUM(V189,AN189)*10000+SUM(P189,AH189)*100+SUM(J189,AB189)+0.004&gt;AU189*1000000+SUM(W189,AO189)*10000+SUM(Q189,AI189)*100+SUM(K189,AC189)+0.003,1,0)+IF(AV189*1000000+SUM(X189,AP189)*10000+SUM(R189,AJ189)*100+SUM(L189,AD189)+0.002&gt;AU189*1000000+SUM(W189,AO189)*10000+SUM(Q189,AI189)*100+SUM(K189,AC189)+0.003,1,0)+IF(AW189*1000000+SUM(Y189,AQ189)*10000+SUM(S189,AK189)*100+SUM(M189,AE189)+0.001&gt;AU189*1000000+SUM(W189,AO189)*10000+SUM(Q189,AI189)*100+SUM(K189,AC189)+0.003,1,0)=1,"S",IF(IF(AR189*1000000+SUM(T189,AL189)*10000+SUM(N189,AF189)*100+SUM(H189,Z189)+0.006&gt;AV189*1000000+SUM(X189,AP189)*10000+SUM(R189,AJ189)*100+SUM(L189,AD189)+0.002,1,0)+IF(AS189*1000000+SUM(U189,AM189)*10000+SUM(O189,AG189)*100+SUM(I189,AA189)+0.005&gt;AV189*1000000+SUM(X189,AP189)*10000+SUM(R189,AJ189)*100+SUM(L189,AD189)+0.002,1,0)+IF(AT189*1000000+SUM(V189,AN189)*10000+SUM(P189,AH189)*100+SUM(J189,AB189)+0.004&gt;AV189*1000000+SUM(X189,AP189)*10000+SUM(R189,AJ189)*100+SUM(L189,AD189)+0.002,1,0)+IF(AU189*1000000+SUM(W189,AO189)*10000+SUM(Q189,AI189)*100+SUM(K189,AC189)+0.003&gt;AV189*1000000+SUM(X189,AP189)*10000+SUM(R189,AJ189)*100+SUM(L189,AD189)+0.002,1,0)+IF(AW189*1000000+SUM(Y189,AQ189)*10000+SUM(S189,AK189)*100+SUM(M189,AE189)+0.001&gt;AV189*1000000+SUM(X189,AP189)*10000+SUM(R189,AJ189)*100+SUM(L189,AD189)+0.002,1,0)=1,"E",IF(IF(AR189*1000000+SUM(T189,AL189)*10000+SUM(N189,AF189)*100+SUM(H189,Z189)+0.006&gt;AW189*1000000+SUM(Y189,AQ189)*10000+SUM(S189,AK189)*100+SUM(M189,AE189)+0.001,1,0)+IF(AS189*1000000+SUM(U189,AM189)*10000+SUM(O189,AG189)*100+SUM(I189,AA189)+0.005&gt;AW189*1000000+SUM(Y189,AQ189)*10000+SUM(S189,AK189)*100+SUM(M189,AE189)+0.001,1,0)+IF(AT189*1000000+SUM(V189,AN189)*10000+SUM(P189,AH189)*100+SUM(J189,AB189)+0.004&gt;AW189*1000000+SUM(Y189,AQ189)*10000+SUM(S189,AK189)*100+SUM(M189,AE189)+0.001,1,0)+IF(AU189*1000000+SUM(W189,AO189)*10000+SUM(Q189,AI189)*100+SUM(K189,AC189)+0.003&gt;AW189*1000000+SUM(Y189,AQ189)*10000+SUM(S189,AK189)*100+SUM(M189,AE189)+0.001,1,0)+IF(AV189*1000000+SUM(X189,AP189)*10000+SUM(R189,AJ189)*100+SUM(L189,AD189)+0.002&gt;AW189*1000000+SUM(Y189,AQ189)*10000+SUM(S189,AK189)*100+SUM(M189,AE189)+0.001,1,0)=1,"C",""))))))&amp;IF(IF(AS189*1000000+SUM(U189,AM189)*10000+SUM(O189,AG189)*100+SUM(I189,AA189)+0.005&gt;AR189*1000000+SUM(T189,AL189)*10000+SUM(N189,AF189)*100+SUM(H189,Z189)+0.006,1,0)+IF(AT189*1000000+SUM(V189,AN189)*10000+SUM(P189,AH189)*100+SUM(J189,AB189)+0.004&gt;AR189*1000000+SUM(T189,AL189)*10000+SUM(N189,AF189)*100+SUM(H189,Z189)+0.006,1,0)+IF(AU189*1000000+SUM(W189,AO189)*10000+SUM(Q189,AI189)*100+SUM(K189,AC189)+0.003&gt;AR189*1000000+SUM(T189,AL189)*10000+SUM(N189,AF189)*100+SUM(H189,Z189)+0.006,1,0)+IF(AV189*1000000+SUM(X189,AP189)*10000+SUM(R189,AJ189)*100+SUM(L189,AD189)+0.002&gt;AR189*1000000+SUM(T189,AL189)*10000+SUM(N189,AF189)*100+SUM(H189,Z189)+0.006,1,0)+IF(AW189*1000000+SUM(Y189,AQ189)*10000+SUM(S189,AK189)*100+SUM(M189,AE189)+0.001&gt;AR189*1000000+SUM(T189,AL189)*10000+SUM(N189,AF189)*100+SUM(H189,Z189)+0.006,1,0)=2,"R",IF(IF(AR189*1000000+SUM(T189,AL189)*10000+SUM(N189,AF189)*100+SUM(H189,Z189)+0.006&gt;AS189*1000000+SUM(U189,AM189)*10000+SUM(O189,AG189)*100+SUM(I189,AA189)+0.005,1,0)+IF(AT189*1000000+SUM(V189,AN189)*10000+SUM(P189,AH189)*100+SUM(J189,AB189)+0.004&gt;AS189*1000000+SUM(U189,AM189)*10000+SUM(O189,AG189)*100+SUM(I189,AA189)+0.005,1,0)+IF(AU189*1000000+SUM(W189,AO189)*10000+SUM(Q189,AI189)*100+SUM(K189,AC189)+0.003&gt;AS189*1000000+SUM(U189,AM189)*10000+SUM(O189,AG189)*100+SUM(I189,AA189)+0.005,1,0)+IF(AV189*1000000+SUM(X189,AP189)*10000+SUM(R189,AJ189)*100+SUM(L189,AD189)+0.002&gt;AS189*1000000+SUM(U189,AM189)*10000+SUM(O189,AG189)*100+SUM(I189,AA189)+0.005,1,0)+IF(AW189*1000000+SUM(Y189,AQ189)*10000+SUM(S189,AK189)*100+SUM(M189,AE189)+0.001&gt;AS189*1000000+SUM(U189,AM189)*10000+SUM(O189,AG189)*100+SUM(I189,AA189)+0.005,1,0)=2,"I",IF(IF(AR189*1000000+SUM(T189,AL189)*10000+SUM(N189,AF189)*100+SUM(H189,Z189)+0.006&gt;AT189*1000000+SUM(V189,AN189)*10000+SUM(P189,AH189)*100+SUM(J189,AB189)+0.004,1,0)+IF(AS189*1000000+SUM(U189,AM189)*10000+SUM(O189,AG189)*100+SUM(I189,AA189)+0.005&gt;AT189*1000000+SUM(V189,AN189)*10000+SUM(P189,AH189)*100+SUM(J189,AB189)+0.004,1,0)+IF(AU189*1000000+SUM(W189,AO189)*10000+SUM(Q189,AI189)*100+SUM(K189,AC189)+0.003&gt;AT189*1000000+SUM(V189,AN189)*10000+SUM(P189,AH189)*100+SUM(J189,AB189)+0.004,1,0)+IF(AV189*1000000+SUM(X189,AP189)*10000+SUM(R189,AJ189)*100+SUM(L189,AD189)+0.002&gt;AT189*1000000+SUM(V189,AN189)*10000+SUM(P189,AH189)*100+SUM(J189,AB189)+0.004,1,0)+IF(AW189*1000000+SUM(Y189,AQ189)*10000+SUM(S189,AK189)*100+SUM(M189,AE189)+0.001&gt;AT189*1000000+SUM(V189,AN189)*10000+SUM(P189,AH189)*100+SUM(J189,AB189)+0.004,1,0)=2,"A",IF(IF(AR189*1000000+SUM(T189,AL189)*10000+SUM(N189,AF189)*100+SUM(H189,Z189)+0.006&gt;AU189*1000000+SUM(W189,AO189)*10000+SUM(Q189,AI189)*100+SUM(K189,AC189)+0.003,1,0)+IF(AS189*1000000+SUM(U189,AM189)*10000+SUM(O189,AG189)*100+SUM(I189,AA189)+0.005&gt;AU189*1000000+SUM(W189,AO189)*10000+SUM(Q189,AI189)*100+SUM(K189,AC189)+0.003,1,0)+IF(AT189*1000000+SUM(V189,AN189)*10000+SUM(P189,AH189)*100+SUM(J189,AB189)+0.004&gt;AU189*1000000+SUM(W189,AO189)*10000+SUM(Q189,AI189)*100+SUM(K189,AC189)+0.003,1,0)+IF(AV189*1000000+SUM(X189,AP189)*10000+SUM(R189,AJ189)*100+SUM(L189,AD189)+0.002&gt;AU189*1000000+SUM(W189,AO189)*10000+SUM(Q189,AI189)*100+SUM(K189,AC189)+0.003,1,0)+IF(AW189*1000000+SUM(Y189,AQ189)*10000+SUM(S189,AK189)*100+SUM(M189,AE189)+0.001&gt;AU189*1000000+SUM(W189,AO189)*10000+SUM(Q189,AI189)*100+SUM(K189,AC189)+0.003,1,0)=2,"S",IF(IF(AR189*1000000+SUM(T189,AL189)*10000+SUM(N189,AF189)*100+SUM(H189,Z189)+0.006&gt;AV189*1000000+SUM(X189,AP189)*10000+SUM(R189,AJ189)*100+SUM(L189,AD189)+0.002,1,0)+IF(AS189*1000000+SUM(U189,AM189)*10000+SUM(O189,AG189)*100+SUM(I189,AA189)+0.005&gt;AV189*1000000+SUM(X189,AP189)*10000+SUM(R189,AJ189)*100+SUM(L189,AD189)+0.002,1,0)+IF(AT189*1000000+SUM(V189,AN189)*10000+SUM(P189,AH189)*100+SUM(J189,AB189)+0.004&gt;AV189*1000000+SUM(X189,AP189)*10000+SUM(R189,AJ189)*100+SUM(L189,AD189)+0.002,1,0)+IF(AU189*1000000+SUM(W189,AO189)*10000+SUM(Q189,AI189)*100+SUM(K189,AC189)+0.003&gt;AV189*1000000+SUM(X189,AP189)*10000+SUM(R189,AJ189)*100+SUM(L189,AD189)+0.002,1,0)+IF(AW189*1000000+SUM(Y189,AQ189)*10000+SUM(S189,AK189)*100+SUM(M189,AE189)+0.001&gt;AV189*1000000+SUM(X189,AP189)*10000+SUM(R189,AJ189)*100+SUM(L189,AD189)+0.002,1,0)=2,"E",IF(IF(AR189*1000000+SUM(T189,AL189)*10000+SUM(N189,AF189)*100+SUM(H189,Z189)+0.006&gt;AW189*1000000+SUM(Y189,AQ189)*10000+SUM(S189,AK189)*100+SUM(M189,AE189)+0.001,1,0)+IF(AS189*1000000+SUM(U189,AM189)*10000+SUM(O189,AG189)*100+SUM(I189,AA189)+0.005&gt;AW189*1000000+SUM(Y189,AQ189)*10000+SUM(S189,AK189)*100+SUM(M189,AE189)+0.001,1,0)+IF(AT189*1000000+SUM(V189,AN189)*10000+SUM(P189,AH189)*100+SUM(J189,AB189)+0.004&gt;AW189*1000000+SUM(Y189,AQ189)*10000+SUM(S189,AK189)*100+SUM(M189,AE189)+0.001,1,0)+IF(AU189*1000000+SUM(W189,AO189)*10000+SUM(Q189,AI189)*100+SUM(K189,AC189)+0.003&gt;AW189*1000000+SUM(Y189,AQ189)*10000+SUM(S189,AK189)*100+SUM(M189,AE189)+0.001,1,0)+IF(AV189*1000000+SUM(X189,AP189)*10000+SUM(R189,AJ189)*100+SUM(L189,AD189)+0.002&gt;AW189*1000000+SUM(Y189,AQ189)*10000+SUM(S189,AK189)*100+SUM(M189,AE189)+0.001,1,0)=2,"C","")))))))</x:f>
      </x:c>
      <x:c r="AY189" s="27" t="str">
        <x:f>IF(C189="","",IF(LEFT(AX189,1)="R","นักปฏิบัติ",IF(LEFT(AX189,1)="I","นักคิดวิเคราะห์",IF(LEFT(AX189,1)="A","นักสร้างสรรค์",IF(LEFT(AX189,1)="S","ผู้เข้าใจผู้คน",IF(LEFT(AX189,1)="E","ผู้นำการเปลี่ยนแปลง","ผู้จัดระบบ"))))))</x:f>
      </x:c>
    </x:row>
    <x:row r="190">
      <x:c r="A190" s="27"/>
      <x:c r="B190" s="28"/>
      <x:c r="C190" s="27"/>
      <x:c r="D190" s="27"/>
      <x:c r="E190" s="27"/>
      <x:c r="F190" s="27"/>
      <x:c r="G190" s="27"/>
      <x:c r="H190" s="27"/>
      <x:c r="I190" s="27"/>
      <x:c r="J190" s="27"/>
      <x:c r="K190" s="27"/>
      <x:c r="L190" s="27"/>
      <x:c r="M190" s="27"/>
      <x:c r="N190" s="27"/>
      <x:c r="O190" s="27"/>
      <x:c r="P190" s="27"/>
      <x:c r="Q190" s="27"/>
      <x:c r="R190" s="27"/>
      <x:c r="S190" s="27"/>
      <x:c r="T190" s="27"/>
      <x:c r="U190" s="27"/>
      <x:c r="V190" s="27"/>
      <x:c r="W190" s="27"/>
      <x:c r="X190" s="27"/>
      <x:c r="Y190" s="27"/>
      <x:c r="Z190" s="27"/>
      <x:c r="AA190" s="27"/>
      <x:c r="AB190" s="27"/>
      <x:c r="AC190" s="27"/>
      <x:c r="AD190" s="27"/>
      <x:c r="AE190" s="27"/>
      <x:c r="AF190" s="27"/>
      <x:c r="AG190" s="27"/>
      <x:c r="AH190" s="27"/>
      <x:c r="AI190" s="27"/>
      <x:c r="AJ190" s="27"/>
      <x:c r="AK190" s="27"/>
      <x:c r="AL190" s="27"/>
      <x:c r="AM190" s="27"/>
      <x:c r="AN190" s="27"/>
      <x:c r="AO190" s="27"/>
      <x:c r="AP190" s="27"/>
      <x:c r="AQ190" s="27"/>
      <x:c r="AR190" s="27" t="str">
        <x:f>IF(C190="","",SUM(H190,N190,T190,Z190,AF190,AL190))</x:f>
      </x:c>
      <x:c r="AS190" s="27" t="str">
        <x:f>IF(C190="","",SUM(I190,O190,U190,AA190,AG190,AM190))</x:f>
      </x:c>
      <x:c r="AT190" s="27" t="str">
        <x:f>IF(C190="","",SUM(J190,P190,V190,AB190,AH190,AN190))</x:f>
      </x:c>
      <x:c r="AU190" s="27" t="str">
        <x:f>IF(C190="","",SUM(K190,Q190,W190,AC190,AI190,AO190))</x:f>
      </x:c>
      <x:c r="AV190" s="27" t="str">
        <x:f>IF(C190="","",SUM(L190,R190,X190,AD190,AJ190,AP190))</x:f>
      </x:c>
      <x:c r="AW190" s="27" t="str">
        <x:f>IF(C190="","",SUM(M190,S190,Y190,AE190,AK190,AQ190))</x:f>
      </x:c>
      <x:c r="AX190" s="27" t="str">
        <x:f>IF(C190="","",IF(IF(AS190*1000000+SUM(U190,AM190)*10000+SUM(O190,AG190)*100+SUM(I190,AA190)+0.005&gt;AR190*1000000+SUM(T190,AL190)*10000+SUM(N190,AF190)*100+SUM(H190,Z190)+0.006,1,0)+IF(AT190*1000000+SUM(V190,AN190)*10000+SUM(P190,AH190)*100+SUM(J190,AB190)+0.004&gt;AR190*1000000+SUM(T190,AL190)*10000+SUM(N190,AF190)*100+SUM(H190,Z190)+0.006,1,0)+IF(AU190*1000000+SUM(W190,AO190)*10000+SUM(Q190,AI190)*100+SUM(K190,AC190)+0.003&gt;AR190*1000000+SUM(T190,AL190)*10000+SUM(N190,AF190)*100+SUM(H190,Z190)+0.006,1,0)+IF(AV190*1000000+SUM(X190,AP190)*10000+SUM(R190,AJ190)*100+SUM(L190,AD190)+0.002&gt;AR190*1000000+SUM(T190,AL190)*10000+SUM(N190,AF190)*100+SUM(H190,Z190)+0.006,1,0)+IF(AW190*1000000+SUM(Y190,AQ190)*10000+SUM(S190,AK190)*100+SUM(M190,AE190)+0.001&gt;AR190*1000000+SUM(T190,AL190)*10000+SUM(N190,AF190)*100+SUM(H190,Z190)+0.006,1,0)=0,"R",IF(IF(AR190*1000000+SUM(T190,AL190)*10000+SUM(N190,AF190)*100+SUM(H190,Z190)+0.006&gt;AS190*1000000+SUM(U190,AM190)*10000+SUM(O190,AG190)*100+SUM(I190,AA190)+0.005,1,0)+IF(AT190*1000000+SUM(V190,AN190)*10000+SUM(P190,AH190)*100+SUM(J190,AB190)+0.004&gt;AS190*1000000+SUM(U190,AM190)*10000+SUM(O190,AG190)*100+SUM(I190,AA190)+0.005,1,0)+IF(AU190*1000000+SUM(W190,AO190)*10000+SUM(Q190,AI190)*100+SUM(K190,AC190)+0.003&gt;AS190*1000000+SUM(U190,AM190)*10000+SUM(O190,AG190)*100+SUM(I190,AA190)+0.005,1,0)+IF(AV190*1000000+SUM(X190,AP190)*10000+SUM(R190,AJ190)*100+SUM(L190,AD190)+0.002&gt;AS190*1000000+SUM(U190,AM190)*10000+SUM(O190,AG190)*100+SUM(I190,AA190)+0.005,1,0)+IF(AW190*1000000+SUM(Y190,AQ190)*10000+SUM(S190,AK190)*100+SUM(M190,AE190)+0.001&gt;AS190*1000000+SUM(U190,AM190)*10000+SUM(O190,AG190)*100+SUM(I190,AA190)+0.005,1,0)=0,"I",IF(IF(AR190*1000000+SUM(T190,AL190)*10000+SUM(N190,AF190)*100+SUM(H190,Z190)+0.006&gt;AT190*1000000+SUM(V190,AN190)*10000+SUM(P190,AH190)*100+SUM(J190,AB190)+0.004,1,0)+IF(AS190*1000000+SUM(U190,AM190)*10000+SUM(O190,AG190)*100+SUM(I190,AA190)+0.005&gt;AT190*1000000+SUM(V190,AN190)*10000+SUM(P190,AH190)*100+SUM(J190,AB190)+0.004,1,0)+IF(AU190*1000000+SUM(W190,AO190)*10000+SUM(Q190,AI190)*100+SUM(K190,AC190)+0.003&gt;AT190*1000000+SUM(V190,AN190)*10000+SUM(P190,AH190)*100+SUM(J190,AB190)+0.004,1,0)+IF(AV190*1000000+SUM(X190,AP190)*10000+SUM(R190,AJ190)*100+SUM(L190,AD190)+0.002&gt;AT190*1000000+SUM(V190,AN190)*10000+SUM(P190,AH190)*100+SUM(J190,AB190)+0.004,1,0)+IF(AW190*1000000+SUM(Y190,AQ190)*10000+SUM(S190,AK190)*100+SUM(M190,AE190)+0.001&gt;AT190*1000000+SUM(V190,AN190)*10000+SUM(P190,AH190)*100+SUM(J190,AB190)+0.004,1,0)=0,"A",IF(IF(AR190*1000000+SUM(T190,AL190)*10000+SUM(N190,AF190)*100+SUM(H190,Z190)+0.006&gt;AU190*1000000+SUM(W190,AO190)*10000+SUM(Q190,AI190)*100+SUM(K190,AC190)+0.003,1,0)+IF(AS190*1000000+SUM(U190,AM190)*10000+SUM(O190,AG190)*100+SUM(I190,AA190)+0.005&gt;AU190*1000000+SUM(W190,AO190)*10000+SUM(Q190,AI190)*100+SUM(K190,AC190)+0.003,1,0)+IF(AT190*1000000+SUM(V190,AN190)*10000+SUM(P190,AH190)*100+SUM(J190,AB190)+0.004&gt;AU190*1000000+SUM(W190,AO190)*10000+SUM(Q190,AI190)*100+SUM(K190,AC190)+0.003,1,0)+IF(AV190*1000000+SUM(X190,AP190)*10000+SUM(R190,AJ190)*100+SUM(L190,AD190)+0.002&gt;AU190*1000000+SUM(W190,AO190)*10000+SUM(Q190,AI190)*100+SUM(K190,AC190)+0.003,1,0)+IF(AW190*1000000+SUM(Y190,AQ190)*10000+SUM(S190,AK190)*100+SUM(M190,AE190)+0.001&gt;AU190*1000000+SUM(W190,AO190)*10000+SUM(Q190,AI190)*100+SUM(K190,AC190)+0.003,1,0)=0,"S",IF(IF(AR190*1000000+SUM(T190,AL190)*10000+SUM(N190,AF190)*100+SUM(H190,Z190)+0.006&gt;AV190*1000000+SUM(X190,AP190)*10000+SUM(R190,AJ190)*100+SUM(L190,AD190)+0.002,1,0)+IF(AS190*1000000+SUM(U190,AM190)*10000+SUM(O190,AG190)*100+SUM(I190,AA190)+0.005&gt;AV190*1000000+SUM(X190,AP190)*10000+SUM(R190,AJ190)*100+SUM(L190,AD190)+0.002,1,0)+IF(AT190*1000000+SUM(V190,AN190)*10000+SUM(P190,AH190)*100+SUM(J190,AB190)+0.004&gt;AV190*1000000+SUM(X190,AP190)*10000+SUM(R190,AJ190)*100+SUM(L190,AD190)+0.002,1,0)+IF(AU190*1000000+SUM(W190,AO190)*10000+SUM(Q190,AI190)*100+SUM(K190,AC190)+0.003&gt;AV190*1000000+SUM(X190,AP190)*10000+SUM(R190,AJ190)*100+SUM(L190,AD190)+0.002,1,0)+IF(AW190*1000000+SUM(Y190,AQ190)*10000+SUM(S190,AK190)*100+SUM(M190,AE190)+0.001&gt;AV190*1000000+SUM(X190,AP190)*10000+SUM(R190,AJ190)*100+SUM(L190,AD190)+0.002,1,0)=0,"E",IF(IF(AR190*1000000+SUM(T190,AL190)*10000+SUM(N190,AF190)*100+SUM(H190,Z190)+0.006&gt;AW190*1000000+SUM(Y190,AQ190)*10000+SUM(S190,AK190)*100+SUM(M190,AE190)+0.001,1,0)+IF(AS190*1000000+SUM(U190,AM190)*10000+SUM(O190,AG190)*100+SUM(I190,AA190)+0.005&gt;AW190*1000000+SUM(Y190,AQ190)*10000+SUM(S190,AK190)*100+SUM(M190,AE190)+0.001,1,0)+IF(AT190*1000000+SUM(V190,AN190)*10000+SUM(P190,AH190)*100+SUM(J190,AB190)+0.004&gt;AW190*1000000+SUM(Y190,AQ190)*10000+SUM(S190,AK190)*100+SUM(M190,AE190)+0.001,1,0)+IF(AU190*1000000+SUM(W190,AO190)*10000+SUM(Q190,AI190)*100+SUM(K190,AC190)+0.003&gt;AW190*1000000+SUM(Y190,AQ190)*10000+SUM(S190,AK190)*100+SUM(M190,AE190)+0.001,1,0)+IF(AV190*1000000+SUM(X190,AP190)*10000+SUM(R190,AJ190)*100+SUM(L190,AD190)+0.002&gt;AW190*1000000+SUM(Y190,AQ190)*10000+SUM(S190,AK190)*100+SUM(M190,AE190)+0.001,1,0)=0,"C",""))))))&amp;IF(IF(AS190*1000000+SUM(U190,AM190)*10000+SUM(O190,AG190)*100+SUM(I190,AA190)+0.005&gt;AR190*1000000+SUM(T190,AL190)*10000+SUM(N190,AF190)*100+SUM(H190,Z190)+0.006,1,0)+IF(AT190*1000000+SUM(V190,AN190)*10000+SUM(P190,AH190)*100+SUM(J190,AB190)+0.004&gt;AR190*1000000+SUM(T190,AL190)*10000+SUM(N190,AF190)*100+SUM(H190,Z190)+0.006,1,0)+IF(AU190*1000000+SUM(W190,AO190)*10000+SUM(Q190,AI190)*100+SUM(K190,AC190)+0.003&gt;AR190*1000000+SUM(T190,AL190)*10000+SUM(N190,AF190)*100+SUM(H190,Z190)+0.006,1,0)+IF(AV190*1000000+SUM(X190,AP190)*10000+SUM(R190,AJ190)*100+SUM(L190,AD190)+0.002&gt;AR190*1000000+SUM(T190,AL190)*10000+SUM(N190,AF190)*100+SUM(H190,Z190)+0.006,1,0)+IF(AW190*1000000+SUM(Y190,AQ190)*10000+SUM(S190,AK190)*100+SUM(M190,AE190)+0.001&gt;AR190*1000000+SUM(T190,AL190)*10000+SUM(N190,AF190)*100+SUM(H190,Z190)+0.006,1,0)=1,"R",IF(IF(AR190*1000000+SUM(T190,AL190)*10000+SUM(N190,AF190)*100+SUM(H190,Z190)+0.006&gt;AS190*1000000+SUM(U190,AM190)*10000+SUM(O190,AG190)*100+SUM(I190,AA190)+0.005,1,0)+IF(AT190*1000000+SUM(V190,AN190)*10000+SUM(P190,AH190)*100+SUM(J190,AB190)+0.004&gt;AS190*1000000+SUM(U190,AM190)*10000+SUM(O190,AG190)*100+SUM(I190,AA190)+0.005,1,0)+IF(AU190*1000000+SUM(W190,AO190)*10000+SUM(Q190,AI190)*100+SUM(K190,AC190)+0.003&gt;AS190*1000000+SUM(U190,AM190)*10000+SUM(O190,AG190)*100+SUM(I190,AA190)+0.005,1,0)+IF(AV190*1000000+SUM(X190,AP190)*10000+SUM(R190,AJ190)*100+SUM(L190,AD190)+0.002&gt;AS190*1000000+SUM(U190,AM190)*10000+SUM(O190,AG190)*100+SUM(I190,AA190)+0.005,1,0)+IF(AW190*1000000+SUM(Y190,AQ190)*10000+SUM(S190,AK190)*100+SUM(M190,AE190)+0.001&gt;AS190*1000000+SUM(U190,AM190)*10000+SUM(O190,AG190)*100+SUM(I190,AA190)+0.005,1,0)=1,"I",IF(IF(AR190*1000000+SUM(T190,AL190)*10000+SUM(N190,AF190)*100+SUM(H190,Z190)+0.006&gt;AT190*1000000+SUM(V190,AN190)*10000+SUM(P190,AH190)*100+SUM(J190,AB190)+0.004,1,0)+IF(AS190*1000000+SUM(U190,AM190)*10000+SUM(O190,AG190)*100+SUM(I190,AA190)+0.005&gt;AT190*1000000+SUM(V190,AN190)*10000+SUM(P190,AH190)*100+SUM(J190,AB190)+0.004,1,0)+IF(AU190*1000000+SUM(W190,AO190)*10000+SUM(Q190,AI190)*100+SUM(K190,AC190)+0.003&gt;AT190*1000000+SUM(V190,AN190)*10000+SUM(P190,AH190)*100+SUM(J190,AB190)+0.004,1,0)+IF(AV190*1000000+SUM(X190,AP190)*10000+SUM(R190,AJ190)*100+SUM(L190,AD190)+0.002&gt;AT190*1000000+SUM(V190,AN190)*10000+SUM(P190,AH190)*100+SUM(J190,AB190)+0.004,1,0)+IF(AW190*1000000+SUM(Y190,AQ190)*10000+SUM(S190,AK190)*100+SUM(M190,AE190)+0.001&gt;AT190*1000000+SUM(V190,AN190)*10000+SUM(P190,AH190)*100+SUM(J190,AB190)+0.004,1,0)=1,"A",IF(IF(AR190*1000000+SUM(T190,AL190)*10000+SUM(N190,AF190)*100+SUM(H190,Z190)+0.006&gt;AU190*1000000+SUM(W190,AO190)*10000+SUM(Q190,AI190)*100+SUM(K190,AC190)+0.003,1,0)+IF(AS190*1000000+SUM(U190,AM190)*10000+SUM(O190,AG190)*100+SUM(I190,AA190)+0.005&gt;AU190*1000000+SUM(W190,AO190)*10000+SUM(Q190,AI190)*100+SUM(K190,AC190)+0.003,1,0)+IF(AT190*1000000+SUM(V190,AN190)*10000+SUM(P190,AH190)*100+SUM(J190,AB190)+0.004&gt;AU190*1000000+SUM(W190,AO190)*10000+SUM(Q190,AI190)*100+SUM(K190,AC190)+0.003,1,0)+IF(AV190*1000000+SUM(X190,AP190)*10000+SUM(R190,AJ190)*100+SUM(L190,AD190)+0.002&gt;AU190*1000000+SUM(W190,AO190)*10000+SUM(Q190,AI190)*100+SUM(K190,AC190)+0.003,1,0)+IF(AW190*1000000+SUM(Y190,AQ190)*10000+SUM(S190,AK190)*100+SUM(M190,AE190)+0.001&gt;AU190*1000000+SUM(W190,AO190)*10000+SUM(Q190,AI190)*100+SUM(K190,AC190)+0.003,1,0)=1,"S",IF(IF(AR190*1000000+SUM(T190,AL190)*10000+SUM(N190,AF190)*100+SUM(H190,Z190)+0.006&gt;AV190*1000000+SUM(X190,AP190)*10000+SUM(R190,AJ190)*100+SUM(L190,AD190)+0.002,1,0)+IF(AS190*1000000+SUM(U190,AM190)*10000+SUM(O190,AG190)*100+SUM(I190,AA190)+0.005&gt;AV190*1000000+SUM(X190,AP190)*10000+SUM(R190,AJ190)*100+SUM(L190,AD190)+0.002,1,0)+IF(AT190*1000000+SUM(V190,AN190)*10000+SUM(P190,AH190)*100+SUM(J190,AB190)+0.004&gt;AV190*1000000+SUM(X190,AP190)*10000+SUM(R190,AJ190)*100+SUM(L190,AD190)+0.002,1,0)+IF(AU190*1000000+SUM(W190,AO190)*10000+SUM(Q190,AI190)*100+SUM(K190,AC190)+0.003&gt;AV190*1000000+SUM(X190,AP190)*10000+SUM(R190,AJ190)*100+SUM(L190,AD190)+0.002,1,0)+IF(AW190*1000000+SUM(Y190,AQ190)*10000+SUM(S190,AK190)*100+SUM(M190,AE190)+0.001&gt;AV190*1000000+SUM(X190,AP190)*10000+SUM(R190,AJ190)*100+SUM(L190,AD190)+0.002,1,0)=1,"E",IF(IF(AR190*1000000+SUM(T190,AL190)*10000+SUM(N190,AF190)*100+SUM(H190,Z190)+0.006&gt;AW190*1000000+SUM(Y190,AQ190)*10000+SUM(S190,AK190)*100+SUM(M190,AE190)+0.001,1,0)+IF(AS190*1000000+SUM(U190,AM190)*10000+SUM(O190,AG190)*100+SUM(I190,AA190)+0.005&gt;AW190*1000000+SUM(Y190,AQ190)*10000+SUM(S190,AK190)*100+SUM(M190,AE190)+0.001,1,0)+IF(AT190*1000000+SUM(V190,AN190)*10000+SUM(P190,AH190)*100+SUM(J190,AB190)+0.004&gt;AW190*1000000+SUM(Y190,AQ190)*10000+SUM(S190,AK190)*100+SUM(M190,AE190)+0.001,1,0)+IF(AU190*1000000+SUM(W190,AO190)*10000+SUM(Q190,AI190)*100+SUM(K190,AC190)+0.003&gt;AW190*1000000+SUM(Y190,AQ190)*10000+SUM(S190,AK190)*100+SUM(M190,AE190)+0.001,1,0)+IF(AV190*1000000+SUM(X190,AP190)*10000+SUM(R190,AJ190)*100+SUM(L190,AD190)+0.002&gt;AW190*1000000+SUM(Y190,AQ190)*10000+SUM(S190,AK190)*100+SUM(M190,AE190)+0.001,1,0)=1,"C",""))))))&amp;IF(IF(AS190*1000000+SUM(U190,AM190)*10000+SUM(O190,AG190)*100+SUM(I190,AA190)+0.005&gt;AR190*1000000+SUM(T190,AL190)*10000+SUM(N190,AF190)*100+SUM(H190,Z190)+0.006,1,0)+IF(AT190*1000000+SUM(V190,AN190)*10000+SUM(P190,AH190)*100+SUM(J190,AB190)+0.004&gt;AR190*1000000+SUM(T190,AL190)*10000+SUM(N190,AF190)*100+SUM(H190,Z190)+0.006,1,0)+IF(AU190*1000000+SUM(W190,AO190)*10000+SUM(Q190,AI190)*100+SUM(K190,AC190)+0.003&gt;AR190*1000000+SUM(T190,AL190)*10000+SUM(N190,AF190)*100+SUM(H190,Z190)+0.006,1,0)+IF(AV190*1000000+SUM(X190,AP190)*10000+SUM(R190,AJ190)*100+SUM(L190,AD190)+0.002&gt;AR190*1000000+SUM(T190,AL190)*10000+SUM(N190,AF190)*100+SUM(H190,Z190)+0.006,1,0)+IF(AW190*1000000+SUM(Y190,AQ190)*10000+SUM(S190,AK190)*100+SUM(M190,AE190)+0.001&gt;AR190*1000000+SUM(T190,AL190)*10000+SUM(N190,AF190)*100+SUM(H190,Z190)+0.006,1,0)=2,"R",IF(IF(AR190*1000000+SUM(T190,AL190)*10000+SUM(N190,AF190)*100+SUM(H190,Z190)+0.006&gt;AS190*1000000+SUM(U190,AM190)*10000+SUM(O190,AG190)*100+SUM(I190,AA190)+0.005,1,0)+IF(AT190*1000000+SUM(V190,AN190)*10000+SUM(P190,AH190)*100+SUM(J190,AB190)+0.004&gt;AS190*1000000+SUM(U190,AM190)*10000+SUM(O190,AG190)*100+SUM(I190,AA190)+0.005,1,0)+IF(AU190*1000000+SUM(W190,AO190)*10000+SUM(Q190,AI190)*100+SUM(K190,AC190)+0.003&gt;AS190*1000000+SUM(U190,AM190)*10000+SUM(O190,AG190)*100+SUM(I190,AA190)+0.005,1,0)+IF(AV190*1000000+SUM(X190,AP190)*10000+SUM(R190,AJ190)*100+SUM(L190,AD190)+0.002&gt;AS190*1000000+SUM(U190,AM190)*10000+SUM(O190,AG190)*100+SUM(I190,AA190)+0.005,1,0)+IF(AW190*1000000+SUM(Y190,AQ190)*10000+SUM(S190,AK190)*100+SUM(M190,AE190)+0.001&gt;AS190*1000000+SUM(U190,AM190)*10000+SUM(O190,AG190)*100+SUM(I190,AA190)+0.005,1,0)=2,"I",IF(IF(AR190*1000000+SUM(T190,AL190)*10000+SUM(N190,AF190)*100+SUM(H190,Z190)+0.006&gt;AT190*1000000+SUM(V190,AN190)*10000+SUM(P190,AH190)*100+SUM(J190,AB190)+0.004,1,0)+IF(AS190*1000000+SUM(U190,AM190)*10000+SUM(O190,AG190)*100+SUM(I190,AA190)+0.005&gt;AT190*1000000+SUM(V190,AN190)*10000+SUM(P190,AH190)*100+SUM(J190,AB190)+0.004,1,0)+IF(AU190*1000000+SUM(W190,AO190)*10000+SUM(Q190,AI190)*100+SUM(K190,AC190)+0.003&gt;AT190*1000000+SUM(V190,AN190)*10000+SUM(P190,AH190)*100+SUM(J190,AB190)+0.004,1,0)+IF(AV190*1000000+SUM(X190,AP190)*10000+SUM(R190,AJ190)*100+SUM(L190,AD190)+0.002&gt;AT190*1000000+SUM(V190,AN190)*10000+SUM(P190,AH190)*100+SUM(J190,AB190)+0.004,1,0)+IF(AW190*1000000+SUM(Y190,AQ190)*10000+SUM(S190,AK190)*100+SUM(M190,AE190)+0.001&gt;AT190*1000000+SUM(V190,AN190)*10000+SUM(P190,AH190)*100+SUM(J190,AB190)+0.004,1,0)=2,"A",IF(IF(AR190*1000000+SUM(T190,AL190)*10000+SUM(N190,AF190)*100+SUM(H190,Z190)+0.006&gt;AU190*1000000+SUM(W190,AO190)*10000+SUM(Q190,AI190)*100+SUM(K190,AC190)+0.003,1,0)+IF(AS190*1000000+SUM(U190,AM190)*10000+SUM(O190,AG190)*100+SUM(I190,AA190)+0.005&gt;AU190*1000000+SUM(W190,AO190)*10000+SUM(Q190,AI190)*100+SUM(K190,AC190)+0.003,1,0)+IF(AT190*1000000+SUM(V190,AN190)*10000+SUM(P190,AH190)*100+SUM(J190,AB190)+0.004&gt;AU190*1000000+SUM(W190,AO190)*10000+SUM(Q190,AI190)*100+SUM(K190,AC190)+0.003,1,0)+IF(AV190*1000000+SUM(X190,AP190)*10000+SUM(R190,AJ190)*100+SUM(L190,AD190)+0.002&gt;AU190*1000000+SUM(W190,AO190)*10000+SUM(Q190,AI190)*100+SUM(K190,AC190)+0.003,1,0)+IF(AW190*1000000+SUM(Y190,AQ190)*10000+SUM(S190,AK190)*100+SUM(M190,AE190)+0.001&gt;AU190*1000000+SUM(W190,AO190)*10000+SUM(Q190,AI190)*100+SUM(K190,AC190)+0.003,1,0)=2,"S",IF(IF(AR190*1000000+SUM(T190,AL190)*10000+SUM(N190,AF190)*100+SUM(H190,Z190)+0.006&gt;AV190*1000000+SUM(X190,AP190)*10000+SUM(R190,AJ190)*100+SUM(L190,AD190)+0.002,1,0)+IF(AS190*1000000+SUM(U190,AM190)*10000+SUM(O190,AG190)*100+SUM(I190,AA190)+0.005&gt;AV190*1000000+SUM(X190,AP190)*10000+SUM(R190,AJ190)*100+SUM(L190,AD190)+0.002,1,0)+IF(AT190*1000000+SUM(V190,AN190)*10000+SUM(P190,AH190)*100+SUM(J190,AB190)+0.004&gt;AV190*1000000+SUM(X190,AP190)*10000+SUM(R190,AJ190)*100+SUM(L190,AD190)+0.002,1,0)+IF(AU190*1000000+SUM(W190,AO190)*10000+SUM(Q190,AI190)*100+SUM(K190,AC190)+0.003&gt;AV190*1000000+SUM(X190,AP190)*10000+SUM(R190,AJ190)*100+SUM(L190,AD190)+0.002,1,0)+IF(AW190*1000000+SUM(Y190,AQ190)*10000+SUM(S190,AK190)*100+SUM(M190,AE190)+0.001&gt;AV190*1000000+SUM(X190,AP190)*10000+SUM(R190,AJ190)*100+SUM(L190,AD190)+0.002,1,0)=2,"E",IF(IF(AR190*1000000+SUM(T190,AL190)*10000+SUM(N190,AF190)*100+SUM(H190,Z190)+0.006&gt;AW190*1000000+SUM(Y190,AQ190)*10000+SUM(S190,AK190)*100+SUM(M190,AE190)+0.001,1,0)+IF(AS190*1000000+SUM(U190,AM190)*10000+SUM(O190,AG190)*100+SUM(I190,AA190)+0.005&gt;AW190*1000000+SUM(Y190,AQ190)*10000+SUM(S190,AK190)*100+SUM(M190,AE190)+0.001,1,0)+IF(AT190*1000000+SUM(V190,AN190)*10000+SUM(P190,AH190)*100+SUM(J190,AB190)+0.004&gt;AW190*1000000+SUM(Y190,AQ190)*10000+SUM(S190,AK190)*100+SUM(M190,AE190)+0.001,1,0)+IF(AU190*1000000+SUM(W190,AO190)*10000+SUM(Q190,AI190)*100+SUM(K190,AC190)+0.003&gt;AW190*1000000+SUM(Y190,AQ190)*10000+SUM(S190,AK190)*100+SUM(M190,AE190)+0.001,1,0)+IF(AV190*1000000+SUM(X190,AP190)*10000+SUM(R190,AJ190)*100+SUM(L190,AD190)+0.002&gt;AW190*1000000+SUM(Y190,AQ190)*10000+SUM(S190,AK190)*100+SUM(M190,AE190)+0.001,1,0)=2,"C","")))))))</x:f>
      </x:c>
      <x:c r="AY190" s="27" t="str">
        <x:f>IF(C190="","",IF(LEFT(AX190,1)="R","นักปฏิบัติ",IF(LEFT(AX190,1)="I","นักคิดวิเคราะห์",IF(LEFT(AX190,1)="A","นักสร้างสรรค์",IF(LEFT(AX190,1)="S","ผู้เข้าใจผู้คน",IF(LEFT(AX190,1)="E","ผู้นำการเปลี่ยนแปลง","ผู้จัดระบบ"))))))</x:f>
      </x:c>
    </x:row>
    <x:row r="191">
      <x:c r="A191" s="27"/>
      <x:c r="B191" s="28"/>
      <x:c r="C191" s="27"/>
      <x:c r="D191" s="27"/>
      <x:c r="E191" s="27"/>
      <x:c r="F191" s="27"/>
      <x:c r="G191" s="27"/>
      <x:c r="H191" s="27"/>
      <x:c r="I191" s="27"/>
      <x:c r="J191" s="27"/>
      <x:c r="K191" s="27"/>
      <x:c r="L191" s="27"/>
      <x:c r="M191" s="27"/>
      <x:c r="N191" s="27"/>
      <x:c r="O191" s="27"/>
      <x:c r="P191" s="27"/>
      <x:c r="Q191" s="27"/>
      <x:c r="R191" s="27"/>
      <x:c r="S191" s="27"/>
      <x:c r="T191" s="27"/>
      <x:c r="U191" s="27"/>
      <x:c r="V191" s="27"/>
      <x:c r="W191" s="27"/>
      <x:c r="X191" s="27"/>
      <x:c r="Y191" s="27"/>
      <x:c r="Z191" s="27"/>
      <x:c r="AA191" s="27"/>
      <x:c r="AB191" s="27"/>
      <x:c r="AC191" s="27"/>
      <x:c r="AD191" s="27"/>
      <x:c r="AE191" s="27"/>
      <x:c r="AF191" s="27"/>
      <x:c r="AG191" s="27"/>
      <x:c r="AH191" s="27"/>
      <x:c r="AI191" s="27"/>
      <x:c r="AJ191" s="27"/>
      <x:c r="AK191" s="27"/>
      <x:c r="AL191" s="27"/>
      <x:c r="AM191" s="27"/>
      <x:c r="AN191" s="27"/>
      <x:c r="AO191" s="27"/>
      <x:c r="AP191" s="27"/>
      <x:c r="AQ191" s="27"/>
      <x:c r="AR191" s="27" t="str">
        <x:f>IF(C191="","",SUM(H191,N191,T191,Z191,AF191,AL191))</x:f>
      </x:c>
      <x:c r="AS191" s="27" t="str">
        <x:f>IF(C191="","",SUM(I191,O191,U191,AA191,AG191,AM191))</x:f>
      </x:c>
      <x:c r="AT191" s="27" t="str">
        <x:f>IF(C191="","",SUM(J191,P191,V191,AB191,AH191,AN191))</x:f>
      </x:c>
      <x:c r="AU191" s="27" t="str">
        <x:f>IF(C191="","",SUM(K191,Q191,W191,AC191,AI191,AO191))</x:f>
      </x:c>
      <x:c r="AV191" s="27" t="str">
        <x:f>IF(C191="","",SUM(L191,R191,X191,AD191,AJ191,AP191))</x:f>
      </x:c>
      <x:c r="AW191" s="27" t="str">
        <x:f>IF(C191="","",SUM(M191,S191,Y191,AE191,AK191,AQ191))</x:f>
      </x:c>
      <x:c r="AX191" s="27" t="str">
        <x:f>IF(C191="","",IF(IF(AS191*1000000+SUM(U191,AM191)*10000+SUM(O191,AG191)*100+SUM(I191,AA191)+0.005&gt;AR191*1000000+SUM(T191,AL191)*10000+SUM(N191,AF191)*100+SUM(H191,Z191)+0.006,1,0)+IF(AT191*1000000+SUM(V191,AN191)*10000+SUM(P191,AH191)*100+SUM(J191,AB191)+0.004&gt;AR191*1000000+SUM(T191,AL191)*10000+SUM(N191,AF191)*100+SUM(H191,Z191)+0.006,1,0)+IF(AU191*1000000+SUM(W191,AO191)*10000+SUM(Q191,AI191)*100+SUM(K191,AC191)+0.003&gt;AR191*1000000+SUM(T191,AL191)*10000+SUM(N191,AF191)*100+SUM(H191,Z191)+0.006,1,0)+IF(AV191*1000000+SUM(X191,AP191)*10000+SUM(R191,AJ191)*100+SUM(L191,AD191)+0.002&gt;AR191*1000000+SUM(T191,AL191)*10000+SUM(N191,AF191)*100+SUM(H191,Z191)+0.006,1,0)+IF(AW191*1000000+SUM(Y191,AQ191)*10000+SUM(S191,AK191)*100+SUM(M191,AE191)+0.001&gt;AR191*1000000+SUM(T191,AL191)*10000+SUM(N191,AF191)*100+SUM(H191,Z191)+0.006,1,0)=0,"R",IF(IF(AR191*1000000+SUM(T191,AL191)*10000+SUM(N191,AF191)*100+SUM(H191,Z191)+0.006&gt;AS191*1000000+SUM(U191,AM191)*10000+SUM(O191,AG191)*100+SUM(I191,AA191)+0.005,1,0)+IF(AT191*1000000+SUM(V191,AN191)*10000+SUM(P191,AH191)*100+SUM(J191,AB191)+0.004&gt;AS191*1000000+SUM(U191,AM191)*10000+SUM(O191,AG191)*100+SUM(I191,AA191)+0.005,1,0)+IF(AU191*1000000+SUM(W191,AO191)*10000+SUM(Q191,AI191)*100+SUM(K191,AC191)+0.003&gt;AS191*1000000+SUM(U191,AM191)*10000+SUM(O191,AG191)*100+SUM(I191,AA191)+0.005,1,0)+IF(AV191*1000000+SUM(X191,AP191)*10000+SUM(R191,AJ191)*100+SUM(L191,AD191)+0.002&gt;AS191*1000000+SUM(U191,AM191)*10000+SUM(O191,AG191)*100+SUM(I191,AA191)+0.005,1,0)+IF(AW191*1000000+SUM(Y191,AQ191)*10000+SUM(S191,AK191)*100+SUM(M191,AE191)+0.001&gt;AS191*1000000+SUM(U191,AM191)*10000+SUM(O191,AG191)*100+SUM(I191,AA191)+0.005,1,0)=0,"I",IF(IF(AR191*1000000+SUM(T191,AL191)*10000+SUM(N191,AF191)*100+SUM(H191,Z191)+0.006&gt;AT191*1000000+SUM(V191,AN191)*10000+SUM(P191,AH191)*100+SUM(J191,AB191)+0.004,1,0)+IF(AS191*1000000+SUM(U191,AM191)*10000+SUM(O191,AG191)*100+SUM(I191,AA191)+0.005&gt;AT191*1000000+SUM(V191,AN191)*10000+SUM(P191,AH191)*100+SUM(J191,AB191)+0.004,1,0)+IF(AU191*1000000+SUM(W191,AO191)*10000+SUM(Q191,AI191)*100+SUM(K191,AC191)+0.003&gt;AT191*1000000+SUM(V191,AN191)*10000+SUM(P191,AH191)*100+SUM(J191,AB191)+0.004,1,0)+IF(AV191*1000000+SUM(X191,AP191)*10000+SUM(R191,AJ191)*100+SUM(L191,AD191)+0.002&gt;AT191*1000000+SUM(V191,AN191)*10000+SUM(P191,AH191)*100+SUM(J191,AB191)+0.004,1,0)+IF(AW191*1000000+SUM(Y191,AQ191)*10000+SUM(S191,AK191)*100+SUM(M191,AE191)+0.001&gt;AT191*1000000+SUM(V191,AN191)*10000+SUM(P191,AH191)*100+SUM(J191,AB191)+0.004,1,0)=0,"A",IF(IF(AR191*1000000+SUM(T191,AL191)*10000+SUM(N191,AF191)*100+SUM(H191,Z191)+0.006&gt;AU191*1000000+SUM(W191,AO191)*10000+SUM(Q191,AI191)*100+SUM(K191,AC191)+0.003,1,0)+IF(AS191*1000000+SUM(U191,AM191)*10000+SUM(O191,AG191)*100+SUM(I191,AA191)+0.005&gt;AU191*1000000+SUM(W191,AO191)*10000+SUM(Q191,AI191)*100+SUM(K191,AC191)+0.003,1,0)+IF(AT191*1000000+SUM(V191,AN191)*10000+SUM(P191,AH191)*100+SUM(J191,AB191)+0.004&gt;AU191*1000000+SUM(W191,AO191)*10000+SUM(Q191,AI191)*100+SUM(K191,AC191)+0.003,1,0)+IF(AV191*1000000+SUM(X191,AP191)*10000+SUM(R191,AJ191)*100+SUM(L191,AD191)+0.002&gt;AU191*1000000+SUM(W191,AO191)*10000+SUM(Q191,AI191)*100+SUM(K191,AC191)+0.003,1,0)+IF(AW191*1000000+SUM(Y191,AQ191)*10000+SUM(S191,AK191)*100+SUM(M191,AE191)+0.001&gt;AU191*1000000+SUM(W191,AO191)*10000+SUM(Q191,AI191)*100+SUM(K191,AC191)+0.003,1,0)=0,"S",IF(IF(AR191*1000000+SUM(T191,AL191)*10000+SUM(N191,AF191)*100+SUM(H191,Z191)+0.006&gt;AV191*1000000+SUM(X191,AP191)*10000+SUM(R191,AJ191)*100+SUM(L191,AD191)+0.002,1,0)+IF(AS191*1000000+SUM(U191,AM191)*10000+SUM(O191,AG191)*100+SUM(I191,AA191)+0.005&gt;AV191*1000000+SUM(X191,AP191)*10000+SUM(R191,AJ191)*100+SUM(L191,AD191)+0.002,1,0)+IF(AT191*1000000+SUM(V191,AN191)*10000+SUM(P191,AH191)*100+SUM(J191,AB191)+0.004&gt;AV191*1000000+SUM(X191,AP191)*10000+SUM(R191,AJ191)*100+SUM(L191,AD191)+0.002,1,0)+IF(AU191*1000000+SUM(W191,AO191)*10000+SUM(Q191,AI191)*100+SUM(K191,AC191)+0.003&gt;AV191*1000000+SUM(X191,AP191)*10000+SUM(R191,AJ191)*100+SUM(L191,AD191)+0.002,1,0)+IF(AW191*1000000+SUM(Y191,AQ191)*10000+SUM(S191,AK191)*100+SUM(M191,AE191)+0.001&gt;AV191*1000000+SUM(X191,AP191)*10000+SUM(R191,AJ191)*100+SUM(L191,AD191)+0.002,1,0)=0,"E",IF(IF(AR191*1000000+SUM(T191,AL191)*10000+SUM(N191,AF191)*100+SUM(H191,Z191)+0.006&gt;AW191*1000000+SUM(Y191,AQ191)*10000+SUM(S191,AK191)*100+SUM(M191,AE191)+0.001,1,0)+IF(AS191*1000000+SUM(U191,AM191)*10000+SUM(O191,AG191)*100+SUM(I191,AA191)+0.005&gt;AW191*1000000+SUM(Y191,AQ191)*10000+SUM(S191,AK191)*100+SUM(M191,AE191)+0.001,1,0)+IF(AT191*1000000+SUM(V191,AN191)*10000+SUM(P191,AH191)*100+SUM(J191,AB191)+0.004&gt;AW191*1000000+SUM(Y191,AQ191)*10000+SUM(S191,AK191)*100+SUM(M191,AE191)+0.001,1,0)+IF(AU191*1000000+SUM(W191,AO191)*10000+SUM(Q191,AI191)*100+SUM(K191,AC191)+0.003&gt;AW191*1000000+SUM(Y191,AQ191)*10000+SUM(S191,AK191)*100+SUM(M191,AE191)+0.001,1,0)+IF(AV191*1000000+SUM(X191,AP191)*10000+SUM(R191,AJ191)*100+SUM(L191,AD191)+0.002&gt;AW191*1000000+SUM(Y191,AQ191)*10000+SUM(S191,AK191)*100+SUM(M191,AE191)+0.001,1,0)=0,"C",""))))))&amp;IF(IF(AS191*1000000+SUM(U191,AM191)*10000+SUM(O191,AG191)*100+SUM(I191,AA191)+0.005&gt;AR191*1000000+SUM(T191,AL191)*10000+SUM(N191,AF191)*100+SUM(H191,Z191)+0.006,1,0)+IF(AT191*1000000+SUM(V191,AN191)*10000+SUM(P191,AH191)*100+SUM(J191,AB191)+0.004&gt;AR191*1000000+SUM(T191,AL191)*10000+SUM(N191,AF191)*100+SUM(H191,Z191)+0.006,1,0)+IF(AU191*1000000+SUM(W191,AO191)*10000+SUM(Q191,AI191)*100+SUM(K191,AC191)+0.003&gt;AR191*1000000+SUM(T191,AL191)*10000+SUM(N191,AF191)*100+SUM(H191,Z191)+0.006,1,0)+IF(AV191*1000000+SUM(X191,AP191)*10000+SUM(R191,AJ191)*100+SUM(L191,AD191)+0.002&gt;AR191*1000000+SUM(T191,AL191)*10000+SUM(N191,AF191)*100+SUM(H191,Z191)+0.006,1,0)+IF(AW191*1000000+SUM(Y191,AQ191)*10000+SUM(S191,AK191)*100+SUM(M191,AE191)+0.001&gt;AR191*1000000+SUM(T191,AL191)*10000+SUM(N191,AF191)*100+SUM(H191,Z191)+0.006,1,0)=1,"R",IF(IF(AR191*1000000+SUM(T191,AL191)*10000+SUM(N191,AF191)*100+SUM(H191,Z191)+0.006&gt;AS191*1000000+SUM(U191,AM191)*10000+SUM(O191,AG191)*100+SUM(I191,AA191)+0.005,1,0)+IF(AT191*1000000+SUM(V191,AN191)*10000+SUM(P191,AH191)*100+SUM(J191,AB191)+0.004&gt;AS191*1000000+SUM(U191,AM191)*10000+SUM(O191,AG191)*100+SUM(I191,AA191)+0.005,1,0)+IF(AU191*1000000+SUM(W191,AO191)*10000+SUM(Q191,AI191)*100+SUM(K191,AC191)+0.003&gt;AS191*1000000+SUM(U191,AM191)*10000+SUM(O191,AG191)*100+SUM(I191,AA191)+0.005,1,0)+IF(AV191*1000000+SUM(X191,AP191)*10000+SUM(R191,AJ191)*100+SUM(L191,AD191)+0.002&gt;AS191*1000000+SUM(U191,AM191)*10000+SUM(O191,AG191)*100+SUM(I191,AA191)+0.005,1,0)+IF(AW191*1000000+SUM(Y191,AQ191)*10000+SUM(S191,AK191)*100+SUM(M191,AE191)+0.001&gt;AS191*1000000+SUM(U191,AM191)*10000+SUM(O191,AG191)*100+SUM(I191,AA191)+0.005,1,0)=1,"I",IF(IF(AR191*1000000+SUM(T191,AL191)*10000+SUM(N191,AF191)*100+SUM(H191,Z191)+0.006&gt;AT191*1000000+SUM(V191,AN191)*10000+SUM(P191,AH191)*100+SUM(J191,AB191)+0.004,1,0)+IF(AS191*1000000+SUM(U191,AM191)*10000+SUM(O191,AG191)*100+SUM(I191,AA191)+0.005&gt;AT191*1000000+SUM(V191,AN191)*10000+SUM(P191,AH191)*100+SUM(J191,AB191)+0.004,1,0)+IF(AU191*1000000+SUM(W191,AO191)*10000+SUM(Q191,AI191)*100+SUM(K191,AC191)+0.003&gt;AT191*1000000+SUM(V191,AN191)*10000+SUM(P191,AH191)*100+SUM(J191,AB191)+0.004,1,0)+IF(AV191*1000000+SUM(X191,AP191)*10000+SUM(R191,AJ191)*100+SUM(L191,AD191)+0.002&gt;AT191*1000000+SUM(V191,AN191)*10000+SUM(P191,AH191)*100+SUM(J191,AB191)+0.004,1,0)+IF(AW191*1000000+SUM(Y191,AQ191)*10000+SUM(S191,AK191)*100+SUM(M191,AE191)+0.001&gt;AT191*1000000+SUM(V191,AN191)*10000+SUM(P191,AH191)*100+SUM(J191,AB191)+0.004,1,0)=1,"A",IF(IF(AR191*1000000+SUM(T191,AL191)*10000+SUM(N191,AF191)*100+SUM(H191,Z191)+0.006&gt;AU191*1000000+SUM(W191,AO191)*10000+SUM(Q191,AI191)*100+SUM(K191,AC191)+0.003,1,0)+IF(AS191*1000000+SUM(U191,AM191)*10000+SUM(O191,AG191)*100+SUM(I191,AA191)+0.005&gt;AU191*1000000+SUM(W191,AO191)*10000+SUM(Q191,AI191)*100+SUM(K191,AC191)+0.003,1,0)+IF(AT191*1000000+SUM(V191,AN191)*10000+SUM(P191,AH191)*100+SUM(J191,AB191)+0.004&gt;AU191*1000000+SUM(W191,AO191)*10000+SUM(Q191,AI191)*100+SUM(K191,AC191)+0.003,1,0)+IF(AV191*1000000+SUM(X191,AP191)*10000+SUM(R191,AJ191)*100+SUM(L191,AD191)+0.002&gt;AU191*1000000+SUM(W191,AO191)*10000+SUM(Q191,AI191)*100+SUM(K191,AC191)+0.003,1,0)+IF(AW191*1000000+SUM(Y191,AQ191)*10000+SUM(S191,AK191)*100+SUM(M191,AE191)+0.001&gt;AU191*1000000+SUM(W191,AO191)*10000+SUM(Q191,AI191)*100+SUM(K191,AC191)+0.003,1,0)=1,"S",IF(IF(AR191*1000000+SUM(T191,AL191)*10000+SUM(N191,AF191)*100+SUM(H191,Z191)+0.006&gt;AV191*1000000+SUM(X191,AP191)*10000+SUM(R191,AJ191)*100+SUM(L191,AD191)+0.002,1,0)+IF(AS191*1000000+SUM(U191,AM191)*10000+SUM(O191,AG191)*100+SUM(I191,AA191)+0.005&gt;AV191*1000000+SUM(X191,AP191)*10000+SUM(R191,AJ191)*100+SUM(L191,AD191)+0.002,1,0)+IF(AT191*1000000+SUM(V191,AN191)*10000+SUM(P191,AH191)*100+SUM(J191,AB191)+0.004&gt;AV191*1000000+SUM(X191,AP191)*10000+SUM(R191,AJ191)*100+SUM(L191,AD191)+0.002,1,0)+IF(AU191*1000000+SUM(W191,AO191)*10000+SUM(Q191,AI191)*100+SUM(K191,AC191)+0.003&gt;AV191*1000000+SUM(X191,AP191)*10000+SUM(R191,AJ191)*100+SUM(L191,AD191)+0.002,1,0)+IF(AW191*1000000+SUM(Y191,AQ191)*10000+SUM(S191,AK191)*100+SUM(M191,AE191)+0.001&gt;AV191*1000000+SUM(X191,AP191)*10000+SUM(R191,AJ191)*100+SUM(L191,AD191)+0.002,1,0)=1,"E",IF(IF(AR191*1000000+SUM(T191,AL191)*10000+SUM(N191,AF191)*100+SUM(H191,Z191)+0.006&gt;AW191*1000000+SUM(Y191,AQ191)*10000+SUM(S191,AK191)*100+SUM(M191,AE191)+0.001,1,0)+IF(AS191*1000000+SUM(U191,AM191)*10000+SUM(O191,AG191)*100+SUM(I191,AA191)+0.005&gt;AW191*1000000+SUM(Y191,AQ191)*10000+SUM(S191,AK191)*100+SUM(M191,AE191)+0.001,1,0)+IF(AT191*1000000+SUM(V191,AN191)*10000+SUM(P191,AH191)*100+SUM(J191,AB191)+0.004&gt;AW191*1000000+SUM(Y191,AQ191)*10000+SUM(S191,AK191)*100+SUM(M191,AE191)+0.001,1,0)+IF(AU191*1000000+SUM(W191,AO191)*10000+SUM(Q191,AI191)*100+SUM(K191,AC191)+0.003&gt;AW191*1000000+SUM(Y191,AQ191)*10000+SUM(S191,AK191)*100+SUM(M191,AE191)+0.001,1,0)+IF(AV191*1000000+SUM(X191,AP191)*10000+SUM(R191,AJ191)*100+SUM(L191,AD191)+0.002&gt;AW191*1000000+SUM(Y191,AQ191)*10000+SUM(S191,AK191)*100+SUM(M191,AE191)+0.001,1,0)=1,"C",""))))))&amp;IF(IF(AS191*1000000+SUM(U191,AM191)*10000+SUM(O191,AG191)*100+SUM(I191,AA191)+0.005&gt;AR191*1000000+SUM(T191,AL191)*10000+SUM(N191,AF191)*100+SUM(H191,Z191)+0.006,1,0)+IF(AT191*1000000+SUM(V191,AN191)*10000+SUM(P191,AH191)*100+SUM(J191,AB191)+0.004&gt;AR191*1000000+SUM(T191,AL191)*10000+SUM(N191,AF191)*100+SUM(H191,Z191)+0.006,1,0)+IF(AU191*1000000+SUM(W191,AO191)*10000+SUM(Q191,AI191)*100+SUM(K191,AC191)+0.003&gt;AR191*1000000+SUM(T191,AL191)*10000+SUM(N191,AF191)*100+SUM(H191,Z191)+0.006,1,0)+IF(AV191*1000000+SUM(X191,AP191)*10000+SUM(R191,AJ191)*100+SUM(L191,AD191)+0.002&gt;AR191*1000000+SUM(T191,AL191)*10000+SUM(N191,AF191)*100+SUM(H191,Z191)+0.006,1,0)+IF(AW191*1000000+SUM(Y191,AQ191)*10000+SUM(S191,AK191)*100+SUM(M191,AE191)+0.001&gt;AR191*1000000+SUM(T191,AL191)*10000+SUM(N191,AF191)*100+SUM(H191,Z191)+0.006,1,0)=2,"R",IF(IF(AR191*1000000+SUM(T191,AL191)*10000+SUM(N191,AF191)*100+SUM(H191,Z191)+0.006&gt;AS191*1000000+SUM(U191,AM191)*10000+SUM(O191,AG191)*100+SUM(I191,AA191)+0.005,1,0)+IF(AT191*1000000+SUM(V191,AN191)*10000+SUM(P191,AH191)*100+SUM(J191,AB191)+0.004&gt;AS191*1000000+SUM(U191,AM191)*10000+SUM(O191,AG191)*100+SUM(I191,AA191)+0.005,1,0)+IF(AU191*1000000+SUM(W191,AO191)*10000+SUM(Q191,AI191)*100+SUM(K191,AC191)+0.003&gt;AS191*1000000+SUM(U191,AM191)*10000+SUM(O191,AG191)*100+SUM(I191,AA191)+0.005,1,0)+IF(AV191*1000000+SUM(X191,AP191)*10000+SUM(R191,AJ191)*100+SUM(L191,AD191)+0.002&gt;AS191*1000000+SUM(U191,AM191)*10000+SUM(O191,AG191)*100+SUM(I191,AA191)+0.005,1,0)+IF(AW191*1000000+SUM(Y191,AQ191)*10000+SUM(S191,AK191)*100+SUM(M191,AE191)+0.001&gt;AS191*1000000+SUM(U191,AM191)*10000+SUM(O191,AG191)*100+SUM(I191,AA191)+0.005,1,0)=2,"I",IF(IF(AR191*1000000+SUM(T191,AL191)*10000+SUM(N191,AF191)*100+SUM(H191,Z191)+0.006&gt;AT191*1000000+SUM(V191,AN191)*10000+SUM(P191,AH191)*100+SUM(J191,AB191)+0.004,1,0)+IF(AS191*1000000+SUM(U191,AM191)*10000+SUM(O191,AG191)*100+SUM(I191,AA191)+0.005&gt;AT191*1000000+SUM(V191,AN191)*10000+SUM(P191,AH191)*100+SUM(J191,AB191)+0.004,1,0)+IF(AU191*1000000+SUM(W191,AO191)*10000+SUM(Q191,AI191)*100+SUM(K191,AC191)+0.003&gt;AT191*1000000+SUM(V191,AN191)*10000+SUM(P191,AH191)*100+SUM(J191,AB191)+0.004,1,0)+IF(AV191*1000000+SUM(X191,AP191)*10000+SUM(R191,AJ191)*100+SUM(L191,AD191)+0.002&gt;AT191*1000000+SUM(V191,AN191)*10000+SUM(P191,AH191)*100+SUM(J191,AB191)+0.004,1,0)+IF(AW191*1000000+SUM(Y191,AQ191)*10000+SUM(S191,AK191)*100+SUM(M191,AE191)+0.001&gt;AT191*1000000+SUM(V191,AN191)*10000+SUM(P191,AH191)*100+SUM(J191,AB191)+0.004,1,0)=2,"A",IF(IF(AR191*1000000+SUM(T191,AL191)*10000+SUM(N191,AF191)*100+SUM(H191,Z191)+0.006&gt;AU191*1000000+SUM(W191,AO191)*10000+SUM(Q191,AI191)*100+SUM(K191,AC191)+0.003,1,0)+IF(AS191*1000000+SUM(U191,AM191)*10000+SUM(O191,AG191)*100+SUM(I191,AA191)+0.005&gt;AU191*1000000+SUM(W191,AO191)*10000+SUM(Q191,AI191)*100+SUM(K191,AC191)+0.003,1,0)+IF(AT191*1000000+SUM(V191,AN191)*10000+SUM(P191,AH191)*100+SUM(J191,AB191)+0.004&gt;AU191*1000000+SUM(W191,AO191)*10000+SUM(Q191,AI191)*100+SUM(K191,AC191)+0.003,1,0)+IF(AV191*1000000+SUM(X191,AP191)*10000+SUM(R191,AJ191)*100+SUM(L191,AD191)+0.002&gt;AU191*1000000+SUM(W191,AO191)*10000+SUM(Q191,AI191)*100+SUM(K191,AC191)+0.003,1,0)+IF(AW191*1000000+SUM(Y191,AQ191)*10000+SUM(S191,AK191)*100+SUM(M191,AE191)+0.001&gt;AU191*1000000+SUM(W191,AO191)*10000+SUM(Q191,AI191)*100+SUM(K191,AC191)+0.003,1,0)=2,"S",IF(IF(AR191*1000000+SUM(T191,AL191)*10000+SUM(N191,AF191)*100+SUM(H191,Z191)+0.006&gt;AV191*1000000+SUM(X191,AP191)*10000+SUM(R191,AJ191)*100+SUM(L191,AD191)+0.002,1,0)+IF(AS191*1000000+SUM(U191,AM191)*10000+SUM(O191,AG191)*100+SUM(I191,AA191)+0.005&gt;AV191*1000000+SUM(X191,AP191)*10000+SUM(R191,AJ191)*100+SUM(L191,AD191)+0.002,1,0)+IF(AT191*1000000+SUM(V191,AN191)*10000+SUM(P191,AH191)*100+SUM(J191,AB191)+0.004&gt;AV191*1000000+SUM(X191,AP191)*10000+SUM(R191,AJ191)*100+SUM(L191,AD191)+0.002,1,0)+IF(AU191*1000000+SUM(W191,AO191)*10000+SUM(Q191,AI191)*100+SUM(K191,AC191)+0.003&gt;AV191*1000000+SUM(X191,AP191)*10000+SUM(R191,AJ191)*100+SUM(L191,AD191)+0.002,1,0)+IF(AW191*1000000+SUM(Y191,AQ191)*10000+SUM(S191,AK191)*100+SUM(M191,AE191)+0.001&gt;AV191*1000000+SUM(X191,AP191)*10000+SUM(R191,AJ191)*100+SUM(L191,AD191)+0.002,1,0)=2,"E",IF(IF(AR191*1000000+SUM(T191,AL191)*10000+SUM(N191,AF191)*100+SUM(H191,Z191)+0.006&gt;AW191*1000000+SUM(Y191,AQ191)*10000+SUM(S191,AK191)*100+SUM(M191,AE191)+0.001,1,0)+IF(AS191*1000000+SUM(U191,AM191)*10000+SUM(O191,AG191)*100+SUM(I191,AA191)+0.005&gt;AW191*1000000+SUM(Y191,AQ191)*10000+SUM(S191,AK191)*100+SUM(M191,AE191)+0.001,1,0)+IF(AT191*1000000+SUM(V191,AN191)*10000+SUM(P191,AH191)*100+SUM(J191,AB191)+0.004&gt;AW191*1000000+SUM(Y191,AQ191)*10000+SUM(S191,AK191)*100+SUM(M191,AE191)+0.001,1,0)+IF(AU191*1000000+SUM(W191,AO191)*10000+SUM(Q191,AI191)*100+SUM(K191,AC191)+0.003&gt;AW191*1000000+SUM(Y191,AQ191)*10000+SUM(S191,AK191)*100+SUM(M191,AE191)+0.001,1,0)+IF(AV191*1000000+SUM(X191,AP191)*10000+SUM(R191,AJ191)*100+SUM(L191,AD191)+0.002&gt;AW191*1000000+SUM(Y191,AQ191)*10000+SUM(S191,AK191)*100+SUM(M191,AE191)+0.001,1,0)=2,"C","")))))))</x:f>
      </x:c>
      <x:c r="AY191" s="27" t="str">
        <x:f>IF(C191="","",IF(LEFT(AX191,1)="R","นักปฏิบัติ",IF(LEFT(AX191,1)="I","นักคิดวิเคราะห์",IF(LEFT(AX191,1)="A","นักสร้างสรรค์",IF(LEFT(AX191,1)="S","ผู้เข้าใจผู้คน",IF(LEFT(AX191,1)="E","ผู้นำการเปลี่ยนแปลง","ผู้จัดระบบ"))))))</x:f>
      </x:c>
    </x:row>
    <x:row r="192">
      <x:c r="A192" s="27"/>
      <x:c r="B192" s="28"/>
      <x:c r="C192" s="27"/>
      <x:c r="D192" s="27"/>
      <x:c r="E192" s="27"/>
      <x:c r="F192" s="27"/>
      <x:c r="G192" s="27"/>
      <x:c r="H192" s="27"/>
      <x:c r="I192" s="27"/>
      <x:c r="J192" s="27"/>
      <x:c r="K192" s="27"/>
      <x:c r="L192" s="27"/>
      <x:c r="M192" s="27"/>
      <x:c r="N192" s="27"/>
      <x:c r="O192" s="27"/>
      <x:c r="P192" s="27"/>
      <x:c r="Q192" s="27"/>
      <x:c r="R192" s="27"/>
      <x:c r="S192" s="27"/>
      <x:c r="T192" s="27"/>
      <x:c r="U192" s="27"/>
      <x:c r="V192" s="27"/>
      <x:c r="W192" s="27"/>
      <x:c r="X192" s="27"/>
      <x:c r="Y192" s="27"/>
      <x:c r="Z192" s="27"/>
      <x:c r="AA192" s="27"/>
      <x:c r="AB192" s="27"/>
      <x:c r="AC192" s="27"/>
      <x:c r="AD192" s="27"/>
      <x:c r="AE192" s="27"/>
      <x:c r="AF192" s="27"/>
      <x:c r="AG192" s="27"/>
      <x:c r="AH192" s="27"/>
      <x:c r="AI192" s="27"/>
      <x:c r="AJ192" s="27"/>
      <x:c r="AK192" s="27"/>
      <x:c r="AL192" s="27"/>
      <x:c r="AM192" s="27"/>
      <x:c r="AN192" s="27"/>
      <x:c r="AO192" s="27"/>
      <x:c r="AP192" s="27"/>
      <x:c r="AQ192" s="27"/>
      <x:c r="AR192" s="27" t="str">
        <x:f>IF(C192="","",SUM(H192,N192,T192,Z192,AF192,AL192))</x:f>
      </x:c>
      <x:c r="AS192" s="27" t="str">
        <x:f>IF(C192="","",SUM(I192,O192,U192,AA192,AG192,AM192))</x:f>
      </x:c>
      <x:c r="AT192" s="27" t="str">
        <x:f>IF(C192="","",SUM(J192,P192,V192,AB192,AH192,AN192))</x:f>
      </x:c>
      <x:c r="AU192" s="27" t="str">
        <x:f>IF(C192="","",SUM(K192,Q192,W192,AC192,AI192,AO192))</x:f>
      </x:c>
      <x:c r="AV192" s="27" t="str">
        <x:f>IF(C192="","",SUM(L192,R192,X192,AD192,AJ192,AP192))</x:f>
      </x:c>
      <x:c r="AW192" s="27" t="str">
        <x:f>IF(C192="","",SUM(M192,S192,Y192,AE192,AK192,AQ192))</x:f>
      </x:c>
      <x:c r="AX192" s="27" t="str">
        <x:f>IF(C192="","",IF(IF(AS192*1000000+SUM(U192,AM192)*10000+SUM(O192,AG192)*100+SUM(I192,AA192)+0.005&gt;AR192*1000000+SUM(T192,AL192)*10000+SUM(N192,AF192)*100+SUM(H192,Z192)+0.006,1,0)+IF(AT192*1000000+SUM(V192,AN192)*10000+SUM(P192,AH192)*100+SUM(J192,AB192)+0.004&gt;AR192*1000000+SUM(T192,AL192)*10000+SUM(N192,AF192)*100+SUM(H192,Z192)+0.006,1,0)+IF(AU192*1000000+SUM(W192,AO192)*10000+SUM(Q192,AI192)*100+SUM(K192,AC192)+0.003&gt;AR192*1000000+SUM(T192,AL192)*10000+SUM(N192,AF192)*100+SUM(H192,Z192)+0.006,1,0)+IF(AV192*1000000+SUM(X192,AP192)*10000+SUM(R192,AJ192)*100+SUM(L192,AD192)+0.002&gt;AR192*1000000+SUM(T192,AL192)*10000+SUM(N192,AF192)*100+SUM(H192,Z192)+0.006,1,0)+IF(AW192*1000000+SUM(Y192,AQ192)*10000+SUM(S192,AK192)*100+SUM(M192,AE192)+0.001&gt;AR192*1000000+SUM(T192,AL192)*10000+SUM(N192,AF192)*100+SUM(H192,Z192)+0.006,1,0)=0,"R",IF(IF(AR192*1000000+SUM(T192,AL192)*10000+SUM(N192,AF192)*100+SUM(H192,Z192)+0.006&gt;AS192*1000000+SUM(U192,AM192)*10000+SUM(O192,AG192)*100+SUM(I192,AA192)+0.005,1,0)+IF(AT192*1000000+SUM(V192,AN192)*10000+SUM(P192,AH192)*100+SUM(J192,AB192)+0.004&gt;AS192*1000000+SUM(U192,AM192)*10000+SUM(O192,AG192)*100+SUM(I192,AA192)+0.005,1,0)+IF(AU192*1000000+SUM(W192,AO192)*10000+SUM(Q192,AI192)*100+SUM(K192,AC192)+0.003&gt;AS192*1000000+SUM(U192,AM192)*10000+SUM(O192,AG192)*100+SUM(I192,AA192)+0.005,1,0)+IF(AV192*1000000+SUM(X192,AP192)*10000+SUM(R192,AJ192)*100+SUM(L192,AD192)+0.002&gt;AS192*1000000+SUM(U192,AM192)*10000+SUM(O192,AG192)*100+SUM(I192,AA192)+0.005,1,0)+IF(AW192*1000000+SUM(Y192,AQ192)*10000+SUM(S192,AK192)*100+SUM(M192,AE192)+0.001&gt;AS192*1000000+SUM(U192,AM192)*10000+SUM(O192,AG192)*100+SUM(I192,AA192)+0.005,1,0)=0,"I",IF(IF(AR192*1000000+SUM(T192,AL192)*10000+SUM(N192,AF192)*100+SUM(H192,Z192)+0.006&gt;AT192*1000000+SUM(V192,AN192)*10000+SUM(P192,AH192)*100+SUM(J192,AB192)+0.004,1,0)+IF(AS192*1000000+SUM(U192,AM192)*10000+SUM(O192,AG192)*100+SUM(I192,AA192)+0.005&gt;AT192*1000000+SUM(V192,AN192)*10000+SUM(P192,AH192)*100+SUM(J192,AB192)+0.004,1,0)+IF(AU192*1000000+SUM(W192,AO192)*10000+SUM(Q192,AI192)*100+SUM(K192,AC192)+0.003&gt;AT192*1000000+SUM(V192,AN192)*10000+SUM(P192,AH192)*100+SUM(J192,AB192)+0.004,1,0)+IF(AV192*1000000+SUM(X192,AP192)*10000+SUM(R192,AJ192)*100+SUM(L192,AD192)+0.002&gt;AT192*1000000+SUM(V192,AN192)*10000+SUM(P192,AH192)*100+SUM(J192,AB192)+0.004,1,0)+IF(AW192*1000000+SUM(Y192,AQ192)*10000+SUM(S192,AK192)*100+SUM(M192,AE192)+0.001&gt;AT192*1000000+SUM(V192,AN192)*10000+SUM(P192,AH192)*100+SUM(J192,AB192)+0.004,1,0)=0,"A",IF(IF(AR192*1000000+SUM(T192,AL192)*10000+SUM(N192,AF192)*100+SUM(H192,Z192)+0.006&gt;AU192*1000000+SUM(W192,AO192)*10000+SUM(Q192,AI192)*100+SUM(K192,AC192)+0.003,1,0)+IF(AS192*1000000+SUM(U192,AM192)*10000+SUM(O192,AG192)*100+SUM(I192,AA192)+0.005&gt;AU192*1000000+SUM(W192,AO192)*10000+SUM(Q192,AI192)*100+SUM(K192,AC192)+0.003,1,0)+IF(AT192*1000000+SUM(V192,AN192)*10000+SUM(P192,AH192)*100+SUM(J192,AB192)+0.004&gt;AU192*1000000+SUM(W192,AO192)*10000+SUM(Q192,AI192)*100+SUM(K192,AC192)+0.003,1,0)+IF(AV192*1000000+SUM(X192,AP192)*10000+SUM(R192,AJ192)*100+SUM(L192,AD192)+0.002&gt;AU192*1000000+SUM(W192,AO192)*10000+SUM(Q192,AI192)*100+SUM(K192,AC192)+0.003,1,0)+IF(AW192*1000000+SUM(Y192,AQ192)*10000+SUM(S192,AK192)*100+SUM(M192,AE192)+0.001&gt;AU192*1000000+SUM(W192,AO192)*10000+SUM(Q192,AI192)*100+SUM(K192,AC192)+0.003,1,0)=0,"S",IF(IF(AR192*1000000+SUM(T192,AL192)*10000+SUM(N192,AF192)*100+SUM(H192,Z192)+0.006&gt;AV192*1000000+SUM(X192,AP192)*10000+SUM(R192,AJ192)*100+SUM(L192,AD192)+0.002,1,0)+IF(AS192*1000000+SUM(U192,AM192)*10000+SUM(O192,AG192)*100+SUM(I192,AA192)+0.005&gt;AV192*1000000+SUM(X192,AP192)*10000+SUM(R192,AJ192)*100+SUM(L192,AD192)+0.002,1,0)+IF(AT192*1000000+SUM(V192,AN192)*10000+SUM(P192,AH192)*100+SUM(J192,AB192)+0.004&gt;AV192*1000000+SUM(X192,AP192)*10000+SUM(R192,AJ192)*100+SUM(L192,AD192)+0.002,1,0)+IF(AU192*1000000+SUM(W192,AO192)*10000+SUM(Q192,AI192)*100+SUM(K192,AC192)+0.003&gt;AV192*1000000+SUM(X192,AP192)*10000+SUM(R192,AJ192)*100+SUM(L192,AD192)+0.002,1,0)+IF(AW192*1000000+SUM(Y192,AQ192)*10000+SUM(S192,AK192)*100+SUM(M192,AE192)+0.001&gt;AV192*1000000+SUM(X192,AP192)*10000+SUM(R192,AJ192)*100+SUM(L192,AD192)+0.002,1,0)=0,"E",IF(IF(AR192*1000000+SUM(T192,AL192)*10000+SUM(N192,AF192)*100+SUM(H192,Z192)+0.006&gt;AW192*1000000+SUM(Y192,AQ192)*10000+SUM(S192,AK192)*100+SUM(M192,AE192)+0.001,1,0)+IF(AS192*1000000+SUM(U192,AM192)*10000+SUM(O192,AG192)*100+SUM(I192,AA192)+0.005&gt;AW192*1000000+SUM(Y192,AQ192)*10000+SUM(S192,AK192)*100+SUM(M192,AE192)+0.001,1,0)+IF(AT192*1000000+SUM(V192,AN192)*10000+SUM(P192,AH192)*100+SUM(J192,AB192)+0.004&gt;AW192*1000000+SUM(Y192,AQ192)*10000+SUM(S192,AK192)*100+SUM(M192,AE192)+0.001,1,0)+IF(AU192*1000000+SUM(W192,AO192)*10000+SUM(Q192,AI192)*100+SUM(K192,AC192)+0.003&gt;AW192*1000000+SUM(Y192,AQ192)*10000+SUM(S192,AK192)*100+SUM(M192,AE192)+0.001,1,0)+IF(AV192*1000000+SUM(X192,AP192)*10000+SUM(R192,AJ192)*100+SUM(L192,AD192)+0.002&gt;AW192*1000000+SUM(Y192,AQ192)*10000+SUM(S192,AK192)*100+SUM(M192,AE192)+0.001,1,0)=0,"C",""))))))&amp;IF(IF(AS192*1000000+SUM(U192,AM192)*10000+SUM(O192,AG192)*100+SUM(I192,AA192)+0.005&gt;AR192*1000000+SUM(T192,AL192)*10000+SUM(N192,AF192)*100+SUM(H192,Z192)+0.006,1,0)+IF(AT192*1000000+SUM(V192,AN192)*10000+SUM(P192,AH192)*100+SUM(J192,AB192)+0.004&gt;AR192*1000000+SUM(T192,AL192)*10000+SUM(N192,AF192)*100+SUM(H192,Z192)+0.006,1,0)+IF(AU192*1000000+SUM(W192,AO192)*10000+SUM(Q192,AI192)*100+SUM(K192,AC192)+0.003&gt;AR192*1000000+SUM(T192,AL192)*10000+SUM(N192,AF192)*100+SUM(H192,Z192)+0.006,1,0)+IF(AV192*1000000+SUM(X192,AP192)*10000+SUM(R192,AJ192)*100+SUM(L192,AD192)+0.002&gt;AR192*1000000+SUM(T192,AL192)*10000+SUM(N192,AF192)*100+SUM(H192,Z192)+0.006,1,0)+IF(AW192*1000000+SUM(Y192,AQ192)*10000+SUM(S192,AK192)*100+SUM(M192,AE192)+0.001&gt;AR192*1000000+SUM(T192,AL192)*10000+SUM(N192,AF192)*100+SUM(H192,Z192)+0.006,1,0)=1,"R",IF(IF(AR192*1000000+SUM(T192,AL192)*10000+SUM(N192,AF192)*100+SUM(H192,Z192)+0.006&gt;AS192*1000000+SUM(U192,AM192)*10000+SUM(O192,AG192)*100+SUM(I192,AA192)+0.005,1,0)+IF(AT192*1000000+SUM(V192,AN192)*10000+SUM(P192,AH192)*100+SUM(J192,AB192)+0.004&gt;AS192*1000000+SUM(U192,AM192)*10000+SUM(O192,AG192)*100+SUM(I192,AA192)+0.005,1,0)+IF(AU192*1000000+SUM(W192,AO192)*10000+SUM(Q192,AI192)*100+SUM(K192,AC192)+0.003&gt;AS192*1000000+SUM(U192,AM192)*10000+SUM(O192,AG192)*100+SUM(I192,AA192)+0.005,1,0)+IF(AV192*1000000+SUM(X192,AP192)*10000+SUM(R192,AJ192)*100+SUM(L192,AD192)+0.002&gt;AS192*1000000+SUM(U192,AM192)*10000+SUM(O192,AG192)*100+SUM(I192,AA192)+0.005,1,0)+IF(AW192*1000000+SUM(Y192,AQ192)*10000+SUM(S192,AK192)*100+SUM(M192,AE192)+0.001&gt;AS192*1000000+SUM(U192,AM192)*10000+SUM(O192,AG192)*100+SUM(I192,AA192)+0.005,1,0)=1,"I",IF(IF(AR192*1000000+SUM(T192,AL192)*10000+SUM(N192,AF192)*100+SUM(H192,Z192)+0.006&gt;AT192*1000000+SUM(V192,AN192)*10000+SUM(P192,AH192)*100+SUM(J192,AB192)+0.004,1,0)+IF(AS192*1000000+SUM(U192,AM192)*10000+SUM(O192,AG192)*100+SUM(I192,AA192)+0.005&gt;AT192*1000000+SUM(V192,AN192)*10000+SUM(P192,AH192)*100+SUM(J192,AB192)+0.004,1,0)+IF(AU192*1000000+SUM(W192,AO192)*10000+SUM(Q192,AI192)*100+SUM(K192,AC192)+0.003&gt;AT192*1000000+SUM(V192,AN192)*10000+SUM(P192,AH192)*100+SUM(J192,AB192)+0.004,1,0)+IF(AV192*1000000+SUM(X192,AP192)*10000+SUM(R192,AJ192)*100+SUM(L192,AD192)+0.002&gt;AT192*1000000+SUM(V192,AN192)*10000+SUM(P192,AH192)*100+SUM(J192,AB192)+0.004,1,0)+IF(AW192*1000000+SUM(Y192,AQ192)*10000+SUM(S192,AK192)*100+SUM(M192,AE192)+0.001&gt;AT192*1000000+SUM(V192,AN192)*10000+SUM(P192,AH192)*100+SUM(J192,AB192)+0.004,1,0)=1,"A",IF(IF(AR192*1000000+SUM(T192,AL192)*10000+SUM(N192,AF192)*100+SUM(H192,Z192)+0.006&gt;AU192*1000000+SUM(W192,AO192)*10000+SUM(Q192,AI192)*100+SUM(K192,AC192)+0.003,1,0)+IF(AS192*1000000+SUM(U192,AM192)*10000+SUM(O192,AG192)*100+SUM(I192,AA192)+0.005&gt;AU192*1000000+SUM(W192,AO192)*10000+SUM(Q192,AI192)*100+SUM(K192,AC192)+0.003,1,0)+IF(AT192*1000000+SUM(V192,AN192)*10000+SUM(P192,AH192)*100+SUM(J192,AB192)+0.004&gt;AU192*1000000+SUM(W192,AO192)*10000+SUM(Q192,AI192)*100+SUM(K192,AC192)+0.003,1,0)+IF(AV192*1000000+SUM(X192,AP192)*10000+SUM(R192,AJ192)*100+SUM(L192,AD192)+0.002&gt;AU192*1000000+SUM(W192,AO192)*10000+SUM(Q192,AI192)*100+SUM(K192,AC192)+0.003,1,0)+IF(AW192*1000000+SUM(Y192,AQ192)*10000+SUM(S192,AK192)*100+SUM(M192,AE192)+0.001&gt;AU192*1000000+SUM(W192,AO192)*10000+SUM(Q192,AI192)*100+SUM(K192,AC192)+0.003,1,0)=1,"S",IF(IF(AR192*1000000+SUM(T192,AL192)*10000+SUM(N192,AF192)*100+SUM(H192,Z192)+0.006&gt;AV192*1000000+SUM(X192,AP192)*10000+SUM(R192,AJ192)*100+SUM(L192,AD192)+0.002,1,0)+IF(AS192*1000000+SUM(U192,AM192)*10000+SUM(O192,AG192)*100+SUM(I192,AA192)+0.005&gt;AV192*1000000+SUM(X192,AP192)*10000+SUM(R192,AJ192)*100+SUM(L192,AD192)+0.002,1,0)+IF(AT192*1000000+SUM(V192,AN192)*10000+SUM(P192,AH192)*100+SUM(J192,AB192)+0.004&gt;AV192*1000000+SUM(X192,AP192)*10000+SUM(R192,AJ192)*100+SUM(L192,AD192)+0.002,1,0)+IF(AU192*1000000+SUM(W192,AO192)*10000+SUM(Q192,AI192)*100+SUM(K192,AC192)+0.003&gt;AV192*1000000+SUM(X192,AP192)*10000+SUM(R192,AJ192)*100+SUM(L192,AD192)+0.002,1,0)+IF(AW192*1000000+SUM(Y192,AQ192)*10000+SUM(S192,AK192)*100+SUM(M192,AE192)+0.001&gt;AV192*1000000+SUM(X192,AP192)*10000+SUM(R192,AJ192)*100+SUM(L192,AD192)+0.002,1,0)=1,"E",IF(IF(AR192*1000000+SUM(T192,AL192)*10000+SUM(N192,AF192)*100+SUM(H192,Z192)+0.006&gt;AW192*1000000+SUM(Y192,AQ192)*10000+SUM(S192,AK192)*100+SUM(M192,AE192)+0.001,1,0)+IF(AS192*1000000+SUM(U192,AM192)*10000+SUM(O192,AG192)*100+SUM(I192,AA192)+0.005&gt;AW192*1000000+SUM(Y192,AQ192)*10000+SUM(S192,AK192)*100+SUM(M192,AE192)+0.001,1,0)+IF(AT192*1000000+SUM(V192,AN192)*10000+SUM(P192,AH192)*100+SUM(J192,AB192)+0.004&gt;AW192*1000000+SUM(Y192,AQ192)*10000+SUM(S192,AK192)*100+SUM(M192,AE192)+0.001,1,0)+IF(AU192*1000000+SUM(W192,AO192)*10000+SUM(Q192,AI192)*100+SUM(K192,AC192)+0.003&gt;AW192*1000000+SUM(Y192,AQ192)*10000+SUM(S192,AK192)*100+SUM(M192,AE192)+0.001,1,0)+IF(AV192*1000000+SUM(X192,AP192)*10000+SUM(R192,AJ192)*100+SUM(L192,AD192)+0.002&gt;AW192*1000000+SUM(Y192,AQ192)*10000+SUM(S192,AK192)*100+SUM(M192,AE192)+0.001,1,0)=1,"C",""))))))&amp;IF(IF(AS192*1000000+SUM(U192,AM192)*10000+SUM(O192,AG192)*100+SUM(I192,AA192)+0.005&gt;AR192*1000000+SUM(T192,AL192)*10000+SUM(N192,AF192)*100+SUM(H192,Z192)+0.006,1,0)+IF(AT192*1000000+SUM(V192,AN192)*10000+SUM(P192,AH192)*100+SUM(J192,AB192)+0.004&gt;AR192*1000000+SUM(T192,AL192)*10000+SUM(N192,AF192)*100+SUM(H192,Z192)+0.006,1,0)+IF(AU192*1000000+SUM(W192,AO192)*10000+SUM(Q192,AI192)*100+SUM(K192,AC192)+0.003&gt;AR192*1000000+SUM(T192,AL192)*10000+SUM(N192,AF192)*100+SUM(H192,Z192)+0.006,1,0)+IF(AV192*1000000+SUM(X192,AP192)*10000+SUM(R192,AJ192)*100+SUM(L192,AD192)+0.002&gt;AR192*1000000+SUM(T192,AL192)*10000+SUM(N192,AF192)*100+SUM(H192,Z192)+0.006,1,0)+IF(AW192*1000000+SUM(Y192,AQ192)*10000+SUM(S192,AK192)*100+SUM(M192,AE192)+0.001&gt;AR192*1000000+SUM(T192,AL192)*10000+SUM(N192,AF192)*100+SUM(H192,Z192)+0.006,1,0)=2,"R",IF(IF(AR192*1000000+SUM(T192,AL192)*10000+SUM(N192,AF192)*100+SUM(H192,Z192)+0.006&gt;AS192*1000000+SUM(U192,AM192)*10000+SUM(O192,AG192)*100+SUM(I192,AA192)+0.005,1,0)+IF(AT192*1000000+SUM(V192,AN192)*10000+SUM(P192,AH192)*100+SUM(J192,AB192)+0.004&gt;AS192*1000000+SUM(U192,AM192)*10000+SUM(O192,AG192)*100+SUM(I192,AA192)+0.005,1,0)+IF(AU192*1000000+SUM(W192,AO192)*10000+SUM(Q192,AI192)*100+SUM(K192,AC192)+0.003&gt;AS192*1000000+SUM(U192,AM192)*10000+SUM(O192,AG192)*100+SUM(I192,AA192)+0.005,1,0)+IF(AV192*1000000+SUM(X192,AP192)*10000+SUM(R192,AJ192)*100+SUM(L192,AD192)+0.002&gt;AS192*1000000+SUM(U192,AM192)*10000+SUM(O192,AG192)*100+SUM(I192,AA192)+0.005,1,0)+IF(AW192*1000000+SUM(Y192,AQ192)*10000+SUM(S192,AK192)*100+SUM(M192,AE192)+0.001&gt;AS192*1000000+SUM(U192,AM192)*10000+SUM(O192,AG192)*100+SUM(I192,AA192)+0.005,1,0)=2,"I",IF(IF(AR192*1000000+SUM(T192,AL192)*10000+SUM(N192,AF192)*100+SUM(H192,Z192)+0.006&gt;AT192*1000000+SUM(V192,AN192)*10000+SUM(P192,AH192)*100+SUM(J192,AB192)+0.004,1,0)+IF(AS192*1000000+SUM(U192,AM192)*10000+SUM(O192,AG192)*100+SUM(I192,AA192)+0.005&gt;AT192*1000000+SUM(V192,AN192)*10000+SUM(P192,AH192)*100+SUM(J192,AB192)+0.004,1,0)+IF(AU192*1000000+SUM(W192,AO192)*10000+SUM(Q192,AI192)*100+SUM(K192,AC192)+0.003&gt;AT192*1000000+SUM(V192,AN192)*10000+SUM(P192,AH192)*100+SUM(J192,AB192)+0.004,1,0)+IF(AV192*1000000+SUM(X192,AP192)*10000+SUM(R192,AJ192)*100+SUM(L192,AD192)+0.002&gt;AT192*1000000+SUM(V192,AN192)*10000+SUM(P192,AH192)*100+SUM(J192,AB192)+0.004,1,0)+IF(AW192*1000000+SUM(Y192,AQ192)*10000+SUM(S192,AK192)*100+SUM(M192,AE192)+0.001&gt;AT192*1000000+SUM(V192,AN192)*10000+SUM(P192,AH192)*100+SUM(J192,AB192)+0.004,1,0)=2,"A",IF(IF(AR192*1000000+SUM(T192,AL192)*10000+SUM(N192,AF192)*100+SUM(H192,Z192)+0.006&gt;AU192*1000000+SUM(W192,AO192)*10000+SUM(Q192,AI192)*100+SUM(K192,AC192)+0.003,1,0)+IF(AS192*1000000+SUM(U192,AM192)*10000+SUM(O192,AG192)*100+SUM(I192,AA192)+0.005&gt;AU192*1000000+SUM(W192,AO192)*10000+SUM(Q192,AI192)*100+SUM(K192,AC192)+0.003,1,0)+IF(AT192*1000000+SUM(V192,AN192)*10000+SUM(P192,AH192)*100+SUM(J192,AB192)+0.004&gt;AU192*1000000+SUM(W192,AO192)*10000+SUM(Q192,AI192)*100+SUM(K192,AC192)+0.003,1,0)+IF(AV192*1000000+SUM(X192,AP192)*10000+SUM(R192,AJ192)*100+SUM(L192,AD192)+0.002&gt;AU192*1000000+SUM(W192,AO192)*10000+SUM(Q192,AI192)*100+SUM(K192,AC192)+0.003,1,0)+IF(AW192*1000000+SUM(Y192,AQ192)*10000+SUM(S192,AK192)*100+SUM(M192,AE192)+0.001&gt;AU192*1000000+SUM(W192,AO192)*10000+SUM(Q192,AI192)*100+SUM(K192,AC192)+0.003,1,0)=2,"S",IF(IF(AR192*1000000+SUM(T192,AL192)*10000+SUM(N192,AF192)*100+SUM(H192,Z192)+0.006&gt;AV192*1000000+SUM(X192,AP192)*10000+SUM(R192,AJ192)*100+SUM(L192,AD192)+0.002,1,0)+IF(AS192*1000000+SUM(U192,AM192)*10000+SUM(O192,AG192)*100+SUM(I192,AA192)+0.005&gt;AV192*1000000+SUM(X192,AP192)*10000+SUM(R192,AJ192)*100+SUM(L192,AD192)+0.002,1,0)+IF(AT192*1000000+SUM(V192,AN192)*10000+SUM(P192,AH192)*100+SUM(J192,AB192)+0.004&gt;AV192*1000000+SUM(X192,AP192)*10000+SUM(R192,AJ192)*100+SUM(L192,AD192)+0.002,1,0)+IF(AU192*1000000+SUM(W192,AO192)*10000+SUM(Q192,AI192)*100+SUM(K192,AC192)+0.003&gt;AV192*1000000+SUM(X192,AP192)*10000+SUM(R192,AJ192)*100+SUM(L192,AD192)+0.002,1,0)+IF(AW192*1000000+SUM(Y192,AQ192)*10000+SUM(S192,AK192)*100+SUM(M192,AE192)+0.001&gt;AV192*1000000+SUM(X192,AP192)*10000+SUM(R192,AJ192)*100+SUM(L192,AD192)+0.002,1,0)=2,"E",IF(IF(AR192*1000000+SUM(T192,AL192)*10000+SUM(N192,AF192)*100+SUM(H192,Z192)+0.006&gt;AW192*1000000+SUM(Y192,AQ192)*10000+SUM(S192,AK192)*100+SUM(M192,AE192)+0.001,1,0)+IF(AS192*1000000+SUM(U192,AM192)*10000+SUM(O192,AG192)*100+SUM(I192,AA192)+0.005&gt;AW192*1000000+SUM(Y192,AQ192)*10000+SUM(S192,AK192)*100+SUM(M192,AE192)+0.001,1,0)+IF(AT192*1000000+SUM(V192,AN192)*10000+SUM(P192,AH192)*100+SUM(J192,AB192)+0.004&gt;AW192*1000000+SUM(Y192,AQ192)*10000+SUM(S192,AK192)*100+SUM(M192,AE192)+0.001,1,0)+IF(AU192*1000000+SUM(W192,AO192)*10000+SUM(Q192,AI192)*100+SUM(K192,AC192)+0.003&gt;AW192*1000000+SUM(Y192,AQ192)*10000+SUM(S192,AK192)*100+SUM(M192,AE192)+0.001,1,0)+IF(AV192*1000000+SUM(X192,AP192)*10000+SUM(R192,AJ192)*100+SUM(L192,AD192)+0.002&gt;AW192*1000000+SUM(Y192,AQ192)*10000+SUM(S192,AK192)*100+SUM(M192,AE192)+0.001,1,0)=2,"C","")))))))</x:f>
      </x:c>
      <x:c r="AY192" s="27" t="str">
        <x:f>IF(C192="","",IF(LEFT(AX192,1)="R","นักปฏิบัติ",IF(LEFT(AX192,1)="I","นักคิดวิเคราะห์",IF(LEFT(AX192,1)="A","นักสร้างสรรค์",IF(LEFT(AX192,1)="S","ผู้เข้าใจผู้คน",IF(LEFT(AX192,1)="E","ผู้นำการเปลี่ยนแปลง","ผู้จัดระบบ"))))))</x:f>
      </x:c>
    </x:row>
    <x:row r="193">
      <x:c r="A193" s="27"/>
      <x:c r="B193" s="28"/>
      <x:c r="C193" s="27"/>
      <x:c r="D193" s="27"/>
      <x:c r="E193" s="27"/>
      <x:c r="F193" s="27"/>
      <x:c r="G193" s="27"/>
      <x:c r="H193" s="27"/>
      <x:c r="I193" s="27"/>
      <x:c r="J193" s="27"/>
      <x:c r="K193" s="27"/>
      <x:c r="L193" s="27"/>
      <x:c r="M193" s="27"/>
      <x:c r="N193" s="27"/>
      <x:c r="O193" s="27"/>
      <x:c r="P193" s="27"/>
      <x:c r="Q193" s="27"/>
      <x:c r="R193" s="27"/>
      <x:c r="S193" s="27"/>
      <x:c r="T193" s="27"/>
      <x:c r="U193" s="27"/>
      <x:c r="V193" s="27"/>
      <x:c r="W193" s="27"/>
      <x:c r="X193" s="27"/>
      <x:c r="Y193" s="27"/>
      <x:c r="Z193" s="27"/>
      <x:c r="AA193" s="27"/>
      <x:c r="AB193" s="27"/>
      <x:c r="AC193" s="27"/>
      <x:c r="AD193" s="27"/>
      <x:c r="AE193" s="27"/>
      <x:c r="AF193" s="27"/>
      <x:c r="AG193" s="27"/>
      <x:c r="AH193" s="27"/>
      <x:c r="AI193" s="27"/>
      <x:c r="AJ193" s="27"/>
      <x:c r="AK193" s="27"/>
      <x:c r="AL193" s="27"/>
      <x:c r="AM193" s="27"/>
      <x:c r="AN193" s="27"/>
      <x:c r="AO193" s="27"/>
      <x:c r="AP193" s="27"/>
      <x:c r="AQ193" s="27"/>
      <x:c r="AR193" s="27" t="str">
        <x:f>IF(C193="","",SUM(H193,N193,T193,Z193,AF193,AL193))</x:f>
      </x:c>
      <x:c r="AS193" s="27" t="str">
        <x:f>IF(C193="","",SUM(I193,O193,U193,AA193,AG193,AM193))</x:f>
      </x:c>
      <x:c r="AT193" s="27" t="str">
        <x:f>IF(C193="","",SUM(J193,P193,V193,AB193,AH193,AN193))</x:f>
      </x:c>
      <x:c r="AU193" s="27" t="str">
        <x:f>IF(C193="","",SUM(K193,Q193,W193,AC193,AI193,AO193))</x:f>
      </x:c>
      <x:c r="AV193" s="27" t="str">
        <x:f>IF(C193="","",SUM(L193,R193,X193,AD193,AJ193,AP193))</x:f>
      </x:c>
      <x:c r="AW193" s="27" t="str">
        <x:f>IF(C193="","",SUM(M193,S193,Y193,AE193,AK193,AQ193))</x:f>
      </x:c>
      <x:c r="AX193" s="27" t="str">
        <x:f>IF(C193="","",IF(IF(AS193*1000000+SUM(U193,AM193)*10000+SUM(O193,AG193)*100+SUM(I193,AA193)+0.005&gt;AR193*1000000+SUM(T193,AL193)*10000+SUM(N193,AF193)*100+SUM(H193,Z193)+0.006,1,0)+IF(AT193*1000000+SUM(V193,AN193)*10000+SUM(P193,AH193)*100+SUM(J193,AB193)+0.004&gt;AR193*1000000+SUM(T193,AL193)*10000+SUM(N193,AF193)*100+SUM(H193,Z193)+0.006,1,0)+IF(AU193*1000000+SUM(W193,AO193)*10000+SUM(Q193,AI193)*100+SUM(K193,AC193)+0.003&gt;AR193*1000000+SUM(T193,AL193)*10000+SUM(N193,AF193)*100+SUM(H193,Z193)+0.006,1,0)+IF(AV193*1000000+SUM(X193,AP193)*10000+SUM(R193,AJ193)*100+SUM(L193,AD193)+0.002&gt;AR193*1000000+SUM(T193,AL193)*10000+SUM(N193,AF193)*100+SUM(H193,Z193)+0.006,1,0)+IF(AW193*1000000+SUM(Y193,AQ193)*10000+SUM(S193,AK193)*100+SUM(M193,AE193)+0.001&gt;AR193*1000000+SUM(T193,AL193)*10000+SUM(N193,AF193)*100+SUM(H193,Z193)+0.006,1,0)=0,"R",IF(IF(AR193*1000000+SUM(T193,AL193)*10000+SUM(N193,AF193)*100+SUM(H193,Z193)+0.006&gt;AS193*1000000+SUM(U193,AM193)*10000+SUM(O193,AG193)*100+SUM(I193,AA193)+0.005,1,0)+IF(AT193*1000000+SUM(V193,AN193)*10000+SUM(P193,AH193)*100+SUM(J193,AB193)+0.004&gt;AS193*1000000+SUM(U193,AM193)*10000+SUM(O193,AG193)*100+SUM(I193,AA193)+0.005,1,0)+IF(AU193*1000000+SUM(W193,AO193)*10000+SUM(Q193,AI193)*100+SUM(K193,AC193)+0.003&gt;AS193*1000000+SUM(U193,AM193)*10000+SUM(O193,AG193)*100+SUM(I193,AA193)+0.005,1,0)+IF(AV193*1000000+SUM(X193,AP193)*10000+SUM(R193,AJ193)*100+SUM(L193,AD193)+0.002&gt;AS193*1000000+SUM(U193,AM193)*10000+SUM(O193,AG193)*100+SUM(I193,AA193)+0.005,1,0)+IF(AW193*1000000+SUM(Y193,AQ193)*10000+SUM(S193,AK193)*100+SUM(M193,AE193)+0.001&gt;AS193*1000000+SUM(U193,AM193)*10000+SUM(O193,AG193)*100+SUM(I193,AA193)+0.005,1,0)=0,"I",IF(IF(AR193*1000000+SUM(T193,AL193)*10000+SUM(N193,AF193)*100+SUM(H193,Z193)+0.006&gt;AT193*1000000+SUM(V193,AN193)*10000+SUM(P193,AH193)*100+SUM(J193,AB193)+0.004,1,0)+IF(AS193*1000000+SUM(U193,AM193)*10000+SUM(O193,AG193)*100+SUM(I193,AA193)+0.005&gt;AT193*1000000+SUM(V193,AN193)*10000+SUM(P193,AH193)*100+SUM(J193,AB193)+0.004,1,0)+IF(AU193*1000000+SUM(W193,AO193)*10000+SUM(Q193,AI193)*100+SUM(K193,AC193)+0.003&gt;AT193*1000000+SUM(V193,AN193)*10000+SUM(P193,AH193)*100+SUM(J193,AB193)+0.004,1,0)+IF(AV193*1000000+SUM(X193,AP193)*10000+SUM(R193,AJ193)*100+SUM(L193,AD193)+0.002&gt;AT193*1000000+SUM(V193,AN193)*10000+SUM(P193,AH193)*100+SUM(J193,AB193)+0.004,1,0)+IF(AW193*1000000+SUM(Y193,AQ193)*10000+SUM(S193,AK193)*100+SUM(M193,AE193)+0.001&gt;AT193*1000000+SUM(V193,AN193)*10000+SUM(P193,AH193)*100+SUM(J193,AB193)+0.004,1,0)=0,"A",IF(IF(AR193*1000000+SUM(T193,AL193)*10000+SUM(N193,AF193)*100+SUM(H193,Z193)+0.006&gt;AU193*1000000+SUM(W193,AO193)*10000+SUM(Q193,AI193)*100+SUM(K193,AC193)+0.003,1,0)+IF(AS193*1000000+SUM(U193,AM193)*10000+SUM(O193,AG193)*100+SUM(I193,AA193)+0.005&gt;AU193*1000000+SUM(W193,AO193)*10000+SUM(Q193,AI193)*100+SUM(K193,AC193)+0.003,1,0)+IF(AT193*1000000+SUM(V193,AN193)*10000+SUM(P193,AH193)*100+SUM(J193,AB193)+0.004&gt;AU193*1000000+SUM(W193,AO193)*10000+SUM(Q193,AI193)*100+SUM(K193,AC193)+0.003,1,0)+IF(AV193*1000000+SUM(X193,AP193)*10000+SUM(R193,AJ193)*100+SUM(L193,AD193)+0.002&gt;AU193*1000000+SUM(W193,AO193)*10000+SUM(Q193,AI193)*100+SUM(K193,AC193)+0.003,1,0)+IF(AW193*1000000+SUM(Y193,AQ193)*10000+SUM(S193,AK193)*100+SUM(M193,AE193)+0.001&gt;AU193*1000000+SUM(W193,AO193)*10000+SUM(Q193,AI193)*100+SUM(K193,AC193)+0.003,1,0)=0,"S",IF(IF(AR193*1000000+SUM(T193,AL193)*10000+SUM(N193,AF193)*100+SUM(H193,Z193)+0.006&gt;AV193*1000000+SUM(X193,AP193)*10000+SUM(R193,AJ193)*100+SUM(L193,AD193)+0.002,1,0)+IF(AS193*1000000+SUM(U193,AM193)*10000+SUM(O193,AG193)*100+SUM(I193,AA193)+0.005&gt;AV193*1000000+SUM(X193,AP193)*10000+SUM(R193,AJ193)*100+SUM(L193,AD193)+0.002,1,0)+IF(AT193*1000000+SUM(V193,AN193)*10000+SUM(P193,AH193)*100+SUM(J193,AB193)+0.004&gt;AV193*1000000+SUM(X193,AP193)*10000+SUM(R193,AJ193)*100+SUM(L193,AD193)+0.002,1,0)+IF(AU193*1000000+SUM(W193,AO193)*10000+SUM(Q193,AI193)*100+SUM(K193,AC193)+0.003&gt;AV193*1000000+SUM(X193,AP193)*10000+SUM(R193,AJ193)*100+SUM(L193,AD193)+0.002,1,0)+IF(AW193*1000000+SUM(Y193,AQ193)*10000+SUM(S193,AK193)*100+SUM(M193,AE193)+0.001&gt;AV193*1000000+SUM(X193,AP193)*10000+SUM(R193,AJ193)*100+SUM(L193,AD193)+0.002,1,0)=0,"E",IF(IF(AR193*1000000+SUM(T193,AL193)*10000+SUM(N193,AF193)*100+SUM(H193,Z193)+0.006&gt;AW193*1000000+SUM(Y193,AQ193)*10000+SUM(S193,AK193)*100+SUM(M193,AE193)+0.001,1,0)+IF(AS193*1000000+SUM(U193,AM193)*10000+SUM(O193,AG193)*100+SUM(I193,AA193)+0.005&gt;AW193*1000000+SUM(Y193,AQ193)*10000+SUM(S193,AK193)*100+SUM(M193,AE193)+0.001,1,0)+IF(AT193*1000000+SUM(V193,AN193)*10000+SUM(P193,AH193)*100+SUM(J193,AB193)+0.004&gt;AW193*1000000+SUM(Y193,AQ193)*10000+SUM(S193,AK193)*100+SUM(M193,AE193)+0.001,1,0)+IF(AU193*1000000+SUM(W193,AO193)*10000+SUM(Q193,AI193)*100+SUM(K193,AC193)+0.003&gt;AW193*1000000+SUM(Y193,AQ193)*10000+SUM(S193,AK193)*100+SUM(M193,AE193)+0.001,1,0)+IF(AV193*1000000+SUM(X193,AP193)*10000+SUM(R193,AJ193)*100+SUM(L193,AD193)+0.002&gt;AW193*1000000+SUM(Y193,AQ193)*10000+SUM(S193,AK193)*100+SUM(M193,AE193)+0.001,1,0)=0,"C",""))))))&amp;IF(IF(AS193*1000000+SUM(U193,AM193)*10000+SUM(O193,AG193)*100+SUM(I193,AA193)+0.005&gt;AR193*1000000+SUM(T193,AL193)*10000+SUM(N193,AF193)*100+SUM(H193,Z193)+0.006,1,0)+IF(AT193*1000000+SUM(V193,AN193)*10000+SUM(P193,AH193)*100+SUM(J193,AB193)+0.004&gt;AR193*1000000+SUM(T193,AL193)*10000+SUM(N193,AF193)*100+SUM(H193,Z193)+0.006,1,0)+IF(AU193*1000000+SUM(W193,AO193)*10000+SUM(Q193,AI193)*100+SUM(K193,AC193)+0.003&gt;AR193*1000000+SUM(T193,AL193)*10000+SUM(N193,AF193)*100+SUM(H193,Z193)+0.006,1,0)+IF(AV193*1000000+SUM(X193,AP193)*10000+SUM(R193,AJ193)*100+SUM(L193,AD193)+0.002&gt;AR193*1000000+SUM(T193,AL193)*10000+SUM(N193,AF193)*100+SUM(H193,Z193)+0.006,1,0)+IF(AW193*1000000+SUM(Y193,AQ193)*10000+SUM(S193,AK193)*100+SUM(M193,AE193)+0.001&gt;AR193*1000000+SUM(T193,AL193)*10000+SUM(N193,AF193)*100+SUM(H193,Z193)+0.006,1,0)=1,"R",IF(IF(AR193*1000000+SUM(T193,AL193)*10000+SUM(N193,AF193)*100+SUM(H193,Z193)+0.006&gt;AS193*1000000+SUM(U193,AM193)*10000+SUM(O193,AG193)*100+SUM(I193,AA193)+0.005,1,0)+IF(AT193*1000000+SUM(V193,AN193)*10000+SUM(P193,AH193)*100+SUM(J193,AB193)+0.004&gt;AS193*1000000+SUM(U193,AM193)*10000+SUM(O193,AG193)*100+SUM(I193,AA193)+0.005,1,0)+IF(AU193*1000000+SUM(W193,AO193)*10000+SUM(Q193,AI193)*100+SUM(K193,AC193)+0.003&gt;AS193*1000000+SUM(U193,AM193)*10000+SUM(O193,AG193)*100+SUM(I193,AA193)+0.005,1,0)+IF(AV193*1000000+SUM(X193,AP193)*10000+SUM(R193,AJ193)*100+SUM(L193,AD193)+0.002&gt;AS193*1000000+SUM(U193,AM193)*10000+SUM(O193,AG193)*100+SUM(I193,AA193)+0.005,1,0)+IF(AW193*1000000+SUM(Y193,AQ193)*10000+SUM(S193,AK193)*100+SUM(M193,AE193)+0.001&gt;AS193*1000000+SUM(U193,AM193)*10000+SUM(O193,AG193)*100+SUM(I193,AA193)+0.005,1,0)=1,"I",IF(IF(AR193*1000000+SUM(T193,AL193)*10000+SUM(N193,AF193)*100+SUM(H193,Z193)+0.006&gt;AT193*1000000+SUM(V193,AN193)*10000+SUM(P193,AH193)*100+SUM(J193,AB193)+0.004,1,0)+IF(AS193*1000000+SUM(U193,AM193)*10000+SUM(O193,AG193)*100+SUM(I193,AA193)+0.005&gt;AT193*1000000+SUM(V193,AN193)*10000+SUM(P193,AH193)*100+SUM(J193,AB193)+0.004,1,0)+IF(AU193*1000000+SUM(W193,AO193)*10000+SUM(Q193,AI193)*100+SUM(K193,AC193)+0.003&gt;AT193*1000000+SUM(V193,AN193)*10000+SUM(P193,AH193)*100+SUM(J193,AB193)+0.004,1,0)+IF(AV193*1000000+SUM(X193,AP193)*10000+SUM(R193,AJ193)*100+SUM(L193,AD193)+0.002&gt;AT193*1000000+SUM(V193,AN193)*10000+SUM(P193,AH193)*100+SUM(J193,AB193)+0.004,1,0)+IF(AW193*1000000+SUM(Y193,AQ193)*10000+SUM(S193,AK193)*100+SUM(M193,AE193)+0.001&gt;AT193*1000000+SUM(V193,AN193)*10000+SUM(P193,AH193)*100+SUM(J193,AB193)+0.004,1,0)=1,"A",IF(IF(AR193*1000000+SUM(T193,AL193)*10000+SUM(N193,AF193)*100+SUM(H193,Z193)+0.006&gt;AU193*1000000+SUM(W193,AO193)*10000+SUM(Q193,AI193)*100+SUM(K193,AC193)+0.003,1,0)+IF(AS193*1000000+SUM(U193,AM193)*10000+SUM(O193,AG193)*100+SUM(I193,AA193)+0.005&gt;AU193*1000000+SUM(W193,AO193)*10000+SUM(Q193,AI193)*100+SUM(K193,AC193)+0.003,1,0)+IF(AT193*1000000+SUM(V193,AN193)*10000+SUM(P193,AH193)*100+SUM(J193,AB193)+0.004&gt;AU193*1000000+SUM(W193,AO193)*10000+SUM(Q193,AI193)*100+SUM(K193,AC193)+0.003,1,0)+IF(AV193*1000000+SUM(X193,AP193)*10000+SUM(R193,AJ193)*100+SUM(L193,AD193)+0.002&gt;AU193*1000000+SUM(W193,AO193)*10000+SUM(Q193,AI193)*100+SUM(K193,AC193)+0.003,1,0)+IF(AW193*1000000+SUM(Y193,AQ193)*10000+SUM(S193,AK193)*100+SUM(M193,AE193)+0.001&gt;AU193*1000000+SUM(W193,AO193)*10000+SUM(Q193,AI193)*100+SUM(K193,AC193)+0.003,1,0)=1,"S",IF(IF(AR193*1000000+SUM(T193,AL193)*10000+SUM(N193,AF193)*100+SUM(H193,Z193)+0.006&gt;AV193*1000000+SUM(X193,AP193)*10000+SUM(R193,AJ193)*100+SUM(L193,AD193)+0.002,1,0)+IF(AS193*1000000+SUM(U193,AM193)*10000+SUM(O193,AG193)*100+SUM(I193,AA193)+0.005&gt;AV193*1000000+SUM(X193,AP193)*10000+SUM(R193,AJ193)*100+SUM(L193,AD193)+0.002,1,0)+IF(AT193*1000000+SUM(V193,AN193)*10000+SUM(P193,AH193)*100+SUM(J193,AB193)+0.004&gt;AV193*1000000+SUM(X193,AP193)*10000+SUM(R193,AJ193)*100+SUM(L193,AD193)+0.002,1,0)+IF(AU193*1000000+SUM(W193,AO193)*10000+SUM(Q193,AI193)*100+SUM(K193,AC193)+0.003&gt;AV193*1000000+SUM(X193,AP193)*10000+SUM(R193,AJ193)*100+SUM(L193,AD193)+0.002,1,0)+IF(AW193*1000000+SUM(Y193,AQ193)*10000+SUM(S193,AK193)*100+SUM(M193,AE193)+0.001&gt;AV193*1000000+SUM(X193,AP193)*10000+SUM(R193,AJ193)*100+SUM(L193,AD193)+0.002,1,0)=1,"E",IF(IF(AR193*1000000+SUM(T193,AL193)*10000+SUM(N193,AF193)*100+SUM(H193,Z193)+0.006&gt;AW193*1000000+SUM(Y193,AQ193)*10000+SUM(S193,AK193)*100+SUM(M193,AE193)+0.001,1,0)+IF(AS193*1000000+SUM(U193,AM193)*10000+SUM(O193,AG193)*100+SUM(I193,AA193)+0.005&gt;AW193*1000000+SUM(Y193,AQ193)*10000+SUM(S193,AK193)*100+SUM(M193,AE193)+0.001,1,0)+IF(AT193*1000000+SUM(V193,AN193)*10000+SUM(P193,AH193)*100+SUM(J193,AB193)+0.004&gt;AW193*1000000+SUM(Y193,AQ193)*10000+SUM(S193,AK193)*100+SUM(M193,AE193)+0.001,1,0)+IF(AU193*1000000+SUM(W193,AO193)*10000+SUM(Q193,AI193)*100+SUM(K193,AC193)+0.003&gt;AW193*1000000+SUM(Y193,AQ193)*10000+SUM(S193,AK193)*100+SUM(M193,AE193)+0.001,1,0)+IF(AV193*1000000+SUM(X193,AP193)*10000+SUM(R193,AJ193)*100+SUM(L193,AD193)+0.002&gt;AW193*1000000+SUM(Y193,AQ193)*10000+SUM(S193,AK193)*100+SUM(M193,AE193)+0.001,1,0)=1,"C",""))))))&amp;IF(IF(AS193*1000000+SUM(U193,AM193)*10000+SUM(O193,AG193)*100+SUM(I193,AA193)+0.005&gt;AR193*1000000+SUM(T193,AL193)*10000+SUM(N193,AF193)*100+SUM(H193,Z193)+0.006,1,0)+IF(AT193*1000000+SUM(V193,AN193)*10000+SUM(P193,AH193)*100+SUM(J193,AB193)+0.004&gt;AR193*1000000+SUM(T193,AL193)*10000+SUM(N193,AF193)*100+SUM(H193,Z193)+0.006,1,0)+IF(AU193*1000000+SUM(W193,AO193)*10000+SUM(Q193,AI193)*100+SUM(K193,AC193)+0.003&gt;AR193*1000000+SUM(T193,AL193)*10000+SUM(N193,AF193)*100+SUM(H193,Z193)+0.006,1,0)+IF(AV193*1000000+SUM(X193,AP193)*10000+SUM(R193,AJ193)*100+SUM(L193,AD193)+0.002&gt;AR193*1000000+SUM(T193,AL193)*10000+SUM(N193,AF193)*100+SUM(H193,Z193)+0.006,1,0)+IF(AW193*1000000+SUM(Y193,AQ193)*10000+SUM(S193,AK193)*100+SUM(M193,AE193)+0.001&gt;AR193*1000000+SUM(T193,AL193)*10000+SUM(N193,AF193)*100+SUM(H193,Z193)+0.006,1,0)=2,"R",IF(IF(AR193*1000000+SUM(T193,AL193)*10000+SUM(N193,AF193)*100+SUM(H193,Z193)+0.006&gt;AS193*1000000+SUM(U193,AM193)*10000+SUM(O193,AG193)*100+SUM(I193,AA193)+0.005,1,0)+IF(AT193*1000000+SUM(V193,AN193)*10000+SUM(P193,AH193)*100+SUM(J193,AB193)+0.004&gt;AS193*1000000+SUM(U193,AM193)*10000+SUM(O193,AG193)*100+SUM(I193,AA193)+0.005,1,0)+IF(AU193*1000000+SUM(W193,AO193)*10000+SUM(Q193,AI193)*100+SUM(K193,AC193)+0.003&gt;AS193*1000000+SUM(U193,AM193)*10000+SUM(O193,AG193)*100+SUM(I193,AA193)+0.005,1,0)+IF(AV193*1000000+SUM(X193,AP193)*10000+SUM(R193,AJ193)*100+SUM(L193,AD193)+0.002&gt;AS193*1000000+SUM(U193,AM193)*10000+SUM(O193,AG193)*100+SUM(I193,AA193)+0.005,1,0)+IF(AW193*1000000+SUM(Y193,AQ193)*10000+SUM(S193,AK193)*100+SUM(M193,AE193)+0.001&gt;AS193*1000000+SUM(U193,AM193)*10000+SUM(O193,AG193)*100+SUM(I193,AA193)+0.005,1,0)=2,"I",IF(IF(AR193*1000000+SUM(T193,AL193)*10000+SUM(N193,AF193)*100+SUM(H193,Z193)+0.006&gt;AT193*1000000+SUM(V193,AN193)*10000+SUM(P193,AH193)*100+SUM(J193,AB193)+0.004,1,0)+IF(AS193*1000000+SUM(U193,AM193)*10000+SUM(O193,AG193)*100+SUM(I193,AA193)+0.005&gt;AT193*1000000+SUM(V193,AN193)*10000+SUM(P193,AH193)*100+SUM(J193,AB193)+0.004,1,0)+IF(AU193*1000000+SUM(W193,AO193)*10000+SUM(Q193,AI193)*100+SUM(K193,AC193)+0.003&gt;AT193*1000000+SUM(V193,AN193)*10000+SUM(P193,AH193)*100+SUM(J193,AB193)+0.004,1,0)+IF(AV193*1000000+SUM(X193,AP193)*10000+SUM(R193,AJ193)*100+SUM(L193,AD193)+0.002&gt;AT193*1000000+SUM(V193,AN193)*10000+SUM(P193,AH193)*100+SUM(J193,AB193)+0.004,1,0)+IF(AW193*1000000+SUM(Y193,AQ193)*10000+SUM(S193,AK193)*100+SUM(M193,AE193)+0.001&gt;AT193*1000000+SUM(V193,AN193)*10000+SUM(P193,AH193)*100+SUM(J193,AB193)+0.004,1,0)=2,"A",IF(IF(AR193*1000000+SUM(T193,AL193)*10000+SUM(N193,AF193)*100+SUM(H193,Z193)+0.006&gt;AU193*1000000+SUM(W193,AO193)*10000+SUM(Q193,AI193)*100+SUM(K193,AC193)+0.003,1,0)+IF(AS193*1000000+SUM(U193,AM193)*10000+SUM(O193,AG193)*100+SUM(I193,AA193)+0.005&gt;AU193*1000000+SUM(W193,AO193)*10000+SUM(Q193,AI193)*100+SUM(K193,AC193)+0.003,1,0)+IF(AT193*1000000+SUM(V193,AN193)*10000+SUM(P193,AH193)*100+SUM(J193,AB193)+0.004&gt;AU193*1000000+SUM(W193,AO193)*10000+SUM(Q193,AI193)*100+SUM(K193,AC193)+0.003,1,0)+IF(AV193*1000000+SUM(X193,AP193)*10000+SUM(R193,AJ193)*100+SUM(L193,AD193)+0.002&gt;AU193*1000000+SUM(W193,AO193)*10000+SUM(Q193,AI193)*100+SUM(K193,AC193)+0.003,1,0)+IF(AW193*1000000+SUM(Y193,AQ193)*10000+SUM(S193,AK193)*100+SUM(M193,AE193)+0.001&gt;AU193*1000000+SUM(W193,AO193)*10000+SUM(Q193,AI193)*100+SUM(K193,AC193)+0.003,1,0)=2,"S",IF(IF(AR193*1000000+SUM(T193,AL193)*10000+SUM(N193,AF193)*100+SUM(H193,Z193)+0.006&gt;AV193*1000000+SUM(X193,AP193)*10000+SUM(R193,AJ193)*100+SUM(L193,AD193)+0.002,1,0)+IF(AS193*1000000+SUM(U193,AM193)*10000+SUM(O193,AG193)*100+SUM(I193,AA193)+0.005&gt;AV193*1000000+SUM(X193,AP193)*10000+SUM(R193,AJ193)*100+SUM(L193,AD193)+0.002,1,0)+IF(AT193*1000000+SUM(V193,AN193)*10000+SUM(P193,AH193)*100+SUM(J193,AB193)+0.004&gt;AV193*1000000+SUM(X193,AP193)*10000+SUM(R193,AJ193)*100+SUM(L193,AD193)+0.002,1,0)+IF(AU193*1000000+SUM(W193,AO193)*10000+SUM(Q193,AI193)*100+SUM(K193,AC193)+0.003&gt;AV193*1000000+SUM(X193,AP193)*10000+SUM(R193,AJ193)*100+SUM(L193,AD193)+0.002,1,0)+IF(AW193*1000000+SUM(Y193,AQ193)*10000+SUM(S193,AK193)*100+SUM(M193,AE193)+0.001&gt;AV193*1000000+SUM(X193,AP193)*10000+SUM(R193,AJ193)*100+SUM(L193,AD193)+0.002,1,0)=2,"E",IF(IF(AR193*1000000+SUM(T193,AL193)*10000+SUM(N193,AF193)*100+SUM(H193,Z193)+0.006&gt;AW193*1000000+SUM(Y193,AQ193)*10000+SUM(S193,AK193)*100+SUM(M193,AE193)+0.001,1,0)+IF(AS193*1000000+SUM(U193,AM193)*10000+SUM(O193,AG193)*100+SUM(I193,AA193)+0.005&gt;AW193*1000000+SUM(Y193,AQ193)*10000+SUM(S193,AK193)*100+SUM(M193,AE193)+0.001,1,0)+IF(AT193*1000000+SUM(V193,AN193)*10000+SUM(P193,AH193)*100+SUM(J193,AB193)+0.004&gt;AW193*1000000+SUM(Y193,AQ193)*10000+SUM(S193,AK193)*100+SUM(M193,AE193)+0.001,1,0)+IF(AU193*1000000+SUM(W193,AO193)*10000+SUM(Q193,AI193)*100+SUM(K193,AC193)+0.003&gt;AW193*1000000+SUM(Y193,AQ193)*10000+SUM(S193,AK193)*100+SUM(M193,AE193)+0.001,1,0)+IF(AV193*1000000+SUM(X193,AP193)*10000+SUM(R193,AJ193)*100+SUM(L193,AD193)+0.002&gt;AW193*1000000+SUM(Y193,AQ193)*10000+SUM(S193,AK193)*100+SUM(M193,AE193)+0.001,1,0)=2,"C","")))))))</x:f>
      </x:c>
      <x:c r="AY193" s="27" t="str">
        <x:f>IF(C193="","",IF(LEFT(AX193,1)="R","นักปฏิบัติ",IF(LEFT(AX193,1)="I","นักคิดวิเคราะห์",IF(LEFT(AX193,1)="A","นักสร้างสรรค์",IF(LEFT(AX193,1)="S","ผู้เข้าใจผู้คน",IF(LEFT(AX193,1)="E","ผู้นำการเปลี่ยนแปลง","ผู้จัดระบบ"))))))</x:f>
      </x:c>
    </x:row>
    <x:row r="194">
      <x:c r="A194" s="27"/>
      <x:c r="B194" s="28"/>
      <x:c r="C194" s="27"/>
      <x:c r="D194" s="27"/>
      <x:c r="E194" s="27"/>
      <x:c r="F194" s="27"/>
      <x:c r="G194" s="27"/>
      <x:c r="H194" s="27"/>
      <x:c r="I194" s="27"/>
      <x:c r="J194" s="27"/>
      <x:c r="K194" s="27"/>
      <x:c r="L194" s="27"/>
      <x:c r="M194" s="27"/>
      <x:c r="N194" s="27"/>
      <x:c r="O194" s="27"/>
      <x:c r="P194" s="27"/>
      <x:c r="Q194" s="27"/>
      <x:c r="R194" s="27"/>
      <x:c r="S194" s="27"/>
      <x:c r="T194" s="27"/>
      <x:c r="U194" s="27"/>
      <x:c r="V194" s="27"/>
      <x:c r="W194" s="27"/>
      <x:c r="X194" s="27"/>
      <x:c r="Y194" s="27"/>
      <x:c r="Z194" s="27"/>
      <x:c r="AA194" s="27"/>
      <x:c r="AB194" s="27"/>
      <x:c r="AC194" s="27"/>
      <x:c r="AD194" s="27"/>
      <x:c r="AE194" s="27"/>
      <x:c r="AF194" s="27"/>
      <x:c r="AG194" s="27"/>
      <x:c r="AH194" s="27"/>
      <x:c r="AI194" s="27"/>
      <x:c r="AJ194" s="27"/>
      <x:c r="AK194" s="27"/>
      <x:c r="AL194" s="27"/>
      <x:c r="AM194" s="27"/>
      <x:c r="AN194" s="27"/>
      <x:c r="AO194" s="27"/>
      <x:c r="AP194" s="27"/>
      <x:c r="AQ194" s="27"/>
      <x:c r="AR194" s="27" t="str">
        <x:f>IF(C194="","",SUM(H194,N194,T194,Z194,AF194,AL194))</x:f>
      </x:c>
      <x:c r="AS194" s="27" t="str">
        <x:f>IF(C194="","",SUM(I194,O194,U194,AA194,AG194,AM194))</x:f>
      </x:c>
      <x:c r="AT194" s="27" t="str">
        <x:f>IF(C194="","",SUM(J194,P194,V194,AB194,AH194,AN194))</x:f>
      </x:c>
      <x:c r="AU194" s="27" t="str">
        <x:f>IF(C194="","",SUM(K194,Q194,W194,AC194,AI194,AO194))</x:f>
      </x:c>
      <x:c r="AV194" s="27" t="str">
        <x:f>IF(C194="","",SUM(L194,R194,X194,AD194,AJ194,AP194))</x:f>
      </x:c>
      <x:c r="AW194" s="27" t="str">
        <x:f>IF(C194="","",SUM(M194,S194,Y194,AE194,AK194,AQ194))</x:f>
      </x:c>
      <x:c r="AX194" s="27" t="str">
        <x:f>IF(C194="","",IF(IF(AS194*1000000+SUM(U194,AM194)*10000+SUM(O194,AG194)*100+SUM(I194,AA194)+0.005&gt;AR194*1000000+SUM(T194,AL194)*10000+SUM(N194,AF194)*100+SUM(H194,Z194)+0.006,1,0)+IF(AT194*1000000+SUM(V194,AN194)*10000+SUM(P194,AH194)*100+SUM(J194,AB194)+0.004&gt;AR194*1000000+SUM(T194,AL194)*10000+SUM(N194,AF194)*100+SUM(H194,Z194)+0.006,1,0)+IF(AU194*1000000+SUM(W194,AO194)*10000+SUM(Q194,AI194)*100+SUM(K194,AC194)+0.003&gt;AR194*1000000+SUM(T194,AL194)*10000+SUM(N194,AF194)*100+SUM(H194,Z194)+0.006,1,0)+IF(AV194*1000000+SUM(X194,AP194)*10000+SUM(R194,AJ194)*100+SUM(L194,AD194)+0.002&gt;AR194*1000000+SUM(T194,AL194)*10000+SUM(N194,AF194)*100+SUM(H194,Z194)+0.006,1,0)+IF(AW194*1000000+SUM(Y194,AQ194)*10000+SUM(S194,AK194)*100+SUM(M194,AE194)+0.001&gt;AR194*1000000+SUM(T194,AL194)*10000+SUM(N194,AF194)*100+SUM(H194,Z194)+0.006,1,0)=0,"R",IF(IF(AR194*1000000+SUM(T194,AL194)*10000+SUM(N194,AF194)*100+SUM(H194,Z194)+0.006&gt;AS194*1000000+SUM(U194,AM194)*10000+SUM(O194,AG194)*100+SUM(I194,AA194)+0.005,1,0)+IF(AT194*1000000+SUM(V194,AN194)*10000+SUM(P194,AH194)*100+SUM(J194,AB194)+0.004&gt;AS194*1000000+SUM(U194,AM194)*10000+SUM(O194,AG194)*100+SUM(I194,AA194)+0.005,1,0)+IF(AU194*1000000+SUM(W194,AO194)*10000+SUM(Q194,AI194)*100+SUM(K194,AC194)+0.003&gt;AS194*1000000+SUM(U194,AM194)*10000+SUM(O194,AG194)*100+SUM(I194,AA194)+0.005,1,0)+IF(AV194*1000000+SUM(X194,AP194)*10000+SUM(R194,AJ194)*100+SUM(L194,AD194)+0.002&gt;AS194*1000000+SUM(U194,AM194)*10000+SUM(O194,AG194)*100+SUM(I194,AA194)+0.005,1,0)+IF(AW194*1000000+SUM(Y194,AQ194)*10000+SUM(S194,AK194)*100+SUM(M194,AE194)+0.001&gt;AS194*1000000+SUM(U194,AM194)*10000+SUM(O194,AG194)*100+SUM(I194,AA194)+0.005,1,0)=0,"I",IF(IF(AR194*1000000+SUM(T194,AL194)*10000+SUM(N194,AF194)*100+SUM(H194,Z194)+0.006&gt;AT194*1000000+SUM(V194,AN194)*10000+SUM(P194,AH194)*100+SUM(J194,AB194)+0.004,1,0)+IF(AS194*1000000+SUM(U194,AM194)*10000+SUM(O194,AG194)*100+SUM(I194,AA194)+0.005&gt;AT194*1000000+SUM(V194,AN194)*10000+SUM(P194,AH194)*100+SUM(J194,AB194)+0.004,1,0)+IF(AU194*1000000+SUM(W194,AO194)*10000+SUM(Q194,AI194)*100+SUM(K194,AC194)+0.003&gt;AT194*1000000+SUM(V194,AN194)*10000+SUM(P194,AH194)*100+SUM(J194,AB194)+0.004,1,0)+IF(AV194*1000000+SUM(X194,AP194)*10000+SUM(R194,AJ194)*100+SUM(L194,AD194)+0.002&gt;AT194*1000000+SUM(V194,AN194)*10000+SUM(P194,AH194)*100+SUM(J194,AB194)+0.004,1,0)+IF(AW194*1000000+SUM(Y194,AQ194)*10000+SUM(S194,AK194)*100+SUM(M194,AE194)+0.001&gt;AT194*1000000+SUM(V194,AN194)*10000+SUM(P194,AH194)*100+SUM(J194,AB194)+0.004,1,0)=0,"A",IF(IF(AR194*1000000+SUM(T194,AL194)*10000+SUM(N194,AF194)*100+SUM(H194,Z194)+0.006&gt;AU194*1000000+SUM(W194,AO194)*10000+SUM(Q194,AI194)*100+SUM(K194,AC194)+0.003,1,0)+IF(AS194*1000000+SUM(U194,AM194)*10000+SUM(O194,AG194)*100+SUM(I194,AA194)+0.005&gt;AU194*1000000+SUM(W194,AO194)*10000+SUM(Q194,AI194)*100+SUM(K194,AC194)+0.003,1,0)+IF(AT194*1000000+SUM(V194,AN194)*10000+SUM(P194,AH194)*100+SUM(J194,AB194)+0.004&gt;AU194*1000000+SUM(W194,AO194)*10000+SUM(Q194,AI194)*100+SUM(K194,AC194)+0.003,1,0)+IF(AV194*1000000+SUM(X194,AP194)*10000+SUM(R194,AJ194)*100+SUM(L194,AD194)+0.002&gt;AU194*1000000+SUM(W194,AO194)*10000+SUM(Q194,AI194)*100+SUM(K194,AC194)+0.003,1,0)+IF(AW194*1000000+SUM(Y194,AQ194)*10000+SUM(S194,AK194)*100+SUM(M194,AE194)+0.001&gt;AU194*1000000+SUM(W194,AO194)*10000+SUM(Q194,AI194)*100+SUM(K194,AC194)+0.003,1,0)=0,"S",IF(IF(AR194*1000000+SUM(T194,AL194)*10000+SUM(N194,AF194)*100+SUM(H194,Z194)+0.006&gt;AV194*1000000+SUM(X194,AP194)*10000+SUM(R194,AJ194)*100+SUM(L194,AD194)+0.002,1,0)+IF(AS194*1000000+SUM(U194,AM194)*10000+SUM(O194,AG194)*100+SUM(I194,AA194)+0.005&gt;AV194*1000000+SUM(X194,AP194)*10000+SUM(R194,AJ194)*100+SUM(L194,AD194)+0.002,1,0)+IF(AT194*1000000+SUM(V194,AN194)*10000+SUM(P194,AH194)*100+SUM(J194,AB194)+0.004&gt;AV194*1000000+SUM(X194,AP194)*10000+SUM(R194,AJ194)*100+SUM(L194,AD194)+0.002,1,0)+IF(AU194*1000000+SUM(W194,AO194)*10000+SUM(Q194,AI194)*100+SUM(K194,AC194)+0.003&gt;AV194*1000000+SUM(X194,AP194)*10000+SUM(R194,AJ194)*100+SUM(L194,AD194)+0.002,1,0)+IF(AW194*1000000+SUM(Y194,AQ194)*10000+SUM(S194,AK194)*100+SUM(M194,AE194)+0.001&gt;AV194*1000000+SUM(X194,AP194)*10000+SUM(R194,AJ194)*100+SUM(L194,AD194)+0.002,1,0)=0,"E",IF(IF(AR194*1000000+SUM(T194,AL194)*10000+SUM(N194,AF194)*100+SUM(H194,Z194)+0.006&gt;AW194*1000000+SUM(Y194,AQ194)*10000+SUM(S194,AK194)*100+SUM(M194,AE194)+0.001,1,0)+IF(AS194*1000000+SUM(U194,AM194)*10000+SUM(O194,AG194)*100+SUM(I194,AA194)+0.005&gt;AW194*1000000+SUM(Y194,AQ194)*10000+SUM(S194,AK194)*100+SUM(M194,AE194)+0.001,1,0)+IF(AT194*1000000+SUM(V194,AN194)*10000+SUM(P194,AH194)*100+SUM(J194,AB194)+0.004&gt;AW194*1000000+SUM(Y194,AQ194)*10000+SUM(S194,AK194)*100+SUM(M194,AE194)+0.001,1,0)+IF(AU194*1000000+SUM(W194,AO194)*10000+SUM(Q194,AI194)*100+SUM(K194,AC194)+0.003&gt;AW194*1000000+SUM(Y194,AQ194)*10000+SUM(S194,AK194)*100+SUM(M194,AE194)+0.001,1,0)+IF(AV194*1000000+SUM(X194,AP194)*10000+SUM(R194,AJ194)*100+SUM(L194,AD194)+0.002&gt;AW194*1000000+SUM(Y194,AQ194)*10000+SUM(S194,AK194)*100+SUM(M194,AE194)+0.001,1,0)=0,"C",""))))))&amp;IF(IF(AS194*1000000+SUM(U194,AM194)*10000+SUM(O194,AG194)*100+SUM(I194,AA194)+0.005&gt;AR194*1000000+SUM(T194,AL194)*10000+SUM(N194,AF194)*100+SUM(H194,Z194)+0.006,1,0)+IF(AT194*1000000+SUM(V194,AN194)*10000+SUM(P194,AH194)*100+SUM(J194,AB194)+0.004&gt;AR194*1000000+SUM(T194,AL194)*10000+SUM(N194,AF194)*100+SUM(H194,Z194)+0.006,1,0)+IF(AU194*1000000+SUM(W194,AO194)*10000+SUM(Q194,AI194)*100+SUM(K194,AC194)+0.003&gt;AR194*1000000+SUM(T194,AL194)*10000+SUM(N194,AF194)*100+SUM(H194,Z194)+0.006,1,0)+IF(AV194*1000000+SUM(X194,AP194)*10000+SUM(R194,AJ194)*100+SUM(L194,AD194)+0.002&gt;AR194*1000000+SUM(T194,AL194)*10000+SUM(N194,AF194)*100+SUM(H194,Z194)+0.006,1,0)+IF(AW194*1000000+SUM(Y194,AQ194)*10000+SUM(S194,AK194)*100+SUM(M194,AE194)+0.001&gt;AR194*1000000+SUM(T194,AL194)*10000+SUM(N194,AF194)*100+SUM(H194,Z194)+0.006,1,0)=1,"R",IF(IF(AR194*1000000+SUM(T194,AL194)*10000+SUM(N194,AF194)*100+SUM(H194,Z194)+0.006&gt;AS194*1000000+SUM(U194,AM194)*10000+SUM(O194,AG194)*100+SUM(I194,AA194)+0.005,1,0)+IF(AT194*1000000+SUM(V194,AN194)*10000+SUM(P194,AH194)*100+SUM(J194,AB194)+0.004&gt;AS194*1000000+SUM(U194,AM194)*10000+SUM(O194,AG194)*100+SUM(I194,AA194)+0.005,1,0)+IF(AU194*1000000+SUM(W194,AO194)*10000+SUM(Q194,AI194)*100+SUM(K194,AC194)+0.003&gt;AS194*1000000+SUM(U194,AM194)*10000+SUM(O194,AG194)*100+SUM(I194,AA194)+0.005,1,0)+IF(AV194*1000000+SUM(X194,AP194)*10000+SUM(R194,AJ194)*100+SUM(L194,AD194)+0.002&gt;AS194*1000000+SUM(U194,AM194)*10000+SUM(O194,AG194)*100+SUM(I194,AA194)+0.005,1,0)+IF(AW194*1000000+SUM(Y194,AQ194)*10000+SUM(S194,AK194)*100+SUM(M194,AE194)+0.001&gt;AS194*1000000+SUM(U194,AM194)*10000+SUM(O194,AG194)*100+SUM(I194,AA194)+0.005,1,0)=1,"I",IF(IF(AR194*1000000+SUM(T194,AL194)*10000+SUM(N194,AF194)*100+SUM(H194,Z194)+0.006&gt;AT194*1000000+SUM(V194,AN194)*10000+SUM(P194,AH194)*100+SUM(J194,AB194)+0.004,1,0)+IF(AS194*1000000+SUM(U194,AM194)*10000+SUM(O194,AG194)*100+SUM(I194,AA194)+0.005&gt;AT194*1000000+SUM(V194,AN194)*10000+SUM(P194,AH194)*100+SUM(J194,AB194)+0.004,1,0)+IF(AU194*1000000+SUM(W194,AO194)*10000+SUM(Q194,AI194)*100+SUM(K194,AC194)+0.003&gt;AT194*1000000+SUM(V194,AN194)*10000+SUM(P194,AH194)*100+SUM(J194,AB194)+0.004,1,0)+IF(AV194*1000000+SUM(X194,AP194)*10000+SUM(R194,AJ194)*100+SUM(L194,AD194)+0.002&gt;AT194*1000000+SUM(V194,AN194)*10000+SUM(P194,AH194)*100+SUM(J194,AB194)+0.004,1,0)+IF(AW194*1000000+SUM(Y194,AQ194)*10000+SUM(S194,AK194)*100+SUM(M194,AE194)+0.001&gt;AT194*1000000+SUM(V194,AN194)*10000+SUM(P194,AH194)*100+SUM(J194,AB194)+0.004,1,0)=1,"A",IF(IF(AR194*1000000+SUM(T194,AL194)*10000+SUM(N194,AF194)*100+SUM(H194,Z194)+0.006&gt;AU194*1000000+SUM(W194,AO194)*10000+SUM(Q194,AI194)*100+SUM(K194,AC194)+0.003,1,0)+IF(AS194*1000000+SUM(U194,AM194)*10000+SUM(O194,AG194)*100+SUM(I194,AA194)+0.005&gt;AU194*1000000+SUM(W194,AO194)*10000+SUM(Q194,AI194)*100+SUM(K194,AC194)+0.003,1,0)+IF(AT194*1000000+SUM(V194,AN194)*10000+SUM(P194,AH194)*100+SUM(J194,AB194)+0.004&gt;AU194*1000000+SUM(W194,AO194)*10000+SUM(Q194,AI194)*100+SUM(K194,AC194)+0.003,1,0)+IF(AV194*1000000+SUM(X194,AP194)*10000+SUM(R194,AJ194)*100+SUM(L194,AD194)+0.002&gt;AU194*1000000+SUM(W194,AO194)*10000+SUM(Q194,AI194)*100+SUM(K194,AC194)+0.003,1,0)+IF(AW194*1000000+SUM(Y194,AQ194)*10000+SUM(S194,AK194)*100+SUM(M194,AE194)+0.001&gt;AU194*1000000+SUM(W194,AO194)*10000+SUM(Q194,AI194)*100+SUM(K194,AC194)+0.003,1,0)=1,"S",IF(IF(AR194*1000000+SUM(T194,AL194)*10000+SUM(N194,AF194)*100+SUM(H194,Z194)+0.006&gt;AV194*1000000+SUM(X194,AP194)*10000+SUM(R194,AJ194)*100+SUM(L194,AD194)+0.002,1,0)+IF(AS194*1000000+SUM(U194,AM194)*10000+SUM(O194,AG194)*100+SUM(I194,AA194)+0.005&gt;AV194*1000000+SUM(X194,AP194)*10000+SUM(R194,AJ194)*100+SUM(L194,AD194)+0.002,1,0)+IF(AT194*1000000+SUM(V194,AN194)*10000+SUM(P194,AH194)*100+SUM(J194,AB194)+0.004&gt;AV194*1000000+SUM(X194,AP194)*10000+SUM(R194,AJ194)*100+SUM(L194,AD194)+0.002,1,0)+IF(AU194*1000000+SUM(W194,AO194)*10000+SUM(Q194,AI194)*100+SUM(K194,AC194)+0.003&gt;AV194*1000000+SUM(X194,AP194)*10000+SUM(R194,AJ194)*100+SUM(L194,AD194)+0.002,1,0)+IF(AW194*1000000+SUM(Y194,AQ194)*10000+SUM(S194,AK194)*100+SUM(M194,AE194)+0.001&gt;AV194*1000000+SUM(X194,AP194)*10000+SUM(R194,AJ194)*100+SUM(L194,AD194)+0.002,1,0)=1,"E",IF(IF(AR194*1000000+SUM(T194,AL194)*10000+SUM(N194,AF194)*100+SUM(H194,Z194)+0.006&gt;AW194*1000000+SUM(Y194,AQ194)*10000+SUM(S194,AK194)*100+SUM(M194,AE194)+0.001,1,0)+IF(AS194*1000000+SUM(U194,AM194)*10000+SUM(O194,AG194)*100+SUM(I194,AA194)+0.005&gt;AW194*1000000+SUM(Y194,AQ194)*10000+SUM(S194,AK194)*100+SUM(M194,AE194)+0.001,1,0)+IF(AT194*1000000+SUM(V194,AN194)*10000+SUM(P194,AH194)*100+SUM(J194,AB194)+0.004&gt;AW194*1000000+SUM(Y194,AQ194)*10000+SUM(S194,AK194)*100+SUM(M194,AE194)+0.001,1,0)+IF(AU194*1000000+SUM(W194,AO194)*10000+SUM(Q194,AI194)*100+SUM(K194,AC194)+0.003&gt;AW194*1000000+SUM(Y194,AQ194)*10000+SUM(S194,AK194)*100+SUM(M194,AE194)+0.001,1,0)+IF(AV194*1000000+SUM(X194,AP194)*10000+SUM(R194,AJ194)*100+SUM(L194,AD194)+0.002&gt;AW194*1000000+SUM(Y194,AQ194)*10000+SUM(S194,AK194)*100+SUM(M194,AE194)+0.001,1,0)=1,"C",""))))))&amp;IF(IF(AS194*1000000+SUM(U194,AM194)*10000+SUM(O194,AG194)*100+SUM(I194,AA194)+0.005&gt;AR194*1000000+SUM(T194,AL194)*10000+SUM(N194,AF194)*100+SUM(H194,Z194)+0.006,1,0)+IF(AT194*1000000+SUM(V194,AN194)*10000+SUM(P194,AH194)*100+SUM(J194,AB194)+0.004&gt;AR194*1000000+SUM(T194,AL194)*10000+SUM(N194,AF194)*100+SUM(H194,Z194)+0.006,1,0)+IF(AU194*1000000+SUM(W194,AO194)*10000+SUM(Q194,AI194)*100+SUM(K194,AC194)+0.003&gt;AR194*1000000+SUM(T194,AL194)*10000+SUM(N194,AF194)*100+SUM(H194,Z194)+0.006,1,0)+IF(AV194*1000000+SUM(X194,AP194)*10000+SUM(R194,AJ194)*100+SUM(L194,AD194)+0.002&gt;AR194*1000000+SUM(T194,AL194)*10000+SUM(N194,AF194)*100+SUM(H194,Z194)+0.006,1,0)+IF(AW194*1000000+SUM(Y194,AQ194)*10000+SUM(S194,AK194)*100+SUM(M194,AE194)+0.001&gt;AR194*1000000+SUM(T194,AL194)*10000+SUM(N194,AF194)*100+SUM(H194,Z194)+0.006,1,0)=2,"R",IF(IF(AR194*1000000+SUM(T194,AL194)*10000+SUM(N194,AF194)*100+SUM(H194,Z194)+0.006&gt;AS194*1000000+SUM(U194,AM194)*10000+SUM(O194,AG194)*100+SUM(I194,AA194)+0.005,1,0)+IF(AT194*1000000+SUM(V194,AN194)*10000+SUM(P194,AH194)*100+SUM(J194,AB194)+0.004&gt;AS194*1000000+SUM(U194,AM194)*10000+SUM(O194,AG194)*100+SUM(I194,AA194)+0.005,1,0)+IF(AU194*1000000+SUM(W194,AO194)*10000+SUM(Q194,AI194)*100+SUM(K194,AC194)+0.003&gt;AS194*1000000+SUM(U194,AM194)*10000+SUM(O194,AG194)*100+SUM(I194,AA194)+0.005,1,0)+IF(AV194*1000000+SUM(X194,AP194)*10000+SUM(R194,AJ194)*100+SUM(L194,AD194)+0.002&gt;AS194*1000000+SUM(U194,AM194)*10000+SUM(O194,AG194)*100+SUM(I194,AA194)+0.005,1,0)+IF(AW194*1000000+SUM(Y194,AQ194)*10000+SUM(S194,AK194)*100+SUM(M194,AE194)+0.001&gt;AS194*1000000+SUM(U194,AM194)*10000+SUM(O194,AG194)*100+SUM(I194,AA194)+0.005,1,0)=2,"I",IF(IF(AR194*1000000+SUM(T194,AL194)*10000+SUM(N194,AF194)*100+SUM(H194,Z194)+0.006&gt;AT194*1000000+SUM(V194,AN194)*10000+SUM(P194,AH194)*100+SUM(J194,AB194)+0.004,1,0)+IF(AS194*1000000+SUM(U194,AM194)*10000+SUM(O194,AG194)*100+SUM(I194,AA194)+0.005&gt;AT194*1000000+SUM(V194,AN194)*10000+SUM(P194,AH194)*100+SUM(J194,AB194)+0.004,1,0)+IF(AU194*1000000+SUM(W194,AO194)*10000+SUM(Q194,AI194)*100+SUM(K194,AC194)+0.003&gt;AT194*1000000+SUM(V194,AN194)*10000+SUM(P194,AH194)*100+SUM(J194,AB194)+0.004,1,0)+IF(AV194*1000000+SUM(X194,AP194)*10000+SUM(R194,AJ194)*100+SUM(L194,AD194)+0.002&gt;AT194*1000000+SUM(V194,AN194)*10000+SUM(P194,AH194)*100+SUM(J194,AB194)+0.004,1,0)+IF(AW194*1000000+SUM(Y194,AQ194)*10000+SUM(S194,AK194)*100+SUM(M194,AE194)+0.001&gt;AT194*1000000+SUM(V194,AN194)*10000+SUM(P194,AH194)*100+SUM(J194,AB194)+0.004,1,0)=2,"A",IF(IF(AR194*1000000+SUM(T194,AL194)*10000+SUM(N194,AF194)*100+SUM(H194,Z194)+0.006&gt;AU194*1000000+SUM(W194,AO194)*10000+SUM(Q194,AI194)*100+SUM(K194,AC194)+0.003,1,0)+IF(AS194*1000000+SUM(U194,AM194)*10000+SUM(O194,AG194)*100+SUM(I194,AA194)+0.005&gt;AU194*1000000+SUM(W194,AO194)*10000+SUM(Q194,AI194)*100+SUM(K194,AC194)+0.003,1,0)+IF(AT194*1000000+SUM(V194,AN194)*10000+SUM(P194,AH194)*100+SUM(J194,AB194)+0.004&gt;AU194*1000000+SUM(W194,AO194)*10000+SUM(Q194,AI194)*100+SUM(K194,AC194)+0.003,1,0)+IF(AV194*1000000+SUM(X194,AP194)*10000+SUM(R194,AJ194)*100+SUM(L194,AD194)+0.002&gt;AU194*1000000+SUM(W194,AO194)*10000+SUM(Q194,AI194)*100+SUM(K194,AC194)+0.003,1,0)+IF(AW194*1000000+SUM(Y194,AQ194)*10000+SUM(S194,AK194)*100+SUM(M194,AE194)+0.001&gt;AU194*1000000+SUM(W194,AO194)*10000+SUM(Q194,AI194)*100+SUM(K194,AC194)+0.003,1,0)=2,"S",IF(IF(AR194*1000000+SUM(T194,AL194)*10000+SUM(N194,AF194)*100+SUM(H194,Z194)+0.006&gt;AV194*1000000+SUM(X194,AP194)*10000+SUM(R194,AJ194)*100+SUM(L194,AD194)+0.002,1,0)+IF(AS194*1000000+SUM(U194,AM194)*10000+SUM(O194,AG194)*100+SUM(I194,AA194)+0.005&gt;AV194*1000000+SUM(X194,AP194)*10000+SUM(R194,AJ194)*100+SUM(L194,AD194)+0.002,1,0)+IF(AT194*1000000+SUM(V194,AN194)*10000+SUM(P194,AH194)*100+SUM(J194,AB194)+0.004&gt;AV194*1000000+SUM(X194,AP194)*10000+SUM(R194,AJ194)*100+SUM(L194,AD194)+0.002,1,0)+IF(AU194*1000000+SUM(W194,AO194)*10000+SUM(Q194,AI194)*100+SUM(K194,AC194)+0.003&gt;AV194*1000000+SUM(X194,AP194)*10000+SUM(R194,AJ194)*100+SUM(L194,AD194)+0.002,1,0)+IF(AW194*1000000+SUM(Y194,AQ194)*10000+SUM(S194,AK194)*100+SUM(M194,AE194)+0.001&gt;AV194*1000000+SUM(X194,AP194)*10000+SUM(R194,AJ194)*100+SUM(L194,AD194)+0.002,1,0)=2,"E",IF(IF(AR194*1000000+SUM(T194,AL194)*10000+SUM(N194,AF194)*100+SUM(H194,Z194)+0.006&gt;AW194*1000000+SUM(Y194,AQ194)*10000+SUM(S194,AK194)*100+SUM(M194,AE194)+0.001,1,0)+IF(AS194*1000000+SUM(U194,AM194)*10000+SUM(O194,AG194)*100+SUM(I194,AA194)+0.005&gt;AW194*1000000+SUM(Y194,AQ194)*10000+SUM(S194,AK194)*100+SUM(M194,AE194)+0.001,1,0)+IF(AT194*1000000+SUM(V194,AN194)*10000+SUM(P194,AH194)*100+SUM(J194,AB194)+0.004&gt;AW194*1000000+SUM(Y194,AQ194)*10000+SUM(S194,AK194)*100+SUM(M194,AE194)+0.001,1,0)+IF(AU194*1000000+SUM(W194,AO194)*10000+SUM(Q194,AI194)*100+SUM(K194,AC194)+0.003&gt;AW194*1000000+SUM(Y194,AQ194)*10000+SUM(S194,AK194)*100+SUM(M194,AE194)+0.001,1,0)+IF(AV194*1000000+SUM(X194,AP194)*10000+SUM(R194,AJ194)*100+SUM(L194,AD194)+0.002&gt;AW194*1000000+SUM(Y194,AQ194)*10000+SUM(S194,AK194)*100+SUM(M194,AE194)+0.001,1,0)=2,"C","")))))))</x:f>
      </x:c>
      <x:c r="AY194" s="27" t="str">
        <x:f>IF(C194="","",IF(LEFT(AX194,1)="R","นักปฏิบัติ",IF(LEFT(AX194,1)="I","นักคิดวิเคราะห์",IF(LEFT(AX194,1)="A","นักสร้างสรรค์",IF(LEFT(AX194,1)="S","ผู้เข้าใจผู้คน",IF(LEFT(AX194,1)="E","ผู้นำการเปลี่ยนแปลง","ผู้จัดระบบ"))))))</x:f>
      </x:c>
    </x:row>
    <x:row r="195">
      <x:c r="A195" s="27"/>
      <x:c r="B195" s="28"/>
      <x:c r="C195" s="27"/>
      <x:c r="D195" s="27"/>
      <x:c r="E195" s="27"/>
      <x:c r="F195" s="27"/>
      <x:c r="G195" s="27"/>
      <x:c r="H195" s="27"/>
      <x:c r="I195" s="27"/>
      <x:c r="J195" s="27"/>
      <x:c r="K195" s="27"/>
      <x:c r="L195" s="27"/>
      <x:c r="M195" s="27"/>
      <x:c r="N195" s="27"/>
      <x:c r="O195" s="27"/>
      <x:c r="P195" s="27"/>
      <x:c r="Q195" s="27"/>
      <x:c r="R195" s="27"/>
      <x:c r="S195" s="27"/>
      <x:c r="T195" s="27"/>
      <x:c r="U195" s="27"/>
      <x:c r="V195" s="27"/>
      <x:c r="W195" s="27"/>
      <x:c r="X195" s="27"/>
      <x:c r="Y195" s="27"/>
      <x:c r="Z195" s="27"/>
      <x:c r="AA195" s="27"/>
      <x:c r="AB195" s="27"/>
      <x:c r="AC195" s="27"/>
      <x:c r="AD195" s="27"/>
      <x:c r="AE195" s="27"/>
      <x:c r="AF195" s="27"/>
      <x:c r="AG195" s="27"/>
      <x:c r="AH195" s="27"/>
      <x:c r="AI195" s="27"/>
      <x:c r="AJ195" s="27"/>
      <x:c r="AK195" s="27"/>
      <x:c r="AL195" s="27"/>
      <x:c r="AM195" s="27"/>
      <x:c r="AN195" s="27"/>
      <x:c r="AO195" s="27"/>
      <x:c r="AP195" s="27"/>
      <x:c r="AQ195" s="27"/>
      <x:c r="AR195" s="27" t="str">
        <x:f>IF(C195="","",SUM(H195,N195,T195,Z195,AF195,AL195))</x:f>
      </x:c>
      <x:c r="AS195" s="27" t="str">
        <x:f>IF(C195="","",SUM(I195,O195,U195,AA195,AG195,AM195))</x:f>
      </x:c>
      <x:c r="AT195" s="27" t="str">
        <x:f>IF(C195="","",SUM(J195,P195,V195,AB195,AH195,AN195))</x:f>
      </x:c>
      <x:c r="AU195" s="27" t="str">
        <x:f>IF(C195="","",SUM(K195,Q195,W195,AC195,AI195,AO195))</x:f>
      </x:c>
      <x:c r="AV195" s="27" t="str">
        <x:f>IF(C195="","",SUM(L195,R195,X195,AD195,AJ195,AP195))</x:f>
      </x:c>
      <x:c r="AW195" s="27" t="str">
        <x:f>IF(C195="","",SUM(M195,S195,Y195,AE195,AK195,AQ195))</x:f>
      </x:c>
      <x:c r="AX195" s="27" t="str">
        <x:f>IF(C195="","",IF(IF(AS195*1000000+SUM(U195,AM195)*10000+SUM(O195,AG195)*100+SUM(I195,AA195)+0.005&gt;AR195*1000000+SUM(T195,AL195)*10000+SUM(N195,AF195)*100+SUM(H195,Z195)+0.006,1,0)+IF(AT195*1000000+SUM(V195,AN195)*10000+SUM(P195,AH195)*100+SUM(J195,AB195)+0.004&gt;AR195*1000000+SUM(T195,AL195)*10000+SUM(N195,AF195)*100+SUM(H195,Z195)+0.006,1,0)+IF(AU195*1000000+SUM(W195,AO195)*10000+SUM(Q195,AI195)*100+SUM(K195,AC195)+0.003&gt;AR195*1000000+SUM(T195,AL195)*10000+SUM(N195,AF195)*100+SUM(H195,Z195)+0.006,1,0)+IF(AV195*1000000+SUM(X195,AP195)*10000+SUM(R195,AJ195)*100+SUM(L195,AD195)+0.002&gt;AR195*1000000+SUM(T195,AL195)*10000+SUM(N195,AF195)*100+SUM(H195,Z195)+0.006,1,0)+IF(AW195*1000000+SUM(Y195,AQ195)*10000+SUM(S195,AK195)*100+SUM(M195,AE195)+0.001&gt;AR195*1000000+SUM(T195,AL195)*10000+SUM(N195,AF195)*100+SUM(H195,Z195)+0.006,1,0)=0,"R",IF(IF(AR195*1000000+SUM(T195,AL195)*10000+SUM(N195,AF195)*100+SUM(H195,Z195)+0.006&gt;AS195*1000000+SUM(U195,AM195)*10000+SUM(O195,AG195)*100+SUM(I195,AA195)+0.005,1,0)+IF(AT195*1000000+SUM(V195,AN195)*10000+SUM(P195,AH195)*100+SUM(J195,AB195)+0.004&gt;AS195*1000000+SUM(U195,AM195)*10000+SUM(O195,AG195)*100+SUM(I195,AA195)+0.005,1,0)+IF(AU195*1000000+SUM(W195,AO195)*10000+SUM(Q195,AI195)*100+SUM(K195,AC195)+0.003&gt;AS195*1000000+SUM(U195,AM195)*10000+SUM(O195,AG195)*100+SUM(I195,AA195)+0.005,1,0)+IF(AV195*1000000+SUM(X195,AP195)*10000+SUM(R195,AJ195)*100+SUM(L195,AD195)+0.002&gt;AS195*1000000+SUM(U195,AM195)*10000+SUM(O195,AG195)*100+SUM(I195,AA195)+0.005,1,0)+IF(AW195*1000000+SUM(Y195,AQ195)*10000+SUM(S195,AK195)*100+SUM(M195,AE195)+0.001&gt;AS195*1000000+SUM(U195,AM195)*10000+SUM(O195,AG195)*100+SUM(I195,AA195)+0.005,1,0)=0,"I",IF(IF(AR195*1000000+SUM(T195,AL195)*10000+SUM(N195,AF195)*100+SUM(H195,Z195)+0.006&gt;AT195*1000000+SUM(V195,AN195)*10000+SUM(P195,AH195)*100+SUM(J195,AB195)+0.004,1,0)+IF(AS195*1000000+SUM(U195,AM195)*10000+SUM(O195,AG195)*100+SUM(I195,AA195)+0.005&gt;AT195*1000000+SUM(V195,AN195)*10000+SUM(P195,AH195)*100+SUM(J195,AB195)+0.004,1,0)+IF(AU195*1000000+SUM(W195,AO195)*10000+SUM(Q195,AI195)*100+SUM(K195,AC195)+0.003&gt;AT195*1000000+SUM(V195,AN195)*10000+SUM(P195,AH195)*100+SUM(J195,AB195)+0.004,1,0)+IF(AV195*1000000+SUM(X195,AP195)*10000+SUM(R195,AJ195)*100+SUM(L195,AD195)+0.002&gt;AT195*1000000+SUM(V195,AN195)*10000+SUM(P195,AH195)*100+SUM(J195,AB195)+0.004,1,0)+IF(AW195*1000000+SUM(Y195,AQ195)*10000+SUM(S195,AK195)*100+SUM(M195,AE195)+0.001&gt;AT195*1000000+SUM(V195,AN195)*10000+SUM(P195,AH195)*100+SUM(J195,AB195)+0.004,1,0)=0,"A",IF(IF(AR195*1000000+SUM(T195,AL195)*10000+SUM(N195,AF195)*100+SUM(H195,Z195)+0.006&gt;AU195*1000000+SUM(W195,AO195)*10000+SUM(Q195,AI195)*100+SUM(K195,AC195)+0.003,1,0)+IF(AS195*1000000+SUM(U195,AM195)*10000+SUM(O195,AG195)*100+SUM(I195,AA195)+0.005&gt;AU195*1000000+SUM(W195,AO195)*10000+SUM(Q195,AI195)*100+SUM(K195,AC195)+0.003,1,0)+IF(AT195*1000000+SUM(V195,AN195)*10000+SUM(P195,AH195)*100+SUM(J195,AB195)+0.004&gt;AU195*1000000+SUM(W195,AO195)*10000+SUM(Q195,AI195)*100+SUM(K195,AC195)+0.003,1,0)+IF(AV195*1000000+SUM(X195,AP195)*10000+SUM(R195,AJ195)*100+SUM(L195,AD195)+0.002&gt;AU195*1000000+SUM(W195,AO195)*10000+SUM(Q195,AI195)*100+SUM(K195,AC195)+0.003,1,0)+IF(AW195*1000000+SUM(Y195,AQ195)*10000+SUM(S195,AK195)*100+SUM(M195,AE195)+0.001&gt;AU195*1000000+SUM(W195,AO195)*10000+SUM(Q195,AI195)*100+SUM(K195,AC195)+0.003,1,0)=0,"S",IF(IF(AR195*1000000+SUM(T195,AL195)*10000+SUM(N195,AF195)*100+SUM(H195,Z195)+0.006&gt;AV195*1000000+SUM(X195,AP195)*10000+SUM(R195,AJ195)*100+SUM(L195,AD195)+0.002,1,0)+IF(AS195*1000000+SUM(U195,AM195)*10000+SUM(O195,AG195)*100+SUM(I195,AA195)+0.005&gt;AV195*1000000+SUM(X195,AP195)*10000+SUM(R195,AJ195)*100+SUM(L195,AD195)+0.002,1,0)+IF(AT195*1000000+SUM(V195,AN195)*10000+SUM(P195,AH195)*100+SUM(J195,AB195)+0.004&gt;AV195*1000000+SUM(X195,AP195)*10000+SUM(R195,AJ195)*100+SUM(L195,AD195)+0.002,1,0)+IF(AU195*1000000+SUM(W195,AO195)*10000+SUM(Q195,AI195)*100+SUM(K195,AC195)+0.003&gt;AV195*1000000+SUM(X195,AP195)*10000+SUM(R195,AJ195)*100+SUM(L195,AD195)+0.002,1,0)+IF(AW195*1000000+SUM(Y195,AQ195)*10000+SUM(S195,AK195)*100+SUM(M195,AE195)+0.001&gt;AV195*1000000+SUM(X195,AP195)*10000+SUM(R195,AJ195)*100+SUM(L195,AD195)+0.002,1,0)=0,"E",IF(IF(AR195*1000000+SUM(T195,AL195)*10000+SUM(N195,AF195)*100+SUM(H195,Z195)+0.006&gt;AW195*1000000+SUM(Y195,AQ195)*10000+SUM(S195,AK195)*100+SUM(M195,AE195)+0.001,1,0)+IF(AS195*1000000+SUM(U195,AM195)*10000+SUM(O195,AG195)*100+SUM(I195,AA195)+0.005&gt;AW195*1000000+SUM(Y195,AQ195)*10000+SUM(S195,AK195)*100+SUM(M195,AE195)+0.001,1,0)+IF(AT195*1000000+SUM(V195,AN195)*10000+SUM(P195,AH195)*100+SUM(J195,AB195)+0.004&gt;AW195*1000000+SUM(Y195,AQ195)*10000+SUM(S195,AK195)*100+SUM(M195,AE195)+0.001,1,0)+IF(AU195*1000000+SUM(W195,AO195)*10000+SUM(Q195,AI195)*100+SUM(K195,AC195)+0.003&gt;AW195*1000000+SUM(Y195,AQ195)*10000+SUM(S195,AK195)*100+SUM(M195,AE195)+0.001,1,0)+IF(AV195*1000000+SUM(X195,AP195)*10000+SUM(R195,AJ195)*100+SUM(L195,AD195)+0.002&gt;AW195*1000000+SUM(Y195,AQ195)*10000+SUM(S195,AK195)*100+SUM(M195,AE195)+0.001,1,0)=0,"C",""))))))&amp;IF(IF(AS195*1000000+SUM(U195,AM195)*10000+SUM(O195,AG195)*100+SUM(I195,AA195)+0.005&gt;AR195*1000000+SUM(T195,AL195)*10000+SUM(N195,AF195)*100+SUM(H195,Z195)+0.006,1,0)+IF(AT195*1000000+SUM(V195,AN195)*10000+SUM(P195,AH195)*100+SUM(J195,AB195)+0.004&gt;AR195*1000000+SUM(T195,AL195)*10000+SUM(N195,AF195)*100+SUM(H195,Z195)+0.006,1,0)+IF(AU195*1000000+SUM(W195,AO195)*10000+SUM(Q195,AI195)*100+SUM(K195,AC195)+0.003&gt;AR195*1000000+SUM(T195,AL195)*10000+SUM(N195,AF195)*100+SUM(H195,Z195)+0.006,1,0)+IF(AV195*1000000+SUM(X195,AP195)*10000+SUM(R195,AJ195)*100+SUM(L195,AD195)+0.002&gt;AR195*1000000+SUM(T195,AL195)*10000+SUM(N195,AF195)*100+SUM(H195,Z195)+0.006,1,0)+IF(AW195*1000000+SUM(Y195,AQ195)*10000+SUM(S195,AK195)*100+SUM(M195,AE195)+0.001&gt;AR195*1000000+SUM(T195,AL195)*10000+SUM(N195,AF195)*100+SUM(H195,Z195)+0.006,1,0)=1,"R",IF(IF(AR195*1000000+SUM(T195,AL195)*10000+SUM(N195,AF195)*100+SUM(H195,Z195)+0.006&gt;AS195*1000000+SUM(U195,AM195)*10000+SUM(O195,AG195)*100+SUM(I195,AA195)+0.005,1,0)+IF(AT195*1000000+SUM(V195,AN195)*10000+SUM(P195,AH195)*100+SUM(J195,AB195)+0.004&gt;AS195*1000000+SUM(U195,AM195)*10000+SUM(O195,AG195)*100+SUM(I195,AA195)+0.005,1,0)+IF(AU195*1000000+SUM(W195,AO195)*10000+SUM(Q195,AI195)*100+SUM(K195,AC195)+0.003&gt;AS195*1000000+SUM(U195,AM195)*10000+SUM(O195,AG195)*100+SUM(I195,AA195)+0.005,1,0)+IF(AV195*1000000+SUM(X195,AP195)*10000+SUM(R195,AJ195)*100+SUM(L195,AD195)+0.002&gt;AS195*1000000+SUM(U195,AM195)*10000+SUM(O195,AG195)*100+SUM(I195,AA195)+0.005,1,0)+IF(AW195*1000000+SUM(Y195,AQ195)*10000+SUM(S195,AK195)*100+SUM(M195,AE195)+0.001&gt;AS195*1000000+SUM(U195,AM195)*10000+SUM(O195,AG195)*100+SUM(I195,AA195)+0.005,1,0)=1,"I",IF(IF(AR195*1000000+SUM(T195,AL195)*10000+SUM(N195,AF195)*100+SUM(H195,Z195)+0.006&gt;AT195*1000000+SUM(V195,AN195)*10000+SUM(P195,AH195)*100+SUM(J195,AB195)+0.004,1,0)+IF(AS195*1000000+SUM(U195,AM195)*10000+SUM(O195,AG195)*100+SUM(I195,AA195)+0.005&gt;AT195*1000000+SUM(V195,AN195)*10000+SUM(P195,AH195)*100+SUM(J195,AB195)+0.004,1,0)+IF(AU195*1000000+SUM(W195,AO195)*10000+SUM(Q195,AI195)*100+SUM(K195,AC195)+0.003&gt;AT195*1000000+SUM(V195,AN195)*10000+SUM(P195,AH195)*100+SUM(J195,AB195)+0.004,1,0)+IF(AV195*1000000+SUM(X195,AP195)*10000+SUM(R195,AJ195)*100+SUM(L195,AD195)+0.002&gt;AT195*1000000+SUM(V195,AN195)*10000+SUM(P195,AH195)*100+SUM(J195,AB195)+0.004,1,0)+IF(AW195*1000000+SUM(Y195,AQ195)*10000+SUM(S195,AK195)*100+SUM(M195,AE195)+0.001&gt;AT195*1000000+SUM(V195,AN195)*10000+SUM(P195,AH195)*100+SUM(J195,AB195)+0.004,1,0)=1,"A",IF(IF(AR195*1000000+SUM(T195,AL195)*10000+SUM(N195,AF195)*100+SUM(H195,Z195)+0.006&gt;AU195*1000000+SUM(W195,AO195)*10000+SUM(Q195,AI195)*100+SUM(K195,AC195)+0.003,1,0)+IF(AS195*1000000+SUM(U195,AM195)*10000+SUM(O195,AG195)*100+SUM(I195,AA195)+0.005&gt;AU195*1000000+SUM(W195,AO195)*10000+SUM(Q195,AI195)*100+SUM(K195,AC195)+0.003,1,0)+IF(AT195*1000000+SUM(V195,AN195)*10000+SUM(P195,AH195)*100+SUM(J195,AB195)+0.004&gt;AU195*1000000+SUM(W195,AO195)*10000+SUM(Q195,AI195)*100+SUM(K195,AC195)+0.003,1,0)+IF(AV195*1000000+SUM(X195,AP195)*10000+SUM(R195,AJ195)*100+SUM(L195,AD195)+0.002&gt;AU195*1000000+SUM(W195,AO195)*10000+SUM(Q195,AI195)*100+SUM(K195,AC195)+0.003,1,0)+IF(AW195*1000000+SUM(Y195,AQ195)*10000+SUM(S195,AK195)*100+SUM(M195,AE195)+0.001&gt;AU195*1000000+SUM(W195,AO195)*10000+SUM(Q195,AI195)*100+SUM(K195,AC195)+0.003,1,0)=1,"S",IF(IF(AR195*1000000+SUM(T195,AL195)*10000+SUM(N195,AF195)*100+SUM(H195,Z195)+0.006&gt;AV195*1000000+SUM(X195,AP195)*10000+SUM(R195,AJ195)*100+SUM(L195,AD195)+0.002,1,0)+IF(AS195*1000000+SUM(U195,AM195)*10000+SUM(O195,AG195)*100+SUM(I195,AA195)+0.005&gt;AV195*1000000+SUM(X195,AP195)*10000+SUM(R195,AJ195)*100+SUM(L195,AD195)+0.002,1,0)+IF(AT195*1000000+SUM(V195,AN195)*10000+SUM(P195,AH195)*100+SUM(J195,AB195)+0.004&gt;AV195*1000000+SUM(X195,AP195)*10000+SUM(R195,AJ195)*100+SUM(L195,AD195)+0.002,1,0)+IF(AU195*1000000+SUM(W195,AO195)*10000+SUM(Q195,AI195)*100+SUM(K195,AC195)+0.003&gt;AV195*1000000+SUM(X195,AP195)*10000+SUM(R195,AJ195)*100+SUM(L195,AD195)+0.002,1,0)+IF(AW195*1000000+SUM(Y195,AQ195)*10000+SUM(S195,AK195)*100+SUM(M195,AE195)+0.001&gt;AV195*1000000+SUM(X195,AP195)*10000+SUM(R195,AJ195)*100+SUM(L195,AD195)+0.002,1,0)=1,"E",IF(IF(AR195*1000000+SUM(T195,AL195)*10000+SUM(N195,AF195)*100+SUM(H195,Z195)+0.006&gt;AW195*1000000+SUM(Y195,AQ195)*10000+SUM(S195,AK195)*100+SUM(M195,AE195)+0.001,1,0)+IF(AS195*1000000+SUM(U195,AM195)*10000+SUM(O195,AG195)*100+SUM(I195,AA195)+0.005&gt;AW195*1000000+SUM(Y195,AQ195)*10000+SUM(S195,AK195)*100+SUM(M195,AE195)+0.001,1,0)+IF(AT195*1000000+SUM(V195,AN195)*10000+SUM(P195,AH195)*100+SUM(J195,AB195)+0.004&gt;AW195*1000000+SUM(Y195,AQ195)*10000+SUM(S195,AK195)*100+SUM(M195,AE195)+0.001,1,0)+IF(AU195*1000000+SUM(W195,AO195)*10000+SUM(Q195,AI195)*100+SUM(K195,AC195)+0.003&gt;AW195*1000000+SUM(Y195,AQ195)*10000+SUM(S195,AK195)*100+SUM(M195,AE195)+0.001,1,0)+IF(AV195*1000000+SUM(X195,AP195)*10000+SUM(R195,AJ195)*100+SUM(L195,AD195)+0.002&gt;AW195*1000000+SUM(Y195,AQ195)*10000+SUM(S195,AK195)*100+SUM(M195,AE195)+0.001,1,0)=1,"C",""))))))&amp;IF(IF(AS195*1000000+SUM(U195,AM195)*10000+SUM(O195,AG195)*100+SUM(I195,AA195)+0.005&gt;AR195*1000000+SUM(T195,AL195)*10000+SUM(N195,AF195)*100+SUM(H195,Z195)+0.006,1,0)+IF(AT195*1000000+SUM(V195,AN195)*10000+SUM(P195,AH195)*100+SUM(J195,AB195)+0.004&gt;AR195*1000000+SUM(T195,AL195)*10000+SUM(N195,AF195)*100+SUM(H195,Z195)+0.006,1,0)+IF(AU195*1000000+SUM(W195,AO195)*10000+SUM(Q195,AI195)*100+SUM(K195,AC195)+0.003&gt;AR195*1000000+SUM(T195,AL195)*10000+SUM(N195,AF195)*100+SUM(H195,Z195)+0.006,1,0)+IF(AV195*1000000+SUM(X195,AP195)*10000+SUM(R195,AJ195)*100+SUM(L195,AD195)+0.002&gt;AR195*1000000+SUM(T195,AL195)*10000+SUM(N195,AF195)*100+SUM(H195,Z195)+0.006,1,0)+IF(AW195*1000000+SUM(Y195,AQ195)*10000+SUM(S195,AK195)*100+SUM(M195,AE195)+0.001&gt;AR195*1000000+SUM(T195,AL195)*10000+SUM(N195,AF195)*100+SUM(H195,Z195)+0.006,1,0)=2,"R",IF(IF(AR195*1000000+SUM(T195,AL195)*10000+SUM(N195,AF195)*100+SUM(H195,Z195)+0.006&gt;AS195*1000000+SUM(U195,AM195)*10000+SUM(O195,AG195)*100+SUM(I195,AA195)+0.005,1,0)+IF(AT195*1000000+SUM(V195,AN195)*10000+SUM(P195,AH195)*100+SUM(J195,AB195)+0.004&gt;AS195*1000000+SUM(U195,AM195)*10000+SUM(O195,AG195)*100+SUM(I195,AA195)+0.005,1,0)+IF(AU195*1000000+SUM(W195,AO195)*10000+SUM(Q195,AI195)*100+SUM(K195,AC195)+0.003&gt;AS195*1000000+SUM(U195,AM195)*10000+SUM(O195,AG195)*100+SUM(I195,AA195)+0.005,1,0)+IF(AV195*1000000+SUM(X195,AP195)*10000+SUM(R195,AJ195)*100+SUM(L195,AD195)+0.002&gt;AS195*1000000+SUM(U195,AM195)*10000+SUM(O195,AG195)*100+SUM(I195,AA195)+0.005,1,0)+IF(AW195*1000000+SUM(Y195,AQ195)*10000+SUM(S195,AK195)*100+SUM(M195,AE195)+0.001&gt;AS195*1000000+SUM(U195,AM195)*10000+SUM(O195,AG195)*100+SUM(I195,AA195)+0.005,1,0)=2,"I",IF(IF(AR195*1000000+SUM(T195,AL195)*10000+SUM(N195,AF195)*100+SUM(H195,Z195)+0.006&gt;AT195*1000000+SUM(V195,AN195)*10000+SUM(P195,AH195)*100+SUM(J195,AB195)+0.004,1,0)+IF(AS195*1000000+SUM(U195,AM195)*10000+SUM(O195,AG195)*100+SUM(I195,AA195)+0.005&gt;AT195*1000000+SUM(V195,AN195)*10000+SUM(P195,AH195)*100+SUM(J195,AB195)+0.004,1,0)+IF(AU195*1000000+SUM(W195,AO195)*10000+SUM(Q195,AI195)*100+SUM(K195,AC195)+0.003&gt;AT195*1000000+SUM(V195,AN195)*10000+SUM(P195,AH195)*100+SUM(J195,AB195)+0.004,1,0)+IF(AV195*1000000+SUM(X195,AP195)*10000+SUM(R195,AJ195)*100+SUM(L195,AD195)+0.002&gt;AT195*1000000+SUM(V195,AN195)*10000+SUM(P195,AH195)*100+SUM(J195,AB195)+0.004,1,0)+IF(AW195*1000000+SUM(Y195,AQ195)*10000+SUM(S195,AK195)*100+SUM(M195,AE195)+0.001&gt;AT195*1000000+SUM(V195,AN195)*10000+SUM(P195,AH195)*100+SUM(J195,AB195)+0.004,1,0)=2,"A",IF(IF(AR195*1000000+SUM(T195,AL195)*10000+SUM(N195,AF195)*100+SUM(H195,Z195)+0.006&gt;AU195*1000000+SUM(W195,AO195)*10000+SUM(Q195,AI195)*100+SUM(K195,AC195)+0.003,1,0)+IF(AS195*1000000+SUM(U195,AM195)*10000+SUM(O195,AG195)*100+SUM(I195,AA195)+0.005&gt;AU195*1000000+SUM(W195,AO195)*10000+SUM(Q195,AI195)*100+SUM(K195,AC195)+0.003,1,0)+IF(AT195*1000000+SUM(V195,AN195)*10000+SUM(P195,AH195)*100+SUM(J195,AB195)+0.004&gt;AU195*1000000+SUM(W195,AO195)*10000+SUM(Q195,AI195)*100+SUM(K195,AC195)+0.003,1,0)+IF(AV195*1000000+SUM(X195,AP195)*10000+SUM(R195,AJ195)*100+SUM(L195,AD195)+0.002&gt;AU195*1000000+SUM(W195,AO195)*10000+SUM(Q195,AI195)*100+SUM(K195,AC195)+0.003,1,0)+IF(AW195*1000000+SUM(Y195,AQ195)*10000+SUM(S195,AK195)*100+SUM(M195,AE195)+0.001&gt;AU195*1000000+SUM(W195,AO195)*10000+SUM(Q195,AI195)*100+SUM(K195,AC195)+0.003,1,0)=2,"S",IF(IF(AR195*1000000+SUM(T195,AL195)*10000+SUM(N195,AF195)*100+SUM(H195,Z195)+0.006&gt;AV195*1000000+SUM(X195,AP195)*10000+SUM(R195,AJ195)*100+SUM(L195,AD195)+0.002,1,0)+IF(AS195*1000000+SUM(U195,AM195)*10000+SUM(O195,AG195)*100+SUM(I195,AA195)+0.005&gt;AV195*1000000+SUM(X195,AP195)*10000+SUM(R195,AJ195)*100+SUM(L195,AD195)+0.002,1,0)+IF(AT195*1000000+SUM(V195,AN195)*10000+SUM(P195,AH195)*100+SUM(J195,AB195)+0.004&gt;AV195*1000000+SUM(X195,AP195)*10000+SUM(R195,AJ195)*100+SUM(L195,AD195)+0.002,1,0)+IF(AU195*1000000+SUM(W195,AO195)*10000+SUM(Q195,AI195)*100+SUM(K195,AC195)+0.003&gt;AV195*1000000+SUM(X195,AP195)*10000+SUM(R195,AJ195)*100+SUM(L195,AD195)+0.002,1,0)+IF(AW195*1000000+SUM(Y195,AQ195)*10000+SUM(S195,AK195)*100+SUM(M195,AE195)+0.001&gt;AV195*1000000+SUM(X195,AP195)*10000+SUM(R195,AJ195)*100+SUM(L195,AD195)+0.002,1,0)=2,"E",IF(IF(AR195*1000000+SUM(T195,AL195)*10000+SUM(N195,AF195)*100+SUM(H195,Z195)+0.006&gt;AW195*1000000+SUM(Y195,AQ195)*10000+SUM(S195,AK195)*100+SUM(M195,AE195)+0.001,1,0)+IF(AS195*1000000+SUM(U195,AM195)*10000+SUM(O195,AG195)*100+SUM(I195,AA195)+0.005&gt;AW195*1000000+SUM(Y195,AQ195)*10000+SUM(S195,AK195)*100+SUM(M195,AE195)+0.001,1,0)+IF(AT195*1000000+SUM(V195,AN195)*10000+SUM(P195,AH195)*100+SUM(J195,AB195)+0.004&gt;AW195*1000000+SUM(Y195,AQ195)*10000+SUM(S195,AK195)*100+SUM(M195,AE195)+0.001,1,0)+IF(AU195*1000000+SUM(W195,AO195)*10000+SUM(Q195,AI195)*100+SUM(K195,AC195)+0.003&gt;AW195*1000000+SUM(Y195,AQ195)*10000+SUM(S195,AK195)*100+SUM(M195,AE195)+0.001,1,0)+IF(AV195*1000000+SUM(X195,AP195)*10000+SUM(R195,AJ195)*100+SUM(L195,AD195)+0.002&gt;AW195*1000000+SUM(Y195,AQ195)*10000+SUM(S195,AK195)*100+SUM(M195,AE195)+0.001,1,0)=2,"C","")))))))</x:f>
      </x:c>
      <x:c r="AY195" s="27" t="str">
        <x:f>IF(C195="","",IF(LEFT(AX195,1)="R","นักปฏิบัติ",IF(LEFT(AX195,1)="I","นักคิดวิเคราะห์",IF(LEFT(AX195,1)="A","นักสร้างสรรค์",IF(LEFT(AX195,1)="S","ผู้เข้าใจผู้คน",IF(LEFT(AX195,1)="E","ผู้นำการเปลี่ยนแปลง","ผู้จัดระบบ"))))))</x:f>
      </x:c>
    </x:row>
    <x:row r="196">
      <x:c r="A196" s="27"/>
      <x:c r="B196" s="28"/>
      <x:c r="C196" s="27"/>
      <x:c r="D196" s="27"/>
      <x:c r="E196" s="27"/>
      <x:c r="F196" s="27"/>
      <x:c r="G196" s="27"/>
      <x:c r="H196" s="27"/>
      <x:c r="I196" s="27"/>
      <x:c r="J196" s="27"/>
      <x:c r="K196" s="27"/>
      <x:c r="L196" s="27"/>
      <x:c r="M196" s="27"/>
      <x:c r="N196" s="27"/>
      <x:c r="O196" s="27"/>
      <x:c r="P196" s="27"/>
      <x:c r="Q196" s="27"/>
      <x:c r="R196" s="27"/>
      <x:c r="S196" s="27"/>
      <x:c r="T196" s="27"/>
      <x:c r="U196" s="27"/>
      <x:c r="V196" s="27"/>
      <x:c r="W196" s="27"/>
      <x:c r="X196" s="27"/>
      <x:c r="Y196" s="27"/>
      <x:c r="Z196" s="27"/>
      <x:c r="AA196" s="27"/>
      <x:c r="AB196" s="27"/>
      <x:c r="AC196" s="27"/>
      <x:c r="AD196" s="27"/>
      <x:c r="AE196" s="27"/>
      <x:c r="AF196" s="27"/>
      <x:c r="AG196" s="27"/>
      <x:c r="AH196" s="27"/>
      <x:c r="AI196" s="27"/>
      <x:c r="AJ196" s="27"/>
      <x:c r="AK196" s="27"/>
      <x:c r="AL196" s="27"/>
      <x:c r="AM196" s="27"/>
      <x:c r="AN196" s="27"/>
      <x:c r="AO196" s="27"/>
      <x:c r="AP196" s="27"/>
      <x:c r="AQ196" s="27"/>
      <x:c r="AR196" s="27" t="str">
        <x:f>IF(C196="","",SUM(H196,N196,T196,Z196,AF196,AL196))</x:f>
      </x:c>
      <x:c r="AS196" s="27" t="str">
        <x:f>IF(C196="","",SUM(I196,O196,U196,AA196,AG196,AM196))</x:f>
      </x:c>
      <x:c r="AT196" s="27" t="str">
        <x:f>IF(C196="","",SUM(J196,P196,V196,AB196,AH196,AN196))</x:f>
      </x:c>
      <x:c r="AU196" s="27" t="str">
        <x:f>IF(C196="","",SUM(K196,Q196,W196,AC196,AI196,AO196))</x:f>
      </x:c>
      <x:c r="AV196" s="27" t="str">
        <x:f>IF(C196="","",SUM(L196,R196,X196,AD196,AJ196,AP196))</x:f>
      </x:c>
      <x:c r="AW196" s="27" t="str">
        <x:f>IF(C196="","",SUM(M196,S196,Y196,AE196,AK196,AQ196))</x:f>
      </x:c>
      <x:c r="AX196" s="27" t="str">
        <x:f>IF(C196="","",IF(IF(AS196*1000000+SUM(U196,AM196)*10000+SUM(O196,AG196)*100+SUM(I196,AA196)+0.005&gt;AR196*1000000+SUM(T196,AL196)*10000+SUM(N196,AF196)*100+SUM(H196,Z196)+0.006,1,0)+IF(AT196*1000000+SUM(V196,AN196)*10000+SUM(P196,AH196)*100+SUM(J196,AB196)+0.004&gt;AR196*1000000+SUM(T196,AL196)*10000+SUM(N196,AF196)*100+SUM(H196,Z196)+0.006,1,0)+IF(AU196*1000000+SUM(W196,AO196)*10000+SUM(Q196,AI196)*100+SUM(K196,AC196)+0.003&gt;AR196*1000000+SUM(T196,AL196)*10000+SUM(N196,AF196)*100+SUM(H196,Z196)+0.006,1,0)+IF(AV196*1000000+SUM(X196,AP196)*10000+SUM(R196,AJ196)*100+SUM(L196,AD196)+0.002&gt;AR196*1000000+SUM(T196,AL196)*10000+SUM(N196,AF196)*100+SUM(H196,Z196)+0.006,1,0)+IF(AW196*1000000+SUM(Y196,AQ196)*10000+SUM(S196,AK196)*100+SUM(M196,AE196)+0.001&gt;AR196*1000000+SUM(T196,AL196)*10000+SUM(N196,AF196)*100+SUM(H196,Z196)+0.006,1,0)=0,"R",IF(IF(AR196*1000000+SUM(T196,AL196)*10000+SUM(N196,AF196)*100+SUM(H196,Z196)+0.006&gt;AS196*1000000+SUM(U196,AM196)*10000+SUM(O196,AG196)*100+SUM(I196,AA196)+0.005,1,0)+IF(AT196*1000000+SUM(V196,AN196)*10000+SUM(P196,AH196)*100+SUM(J196,AB196)+0.004&gt;AS196*1000000+SUM(U196,AM196)*10000+SUM(O196,AG196)*100+SUM(I196,AA196)+0.005,1,0)+IF(AU196*1000000+SUM(W196,AO196)*10000+SUM(Q196,AI196)*100+SUM(K196,AC196)+0.003&gt;AS196*1000000+SUM(U196,AM196)*10000+SUM(O196,AG196)*100+SUM(I196,AA196)+0.005,1,0)+IF(AV196*1000000+SUM(X196,AP196)*10000+SUM(R196,AJ196)*100+SUM(L196,AD196)+0.002&gt;AS196*1000000+SUM(U196,AM196)*10000+SUM(O196,AG196)*100+SUM(I196,AA196)+0.005,1,0)+IF(AW196*1000000+SUM(Y196,AQ196)*10000+SUM(S196,AK196)*100+SUM(M196,AE196)+0.001&gt;AS196*1000000+SUM(U196,AM196)*10000+SUM(O196,AG196)*100+SUM(I196,AA196)+0.005,1,0)=0,"I",IF(IF(AR196*1000000+SUM(T196,AL196)*10000+SUM(N196,AF196)*100+SUM(H196,Z196)+0.006&gt;AT196*1000000+SUM(V196,AN196)*10000+SUM(P196,AH196)*100+SUM(J196,AB196)+0.004,1,0)+IF(AS196*1000000+SUM(U196,AM196)*10000+SUM(O196,AG196)*100+SUM(I196,AA196)+0.005&gt;AT196*1000000+SUM(V196,AN196)*10000+SUM(P196,AH196)*100+SUM(J196,AB196)+0.004,1,0)+IF(AU196*1000000+SUM(W196,AO196)*10000+SUM(Q196,AI196)*100+SUM(K196,AC196)+0.003&gt;AT196*1000000+SUM(V196,AN196)*10000+SUM(P196,AH196)*100+SUM(J196,AB196)+0.004,1,0)+IF(AV196*1000000+SUM(X196,AP196)*10000+SUM(R196,AJ196)*100+SUM(L196,AD196)+0.002&gt;AT196*1000000+SUM(V196,AN196)*10000+SUM(P196,AH196)*100+SUM(J196,AB196)+0.004,1,0)+IF(AW196*1000000+SUM(Y196,AQ196)*10000+SUM(S196,AK196)*100+SUM(M196,AE196)+0.001&gt;AT196*1000000+SUM(V196,AN196)*10000+SUM(P196,AH196)*100+SUM(J196,AB196)+0.004,1,0)=0,"A",IF(IF(AR196*1000000+SUM(T196,AL196)*10000+SUM(N196,AF196)*100+SUM(H196,Z196)+0.006&gt;AU196*1000000+SUM(W196,AO196)*10000+SUM(Q196,AI196)*100+SUM(K196,AC196)+0.003,1,0)+IF(AS196*1000000+SUM(U196,AM196)*10000+SUM(O196,AG196)*100+SUM(I196,AA196)+0.005&gt;AU196*1000000+SUM(W196,AO196)*10000+SUM(Q196,AI196)*100+SUM(K196,AC196)+0.003,1,0)+IF(AT196*1000000+SUM(V196,AN196)*10000+SUM(P196,AH196)*100+SUM(J196,AB196)+0.004&gt;AU196*1000000+SUM(W196,AO196)*10000+SUM(Q196,AI196)*100+SUM(K196,AC196)+0.003,1,0)+IF(AV196*1000000+SUM(X196,AP196)*10000+SUM(R196,AJ196)*100+SUM(L196,AD196)+0.002&gt;AU196*1000000+SUM(W196,AO196)*10000+SUM(Q196,AI196)*100+SUM(K196,AC196)+0.003,1,0)+IF(AW196*1000000+SUM(Y196,AQ196)*10000+SUM(S196,AK196)*100+SUM(M196,AE196)+0.001&gt;AU196*1000000+SUM(W196,AO196)*10000+SUM(Q196,AI196)*100+SUM(K196,AC196)+0.003,1,0)=0,"S",IF(IF(AR196*1000000+SUM(T196,AL196)*10000+SUM(N196,AF196)*100+SUM(H196,Z196)+0.006&gt;AV196*1000000+SUM(X196,AP196)*10000+SUM(R196,AJ196)*100+SUM(L196,AD196)+0.002,1,0)+IF(AS196*1000000+SUM(U196,AM196)*10000+SUM(O196,AG196)*100+SUM(I196,AA196)+0.005&gt;AV196*1000000+SUM(X196,AP196)*10000+SUM(R196,AJ196)*100+SUM(L196,AD196)+0.002,1,0)+IF(AT196*1000000+SUM(V196,AN196)*10000+SUM(P196,AH196)*100+SUM(J196,AB196)+0.004&gt;AV196*1000000+SUM(X196,AP196)*10000+SUM(R196,AJ196)*100+SUM(L196,AD196)+0.002,1,0)+IF(AU196*1000000+SUM(W196,AO196)*10000+SUM(Q196,AI196)*100+SUM(K196,AC196)+0.003&gt;AV196*1000000+SUM(X196,AP196)*10000+SUM(R196,AJ196)*100+SUM(L196,AD196)+0.002,1,0)+IF(AW196*1000000+SUM(Y196,AQ196)*10000+SUM(S196,AK196)*100+SUM(M196,AE196)+0.001&gt;AV196*1000000+SUM(X196,AP196)*10000+SUM(R196,AJ196)*100+SUM(L196,AD196)+0.002,1,0)=0,"E",IF(IF(AR196*1000000+SUM(T196,AL196)*10000+SUM(N196,AF196)*100+SUM(H196,Z196)+0.006&gt;AW196*1000000+SUM(Y196,AQ196)*10000+SUM(S196,AK196)*100+SUM(M196,AE196)+0.001,1,0)+IF(AS196*1000000+SUM(U196,AM196)*10000+SUM(O196,AG196)*100+SUM(I196,AA196)+0.005&gt;AW196*1000000+SUM(Y196,AQ196)*10000+SUM(S196,AK196)*100+SUM(M196,AE196)+0.001,1,0)+IF(AT196*1000000+SUM(V196,AN196)*10000+SUM(P196,AH196)*100+SUM(J196,AB196)+0.004&gt;AW196*1000000+SUM(Y196,AQ196)*10000+SUM(S196,AK196)*100+SUM(M196,AE196)+0.001,1,0)+IF(AU196*1000000+SUM(W196,AO196)*10000+SUM(Q196,AI196)*100+SUM(K196,AC196)+0.003&gt;AW196*1000000+SUM(Y196,AQ196)*10000+SUM(S196,AK196)*100+SUM(M196,AE196)+0.001,1,0)+IF(AV196*1000000+SUM(X196,AP196)*10000+SUM(R196,AJ196)*100+SUM(L196,AD196)+0.002&gt;AW196*1000000+SUM(Y196,AQ196)*10000+SUM(S196,AK196)*100+SUM(M196,AE196)+0.001,1,0)=0,"C",""))))))&amp;IF(IF(AS196*1000000+SUM(U196,AM196)*10000+SUM(O196,AG196)*100+SUM(I196,AA196)+0.005&gt;AR196*1000000+SUM(T196,AL196)*10000+SUM(N196,AF196)*100+SUM(H196,Z196)+0.006,1,0)+IF(AT196*1000000+SUM(V196,AN196)*10000+SUM(P196,AH196)*100+SUM(J196,AB196)+0.004&gt;AR196*1000000+SUM(T196,AL196)*10000+SUM(N196,AF196)*100+SUM(H196,Z196)+0.006,1,0)+IF(AU196*1000000+SUM(W196,AO196)*10000+SUM(Q196,AI196)*100+SUM(K196,AC196)+0.003&gt;AR196*1000000+SUM(T196,AL196)*10000+SUM(N196,AF196)*100+SUM(H196,Z196)+0.006,1,0)+IF(AV196*1000000+SUM(X196,AP196)*10000+SUM(R196,AJ196)*100+SUM(L196,AD196)+0.002&gt;AR196*1000000+SUM(T196,AL196)*10000+SUM(N196,AF196)*100+SUM(H196,Z196)+0.006,1,0)+IF(AW196*1000000+SUM(Y196,AQ196)*10000+SUM(S196,AK196)*100+SUM(M196,AE196)+0.001&gt;AR196*1000000+SUM(T196,AL196)*10000+SUM(N196,AF196)*100+SUM(H196,Z196)+0.006,1,0)=1,"R",IF(IF(AR196*1000000+SUM(T196,AL196)*10000+SUM(N196,AF196)*100+SUM(H196,Z196)+0.006&gt;AS196*1000000+SUM(U196,AM196)*10000+SUM(O196,AG196)*100+SUM(I196,AA196)+0.005,1,0)+IF(AT196*1000000+SUM(V196,AN196)*10000+SUM(P196,AH196)*100+SUM(J196,AB196)+0.004&gt;AS196*1000000+SUM(U196,AM196)*10000+SUM(O196,AG196)*100+SUM(I196,AA196)+0.005,1,0)+IF(AU196*1000000+SUM(W196,AO196)*10000+SUM(Q196,AI196)*100+SUM(K196,AC196)+0.003&gt;AS196*1000000+SUM(U196,AM196)*10000+SUM(O196,AG196)*100+SUM(I196,AA196)+0.005,1,0)+IF(AV196*1000000+SUM(X196,AP196)*10000+SUM(R196,AJ196)*100+SUM(L196,AD196)+0.002&gt;AS196*1000000+SUM(U196,AM196)*10000+SUM(O196,AG196)*100+SUM(I196,AA196)+0.005,1,0)+IF(AW196*1000000+SUM(Y196,AQ196)*10000+SUM(S196,AK196)*100+SUM(M196,AE196)+0.001&gt;AS196*1000000+SUM(U196,AM196)*10000+SUM(O196,AG196)*100+SUM(I196,AA196)+0.005,1,0)=1,"I",IF(IF(AR196*1000000+SUM(T196,AL196)*10000+SUM(N196,AF196)*100+SUM(H196,Z196)+0.006&gt;AT196*1000000+SUM(V196,AN196)*10000+SUM(P196,AH196)*100+SUM(J196,AB196)+0.004,1,0)+IF(AS196*1000000+SUM(U196,AM196)*10000+SUM(O196,AG196)*100+SUM(I196,AA196)+0.005&gt;AT196*1000000+SUM(V196,AN196)*10000+SUM(P196,AH196)*100+SUM(J196,AB196)+0.004,1,0)+IF(AU196*1000000+SUM(W196,AO196)*10000+SUM(Q196,AI196)*100+SUM(K196,AC196)+0.003&gt;AT196*1000000+SUM(V196,AN196)*10000+SUM(P196,AH196)*100+SUM(J196,AB196)+0.004,1,0)+IF(AV196*1000000+SUM(X196,AP196)*10000+SUM(R196,AJ196)*100+SUM(L196,AD196)+0.002&gt;AT196*1000000+SUM(V196,AN196)*10000+SUM(P196,AH196)*100+SUM(J196,AB196)+0.004,1,0)+IF(AW196*1000000+SUM(Y196,AQ196)*10000+SUM(S196,AK196)*100+SUM(M196,AE196)+0.001&gt;AT196*1000000+SUM(V196,AN196)*10000+SUM(P196,AH196)*100+SUM(J196,AB196)+0.004,1,0)=1,"A",IF(IF(AR196*1000000+SUM(T196,AL196)*10000+SUM(N196,AF196)*100+SUM(H196,Z196)+0.006&gt;AU196*1000000+SUM(W196,AO196)*10000+SUM(Q196,AI196)*100+SUM(K196,AC196)+0.003,1,0)+IF(AS196*1000000+SUM(U196,AM196)*10000+SUM(O196,AG196)*100+SUM(I196,AA196)+0.005&gt;AU196*1000000+SUM(W196,AO196)*10000+SUM(Q196,AI196)*100+SUM(K196,AC196)+0.003,1,0)+IF(AT196*1000000+SUM(V196,AN196)*10000+SUM(P196,AH196)*100+SUM(J196,AB196)+0.004&gt;AU196*1000000+SUM(W196,AO196)*10000+SUM(Q196,AI196)*100+SUM(K196,AC196)+0.003,1,0)+IF(AV196*1000000+SUM(X196,AP196)*10000+SUM(R196,AJ196)*100+SUM(L196,AD196)+0.002&gt;AU196*1000000+SUM(W196,AO196)*10000+SUM(Q196,AI196)*100+SUM(K196,AC196)+0.003,1,0)+IF(AW196*1000000+SUM(Y196,AQ196)*10000+SUM(S196,AK196)*100+SUM(M196,AE196)+0.001&gt;AU196*1000000+SUM(W196,AO196)*10000+SUM(Q196,AI196)*100+SUM(K196,AC196)+0.003,1,0)=1,"S",IF(IF(AR196*1000000+SUM(T196,AL196)*10000+SUM(N196,AF196)*100+SUM(H196,Z196)+0.006&gt;AV196*1000000+SUM(X196,AP196)*10000+SUM(R196,AJ196)*100+SUM(L196,AD196)+0.002,1,0)+IF(AS196*1000000+SUM(U196,AM196)*10000+SUM(O196,AG196)*100+SUM(I196,AA196)+0.005&gt;AV196*1000000+SUM(X196,AP196)*10000+SUM(R196,AJ196)*100+SUM(L196,AD196)+0.002,1,0)+IF(AT196*1000000+SUM(V196,AN196)*10000+SUM(P196,AH196)*100+SUM(J196,AB196)+0.004&gt;AV196*1000000+SUM(X196,AP196)*10000+SUM(R196,AJ196)*100+SUM(L196,AD196)+0.002,1,0)+IF(AU196*1000000+SUM(W196,AO196)*10000+SUM(Q196,AI196)*100+SUM(K196,AC196)+0.003&gt;AV196*1000000+SUM(X196,AP196)*10000+SUM(R196,AJ196)*100+SUM(L196,AD196)+0.002,1,0)+IF(AW196*1000000+SUM(Y196,AQ196)*10000+SUM(S196,AK196)*100+SUM(M196,AE196)+0.001&gt;AV196*1000000+SUM(X196,AP196)*10000+SUM(R196,AJ196)*100+SUM(L196,AD196)+0.002,1,0)=1,"E",IF(IF(AR196*1000000+SUM(T196,AL196)*10000+SUM(N196,AF196)*100+SUM(H196,Z196)+0.006&gt;AW196*1000000+SUM(Y196,AQ196)*10000+SUM(S196,AK196)*100+SUM(M196,AE196)+0.001,1,0)+IF(AS196*1000000+SUM(U196,AM196)*10000+SUM(O196,AG196)*100+SUM(I196,AA196)+0.005&gt;AW196*1000000+SUM(Y196,AQ196)*10000+SUM(S196,AK196)*100+SUM(M196,AE196)+0.001,1,0)+IF(AT196*1000000+SUM(V196,AN196)*10000+SUM(P196,AH196)*100+SUM(J196,AB196)+0.004&gt;AW196*1000000+SUM(Y196,AQ196)*10000+SUM(S196,AK196)*100+SUM(M196,AE196)+0.001,1,0)+IF(AU196*1000000+SUM(W196,AO196)*10000+SUM(Q196,AI196)*100+SUM(K196,AC196)+0.003&gt;AW196*1000000+SUM(Y196,AQ196)*10000+SUM(S196,AK196)*100+SUM(M196,AE196)+0.001,1,0)+IF(AV196*1000000+SUM(X196,AP196)*10000+SUM(R196,AJ196)*100+SUM(L196,AD196)+0.002&gt;AW196*1000000+SUM(Y196,AQ196)*10000+SUM(S196,AK196)*100+SUM(M196,AE196)+0.001,1,0)=1,"C",""))))))&amp;IF(IF(AS196*1000000+SUM(U196,AM196)*10000+SUM(O196,AG196)*100+SUM(I196,AA196)+0.005&gt;AR196*1000000+SUM(T196,AL196)*10000+SUM(N196,AF196)*100+SUM(H196,Z196)+0.006,1,0)+IF(AT196*1000000+SUM(V196,AN196)*10000+SUM(P196,AH196)*100+SUM(J196,AB196)+0.004&gt;AR196*1000000+SUM(T196,AL196)*10000+SUM(N196,AF196)*100+SUM(H196,Z196)+0.006,1,0)+IF(AU196*1000000+SUM(W196,AO196)*10000+SUM(Q196,AI196)*100+SUM(K196,AC196)+0.003&gt;AR196*1000000+SUM(T196,AL196)*10000+SUM(N196,AF196)*100+SUM(H196,Z196)+0.006,1,0)+IF(AV196*1000000+SUM(X196,AP196)*10000+SUM(R196,AJ196)*100+SUM(L196,AD196)+0.002&gt;AR196*1000000+SUM(T196,AL196)*10000+SUM(N196,AF196)*100+SUM(H196,Z196)+0.006,1,0)+IF(AW196*1000000+SUM(Y196,AQ196)*10000+SUM(S196,AK196)*100+SUM(M196,AE196)+0.001&gt;AR196*1000000+SUM(T196,AL196)*10000+SUM(N196,AF196)*100+SUM(H196,Z196)+0.006,1,0)=2,"R",IF(IF(AR196*1000000+SUM(T196,AL196)*10000+SUM(N196,AF196)*100+SUM(H196,Z196)+0.006&gt;AS196*1000000+SUM(U196,AM196)*10000+SUM(O196,AG196)*100+SUM(I196,AA196)+0.005,1,0)+IF(AT196*1000000+SUM(V196,AN196)*10000+SUM(P196,AH196)*100+SUM(J196,AB196)+0.004&gt;AS196*1000000+SUM(U196,AM196)*10000+SUM(O196,AG196)*100+SUM(I196,AA196)+0.005,1,0)+IF(AU196*1000000+SUM(W196,AO196)*10000+SUM(Q196,AI196)*100+SUM(K196,AC196)+0.003&gt;AS196*1000000+SUM(U196,AM196)*10000+SUM(O196,AG196)*100+SUM(I196,AA196)+0.005,1,0)+IF(AV196*1000000+SUM(X196,AP196)*10000+SUM(R196,AJ196)*100+SUM(L196,AD196)+0.002&gt;AS196*1000000+SUM(U196,AM196)*10000+SUM(O196,AG196)*100+SUM(I196,AA196)+0.005,1,0)+IF(AW196*1000000+SUM(Y196,AQ196)*10000+SUM(S196,AK196)*100+SUM(M196,AE196)+0.001&gt;AS196*1000000+SUM(U196,AM196)*10000+SUM(O196,AG196)*100+SUM(I196,AA196)+0.005,1,0)=2,"I",IF(IF(AR196*1000000+SUM(T196,AL196)*10000+SUM(N196,AF196)*100+SUM(H196,Z196)+0.006&gt;AT196*1000000+SUM(V196,AN196)*10000+SUM(P196,AH196)*100+SUM(J196,AB196)+0.004,1,0)+IF(AS196*1000000+SUM(U196,AM196)*10000+SUM(O196,AG196)*100+SUM(I196,AA196)+0.005&gt;AT196*1000000+SUM(V196,AN196)*10000+SUM(P196,AH196)*100+SUM(J196,AB196)+0.004,1,0)+IF(AU196*1000000+SUM(W196,AO196)*10000+SUM(Q196,AI196)*100+SUM(K196,AC196)+0.003&gt;AT196*1000000+SUM(V196,AN196)*10000+SUM(P196,AH196)*100+SUM(J196,AB196)+0.004,1,0)+IF(AV196*1000000+SUM(X196,AP196)*10000+SUM(R196,AJ196)*100+SUM(L196,AD196)+0.002&gt;AT196*1000000+SUM(V196,AN196)*10000+SUM(P196,AH196)*100+SUM(J196,AB196)+0.004,1,0)+IF(AW196*1000000+SUM(Y196,AQ196)*10000+SUM(S196,AK196)*100+SUM(M196,AE196)+0.001&gt;AT196*1000000+SUM(V196,AN196)*10000+SUM(P196,AH196)*100+SUM(J196,AB196)+0.004,1,0)=2,"A",IF(IF(AR196*1000000+SUM(T196,AL196)*10000+SUM(N196,AF196)*100+SUM(H196,Z196)+0.006&gt;AU196*1000000+SUM(W196,AO196)*10000+SUM(Q196,AI196)*100+SUM(K196,AC196)+0.003,1,0)+IF(AS196*1000000+SUM(U196,AM196)*10000+SUM(O196,AG196)*100+SUM(I196,AA196)+0.005&gt;AU196*1000000+SUM(W196,AO196)*10000+SUM(Q196,AI196)*100+SUM(K196,AC196)+0.003,1,0)+IF(AT196*1000000+SUM(V196,AN196)*10000+SUM(P196,AH196)*100+SUM(J196,AB196)+0.004&gt;AU196*1000000+SUM(W196,AO196)*10000+SUM(Q196,AI196)*100+SUM(K196,AC196)+0.003,1,0)+IF(AV196*1000000+SUM(X196,AP196)*10000+SUM(R196,AJ196)*100+SUM(L196,AD196)+0.002&gt;AU196*1000000+SUM(W196,AO196)*10000+SUM(Q196,AI196)*100+SUM(K196,AC196)+0.003,1,0)+IF(AW196*1000000+SUM(Y196,AQ196)*10000+SUM(S196,AK196)*100+SUM(M196,AE196)+0.001&gt;AU196*1000000+SUM(W196,AO196)*10000+SUM(Q196,AI196)*100+SUM(K196,AC196)+0.003,1,0)=2,"S",IF(IF(AR196*1000000+SUM(T196,AL196)*10000+SUM(N196,AF196)*100+SUM(H196,Z196)+0.006&gt;AV196*1000000+SUM(X196,AP196)*10000+SUM(R196,AJ196)*100+SUM(L196,AD196)+0.002,1,0)+IF(AS196*1000000+SUM(U196,AM196)*10000+SUM(O196,AG196)*100+SUM(I196,AA196)+0.005&gt;AV196*1000000+SUM(X196,AP196)*10000+SUM(R196,AJ196)*100+SUM(L196,AD196)+0.002,1,0)+IF(AT196*1000000+SUM(V196,AN196)*10000+SUM(P196,AH196)*100+SUM(J196,AB196)+0.004&gt;AV196*1000000+SUM(X196,AP196)*10000+SUM(R196,AJ196)*100+SUM(L196,AD196)+0.002,1,0)+IF(AU196*1000000+SUM(W196,AO196)*10000+SUM(Q196,AI196)*100+SUM(K196,AC196)+0.003&gt;AV196*1000000+SUM(X196,AP196)*10000+SUM(R196,AJ196)*100+SUM(L196,AD196)+0.002,1,0)+IF(AW196*1000000+SUM(Y196,AQ196)*10000+SUM(S196,AK196)*100+SUM(M196,AE196)+0.001&gt;AV196*1000000+SUM(X196,AP196)*10000+SUM(R196,AJ196)*100+SUM(L196,AD196)+0.002,1,0)=2,"E",IF(IF(AR196*1000000+SUM(T196,AL196)*10000+SUM(N196,AF196)*100+SUM(H196,Z196)+0.006&gt;AW196*1000000+SUM(Y196,AQ196)*10000+SUM(S196,AK196)*100+SUM(M196,AE196)+0.001,1,0)+IF(AS196*1000000+SUM(U196,AM196)*10000+SUM(O196,AG196)*100+SUM(I196,AA196)+0.005&gt;AW196*1000000+SUM(Y196,AQ196)*10000+SUM(S196,AK196)*100+SUM(M196,AE196)+0.001,1,0)+IF(AT196*1000000+SUM(V196,AN196)*10000+SUM(P196,AH196)*100+SUM(J196,AB196)+0.004&gt;AW196*1000000+SUM(Y196,AQ196)*10000+SUM(S196,AK196)*100+SUM(M196,AE196)+0.001,1,0)+IF(AU196*1000000+SUM(W196,AO196)*10000+SUM(Q196,AI196)*100+SUM(K196,AC196)+0.003&gt;AW196*1000000+SUM(Y196,AQ196)*10000+SUM(S196,AK196)*100+SUM(M196,AE196)+0.001,1,0)+IF(AV196*1000000+SUM(X196,AP196)*10000+SUM(R196,AJ196)*100+SUM(L196,AD196)+0.002&gt;AW196*1000000+SUM(Y196,AQ196)*10000+SUM(S196,AK196)*100+SUM(M196,AE196)+0.001,1,0)=2,"C","")))))))</x:f>
      </x:c>
      <x:c r="AY196" s="27" t="str">
        <x:f>IF(C196="","",IF(LEFT(AX196,1)="R","นักปฏิบัติ",IF(LEFT(AX196,1)="I","นักคิดวิเคราะห์",IF(LEFT(AX196,1)="A","นักสร้างสรรค์",IF(LEFT(AX196,1)="S","ผู้เข้าใจผู้คน",IF(LEFT(AX196,1)="E","ผู้นำการเปลี่ยนแปลง","ผู้จัดระบบ"))))))</x:f>
      </x:c>
    </x:row>
    <x:row r="197">
      <x:c r="A197" s="27"/>
      <x:c r="B197" s="28"/>
      <x:c r="C197" s="27"/>
      <x:c r="D197" s="27"/>
      <x:c r="E197" s="27"/>
      <x:c r="F197" s="27"/>
      <x:c r="G197" s="27"/>
      <x:c r="H197" s="27"/>
      <x:c r="I197" s="27"/>
      <x:c r="J197" s="27"/>
      <x:c r="K197" s="27"/>
      <x:c r="L197" s="27"/>
      <x:c r="M197" s="27"/>
      <x:c r="N197" s="27"/>
      <x:c r="O197" s="27"/>
      <x:c r="P197" s="27"/>
      <x:c r="Q197" s="27"/>
      <x:c r="R197" s="27"/>
      <x:c r="S197" s="27"/>
      <x:c r="T197" s="27"/>
      <x:c r="U197" s="27"/>
      <x:c r="V197" s="27"/>
      <x:c r="W197" s="27"/>
      <x:c r="X197" s="27"/>
      <x:c r="Y197" s="27"/>
      <x:c r="Z197" s="27"/>
      <x:c r="AA197" s="27"/>
      <x:c r="AB197" s="27"/>
      <x:c r="AC197" s="27"/>
      <x:c r="AD197" s="27"/>
      <x:c r="AE197" s="27"/>
      <x:c r="AF197" s="27"/>
      <x:c r="AG197" s="27"/>
      <x:c r="AH197" s="27"/>
      <x:c r="AI197" s="27"/>
      <x:c r="AJ197" s="27"/>
      <x:c r="AK197" s="27"/>
      <x:c r="AL197" s="27"/>
      <x:c r="AM197" s="27"/>
      <x:c r="AN197" s="27"/>
      <x:c r="AO197" s="27"/>
      <x:c r="AP197" s="27"/>
      <x:c r="AQ197" s="27"/>
      <x:c r="AR197" s="27" t="str">
        <x:f>IF(C197="","",SUM(H197,N197,T197,Z197,AF197,AL197))</x:f>
      </x:c>
      <x:c r="AS197" s="27" t="str">
        <x:f>IF(C197="","",SUM(I197,O197,U197,AA197,AG197,AM197))</x:f>
      </x:c>
      <x:c r="AT197" s="27" t="str">
        <x:f>IF(C197="","",SUM(J197,P197,V197,AB197,AH197,AN197))</x:f>
      </x:c>
      <x:c r="AU197" s="27" t="str">
        <x:f>IF(C197="","",SUM(K197,Q197,W197,AC197,AI197,AO197))</x:f>
      </x:c>
      <x:c r="AV197" s="27" t="str">
        <x:f>IF(C197="","",SUM(L197,R197,X197,AD197,AJ197,AP197))</x:f>
      </x:c>
      <x:c r="AW197" s="27" t="str">
        <x:f>IF(C197="","",SUM(M197,S197,Y197,AE197,AK197,AQ197))</x:f>
      </x:c>
      <x:c r="AX197" s="27" t="str">
        <x:f>IF(C197="","",IF(IF(AS197*1000000+SUM(U197,AM197)*10000+SUM(O197,AG197)*100+SUM(I197,AA197)+0.005&gt;AR197*1000000+SUM(T197,AL197)*10000+SUM(N197,AF197)*100+SUM(H197,Z197)+0.006,1,0)+IF(AT197*1000000+SUM(V197,AN197)*10000+SUM(P197,AH197)*100+SUM(J197,AB197)+0.004&gt;AR197*1000000+SUM(T197,AL197)*10000+SUM(N197,AF197)*100+SUM(H197,Z197)+0.006,1,0)+IF(AU197*1000000+SUM(W197,AO197)*10000+SUM(Q197,AI197)*100+SUM(K197,AC197)+0.003&gt;AR197*1000000+SUM(T197,AL197)*10000+SUM(N197,AF197)*100+SUM(H197,Z197)+0.006,1,0)+IF(AV197*1000000+SUM(X197,AP197)*10000+SUM(R197,AJ197)*100+SUM(L197,AD197)+0.002&gt;AR197*1000000+SUM(T197,AL197)*10000+SUM(N197,AF197)*100+SUM(H197,Z197)+0.006,1,0)+IF(AW197*1000000+SUM(Y197,AQ197)*10000+SUM(S197,AK197)*100+SUM(M197,AE197)+0.001&gt;AR197*1000000+SUM(T197,AL197)*10000+SUM(N197,AF197)*100+SUM(H197,Z197)+0.006,1,0)=0,"R",IF(IF(AR197*1000000+SUM(T197,AL197)*10000+SUM(N197,AF197)*100+SUM(H197,Z197)+0.006&gt;AS197*1000000+SUM(U197,AM197)*10000+SUM(O197,AG197)*100+SUM(I197,AA197)+0.005,1,0)+IF(AT197*1000000+SUM(V197,AN197)*10000+SUM(P197,AH197)*100+SUM(J197,AB197)+0.004&gt;AS197*1000000+SUM(U197,AM197)*10000+SUM(O197,AG197)*100+SUM(I197,AA197)+0.005,1,0)+IF(AU197*1000000+SUM(W197,AO197)*10000+SUM(Q197,AI197)*100+SUM(K197,AC197)+0.003&gt;AS197*1000000+SUM(U197,AM197)*10000+SUM(O197,AG197)*100+SUM(I197,AA197)+0.005,1,0)+IF(AV197*1000000+SUM(X197,AP197)*10000+SUM(R197,AJ197)*100+SUM(L197,AD197)+0.002&gt;AS197*1000000+SUM(U197,AM197)*10000+SUM(O197,AG197)*100+SUM(I197,AA197)+0.005,1,0)+IF(AW197*1000000+SUM(Y197,AQ197)*10000+SUM(S197,AK197)*100+SUM(M197,AE197)+0.001&gt;AS197*1000000+SUM(U197,AM197)*10000+SUM(O197,AG197)*100+SUM(I197,AA197)+0.005,1,0)=0,"I",IF(IF(AR197*1000000+SUM(T197,AL197)*10000+SUM(N197,AF197)*100+SUM(H197,Z197)+0.006&gt;AT197*1000000+SUM(V197,AN197)*10000+SUM(P197,AH197)*100+SUM(J197,AB197)+0.004,1,0)+IF(AS197*1000000+SUM(U197,AM197)*10000+SUM(O197,AG197)*100+SUM(I197,AA197)+0.005&gt;AT197*1000000+SUM(V197,AN197)*10000+SUM(P197,AH197)*100+SUM(J197,AB197)+0.004,1,0)+IF(AU197*1000000+SUM(W197,AO197)*10000+SUM(Q197,AI197)*100+SUM(K197,AC197)+0.003&gt;AT197*1000000+SUM(V197,AN197)*10000+SUM(P197,AH197)*100+SUM(J197,AB197)+0.004,1,0)+IF(AV197*1000000+SUM(X197,AP197)*10000+SUM(R197,AJ197)*100+SUM(L197,AD197)+0.002&gt;AT197*1000000+SUM(V197,AN197)*10000+SUM(P197,AH197)*100+SUM(J197,AB197)+0.004,1,0)+IF(AW197*1000000+SUM(Y197,AQ197)*10000+SUM(S197,AK197)*100+SUM(M197,AE197)+0.001&gt;AT197*1000000+SUM(V197,AN197)*10000+SUM(P197,AH197)*100+SUM(J197,AB197)+0.004,1,0)=0,"A",IF(IF(AR197*1000000+SUM(T197,AL197)*10000+SUM(N197,AF197)*100+SUM(H197,Z197)+0.006&gt;AU197*1000000+SUM(W197,AO197)*10000+SUM(Q197,AI197)*100+SUM(K197,AC197)+0.003,1,0)+IF(AS197*1000000+SUM(U197,AM197)*10000+SUM(O197,AG197)*100+SUM(I197,AA197)+0.005&gt;AU197*1000000+SUM(W197,AO197)*10000+SUM(Q197,AI197)*100+SUM(K197,AC197)+0.003,1,0)+IF(AT197*1000000+SUM(V197,AN197)*10000+SUM(P197,AH197)*100+SUM(J197,AB197)+0.004&gt;AU197*1000000+SUM(W197,AO197)*10000+SUM(Q197,AI197)*100+SUM(K197,AC197)+0.003,1,0)+IF(AV197*1000000+SUM(X197,AP197)*10000+SUM(R197,AJ197)*100+SUM(L197,AD197)+0.002&gt;AU197*1000000+SUM(W197,AO197)*10000+SUM(Q197,AI197)*100+SUM(K197,AC197)+0.003,1,0)+IF(AW197*1000000+SUM(Y197,AQ197)*10000+SUM(S197,AK197)*100+SUM(M197,AE197)+0.001&gt;AU197*1000000+SUM(W197,AO197)*10000+SUM(Q197,AI197)*100+SUM(K197,AC197)+0.003,1,0)=0,"S",IF(IF(AR197*1000000+SUM(T197,AL197)*10000+SUM(N197,AF197)*100+SUM(H197,Z197)+0.006&gt;AV197*1000000+SUM(X197,AP197)*10000+SUM(R197,AJ197)*100+SUM(L197,AD197)+0.002,1,0)+IF(AS197*1000000+SUM(U197,AM197)*10000+SUM(O197,AG197)*100+SUM(I197,AA197)+0.005&gt;AV197*1000000+SUM(X197,AP197)*10000+SUM(R197,AJ197)*100+SUM(L197,AD197)+0.002,1,0)+IF(AT197*1000000+SUM(V197,AN197)*10000+SUM(P197,AH197)*100+SUM(J197,AB197)+0.004&gt;AV197*1000000+SUM(X197,AP197)*10000+SUM(R197,AJ197)*100+SUM(L197,AD197)+0.002,1,0)+IF(AU197*1000000+SUM(W197,AO197)*10000+SUM(Q197,AI197)*100+SUM(K197,AC197)+0.003&gt;AV197*1000000+SUM(X197,AP197)*10000+SUM(R197,AJ197)*100+SUM(L197,AD197)+0.002,1,0)+IF(AW197*1000000+SUM(Y197,AQ197)*10000+SUM(S197,AK197)*100+SUM(M197,AE197)+0.001&gt;AV197*1000000+SUM(X197,AP197)*10000+SUM(R197,AJ197)*100+SUM(L197,AD197)+0.002,1,0)=0,"E",IF(IF(AR197*1000000+SUM(T197,AL197)*10000+SUM(N197,AF197)*100+SUM(H197,Z197)+0.006&gt;AW197*1000000+SUM(Y197,AQ197)*10000+SUM(S197,AK197)*100+SUM(M197,AE197)+0.001,1,0)+IF(AS197*1000000+SUM(U197,AM197)*10000+SUM(O197,AG197)*100+SUM(I197,AA197)+0.005&gt;AW197*1000000+SUM(Y197,AQ197)*10000+SUM(S197,AK197)*100+SUM(M197,AE197)+0.001,1,0)+IF(AT197*1000000+SUM(V197,AN197)*10000+SUM(P197,AH197)*100+SUM(J197,AB197)+0.004&gt;AW197*1000000+SUM(Y197,AQ197)*10000+SUM(S197,AK197)*100+SUM(M197,AE197)+0.001,1,0)+IF(AU197*1000000+SUM(W197,AO197)*10000+SUM(Q197,AI197)*100+SUM(K197,AC197)+0.003&gt;AW197*1000000+SUM(Y197,AQ197)*10000+SUM(S197,AK197)*100+SUM(M197,AE197)+0.001,1,0)+IF(AV197*1000000+SUM(X197,AP197)*10000+SUM(R197,AJ197)*100+SUM(L197,AD197)+0.002&gt;AW197*1000000+SUM(Y197,AQ197)*10000+SUM(S197,AK197)*100+SUM(M197,AE197)+0.001,1,0)=0,"C",""))))))&amp;IF(IF(AS197*1000000+SUM(U197,AM197)*10000+SUM(O197,AG197)*100+SUM(I197,AA197)+0.005&gt;AR197*1000000+SUM(T197,AL197)*10000+SUM(N197,AF197)*100+SUM(H197,Z197)+0.006,1,0)+IF(AT197*1000000+SUM(V197,AN197)*10000+SUM(P197,AH197)*100+SUM(J197,AB197)+0.004&gt;AR197*1000000+SUM(T197,AL197)*10000+SUM(N197,AF197)*100+SUM(H197,Z197)+0.006,1,0)+IF(AU197*1000000+SUM(W197,AO197)*10000+SUM(Q197,AI197)*100+SUM(K197,AC197)+0.003&gt;AR197*1000000+SUM(T197,AL197)*10000+SUM(N197,AF197)*100+SUM(H197,Z197)+0.006,1,0)+IF(AV197*1000000+SUM(X197,AP197)*10000+SUM(R197,AJ197)*100+SUM(L197,AD197)+0.002&gt;AR197*1000000+SUM(T197,AL197)*10000+SUM(N197,AF197)*100+SUM(H197,Z197)+0.006,1,0)+IF(AW197*1000000+SUM(Y197,AQ197)*10000+SUM(S197,AK197)*100+SUM(M197,AE197)+0.001&gt;AR197*1000000+SUM(T197,AL197)*10000+SUM(N197,AF197)*100+SUM(H197,Z197)+0.006,1,0)=1,"R",IF(IF(AR197*1000000+SUM(T197,AL197)*10000+SUM(N197,AF197)*100+SUM(H197,Z197)+0.006&gt;AS197*1000000+SUM(U197,AM197)*10000+SUM(O197,AG197)*100+SUM(I197,AA197)+0.005,1,0)+IF(AT197*1000000+SUM(V197,AN197)*10000+SUM(P197,AH197)*100+SUM(J197,AB197)+0.004&gt;AS197*1000000+SUM(U197,AM197)*10000+SUM(O197,AG197)*100+SUM(I197,AA197)+0.005,1,0)+IF(AU197*1000000+SUM(W197,AO197)*10000+SUM(Q197,AI197)*100+SUM(K197,AC197)+0.003&gt;AS197*1000000+SUM(U197,AM197)*10000+SUM(O197,AG197)*100+SUM(I197,AA197)+0.005,1,0)+IF(AV197*1000000+SUM(X197,AP197)*10000+SUM(R197,AJ197)*100+SUM(L197,AD197)+0.002&gt;AS197*1000000+SUM(U197,AM197)*10000+SUM(O197,AG197)*100+SUM(I197,AA197)+0.005,1,0)+IF(AW197*1000000+SUM(Y197,AQ197)*10000+SUM(S197,AK197)*100+SUM(M197,AE197)+0.001&gt;AS197*1000000+SUM(U197,AM197)*10000+SUM(O197,AG197)*100+SUM(I197,AA197)+0.005,1,0)=1,"I",IF(IF(AR197*1000000+SUM(T197,AL197)*10000+SUM(N197,AF197)*100+SUM(H197,Z197)+0.006&gt;AT197*1000000+SUM(V197,AN197)*10000+SUM(P197,AH197)*100+SUM(J197,AB197)+0.004,1,0)+IF(AS197*1000000+SUM(U197,AM197)*10000+SUM(O197,AG197)*100+SUM(I197,AA197)+0.005&gt;AT197*1000000+SUM(V197,AN197)*10000+SUM(P197,AH197)*100+SUM(J197,AB197)+0.004,1,0)+IF(AU197*1000000+SUM(W197,AO197)*10000+SUM(Q197,AI197)*100+SUM(K197,AC197)+0.003&gt;AT197*1000000+SUM(V197,AN197)*10000+SUM(P197,AH197)*100+SUM(J197,AB197)+0.004,1,0)+IF(AV197*1000000+SUM(X197,AP197)*10000+SUM(R197,AJ197)*100+SUM(L197,AD197)+0.002&gt;AT197*1000000+SUM(V197,AN197)*10000+SUM(P197,AH197)*100+SUM(J197,AB197)+0.004,1,0)+IF(AW197*1000000+SUM(Y197,AQ197)*10000+SUM(S197,AK197)*100+SUM(M197,AE197)+0.001&gt;AT197*1000000+SUM(V197,AN197)*10000+SUM(P197,AH197)*100+SUM(J197,AB197)+0.004,1,0)=1,"A",IF(IF(AR197*1000000+SUM(T197,AL197)*10000+SUM(N197,AF197)*100+SUM(H197,Z197)+0.006&gt;AU197*1000000+SUM(W197,AO197)*10000+SUM(Q197,AI197)*100+SUM(K197,AC197)+0.003,1,0)+IF(AS197*1000000+SUM(U197,AM197)*10000+SUM(O197,AG197)*100+SUM(I197,AA197)+0.005&gt;AU197*1000000+SUM(W197,AO197)*10000+SUM(Q197,AI197)*100+SUM(K197,AC197)+0.003,1,0)+IF(AT197*1000000+SUM(V197,AN197)*10000+SUM(P197,AH197)*100+SUM(J197,AB197)+0.004&gt;AU197*1000000+SUM(W197,AO197)*10000+SUM(Q197,AI197)*100+SUM(K197,AC197)+0.003,1,0)+IF(AV197*1000000+SUM(X197,AP197)*10000+SUM(R197,AJ197)*100+SUM(L197,AD197)+0.002&gt;AU197*1000000+SUM(W197,AO197)*10000+SUM(Q197,AI197)*100+SUM(K197,AC197)+0.003,1,0)+IF(AW197*1000000+SUM(Y197,AQ197)*10000+SUM(S197,AK197)*100+SUM(M197,AE197)+0.001&gt;AU197*1000000+SUM(W197,AO197)*10000+SUM(Q197,AI197)*100+SUM(K197,AC197)+0.003,1,0)=1,"S",IF(IF(AR197*1000000+SUM(T197,AL197)*10000+SUM(N197,AF197)*100+SUM(H197,Z197)+0.006&gt;AV197*1000000+SUM(X197,AP197)*10000+SUM(R197,AJ197)*100+SUM(L197,AD197)+0.002,1,0)+IF(AS197*1000000+SUM(U197,AM197)*10000+SUM(O197,AG197)*100+SUM(I197,AA197)+0.005&gt;AV197*1000000+SUM(X197,AP197)*10000+SUM(R197,AJ197)*100+SUM(L197,AD197)+0.002,1,0)+IF(AT197*1000000+SUM(V197,AN197)*10000+SUM(P197,AH197)*100+SUM(J197,AB197)+0.004&gt;AV197*1000000+SUM(X197,AP197)*10000+SUM(R197,AJ197)*100+SUM(L197,AD197)+0.002,1,0)+IF(AU197*1000000+SUM(W197,AO197)*10000+SUM(Q197,AI197)*100+SUM(K197,AC197)+0.003&gt;AV197*1000000+SUM(X197,AP197)*10000+SUM(R197,AJ197)*100+SUM(L197,AD197)+0.002,1,0)+IF(AW197*1000000+SUM(Y197,AQ197)*10000+SUM(S197,AK197)*100+SUM(M197,AE197)+0.001&gt;AV197*1000000+SUM(X197,AP197)*10000+SUM(R197,AJ197)*100+SUM(L197,AD197)+0.002,1,0)=1,"E",IF(IF(AR197*1000000+SUM(T197,AL197)*10000+SUM(N197,AF197)*100+SUM(H197,Z197)+0.006&gt;AW197*1000000+SUM(Y197,AQ197)*10000+SUM(S197,AK197)*100+SUM(M197,AE197)+0.001,1,0)+IF(AS197*1000000+SUM(U197,AM197)*10000+SUM(O197,AG197)*100+SUM(I197,AA197)+0.005&gt;AW197*1000000+SUM(Y197,AQ197)*10000+SUM(S197,AK197)*100+SUM(M197,AE197)+0.001,1,0)+IF(AT197*1000000+SUM(V197,AN197)*10000+SUM(P197,AH197)*100+SUM(J197,AB197)+0.004&gt;AW197*1000000+SUM(Y197,AQ197)*10000+SUM(S197,AK197)*100+SUM(M197,AE197)+0.001,1,0)+IF(AU197*1000000+SUM(W197,AO197)*10000+SUM(Q197,AI197)*100+SUM(K197,AC197)+0.003&gt;AW197*1000000+SUM(Y197,AQ197)*10000+SUM(S197,AK197)*100+SUM(M197,AE197)+0.001,1,0)+IF(AV197*1000000+SUM(X197,AP197)*10000+SUM(R197,AJ197)*100+SUM(L197,AD197)+0.002&gt;AW197*1000000+SUM(Y197,AQ197)*10000+SUM(S197,AK197)*100+SUM(M197,AE197)+0.001,1,0)=1,"C",""))))))&amp;IF(IF(AS197*1000000+SUM(U197,AM197)*10000+SUM(O197,AG197)*100+SUM(I197,AA197)+0.005&gt;AR197*1000000+SUM(T197,AL197)*10000+SUM(N197,AF197)*100+SUM(H197,Z197)+0.006,1,0)+IF(AT197*1000000+SUM(V197,AN197)*10000+SUM(P197,AH197)*100+SUM(J197,AB197)+0.004&gt;AR197*1000000+SUM(T197,AL197)*10000+SUM(N197,AF197)*100+SUM(H197,Z197)+0.006,1,0)+IF(AU197*1000000+SUM(W197,AO197)*10000+SUM(Q197,AI197)*100+SUM(K197,AC197)+0.003&gt;AR197*1000000+SUM(T197,AL197)*10000+SUM(N197,AF197)*100+SUM(H197,Z197)+0.006,1,0)+IF(AV197*1000000+SUM(X197,AP197)*10000+SUM(R197,AJ197)*100+SUM(L197,AD197)+0.002&gt;AR197*1000000+SUM(T197,AL197)*10000+SUM(N197,AF197)*100+SUM(H197,Z197)+0.006,1,0)+IF(AW197*1000000+SUM(Y197,AQ197)*10000+SUM(S197,AK197)*100+SUM(M197,AE197)+0.001&gt;AR197*1000000+SUM(T197,AL197)*10000+SUM(N197,AF197)*100+SUM(H197,Z197)+0.006,1,0)=2,"R",IF(IF(AR197*1000000+SUM(T197,AL197)*10000+SUM(N197,AF197)*100+SUM(H197,Z197)+0.006&gt;AS197*1000000+SUM(U197,AM197)*10000+SUM(O197,AG197)*100+SUM(I197,AA197)+0.005,1,0)+IF(AT197*1000000+SUM(V197,AN197)*10000+SUM(P197,AH197)*100+SUM(J197,AB197)+0.004&gt;AS197*1000000+SUM(U197,AM197)*10000+SUM(O197,AG197)*100+SUM(I197,AA197)+0.005,1,0)+IF(AU197*1000000+SUM(W197,AO197)*10000+SUM(Q197,AI197)*100+SUM(K197,AC197)+0.003&gt;AS197*1000000+SUM(U197,AM197)*10000+SUM(O197,AG197)*100+SUM(I197,AA197)+0.005,1,0)+IF(AV197*1000000+SUM(X197,AP197)*10000+SUM(R197,AJ197)*100+SUM(L197,AD197)+0.002&gt;AS197*1000000+SUM(U197,AM197)*10000+SUM(O197,AG197)*100+SUM(I197,AA197)+0.005,1,0)+IF(AW197*1000000+SUM(Y197,AQ197)*10000+SUM(S197,AK197)*100+SUM(M197,AE197)+0.001&gt;AS197*1000000+SUM(U197,AM197)*10000+SUM(O197,AG197)*100+SUM(I197,AA197)+0.005,1,0)=2,"I",IF(IF(AR197*1000000+SUM(T197,AL197)*10000+SUM(N197,AF197)*100+SUM(H197,Z197)+0.006&gt;AT197*1000000+SUM(V197,AN197)*10000+SUM(P197,AH197)*100+SUM(J197,AB197)+0.004,1,0)+IF(AS197*1000000+SUM(U197,AM197)*10000+SUM(O197,AG197)*100+SUM(I197,AA197)+0.005&gt;AT197*1000000+SUM(V197,AN197)*10000+SUM(P197,AH197)*100+SUM(J197,AB197)+0.004,1,0)+IF(AU197*1000000+SUM(W197,AO197)*10000+SUM(Q197,AI197)*100+SUM(K197,AC197)+0.003&gt;AT197*1000000+SUM(V197,AN197)*10000+SUM(P197,AH197)*100+SUM(J197,AB197)+0.004,1,0)+IF(AV197*1000000+SUM(X197,AP197)*10000+SUM(R197,AJ197)*100+SUM(L197,AD197)+0.002&gt;AT197*1000000+SUM(V197,AN197)*10000+SUM(P197,AH197)*100+SUM(J197,AB197)+0.004,1,0)+IF(AW197*1000000+SUM(Y197,AQ197)*10000+SUM(S197,AK197)*100+SUM(M197,AE197)+0.001&gt;AT197*1000000+SUM(V197,AN197)*10000+SUM(P197,AH197)*100+SUM(J197,AB197)+0.004,1,0)=2,"A",IF(IF(AR197*1000000+SUM(T197,AL197)*10000+SUM(N197,AF197)*100+SUM(H197,Z197)+0.006&gt;AU197*1000000+SUM(W197,AO197)*10000+SUM(Q197,AI197)*100+SUM(K197,AC197)+0.003,1,0)+IF(AS197*1000000+SUM(U197,AM197)*10000+SUM(O197,AG197)*100+SUM(I197,AA197)+0.005&gt;AU197*1000000+SUM(W197,AO197)*10000+SUM(Q197,AI197)*100+SUM(K197,AC197)+0.003,1,0)+IF(AT197*1000000+SUM(V197,AN197)*10000+SUM(P197,AH197)*100+SUM(J197,AB197)+0.004&gt;AU197*1000000+SUM(W197,AO197)*10000+SUM(Q197,AI197)*100+SUM(K197,AC197)+0.003,1,0)+IF(AV197*1000000+SUM(X197,AP197)*10000+SUM(R197,AJ197)*100+SUM(L197,AD197)+0.002&gt;AU197*1000000+SUM(W197,AO197)*10000+SUM(Q197,AI197)*100+SUM(K197,AC197)+0.003,1,0)+IF(AW197*1000000+SUM(Y197,AQ197)*10000+SUM(S197,AK197)*100+SUM(M197,AE197)+0.001&gt;AU197*1000000+SUM(W197,AO197)*10000+SUM(Q197,AI197)*100+SUM(K197,AC197)+0.003,1,0)=2,"S",IF(IF(AR197*1000000+SUM(T197,AL197)*10000+SUM(N197,AF197)*100+SUM(H197,Z197)+0.006&gt;AV197*1000000+SUM(X197,AP197)*10000+SUM(R197,AJ197)*100+SUM(L197,AD197)+0.002,1,0)+IF(AS197*1000000+SUM(U197,AM197)*10000+SUM(O197,AG197)*100+SUM(I197,AA197)+0.005&gt;AV197*1000000+SUM(X197,AP197)*10000+SUM(R197,AJ197)*100+SUM(L197,AD197)+0.002,1,0)+IF(AT197*1000000+SUM(V197,AN197)*10000+SUM(P197,AH197)*100+SUM(J197,AB197)+0.004&gt;AV197*1000000+SUM(X197,AP197)*10000+SUM(R197,AJ197)*100+SUM(L197,AD197)+0.002,1,0)+IF(AU197*1000000+SUM(W197,AO197)*10000+SUM(Q197,AI197)*100+SUM(K197,AC197)+0.003&gt;AV197*1000000+SUM(X197,AP197)*10000+SUM(R197,AJ197)*100+SUM(L197,AD197)+0.002,1,0)+IF(AW197*1000000+SUM(Y197,AQ197)*10000+SUM(S197,AK197)*100+SUM(M197,AE197)+0.001&gt;AV197*1000000+SUM(X197,AP197)*10000+SUM(R197,AJ197)*100+SUM(L197,AD197)+0.002,1,0)=2,"E",IF(IF(AR197*1000000+SUM(T197,AL197)*10000+SUM(N197,AF197)*100+SUM(H197,Z197)+0.006&gt;AW197*1000000+SUM(Y197,AQ197)*10000+SUM(S197,AK197)*100+SUM(M197,AE197)+0.001,1,0)+IF(AS197*1000000+SUM(U197,AM197)*10000+SUM(O197,AG197)*100+SUM(I197,AA197)+0.005&gt;AW197*1000000+SUM(Y197,AQ197)*10000+SUM(S197,AK197)*100+SUM(M197,AE197)+0.001,1,0)+IF(AT197*1000000+SUM(V197,AN197)*10000+SUM(P197,AH197)*100+SUM(J197,AB197)+0.004&gt;AW197*1000000+SUM(Y197,AQ197)*10000+SUM(S197,AK197)*100+SUM(M197,AE197)+0.001,1,0)+IF(AU197*1000000+SUM(W197,AO197)*10000+SUM(Q197,AI197)*100+SUM(K197,AC197)+0.003&gt;AW197*1000000+SUM(Y197,AQ197)*10000+SUM(S197,AK197)*100+SUM(M197,AE197)+0.001,1,0)+IF(AV197*1000000+SUM(X197,AP197)*10000+SUM(R197,AJ197)*100+SUM(L197,AD197)+0.002&gt;AW197*1000000+SUM(Y197,AQ197)*10000+SUM(S197,AK197)*100+SUM(M197,AE197)+0.001,1,0)=2,"C","")))))))</x:f>
      </x:c>
      <x:c r="AY197" s="27" t="str">
        <x:f>IF(C197="","",IF(LEFT(AX197,1)="R","นักปฏิบัติ",IF(LEFT(AX197,1)="I","นักคิดวิเคราะห์",IF(LEFT(AX197,1)="A","นักสร้างสรรค์",IF(LEFT(AX197,1)="S","ผู้เข้าใจผู้คน",IF(LEFT(AX197,1)="E","ผู้นำการเปลี่ยนแปลง","ผู้จัดระบบ"))))))</x:f>
      </x:c>
    </x:row>
    <x:row r="198">
      <x:c r="A198" s="27"/>
      <x:c r="B198" s="28"/>
      <x:c r="C198" s="27"/>
      <x:c r="D198" s="27"/>
      <x:c r="E198" s="27"/>
      <x:c r="F198" s="27"/>
      <x:c r="G198" s="27"/>
      <x:c r="H198" s="27"/>
      <x:c r="I198" s="27"/>
      <x:c r="J198" s="27"/>
      <x:c r="K198" s="27"/>
      <x:c r="L198" s="27"/>
      <x:c r="M198" s="27"/>
      <x:c r="N198" s="27"/>
      <x:c r="O198" s="27"/>
      <x:c r="P198" s="27"/>
      <x:c r="Q198" s="27"/>
      <x:c r="R198" s="27"/>
      <x:c r="S198" s="27"/>
      <x:c r="T198" s="27"/>
      <x:c r="U198" s="27"/>
      <x:c r="V198" s="27"/>
      <x:c r="W198" s="27"/>
      <x:c r="X198" s="27"/>
      <x:c r="Y198" s="27"/>
      <x:c r="Z198" s="27"/>
      <x:c r="AA198" s="27"/>
      <x:c r="AB198" s="27"/>
      <x:c r="AC198" s="27"/>
      <x:c r="AD198" s="27"/>
      <x:c r="AE198" s="27"/>
      <x:c r="AF198" s="27"/>
      <x:c r="AG198" s="27"/>
      <x:c r="AH198" s="27"/>
      <x:c r="AI198" s="27"/>
      <x:c r="AJ198" s="27"/>
      <x:c r="AK198" s="27"/>
      <x:c r="AL198" s="27"/>
      <x:c r="AM198" s="27"/>
      <x:c r="AN198" s="27"/>
      <x:c r="AO198" s="27"/>
      <x:c r="AP198" s="27"/>
      <x:c r="AQ198" s="27"/>
      <x:c r="AR198" s="27" t="str">
        <x:f>IF(C198="","",SUM(H198,N198,T198,Z198,AF198,AL198))</x:f>
      </x:c>
      <x:c r="AS198" s="27" t="str">
        <x:f>IF(C198="","",SUM(I198,O198,U198,AA198,AG198,AM198))</x:f>
      </x:c>
      <x:c r="AT198" s="27" t="str">
        <x:f>IF(C198="","",SUM(J198,P198,V198,AB198,AH198,AN198))</x:f>
      </x:c>
      <x:c r="AU198" s="27" t="str">
        <x:f>IF(C198="","",SUM(K198,Q198,W198,AC198,AI198,AO198))</x:f>
      </x:c>
      <x:c r="AV198" s="27" t="str">
        <x:f>IF(C198="","",SUM(L198,R198,X198,AD198,AJ198,AP198))</x:f>
      </x:c>
      <x:c r="AW198" s="27" t="str">
        <x:f>IF(C198="","",SUM(M198,S198,Y198,AE198,AK198,AQ198))</x:f>
      </x:c>
      <x:c r="AX198" s="27" t="str">
        <x:f>IF(C198="","",IF(IF(AS198*1000000+SUM(U198,AM198)*10000+SUM(O198,AG198)*100+SUM(I198,AA198)+0.005&gt;AR198*1000000+SUM(T198,AL198)*10000+SUM(N198,AF198)*100+SUM(H198,Z198)+0.006,1,0)+IF(AT198*1000000+SUM(V198,AN198)*10000+SUM(P198,AH198)*100+SUM(J198,AB198)+0.004&gt;AR198*1000000+SUM(T198,AL198)*10000+SUM(N198,AF198)*100+SUM(H198,Z198)+0.006,1,0)+IF(AU198*1000000+SUM(W198,AO198)*10000+SUM(Q198,AI198)*100+SUM(K198,AC198)+0.003&gt;AR198*1000000+SUM(T198,AL198)*10000+SUM(N198,AF198)*100+SUM(H198,Z198)+0.006,1,0)+IF(AV198*1000000+SUM(X198,AP198)*10000+SUM(R198,AJ198)*100+SUM(L198,AD198)+0.002&gt;AR198*1000000+SUM(T198,AL198)*10000+SUM(N198,AF198)*100+SUM(H198,Z198)+0.006,1,0)+IF(AW198*1000000+SUM(Y198,AQ198)*10000+SUM(S198,AK198)*100+SUM(M198,AE198)+0.001&gt;AR198*1000000+SUM(T198,AL198)*10000+SUM(N198,AF198)*100+SUM(H198,Z198)+0.006,1,0)=0,"R",IF(IF(AR198*1000000+SUM(T198,AL198)*10000+SUM(N198,AF198)*100+SUM(H198,Z198)+0.006&gt;AS198*1000000+SUM(U198,AM198)*10000+SUM(O198,AG198)*100+SUM(I198,AA198)+0.005,1,0)+IF(AT198*1000000+SUM(V198,AN198)*10000+SUM(P198,AH198)*100+SUM(J198,AB198)+0.004&gt;AS198*1000000+SUM(U198,AM198)*10000+SUM(O198,AG198)*100+SUM(I198,AA198)+0.005,1,0)+IF(AU198*1000000+SUM(W198,AO198)*10000+SUM(Q198,AI198)*100+SUM(K198,AC198)+0.003&gt;AS198*1000000+SUM(U198,AM198)*10000+SUM(O198,AG198)*100+SUM(I198,AA198)+0.005,1,0)+IF(AV198*1000000+SUM(X198,AP198)*10000+SUM(R198,AJ198)*100+SUM(L198,AD198)+0.002&gt;AS198*1000000+SUM(U198,AM198)*10000+SUM(O198,AG198)*100+SUM(I198,AA198)+0.005,1,0)+IF(AW198*1000000+SUM(Y198,AQ198)*10000+SUM(S198,AK198)*100+SUM(M198,AE198)+0.001&gt;AS198*1000000+SUM(U198,AM198)*10000+SUM(O198,AG198)*100+SUM(I198,AA198)+0.005,1,0)=0,"I",IF(IF(AR198*1000000+SUM(T198,AL198)*10000+SUM(N198,AF198)*100+SUM(H198,Z198)+0.006&gt;AT198*1000000+SUM(V198,AN198)*10000+SUM(P198,AH198)*100+SUM(J198,AB198)+0.004,1,0)+IF(AS198*1000000+SUM(U198,AM198)*10000+SUM(O198,AG198)*100+SUM(I198,AA198)+0.005&gt;AT198*1000000+SUM(V198,AN198)*10000+SUM(P198,AH198)*100+SUM(J198,AB198)+0.004,1,0)+IF(AU198*1000000+SUM(W198,AO198)*10000+SUM(Q198,AI198)*100+SUM(K198,AC198)+0.003&gt;AT198*1000000+SUM(V198,AN198)*10000+SUM(P198,AH198)*100+SUM(J198,AB198)+0.004,1,0)+IF(AV198*1000000+SUM(X198,AP198)*10000+SUM(R198,AJ198)*100+SUM(L198,AD198)+0.002&gt;AT198*1000000+SUM(V198,AN198)*10000+SUM(P198,AH198)*100+SUM(J198,AB198)+0.004,1,0)+IF(AW198*1000000+SUM(Y198,AQ198)*10000+SUM(S198,AK198)*100+SUM(M198,AE198)+0.001&gt;AT198*1000000+SUM(V198,AN198)*10000+SUM(P198,AH198)*100+SUM(J198,AB198)+0.004,1,0)=0,"A",IF(IF(AR198*1000000+SUM(T198,AL198)*10000+SUM(N198,AF198)*100+SUM(H198,Z198)+0.006&gt;AU198*1000000+SUM(W198,AO198)*10000+SUM(Q198,AI198)*100+SUM(K198,AC198)+0.003,1,0)+IF(AS198*1000000+SUM(U198,AM198)*10000+SUM(O198,AG198)*100+SUM(I198,AA198)+0.005&gt;AU198*1000000+SUM(W198,AO198)*10000+SUM(Q198,AI198)*100+SUM(K198,AC198)+0.003,1,0)+IF(AT198*1000000+SUM(V198,AN198)*10000+SUM(P198,AH198)*100+SUM(J198,AB198)+0.004&gt;AU198*1000000+SUM(W198,AO198)*10000+SUM(Q198,AI198)*100+SUM(K198,AC198)+0.003,1,0)+IF(AV198*1000000+SUM(X198,AP198)*10000+SUM(R198,AJ198)*100+SUM(L198,AD198)+0.002&gt;AU198*1000000+SUM(W198,AO198)*10000+SUM(Q198,AI198)*100+SUM(K198,AC198)+0.003,1,0)+IF(AW198*1000000+SUM(Y198,AQ198)*10000+SUM(S198,AK198)*100+SUM(M198,AE198)+0.001&gt;AU198*1000000+SUM(W198,AO198)*10000+SUM(Q198,AI198)*100+SUM(K198,AC198)+0.003,1,0)=0,"S",IF(IF(AR198*1000000+SUM(T198,AL198)*10000+SUM(N198,AF198)*100+SUM(H198,Z198)+0.006&gt;AV198*1000000+SUM(X198,AP198)*10000+SUM(R198,AJ198)*100+SUM(L198,AD198)+0.002,1,0)+IF(AS198*1000000+SUM(U198,AM198)*10000+SUM(O198,AG198)*100+SUM(I198,AA198)+0.005&gt;AV198*1000000+SUM(X198,AP198)*10000+SUM(R198,AJ198)*100+SUM(L198,AD198)+0.002,1,0)+IF(AT198*1000000+SUM(V198,AN198)*10000+SUM(P198,AH198)*100+SUM(J198,AB198)+0.004&gt;AV198*1000000+SUM(X198,AP198)*10000+SUM(R198,AJ198)*100+SUM(L198,AD198)+0.002,1,0)+IF(AU198*1000000+SUM(W198,AO198)*10000+SUM(Q198,AI198)*100+SUM(K198,AC198)+0.003&gt;AV198*1000000+SUM(X198,AP198)*10000+SUM(R198,AJ198)*100+SUM(L198,AD198)+0.002,1,0)+IF(AW198*1000000+SUM(Y198,AQ198)*10000+SUM(S198,AK198)*100+SUM(M198,AE198)+0.001&gt;AV198*1000000+SUM(X198,AP198)*10000+SUM(R198,AJ198)*100+SUM(L198,AD198)+0.002,1,0)=0,"E",IF(IF(AR198*1000000+SUM(T198,AL198)*10000+SUM(N198,AF198)*100+SUM(H198,Z198)+0.006&gt;AW198*1000000+SUM(Y198,AQ198)*10000+SUM(S198,AK198)*100+SUM(M198,AE198)+0.001,1,0)+IF(AS198*1000000+SUM(U198,AM198)*10000+SUM(O198,AG198)*100+SUM(I198,AA198)+0.005&gt;AW198*1000000+SUM(Y198,AQ198)*10000+SUM(S198,AK198)*100+SUM(M198,AE198)+0.001,1,0)+IF(AT198*1000000+SUM(V198,AN198)*10000+SUM(P198,AH198)*100+SUM(J198,AB198)+0.004&gt;AW198*1000000+SUM(Y198,AQ198)*10000+SUM(S198,AK198)*100+SUM(M198,AE198)+0.001,1,0)+IF(AU198*1000000+SUM(W198,AO198)*10000+SUM(Q198,AI198)*100+SUM(K198,AC198)+0.003&gt;AW198*1000000+SUM(Y198,AQ198)*10000+SUM(S198,AK198)*100+SUM(M198,AE198)+0.001,1,0)+IF(AV198*1000000+SUM(X198,AP198)*10000+SUM(R198,AJ198)*100+SUM(L198,AD198)+0.002&gt;AW198*1000000+SUM(Y198,AQ198)*10000+SUM(S198,AK198)*100+SUM(M198,AE198)+0.001,1,0)=0,"C",""))))))&amp;IF(IF(AS198*1000000+SUM(U198,AM198)*10000+SUM(O198,AG198)*100+SUM(I198,AA198)+0.005&gt;AR198*1000000+SUM(T198,AL198)*10000+SUM(N198,AF198)*100+SUM(H198,Z198)+0.006,1,0)+IF(AT198*1000000+SUM(V198,AN198)*10000+SUM(P198,AH198)*100+SUM(J198,AB198)+0.004&gt;AR198*1000000+SUM(T198,AL198)*10000+SUM(N198,AF198)*100+SUM(H198,Z198)+0.006,1,0)+IF(AU198*1000000+SUM(W198,AO198)*10000+SUM(Q198,AI198)*100+SUM(K198,AC198)+0.003&gt;AR198*1000000+SUM(T198,AL198)*10000+SUM(N198,AF198)*100+SUM(H198,Z198)+0.006,1,0)+IF(AV198*1000000+SUM(X198,AP198)*10000+SUM(R198,AJ198)*100+SUM(L198,AD198)+0.002&gt;AR198*1000000+SUM(T198,AL198)*10000+SUM(N198,AF198)*100+SUM(H198,Z198)+0.006,1,0)+IF(AW198*1000000+SUM(Y198,AQ198)*10000+SUM(S198,AK198)*100+SUM(M198,AE198)+0.001&gt;AR198*1000000+SUM(T198,AL198)*10000+SUM(N198,AF198)*100+SUM(H198,Z198)+0.006,1,0)=1,"R",IF(IF(AR198*1000000+SUM(T198,AL198)*10000+SUM(N198,AF198)*100+SUM(H198,Z198)+0.006&gt;AS198*1000000+SUM(U198,AM198)*10000+SUM(O198,AG198)*100+SUM(I198,AA198)+0.005,1,0)+IF(AT198*1000000+SUM(V198,AN198)*10000+SUM(P198,AH198)*100+SUM(J198,AB198)+0.004&gt;AS198*1000000+SUM(U198,AM198)*10000+SUM(O198,AG198)*100+SUM(I198,AA198)+0.005,1,0)+IF(AU198*1000000+SUM(W198,AO198)*10000+SUM(Q198,AI198)*100+SUM(K198,AC198)+0.003&gt;AS198*1000000+SUM(U198,AM198)*10000+SUM(O198,AG198)*100+SUM(I198,AA198)+0.005,1,0)+IF(AV198*1000000+SUM(X198,AP198)*10000+SUM(R198,AJ198)*100+SUM(L198,AD198)+0.002&gt;AS198*1000000+SUM(U198,AM198)*10000+SUM(O198,AG198)*100+SUM(I198,AA198)+0.005,1,0)+IF(AW198*1000000+SUM(Y198,AQ198)*10000+SUM(S198,AK198)*100+SUM(M198,AE198)+0.001&gt;AS198*1000000+SUM(U198,AM198)*10000+SUM(O198,AG198)*100+SUM(I198,AA198)+0.005,1,0)=1,"I",IF(IF(AR198*1000000+SUM(T198,AL198)*10000+SUM(N198,AF198)*100+SUM(H198,Z198)+0.006&gt;AT198*1000000+SUM(V198,AN198)*10000+SUM(P198,AH198)*100+SUM(J198,AB198)+0.004,1,0)+IF(AS198*1000000+SUM(U198,AM198)*10000+SUM(O198,AG198)*100+SUM(I198,AA198)+0.005&gt;AT198*1000000+SUM(V198,AN198)*10000+SUM(P198,AH198)*100+SUM(J198,AB198)+0.004,1,0)+IF(AU198*1000000+SUM(W198,AO198)*10000+SUM(Q198,AI198)*100+SUM(K198,AC198)+0.003&gt;AT198*1000000+SUM(V198,AN198)*10000+SUM(P198,AH198)*100+SUM(J198,AB198)+0.004,1,0)+IF(AV198*1000000+SUM(X198,AP198)*10000+SUM(R198,AJ198)*100+SUM(L198,AD198)+0.002&gt;AT198*1000000+SUM(V198,AN198)*10000+SUM(P198,AH198)*100+SUM(J198,AB198)+0.004,1,0)+IF(AW198*1000000+SUM(Y198,AQ198)*10000+SUM(S198,AK198)*100+SUM(M198,AE198)+0.001&gt;AT198*1000000+SUM(V198,AN198)*10000+SUM(P198,AH198)*100+SUM(J198,AB198)+0.004,1,0)=1,"A",IF(IF(AR198*1000000+SUM(T198,AL198)*10000+SUM(N198,AF198)*100+SUM(H198,Z198)+0.006&gt;AU198*1000000+SUM(W198,AO198)*10000+SUM(Q198,AI198)*100+SUM(K198,AC198)+0.003,1,0)+IF(AS198*1000000+SUM(U198,AM198)*10000+SUM(O198,AG198)*100+SUM(I198,AA198)+0.005&gt;AU198*1000000+SUM(W198,AO198)*10000+SUM(Q198,AI198)*100+SUM(K198,AC198)+0.003,1,0)+IF(AT198*1000000+SUM(V198,AN198)*10000+SUM(P198,AH198)*100+SUM(J198,AB198)+0.004&gt;AU198*1000000+SUM(W198,AO198)*10000+SUM(Q198,AI198)*100+SUM(K198,AC198)+0.003,1,0)+IF(AV198*1000000+SUM(X198,AP198)*10000+SUM(R198,AJ198)*100+SUM(L198,AD198)+0.002&gt;AU198*1000000+SUM(W198,AO198)*10000+SUM(Q198,AI198)*100+SUM(K198,AC198)+0.003,1,0)+IF(AW198*1000000+SUM(Y198,AQ198)*10000+SUM(S198,AK198)*100+SUM(M198,AE198)+0.001&gt;AU198*1000000+SUM(W198,AO198)*10000+SUM(Q198,AI198)*100+SUM(K198,AC198)+0.003,1,0)=1,"S",IF(IF(AR198*1000000+SUM(T198,AL198)*10000+SUM(N198,AF198)*100+SUM(H198,Z198)+0.006&gt;AV198*1000000+SUM(X198,AP198)*10000+SUM(R198,AJ198)*100+SUM(L198,AD198)+0.002,1,0)+IF(AS198*1000000+SUM(U198,AM198)*10000+SUM(O198,AG198)*100+SUM(I198,AA198)+0.005&gt;AV198*1000000+SUM(X198,AP198)*10000+SUM(R198,AJ198)*100+SUM(L198,AD198)+0.002,1,0)+IF(AT198*1000000+SUM(V198,AN198)*10000+SUM(P198,AH198)*100+SUM(J198,AB198)+0.004&gt;AV198*1000000+SUM(X198,AP198)*10000+SUM(R198,AJ198)*100+SUM(L198,AD198)+0.002,1,0)+IF(AU198*1000000+SUM(W198,AO198)*10000+SUM(Q198,AI198)*100+SUM(K198,AC198)+0.003&gt;AV198*1000000+SUM(X198,AP198)*10000+SUM(R198,AJ198)*100+SUM(L198,AD198)+0.002,1,0)+IF(AW198*1000000+SUM(Y198,AQ198)*10000+SUM(S198,AK198)*100+SUM(M198,AE198)+0.001&gt;AV198*1000000+SUM(X198,AP198)*10000+SUM(R198,AJ198)*100+SUM(L198,AD198)+0.002,1,0)=1,"E",IF(IF(AR198*1000000+SUM(T198,AL198)*10000+SUM(N198,AF198)*100+SUM(H198,Z198)+0.006&gt;AW198*1000000+SUM(Y198,AQ198)*10000+SUM(S198,AK198)*100+SUM(M198,AE198)+0.001,1,0)+IF(AS198*1000000+SUM(U198,AM198)*10000+SUM(O198,AG198)*100+SUM(I198,AA198)+0.005&gt;AW198*1000000+SUM(Y198,AQ198)*10000+SUM(S198,AK198)*100+SUM(M198,AE198)+0.001,1,0)+IF(AT198*1000000+SUM(V198,AN198)*10000+SUM(P198,AH198)*100+SUM(J198,AB198)+0.004&gt;AW198*1000000+SUM(Y198,AQ198)*10000+SUM(S198,AK198)*100+SUM(M198,AE198)+0.001,1,0)+IF(AU198*1000000+SUM(W198,AO198)*10000+SUM(Q198,AI198)*100+SUM(K198,AC198)+0.003&gt;AW198*1000000+SUM(Y198,AQ198)*10000+SUM(S198,AK198)*100+SUM(M198,AE198)+0.001,1,0)+IF(AV198*1000000+SUM(X198,AP198)*10000+SUM(R198,AJ198)*100+SUM(L198,AD198)+0.002&gt;AW198*1000000+SUM(Y198,AQ198)*10000+SUM(S198,AK198)*100+SUM(M198,AE198)+0.001,1,0)=1,"C",""))))))&amp;IF(IF(AS198*1000000+SUM(U198,AM198)*10000+SUM(O198,AG198)*100+SUM(I198,AA198)+0.005&gt;AR198*1000000+SUM(T198,AL198)*10000+SUM(N198,AF198)*100+SUM(H198,Z198)+0.006,1,0)+IF(AT198*1000000+SUM(V198,AN198)*10000+SUM(P198,AH198)*100+SUM(J198,AB198)+0.004&gt;AR198*1000000+SUM(T198,AL198)*10000+SUM(N198,AF198)*100+SUM(H198,Z198)+0.006,1,0)+IF(AU198*1000000+SUM(W198,AO198)*10000+SUM(Q198,AI198)*100+SUM(K198,AC198)+0.003&gt;AR198*1000000+SUM(T198,AL198)*10000+SUM(N198,AF198)*100+SUM(H198,Z198)+0.006,1,0)+IF(AV198*1000000+SUM(X198,AP198)*10000+SUM(R198,AJ198)*100+SUM(L198,AD198)+0.002&gt;AR198*1000000+SUM(T198,AL198)*10000+SUM(N198,AF198)*100+SUM(H198,Z198)+0.006,1,0)+IF(AW198*1000000+SUM(Y198,AQ198)*10000+SUM(S198,AK198)*100+SUM(M198,AE198)+0.001&gt;AR198*1000000+SUM(T198,AL198)*10000+SUM(N198,AF198)*100+SUM(H198,Z198)+0.006,1,0)=2,"R",IF(IF(AR198*1000000+SUM(T198,AL198)*10000+SUM(N198,AF198)*100+SUM(H198,Z198)+0.006&gt;AS198*1000000+SUM(U198,AM198)*10000+SUM(O198,AG198)*100+SUM(I198,AA198)+0.005,1,0)+IF(AT198*1000000+SUM(V198,AN198)*10000+SUM(P198,AH198)*100+SUM(J198,AB198)+0.004&gt;AS198*1000000+SUM(U198,AM198)*10000+SUM(O198,AG198)*100+SUM(I198,AA198)+0.005,1,0)+IF(AU198*1000000+SUM(W198,AO198)*10000+SUM(Q198,AI198)*100+SUM(K198,AC198)+0.003&gt;AS198*1000000+SUM(U198,AM198)*10000+SUM(O198,AG198)*100+SUM(I198,AA198)+0.005,1,0)+IF(AV198*1000000+SUM(X198,AP198)*10000+SUM(R198,AJ198)*100+SUM(L198,AD198)+0.002&gt;AS198*1000000+SUM(U198,AM198)*10000+SUM(O198,AG198)*100+SUM(I198,AA198)+0.005,1,0)+IF(AW198*1000000+SUM(Y198,AQ198)*10000+SUM(S198,AK198)*100+SUM(M198,AE198)+0.001&gt;AS198*1000000+SUM(U198,AM198)*10000+SUM(O198,AG198)*100+SUM(I198,AA198)+0.005,1,0)=2,"I",IF(IF(AR198*1000000+SUM(T198,AL198)*10000+SUM(N198,AF198)*100+SUM(H198,Z198)+0.006&gt;AT198*1000000+SUM(V198,AN198)*10000+SUM(P198,AH198)*100+SUM(J198,AB198)+0.004,1,0)+IF(AS198*1000000+SUM(U198,AM198)*10000+SUM(O198,AG198)*100+SUM(I198,AA198)+0.005&gt;AT198*1000000+SUM(V198,AN198)*10000+SUM(P198,AH198)*100+SUM(J198,AB198)+0.004,1,0)+IF(AU198*1000000+SUM(W198,AO198)*10000+SUM(Q198,AI198)*100+SUM(K198,AC198)+0.003&gt;AT198*1000000+SUM(V198,AN198)*10000+SUM(P198,AH198)*100+SUM(J198,AB198)+0.004,1,0)+IF(AV198*1000000+SUM(X198,AP198)*10000+SUM(R198,AJ198)*100+SUM(L198,AD198)+0.002&gt;AT198*1000000+SUM(V198,AN198)*10000+SUM(P198,AH198)*100+SUM(J198,AB198)+0.004,1,0)+IF(AW198*1000000+SUM(Y198,AQ198)*10000+SUM(S198,AK198)*100+SUM(M198,AE198)+0.001&gt;AT198*1000000+SUM(V198,AN198)*10000+SUM(P198,AH198)*100+SUM(J198,AB198)+0.004,1,0)=2,"A",IF(IF(AR198*1000000+SUM(T198,AL198)*10000+SUM(N198,AF198)*100+SUM(H198,Z198)+0.006&gt;AU198*1000000+SUM(W198,AO198)*10000+SUM(Q198,AI198)*100+SUM(K198,AC198)+0.003,1,0)+IF(AS198*1000000+SUM(U198,AM198)*10000+SUM(O198,AG198)*100+SUM(I198,AA198)+0.005&gt;AU198*1000000+SUM(W198,AO198)*10000+SUM(Q198,AI198)*100+SUM(K198,AC198)+0.003,1,0)+IF(AT198*1000000+SUM(V198,AN198)*10000+SUM(P198,AH198)*100+SUM(J198,AB198)+0.004&gt;AU198*1000000+SUM(W198,AO198)*10000+SUM(Q198,AI198)*100+SUM(K198,AC198)+0.003,1,0)+IF(AV198*1000000+SUM(X198,AP198)*10000+SUM(R198,AJ198)*100+SUM(L198,AD198)+0.002&gt;AU198*1000000+SUM(W198,AO198)*10000+SUM(Q198,AI198)*100+SUM(K198,AC198)+0.003,1,0)+IF(AW198*1000000+SUM(Y198,AQ198)*10000+SUM(S198,AK198)*100+SUM(M198,AE198)+0.001&gt;AU198*1000000+SUM(W198,AO198)*10000+SUM(Q198,AI198)*100+SUM(K198,AC198)+0.003,1,0)=2,"S",IF(IF(AR198*1000000+SUM(T198,AL198)*10000+SUM(N198,AF198)*100+SUM(H198,Z198)+0.006&gt;AV198*1000000+SUM(X198,AP198)*10000+SUM(R198,AJ198)*100+SUM(L198,AD198)+0.002,1,0)+IF(AS198*1000000+SUM(U198,AM198)*10000+SUM(O198,AG198)*100+SUM(I198,AA198)+0.005&gt;AV198*1000000+SUM(X198,AP198)*10000+SUM(R198,AJ198)*100+SUM(L198,AD198)+0.002,1,0)+IF(AT198*1000000+SUM(V198,AN198)*10000+SUM(P198,AH198)*100+SUM(J198,AB198)+0.004&gt;AV198*1000000+SUM(X198,AP198)*10000+SUM(R198,AJ198)*100+SUM(L198,AD198)+0.002,1,0)+IF(AU198*1000000+SUM(W198,AO198)*10000+SUM(Q198,AI198)*100+SUM(K198,AC198)+0.003&gt;AV198*1000000+SUM(X198,AP198)*10000+SUM(R198,AJ198)*100+SUM(L198,AD198)+0.002,1,0)+IF(AW198*1000000+SUM(Y198,AQ198)*10000+SUM(S198,AK198)*100+SUM(M198,AE198)+0.001&gt;AV198*1000000+SUM(X198,AP198)*10000+SUM(R198,AJ198)*100+SUM(L198,AD198)+0.002,1,0)=2,"E",IF(IF(AR198*1000000+SUM(T198,AL198)*10000+SUM(N198,AF198)*100+SUM(H198,Z198)+0.006&gt;AW198*1000000+SUM(Y198,AQ198)*10000+SUM(S198,AK198)*100+SUM(M198,AE198)+0.001,1,0)+IF(AS198*1000000+SUM(U198,AM198)*10000+SUM(O198,AG198)*100+SUM(I198,AA198)+0.005&gt;AW198*1000000+SUM(Y198,AQ198)*10000+SUM(S198,AK198)*100+SUM(M198,AE198)+0.001,1,0)+IF(AT198*1000000+SUM(V198,AN198)*10000+SUM(P198,AH198)*100+SUM(J198,AB198)+0.004&gt;AW198*1000000+SUM(Y198,AQ198)*10000+SUM(S198,AK198)*100+SUM(M198,AE198)+0.001,1,0)+IF(AU198*1000000+SUM(W198,AO198)*10000+SUM(Q198,AI198)*100+SUM(K198,AC198)+0.003&gt;AW198*1000000+SUM(Y198,AQ198)*10000+SUM(S198,AK198)*100+SUM(M198,AE198)+0.001,1,0)+IF(AV198*1000000+SUM(X198,AP198)*10000+SUM(R198,AJ198)*100+SUM(L198,AD198)+0.002&gt;AW198*1000000+SUM(Y198,AQ198)*10000+SUM(S198,AK198)*100+SUM(M198,AE198)+0.001,1,0)=2,"C","")))))))</x:f>
      </x:c>
      <x:c r="AY198" s="27" t="str">
        <x:f>IF(C198="","",IF(LEFT(AX198,1)="R","นักปฏิบัติ",IF(LEFT(AX198,1)="I","นักคิดวิเคราะห์",IF(LEFT(AX198,1)="A","นักสร้างสรรค์",IF(LEFT(AX198,1)="S","ผู้เข้าใจผู้คน",IF(LEFT(AX198,1)="E","ผู้นำการเปลี่ยนแปลง","ผู้จัดระบบ"))))))</x:f>
      </x:c>
    </x:row>
    <x:row r="199">
      <x:c r="A199" s="27"/>
      <x:c r="B199" s="28"/>
      <x:c r="C199" s="27"/>
      <x:c r="D199" s="27"/>
      <x:c r="E199" s="27"/>
      <x:c r="F199" s="27"/>
      <x:c r="G199" s="27"/>
      <x:c r="H199" s="27"/>
      <x:c r="I199" s="27"/>
      <x:c r="J199" s="27"/>
      <x:c r="K199" s="27"/>
      <x:c r="L199" s="27"/>
      <x:c r="M199" s="27"/>
      <x:c r="N199" s="27"/>
      <x:c r="O199" s="27"/>
      <x:c r="P199" s="27"/>
      <x:c r="Q199" s="27"/>
      <x:c r="R199" s="27"/>
      <x:c r="S199" s="27"/>
      <x:c r="T199" s="27"/>
      <x:c r="U199" s="27"/>
      <x:c r="V199" s="27"/>
      <x:c r="W199" s="27"/>
      <x:c r="X199" s="27"/>
      <x:c r="Y199" s="27"/>
      <x:c r="Z199" s="27"/>
      <x:c r="AA199" s="27"/>
      <x:c r="AB199" s="27"/>
      <x:c r="AC199" s="27"/>
      <x:c r="AD199" s="27"/>
      <x:c r="AE199" s="27"/>
      <x:c r="AF199" s="27"/>
      <x:c r="AG199" s="27"/>
      <x:c r="AH199" s="27"/>
      <x:c r="AI199" s="27"/>
      <x:c r="AJ199" s="27"/>
      <x:c r="AK199" s="27"/>
      <x:c r="AL199" s="27"/>
      <x:c r="AM199" s="27"/>
      <x:c r="AN199" s="27"/>
      <x:c r="AO199" s="27"/>
      <x:c r="AP199" s="27"/>
      <x:c r="AQ199" s="27"/>
      <x:c r="AR199" s="27" t="str">
        <x:f>IF(C199="","",SUM(H199,N199,T199,Z199,AF199,AL199))</x:f>
      </x:c>
      <x:c r="AS199" s="27" t="str">
        <x:f>IF(C199="","",SUM(I199,O199,U199,AA199,AG199,AM199))</x:f>
      </x:c>
      <x:c r="AT199" s="27" t="str">
        <x:f>IF(C199="","",SUM(J199,P199,V199,AB199,AH199,AN199))</x:f>
      </x:c>
      <x:c r="AU199" s="27" t="str">
        <x:f>IF(C199="","",SUM(K199,Q199,W199,AC199,AI199,AO199))</x:f>
      </x:c>
      <x:c r="AV199" s="27" t="str">
        <x:f>IF(C199="","",SUM(L199,R199,X199,AD199,AJ199,AP199))</x:f>
      </x:c>
      <x:c r="AW199" s="27" t="str">
        <x:f>IF(C199="","",SUM(M199,S199,Y199,AE199,AK199,AQ199))</x:f>
      </x:c>
      <x:c r="AX199" s="27" t="str">
        <x:f>IF(C199="","",IF(IF(AS199*1000000+SUM(U199,AM199)*10000+SUM(O199,AG199)*100+SUM(I199,AA199)+0.005&gt;AR199*1000000+SUM(T199,AL199)*10000+SUM(N199,AF199)*100+SUM(H199,Z199)+0.006,1,0)+IF(AT199*1000000+SUM(V199,AN199)*10000+SUM(P199,AH199)*100+SUM(J199,AB199)+0.004&gt;AR199*1000000+SUM(T199,AL199)*10000+SUM(N199,AF199)*100+SUM(H199,Z199)+0.006,1,0)+IF(AU199*1000000+SUM(W199,AO199)*10000+SUM(Q199,AI199)*100+SUM(K199,AC199)+0.003&gt;AR199*1000000+SUM(T199,AL199)*10000+SUM(N199,AF199)*100+SUM(H199,Z199)+0.006,1,0)+IF(AV199*1000000+SUM(X199,AP199)*10000+SUM(R199,AJ199)*100+SUM(L199,AD199)+0.002&gt;AR199*1000000+SUM(T199,AL199)*10000+SUM(N199,AF199)*100+SUM(H199,Z199)+0.006,1,0)+IF(AW199*1000000+SUM(Y199,AQ199)*10000+SUM(S199,AK199)*100+SUM(M199,AE199)+0.001&gt;AR199*1000000+SUM(T199,AL199)*10000+SUM(N199,AF199)*100+SUM(H199,Z199)+0.006,1,0)=0,"R",IF(IF(AR199*1000000+SUM(T199,AL199)*10000+SUM(N199,AF199)*100+SUM(H199,Z199)+0.006&gt;AS199*1000000+SUM(U199,AM199)*10000+SUM(O199,AG199)*100+SUM(I199,AA199)+0.005,1,0)+IF(AT199*1000000+SUM(V199,AN199)*10000+SUM(P199,AH199)*100+SUM(J199,AB199)+0.004&gt;AS199*1000000+SUM(U199,AM199)*10000+SUM(O199,AG199)*100+SUM(I199,AA199)+0.005,1,0)+IF(AU199*1000000+SUM(W199,AO199)*10000+SUM(Q199,AI199)*100+SUM(K199,AC199)+0.003&gt;AS199*1000000+SUM(U199,AM199)*10000+SUM(O199,AG199)*100+SUM(I199,AA199)+0.005,1,0)+IF(AV199*1000000+SUM(X199,AP199)*10000+SUM(R199,AJ199)*100+SUM(L199,AD199)+0.002&gt;AS199*1000000+SUM(U199,AM199)*10000+SUM(O199,AG199)*100+SUM(I199,AA199)+0.005,1,0)+IF(AW199*1000000+SUM(Y199,AQ199)*10000+SUM(S199,AK199)*100+SUM(M199,AE199)+0.001&gt;AS199*1000000+SUM(U199,AM199)*10000+SUM(O199,AG199)*100+SUM(I199,AA199)+0.005,1,0)=0,"I",IF(IF(AR199*1000000+SUM(T199,AL199)*10000+SUM(N199,AF199)*100+SUM(H199,Z199)+0.006&gt;AT199*1000000+SUM(V199,AN199)*10000+SUM(P199,AH199)*100+SUM(J199,AB199)+0.004,1,0)+IF(AS199*1000000+SUM(U199,AM199)*10000+SUM(O199,AG199)*100+SUM(I199,AA199)+0.005&gt;AT199*1000000+SUM(V199,AN199)*10000+SUM(P199,AH199)*100+SUM(J199,AB199)+0.004,1,0)+IF(AU199*1000000+SUM(W199,AO199)*10000+SUM(Q199,AI199)*100+SUM(K199,AC199)+0.003&gt;AT199*1000000+SUM(V199,AN199)*10000+SUM(P199,AH199)*100+SUM(J199,AB199)+0.004,1,0)+IF(AV199*1000000+SUM(X199,AP199)*10000+SUM(R199,AJ199)*100+SUM(L199,AD199)+0.002&gt;AT199*1000000+SUM(V199,AN199)*10000+SUM(P199,AH199)*100+SUM(J199,AB199)+0.004,1,0)+IF(AW199*1000000+SUM(Y199,AQ199)*10000+SUM(S199,AK199)*100+SUM(M199,AE199)+0.001&gt;AT199*1000000+SUM(V199,AN199)*10000+SUM(P199,AH199)*100+SUM(J199,AB199)+0.004,1,0)=0,"A",IF(IF(AR199*1000000+SUM(T199,AL199)*10000+SUM(N199,AF199)*100+SUM(H199,Z199)+0.006&gt;AU199*1000000+SUM(W199,AO199)*10000+SUM(Q199,AI199)*100+SUM(K199,AC199)+0.003,1,0)+IF(AS199*1000000+SUM(U199,AM199)*10000+SUM(O199,AG199)*100+SUM(I199,AA199)+0.005&gt;AU199*1000000+SUM(W199,AO199)*10000+SUM(Q199,AI199)*100+SUM(K199,AC199)+0.003,1,0)+IF(AT199*1000000+SUM(V199,AN199)*10000+SUM(P199,AH199)*100+SUM(J199,AB199)+0.004&gt;AU199*1000000+SUM(W199,AO199)*10000+SUM(Q199,AI199)*100+SUM(K199,AC199)+0.003,1,0)+IF(AV199*1000000+SUM(X199,AP199)*10000+SUM(R199,AJ199)*100+SUM(L199,AD199)+0.002&gt;AU199*1000000+SUM(W199,AO199)*10000+SUM(Q199,AI199)*100+SUM(K199,AC199)+0.003,1,0)+IF(AW199*1000000+SUM(Y199,AQ199)*10000+SUM(S199,AK199)*100+SUM(M199,AE199)+0.001&gt;AU199*1000000+SUM(W199,AO199)*10000+SUM(Q199,AI199)*100+SUM(K199,AC199)+0.003,1,0)=0,"S",IF(IF(AR199*1000000+SUM(T199,AL199)*10000+SUM(N199,AF199)*100+SUM(H199,Z199)+0.006&gt;AV199*1000000+SUM(X199,AP199)*10000+SUM(R199,AJ199)*100+SUM(L199,AD199)+0.002,1,0)+IF(AS199*1000000+SUM(U199,AM199)*10000+SUM(O199,AG199)*100+SUM(I199,AA199)+0.005&gt;AV199*1000000+SUM(X199,AP199)*10000+SUM(R199,AJ199)*100+SUM(L199,AD199)+0.002,1,0)+IF(AT199*1000000+SUM(V199,AN199)*10000+SUM(P199,AH199)*100+SUM(J199,AB199)+0.004&gt;AV199*1000000+SUM(X199,AP199)*10000+SUM(R199,AJ199)*100+SUM(L199,AD199)+0.002,1,0)+IF(AU199*1000000+SUM(W199,AO199)*10000+SUM(Q199,AI199)*100+SUM(K199,AC199)+0.003&gt;AV199*1000000+SUM(X199,AP199)*10000+SUM(R199,AJ199)*100+SUM(L199,AD199)+0.002,1,0)+IF(AW199*1000000+SUM(Y199,AQ199)*10000+SUM(S199,AK199)*100+SUM(M199,AE199)+0.001&gt;AV199*1000000+SUM(X199,AP199)*10000+SUM(R199,AJ199)*100+SUM(L199,AD199)+0.002,1,0)=0,"E",IF(IF(AR199*1000000+SUM(T199,AL199)*10000+SUM(N199,AF199)*100+SUM(H199,Z199)+0.006&gt;AW199*1000000+SUM(Y199,AQ199)*10000+SUM(S199,AK199)*100+SUM(M199,AE199)+0.001,1,0)+IF(AS199*1000000+SUM(U199,AM199)*10000+SUM(O199,AG199)*100+SUM(I199,AA199)+0.005&gt;AW199*1000000+SUM(Y199,AQ199)*10000+SUM(S199,AK199)*100+SUM(M199,AE199)+0.001,1,0)+IF(AT199*1000000+SUM(V199,AN199)*10000+SUM(P199,AH199)*100+SUM(J199,AB199)+0.004&gt;AW199*1000000+SUM(Y199,AQ199)*10000+SUM(S199,AK199)*100+SUM(M199,AE199)+0.001,1,0)+IF(AU199*1000000+SUM(W199,AO199)*10000+SUM(Q199,AI199)*100+SUM(K199,AC199)+0.003&gt;AW199*1000000+SUM(Y199,AQ199)*10000+SUM(S199,AK199)*100+SUM(M199,AE199)+0.001,1,0)+IF(AV199*1000000+SUM(X199,AP199)*10000+SUM(R199,AJ199)*100+SUM(L199,AD199)+0.002&gt;AW199*1000000+SUM(Y199,AQ199)*10000+SUM(S199,AK199)*100+SUM(M199,AE199)+0.001,1,0)=0,"C",""))))))&amp;IF(IF(AS199*1000000+SUM(U199,AM199)*10000+SUM(O199,AG199)*100+SUM(I199,AA199)+0.005&gt;AR199*1000000+SUM(T199,AL199)*10000+SUM(N199,AF199)*100+SUM(H199,Z199)+0.006,1,0)+IF(AT199*1000000+SUM(V199,AN199)*10000+SUM(P199,AH199)*100+SUM(J199,AB199)+0.004&gt;AR199*1000000+SUM(T199,AL199)*10000+SUM(N199,AF199)*100+SUM(H199,Z199)+0.006,1,0)+IF(AU199*1000000+SUM(W199,AO199)*10000+SUM(Q199,AI199)*100+SUM(K199,AC199)+0.003&gt;AR199*1000000+SUM(T199,AL199)*10000+SUM(N199,AF199)*100+SUM(H199,Z199)+0.006,1,0)+IF(AV199*1000000+SUM(X199,AP199)*10000+SUM(R199,AJ199)*100+SUM(L199,AD199)+0.002&gt;AR199*1000000+SUM(T199,AL199)*10000+SUM(N199,AF199)*100+SUM(H199,Z199)+0.006,1,0)+IF(AW199*1000000+SUM(Y199,AQ199)*10000+SUM(S199,AK199)*100+SUM(M199,AE199)+0.001&gt;AR199*1000000+SUM(T199,AL199)*10000+SUM(N199,AF199)*100+SUM(H199,Z199)+0.006,1,0)=1,"R",IF(IF(AR199*1000000+SUM(T199,AL199)*10000+SUM(N199,AF199)*100+SUM(H199,Z199)+0.006&gt;AS199*1000000+SUM(U199,AM199)*10000+SUM(O199,AG199)*100+SUM(I199,AA199)+0.005,1,0)+IF(AT199*1000000+SUM(V199,AN199)*10000+SUM(P199,AH199)*100+SUM(J199,AB199)+0.004&gt;AS199*1000000+SUM(U199,AM199)*10000+SUM(O199,AG199)*100+SUM(I199,AA199)+0.005,1,0)+IF(AU199*1000000+SUM(W199,AO199)*10000+SUM(Q199,AI199)*100+SUM(K199,AC199)+0.003&gt;AS199*1000000+SUM(U199,AM199)*10000+SUM(O199,AG199)*100+SUM(I199,AA199)+0.005,1,0)+IF(AV199*1000000+SUM(X199,AP199)*10000+SUM(R199,AJ199)*100+SUM(L199,AD199)+0.002&gt;AS199*1000000+SUM(U199,AM199)*10000+SUM(O199,AG199)*100+SUM(I199,AA199)+0.005,1,0)+IF(AW199*1000000+SUM(Y199,AQ199)*10000+SUM(S199,AK199)*100+SUM(M199,AE199)+0.001&gt;AS199*1000000+SUM(U199,AM199)*10000+SUM(O199,AG199)*100+SUM(I199,AA199)+0.005,1,0)=1,"I",IF(IF(AR199*1000000+SUM(T199,AL199)*10000+SUM(N199,AF199)*100+SUM(H199,Z199)+0.006&gt;AT199*1000000+SUM(V199,AN199)*10000+SUM(P199,AH199)*100+SUM(J199,AB199)+0.004,1,0)+IF(AS199*1000000+SUM(U199,AM199)*10000+SUM(O199,AG199)*100+SUM(I199,AA199)+0.005&gt;AT199*1000000+SUM(V199,AN199)*10000+SUM(P199,AH199)*100+SUM(J199,AB199)+0.004,1,0)+IF(AU199*1000000+SUM(W199,AO199)*10000+SUM(Q199,AI199)*100+SUM(K199,AC199)+0.003&gt;AT199*1000000+SUM(V199,AN199)*10000+SUM(P199,AH199)*100+SUM(J199,AB199)+0.004,1,0)+IF(AV199*1000000+SUM(X199,AP199)*10000+SUM(R199,AJ199)*100+SUM(L199,AD199)+0.002&gt;AT199*1000000+SUM(V199,AN199)*10000+SUM(P199,AH199)*100+SUM(J199,AB199)+0.004,1,0)+IF(AW199*1000000+SUM(Y199,AQ199)*10000+SUM(S199,AK199)*100+SUM(M199,AE199)+0.001&gt;AT199*1000000+SUM(V199,AN199)*10000+SUM(P199,AH199)*100+SUM(J199,AB199)+0.004,1,0)=1,"A",IF(IF(AR199*1000000+SUM(T199,AL199)*10000+SUM(N199,AF199)*100+SUM(H199,Z199)+0.006&gt;AU199*1000000+SUM(W199,AO199)*10000+SUM(Q199,AI199)*100+SUM(K199,AC199)+0.003,1,0)+IF(AS199*1000000+SUM(U199,AM199)*10000+SUM(O199,AG199)*100+SUM(I199,AA199)+0.005&gt;AU199*1000000+SUM(W199,AO199)*10000+SUM(Q199,AI199)*100+SUM(K199,AC199)+0.003,1,0)+IF(AT199*1000000+SUM(V199,AN199)*10000+SUM(P199,AH199)*100+SUM(J199,AB199)+0.004&gt;AU199*1000000+SUM(W199,AO199)*10000+SUM(Q199,AI199)*100+SUM(K199,AC199)+0.003,1,0)+IF(AV199*1000000+SUM(X199,AP199)*10000+SUM(R199,AJ199)*100+SUM(L199,AD199)+0.002&gt;AU199*1000000+SUM(W199,AO199)*10000+SUM(Q199,AI199)*100+SUM(K199,AC199)+0.003,1,0)+IF(AW199*1000000+SUM(Y199,AQ199)*10000+SUM(S199,AK199)*100+SUM(M199,AE199)+0.001&gt;AU199*1000000+SUM(W199,AO199)*10000+SUM(Q199,AI199)*100+SUM(K199,AC199)+0.003,1,0)=1,"S",IF(IF(AR199*1000000+SUM(T199,AL199)*10000+SUM(N199,AF199)*100+SUM(H199,Z199)+0.006&gt;AV199*1000000+SUM(X199,AP199)*10000+SUM(R199,AJ199)*100+SUM(L199,AD199)+0.002,1,0)+IF(AS199*1000000+SUM(U199,AM199)*10000+SUM(O199,AG199)*100+SUM(I199,AA199)+0.005&gt;AV199*1000000+SUM(X199,AP199)*10000+SUM(R199,AJ199)*100+SUM(L199,AD199)+0.002,1,0)+IF(AT199*1000000+SUM(V199,AN199)*10000+SUM(P199,AH199)*100+SUM(J199,AB199)+0.004&gt;AV199*1000000+SUM(X199,AP199)*10000+SUM(R199,AJ199)*100+SUM(L199,AD199)+0.002,1,0)+IF(AU199*1000000+SUM(W199,AO199)*10000+SUM(Q199,AI199)*100+SUM(K199,AC199)+0.003&gt;AV199*1000000+SUM(X199,AP199)*10000+SUM(R199,AJ199)*100+SUM(L199,AD199)+0.002,1,0)+IF(AW199*1000000+SUM(Y199,AQ199)*10000+SUM(S199,AK199)*100+SUM(M199,AE199)+0.001&gt;AV199*1000000+SUM(X199,AP199)*10000+SUM(R199,AJ199)*100+SUM(L199,AD199)+0.002,1,0)=1,"E",IF(IF(AR199*1000000+SUM(T199,AL199)*10000+SUM(N199,AF199)*100+SUM(H199,Z199)+0.006&gt;AW199*1000000+SUM(Y199,AQ199)*10000+SUM(S199,AK199)*100+SUM(M199,AE199)+0.001,1,0)+IF(AS199*1000000+SUM(U199,AM199)*10000+SUM(O199,AG199)*100+SUM(I199,AA199)+0.005&gt;AW199*1000000+SUM(Y199,AQ199)*10000+SUM(S199,AK199)*100+SUM(M199,AE199)+0.001,1,0)+IF(AT199*1000000+SUM(V199,AN199)*10000+SUM(P199,AH199)*100+SUM(J199,AB199)+0.004&gt;AW199*1000000+SUM(Y199,AQ199)*10000+SUM(S199,AK199)*100+SUM(M199,AE199)+0.001,1,0)+IF(AU199*1000000+SUM(W199,AO199)*10000+SUM(Q199,AI199)*100+SUM(K199,AC199)+0.003&gt;AW199*1000000+SUM(Y199,AQ199)*10000+SUM(S199,AK199)*100+SUM(M199,AE199)+0.001,1,0)+IF(AV199*1000000+SUM(X199,AP199)*10000+SUM(R199,AJ199)*100+SUM(L199,AD199)+0.002&gt;AW199*1000000+SUM(Y199,AQ199)*10000+SUM(S199,AK199)*100+SUM(M199,AE199)+0.001,1,0)=1,"C",""))))))&amp;IF(IF(AS199*1000000+SUM(U199,AM199)*10000+SUM(O199,AG199)*100+SUM(I199,AA199)+0.005&gt;AR199*1000000+SUM(T199,AL199)*10000+SUM(N199,AF199)*100+SUM(H199,Z199)+0.006,1,0)+IF(AT199*1000000+SUM(V199,AN199)*10000+SUM(P199,AH199)*100+SUM(J199,AB199)+0.004&gt;AR199*1000000+SUM(T199,AL199)*10000+SUM(N199,AF199)*100+SUM(H199,Z199)+0.006,1,0)+IF(AU199*1000000+SUM(W199,AO199)*10000+SUM(Q199,AI199)*100+SUM(K199,AC199)+0.003&gt;AR199*1000000+SUM(T199,AL199)*10000+SUM(N199,AF199)*100+SUM(H199,Z199)+0.006,1,0)+IF(AV199*1000000+SUM(X199,AP199)*10000+SUM(R199,AJ199)*100+SUM(L199,AD199)+0.002&gt;AR199*1000000+SUM(T199,AL199)*10000+SUM(N199,AF199)*100+SUM(H199,Z199)+0.006,1,0)+IF(AW199*1000000+SUM(Y199,AQ199)*10000+SUM(S199,AK199)*100+SUM(M199,AE199)+0.001&gt;AR199*1000000+SUM(T199,AL199)*10000+SUM(N199,AF199)*100+SUM(H199,Z199)+0.006,1,0)=2,"R",IF(IF(AR199*1000000+SUM(T199,AL199)*10000+SUM(N199,AF199)*100+SUM(H199,Z199)+0.006&gt;AS199*1000000+SUM(U199,AM199)*10000+SUM(O199,AG199)*100+SUM(I199,AA199)+0.005,1,0)+IF(AT199*1000000+SUM(V199,AN199)*10000+SUM(P199,AH199)*100+SUM(J199,AB199)+0.004&gt;AS199*1000000+SUM(U199,AM199)*10000+SUM(O199,AG199)*100+SUM(I199,AA199)+0.005,1,0)+IF(AU199*1000000+SUM(W199,AO199)*10000+SUM(Q199,AI199)*100+SUM(K199,AC199)+0.003&gt;AS199*1000000+SUM(U199,AM199)*10000+SUM(O199,AG199)*100+SUM(I199,AA199)+0.005,1,0)+IF(AV199*1000000+SUM(X199,AP199)*10000+SUM(R199,AJ199)*100+SUM(L199,AD199)+0.002&gt;AS199*1000000+SUM(U199,AM199)*10000+SUM(O199,AG199)*100+SUM(I199,AA199)+0.005,1,0)+IF(AW199*1000000+SUM(Y199,AQ199)*10000+SUM(S199,AK199)*100+SUM(M199,AE199)+0.001&gt;AS199*1000000+SUM(U199,AM199)*10000+SUM(O199,AG199)*100+SUM(I199,AA199)+0.005,1,0)=2,"I",IF(IF(AR199*1000000+SUM(T199,AL199)*10000+SUM(N199,AF199)*100+SUM(H199,Z199)+0.006&gt;AT199*1000000+SUM(V199,AN199)*10000+SUM(P199,AH199)*100+SUM(J199,AB199)+0.004,1,0)+IF(AS199*1000000+SUM(U199,AM199)*10000+SUM(O199,AG199)*100+SUM(I199,AA199)+0.005&gt;AT199*1000000+SUM(V199,AN199)*10000+SUM(P199,AH199)*100+SUM(J199,AB199)+0.004,1,0)+IF(AU199*1000000+SUM(W199,AO199)*10000+SUM(Q199,AI199)*100+SUM(K199,AC199)+0.003&gt;AT199*1000000+SUM(V199,AN199)*10000+SUM(P199,AH199)*100+SUM(J199,AB199)+0.004,1,0)+IF(AV199*1000000+SUM(X199,AP199)*10000+SUM(R199,AJ199)*100+SUM(L199,AD199)+0.002&gt;AT199*1000000+SUM(V199,AN199)*10000+SUM(P199,AH199)*100+SUM(J199,AB199)+0.004,1,0)+IF(AW199*1000000+SUM(Y199,AQ199)*10000+SUM(S199,AK199)*100+SUM(M199,AE199)+0.001&gt;AT199*1000000+SUM(V199,AN199)*10000+SUM(P199,AH199)*100+SUM(J199,AB199)+0.004,1,0)=2,"A",IF(IF(AR199*1000000+SUM(T199,AL199)*10000+SUM(N199,AF199)*100+SUM(H199,Z199)+0.006&gt;AU199*1000000+SUM(W199,AO199)*10000+SUM(Q199,AI199)*100+SUM(K199,AC199)+0.003,1,0)+IF(AS199*1000000+SUM(U199,AM199)*10000+SUM(O199,AG199)*100+SUM(I199,AA199)+0.005&gt;AU199*1000000+SUM(W199,AO199)*10000+SUM(Q199,AI199)*100+SUM(K199,AC199)+0.003,1,0)+IF(AT199*1000000+SUM(V199,AN199)*10000+SUM(P199,AH199)*100+SUM(J199,AB199)+0.004&gt;AU199*1000000+SUM(W199,AO199)*10000+SUM(Q199,AI199)*100+SUM(K199,AC199)+0.003,1,0)+IF(AV199*1000000+SUM(X199,AP199)*10000+SUM(R199,AJ199)*100+SUM(L199,AD199)+0.002&gt;AU199*1000000+SUM(W199,AO199)*10000+SUM(Q199,AI199)*100+SUM(K199,AC199)+0.003,1,0)+IF(AW199*1000000+SUM(Y199,AQ199)*10000+SUM(S199,AK199)*100+SUM(M199,AE199)+0.001&gt;AU199*1000000+SUM(W199,AO199)*10000+SUM(Q199,AI199)*100+SUM(K199,AC199)+0.003,1,0)=2,"S",IF(IF(AR199*1000000+SUM(T199,AL199)*10000+SUM(N199,AF199)*100+SUM(H199,Z199)+0.006&gt;AV199*1000000+SUM(X199,AP199)*10000+SUM(R199,AJ199)*100+SUM(L199,AD199)+0.002,1,0)+IF(AS199*1000000+SUM(U199,AM199)*10000+SUM(O199,AG199)*100+SUM(I199,AA199)+0.005&gt;AV199*1000000+SUM(X199,AP199)*10000+SUM(R199,AJ199)*100+SUM(L199,AD199)+0.002,1,0)+IF(AT199*1000000+SUM(V199,AN199)*10000+SUM(P199,AH199)*100+SUM(J199,AB199)+0.004&gt;AV199*1000000+SUM(X199,AP199)*10000+SUM(R199,AJ199)*100+SUM(L199,AD199)+0.002,1,0)+IF(AU199*1000000+SUM(W199,AO199)*10000+SUM(Q199,AI199)*100+SUM(K199,AC199)+0.003&gt;AV199*1000000+SUM(X199,AP199)*10000+SUM(R199,AJ199)*100+SUM(L199,AD199)+0.002,1,0)+IF(AW199*1000000+SUM(Y199,AQ199)*10000+SUM(S199,AK199)*100+SUM(M199,AE199)+0.001&gt;AV199*1000000+SUM(X199,AP199)*10000+SUM(R199,AJ199)*100+SUM(L199,AD199)+0.002,1,0)=2,"E",IF(IF(AR199*1000000+SUM(T199,AL199)*10000+SUM(N199,AF199)*100+SUM(H199,Z199)+0.006&gt;AW199*1000000+SUM(Y199,AQ199)*10000+SUM(S199,AK199)*100+SUM(M199,AE199)+0.001,1,0)+IF(AS199*1000000+SUM(U199,AM199)*10000+SUM(O199,AG199)*100+SUM(I199,AA199)+0.005&gt;AW199*1000000+SUM(Y199,AQ199)*10000+SUM(S199,AK199)*100+SUM(M199,AE199)+0.001,1,0)+IF(AT199*1000000+SUM(V199,AN199)*10000+SUM(P199,AH199)*100+SUM(J199,AB199)+0.004&gt;AW199*1000000+SUM(Y199,AQ199)*10000+SUM(S199,AK199)*100+SUM(M199,AE199)+0.001,1,0)+IF(AU199*1000000+SUM(W199,AO199)*10000+SUM(Q199,AI199)*100+SUM(K199,AC199)+0.003&gt;AW199*1000000+SUM(Y199,AQ199)*10000+SUM(S199,AK199)*100+SUM(M199,AE199)+0.001,1,0)+IF(AV199*1000000+SUM(X199,AP199)*10000+SUM(R199,AJ199)*100+SUM(L199,AD199)+0.002&gt;AW199*1000000+SUM(Y199,AQ199)*10000+SUM(S199,AK199)*100+SUM(M199,AE199)+0.001,1,0)=2,"C","")))))))</x:f>
      </x:c>
      <x:c r="AY199" s="27" t="str">
        <x:f>IF(C199="","",IF(LEFT(AX199,1)="R","นักปฏิบัติ",IF(LEFT(AX199,1)="I","นักคิดวิเคราะห์",IF(LEFT(AX199,1)="A","นักสร้างสรรค์",IF(LEFT(AX199,1)="S","ผู้เข้าใจผู้คน",IF(LEFT(AX199,1)="E","ผู้นำการเปลี่ยนแปลง","ผู้จัดระบบ"))))))</x:f>
      </x:c>
    </x:row>
    <x:row r="200">
      <x:c r="A200" s="27"/>
      <x:c r="B200" s="28"/>
      <x:c r="C200" s="27"/>
      <x:c r="D200" s="27"/>
      <x:c r="E200" s="27"/>
      <x:c r="F200" s="27"/>
      <x:c r="G200" s="27"/>
      <x:c r="H200" s="27"/>
      <x:c r="I200" s="27"/>
      <x:c r="J200" s="27"/>
      <x:c r="K200" s="27"/>
      <x:c r="L200" s="27"/>
      <x:c r="M200" s="27"/>
      <x:c r="N200" s="27"/>
      <x:c r="O200" s="27"/>
      <x:c r="P200" s="27"/>
      <x:c r="Q200" s="27"/>
      <x:c r="R200" s="27"/>
      <x:c r="S200" s="27"/>
      <x:c r="T200" s="27"/>
      <x:c r="U200" s="27"/>
      <x:c r="V200" s="27"/>
      <x:c r="W200" s="27"/>
      <x:c r="X200" s="27"/>
      <x:c r="Y200" s="27"/>
      <x:c r="Z200" s="27"/>
      <x:c r="AA200" s="27"/>
      <x:c r="AB200" s="27"/>
      <x:c r="AC200" s="27"/>
      <x:c r="AD200" s="27"/>
      <x:c r="AE200" s="27"/>
      <x:c r="AF200" s="27"/>
      <x:c r="AG200" s="27"/>
      <x:c r="AH200" s="27"/>
      <x:c r="AI200" s="27"/>
      <x:c r="AJ200" s="27"/>
      <x:c r="AK200" s="27"/>
      <x:c r="AL200" s="27"/>
      <x:c r="AM200" s="27"/>
      <x:c r="AN200" s="27"/>
      <x:c r="AO200" s="27"/>
      <x:c r="AP200" s="27"/>
      <x:c r="AQ200" s="27"/>
      <x:c r="AR200" s="27" t="str">
        <x:f>IF(C200="","",SUM(H200,N200,T200,Z200,AF200,AL200))</x:f>
      </x:c>
      <x:c r="AS200" s="27" t="str">
        <x:f>IF(C200="","",SUM(I200,O200,U200,AA200,AG200,AM200))</x:f>
      </x:c>
      <x:c r="AT200" s="27" t="str">
        <x:f>IF(C200="","",SUM(J200,P200,V200,AB200,AH200,AN200))</x:f>
      </x:c>
      <x:c r="AU200" s="27" t="str">
        <x:f>IF(C200="","",SUM(K200,Q200,W200,AC200,AI200,AO200))</x:f>
      </x:c>
      <x:c r="AV200" s="27" t="str">
        <x:f>IF(C200="","",SUM(L200,R200,X200,AD200,AJ200,AP200))</x:f>
      </x:c>
      <x:c r="AW200" s="27" t="str">
        <x:f>IF(C200="","",SUM(M200,S200,Y200,AE200,AK200,AQ200))</x:f>
      </x:c>
      <x:c r="AX200" s="27" t="str">
        <x:f>IF(C200="","",IF(IF(AS200*1000000+SUM(U200,AM200)*10000+SUM(O200,AG200)*100+SUM(I200,AA200)+0.005&gt;AR200*1000000+SUM(T200,AL200)*10000+SUM(N200,AF200)*100+SUM(H200,Z200)+0.006,1,0)+IF(AT200*1000000+SUM(V200,AN200)*10000+SUM(P200,AH200)*100+SUM(J200,AB200)+0.004&gt;AR200*1000000+SUM(T200,AL200)*10000+SUM(N200,AF200)*100+SUM(H200,Z200)+0.006,1,0)+IF(AU200*1000000+SUM(W200,AO200)*10000+SUM(Q200,AI200)*100+SUM(K200,AC200)+0.003&gt;AR200*1000000+SUM(T200,AL200)*10000+SUM(N200,AF200)*100+SUM(H200,Z200)+0.006,1,0)+IF(AV200*1000000+SUM(X200,AP200)*10000+SUM(R200,AJ200)*100+SUM(L200,AD200)+0.002&gt;AR200*1000000+SUM(T200,AL200)*10000+SUM(N200,AF200)*100+SUM(H200,Z200)+0.006,1,0)+IF(AW200*1000000+SUM(Y200,AQ200)*10000+SUM(S200,AK200)*100+SUM(M200,AE200)+0.001&gt;AR200*1000000+SUM(T200,AL200)*10000+SUM(N200,AF200)*100+SUM(H200,Z200)+0.006,1,0)=0,"R",IF(IF(AR200*1000000+SUM(T200,AL200)*10000+SUM(N200,AF200)*100+SUM(H200,Z200)+0.006&gt;AS200*1000000+SUM(U200,AM200)*10000+SUM(O200,AG200)*100+SUM(I200,AA200)+0.005,1,0)+IF(AT200*1000000+SUM(V200,AN200)*10000+SUM(P200,AH200)*100+SUM(J200,AB200)+0.004&gt;AS200*1000000+SUM(U200,AM200)*10000+SUM(O200,AG200)*100+SUM(I200,AA200)+0.005,1,0)+IF(AU200*1000000+SUM(W200,AO200)*10000+SUM(Q200,AI200)*100+SUM(K200,AC200)+0.003&gt;AS200*1000000+SUM(U200,AM200)*10000+SUM(O200,AG200)*100+SUM(I200,AA200)+0.005,1,0)+IF(AV200*1000000+SUM(X200,AP200)*10000+SUM(R200,AJ200)*100+SUM(L200,AD200)+0.002&gt;AS200*1000000+SUM(U200,AM200)*10000+SUM(O200,AG200)*100+SUM(I200,AA200)+0.005,1,0)+IF(AW200*1000000+SUM(Y200,AQ200)*10000+SUM(S200,AK200)*100+SUM(M200,AE200)+0.001&gt;AS200*1000000+SUM(U200,AM200)*10000+SUM(O200,AG200)*100+SUM(I200,AA200)+0.005,1,0)=0,"I",IF(IF(AR200*1000000+SUM(T200,AL200)*10000+SUM(N200,AF200)*100+SUM(H200,Z200)+0.006&gt;AT200*1000000+SUM(V200,AN200)*10000+SUM(P200,AH200)*100+SUM(J200,AB200)+0.004,1,0)+IF(AS200*1000000+SUM(U200,AM200)*10000+SUM(O200,AG200)*100+SUM(I200,AA200)+0.005&gt;AT200*1000000+SUM(V200,AN200)*10000+SUM(P200,AH200)*100+SUM(J200,AB200)+0.004,1,0)+IF(AU200*1000000+SUM(W200,AO200)*10000+SUM(Q200,AI200)*100+SUM(K200,AC200)+0.003&gt;AT200*1000000+SUM(V200,AN200)*10000+SUM(P200,AH200)*100+SUM(J200,AB200)+0.004,1,0)+IF(AV200*1000000+SUM(X200,AP200)*10000+SUM(R200,AJ200)*100+SUM(L200,AD200)+0.002&gt;AT200*1000000+SUM(V200,AN200)*10000+SUM(P200,AH200)*100+SUM(J200,AB200)+0.004,1,0)+IF(AW200*1000000+SUM(Y200,AQ200)*10000+SUM(S200,AK200)*100+SUM(M200,AE200)+0.001&gt;AT200*1000000+SUM(V200,AN200)*10000+SUM(P200,AH200)*100+SUM(J200,AB200)+0.004,1,0)=0,"A",IF(IF(AR200*1000000+SUM(T200,AL200)*10000+SUM(N200,AF200)*100+SUM(H200,Z200)+0.006&gt;AU200*1000000+SUM(W200,AO200)*10000+SUM(Q200,AI200)*100+SUM(K200,AC200)+0.003,1,0)+IF(AS200*1000000+SUM(U200,AM200)*10000+SUM(O200,AG200)*100+SUM(I200,AA200)+0.005&gt;AU200*1000000+SUM(W200,AO200)*10000+SUM(Q200,AI200)*100+SUM(K200,AC200)+0.003,1,0)+IF(AT200*1000000+SUM(V200,AN200)*10000+SUM(P200,AH200)*100+SUM(J200,AB200)+0.004&gt;AU200*1000000+SUM(W200,AO200)*10000+SUM(Q200,AI200)*100+SUM(K200,AC200)+0.003,1,0)+IF(AV200*1000000+SUM(X200,AP200)*10000+SUM(R200,AJ200)*100+SUM(L200,AD200)+0.002&gt;AU200*1000000+SUM(W200,AO200)*10000+SUM(Q200,AI200)*100+SUM(K200,AC200)+0.003,1,0)+IF(AW200*1000000+SUM(Y200,AQ200)*10000+SUM(S200,AK200)*100+SUM(M200,AE200)+0.001&gt;AU200*1000000+SUM(W200,AO200)*10000+SUM(Q200,AI200)*100+SUM(K200,AC200)+0.003,1,0)=0,"S",IF(IF(AR200*1000000+SUM(T200,AL200)*10000+SUM(N200,AF200)*100+SUM(H200,Z200)+0.006&gt;AV200*1000000+SUM(X200,AP200)*10000+SUM(R200,AJ200)*100+SUM(L200,AD200)+0.002,1,0)+IF(AS200*1000000+SUM(U200,AM200)*10000+SUM(O200,AG200)*100+SUM(I200,AA200)+0.005&gt;AV200*1000000+SUM(X200,AP200)*10000+SUM(R200,AJ200)*100+SUM(L200,AD200)+0.002,1,0)+IF(AT200*1000000+SUM(V200,AN200)*10000+SUM(P200,AH200)*100+SUM(J200,AB200)+0.004&gt;AV200*1000000+SUM(X200,AP200)*10000+SUM(R200,AJ200)*100+SUM(L200,AD200)+0.002,1,0)+IF(AU200*1000000+SUM(W200,AO200)*10000+SUM(Q200,AI200)*100+SUM(K200,AC200)+0.003&gt;AV200*1000000+SUM(X200,AP200)*10000+SUM(R200,AJ200)*100+SUM(L200,AD200)+0.002,1,0)+IF(AW200*1000000+SUM(Y200,AQ200)*10000+SUM(S200,AK200)*100+SUM(M200,AE200)+0.001&gt;AV200*1000000+SUM(X200,AP200)*10000+SUM(R200,AJ200)*100+SUM(L200,AD200)+0.002,1,0)=0,"E",IF(IF(AR200*1000000+SUM(T200,AL200)*10000+SUM(N200,AF200)*100+SUM(H200,Z200)+0.006&gt;AW200*1000000+SUM(Y200,AQ200)*10000+SUM(S200,AK200)*100+SUM(M200,AE200)+0.001,1,0)+IF(AS200*1000000+SUM(U200,AM200)*10000+SUM(O200,AG200)*100+SUM(I200,AA200)+0.005&gt;AW200*1000000+SUM(Y200,AQ200)*10000+SUM(S200,AK200)*100+SUM(M200,AE200)+0.001,1,0)+IF(AT200*1000000+SUM(V200,AN200)*10000+SUM(P200,AH200)*100+SUM(J200,AB200)+0.004&gt;AW200*1000000+SUM(Y200,AQ200)*10000+SUM(S200,AK200)*100+SUM(M200,AE200)+0.001,1,0)+IF(AU200*1000000+SUM(W200,AO200)*10000+SUM(Q200,AI200)*100+SUM(K200,AC200)+0.003&gt;AW200*1000000+SUM(Y200,AQ200)*10000+SUM(S200,AK200)*100+SUM(M200,AE200)+0.001,1,0)+IF(AV200*1000000+SUM(X200,AP200)*10000+SUM(R200,AJ200)*100+SUM(L200,AD200)+0.002&gt;AW200*1000000+SUM(Y200,AQ200)*10000+SUM(S200,AK200)*100+SUM(M200,AE200)+0.001,1,0)=0,"C",""))))))&amp;IF(IF(AS200*1000000+SUM(U200,AM200)*10000+SUM(O200,AG200)*100+SUM(I200,AA200)+0.005&gt;AR200*1000000+SUM(T200,AL200)*10000+SUM(N200,AF200)*100+SUM(H200,Z200)+0.006,1,0)+IF(AT200*1000000+SUM(V200,AN200)*10000+SUM(P200,AH200)*100+SUM(J200,AB200)+0.004&gt;AR200*1000000+SUM(T200,AL200)*10000+SUM(N200,AF200)*100+SUM(H200,Z200)+0.006,1,0)+IF(AU200*1000000+SUM(W200,AO200)*10000+SUM(Q200,AI200)*100+SUM(K200,AC200)+0.003&gt;AR200*1000000+SUM(T200,AL200)*10000+SUM(N200,AF200)*100+SUM(H200,Z200)+0.006,1,0)+IF(AV200*1000000+SUM(X200,AP200)*10000+SUM(R200,AJ200)*100+SUM(L200,AD200)+0.002&gt;AR200*1000000+SUM(T200,AL200)*10000+SUM(N200,AF200)*100+SUM(H200,Z200)+0.006,1,0)+IF(AW200*1000000+SUM(Y200,AQ200)*10000+SUM(S200,AK200)*100+SUM(M200,AE200)+0.001&gt;AR200*1000000+SUM(T200,AL200)*10000+SUM(N200,AF200)*100+SUM(H200,Z200)+0.006,1,0)=1,"R",IF(IF(AR200*1000000+SUM(T200,AL200)*10000+SUM(N200,AF200)*100+SUM(H200,Z200)+0.006&gt;AS200*1000000+SUM(U200,AM200)*10000+SUM(O200,AG200)*100+SUM(I200,AA200)+0.005,1,0)+IF(AT200*1000000+SUM(V200,AN200)*10000+SUM(P200,AH200)*100+SUM(J200,AB200)+0.004&gt;AS200*1000000+SUM(U200,AM200)*10000+SUM(O200,AG200)*100+SUM(I200,AA200)+0.005,1,0)+IF(AU200*1000000+SUM(W200,AO200)*10000+SUM(Q200,AI200)*100+SUM(K200,AC200)+0.003&gt;AS200*1000000+SUM(U200,AM200)*10000+SUM(O200,AG200)*100+SUM(I200,AA200)+0.005,1,0)+IF(AV200*1000000+SUM(X200,AP200)*10000+SUM(R200,AJ200)*100+SUM(L200,AD200)+0.002&gt;AS200*1000000+SUM(U200,AM200)*10000+SUM(O200,AG200)*100+SUM(I200,AA200)+0.005,1,0)+IF(AW200*1000000+SUM(Y200,AQ200)*10000+SUM(S200,AK200)*100+SUM(M200,AE200)+0.001&gt;AS200*1000000+SUM(U200,AM200)*10000+SUM(O200,AG200)*100+SUM(I200,AA200)+0.005,1,0)=1,"I",IF(IF(AR200*1000000+SUM(T200,AL200)*10000+SUM(N200,AF200)*100+SUM(H200,Z200)+0.006&gt;AT200*1000000+SUM(V200,AN200)*10000+SUM(P200,AH200)*100+SUM(J200,AB200)+0.004,1,0)+IF(AS200*1000000+SUM(U200,AM200)*10000+SUM(O200,AG200)*100+SUM(I200,AA200)+0.005&gt;AT200*1000000+SUM(V200,AN200)*10000+SUM(P200,AH200)*100+SUM(J200,AB200)+0.004,1,0)+IF(AU200*1000000+SUM(W200,AO200)*10000+SUM(Q200,AI200)*100+SUM(K200,AC200)+0.003&gt;AT200*1000000+SUM(V200,AN200)*10000+SUM(P200,AH200)*100+SUM(J200,AB200)+0.004,1,0)+IF(AV200*1000000+SUM(X200,AP200)*10000+SUM(R200,AJ200)*100+SUM(L200,AD200)+0.002&gt;AT200*1000000+SUM(V200,AN200)*10000+SUM(P200,AH200)*100+SUM(J200,AB200)+0.004,1,0)+IF(AW200*1000000+SUM(Y200,AQ200)*10000+SUM(S200,AK200)*100+SUM(M200,AE200)+0.001&gt;AT200*1000000+SUM(V200,AN200)*10000+SUM(P200,AH200)*100+SUM(J200,AB200)+0.004,1,0)=1,"A",IF(IF(AR200*1000000+SUM(T200,AL200)*10000+SUM(N200,AF200)*100+SUM(H200,Z200)+0.006&gt;AU200*1000000+SUM(W200,AO200)*10000+SUM(Q200,AI200)*100+SUM(K200,AC200)+0.003,1,0)+IF(AS200*1000000+SUM(U200,AM200)*10000+SUM(O200,AG200)*100+SUM(I200,AA200)+0.005&gt;AU200*1000000+SUM(W200,AO200)*10000+SUM(Q200,AI200)*100+SUM(K200,AC200)+0.003,1,0)+IF(AT200*1000000+SUM(V200,AN200)*10000+SUM(P200,AH200)*100+SUM(J200,AB200)+0.004&gt;AU200*1000000+SUM(W200,AO200)*10000+SUM(Q200,AI200)*100+SUM(K200,AC200)+0.003,1,0)+IF(AV200*1000000+SUM(X200,AP200)*10000+SUM(R200,AJ200)*100+SUM(L200,AD200)+0.002&gt;AU200*1000000+SUM(W200,AO200)*10000+SUM(Q200,AI200)*100+SUM(K200,AC200)+0.003,1,0)+IF(AW200*1000000+SUM(Y200,AQ200)*10000+SUM(S200,AK200)*100+SUM(M200,AE200)+0.001&gt;AU200*1000000+SUM(W200,AO200)*10000+SUM(Q200,AI200)*100+SUM(K200,AC200)+0.003,1,0)=1,"S",IF(IF(AR200*1000000+SUM(T200,AL200)*10000+SUM(N200,AF200)*100+SUM(H200,Z200)+0.006&gt;AV200*1000000+SUM(X200,AP200)*10000+SUM(R200,AJ200)*100+SUM(L200,AD200)+0.002,1,0)+IF(AS200*1000000+SUM(U200,AM200)*10000+SUM(O200,AG200)*100+SUM(I200,AA200)+0.005&gt;AV200*1000000+SUM(X200,AP200)*10000+SUM(R200,AJ200)*100+SUM(L200,AD200)+0.002,1,0)+IF(AT200*1000000+SUM(V200,AN200)*10000+SUM(P200,AH200)*100+SUM(J200,AB200)+0.004&gt;AV200*1000000+SUM(X200,AP200)*10000+SUM(R200,AJ200)*100+SUM(L200,AD200)+0.002,1,0)+IF(AU200*1000000+SUM(W200,AO200)*10000+SUM(Q200,AI200)*100+SUM(K200,AC200)+0.003&gt;AV200*1000000+SUM(X200,AP200)*10000+SUM(R200,AJ200)*100+SUM(L200,AD200)+0.002,1,0)+IF(AW200*1000000+SUM(Y200,AQ200)*10000+SUM(S200,AK200)*100+SUM(M200,AE200)+0.001&gt;AV200*1000000+SUM(X200,AP200)*10000+SUM(R200,AJ200)*100+SUM(L200,AD200)+0.002,1,0)=1,"E",IF(IF(AR200*1000000+SUM(T200,AL200)*10000+SUM(N200,AF200)*100+SUM(H200,Z200)+0.006&gt;AW200*1000000+SUM(Y200,AQ200)*10000+SUM(S200,AK200)*100+SUM(M200,AE200)+0.001,1,0)+IF(AS200*1000000+SUM(U200,AM200)*10000+SUM(O200,AG200)*100+SUM(I200,AA200)+0.005&gt;AW200*1000000+SUM(Y200,AQ200)*10000+SUM(S200,AK200)*100+SUM(M200,AE200)+0.001,1,0)+IF(AT200*1000000+SUM(V200,AN200)*10000+SUM(P200,AH200)*100+SUM(J200,AB200)+0.004&gt;AW200*1000000+SUM(Y200,AQ200)*10000+SUM(S200,AK200)*100+SUM(M200,AE200)+0.001,1,0)+IF(AU200*1000000+SUM(W200,AO200)*10000+SUM(Q200,AI200)*100+SUM(K200,AC200)+0.003&gt;AW200*1000000+SUM(Y200,AQ200)*10000+SUM(S200,AK200)*100+SUM(M200,AE200)+0.001,1,0)+IF(AV200*1000000+SUM(X200,AP200)*10000+SUM(R200,AJ200)*100+SUM(L200,AD200)+0.002&gt;AW200*1000000+SUM(Y200,AQ200)*10000+SUM(S200,AK200)*100+SUM(M200,AE200)+0.001,1,0)=1,"C",""))))))&amp;IF(IF(AS200*1000000+SUM(U200,AM200)*10000+SUM(O200,AG200)*100+SUM(I200,AA200)+0.005&gt;AR200*1000000+SUM(T200,AL200)*10000+SUM(N200,AF200)*100+SUM(H200,Z200)+0.006,1,0)+IF(AT200*1000000+SUM(V200,AN200)*10000+SUM(P200,AH200)*100+SUM(J200,AB200)+0.004&gt;AR200*1000000+SUM(T200,AL200)*10000+SUM(N200,AF200)*100+SUM(H200,Z200)+0.006,1,0)+IF(AU200*1000000+SUM(W200,AO200)*10000+SUM(Q200,AI200)*100+SUM(K200,AC200)+0.003&gt;AR200*1000000+SUM(T200,AL200)*10000+SUM(N200,AF200)*100+SUM(H200,Z200)+0.006,1,0)+IF(AV200*1000000+SUM(X200,AP200)*10000+SUM(R200,AJ200)*100+SUM(L200,AD200)+0.002&gt;AR200*1000000+SUM(T200,AL200)*10000+SUM(N200,AF200)*100+SUM(H200,Z200)+0.006,1,0)+IF(AW200*1000000+SUM(Y200,AQ200)*10000+SUM(S200,AK200)*100+SUM(M200,AE200)+0.001&gt;AR200*1000000+SUM(T200,AL200)*10000+SUM(N200,AF200)*100+SUM(H200,Z200)+0.006,1,0)=2,"R",IF(IF(AR200*1000000+SUM(T200,AL200)*10000+SUM(N200,AF200)*100+SUM(H200,Z200)+0.006&gt;AS200*1000000+SUM(U200,AM200)*10000+SUM(O200,AG200)*100+SUM(I200,AA200)+0.005,1,0)+IF(AT200*1000000+SUM(V200,AN200)*10000+SUM(P200,AH200)*100+SUM(J200,AB200)+0.004&gt;AS200*1000000+SUM(U200,AM200)*10000+SUM(O200,AG200)*100+SUM(I200,AA200)+0.005,1,0)+IF(AU200*1000000+SUM(W200,AO200)*10000+SUM(Q200,AI200)*100+SUM(K200,AC200)+0.003&gt;AS200*1000000+SUM(U200,AM200)*10000+SUM(O200,AG200)*100+SUM(I200,AA200)+0.005,1,0)+IF(AV200*1000000+SUM(X200,AP200)*10000+SUM(R200,AJ200)*100+SUM(L200,AD200)+0.002&gt;AS200*1000000+SUM(U200,AM200)*10000+SUM(O200,AG200)*100+SUM(I200,AA200)+0.005,1,0)+IF(AW200*1000000+SUM(Y200,AQ200)*10000+SUM(S200,AK200)*100+SUM(M200,AE200)+0.001&gt;AS200*1000000+SUM(U200,AM200)*10000+SUM(O200,AG200)*100+SUM(I200,AA200)+0.005,1,0)=2,"I",IF(IF(AR200*1000000+SUM(T200,AL200)*10000+SUM(N200,AF200)*100+SUM(H200,Z200)+0.006&gt;AT200*1000000+SUM(V200,AN200)*10000+SUM(P200,AH200)*100+SUM(J200,AB200)+0.004,1,0)+IF(AS200*1000000+SUM(U200,AM200)*10000+SUM(O200,AG200)*100+SUM(I200,AA200)+0.005&gt;AT200*1000000+SUM(V200,AN200)*10000+SUM(P200,AH200)*100+SUM(J200,AB200)+0.004,1,0)+IF(AU200*1000000+SUM(W200,AO200)*10000+SUM(Q200,AI200)*100+SUM(K200,AC200)+0.003&gt;AT200*1000000+SUM(V200,AN200)*10000+SUM(P200,AH200)*100+SUM(J200,AB200)+0.004,1,0)+IF(AV200*1000000+SUM(X200,AP200)*10000+SUM(R200,AJ200)*100+SUM(L200,AD200)+0.002&gt;AT200*1000000+SUM(V200,AN200)*10000+SUM(P200,AH200)*100+SUM(J200,AB200)+0.004,1,0)+IF(AW200*1000000+SUM(Y200,AQ200)*10000+SUM(S200,AK200)*100+SUM(M200,AE200)+0.001&gt;AT200*1000000+SUM(V200,AN200)*10000+SUM(P200,AH200)*100+SUM(J200,AB200)+0.004,1,0)=2,"A",IF(IF(AR200*1000000+SUM(T200,AL200)*10000+SUM(N200,AF200)*100+SUM(H200,Z200)+0.006&gt;AU200*1000000+SUM(W200,AO200)*10000+SUM(Q200,AI200)*100+SUM(K200,AC200)+0.003,1,0)+IF(AS200*1000000+SUM(U200,AM200)*10000+SUM(O200,AG200)*100+SUM(I200,AA200)+0.005&gt;AU200*1000000+SUM(W200,AO200)*10000+SUM(Q200,AI200)*100+SUM(K200,AC200)+0.003,1,0)+IF(AT200*1000000+SUM(V200,AN200)*10000+SUM(P200,AH200)*100+SUM(J200,AB200)+0.004&gt;AU200*1000000+SUM(W200,AO200)*10000+SUM(Q200,AI200)*100+SUM(K200,AC200)+0.003,1,0)+IF(AV200*1000000+SUM(X200,AP200)*10000+SUM(R200,AJ200)*100+SUM(L200,AD200)+0.002&gt;AU200*1000000+SUM(W200,AO200)*10000+SUM(Q200,AI200)*100+SUM(K200,AC200)+0.003,1,0)+IF(AW200*1000000+SUM(Y200,AQ200)*10000+SUM(S200,AK200)*100+SUM(M200,AE200)+0.001&gt;AU200*1000000+SUM(W200,AO200)*10000+SUM(Q200,AI200)*100+SUM(K200,AC200)+0.003,1,0)=2,"S",IF(IF(AR200*1000000+SUM(T200,AL200)*10000+SUM(N200,AF200)*100+SUM(H200,Z200)+0.006&gt;AV200*1000000+SUM(X200,AP200)*10000+SUM(R200,AJ200)*100+SUM(L200,AD200)+0.002,1,0)+IF(AS200*1000000+SUM(U200,AM200)*10000+SUM(O200,AG200)*100+SUM(I200,AA200)+0.005&gt;AV200*1000000+SUM(X200,AP200)*10000+SUM(R200,AJ200)*100+SUM(L200,AD200)+0.002,1,0)+IF(AT200*1000000+SUM(V200,AN200)*10000+SUM(P200,AH200)*100+SUM(J200,AB200)+0.004&gt;AV200*1000000+SUM(X200,AP200)*10000+SUM(R200,AJ200)*100+SUM(L200,AD200)+0.002,1,0)+IF(AU200*1000000+SUM(W200,AO200)*10000+SUM(Q200,AI200)*100+SUM(K200,AC200)+0.003&gt;AV200*1000000+SUM(X200,AP200)*10000+SUM(R200,AJ200)*100+SUM(L200,AD200)+0.002,1,0)+IF(AW200*1000000+SUM(Y200,AQ200)*10000+SUM(S200,AK200)*100+SUM(M200,AE200)+0.001&gt;AV200*1000000+SUM(X200,AP200)*10000+SUM(R200,AJ200)*100+SUM(L200,AD200)+0.002,1,0)=2,"E",IF(IF(AR200*1000000+SUM(T200,AL200)*10000+SUM(N200,AF200)*100+SUM(H200,Z200)+0.006&gt;AW200*1000000+SUM(Y200,AQ200)*10000+SUM(S200,AK200)*100+SUM(M200,AE200)+0.001,1,0)+IF(AS200*1000000+SUM(U200,AM200)*10000+SUM(O200,AG200)*100+SUM(I200,AA200)+0.005&gt;AW200*1000000+SUM(Y200,AQ200)*10000+SUM(S200,AK200)*100+SUM(M200,AE200)+0.001,1,0)+IF(AT200*1000000+SUM(V200,AN200)*10000+SUM(P200,AH200)*100+SUM(J200,AB200)+0.004&gt;AW200*1000000+SUM(Y200,AQ200)*10000+SUM(S200,AK200)*100+SUM(M200,AE200)+0.001,1,0)+IF(AU200*1000000+SUM(W200,AO200)*10000+SUM(Q200,AI200)*100+SUM(K200,AC200)+0.003&gt;AW200*1000000+SUM(Y200,AQ200)*10000+SUM(S200,AK200)*100+SUM(M200,AE200)+0.001,1,0)+IF(AV200*1000000+SUM(X200,AP200)*10000+SUM(R200,AJ200)*100+SUM(L200,AD200)+0.002&gt;AW200*1000000+SUM(Y200,AQ200)*10000+SUM(S200,AK200)*100+SUM(M200,AE200)+0.001,1,0)=2,"C","")))))))</x:f>
      </x:c>
      <x:c r="AY200" s="27" t="str">
        <x:f>IF(C200="","",IF(LEFT(AX200,1)="R","นักปฏิบัติ",IF(LEFT(AX200,1)="I","นักคิดวิเคราะห์",IF(LEFT(AX200,1)="A","นักสร้างสรรค์",IF(LEFT(AX200,1)="S","ผู้เข้าใจผู้คน",IF(LEFT(AX200,1)="E","ผู้นำการเปลี่ยนแปลง","ผู้จัดระบบ"))))))</x:f>
      </x:c>
    </x:row>
    <x:row r="201">
      <x:c r="A201" s="27"/>
      <x:c r="B201" s="28"/>
      <x:c r="C201" s="27"/>
      <x:c r="D201" s="27"/>
      <x:c r="E201" s="27"/>
      <x:c r="F201" s="27"/>
      <x:c r="G201" s="27"/>
      <x:c r="H201" s="27"/>
      <x:c r="I201" s="27"/>
      <x:c r="J201" s="27"/>
      <x:c r="K201" s="27"/>
      <x:c r="L201" s="27"/>
      <x:c r="M201" s="27"/>
      <x:c r="N201" s="27"/>
      <x:c r="O201" s="27"/>
      <x:c r="P201" s="27"/>
      <x:c r="Q201" s="27"/>
      <x:c r="R201" s="27"/>
      <x:c r="S201" s="27"/>
      <x:c r="T201" s="27"/>
      <x:c r="U201" s="27"/>
      <x:c r="V201" s="27"/>
      <x:c r="W201" s="27"/>
      <x:c r="X201" s="27"/>
      <x:c r="Y201" s="27"/>
      <x:c r="Z201" s="27"/>
      <x:c r="AA201" s="27"/>
      <x:c r="AB201" s="27"/>
      <x:c r="AC201" s="27"/>
      <x:c r="AD201" s="27"/>
      <x:c r="AE201" s="27"/>
      <x:c r="AF201" s="27"/>
      <x:c r="AG201" s="27"/>
      <x:c r="AH201" s="27"/>
      <x:c r="AI201" s="27"/>
      <x:c r="AJ201" s="27"/>
      <x:c r="AK201" s="27"/>
      <x:c r="AL201" s="27"/>
      <x:c r="AM201" s="27"/>
      <x:c r="AN201" s="27"/>
      <x:c r="AO201" s="27"/>
      <x:c r="AP201" s="27"/>
      <x:c r="AQ201" s="27"/>
      <x:c r="AR201" s="27" t="str">
        <x:f>IF(C201="","",SUM(H201,N201,T201,Z201,AF201,AL201))</x:f>
      </x:c>
      <x:c r="AS201" s="27" t="str">
        <x:f>IF(C201="","",SUM(I201,O201,U201,AA201,AG201,AM201))</x:f>
      </x:c>
      <x:c r="AT201" s="27" t="str">
        <x:f>IF(C201="","",SUM(J201,P201,V201,AB201,AH201,AN201))</x:f>
      </x:c>
      <x:c r="AU201" s="27" t="str">
        <x:f>IF(C201="","",SUM(K201,Q201,W201,AC201,AI201,AO201))</x:f>
      </x:c>
      <x:c r="AV201" s="27" t="str">
        <x:f>IF(C201="","",SUM(L201,R201,X201,AD201,AJ201,AP201))</x:f>
      </x:c>
      <x:c r="AW201" s="27" t="str">
        <x:f>IF(C201="","",SUM(M201,S201,Y201,AE201,AK201,AQ201))</x:f>
      </x:c>
      <x:c r="AX201" s="27" t="str">
        <x:f>IF(C201="","",IF(IF(AS201*1000000+SUM(U201,AM201)*10000+SUM(O201,AG201)*100+SUM(I201,AA201)+0.005&gt;AR201*1000000+SUM(T201,AL201)*10000+SUM(N201,AF201)*100+SUM(H201,Z201)+0.006,1,0)+IF(AT201*1000000+SUM(V201,AN201)*10000+SUM(P201,AH201)*100+SUM(J201,AB201)+0.004&gt;AR201*1000000+SUM(T201,AL201)*10000+SUM(N201,AF201)*100+SUM(H201,Z201)+0.006,1,0)+IF(AU201*1000000+SUM(W201,AO201)*10000+SUM(Q201,AI201)*100+SUM(K201,AC201)+0.003&gt;AR201*1000000+SUM(T201,AL201)*10000+SUM(N201,AF201)*100+SUM(H201,Z201)+0.006,1,0)+IF(AV201*1000000+SUM(X201,AP201)*10000+SUM(R201,AJ201)*100+SUM(L201,AD201)+0.002&gt;AR201*1000000+SUM(T201,AL201)*10000+SUM(N201,AF201)*100+SUM(H201,Z201)+0.006,1,0)+IF(AW201*1000000+SUM(Y201,AQ201)*10000+SUM(S201,AK201)*100+SUM(M201,AE201)+0.001&gt;AR201*1000000+SUM(T201,AL201)*10000+SUM(N201,AF201)*100+SUM(H201,Z201)+0.006,1,0)=0,"R",IF(IF(AR201*1000000+SUM(T201,AL201)*10000+SUM(N201,AF201)*100+SUM(H201,Z201)+0.006&gt;AS201*1000000+SUM(U201,AM201)*10000+SUM(O201,AG201)*100+SUM(I201,AA201)+0.005,1,0)+IF(AT201*1000000+SUM(V201,AN201)*10000+SUM(P201,AH201)*100+SUM(J201,AB201)+0.004&gt;AS201*1000000+SUM(U201,AM201)*10000+SUM(O201,AG201)*100+SUM(I201,AA201)+0.005,1,0)+IF(AU201*1000000+SUM(W201,AO201)*10000+SUM(Q201,AI201)*100+SUM(K201,AC201)+0.003&gt;AS201*1000000+SUM(U201,AM201)*10000+SUM(O201,AG201)*100+SUM(I201,AA201)+0.005,1,0)+IF(AV201*1000000+SUM(X201,AP201)*10000+SUM(R201,AJ201)*100+SUM(L201,AD201)+0.002&gt;AS201*1000000+SUM(U201,AM201)*10000+SUM(O201,AG201)*100+SUM(I201,AA201)+0.005,1,0)+IF(AW201*1000000+SUM(Y201,AQ201)*10000+SUM(S201,AK201)*100+SUM(M201,AE201)+0.001&gt;AS201*1000000+SUM(U201,AM201)*10000+SUM(O201,AG201)*100+SUM(I201,AA201)+0.005,1,0)=0,"I",IF(IF(AR201*1000000+SUM(T201,AL201)*10000+SUM(N201,AF201)*100+SUM(H201,Z201)+0.006&gt;AT201*1000000+SUM(V201,AN201)*10000+SUM(P201,AH201)*100+SUM(J201,AB201)+0.004,1,0)+IF(AS201*1000000+SUM(U201,AM201)*10000+SUM(O201,AG201)*100+SUM(I201,AA201)+0.005&gt;AT201*1000000+SUM(V201,AN201)*10000+SUM(P201,AH201)*100+SUM(J201,AB201)+0.004,1,0)+IF(AU201*1000000+SUM(W201,AO201)*10000+SUM(Q201,AI201)*100+SUM(K201,AC201)+0.003&gt;AT201*1000000+SUM(V201,AN201)*10000+SUM(P201,AH201)*100+SUM(J201,AB201)+0.004,1,0)+IF(AV201*1000000+SUM(X201,AP201)*10000+SUM(R201,AJ201)*100+SUM(L201,AD201)+0.002&gt;AT201*1000000+SUM(V201,AN201)*10000+SUM(P201,AH201)*100+SUM(J201,AB201)+0.004,1,0)+IF(AW201*1000000+SUM(Y201,AQ201)*10000+SUM(S201,AK201)*100+SUM(M201,AE201)+0.001&gt;AT201*1000000+SUM(V201,AN201)*10000+SUM(P201,AH201)*100+SUM(J201,AB201)+0.004,1,0)=0,"A",IF(IF(AR201*1000000+SUM(T201,AL201)*10000+SUM(N201,AF201)*100+SUM(H201,Z201)+0.006&gt;AU201*1000000+SUM(W201,AO201)*10000+SUM(Q201,AI201)*100+SUM(K201,AC201)+0.003,1,0)+IF(AS201*1000000+SUM(U201,AM201)*10000+SUM(O201,AG201)*100+SUM(I201,AA201)+0.005&gt;AU201*1000000+SUM(W201,AO201)*10000+SUM(Q201,AI201)*100+SUM(K201,AC201)+0.003,1,0)+IF(AT201*1000000+SUM(V201,AN201)*10000+SUM(P201,AH201)*100+SUM(J201,AB201)+0.004&gt;AU201*1000000+SUM(W201,AO201)*10000+SUM(Q201,AI201)*100+SUM(K201,AC201)+0.003,1,0)+IF(AV201*1000000+SUM(X201,AP201)*10000+SUM(R201,AJ201)*100+SUM(L201,AD201)+0.002&gt;AU201*1000000+SUM(W201,AO201)*10000+SUM(Q201,AI201)*100+SUM(K201,AC201)+0.003,1,0)+IF(AW201*1000000+SUM(Y201,AQ201)*10000+SUM(S201,AK201)*100+SUM(M201,AE201)+0.001&gt;AU201*1000000+SUM(W201,AO201)*10000+SUM(Q201,AI201)*100+SUM(K201,AC201)+0.003,1,0)=0,"S",IF(IF(AR201*1000000+SUM(T201,AL201)*10000+SUM(N201,AF201)*100+SUM(H201,Z201)+0.006&gt;AV201*1000000+SUM(X201,AP201)*10000+SUM(R201,AJ201)*100+SUM(L201,AD201)+0.002,1,0)+IF(AS201*1000000+SUM(U201,AM201)*10000+SUM(O201,AG201)*100+SUM(I201,AA201)+0.005&gt;AV201*1000000+SUM(X201,AP201)*10000+SUM(R201,AJ201)*100+SUM(L201,AD201)+0.002,1,0)+IF(AT201*1000000+SUM(V201,AN201)*10000+SUM(P201,AH201)*100+SUM(J201,AB201)+0.004&gt;AV201*1000000+SUM(X201,AP201)*10000+SUM(R201,AJ201)*100+SUM(L201,AD201)+0.002,1,0)+IF(AU201*1000000+SUM(W201,AO201)*10000+SUM(Q201,AI201)*100+SUM(K201,AC201)+0.003&gt;AV201*1000000+SUM(X201,AP201)*10000+SUM(R201,AJ201)*100+SUM(L201,AD201)+0.002,1,0)+IF(AW201*1000000+SUM(Y201,AQ201)*10000+SUM(S201,AK201)*100+SUM(M201,AE201)+0.001&gt;AV201*1000000+SUM(X201,AP201)*10000+SUM(R201,AJ201)*100+SUM(L201,AD201)+0.002,1,0)=0,"E",IF(IF(AR201*1000000+SUM(T201,AL201)*10000+SUM(N201,AF201)*100+SUM(H201,Z201)+0.006&gt;AW201*1000000+SUM(Y201,AQ201)*10000+SUM(S201,AK201)*100+SUM(M201,AE201)+0.001,1,0)+IF(AS201*1000000+SUM(U201,AM201)*10000+SUM(O201,AG201)*100+SUM(I201,AA201)+0.005&gt;AW201*1000000+SUM(Y201,AQ201)*10000+SUM(S201,AK201)*100+SUM(M201,AE201)+0.001,1,0)+IF(AT201*1000000+SUM(V201,AN201)*10000+SUM(P201,AH201)*100+SUM(J201,AB201)+0.004&gt;AW201*1000000+SUM(Y201,AQ201)*10000+SUM(S201,AK201)*100+SUM(M201,AE201)+0.001,1,0)+IF(AU201*1000000+SUM(W201,AO201)*10000+SUM(Q201,AI201)*100+SUM(K201,AC201)+0.003&gt;AW201*1000000+SUM(Y201,AQ201)*10000+SUM(S201,AK201)*100+SUM(M201,AE201)+0.001,1,0)+IF(AV201*1000000+SUM(X201,AP201)*10000+SUM(R201,AJ201)*100+SUM(L201,AD201)+0.002&gt;AW201*1000000+SUM(Y201,AQ201)*10000+SUM(S201,AK201)*100+SUM(M201,AE201)+0.001,1,0)=0,"C",""))))))&amp;IF(IF(AS201*1000000+SUM(U201,AM201)*10000+SUM(O201,AG201)*100+SUM(I201,AA201)+0.005&gt;AR201*1000000+SUM(T201,AL201)*10000+SUM(N201,AF201)*100+SUM(H201,Z201)+0.006,1,0)+IF(AT201*1000000+SUM(V201,AN201)*10000+SUM(P201,AH201)*100+SUM(J201,AB201)+0.004&gt;AR201*1000000+SUM(T201,AL201)*10000+SUM(N201,AF201)*100+SUM(H201,Z201)+0.006,1,0)+IF(AU201*1000000+SUM(W201,AO201)*10000+SUM(Q201,AI201)*100+SUM(K201,AC201)+0.003&gt;AR201*1000000+SUM(T201,AL201)*10000+SUM(N201,AF201)*100+SUM(H201,Z201)+0.006,1,0)+IF(AV201*1000000+SUM(X201,AP201)*10000+SUM(R201,AJ201)*100+SUM(L201,AD201)+0.002&gt;AR201*1000000+SUM(T201,AL201)*10000+SUM(N201,AF201)*100+SUM(H201,Z201)+0.006,1,0)+IF(AW201*1000000+SUM(Y201,AQ201)*10000+SUM(S201,AK201)*100+SUM(M201,AE201)+0.001&gt;AR201*1000000+SUM(T201,AL201)*10000+SUM(N201,AF201)*100+SUM(H201,Z201)+0.006,1,0)=1,"R",IF(IF(AR201*1000000+SUM(T201,AL201)*10000+SUM(N201,AF201)*100+SUM(H201,Z201)+0.006&gt;AS201*1000000+SUM(U201,AM201)*10000+SUM(O201,AG201)*100+SUM(I201,AA201)+0.005,1,0)+IF(AT201*1000000+SUM(V201,AN201)*10000+SUM(P201,AH201)*100+SUM(J201,AB201)+0.004&gt;AS201*1000000+SUM(U201,AM201)*10000+SUM(O201,AG201)*100+SUM(I201,AA201)+0.005,1,0)+IF(AU201*1000000+SUM(W201,AO201)*10000+SUM(Q201,AI201)*100+SUM(K201,AC201)+0.003&gt;AS201*1000000+SUM(U201,AM201)*10000+SUM(O201,AG201)*100+SUM(I201,AA201)+0.005,1,0)+IF(AV201*1000000+SUM(X201,AP201)*10000+SUM(R201,AJ201)*100+SUM(L201,AD201)+0.002&gt;AS201*1000000+SUM(U201,AM201)*10000+SUM(O201,AG201)*100+SUM(I201,AA201)+0.005,1,0)+IF(AW201*1000000+SUM(Y201,AQ201)*10000+SUM(S201,AK201)*100+SUM(M201,AE201)+0.001&gt;AS201*1000000+SUM(U201,AM201)*10000+SUM(O201,AG201)*100+SUM(I201,AA201)+0.005,1,0)=1,"I",IF(IF(AR201*1000000+SUM(T201,AL201)*10000+SUM(N201,AF201)*100+SUM(H201,Z201)+0.006&gt;AT201*1000000+SUM(V201,AN201)*10000+SUM(P201,AH201)*100+SUM(J201,AB201)+0.004,1,0)+IF(AS201*1000000+SUM(U201,AM201)*10000+SUM(O201,AG201)*100+SUM(I201,AA201)+0.005&gt;AT201*1000000+SUM(V201,AN201)*10000+SUM(P201,AH201)*100+SUM(J201,AB201)+0.004,1,0)+IF(AU201*1000000+SUM(W201,AO201)*10000+SUM(Q201,AI201)*100+SUM(K201,AC201)+0.003&gt;AT201*1000000+SUM(V201,AN201)*10000+SUM(P201,AH201)*100+SUM(J201,AB201)+0.004,1,0)+IF(AV201*1000000+SUM(X201,AP201)*10000+SUM(R201,AJ201)*100+SUM(L201,AD201)+0.002&gt;AT201*1000000+SUM(V201,AN201)*10000+SUM(P201,AH201)*100+SUM(J201,AB201)+0.004,1,0)+IF(AW201*1000000+SUM(Y201,AQ201)*10000+SUM(S201,AK201)*100+SUM(M201,AE201)+0.001&gt;AT201*1000000+SUM(V201,AN201)*10000+SUM(P201,AH201)*100+SUM(J201,AB201)+0.004,1,0)=1,"A",IF(IF(AR201*1000000+SUM(T201,AL201)*10000+SUM(N201,AF201)*100+SUM(H201,Z201)+0.006&gt;AU201*1000000+SUM(W201,AO201)*10000+SUM(Q201,AI201)*100+SUM(K201,AC201)+0.003,1,0)+IF(AS201*1000000+SUM(U201,AM201)*10000+SUM(O201,AG201)*100+SUM(I201,AA201)+0.005&gt;AU201*1000000+SUM(W201,AO201)*10000+SUM(Q201,AI201)*100+SUM(K201,AC201)+0.003,1,0)+IF(AT201*1000000+SUM(V201,AN201)*10000+SUM(P201,AH201)*100+SUM(J201,AB201)+0.004&gt;AU201*1000000+SUM(W201,AO201)*10000+SUM(Q201,AI201)*100+SUM(K201,AC201)+0.003,1,0)+IF(AV201*1000000+SUM(X201,AP201)*10000+SUM(R201,AJ201)*100+SUM(L201,AD201)+0.002&gt;AU201*1000000+SUM(W201,AO201)*10000+SUM(Q201,AI201)*100+SUM(K201,AC201)+0.003,1,0)+IF(AW201*1000000+SUM(Y201,AQ201)*10000+SUM(S201,AK201)*100+SUM(M201,AE201)+0.001&gt;AU201*1000000+SUM(W201,AO201)*10000+SUM(Q201,AI201)*100+SUM(K201,AC201)+0.003,1,0)=1,"S",IF(IF(AR201*1000000+SUM(T201,AL201)*10000+SUM(N201,AF201)*100+SUM(H201,Z201)+0.006&gt;AV201*1000000+SUM(X201,AP201)*10000+SUM(R201,AJ201)*100+SUM(L201,AD201)+0.002,1,0)+IF(AS201*1000000+SUM(U201,AM201)*10000+SUM(O201,AG201)*100+SUM(I201,AA201)+0.005&gt;AV201*1000000+SUM(X201,AP201)*10000+SUM(R201,AJ201)*100+SUM(L201,AD201)+0.002,1,0)+IF(AT201*1000000+SUM(V201,AN201)*10000+SUM(P201,AH201)*100+SUM(J201,AB201)+0.004&gt;AV201*1000000+SUM(X201,AP201)*10000+SUM(R201,AJ201)*100+SUM(L201,AD201)+0.002,1,0)+IF(AU201*1000000+SUM(W201,AO201)*10000+SUM(Q201,AI201)*100+SUM(K201,AC201)+0.003&gt;AV201*1000000+SUM(X201,AP201)*10000+SUM(R201,AJ201)*100+SUM(L201,AD201)+0.002,1,0)+IF(AW201*1000000+SUM(Y201,AQ201)*10000+SUM(S201,AK201)*100+SUM(M201,AE201)+0.001&gt;AV201*1000000+SUM(X201,AP201)*10000+SUM(R201,AJ201)*100+SUM(L201,AD201)+0.002,1,0)=1,"E",IF(IF(AR201*1000000+SUM(T201,AL201)*10000+SUM(N201,AF201)*100+SUM(H201,Z201)+0.006&gt;AW201*1000000+SUM(Y201,AQ201)*10000+SUM(S201,AK201)*100+SUM(M201,AE201)+0.001,1,0)+IF(AS201*1000000+SUM(U201,AM201)*10000+SUM(O201,AG201)*100+SUM(I201,AA201)+0.005&gt;AW201*1000000+SUM(Y201,AQ201)*10000+SUM(S201,AK201)*100+SUM(M201,AE201)+0.001,1,0)+IF(AT201*1000000+SUM(V201,AN201)*10000+SUM(P201,AH201)*100+SUM(J201,AB201)+0.004&gt;AW201*1000000+SUM(Y201,AQ201)*10000+SUM(S201,AK201)*100+SUM(M201,AE201)+0.001,1,0)+IF(AU201*1000000+SUM(W201,AO201)*10000+SUM(Q201,AI201)*100+SUM(K201,AC201)+0.003&gt;AW201*1000000+SUM(Y201,AQ201)*10000+SUM(S201,AK201)*100+SUM(M201,AE201)+0.001,1,0)+IF(AV201*1000000+SUM(X201,AP201)*10000+SUM(R201,AJ201)*100+SUM(L201,AD201)+0.002&gt;AW201*1000000+SUM(Y201,AQ201)*10000+SUM(S201,AK201)*100+SUM(M201,AE201)+0.001,1,0)=1,"C",""))))))&amp;IF(IF(AS201*1000000+SUM(U201,AM201)*10000+SUM(O201,AG201)*100+SUM(I201,AA201)+0.005&gt;AR201*1000000+SUM(T201,AL201)*10000+SUM(N201,AF201)*100+SUM(H201,Z201)+0.006,1,0)+IF(AT201*1000000+SUM(V201,AN201)*10000+SUM(P201,AH201)*100+SUM(J201,AB201)+0.004&gt;AR201*1000000+SUM(T201,AL201)*10000+SUM(N201,AF201)*100+SUM(H201,Z201)+0.006,1,0)+IF(AU201*1000000+SUM(W201,AO201)*10000+SUM(Q201,AI201)*100+SUM(K201,AC201)+0.003&gt;AR201*1000000+SUM(T201,AL201)*10000+SUM(N201,AF201)*100+SUM(H201,Z201)+0.006,1,0)+IF(AV201*1000000+SUM(X201,AP201)*10000+SUM(R201,AJ201)*100+SUM(L201,AD201)+0.002&gt;AR201*1000000+SUM(T201,AL201)*10000+SUM(N201,AF201)*100+SUM(H201,Z201)+0.006,1,0)+IF(AW201*1000000+SUM(Y201,AQ201)*10000+SUM(S201,AK201)*100+SUM(M201,AE201)+0.001&gt;AR201*1000000+SUM(T201,AL201)*10000+SUM(N201,AF201)*100+SUM(H201,Z201)+0.006,1,0)=2,"R",IF(IF(AR201*1000000+SUM(T201,AL201)*10000+SUM(N201,AF201)*100+SUM(H201,Z201)+0.006&gt;AS201*1000000+SUM(U201,AM201)*10000+SUM(O201,AG201)*100+SUM(I201,AA201)+0.005,1,0)+IF(AT201*1000000+SUM(V201,AN201)*10000+SUM(P201,AH201)*100+SUM(J201,AB201)+0.004&gt;AS201*1000000+SUM(U201,AM201)*10000+SUM(O201,AG201)*100+SUM(I201,AA201)+0.005,1,0)+IF(AU201*1000000+SUM(W201,AO201)*10000+SUM(Q201,AI201)*100+SUM(K201,AC201)+0.003&gt;AS201*1000000+SUM(U201,AM201)*10000+SUM(O201,AG201)*100+SUM(I201,AA201)+0.005,1,0)+IF(AV201*1000000+SUM(X201,AP201)*10000+SUM(R201,AJ201)*100+SUM(L201,AD201)+0.002&gt;AS201*1000000+SUM(U201,AM201)*10000+SUM(O201,AG201)*100+SUM(I201,AA201)+0.005,1,0)+IF(AW201*1000000+SUM(Y201,AQ201)*10000+SUM(S201,AK201)*100+SUM(M201,AE201)+0.001&gt;AS201*1000000+SUM(U201,AM201)*10000+SUM(O201,AG201)*100+SUM(I201,AA201)+0.005,1,0)=2,"I",IF(IF(AR201*1000000+SUM(T201,AL201)*10000+SUM(N201,AF201)*100+SUM(H201,Z201)+0.006&gt;AT201*1000000+SUM(V201,AN201)*10000+SUM(P201,AH201)*100+SUM(J201,AB201)+0.004,1,0)+IF(AS201*1000000+SUM(U201,AM201)*10000+SUM(O201,AG201)*100+SUM(I201,AA201)+0.005&gt;AT201*1000000+SUM(V201,AN201)*10000+SUM(P201,AH201)*100+SUM(J201,AB201)+0.004,1,0)+IF(AU201*1000000+SUM(W201,AO201)*10000+SUM(Q201,AI201)*100+SUM(K201,AC201)+0.003&gt;AT201*1000000+SUM(V201,AN201)*10000+SUM(P201,AH201)*100+SUM(J201,AB201)+0.004,1,0)+IF(AV201*1000000+SUM(X201,AP201)*10000+SUM(R201,AJ201)*100+SUM(L201,AD201)+0.002&gt;AT201*1000000+SUM(V201,AN201)*10000+SUM(P201,AH201)*100+SUM(J201,AB201)+0.004,1,0)+IF(AW201*1000000+SUM(Y201,AQ201)*10000+SUM(S201,AK201)*100+SUM(M201,AE201)+0.001&gt;AT201*1000000+SUM(V201,AN201)*10000+SUM(P201,AH201)*100+SUM(J201,AB201)+0.004,1,0)=2,"A",IF(IF(AR201*1000000+SUM(T201,AL201)*10000+SUM(N201,AF201)*100+SUM(H201,Z201)+0.006&gt;AU201*1000000+SUM(W201,AO201)*10000+SUM(Q201,AI201)*100+SUM(K201,AC201)+0.003,1,0)+IF(AS201*1000000+SUM(U201,AM201)*10000+SUM(O201,AG201)*100+SUM(I201,AA201)+0.005&gt;AU201*1000000+SUM(W201,AO201)*10000+SUM(Q201,AI201)*100+SUM(K201,AC201)+0.003,1,0)+IF(AT201*1000000+SUM(V201,AN201)*10000+SUM(P201,AH201)*100+SUM(J201,AB201)+0.004&gt;AU201*1000000+SUM(W201,AO201)*10000+SUM(Q201,AI201)*100+SUM(K201,AC201)+0.003,1,0)+IF(AV201*1000000+SUM(X201,AP201)*10000+SUM(R201,AJ201)*100+SUM(L201,AD201)+0.002&gt;AU201*1000000+SUM(W201,AO201)*10000+SUM(Q201,AI201)*100+SUM(K201,AC201)+0.003,1,0)+IF(AW201*1000000+SUM(Y201,AQ201)*10000+SUM(S201,AK201)*100+SUM(M201,AE201)+0.001&gt;AU201*1000000+SUM(W201,AO201)*10000+SUM(Q201,AI201)*100+SUM(K201,AC201)+0.003,1,0)=2,"S",IF(IF(AR201*1000000+SUM(T201,AL201)*10000+SUM(N201,AF201)*100+SUM(H201,Z201)+0.006&gt;AV201*1000000+SUM(X201,AP201)*10000+SUM(R201,AJ201)*100+SUM(L201,AD201)+0.002,1,0)+IF(AS201*1000000+SUM(U201,AM201)*10000+SUM(O201,AG201)*100+SUM(I201,AA201)+0.005&gt;AV201*1000000+SUM(X201,AP201)*10000+SUM(R201,AJ201)*100+SUM(L201,AD201)+0.002,1,0)+IF(AT201*1000000+SUM(V201,AN201)*10000+SUM(P201,AH201)*100+SUM(J201,AB201)+0.004&gt;AV201*1000000+SUM(X201,AP201)*10000+SUM(R201,AJ201)*100+SUM(L201,AD201)+0.002,1,0)+IF(AU201*1000000+SUM(W201,AO201)*10000+SUM(Q201,AI201)*100+SUM(K201,AC201)+0.003&gt;AV201*1000000+SUM(X201,AP201)*10000+SUM(R201,AJ201)*100+SUM(L201,AD201)+0.002,1,0)+IF(AW201*1000000+SUM(Y201,AQ201)*10000+SUM(S201,AK201)*100+SUM(M201,AE201)+0.001&gt;AV201*1000000+SUM(X201,AP201)*10000+SUM(R201,AJ201)*100+SUM(L201,AD201)+0.002,1,0)=2,"E",IF(IF(AR201*1000000+SUM(T201,AL201)*10000+SUM(N201,AF201)*100+SUM(H201,Z201)+0.006&gt;AW201*1000000+SUM(Y201,AQ201)*10000+SUM(S201,AK201)*100+SUM(M201,AE201)+0.001,1,0)+IF(AS201*1000000+SUM(U201,AM201)*10000+SUM(O201,AG201)*100+SUM(I201,AA201)+0.005&gt;AW201*1000000+SUM(Y201,AQ201)*10000+SUM(S201,AK201)*100+SUM(M201,AE201)+0.001,1,0)+IF(AT201*1000000+SUM(V201,AN201)*10000+SUM(P201,AH201)*100+SUM(J201,AB201)+0.004&gt;AW201*1000000+SUM(Y201,AQ201)*10000+SUM(S201,AK201)*100+SUM(M201,AE201)+0.001,1,0)+IF(AU201*1000000+SUM(W201,AO201)*10000+SUM(Q201,AI201)*100+SUM(K201,AC201)+0.003&gt;AW201*1000000+SUM(Y201,AQ201)*10000+SUM(S201,AK201)*100+SUM(M201,AE201)+0.001,1,0)+IF(AV201*1000000+SUM(X201,AP201)*10000+SUM(R201,AJ201)*100+SUM(L201,AD201)+0.002&gt;AW201*1000000+SUM(Y201,AQ201)*10000+SUM(S201,AK201)*100+SUM(M201,AE201)+0.001,1,0)=2,"C","")))))))</x:f>
      </x:c>
      <x:c r="AY201" s="27" t="str">
        <x:f>IF(C201="","",IF(LEFT(AX201,1)="R","นักปฏิบัติ",IF(LEFT(AX201,1)="I","นักคิดวิเคราะห์",IF(LEFT(AX201,1)="A","นักสร้างสรรค์",IF(LEFT(AX201,1)="S","ผู้เข้าใจผู้คน",IF(LEFT(AX201,1)="E","ผู้นำการเปลี่ยนแปลง","ผู้จัดระบบ"))))))</x:f>
      </x:c>
    </x:row>
    <x:row r="202">
      <x:c r="A202" s="27"/>
      <x:c r="B202" s="28"/>
      <x:c r="C202" s="27"/>
      <x:c r="D202" s="27"/>
      <x:c r="E202" s="27"/>
      <x:c r="F202" s="27"/>
      <x:c r="G202" s="27"/>
      <x:c r="H202" s="27"/>
      <x:c r="I202" s="27"/>
      <x:c r="J202" s="27"/>
      <x:c r="K202" s="27"/>
      <x:c r="L202" s="27"/>
      <x:c r="M202" s="27"/>
      <x:c r="N202" s="27"/>
      <x:c r="O202" s="27"/>
      <x:c r="P202" s="27"/>
      <x:c r="Q202" s="27"/>
      <x:c r="R202" s="27"/>
      <x:c r="S202" s="27"/>
      <x:c r="T202" s="27"/>
      <x:c r="U202" s="27"/>
      <x:c r="V202" s="27"/>
      <x:c r="W202" s="27"/>
      <x:c r="X202" s="27"/>
      <x:c r="Y202" s="27"/>
      <x:c r="Z202" s="27"/>
      <x:c r="AA202" s="27"/>
      <x:c r="AB202" s="27"/>
      <x:c r="AC202" s="27"/>
      <x:c r="AD202" s="27"/>
      <x:c r="AE202" s="27"/>
      <x:c r="AF202" s="27"/>
      <x:c r="AG202" s="27"/>
      <x:c r="AH202" s="27"/>
      <x:c r="AI202" s="27"/>
      <x:c r="AJ202" s="27"/>
      <x:c r="AK202" s="27"/>
      <x:c r="AL202" s="27"/>
      <x:c r="AM202" s="27"/>
      <x:c r="AN202" s="27"/>
      <x:c r="AO202" s="27"/>
      <x:c r="AP202" s="27"/>
      <x:c r="AQ202" s="27"/>
      <x:c r="AR202" s="27" t="str">
        <x:f>IF(C202="","",SUM(H202,N202,T202,Z202,AF202,AL202))</x:f>
      </x:c>
      <x:c r="AS202" s="27" t="str">
        <x:f>IF(C202="","",SUM(I202,O202,U202,AA202,AG202,AM202))</x:f>
      </x:c>
      <x:c r="AT202" s="27" t="str">
        <x:f>IF(C202="","",SUM(J202,P202,V202,AB202,AH202,AN202))</x:f>
      </x:c>
      <x:c r="AU202" s="27" t="str">
        <x:f>IF(C202="","",SUM(K202,Q202,W202,AC202,AI202,AO202))</x:f>
      </x:c>
      <x:c r="AV202" s="27" t="str">
        <x:f>IF(C202="","",SUM(L202,R202,X202,AD202,AJ202,AP202))</x:f>
      </x:c>
      <x:c r="AW202" s="27" t="str">
        <x:f>IF(C202="","",SUM(M202,S202,Y202,AE202,AK202,AQ202))</x:f>
      </x:c>
      <x:c r="AX202" s="27" t="str">
        <x:f>IF(C202="","",IF(IF(AS202*1000000+SUM(U202,AM202)*10000+SUM(O202,AG202)*100+SUM(I202,AA202)+0.005&gt;AR202*1000000+SUM(T202,AL202)*10000+SUM(N202,AF202)*100+SUM(H202,Z202)+0.006,1,0)+IF(AT202*1000000+SUM(V202,AN202)*10000+SUM(P202,AH202)*100+SUM(J202,AB202)+0.004&gt;AR202*1000000+SUM(T202,AL202)*10000+SUM(N202,AF202)*100+SUM(H202,Z202)+0.006,1,0)+IF(AU202*1000000+SUM(W202,AO202)*10000+SUM(Q202,AI202)*100+SUM(K202,AC202)+0.003&gt;AR202*1000000+SUM(T202,AL202)*10000+SUM(N202,AF202)*100+SUM(H202,Z202)+0.006,1,0)+IF(AV202*1000000+SUM(X202,AP202)*10000+SUM(R202,AJ202)*100+SUM(L202,AD202)+0.002&gt;AR202*1000000+SUM(T202,AL202)*10000+SUM(N202,AF202)*100+SUM(H202,Z202)+0.006,1,0)+IF(AW202*1000000+SUM(Y202,AQ202)*10000+SUM(S202,AK202)*100+SUM(M202,AE202)+0.001&gt;AR202*1000000+SUM(T202,AL202)*10000+SUM(N202,AF202)*100+SUM(H202,Z202)+0.006,1,0)=0,"R",IF(IF(AR202*1000000+SUM(T202,AL202)*10000+SUM(N202,AF202)*100+SUM(H202,Z202)+0.006&gt;AS202*1000000+SUM(U202,AM202)*10000+SUM(O202,AG202)*100+SUM(I202,AA202)+0.005,1,0)+IF(AT202*1000000+SUM(V202,AN202)*10000+SUM(P202,AH202)*100+SUM(J202,AB202)+0.004&gt;AS202*1000000+SUM(U202,AM202)*10000+SUM(O202,AG202)*100+SUM(I202,AA202)+0.005,1,0)+IF(AU202*1000000+SUM(W202,AO202)*10000+SUM(Q202,AI202)*100+SUM(K202,AC202)+0.003&gt;AS202*1000000+SUM(U202,AM202)*10000+SUM(O202,AG202)*100+SUM(I202,AA202)+0.005,1,0)+IF(AV202*1000000+SUM(X202,AP202)*10000+SUM(R202,AJ202)*100+SUM(L202,AD202)+0.002&gt;AS202*1000000+SUM(U202,AM202)*10000+SUM(O202,AG202)*100+SUM(I202,AA202)+0.005,1,0)+IF(AW202*1000000+SUM(Y202,AQ202)*10000+SUM(S202,AK202)*100+SUM(M202,AE202)+0.001&gt;AS202*1000000+SUM(U202,AM202)*10000+SUM(O202,AG202)*100+SUM(I202,AA202)+0.005,1,0)=0,"I",IF(IF(AR202*1000000+SUM(T202,AL202)*10000+SUM(N202,AF202)*100+SUM(H202,Z202)+0.006&gt;AT202*1000000+SUM(V202,AN202)*10000+SUM(P202,AH202)*100+SUM(J202,AB202)+0.004,1,0)+IF(AS202*1000000+SUM(U202,AM202)*10000+SUM(O202,AG202)*100+SUM(I202,AA202)+0.005&gt;AT202*1000000+SUM(V202,AN202)*10000+SUM(P202,AH202)*100+SUM(J202,AB202)+0.004,1,0)+IF(AU202*1000000+SUM(W202,AO202)*10000+SUM(Q202,AI202)*100+SUM(K202,AC202)+0.003&gt;AT202*1000000+SUM(V202,AN202)*10000+SUM(P202,AH202)*100+SUM(J202,AB202)+0.004,1,0)+IF(AV202*1000000+SUM(X202,AP202)*10000+SUM(R202,AJ202)*100+SUM(L202,AD202)+0.002&gt;AT202*1000000+SUM(V202,AN202)*10000+SUM(P202,AH202)*100+SUM(J202,AB202)+0.004,1,0)+IF(AW202*1000000+SUM(Y202,AQ202)*10000+SUM(S202,AK202)*100+SUM(M202,AE202)+0.001&gt;AT202*1000000+SUM(V202,AN202)*10000+SUM(P202,AH202)*100+SUM(J202,AB202)+0.004,1,0)=0,"A",IF(IF(AR202*1000000+SUM(T202,AL202)*10000+SUM(N202,AF202)*100+SUM(H202,Z202)+0.006&gt;AU202*1000000+SUM(W202,AO202)*10000+SUM(Q202,AI202)*100+SUM(K202,AC202)+0.003,1,0)+IF(AS202*1000000+SUM(U202,AM202)*10000+SUM(O202,AG202)*100+SUM(I202,AA202)+0.005&gt;AU202*1000000+SUM(W202,AO202)*10000+SUM(Q202,AI202)*100+SUM(K202,AC202)+0.003,1,0)+IF(AT202*1000000+SUM(V202,AN202)*10000+SUM(P202,AH202)*100+SUM(J202,AB202)+0.004&gt;AU202*1000000+SUM(W202,AO202)*10000+SUM(Q202,AI202)*100+SUM(K202,AC202)+0.003,1,0)+IF(AV202*1000000+SUM(X202,AP202)*10000+SUM(R202,AJ202)*100+SUM(L202,AD202)+0.002&gt;AU202*1000000+SUM(W202,AO202)*10000+SUM(Q202,AI202)*100+SUM(K202,AC202)+0.003,1,0)+IF(AW202*1000000+SUM(Y202,AQ202)*10000+SUM(S202,AK202)*100+SUM(M202,AE202)+0.001&gt;AU202*1000000+SUM(W202,AO202)*10000+SUM(Q202,AI202)*100+SUM(K202,AC202)+0.003,1,0)=0,"S",IF(IF(AR202*1000000+SUM(T202,AL202)*10000+SUM(N202,AF202)*100+SUM(H202,Z202)+0.006&gt;AV202*1000000+SUM(X202,AP202)*10000+SUM(R202,AJ202)*100+SUM(L202,AD202)+0.002,1,0)+IF(AS202*1000000+SUM(U202,AM202)*10000+SUM(O202,AG202)*100+SUM(I202,AA202)+0.005&gt;AV202*1000000+SUM(X202,AP202)*10000+SUM(R202,AJ202)*100+SUM(L202,AD202)+0.002,1,0)+IF(AT202*1000000+SUM(V202,AN202)*10000+SUM(P202,AH202)*100+SUM(J202,AB202)+0.004&gt;AV202*1000000+SUM(X202,AP202)*10000+SUM(R202,AJ202)*100+SUM(L202,AD202)+0.002,1,0)+IF(AU202*1000000+SUM(W202,AO202)*10000+SUM(Q202,AI202)*100+SUM(K202,AC202)+0.003&gt;AV202*1000000+SUM(X202,AP202)*10000+SUM(R202,AJ202)*100+SUM(L202,AD202)+0.002,1,0)+IF(AW202*1000000+SUM(Y202,AQ202)*10000+SUM(S202,AK202)*100+SUM(M202,AE202)+0.001&gt;AV202*1000000+SUM(X202,AP202)*10000+SUM(R202,AJ202)*100+SUM(L202,AD202)+0.002,1,0)=0,"E",IF(IF(AR202*1000000+SUM(T202,AL202)*10000+SUM(N202,AF202)*100+SUM(H202,Z202)+0.006&gt;AW202*1000000+SUM(Y202,AQ202)*10000+SUM(S202,AK202)*100+SUM(M202,AE202)+0.001,1,0)+IF(AS202*1000000+SUM(U202,AM202)*10000+SUM(O202,AG202)*100+SUM(I202,AA202)+0.005&gt;AW202*1000000+SUM(Y202,AQ202)*10000+SUM(S202,AK202)*100+SUM(M202,AE202)+0.001,1,0)+IF(AT202*1000000+SUM(V202,AN202)*10000+SUM(P202,AH202)*100+SUM(J202,AB202)+0.004&gt;AW202*1000000+SUM(Y202,AQ202)*10000+SUM(S202,AK202)*100+SUM(M202,AE202)+0.001,1,0)+IF(AU202*1000000+SUM(W202,AO202)*10000+SUM(Q202,AI202)*100+SUM(K202,AC202)+0.003&gt;AW202*1000000+SUM(Y202,AQ202)*10000+SUM(S202,AK202)*100+SUM(M202,AE202)+0.001,1,0)+IF(AV202*1000000+SUM(X202,AP202)*10000+SUM(R202,AJ202)*100+SUM(L202,AD202)+0.002&gt;AW202*1000000+SUM(Y202,AQ202)*10000+SUM(S202,AK202)*100+SUM(M202,AE202)+0.001,1,0)=0,"C",""))))))&amp;IF(IF(AS202*1000000+SUM(U202,AM202)*10000+SUM(O202,AG202)*100+SUM(I202,AA202)+0.005&gt;AR202*1000000+SUM(T202,AL202)*10000+SUM(N202,AF202)*100+SUM(H202,Z202)+0.006,1,0)+IF(AT202*1000000+SUM(V202,AN202)*10000+SUM(P202,AH202)*100+SUM(J202,AB202)+0.004&gt;AR202*1000000+SUM(T202,AL202)*10000+SUM(N202,AF202)*100+SUM(H202,Z202)+0.006,1,0)+IF(AU202*1000000+SUM(W202,AO202)*10000+SUM(Q202,AI202)*100+SUM(K202,AC202)+0.003&gt;AR202*1000000+SUM(T202,AL202)*10000+SUM(N202,AF202)*100+SUM(H202,Z202)+0.006,1,0)+IF(AV202*1000000+SUM(X202,AP202)*10000+SUM(R202,AJ202)*100+SUM(L202,AD202)+0.002&gt;AR202*1000000+SUM(T202,AL202)*10000+SUM(N202,AF202)*100+SUM(H202,Z202)+0.006,1,0)+IF(AW202*1000000+SUM(Y202,AQ202)*10000+SUM(S202,AK202)*100+SUM(M202,AE202)+0.001&gt;AR202*1000000+SUM(T202,AL202)*10000+SUM(N202,AF202)*100+SUM(H202,Z202)+0.006,1,0)=1,"R",IF(IF(AR202*1000000+SUM(T202,AL202)*10000+SUM(N202,AF202)*100+SUM(H202,Z202)+0.006&gt;AS202*1000000+SUM(U202,AM202)*10000+SUM(O202,AG202)*100+SUM(I202,AA202)+0.005,1,0)+IF(AT202*1000000+SUM(V202,AN202)*10000+SUM(P202,AH202)*100+SUM(J202,AB202)+0.004&gt;AS202*1000000+SUM(U202,AM202)*10000+SUM(O202,AG202)*100+SUM(I202,AA202)+0.005,1,0)+IF(AU202*1000000+SUM(W202,AO202)*10000+SUM(Q202,AI202)*100+SUM(K202,AC202)+0.003&gt;AS202*1000000+SUM(U202,AM202)*10000+SUM(O202,AG202)*100+SUM(I202,AA202)+0.005,1,0)+IF(AV202*1000000+SUM(X202,AP202)*10000+SUM(R202,AJ202)*100+SUM(L202,AD202)+0.002&gt;AS202*1000000+SUM(U202,AM202)*10000+SUM(O202,AG202)*100+SUM(I202,AA202)+0.005,1,0)+IF(AW202*1000000+SUM(Y202,AQ202)*10000+SUM(S202,AK202)*100+SUM(M202,AE202)+0.001&gt;AS202*1000000+SUM(U202,AM202)*10000+SUM(O202,AG202)*100+SUM(I202,AA202)+0.005,1,0)=1,"I",IF(IF(AR202*1000000+SUM(T202,AL202)*10000+SUM(N202,AF202)*100+SUM(H202,Z202)+0.006&gt;AT202*1000000+SUM(V202,AN202)*10000+SUM(P202,AH202)*100+SUM(J202,AB202)+0.004,1,0)+IF(AS202*1000000+SUM(U202,AM202)*10000+SUM(O202,AG202)*100+SUM(I202,AA202)+0.005&gt;AT202*1000000+SUM(V202,AN202)*10000+SUM(P202,AH202)*100+SUM(J202,AB202)+0.004,1,0)+IF(AU202*1000000+SUM(W202,AO202)*10000+SUM(Q202,AI202)*100+SUM(K202,AC202)+0.003&gt;AT202*1000000+SUM(V202,AN202)*10000+SUM(P202,AH202)*100+SUM(J202,AB202)+0.004,1,0)+IF(AV202*1000000+SUM(X202,AP202)*10000+SUM(R202,AJ202)*100+SUM(L202,AD202)+0.002&gt;AT202*1000000+SUM(V202,AN202)*10000+SUM(P202,AH202)*100+SUM(J202,AB202)+0.004,1,0)+IF(AW202*1000000+SUM(Y202,AQ202)*10000+SUM(S202,AK202)*100+SUM(M202,AE202)+0.001&gt;AT202*1000000+SUM(V202,AN202)*10000+SUM(P202,AH202)*100+SUM(J202,AB202)+0.004,1,0)=1,"A",IF(IF(AR202*1000000+SUM(T202,AL202)*10000+SUM(N202,AF202)*100+SUM(H202,Z202)+0.006&gt;AU202*1000000+SUM(W202,AO202)*10000+SUM(Q202,AI202)*100+SUM(K202,AC202)+0.003,1,0)+IF(AS202*1000000+SUM(U202,AM202)*10000+SUM(O202,AG202)*100+SUM(I202,AA202)+0.005&gt;AU202*1000000+SUM(W202,AO202)*10000+SUM(Q202,AI202)*100+SUM(K202,AC202)+0.003,1,0)+IF(AT202*1000000+SUM(V202,AN202)*10000+SUM(P202,AH202)*100+SUM(J202,AB202)+0.004&gt;AU202*1000000+SUM(W202,AO202)*10000+SUM(Q202,AI202)*100+SUM(K202,AC202)+0.003,1,0)+IF(AV202*1000000+SUM(X202,AP202)*10000+SUM(R202,AJ202)*100+SUM(L202,AD202)+0.002&gt;AU202*1000000+SUM(W202,AO202)*10000+SUM(Q202,AI202)*100+SUM(K202,AC202)+0.003,1,0)+IF(AW202*1000000+SUM(Y202,AQ202)*10000+SUM(S202,AK202)*100+SUM(M202,AE202)+0.001&gt;AU202*1000000+SUM(W202,AO202)*10000+SUM(Q202,AI202)*100+SUM(K202,AC202)+0.003,1,0)=1,"S",IF(IF(AR202*1000000+SUM(T202,AL202)*10000+SUM(N202,AF202)*100+SUM(H202,Z202)+0.006&gt;AV202*1000000+SUM(X202,AP202)*10000+SUM(R202,AJ202)*100+SUM(L202,AD202)+0.002,1,0)+IF(AS202*1000000+SUM(U202,AM202)*10000+SUM(O202,AG202)*100+SUM(I202,AA202)+0.005&gt;AV202*1000000+SUM(X202,AP202)*10000+SUM(R202,AJ202)*100+SUM(L202,AD202)+0.002,1,0)+IF(AT202*1000000+SUM(V202,AN202)*10000+SUM(P202,AH202)*100+SUM(J202,AB202)+0.004&gt;AV202*1000000+SUM(X202,AP202)*10000+SUM(R202,AJ202)*100+SUM(L202,AD202)+0.002,1,0)+IF(AU202*1000000+SUM(W202,AO202)*10000+SUM(Q202,AI202)*100+SUM(K202,AC202)+0.003&gt;AV202*1000000+SUM(X202,AP202)*10000+SUM(R202,AJ202)*100+SUM(L202,AD202)+0.002,1,0)+IF(AW202*1000000+SUM(Y202,AQ202)*10000+SUM(S202,AK202)*100+SUM(M202,AE202)+0.001&gt;AV202*1000000+SUM(X202,AP202)*10000+SUM(R202,AJ202)*100+SUM(L202,AD202)+0.002,1,0)=1,"E",IF(IF(AR202*1000000+SUM(T202,AL202)*10000+SUM(N202,AF202)*100+SUM(H202,Z202)+0.006&gt;AW202*1000000+SUM(Y202,AQ202)*10000+SUM(S202,AK202)*100+SUM(M202,AE202)+0.001,1,0)+IF(AS202*1000000+SUM(U202,AM202)*10000+SUM(O202,AG202)*100+SUM(I202,AA202)+0.005&gt;AW202*1000000+SUM(Y202,AQ202)*10000+SUM(S202,AK202)*100+SUM(M202,AE202)+0.001,1,0)+IF(AT202*1000000+SUM(V202,AN202)*10000+SUM(P202,AH202)*100+SUM(J202,AB202)+0.004&gt;AW202*1000000+SUM(Y202,AQ202)*10000+SUM(S202,AK202)*100+SUM(M202,AE202)+0.001,1,0)+IF(AU202*1000000+SUM(W202,AO202)*10000+SUM(Q202,AI202)*100+SUM(K202,AC202)+0.003&gt;AW202*1000000+SUM(Y202,AQ202)*10000+SUM(S202,AK202)*100+SUM(M202,AE202)+0.001,1,0)+IF(AV202*1000000+SUM(X202,AP202)*10000+SUM(R202,AJ202)*100+SUM(L202,AD202)+0.002&gt;AW202*1000000+SUM(Y202,AQ202)*10000+SUM(S202,AK202)*100+SUM(M202,AE202)+0.001,1,0)=1,"C",""))))))&amp;IF(IF(AS202*1000000+SUM(U202,AM202)*10000+SUM(O202,AG202)*100+SUM(I202,AA202)+0.005&gt;AR202*1000000+SUM(T202,AL202)*10000+SUM(N202,AF202)*100+SUM(H202,Z202)+0.006,1,0)+IF(AT202*1000000+SUM(V202,AN202)*10000+SUM(P202,AH202)*100+SUM(J202,AB202)+0.004&gt;AR202*1000000+SUM(T202,AL202)*10000+SUM(N202,AF202)*100+SUM(H202,Z202)+0.006,1,0)+IF(AU202*1000000+SUM(W202,AO202)*10000+SUM(Q202,AI202)*100+SUM(K202,AC202)+0.003&gt;AR202*1000000+SUM(T202,AL202)*10000+SUM(N202,AF202)*100+SUM(H202,Z202)+0.006,1,0)+IF(AV202*1000000+SUM(X202,AP202)*10000+SUM(R202,AJ202)*100+SUM(L202,AD202)+0.002&gt;AR202*1000000+SUM(T202,AL202)*10000+SUM(N202,AF202)*100+SUM(H202,Z202)+0.006,1,0)+IF(AW202*1000000+SUM(Y202,AQ202)*10000+SUM(S202,AK202)*100+SUM(M202,AE202)+0.001&gt;AR202*1000000+SUM(T202,AL202)*10000+SUM(N202,AF202)*100+SUM(H202,Z202)+0.006,1,0)=2,"R",IF(IF(AR202*1000000+SUM(T202,AL202)*10000+SUM(N202,AF202)*100+SUM(H202,Z202)+0.006&gt;AS202*1000000+SUM(U202,AM202)*10000+SUM(O202,AG202)*100+SUM(I202,AA202)+0.005,1,0)+IF(AT202*1000000+SUM(V202,AN202)*10000+SUM(P202,AH202)*100+SUM(J202,AB202)+0.004&gt;AS202*1000000+SUM(U202,AM202)*10000+SUM(O202,AG202)*100+SUM(I202,AA202)+0.005,1,0)+IF(AU202*1000000+SUM(W202,AO202)*10000+SUM(Q202,AI202)*100+SUM(K202,AC202)+0.003&gt;AS202*1000000+SUM(U202,AM202)*10000+SUM(O202,AG202)*100+SUM(I202,AA202)+0.005,1,0)+IF(AV202*1000000+SUM(X202,AP202)*10000+SUM(R202,AJ202)*100+SUM(L202,AD202)+0.002&gt;AS202*1000000+SUM(U202,AM202)*10000+SUM(O202,AG202)*100+SUM(I202,AA202)+0.005,1,0)+IF(AW202*1000000+SUM(Y202,AQ202)*10000+SUM(S202,AK202)*100+SUM(M202,AE202)+0.001&gt;AS202*1000000+SUM(U202,AM202)*10000+SUM(O202,AG202)*100+SUM(I202,AA202)+0.005,1,0)=2,"I",IF(IF(AR202*1000000+SUM(T202,AL202)*10000+SUM(N202,AF202)*100+SUM(H202,Z202)+0.006&gt;AT202*1000000+SUM(V202,AN202)*10000+SUM(P202,AH202)*100+SUM(J202,AB202)+0.004,1,0)+IF(AS202*1000000+SUM(U202,AM202)*10000+SUM(O202,AG202)*100+SUM(I202,AA202)+0.005&gt;AT202*1000000+SUM(V202,AN202)*10000+SUM(P202,AH202)*100+SUM(J202,AB202)+0.004,1,0)+IF(AU202*1000000+SUM(W202,AO202)*10000+SUM(Q202,AI202)*100+SUM(K202,AC202)+0.003&gt;AT202*1000000+SUM(V202,AN202)*10000+SUM(P202,AH202)*100+SUM(J202,AB202)+0.004,1,0)+IF(AV202*1000000+SUM(X202,AP202)*10000+SUM(R202,AJ202)*100+SUM(L202,AD202)+0.002&gt;AT202*1000000+SUM(V202,AN202)*10000+SUM(P202,AH202)*100+SUM(J202,AB202)+0.004,1,0)+IF(AW202*1000000+SUM(Y202,AQ202)*10000+SUM(S202,AK202)*100+SUM(M202,AE202)+0.001&gt;AT202*1000000+SUM(V202,AN202)*10000+SUM(P202,AH202)*100+SUM(J202,AB202)+0.004,1,0)=2,"A",IF(IF(AR202*1000000+SUM(T202,AL202)*10000+SUM(N202,AF202)*100+SUM(H202,Z202)+0.006&gt;AU202*1000000+SUM(W202,AO202)*10000+SUM(Q202,AI202)*100+SUM(K202,AC202)+0.003,1,0)+IF(AS202*1000000+SUM(U202,AM202)*10000+SUM(O202,AG202)*100+SUM(I202,AA202)+0.005&gt;AU202*1000000+SUM(W202,AO202)*10000+SUM(Q202,AI202)*100+SUM(K202,AC202)+0.003,1,0)+IF(AT202*1000000+SUM(V202,AN202)*10000+SUM(P202,AH202)*100+SUM(J202,AB202)+0.004&gt;AU202*1000000+SUM(W202,AO202)*10000+SUM(Q202,AI202)*100+SUM(K202,AC202)+0.003,1,0)+IF(AV202*1000000+SUM(X202,AP202)*10000+SUM(R202,AJ202)*100+SUM(L202,AD202)+0.002&gt;AU202*1000000+SUM(W202,AO202)*10000+SUM(Q202,AI202)*100+SUM(K202,AC202)+0.003,1,0)+IF(AW202*1000000+SUM(Y202,AQ202)*10000+SUM(S202,AK202)*100+SUM(M202,AE202)+0.001&gt;AU202*1000000+SUM(W202,AO202)*10000+SUM(Q202,AI202)*100+SUM(K202,AC202)+0.003,1,0)=2,"S",IF(IF(AR202*1000000+SUM(T202,AL202)*10000+SUM(N202,AF202)*100+SUM(H202,Z202)+0.006&gt;AV202*1000000+SUM(X202,AP202)*10000+SUM(R202,AJ202)*100+SUM(L202,AD202)+0.002,1,0)+IF(AS202*1000000+SUM(U202,AM202)*10000+SUM(O202,AG202)*100+SUM(I202,AA202)+0.005&gt;AV202*1000000+SUM(X202,AP202)*10000+SUM(R202,AJ202)*100+SUM(L202,AD202)+0.002,1,0)+IF(AT202*1000000+SUM(V202,AN202)*10000+SUM(P202,AH202)*100+SUM(J202,AB202)+0.004&gt;AV202*1000000+SUM(X202,AP202)*10000+SUM(R202,AJ202)*100+SUM(L202,AD202)+0.002,1,0)+IF(AU202*1000000+SUM(W202,AO202)*10000+SUM(Q202,AI202)*100+SUM(K202,AC202)+0.003&gt;AV202*1000000+SUM(X202,AP202)*10000+SUM(R202,AJ202)*100+SUM(L202,AD202)+0.002,1,0)+IF(AW202*1000000+SUM(Y202,AQ202)*10000+SUM(S202,AK202)*100+SUM(M202,AE202)+0.001&gt;AV202*1000000+SUM(X202,AP202)*10000+SUM(R202,AJ202)*100+SUM(L202,AD202)+0.002,1,0)=2,"E",IF(IF(AR202*1000000+SUM(T202,AL202)*10000+SUM(N202,AF202)*100+SUM(H202,Z202)+0.006&gt;AW202*1000000+SUM(Y202,AQ202)*10000+SUM(S202,AK202)*100+SUM(M202,AE202)+0.001,1,0)+IF(AS202*1000000+SUM(U202,AM202)*10000+SUM(O202,AG202)*100+SUM(I202,AA202)+0.005&gt;AW202*1000000+SUM(Y202,AQ202)*10000+SUM(S202,AK202)*100+SUM(M202,AE202)+0.001,1,0)+IF(AT202*1000000+SUM(V202,AN202)*10000+SUM(P202,AH202)*100+SUM(J202,AB202)+0.004&gt;AW202*1000000+SUM(Y202,AQ202)*10000+SUM(S202,AK202)*100+SUM(M202,AE202)+0.001,1,0)+IF(AU202*1000000+SUM(W202,AO202)*10000+SUM(Q202,AI202)*100+SUM(K202,AC202)+0.003&gt;AW202*1000000+SUM(Y202,AQ202)*10000+SUM(S202,AK202)*100+SUM(M202,AE202)+0.001,1,0)+IF(AV202*1000000+SUM(X202,AP202)*10000+SUM(R202,AJ202)*100+SUM(L202,AD202)+0.002&gt;AW202*1000000+SUM(Y202,AQ202)*10000+SUM(S202,AK202)*100+SUM(M202,AE202)+0.001,1,0)=2,"C","")))))))</x:f>
      </x:c>
      <x:c r="AY202" s="27" t="str">
        <x:f>IF(C202="","",IF(LEFT(AX202,1)="R","นักปฏิบัติ",IF(LEFT(AX202,1)="I","นักคิดวิเคราะห์",IF(LEFT(AX202,1)="A","นักสร้างสรรค์",IF(LEFT(AX202,1)="S","ผู้เข้าใจผู้คน",IF(LEFT(AX202,1)="E","ผู้นำการเปลี่ยนแปลง","ผู้จัดระบบ"))))))</x:f>
      </x:c>
    </x:row>
    <x:row r="203">
      <x:c r="A203" s="27"/>
      <x:c r="B203" s="28"/>
      <x:c r="C203" s="27"/>
      <x:c r="D203" s="27"/>
      <x:c r="E203" s="27"/>
      <x:c r="F203" s="27"/>
      <x:c r="G203" s="27"/>
      <x:c r="H203" s="27"/>
      <x:c r="I203" s="27"/>
      <x:c r="J203" s="27"/>
      <x:c r="K203" s="27"/>
      <x:c r="L203" s="27"/>
      <x:c r="M203" s="27"/>
      <x:c r="N203" s="27"/>
      <x:c r="O203" s="27"/>
      <x:c r="P203" s="27"/>
      <x:c r="Q203" s="27"/>
      <x:c r="R203" s="27"/>
      <x:c r="S203" s="27"/>
      <x:c r="T203" s="27"/>
      <x:c r="U203" s="27"/>
      <x:c r="V203" s="27"/>
      <x:c r="W203" s="27"/>
      <x:c r="X203" s="27"/>
      <x:c r="Y203" s="27"/>
      <x:c r="Z203" s="27"/>
      <x:c r="AA203" s="27"/>
      <x:c r="AB203" s="27"/>
      <x:c r="AC203" s="27"/>
      <x:c r="AD203" s="27"/>
      <x:c r="AE203" s="27"/>
      <x:c r="AF203" s="27"/>
      <x:c r="AG203" s="27"/>
      <x:c r="AH203" s="27"/>
      <x:c r="AI203" s="27"/>
      <x:c r="AJ203" s="27"/>
      <x:c r="AK203" s="27"/>
      <x:c r="AL203" s="27"/>
      <x:c r="AM203" s="27"/>
      <x:c r="AN203" s="27"/>
      <x:c r="AO203" s="27"/>
      <x:c r="AP203" s="27"/>
      <x:c r="AQ203" s="27"/>
      <x:c r="AR203" s="27" t="str">
        <x:f>IF(C203="","",SUM(H203,N203,T203,Z203,AF203,AL203))</x:f>
      </x:c>
      <x:c r="AS203" s="27" t="str">
        <x:f>IF(C203="","",SUM(I203,O203,U203,AA203,AG203,AM203))</x:f>
      </x:c>
      <x:c r="AT203" s="27" t="str">
        <x:f>IF(C203="","",SUM(J203,P203,V203,AB203,AH203,AN203))</x:f>
      </x:c>
      <x:c r="AU203" s="27" t="str">
        <x:f>IF(C203="","",SUM(K203,Q203,W203,AC203,AI203,AO203))</x:f>
      </x:c>
      <x:c r="AV203" s="27" t="str">
        <x:f>IF(C203="","",SUM(L203,R203,X203,AD203,AJ203,AP203))</x:f>
      </x:c>
      <x:c r="AW203" s="27" t="str">
        <x:f>IF(C203="","",SUM(M203,S203,Y203,AE203,AK203,AQ203))</x:f>
      </x:c>
      <x:c r="AX203" s="27" t="str">
        <x:f>IF(C203="","",IF(IF(AS203*1000000+SUM(U203,AM203)*10000+SUM(O203,AG203)*100+SUM(I203,AA203)+0.005&gt;AR203*1000000+SUM(T203,AL203)*10000+SUM(N203,AF203)*100+SUM(H203,Z203)+0.006,1,0)+IF(AT203*1000000+SUM(V203,AN203)*10000+SUM(P203,AH203)*100+SUM(J203,AB203)+0.004&gt;AR203*1000000+SUM(T203,AL203)*10000+SUM(N203,AF203)*100+SUM(H203,Z203)+0.006,1,0)+IF(AU203*1000000+SUM(W203,AO203)*10000+SUM(Q203,AI203)*100+SUM(K203,AC203)+0.003&gt;AR203*1000000+SUM(T203,AL203)*10000+SUM(N203,AF203)*100+SUM(H203,Z203)+0.006,1,0)+IF(AV203*1000000+SUM(X203,AP203)*10000+SUM(R203,AJ203)*100+SUM(L203,AD203)+0.002&gt;AR203*1000000+SUM(T203,AL203)*10000+SUM(N203,AF203)*100+SUM(H203,Z203)+0.006,1,0)+IF(AW203*1000000+SUM(Y203,AQ203)*10000+SUM(S203,AK203)*100+SUM(M203,AE203)+0.001&gt;AR203*1000000+SUM(T203,AL203)*10000+SUM(N203,AF203)*100+SUM(H203,Z203)+0.006,1,0)=0,"R",IF(IF(AR203*1000000+SUM(T203,AL203)*10000+SUM(N203,AF203)*100+SUM(H203,Z203)+0.006&gt;AS203*1000000+SUM(U203,AM203)*10000+SUM(O203,AG203)*100+SUM(I203,AA203)+0.005,1,0)+IF(AT203*1000000+SUM(V203,AN203)*10000+SUM(P203,AH203)*100+SUM(J203,AB203)+0.004&gt;AS203*1000000+SUM(U203,AM203)*10000+SUM(O203,AG203)*100+SUM(I203,AA203)+0.005,1,0)+IF(AU203*1000000+SUM(W203,AO203)*10000+SUM(Q203,AI203)*100+SUM(K203,AC203)+0.003&gt;AS203*1000000+SUM(U203,AM203)*10000+SUM(O203,AG203)*100+SUM(I203,AA203)+0.005,1,0)+IF(AV203*1000000+SUM(X203,AP203)*10000+SUM(R203,AJ203)*100+SUM(L203,AD203)+0.002&gt;AS203*1000000+SUM(U203,AM203)*10000+SUM(O203,AG203)*100+SUM(I203,AA203)+0.005,1,0)+IF(AW203*1000000+SUM(Y203,AQ203)*10000+SUM(S203,AK203)*100+SUM(M203,AE203)+0.001&gt;AS203*1000000+SUM(U203,AM203)*10000+SUM(O203,AG203)*100+SUM(I203,AA203)+0.005,1,0)=0,"I",IF(IF(AR203*1000000+SUM(T203,AL203)*10000+SUM(N203,AF203)*100+SUM(H203,Z203)+0.006&gt;AT203*1000000+SUM(V203,AN203)*10000+SUM(P203,AH203)*100+SUM(J203,AB203)+0.004,1,0)+IF(AS203*1000000+SUM(U203,AM203)*10000+SUM(O203,AG203)*100+SUM(I203,AA203)+0.005&gt;AT203*1000000+SUM(V203,AN203)*10000+SUM(P203,AH203)*100+SUM(J203,AB203)+0.004,1,0)+IF(AU203*1000000+SUM(W203,AO203)*10000+SUM(Q203,AI203)*100+SUM(K203,AC203)+0.003&gt;AT203*1000000+SUM(V203,AN203)*10000+SUM(P203,AH203)*100+SUM(J203,AB203)+0.004,1,0)+IF(AV203*1000000+SUM(X203,AP203)*10000+SUM(R203,AJ203)*100+SUM(L203,AD203)+0.002&gt;AT203*1000000+SUM(V203,AN203)*10000+SUM(P203,AH203)*100+SUM(J203,AB203)+0.004,1,0)+IF(AW203*1000000+SUM(Y203,AQ203)*10000+SUM(S203,AK203)*100+SUM(M203,AE203)+0.001&gt;AT203*1000000+SUM(V203,AN203)*10000+SUM(P203,AH203)*100+SUM(J203,AB203)+0.004,1,0)=0,"A",IF(IF(AR203*1000000+SUM(T203,AL203)*10000+SUM(N203,AF203)*100+SUM(H203,Z203)+0.006&gt;AU203*1000000+SUM(W203,AO203)*10000+SUM(Q203,AI203)*100+SUM(K203,AC203)+0.003,1,0)+IF(AS203*1000000+SUM(U203,AM203)*10000+SUM(O203,AG203)*100+SUM(I203,AA203)+0.005&gt;AU203*1000000+SUM(W203,AO203)*10000+SUM(Q203,AI203)*100+SUM(K203,AC203)+0.003,1,0)+IF(AT203*1000000+SUM(V203,AN203)*10000+SUM(P203,AH203)*100+SUM(J203,AB203)+0.004&gt;AU203*1000000+SUM(W203,AO203)*10000+SUM(Q203,AI203)*100+SUM(K203,AC203)+0.003,1,0)+IF(AV203*1000000+SUM(X203,AP203)*10000+SUM(R203,AJ203)*100+SUM(L203,AD203)+0.002&gt;AU203*1000000+SUM(W203,AO203)*10000+SUM(Q203,AI203)*100+SUM(K203,AC203)+0.003,1,0)+IF(AW203*1000000+SUM(Y203,AQ203)*10000+SUM(S203,AK203)*100+SUM(M203,AE203)+0.001&gt;AU203*1000000+SUM(W203,AO203)*10000+SUM(Q203,AI203)*100+SUM(K203,AC203)+0.003,1,0)=0,"S",IF(IF(AR203*1000000+SUM(T203,AL203)*10000+SUM(N203,AF203)*100+SUM(H203,Z203)+0.006&gt;AV203*1000000+SUM(X203,AP203)*10000+SUM(R203,AJ203)*100+SUM(L203,AD203)+0.002,1,0)+IF(AS203*1000000+SUM(U203,AM203)*10000+SUM(O203,AG203)*100+SUM(I203,AA203)+0.005&gt;AV203*1000000+SUM(X203,AP203)*10000+SUM(R203,AJ203)*100+SUM(L203,AD203)+0.002,1,0)+IF(AT203*1000000+SUM(V203,AN203)*10000+SUM(P203,AH203)*100+SUM(J203,AB203)+0.004&gt;AV203*1000000+SUM(X203,AP203)*10000+SUM(R203,AJ203)*100+SUM(L203,AD203)+0.002,1,0)+IF(AU203*1000000+SUM(W203,AO203)*10000+SUM(Q203,AI203)*100+SUM(K203,AC203)+0.003&gt;AV203*1000000+SUM(X203,AP203)*10000+SUM(R203,AJ203)*100+SUM(L203,AD203)+0.002,1,0)+IF(AW203*1000000+SUM(Y203,AQ203)*10000+SUM(S203,AK203)*100+SUM(M203,AE203)+0.001&gt;AV203*1000000+SUM(X203,AP203)*10000+SUM(R203,AJ203)*100+SUM(L203,AD203)+0.002,1,0)=0,"E",IF(IF(AR203*1000000+SUM(T203,AL203)*10000+SUM(N203,AF203)*100+SUM(H203,Z203)+0.006&gt;AW203*1000000+SUM(Y203,AQ203)*10000+SUM(S203,AK203)*100+SUM(M203,AE203)+0.001,1,0)+IF(AS203*1000000+SUM(U203,AM203)*10000+SUM(O203,AG203)*100+SUM(I203,AA203)+0.005&gt;AW203*1000000+SUM(Y203,AQ203)*10000+SUM(S203,AK203)*100+SUM(M203,AE203)+0.001,1,0)+IF(AT203*1000000+SUM(V203,AN203)*10000+SUM(P203,AH203)*100+SUM(J203,AB203)+0.004&gt;AW203*1000000+SUM(Y203,AQ203)*10000+SUM(S203,AK203)*100+SUM(M203,AE203)+0.001,1,0)+IF(AU203*1000000+SUM(W203,AO203)*10000+SUM(Q203,AI203)*100+SUM(K203,AC203)+0.003&gt;AW203*1000000+SUM(Y203,AQ203)*10000+SUM(S203,AK203)*100+SUM(M203,AE203)+0.001,1,0)+IF(AV203*1000000+SUM(X203,AP203)*10000+SUM(R203,AJ203)*100+SUM(L203,AD203)+0.002&gt;AW203*1000000+SUM(Y203,AQ203)*10000+SUM(S203,AK203)*100+SUM(M203,AE203)+0.001,1,0)=0,"C",""))))))&amp;IF(IF(AS203*1000000+SUM(U203,AM203)*10000+SUM(O203,AG203)*100+SUM(I203,AA203)+0.005&gt;AR203*1000000+SUM(T203,AL203)*10000+SUM(N203,AF203)*100+SUM(H203,Z203)+0.006,1,0)+IF(AT203*1000000+SUM(V203,AN203)*10000+SUM(P203,AH203)*100+SUM(J203,AB203)+0.004&gt;AR203*1000000+SUM(T203,AL203)*10000+SUM(N203,AF203)*100+SUM(H203,Z203)+0.006,1,0)+IF(AU203*1000000+SUM(W203,AO203)*10000+SUM(Q203,AI203)*100+SUM(K203,AC203)+0.003&gt;AR203*1000000+SUM(T203,AL203)*10000+SUM(N203,AF203)*100+SUM(H203,Z203)+0.006,1,0)+IF(AV203*1000000+SUM(X203,AP203)*10000+SUM(R203,AJ203)*100+SUM(L203,AD203)+0.002&gt;AR203*1000000+SUM(T203,AL203)*10000+SUM(N203,AF203)*100+SUM(H203,Z203)+0.006,1,0)+IF(AW203*1000000+SUM(Y203,AQ203)*10000+SUM(S203,AK203)*100+SUM(M203,AE203)+0.001&gt;AR203*1000000+SUM(T203,AL203)*10000+SUM(N203,AF203)*100+SUM(H203,Z203)+0.006,1,0)=1,"R",IF(IF(AR203*1000000+SUM(T203,AL203)*10000+SUM(N203,AF203)*100+SUM(H203,Z203)+0.006&gt;AS203*1000000+SUM(U203,AM203)*10000+SUM(O203,AG203)*100+SUM(I203,AA203)+0.005,1,0)+IF(AT203*1000000+SUM(V203,AN203)*10000+SUM(P203,AH203)*100+SUM(J203,AB203)+0.004&gt;AS203*1000000+SUM(U203,AM203)*10000+SUM(O203,AG203)*100+SUM(I203,AA203)+0.005,1,0)+IF(AU203*1000000+SUM(W203,AO203)*10000+SUM(Q203,AI203)*100+SUM(K203,AC203)+0.003&gt;AS203*1000000+SUM(U203,AM203)*10000+SUM(O203,AG203)*100+SUM(I203,AA203)+0.005,1,0)+IF(AV203*1000000+SUM(X203,AP203)*10000+SUM(R203,AJ203)*100+SUM(L203,AD203)+0.002&gt;AS203*1000000+SUM(U203,AM203)*10000+SUM(O203,AG203)*100+SUM(I203,AA203)+0.005,1,0)+IF(AW203*1000000+SUM(Y203,AQ203)*10000+SUM(S203,AK203)*100+SUM(M203,AE203)+0.001&gt;AS203*1000000+SUM(U203,AM203)*10000+SUM(O203,AG203)*100+SUM(I203,AA203)+0.005,1,0)=1,"I",IF(IF(AR203*1000000+SUM(T203,AL203)*10000+SUM(N203,AF203)*100+SUM(H203,Z203)+0.006&gt;AT203*1000000+SUM(V203,AN203)*10000+SUM(P203,AH203)*100+SUM(J203,AB203)+0.004,1,0)+IF(AS203*1000000+SUM(U203,AM203)*10000+SUM(O203,AG203)*100+SUM(I203,AA203)+0.005&gt;AT203*1000000+SUM(V203,AN203)*10000+SUM(P203,AH203)*100+SUM(J203,AB203)+0.004,1,0)+IF(AU203*1000000+SUM(W203,AO203)*10000+SUM(Q203,AI203)*100+SUM(K203,AC203)+0.003&gt;AT203*1000000+SUM(V203,AN203)*10000+SUM(P203,AH203)*100+SUM(J203,AB203)+0.004,1,0)+IF(AV203*1000000+SUM(X203,AP203)*10000+SUM(R203,AJ203)*100+SUM(L203,AD203)+0.002&gt;AT203*1000000+SUM(V203,AN203)*10000+SUM(P203,AH203)*100+SUM(J203,AB203)+0.004,1,0)+IF(AW203*1000000+SUM(Y203,AQ203)*10000+SUM(S203,AK203)*100+SUM(M203,AE203)+0.001&gt;AT203*1000000+SUM(V203,AN203)*10000+SUM(P203,AH203)*100+SUM(J203,AB203)+0.004,1,0)=1,"A",IF(IF(AR203*1000000+SUM(T203,AL203)*10000+SUM(N203,AF203)*100+SUM(H203,Z203)+0.006&gt;AU203*1000000+SUM(W203,AO203)*10000+SUM(Q203,AI203)*100+SUM(K203,AC203)+0.003,1,0)+IF(AS203*1000000+SUM(U203,AM203)*10000+SUM(O203,AG203)*100+SUM(I203,AA203)+0.005&gt;AU203*1000000+SUM(W203,AO203)*10000+SUM(Q203,AI203)*100+SUM(K203,AC203)+0.003,1,0)+IF(AT203*1000000+SUM(V203,AN203)*10000+SUM(P203,AH203)*100+SUM(J203,AB203)+0.004&gt;AU203*1000000+SUM(W203,AO203)*10000+SUM(Q203,AI203)*100+SUM(K203,AC203)+0.003,1,0)+IF(AV203*1000000+SUM(X203,AP203)*10000+SUM(R203,AJ203)*100+SUM(L203,AD203)+0.002&gt;AU203*1000000+SUM(W203,AO203)*10000+SUM(Q203,AI203)*100+SUM(K203,AC203)+0.003,1,0)+IF(AW203*1000000+SUM(Y203,AQ203)*10000+SUM(S203,AK203)*100+SUM(M203,AE203)+0.001&gt;AU203*1000000+SUM(W203,AO203)*10000+SUM(Q203,AI203)*100+SUM(K203,AC203)+0.003,1,0)=1,"S",IF(IF(AR203*1000000+SUM(T203,AL203)*10000+SUM(N203,AF203)*100+SUM(H203,Z203)+0.006&gt;AV203*1000000+SUM(X203,AP203)*10000+SUM(R203,AJ203)*100+SUM(L203,AD203)+0.002,1,0)+IF(AS203*1000000+SUM(U203,AM203)*10000+SUM(O203,AG203)*100+SUM(I203,AA203)+0.005&gt;AV203*1000000+SUM(X203,AP203)*10000+SUM(R203,AJ203)*100+SUM(L203,AD203)+0.002,1,0)+IF(AT203*1000000+SUM(V203,AN203)*10000+SUM(P203,AH203)*100+SUM(J203,AB203)+0.004&gt;AV203*1000000+SUM(X203,AP203)*10000+SUM(R203,AJ203)*100+SUM(L203,AD203)+0.002,1,0)+IF(AU203*1000000+SUM(W203,AO203)*10000+SUM(Q203,AI203)*100+SUM(K203,AC203)+0.003&gt;AV203*1000000+SUM(X203,AP203)*10000+SUM(R203,AJ203)*100+SUM(L203,AD203)+0.002,1,0)+IF(AW203*1000000+SUM(Y203,AQ203)*10000+SUM(S203,AK203)*100+SUM(M203,AE203)+0.001&gt;AV203*1000000+SUM(X203,AP203)*10000+SUM(R203,AJ203)*100+SUM(L203,AD203)+0.002,1,0)=1,"E",IF(IF(AR203*1000000+SUM(T203,AL203)*10000+SUM(N203,AF203)*100+SUM(H203,Z203)+0.006&gt;AW203*1000000+SUM(Y203,AQ203)*10000+SUM(S203,AK203)*100+SUM(M203,AE203)+0.001,1,0)+IF(AS203*1000000+SUM(U203,AM203)*10000+SUM(O203,AG203)*100+SUM(I203,AA203)+0.005&gt;AW203*1000000+SUM(Y203,AQ203)*10000+SUM(S203,AK203)*100+SUM(M203,AE203)+0.001,1,0)+IF(AT203*1000000+SUM(V203,AN203)*10000+SUM(P203,AH203)*100+SUM(J203,AB203)+0.004&gt;AW203*1000000+SUM(Y203,AQ203)*10000+SUM(S203,AK203)*100+SUM(M203,AE203)+0.001,1,0)+IF(AU203*1000000+SUM(W203,AO203)*10000+SUM(Q203,AI203)*100+SUM(K203,AC203)+0.003&gt;AW203*1000000+SUM(Y203,AQ203)*10000+SUM(S203,AK203)*100+SUM(M203,AE203)+0.001,1,0)+IF(AV203*1000000+SUM(X203,AP203)*10000+SUM(R203,AJ203)*100+SUM(L203,AD203)+0.002&gt;AW203*1000000+SUM(Y203,AQ203)*10000+SUM(S203,AK203)*100+SUM(M203,AE203)+0.001,1,0)=1,"C",""))))))&amp;IF(IF(AS203*1000000+SUM(U203,AM203)*10000+SUM(O203,AG203)*100+SUM(I203,AA203)+0.005&gt;AR203*1000000+SUM(T203,AL203)*10000+SUM(N203,AF203)*100+SUM(H203,Z203)+0.006,1,0)+IF(AT203*1000000+SUM(V203,AN203)*10000+SUM(P203,AH203)*100+SUM(J203,AB203)+0.004&gt;AR203*1000000+SUM(T203,AL203)*10000+SUM(N203,AF203)*100+SUM(H203,Z203)+0.006,1,0)+IF(AU203*1000000+SUM(W203,AO203)*10000+SUM(Q203,AI203)*100+SUM(K203,AC203)+0.003&gt;AR203*1000000+SUM(T203,AL203)*10000+SUM(N203,AF203)*100+SUM(H203,Z203)+0.006,1,0)+IF(AV203*1000000+SUM(X203,AP203)*10000+SUM(R203,AJ203)*100+SUM(L203,AD203)+0.002&gt;AR203*1000000+SUM(T203,AL203)*10000+SUM(N203,AF203)*100+SUM(H203,Z203)+0.006,1,0)+IF(AW203*1000000+SUM(Y203,AQ203)*10000+SUM(S203,AK203)*100+SUM(M203,AE203)+0.001&gt;AR203*1000000+SUM(T203,AL203)*10000+SUM(N203,AF203)*100+SUM(H203,Z203)+0.006,1,0)=2,"R",IF(IF(AR203*1000000+SUM(T203,AL203)*10000+SUM(N203,AF203)*100+SUM(H203,Z203)+0.006&gt;AS203*1000000+SUM(U203,AM203)*10000+SUM(O203,AG203)*100+SUM(I203,AA203)+0.005,1,0)+IF(AT203*1000000+SUM(V203,AN203)*10000+SUM(P203,AH203)*100+SUM(J203,AB203)+0.004&gt;AS203*1000000+SUM(U203,AM203)*10000+SUM(O203,AG203)*100+SUM(I203,AA203)+0.005,1,0)+IF(AU203*1000000+SUM(W203,AO203)*10000+SUM(Q203,AI203)*100+SUM(K203,AC203)+0.003&gt;AS203*1000000+SUM(U203,AM203)*10000+SUM(O203,AG203)*100+SUM(I203,AA203)+0.005,1,0)+IF(AV203*1000000+SUM(X203,AP203)*10000+SUM(R203,AJ203)*100+SUM(L203,AD203)+0.002&gt;AS203*1000000+SUM(U203,AM203)*10000+SUM(O203,AG203)*100+SUM(I203,AA203)+0.005,1,0)+IF(AW203*1000000+SUM(Y203,AQ203)*10000+SUM(S203,AK203)*100+SUM(M203,AE203)+0.001&gt;AS203*1000000+SUM(U203,AM203)*10000+SUM(O203,AG203)*100+SUM(I203,AA203)+0.005,1,0)=2,"I",IF(IF(AR203*1000000+SUM(T203,AL203)*10000+SUM(N203,AF203)*100+SUM(H203,Z203)+0.006&gt;AT203*1000000+SUM(V203,AN203)*10000+SUM(P203,AH203)*100+SUM(J203,AB203)+0.004,1,0)+IF(AS203*1000000+SUM(U203,AM203)*10000+SUM(O203,AG203)*100+SUM(I203,AA203)+0.005&gt;AT203*1000000+SUM(V203,AN203)*10000+SUM(P203,AH203)*100+SUM(J203,AB203)+0.004,1,0)+IF(AU203*1000000+SUM(W203,AO203)*10000+SUM(Q203,AI203)*100+SUM(K203,AC203)+0.003&gt;AT203*1000000+SUM(V203,AN203)*10000+SUM(P203,AH203)*100+SUM(J203,AB203)+0.004,1,0)+IF(AV203*1000000+SUM(X203,AP203)*10000+SUM(R203,AJ203)*100+SUM(L203,AD203)+0.002&gt;AT203*1000000+SUM(V203,AN203)*10000+SUM(P203,AH203)*100+SUM(J203,AB203)+0.004,1,0)+IF(AW203*1000000+SUM(Y203,AQ203)*10000+SUM(S203,AK203)*100+SUM(M203,AE203)+0.001&gt;AT203*1000000+SUM(V203,AN203)*10000+SUM(P203,AH203)*100+SUM(J203,AB203)+0.004,1,0)=2,"A",IF(IF(AR203*1000000+SUM(T203,AL203)*10000+SUM(N203,AF203)*100+SUM(H203,Z203)+0.006&gt;AU203*1000000+SUM(W203,AO203)*10000+SUM(Q203,AI203)*100+SUM(K203,AC203)+0.003,1,0)+IF(AS203*1000000+SUM(U203,AM203)*10000+SUM(O203,AG203)*100+SUM(I203,AA203)+0.005&gt;AU203*1000000+SUM(W203,AO203)*10000+SUM(Q203,AI203)*100+SUM(K203,AC203)+0.003,1,0)+IF(AT203*1000000+SUM(V203,AN203)*10000+SUM(P203,AH203)*100+SUM(J203,AB203)+0.004&gt;AU203*1000000+SUM(W203,AO203)*10000+SUM(Q203,AI203)*100+SUM(K203,AC203)+0.003,1,0)+IF(AV203*1000000+SUM(X203,AP203)*10000+SUM(R203,AJ203)*100+SUM(L203,AD203)+0.002&gt;AU203*1000000+SUM(W203,AO203)*10000+SUM(Q203,AI203)*100+SUM(K203,AC203)+0.003,1,0)+IF(AW203*1000000+SUM(Y203,AQ203)*10000+SUM(S203,AK203)*100+SUM(M203,AE203)+0.001&gt;AU203*1000000+SUM(W203,AO203)*10000+SUM(Q203,AI203)*100+SUM(K203,AC203)+0.003,1,0)=2,"S",IF(IF(AR203*1000000+SUM(T203,AL203)*10000+SUM(N203,AF203)*100+SUM(H203,Z203)+0.006&gt;AV203*1000000+SUM(X203,AP203)*10000+SUM(R203,AJ203)*100+SUM(L203,AD203)+0.002,1,0)+IF(AS203*1000000+SUM(U203,AM203)*10000+SUM(O203,AG203)*100+SUM(I203,AA203)+0.005&gt;AV203*1000000+SUM(X203,AP203)*10000+SUM(R203,AJ203)*100+SUM(L203,AD203)+0.002,1,0)+IF(AT203*1000000+SUM(V203,AN203)*10000+SUM(P203,AH203)*100+SUM(J203,AB203)+0.004&gt;AV203*1000000+SUM(X203,AP203)*10000+SUM(R203,AJ203)*100+SUM(L203,AD203)+0.002,1,0)+IF(AU203*1000000+SUM(W203,AO203)*10000+SUM(Q203,AI203)*100+SUM(K203,AC203)+0.003&gt;AV203*1000000+SUM(X203,AP203)*10000+SUM(R203,AJ203)*100+SUM(L203,AD203)+0.002,1,0)+IF(AW203*1000000+SUM(Y203,AQ203)*10000+SUM(S203,AK203)*100+SUM(M203,AE203)+0.001&gt;AV203*1000000+SUM(X203,AP203)*10000+SUM(R203,AJ203)*100+SUM(L203,AD203)+0.002,1,0)=2,"E",IF(IF(AR203*1000000+SUM(T203,AL203)*10000+SUM(N203,AF203)*100+SUM(H203,Z203)+0.006&gt;AW203*1000000+SUM(Y203,AQ203)*10000+SUM(S203,AK203)*100+SUM(M203,AE203)+0.001,1,0)+IF(AS203*1000000+SUM(U203,AM203)*10000+SUM(O203,AG203)*100+SUM(I203,AA203)+0.005&gt;AW203*1000000+SUM(Y203,AQ203)*10000+SUM(S203,AK203)*100+SUM(M203,AE203)+0.001,1,0)+IF(AT203*1000000+SUM(V203,AN203)*10000+SUM(P203,AH203)*100+SUM(J203,AB203)+0.004&gt;AW203*1000000+SUM(Y203,AQ203)*10000+SUM(S203,AK203)*100+SUM(M203,AE203)+0.001,1,0)+IF(AU203*1000000+SUM(W203,AO203)*10000+SUM(Q203,AI203)*100+SUM(K203,AC203)+0.003&gt;AW203*1000000+SUM(Y203,AQ203)*10000+SUM(S203,AK203)*100+SUM(M203,AE203)+0.001,1,0)+IF(AV203*1000000+SUM(X203,AP203)*10000+SUM(R203,AJ203)*100+SUM(L203,AD203)+0.002&gt;AW203*1000000+SUM(Y203,AQ203)*10000+SUM(S203,AK203)*100+SUM(M203,AE203)+0.001,1,0)=2,"C","")))))))</x:f>
      </x:c>
      <x:c r="AY203" s="27" t="str">
        <x:f>IF(C203="","",IF(LEFT(AX203,1)="R","นักปฏิบัติ",IF(LEFT(AX203,1)="I","นักคิดวิเคราะห์",IF(LEFT(AX203,1)="A","นักสร้างสรรค์",IF(LEFT(AX203,1)="S","ผู้เข้าใจผู้คน",IF(LEFT(AX203,1)="E","ผู้นำการเปลี่ยนแปลง","ผู้จัดระบบ"))))))</x:f>
      </x:c>
    </x:row>
    <x:row r="204">
      <x:c r="A204" s="27"/>
      <x:c r="B204" s="28"/>
      <x:c r="C204" s="27"/>
      <x:c r="D204" s="27"/>
      <x:c r="E204" s="27"/>
      <x:c r="F204" s="27"/>
      <x:c r="G204" s="27"/>
      <x:c r="H204" s="27"/>
      <x:c r="I204" s="27"/>
      <x:c r="J204" s="27"/>
      <x:c r="K204" s="27"/>
      <x:c r="L204" s="27"/>
      <x:c r="M204" s="27"/>
      <x:c r="N204" s="27"/>
      <x:c r="O204" s="27"/>
      <x:c r="P204" s="27"/>
      <x:c r="Q204" s="27"/>
      <x:c r="R204" s="27"/>
      <x:c r="S204" s="27"/>
      <x:c r="T204" s="27"/>
      <x:c r="U204" s="27"/>
      <x:c r="V204" s="27"/>
      <x:c r="W204" s="27"/>
      <x:c r="X204" s="27"/>
      <x:c r="Y204" s="27"/>
      <x:c r="Z204" s="27"/>
      <x:c r="AA204" s="27"/>
      <x:c r="AB204" s="27"/>
      <x:c r="AC204" s="27"/>
      <x:c r="AD204" s="27"/>
      <x:c r="AE204" s="27"/>
      <x:c r="AF204" s="27"/>
      <x:c r="AG204" s="27"/>
      <x:c r="AH204" s="27"/>
      <x:c r="AI204" s="27"/>
      <x:c r="AJ204" s="27"/>
      <x:c r="AK204" s="27"/>
      <x:c r="AL204" s="27"/>
      <x:c r="AM204" s="27"/>
      <x:c r="AN204" s="27"/>
      <x:c r="AO204" s="27"/>
      <x:c r="AP204" s="27"/>
      <x:c r="AQ204" s="27"/>
      <x:c r="AR204" s="27" t="str">
        <x:f>IF(C204="","",SUM(H204,N204,T204,Z204,AF204,AL204))</x:f>
      </x:c>
      <x:c r="AS204" s="27" t="str">
        <x:f>IF(C204="","",SUM(I204,O204,U204,AA204,AG204,AM204))</x:f>
      </x:c>
      <x:c r="AT204" s="27" t="str">
        <x:f>IF(C204="","",SUM(J204,P204,V204,AB204,AH204,AN204))</x:f>
      </x:c>
      <x:c r="AU204" s="27" t="str">
        <x:f>IF(C204="","",SUM(K204,Q204,W204,AC204,AI204,AO204))</x:f>
      </x:c>
      <x:c r="AV204" s="27" t="str">
        <x:f>IF(C204="","",SUM(L204,R204,X204,AD204,AJ204,AP204))</x:f>
      </x:c>
      <x:c r="AW204" s="27" t="str">
        <x:f>IF(C204="","",SUM(M204,S204,Y204,AE204,AK204,AQ204))</x:f>
      </x:c>
      <x:c r="AX204" s="27" t="str">
        <x:f>IF(C204="","",IF(IF(AS204*1000000+SUM(U204,AM204)*10000+SUM(O204,AG204)*100+SUM(I204,AA204)+0.005&gt;AR204*1000000+SUM(T204,AL204)*10000+SUM(N204,AF204)*100+SUM(H204,Z204)+0.006,1,0)+IF(AT204*1000000+SUM(V204,AN204)*10000+SUM(P204,AH204)*100+SUM(J204,AB204)+0.004&gt;AR204*1000000+SUM(T204,AL204)*10000+SUM(N204,AF204)*100+SUM(H204,Z204)+0.006,1,0)+IF(AU204*1000000+SUM(W204,AO204)*10000+SUM(Q204,AI204)*100+SUM(K204,AC204)+0.003&gt;AR204*1000000+SUM(T204,AL204)*10000+SUM(N204,AF204)*100+SUM(H204,Z204)+0.006,1,0)+IF(AV204*1000000+SUM(X204,AP204)*10000+SUM(R204,AJ204)*100+SUM(L204,AD204)+0.002&gt;AR204*1000000+SUM(T204,AL204)*10000+SUM(N204,AF204)*100+SUM(H204,Z204)+0.006,1,0)+IF(AW204*1000000+SUM(Y204,AQ204)*10000+SUM(S204,AK204)*100+SUM(M204,AE204)+0.001&gt;AR204*1000000+SUM(T204,AL204)*10000+SUM(N204,AF204)*100+SUM(H204,Z204)+0.006,1,0)=0,"R",IF(IF(AR204*1000000+SUM(T204,AL204)*10000+SUM(N204,AF204)*100+SUM(H204,Z204)+0.006&gt;AS204*1000000+SUM(U204,AM204)*10000+SUM(O204,AG204)*100+SUM(I204,AA204)+0.005,1,0)+IF(AT204*1000000+SUM(V204,AN204)*10000+SUM(P204,AH204)*100+SUM(J204,AB204)+0.004&gt;AS204*1000000+SUM(U204,AM204)*10000+SUM(O204,AG204)*100+SUM(I204,AA204)+0.005,1,0)+IF(AU204*1000000+SUM(W204,AO204)*10000+SUM(Q204,AI204)*100+SUM(K204,AC204)+0.003&gt;AS204*1000000+SUM(U204,AM204)*10000+SUM(O204,AG204)*100+SUM(I204,AA204)+0.005,1,0)+IF(AV204*1000000+SUM(X204,AP204)*10000+SUM(R204,AJ204)*100+SUM(L204,AD204)+0.002&gt;AS204*1000000+SUM(U204,AM204)*10000+SUM(O204,AG204)*100+SUM(I204,AA204)+0.005,1,0)+IF(AW204*1000000+SUM(Y204,AQ204)*10000+SUM(S204,AK204)*100+SUM(M204,AE204)+0.001&gt;AS204*1000000+SUM(U204,AM204)*10000+SUM(O204,AG204)*100+SUM(I204,AA204)+0.005,1,0)=0,"I",IF(IF(AR204*1000000+SUM(T204,AL204)*10000+SUM(N204,AF204)*100+SUM(H204,Z204)+0.006&gt;AT204*1000000+SUM(V204,AN204)*10000+SUM(P204,AH204)*100+SUM(J204,AB204)+0.004,1,0)+IF(AS204*1000000+SUM(U204,AM204)*10000+SUM(O204,AG204)*100+SUM(I204,AA204)+0.005&gt;AT204*1000000+SUM(V204,AN204)*10000+SUM(P204,AH204)*100+SUM(J204,AB204)+0.004,1,0)+IF(AU204*1000000+SUM(W204,AO204)*10000+SUM(Q204,AI204)*100+SUM(K204,AC204)+0.003&gt;AT204*1000000+SUM(V204,AN204)*10000+SUM(P204,AH204)*100+SUM(J204,AB204)+0.004,1,0)+IF(AV204*1000000+SUM(X204,AP204)*10000+SUM(R204,AJ204)*100+SUM(L204,AD204)+0.002&gt;AT204*1000000+SUM(V204,AN204)*10000+SUM(P204,AH204)*100+SUM(J204,AB204)+0.004,1,0)+IF(AW204*1000000+SUM(Y204,AQ204)*10000+SUM(S204,AK204)*100+SUM(M204,AE204)+0.001&gt;AT204*1000000+SUM(V204,AN204)*10000+SUM(P204,AH204)*100+SUM(J204,AB204)+0.004,1,0)=0,"A",IF(IF(AR204*1000000+SUM(T204,AL204)*10000+SUM(N204,AF204)*100+SUM(H204,Z204)+0.006&gt;AU204*1000000+SUM(W204,AO204)*10000+SUM(Q204,AI204)*100+SUM(K204,AC204)+0.003,1,0)+IF(AS204*1000000+SUM(U204,AM204)*10000+SUM(O204,AG204)*100+SUM(I204,AA204)+0.005&gt;AU204*1000000+SUM(W204,AO204)*10000+SUM(Q204,AI204)*100+SUM(K204,AC204)+0.003,1,0)+IF(AT204*1000000+SUM(V204,AN204)*10000+SUM(P204,AH204)*100+SUM(J204,AB204)+0.004&gt;AU204*1000000+SUM(W204,AO204)*10000+SUM(Q204,AI204)*100+SUM(K204,AC204)+0.003,1,0)+IF(AV204*1000000+SUM(X204,AP204)*10000+SUM(R204,AJ204)*100+SUM(L204,AD204)+0.002&gt;AU204*1000000+SUM(W204,AO204)*10000+SUM(Q204,AI204)*100+SUM(K204,AC204)+0.003,1,0)+IF(AW204*1000000+SUM(Y204,AQ204)*10000+SUM(S204,AK204)*100+SUM(M204,AE204)+0.001&gt;AU204*1000000+SUM(W204,AO204)*10000+SUM(Q204,AI204)*100+SUM(K204,AC204)+0.003,1,0)=0,"S",IF(IF(AR204*1000000+SUM(T204,AL204)*10000+SUM(N204,AF204)*100+SUM(H204,Z204)+0.006&gt;AV204*1000000+SUM(X204,AP204)*10000+SUM(R204,AJ204)*100+SUM(L204,AD204)+0.002,1,0)+IF(AS204*1000000+SUM(U204,AM204)*10000+SUM(O204,AG204)*100+SUM(I204,AA204)+0.005&gt;AV204*1000000+SUM(X204,AP204)*10000+SUM(R204,AJ204)*100+SUM(L204,AD204)+0.002,1,0)+IF(AT204*1000000+SUM(V204,AN204)*10000+SUM(P204,AH204)*100+SUM(J204,AB204)+0.004&gt;AV204*1000000+SUM(X204,AP204)*10000+SUM(R204,AJ204)*100+SUM(L204,AD204)+0.002,1,0)+IF(AU204*1000000+SUM(W204,AO204)*10000+SUM(Q204,AI204)*100+SUM(K204,AC204)+0.003&gt;AV204*1000000+SUM(X204,AP204)*10000+SUM(R204,AJ204)*100+SUM(L204,AD204)+0.002,1,0)+IF(AW204*1000000+SUM(Y204,AQ204)*10000+SUM(S204,AK204)*100+SUM(M204,AE204)+0.001&gt;AV204*1000000+SUM(X204,AP204)*10000+SUM(R204,AJ204)*100+SUM(L204,AD204)+0.002,1,0)=0,"E",IF(IF(AR204*1000000+SUM(T204,AL204)*10000+SUM(N204,AF204)*100+SUM(H204,Z204)+0.006&gt;AW204*1000000+SUM(Y204,AQ204)*10000+SUM(S204,AK204)*100+SUM(M204,AE204)+0.001,1,0)+IF(AS204*1000000+SUM(U204,AM204)*10000+SUM(O204,AG204)*100+SUM(I204,AA204)+0.005&gt;AW204*1000000+SUM(Y204,AQ204)*10000+SUM(S204,AK204)*100+SUM(M204,AE204)+0.001,1,0)+IF(AT204*1000000+SUM(V204,AN204)*10000+SUM(P204,AH204)*100+SUM(J204,AB204)+0.004&gt;AW204*1000000+SUM(Y204,AQ204)*10000+SUM(S204,AK204)*100+SUM(M204,AE204)+0.001,1,0)+IF(AU204*1000000+SUM(W204,AO204)*10000+SUM(Q204,AI204)*100+SUM(K204,AC204)+0.003&gt;AW204*1000000+SUM(Y204,AQ204)*10000+SUM(S204,AK204)*100+SUM(M204,AE204)+0.001,1,0)+IF(AV204*1000000+SUM(X204,AP204)*10000+SUM(R204,AJ204)*100+SUM(L204,AD204)+0.002&gt;AW204*1000000+SUM(Y204,AQ204)*10000+SUM(S204,AK204)*100+SUM(M204,AE204)+0.001,1,0)=0,"C",""))))))&amp;IF(IF(AS204*1000000+SUM(U204,AM204)*10000+SUM(O204,AG204)*100+SUM(I204,AA204)+0.005&gt;AR204*1000000+SUM(T204,AL204)*10000+SUM(N204,AF204)*100+SUM(H204,Z204)+0.006,1,0)+IF(AT204*1000000+SUM(V204,AN204)*10000+SUM(P204,AH204)*100+SUM(J204,AB204)+0.004&gt;AR204*1000000+SUM(T204,AL204)*10000+SUM(N204,AF204)*100+SUM(H204,Z204)+0.006,1,0)+IF(AU204*1000000+SUM(W204,AO204)*10000+SUM(Q204,AI204)*100+SUM(K204,AC204)+0.003&gt;AR204*1000000+SUM(T204,AL204)*10000+SUM(N204,AF204)*100+SUM(H204,Z204)+0.006,1,0)+IF(AV204*1000000+SUM(X204,AP204)*10000+SUM(R204,AJ204)*100+SUM(L204,AD204)+0.002&gt;AR204*1000000+SUM(T204,AL204)*10000+SUM(N204,AF204)*100+SUM(H204,Z204)+0.006,1,0)+IF(AW204*1000000+SUM(Y204,AQ204)*10000+SUM(S204,AK204)*100+SUM(M204,AE204)+0.001&gt;AR204*1000000+SUM(T204,AL204)*10000+SUM(N204,AF204)*100+SUM(H204,Z204)+0.006,1,0)=1,"R",IF(IF(AR204*1000000+SUM(T204,AL204)*10000+SUM(N204,AF204)*100+SUM(H204,Z204)+0.006&gt;AS204*1000000+SUM(U204,AM204)*10000+SUM(O204,AG204)*100+SUM(I204,AA204)+0.005,1,0)+IF(AT204*1000000+SUM(V204,AN204)*10000+SUM(P204,AH204)*100+SUM(J204,AB204)+0.004&gt;AS204*1000000+SUM(U204,AM204)*10000+SUM(O204,AG204)*100+SUM(I204,AA204)+0.005,1,0)+IF(AU204*1000000+SUM(W204,AO204)*10000+SUM(Q204,AI204)*100+SUM(K204,AC204)+0.003&gt;AS204*1000000+SUM(U204,AM204)*10000+SUM(O204,AG204)*100+SUM(I204,AA204)+0.005,1,0)+IF(AV204*1000000+SUM(X204,AP204)*10000+SUM(R204,AJ204)*100+SUM(L204,AD204)+0.002&gt;AS204*1000000+SUM(U204,AM204)*10000+SUM(O204,AG204)*100+SUM(I204,AA204)+0.005,1,0)+IF(AW204*1000000+SUM(Y204,AQ204)*10000+SUM(S204,AK204)*100+SUM(M204,AE204)+0.001&gt;AS204*1000000+SUM(U204,AM204)*10000+SUM(O204,AG204)*100+SUM(I204,AA204)+0.005,1,0)=1,"I",IF(IF(AR204*1000000+SUM(T204,AL204)*10000+SUM(N204,AF204)*100+SUM(H204,Z204)+0.006&gt;AT204*1000000+SUM(V204,AN204)*10000+SUM(P204,AH204)*100+SUM(J204,AB204)+0.004,1,0)+IF(AS204*1000000+SUM(U204,AM204)*10000+SUM(O204,AG204)*100+SUM(I204,AA204)+0.005&gt;AT204*1000000+SUM(V204,AN204)*10000+SUM(P204,AH204)*100+SUM(J204,AB204)+0.004,1,0)+IF(AU204*1000000+SUM(W204,AO204)*10000+SUM(Q204,AI204)*100+SUM(K204,AC204)+0.003&gt;AT204*1000000+SUM(V204,AN204)*10000+SUM(P204,AH204)*100+SUM(J204,AB204)+0.004,1,0)+IF(AV204*1000000+SUM(X204,AP204)*10000+SUM(R204,AJ204)*100+SUM(L204,AD204)+0.002&gt;AT204*1000000+SUM(V204,AN204)*10000+SUM(P204,AH204)*100+SUM(J204,AB204)+0.004,1,0)+IF(AW204*1000000+SUM(Y204,AQ204)*10000+SUM(S204,AK204)*100+SUM(M204,AE204)+0.001&gt;AT204*1000000+SUM(V204,AN204)*10000+SUM(P204,AH204)*100+SUM(J204,AB204)+0.004,1,0)=1,"A",IF(IF(AR204*1000000+SUM(T204,AL204)*10000+SUM(N204,AF204)*100+SUM(H204,Z204)+0.006&gt;AU204*1000000+SUM(W204,AO204)*10000+SUM(Q204,AI204)*100+SUM(K204,AC204)+0.003,1,0)+IF(AS204*1000000+SUM(U204,AM204)*10000+SUM(O204,AG204)*100+SUM(I204,AA204)+0.005&gt;AU204*1000000+SUM(W204,AO204)*10000+SUM(Q204,AI204)*100+SUM(K204,AC204)+0.003,1,0)+IF(AT204*1000000+SUM(V204,AN204)*10000+SUM(P204,AH204)*100+SUM(J204,AB204)+0.004&gt;AU204*1000000+SUM(W204,AO204)*10000+SUM(Q204,AI204)*100+SUM(K204,AC204)+0.003,1,0)+IF(AV204*1000000+SUM(X204,AP204)*10000+SUM(R204,AJ204)*100+SUM(L204,AD204)+0.002&gt;AU204*1000000+SUM(W204,AO204)*10000+SUM(Q204,AI204)*100+SUM(K204,AC204)+0.003,1,0)+IF(AW204*1000000+SUM(Y204,AQ204)*10000+SUM(S204,AK204)*100+SUM(M204,AE204)+0.001&gt;AU204*1000000+SUM(W204,AO204)*10000+SUM(Q204,AI204)*100+SUM(K204,AC204)+0.003,1,0)=1,"S",IF(IF(AR204*1000000+SUM(T204,AL204)*10000+SUM(N204,AF204)*100+SUM(H204,Z204)+0.006&gt;AV204*1000000+SUM(X204,AP204)*10000+SUM(R204,AJ204)*100+SUM(L204,AD204)+0.002,1,0)+IF(AS204*1000000+SUM(U204,AM204)*10000+SUM(O204,AG204)*100+SUM(I204,AA204)+0.005&gt;AV204*1000000+SUM(X204,AP204)*10000+SUM(R204,AJ204)*100+SUM(L204,AD204)+0.002,1,0)+IF(AT204*1000000+SUM(V204,AN204)*10000+SUM(P204,AH204)*100+SUM(J204,AB204)+0.004&gt;AV204*1000000+SUM(X204,AP204)*10000+SUM(R204,AJ204)*100+SUM(L204,AD204)+0.002,1,0)+IF(AU204*1000000+SUM(W204,AO204)*10000+SUM(Q204,AI204)*100+SUM(K204,AC204)+0.003&gt;AV204*1000000+SUM(X204,AP204)*10000+SUM(R204,AJ204)*100+SUM(L204,AD204)+0.002,1,0)+IF(AW204*1000000+SUM(Y204,AQ204)*10000+SUM(S204,AK204)*100+SUM(M204,AE204)+0.001&gt;AV204*1000000+SUM(X204,AP204)*10000+SUM(R204,AJ204)*100+SUM(L204,AD204)+0.002,1,0)=1,"E",IF(IF(AR204*1000000+SUM(T204,AL204)*10000+SUM(N204,AF204)*100+SUM(H204,Z204)+0.006&gt;AW204*1000000+SUM(Y204,AQ204)*10000+SUM(S204,AK204)*100+SUM(M204,AE204)+0.001,1,0)+IF(AS204*1000000+SUM(U204,AM204)*10000+SUM(O204,AG204)*100+SUM(I204,AA204)+0.005&gt;AW204*1000000+SUM(Y204,AQ204)*10000+SUM(S204,AK204)*100+SUM(M204,AE204)+0.001,1,0)+IF(AT204*1000000+SUM(V204,AN204)*10000+SUM(P204,AH204)*100+SUM(J204,AB204)+0.004&gt;AW204*1000000+SUM(Y204,AQ204)*10000+SUM(S204,AK204)*100+SUM(M204,AE204)+0.001,1,0)+IF(AU204*1000000+SUM(W204,AO204)*10000+SUM(Q204,AI204)*100+SUM(K204,AC204)+0.003&gt;AW204*1000000+SUM(Y204,AQ204)*10000+SUM(S204,AK204)*100+SUM(M204,AE204)+0.001,1,0)+IF(AV204*1000000+SUM(X204,AP204)*10000+SUM(R204,AJ204)*100+SUM(L204,AD204)+0.002&gt;AW204*1000000+SUM(Y204,AQ204)*10000+SUM(S204,AK204)*100+SUM(M204,AE204)+0.001,1,0)=1,"C",""))))))&amp;IF(IF(AS204*1000000+SUM(U204,AM204)*10000+SUM(O204,AG204)*100+SUM(I204,AA204)+0.005&gt;AR204*1000000+SUM(T204,AL204)*10000+SUM(N204,AF204)*100+SUM(H204,Z204)+0.006,1,0)+IF(AT204*1000000+SUM(V204,AN204)*10000+SUM(P204,AH204)*100+SUM(J204,AB204)+0.004&gt;AR204*1000000+SUM(T204,AL204)*10000+SUM(N204,AF204)*100+SUM(H204,Z204)+0.006,1,0)+IF(AU204*1000000+SUM(W204,AO204)*10000+SUM(Q204,AI204)*100+SUM(K204,AC204)+0.003&gt;AR204*1000000+SUM(T204,AL204)*10000+SUM(N204,AF204)*100+SUM(H204,Z204)+0.006,1,0)+IF(AV204*1000000+SUM(X204,AP204)*10000+SUM(R204,AJ204)*100+SUM(L204,AD204)+0.002&gt;AR204*1000000+SUM(T204,AL204)*10000+SUM(N204,AF204)*100+SUM(H204,Z204)+0.006,1,0)+IF(AW204*1000000+SUM(Y204,AQ204)*10000+SUM(S204,AK204)*100+SUM(M204,AE204)+0.001&gt;AR204*1000000+SUM(T204,AL204)*10000+SUM(N204,AF204)*100+SUM(H204,Z204)+0.006,1,0)=2,"R",IF(IF(AR204*1000000+SUM(T204,AL204)*10000+SUM(N204,AF204)*100+SUM(H204,Z204)+0.006&gt;AS204*1000000+SUM(U204,AM204)*10000+SUM(O204,AG204)*100+SUM(I204,AA204)+0.005,1,0)+IF(AT204*1000000+SUM(V204,AN204)*10000+SUM(P204,AH204)*100+SUM(J204,AB204)+0.004&gt;AS204*1000000+SUM(U204,AM204)*10000+SUM(O204,AG204)*100+SUM(I204,AA204)+0.005,1,0)+IF(AU204*1000000+SUM(W204,AO204)*10000+SUM(Q204,AI204)*100+SUM(K204,AC204)+0.003&gt;AS204*1000000+SUM(U204,AM204)*10000+SUM(O204,AG204)*100+SUM(I204,AA204)+0.005,1,0)+IF(AV204*1000000+SUM(X204,AP204)*10000+SUM(R204,AJ204)*100+SUM(L204,AD204)+0.002&gt;AS204*1000000+SUM(U204,AM204)*10000+SUM(O204,AG204)*100+SUM(I204,AA204)+0.005,1,0)+IF(AW204*1000000+SUM(Y204,AQ204)*10000+SUM(S204,AK204)*100+SUM(M204,AE204)+0.001&gt;AS204*1000000+SUM(U204,AM204)*10000+SUM(O204,AG204)*100+SUM(I204,AA204)+0.005,1,0)=2,"I",IF(IF(AR204*1000000+SUM(T204,AL204)*10000+SUM(N204,AF204)*100+SUM(H204,Z204)+0.006&gt;AT204*1000000+SUM(V204,AN204)*10000+SUM(P204,AH204)*100+SUM(J204,AB204)+0.004,1,0)+IF(AS204*1000000+SUM(U204,AM204)*10000+SUM(O204,AG204)*100+SUM(I204,AA204)+0.005&gt;AT204*1000000+SUM(V204,AN204)*10000+SUM(P204,AH204)*100+SUM(J204,AB204)+0.004,1,0)+IF(AU204*1000000+SUM(W204,AO204)*10000+SUM(Q204,AI204)*100+SUM(K204,AC204)+0.003&gt;AT204*1000000+SUM(V204,AN204)*10000+SUM(P204,AH204)*100+SUM(J204,AB204)+0.004,1,0)+IF(AV204*1000000+SUM(X204,AP204)*10000+SUM(R204,AJ204)*100+SUM(L204,AD204)+0.002&gt;AT204*1000000+SUM(V204,AN204)*10000+SUM(P204,AH204)*100+SUM(J204,AB204)+0.004,1,0)+IF(AW204*1000000+SUM(Y204,AQ204)*10000+SUM(S204,AK204)*100+SUM(M204,AE204)+0.001&gt;AT204*1000000+SUM(V204,AN204)*10000+SUM(P204,AH204)*100+SUM(J204,AB204)+0.004,1,0)=2,"A",IF(IF(AR204*1000000+SUM(T204,AL204)*10000+SUM(N204,AF204)*100+SUM(H204,Z204)+0.006&gt;AU204*1000000+SUM(W204,AO204)*10000+SUM(Q204,AI204)*100+SUM(K204,AC204)+0.003,1,0)+IF(AS204*1000000+SUM(U204,AM204)*10000+SUM(O204,AG204)*100+SUM(I204,AA204)+0.005&gt;AU204*1000000+SUM(W204,AO204)*10000+SUM(Q204,AI204)*100+SUM(K204,AC204)+0.003,1,0)+IF(AT204*1000000+SUM(V204,AN204)*10000+SUM(P204,AH204)*100+SUM(J204,AB204)+0.004&gt;AU204*1000000+SUM(W204,AO204)*10000+SUM(Q204,AI204)*100+SUM(K204,AC204)+0.003,1,0)+IF(AV204*1000000+SUM(X204,AP204)*10000+SUM(R204,AJ204)*100+SUM(L204,AD204)+0.002&gt;AU204*1000000+SUM(W204,AO204)*10000+SUM(Q204,AI204)*100+SUM(K204,AC204)+0.003,1,0)+IF(AW204*1000000+SUM(Y204,AQ204)*10000+SUM(S204,AK204)*100+SUM(M204,AE204)+0.001&gt;AU204*1000000+SUM(W204,AO204)*10000+SUM(Q204,AI204)*100+SUM(K204,AC204)+0.003,1,0)=2,"S",IF(IF(AR204*1000000+SUM(T204,AL204)*10000+SUM(N204,AF204)*100+SUM(H204,Z204)+0.006&gt;AV204*1000000+SUM(X204,AP204)*10000+SUM(R204,AJ204)*100+SUM(L204,AD204)+0.002,1,0)+IF(AS204*1000000+SUM(U204,AM204)*10000+SUM(O204,AG204)*100+SUM(I204,AA204)+0.005&gt;AV204*1000000+SUM(X204,AP204)*10000+SUM(R204,AJ204)*100+SUM(L204,AD204)+0.002,1,0)+IF(AT204*1000000+SUM(V204,AN204)*10000+SUM(P204,AH204)*100+SUM(J204,AB204)+0.004&gt;AV204*1000000+SUM(X204,AP204)*10000+SUM(R204,AJ204)*100+SUM(L204,AD204)+0.002,1,0)+IF(AU204*1000000+SUM(W204,AO204)*10000+SUM(Q204,AI204)*100+SUM(K204,AC204)+0.003&gt;AV204*1000000+SUM(X204,AP204)*10000+SUM(R204,AJ204)*100+SUM(L204,AD204)+0.002,1,0)+IF(AW204*1000000+SUM(Y204,AQ204)*10000+SUM(S204,AK204)*100+SUM(M204,AE204)+0.001&gt;AV204*1000000+SUM(X204,AP204)*10000+SUM(R204,AJ204)*100+SUM(L204,AD204)+0.002,1,0)=2,"E",IF(IF(AR204*1000000+SUM(T204,AL204)*10000+SUM(N204,AF204)*100+SUM(H204,Z204)+0.006&gt;AW204*1000000+SUM(Y204,AQ204)*10000+SUM(S204,AK204)*100+SUM(M204,AE204)+0.001,1,0)+IF(AS204*1000000+SUM(U204,AM204)*10000+SUM(O204,AG204)*100+SUM(I204,AA204)+0.005&gt;AW204*1000000+SUM(Y204,AQ204)*10000+SUM(S204,AK204)*100+SUM(M204,AE204)+0.001,1,0)+IF(AT204*1000000+SUM(V204,AN204)*10000+SUM(P204,AH204)*100+SUM(J204,AB204)+0.004&gt;AW204*1000000+SUM(Y204,AQ204)*10000+SUM(S204,AK204)*100+SUM(M204,AE204)+0.001,1,0)+IF(AU204*1000000+SUM(W204,AO204)*10000+SUM(Q204,AI204)*100+SUM(K204,AC204)+0.003&gt;AW204*1000000+SUM(Y204,AQ204)*10000+SUM(S204,AK204)*100+SUM(M204,AE204)+0.001,1,0)+IF(AV204*1000000+SUM(X204,AP204)*10000+SUM(R204,AJ204)*100+SUM(L204,AD204)+0.002&gt;AW204*1000000+SUM(Y204,AQ204)*10000+SUM(S204,AK204)*100+SUM(M204,AE204)+0.001,1,0)=2,"C","")))))))</x:f>
      </x:c>
      <x:c r="AY204" s="27" t="str">
        <x:f>IF(C204="","",IF(LEFT(AX204,1)="R","นักปฏิบัติ",IF(LEFT(AX204,1)="I","นักคิดวิเคราะห์",IF(LEFT(AX204,1)="A","นักสร้างสรรค์",IF(LEFT(AX204,1)="S","ผู้เข้าใจผู้คน",IF(LEFT(AX204,1)="E","ผู้นำการเปลี่ยนแปลง","ผู้จัดระบบ"))))))</x:f>
      </x:c>
    </x:row>
    <x:row r="205">
      <x:c r="A205" s="27"/>
      <x:c r="B205" s="28"/>
      <x:c r="C205" s="27"/>
      <x:c r="D205" s="27"/>
      <x:c r="E205" s="27"/>
      <x:c r="F205" s="27"/>
      <x:c r="G205" s="27"/>
      <x:c r="H205" s="27"/>
      <x:c r="I205" s="27"/>
      <x:c r="J205" s="27"/>
      <x:c r="K205" s="27"/>
      <x:c r="L205" s="27"/>
      <x:c r="M205" s="27"/>
      <x:c r="N205" s="27"/>
      <x:c r="O205" s="27"/>
      <x:c r="P205" s="27"/>
      <x:c r="Q205" s="27"/>
      <x:c r="R205" s="27"/>
      <x:c r="S205" s="27"/>
      <x:c r="T205" s="27"/>
      <x:c r="U205" s="27"/>
      <x:c r="V205" s="27"/>
      <x:c r="W205" s="27"/>
      <x:c r="X205" s="27"/>
      <x:c r="Y205" s="27"/>
      <x:c r="Z205" s="27"/>
      <x:c r="AA205" s="27"/>
      <x:c r="AB205" s="27"/>
      <x:c r="AC205" s="27"/>
      <x:c r="AD205" s="27"/>
      <x:c r="AE205" s="27"/>
      <x:c r="AF205" s="27"/>
      <x:c r="AG205" s="27"/>
      <x:c r="AH205" s="27"/>
      <x:c r="AI205" s="27"/>
      <x:c r="AJ205" s="27"/>
      <x:c r="AK205" s="27"/>
      <x:c r="AL205" s="27"/>
      <x:c r="AM205" s="27"/>
      <x:c r="AN205" s="27"/>
      <x:c r="AO205" s="27"/>
      <x:c r="AP205" s="27"/>
      <x:c r="AQ205" s="27"/>
      <x:c r="AR205" s="27" t="str">
        <x:f>IF(C205="","",SUM(H205,N205,T205,Z205,AF205,AL205))</x:f>
      </x:c>
      <x:c r="AS205" s="27" t="str">
        <x:f>IF(C205="","",SUM(I205,O205,U205,AA205,AG205,AM205))</x:f>
      </x:c>
      <x:c r="AT205" s="27" t="str">
        <x:f>IF(C205="","",SUM(J205,P205,V205,AB205,AH205,AN205))</x:f>
      </x:c>
      <x:c r="AU205" s="27" t="str">
        <x:f>IF(C205="","",SUM(K205,Q205,W205,AC205,AI205,AO205))</x:f>
      </x:c>
      <x:c r="AV205" s="27" t="str">
        <x:f>IF(C205="","",SUM(L205,R205,X205,AD205,AJ205,AP205))</x:f>
      </x:c>
      <x:c r="AW205" s="27" t="str">
        <x:f>IF(C205="","",SUM(M205,S205,Y205,AE205,AK205,AQ205))</x:f>
      </x:c>
      <x:c r="AX205" s="27" t="str">
        <x:f>IF(C205="","",IF(IF(AS205*1000000+SUM(U205,AM205)*10000+SUM(O205,AG205)*100+SUM(I205,AA205)+0.005&gt;AR205*1000000+SUM(T205,AL205)*10000+SUM(N205,AF205)*100+SUM(H205,Z205)+0.006,1,0)+IF(AT205*1000000+SUM(V205,AN205)*10000+SUM(P205,AH205)*100+SUM(J205,AB205)+0.004&gt;AR205*1000000+SUM(T205,AL205)*10000+SUM(N205,AF205)*100+SUM(H205,Z205)+0.006,1,0)+IF(AU205*1000000+SUM(W205,AO205)*10000+SUM(Q205,AI205)*100+SUM(K205,AC205)+0.003&gt;AR205*1000000+SUM(T205,AL205)*10000+SUM(N205,AF205)*100+SUM(H205,Z205)+0.006,1,0)+IF(AV205*1000000+SUM(X205,AP205)*10000+SUM(R205,AJ205)*100+SUM(L205,AD205)+0.002&gt;AR205*1000000+SUM(T205,AL205)*10000+SUM(N205,AF205)*100+SUM(H205,Z205)+0.006,1,0)+IF(AW205*1000000+SUM(Y205,AQ205)*10000+SUM(S205,AK205)*100+SUM(M205,AE205)+0.001&gt;AR205*1000000+SUM(T205,AL205)*10000+SUM(N205,AF205)*100+SUM(H205,Z205)+0.006,1,0)=0,"R",IF(IF(AR205*1000000+SUM(T205,AL205)*10000+SUM(N205,AF205)*100+SUM(H205,Z205)+0.006&gt;AS205*1000000+SUM(U205,AM205)*10000+SUM(O205,AG205)*100+SUM(I205,AA205)+0.005,1,0)+IF(AT205*1000000+SUM(V205,AN205)*10000+SUM(P205,AH205)*100+SUM(J205,AB205)+0.004&gt;AS205*1000000+SUM(U205,AM205)*10000+SUM(O205,AG205)*100+SUM(I205,AA205)+0.005,1,0)+IF(AU205*1000000+SUM(W205,AO205)*10000+SUM(Q205,AI205)*100+SUM(K205,AC205)+0.003&gt;AS205*1000000+SUM(U205,AM205)*10000+SUM(O205,AG205)*100+SUM(I205,AA205)+0.005,1,0)+IF(AV205*1000000+SUM(X205,AP205)*10000+SUM(R205,AJ205)*100+SUM(L205,AD205)+0.002&gt;AS205*1000000+SUM(U205,AM205)*10000+SUM(O205,AG205)*100+SUM(I205,AA205)+0.005,1,0)+IF(AW205*1000000+SUM(Y205,AQ205)*10000+SUM(S205,AK205)*100+SUM(M205,AE205)+0.001&gt;AS205*1000000+SUM(U205,AM205)*10000+SUM(O205,AG205)*100+SUM(I205,AA205)+0.005,1,0)=0,"I",IF(IF(AR205*1000000+SUM(T205,AL205)*10000+SUM(N205,AF205)*100+SUM(H205,Z205)+0.006&gt;AT205*1000000+SUM(V205,AN205)*10000+SUM(P205,AH205)*100+SUM(J205,AB205)+0.004,1,0)+IF(AS205*1000000+SUM(U205,AM205)*10000+SUM(O205,AG205)*100+SUM(I205,AA205)+0.005&gt;AT205*1000000+SUM(V205,AN205)*10000+SUM(P205,AH205)*100+SUM(J205,AB205)+0.004,1,0)+IF(AU205*1000000+SUM(W205,AO205)*10000+SUM(Q205,AI205)*100+SUM(K205,AC205)+0.003&gt;AT205*1000000+SUM(V205,AN205)*10000+SUM(P205,AH205)*100+SUM(J205,AB205)+0.004,1,0)+IF(AV205*1000000+SUM(X205,AP205)*10000+SUM(R205,AJ205)*100+SUM(L205,AD205)+0.002&gt;AT205*1000000+SUM(V205,AN205)*10000+SUM(P205,AH205)*100+SUM(J205,AB205)+0.004,1,0)+IF(AW205*1000000+SUM(Y205,AQ205)*10000+SUM(S205,AK205)*100+SUM(M205,AE205)+0.001&gt;AT205*1000000+SUM(V205,AN205)*10000+SUM(P205,AH205)*100+SUM(J205,AB205)+0.004,1,0)=0,"A",IF(IF(AR205*1000000+SUM(T205,AL205)*10000+SUM(N205,AF205)*100+SUM(H205,Z205)+0.006&gt;AU205*1000000+SUM(W205,AO205)*10000+SUM(Q205,AI205)*100+SUM(K205,AC205)+0.003,1,0)+IF(AS205*1000000+SUM(U205,AM205)*10000+SUM(O205,AG205)*100+SUM(I205,AA205)+0.005&gt;AU205*1000000+SUM(W205,AO205)*10000+SUM(Q205,AI205)*100+SUM(K205,AC205)+0.003,1,0)+IF(AT205*1000000+SUM(V205,AN205)*10000+SUM(P205,AH205)*100+SUM(J205,AB205)+0.004&gt;AU205*1000000+SUM(W205,AO205)*10000+SUM(Q205,AI205)*100+SUM(K205,AC205)+0.003,1,0)+IF(AV205*1000000+SUM(X205,AP205)*10000+SUM(R205,AJ205)*100+SUM(L205,AD205)+0.002&gt;AU205*1000000+SUM(W205,AO205)*10000+SUM(Q205,AI205)*100+SUM(K205,AC205)+0.003,1,0)+IF(AW205*1000000+SUM(Y205,AQ205)*10000+SUM(S205,AK205)*100+SUM(M205,AE205)+0.001&gt;AU205*1000000+SUM(W205,AO205)*10000+SUM(Q205,AI205)*100+SUM(K205,AC205)+0.003,1,0)=0,"S",IF(IF(AR205*1000000+SUM(T205,AL205)*10000+SUM(N205,AF205)*100+SUM(H205,Z205)+0.006&gt;AV205*1000000+SUM(X205,AP205)*10000+SUM(R205,AJ205)*100+SUM(L205,AD205)+0.002,1,0)+IF(AS205*1000000+SUM(U205,AM205)*10000+SUM(O205,AG205)*100+SUM(I205,AA205)+0.005&gt;AV205*1000000+SUM(X205,AP205)*10000+SUM(R205,AJ205)*100+SUM(L205,AD205)+0.002,1,0)+IF(AT205*1000000+SUM(V205,AN205)*10000+SUM(P205,AH205)*100+SUM(J205,AB205)+0.004&gt;AV205*1000000+SUM(X205,AP205)*10000+SUM(R205,AJ205)*100+SUM(L205,AD205)+0.002,1,0)+IF(AU205*1000000+SUM(W205,AO205)*10000+SUM(Q205,AI205)*100+SUM(K205,AC205)+0.003&gt;AV205*1000000+SUM(X205,AP205)*10000+SUM(R205,AJ205)*100+SUM(L205,AD205)+0.002,1,0)+IF(AW205*1000000+SUM(Y205,AQ205)*10000+SUM(S205,AK205)*100+SUM(M205,AE205)+0.001&gt;AV205*1000000+SUM(X205,AP205)*10000+SUM(R205,AJ205)*100+SUM(L205,AD205)+0.002,1,0)=0,"E",IF(IF(AR205*1000000+SUM(T205,AL205)*10000+SUM(N205,AF205)*100+SUM(H205,Z205)+0.006&gt;AW205*1000000+SUM(Y205,AQ205)*10000+SUM(S205,AK205)*100+SUM(M205,AE205)+0.001,1,0)+IF(AS205*1000000+SUM(U205,AM205)*10000+SUM(O205,AG205)*100+SUM(I205,AA205)+0.005&gt;AW205*1000000+SUM(Y205,AQ205)*10000+SUM(S205,AK205)*100+SUM(M205,AE205)+0.001,1,0)+IF(AT205*1000000+SUM(V205,AN205)*10000+SUM(P205,AH205)*100+SUM(J205,AB205)+0.004&gt;AW205*1000000+SUM(Y205,AQ205)*10000+SUM(S205,AK205)*100+SUM(M205,AE205)+0.001,1,0)+IF(AU205*1000000+SUM(W205,AO205)*10000+SUM(Q205,AI205)*100+SUM(K205,AC205)+0.003&gt;AW205*1000000+SUM(Y205,AQ205)*10000+SUM(S205,AK205)*100+SUM(M205,AE205)+0.001,1,0)+IF(AV205*1000000+SUM(X205,AP205)*10000+SUM(R205,AJ205)*100+SUM(L205,AD205)+0.002&gt;AW205*1000000+SUM(Y205,AQ205)*10000+SUM(S205,AK205)*100+SUM(M205,AE205)+0.001,1,0)=0,"C",""))))))&amp;IF(IF(AS205*1000000+SUM(U205,AM205)*10000+SUM(O205,AG205)*100+SUM(I205,AA205)+0.005&gt;AR205*1000000+SUM(T205,AL205)*10000+SUM(N205,AF205)*100+SUM(H205,Z205)+0.006,1,0)+IF(AT205*1000000+SUM(V205,AN205)*10000+SUM(P205,AH205)*100+SUM(J205,AB205)+0.004&gt;AR205*1000000+SUM(T205,AL205)*10000+SUM(N205,AF205)*100+SUM(H205,Z205)+0.006,1,0)+IF(AU205*1000000+SUM(W205,AO205)*10000+SUM(Q205,AI205)*100+SUM(K205,AC205)+0.003&gt;AR205*1000000+SUM(T205,AL205)*10000+SUM(N205,AF205)*100+SUM(H205,Z205)+0.006,1,0)+IF(AV205*1000000+SUM(X205,AP205)*10000+SUM(R205,AJ205)*100+SUM(L205,AD205)+0.002&gt;AR205*1000000+SUM(T205,AL205)*10000+SUM(N205,AF205)*100+SUM(H205,Z205)+0.006,1,0)+IF(AW205*1000000+SUM(Y205,AQ205)*10000+SUM(S205,AK205)*100+SUM(M205,AE205)+0.001&gt;AR205*1000000+SUM(T205,AL205)*10000+SUM(N205,AF205)*100+SUM(H205,Z205)+0.006,1,0)=1,"R",IF(IF(AR205*1000000+SUM(T205,AL205)*10000+SUM(N205,AF205)*100+SUM(H205,Z205)+0.006&gt;AS205*1000000+SUM(U205,AM205)*10000+SUM(O205,AG205)*100+SUM(I205,AA205)+0.005,1,0)+IF(AT205*1000000+SUM(V205,AN205)*10000+SUM(P205,AH205)*100+SUM(J205,AB205)+0.004&gt;AS205*1000000+SUM(U205,AM205)*10000+SUM(O205,AG205)*100+SUM(I205,AA205)+0.005,1,0)+IF(AU205*1000000+SUM(W205,AO205)*10000+SUM(Q205,AI205)*100+SUM(K205,AC205)+0.003&gt;AS205*1000000+SUM(U205,AM205)*10000+SUM(O205,AG205)*100+SUM(I205,AA205)+0.005,1,0)+IF(AV205*1000000+SUM(X205,AP205)*10000+SUM(R205,AJ205)*100+SUM(L205,AD205)+0.002&gt;AS205*1000000+SUM(U205,AM205)*10000+SUM(O205,AG205)*100+SUM(I205,AA205)+0.005,1,0)+IF(AW205*1000000+SUM(Y205,AQ205)*10000+SUM(S205,AK205)*100+SUM(M205,AE205)+0.001&gt;AS205*1000000+SUM(U205,AM205)*10000+SUM(O205,AG205)*100+SUM(I205,AA205)+0.005,1,0)=1,"I",IF(IF(AR205*1000000+SUM(T205,AL205)*10000+SUM(N205,AF205)*100+SUM(H205,Z205)+0.006&gt;AT205*1000000+SUM(V205,AN205)*10000+SUM(P205,AH205)*100+SUM(J205,AB205)+0.004,1,0)+IF(AS205*1000000+SUM(U205,AM205)*10000+SUM(O205,AG205)*100+SUM(I205,AA205)+0.005&gt;AT205*1000000+SUM(V205,AN205)*10000+SUM(P205,AH205)*100+SUM(J205,AB205)+0.004,1,0)+IF(AU205*1000000+SUM(W205,AO205)*10000+SUM(Q205,AI205)*100+SUM(K205,AC205)+0.003&gt;AT205*1000000+SUM(V205,AN205)*10000+SUM(P205,AH205)*100+SUM(J205,AB205)+0.004,1,0)+IF(AV205*1000000+SUM(X205,AP205)*10000+SUM(R205,AJ205)*100+SUM(L205,AD205)+0.002&gt;AT205*1000000+SUM(V205,AN205)*10000+SUM(P205,AH205)*100+SUM(J205,AB205)+0.004,1,0)+IF(AW205*1000000+SUM(Y205,AQ205)*10000+SUM(S205,AK205)*100+SUM(M205,AE205)+0.001&gt;AT205*1000000+SUM(V205,AN205)*10000+SUM(P205,AH205)*100+SUM(J205,AB205)+0.004,1,0)=1,"A",IF(IF(AR205*1000000+SUM(T205,AL205)*10000+SUM(N205,AF205)*100+SUM(H205,Z205)+0.006&gt;AU205*1000000+SUM(W205,AO205)*10000+SUM(Q205,AI205)*100+SUM(K205,AC205)+0.003,1,0)+IF(AS205*1000000+SUM(U205,AM205)*10000+SUM(O205,AG205)*100+SUM(I205,AA205)+0.005&gt;AU205*1000000+SUM(W205,AO205)*10000+SUM(Q205,AI205)*100+SUM(K205,AC205)+0.003,1,0)+IF(AT205*1000000+SUM(V205,AN205)*10000+SUM(P205,AH205)*100+SUM(J205,AB205)+0.004&gt;AU205*1000000+SUM(W205,AO205)*10000+SUM(Q205,AI205)*100+SUM(K205,AC205)+0.003,1,0)+IF(AV205*1000000+SUM(X205,AP205)*10000+SUM(R205,AJ205)*100+SUM(L205,AD205)+0.002&gt;AU205*1000000+SUM(W205,AO205)*10000+SUM(Q205,AI205)*100+SUM(K205,AC205)+0.003,1,0)+IF(AW205*1000000+SUM(Y205,AQ205)*10000+SUM(S205,AK205)*100+SUM(M205,AE205)+0.001&gt;AU205*1000000+SUM(W205,AO205)*10000+SUM(Q205,AI205)*100+SUM(K205,AC205)+0.003,1,0)=1,"S",IF(IF(AR205*1000000+SUM(T205,AL205)*10000+SUM(N205,AF205)*100+SUM(H205,Z205)+0.006&gt;AV205*1000000+SUM(X205,AP205)*10000+SUM(R205,AJ205)*100+SUM(L205,AD205)+0.002,1,0)+IF(AS205*1000000+SUM(U205,AM205)*10000+SUM(O205,AG205)*100+SUM(I205,AA205)+0.005&gt;AV205*1000000+SUM(X205,AP205)*10000+SUM(R205,AJ205)*100+SUM(L205,AD205)+0.002,1,0)+IF(AT205*1000000+SUM(V205,AN205)*10000+SUM(P205,AH205)*100+SUM(J205,AB205)+0.004&gt;AV205*1000000+SUM(X205,AP205)*10000+SUM(R205,AJ205)*100+SUM(L205,AD205)+0.002,1,0)+IF(AU205*1000000+SUM(W205,AO205)*10000+SUM(Q205,AI205)*100+SUM(K205,AC205)+0.003&gt;AV205*1000000+SUM(X205,AP205)*10000+SUM(R205,AJ205)*100+SUM(L205,AD205)+0.002,1,0)+IF(AW205*1000000+SUM(Y205,AQ205)*10000+SUM(S205,AK205)*100+SUM(M205,AE205)+0.001&gt;AV205*1000000+SUM(X205,AP205)*10000+SUM(R205,AJ205)*100+SUM(L205,AD205)+0.002,1,0)=1,"E",IF(IF(AR205*1000000+SUM(T205,AL205)*10000+SUM(N205,AF205)*100+SUM(H205,Z205)+0.006&gt;AW205*1000000+SUM(Y205,AQ205)*10000+SUM(S205,AK205)*100+SUM(M205,AE205)+0.001,1,0)+IF(AS205*1000000+SUM(U205,AM205)*10000+SUM(O205,AG205)*100+SUM(I205,AA205)+0.005&gt;AW205*1000000+SUM(Y205,AQ205)*10000+SUM(S205,AK205)*100+SUM(M205,AE205)+0.001,1,0)+IF(AT205*1000000+SUM(V205,AN205)*10000+SUM(P205,AH205)*100+SUM(J205,AB205)+0.004&gt;AW205*1000000+SUM(Y205,AQ205)*10000+SUM(S205,AK205)*100+SUM(M205,AE205)+0.001,1,0)+IF(AU205*1000000+SUM(W205,AO205)*10000+SUM(Q205,AI205)*100+SUM(K205,AC205)+0.003&gt;AW205*1000000+SUM(Y205,AQ205)*10000+SUM(S205,AK205)*100+SUM(M205,AE205)+0.001,1,0)+IF(AV205*1000000+SUM(X205,AP205)*10000+SUM(R205,AJ205)*100+SUM(L205,AD205)+0.002&gt;AW205*1000000+SUM(Y205,AQ205)*10000+SUM(S205,AK205)*100+SUM(M205,AE205)+0.001,1,0)=1,"C",""))))))&amp;IF(IF(AS205*1000000+SUM(U205,AM205)*10000+SUM(O205,AG205)*100+SUM(I205,AA205)+0.005&gt;AR205*1000000+SUM(T205,AL205)*10000+SUM(N205,AF205)*100+SUM(H205,Z205)+0.006,1,0)+IF(AT205*1000000+SUM(V205,AN205)*10000+SUM(P205,AH205)*100+SUM(J205,AB205)+0.004&gt;AR205*1000000+SUM(T205,AL205)*10000+SUM(N205,AF205)*100+SUM(H205,Z205)+0.006,1,0)+IF(AU205*1000000+SUM(W205,AO205)*10000+SUM(Q205,AI205)*100+SUM(K205,AC205)+0.003&gt;AR205*1000000+SUM(T205,AL205)*10000+SUM(N205,AF205)*100+SUM(H205,Z205)+0.006,1,0)+IF(AV205*1000000+SUM(X205,AP205)*10000+SUM(R205,AJ205)*100+SUM(L205,AD205)+0.002&gt;AR205*1000000+SUM(T205,AL205)*10000+SUM(N205,AF205)*100+SUM(H205,Z205)+0.006,1,0)+IF(AW205*1000000+SUM(Y205,AQ205)*10000+SUM(S205,AK205)*100+SUM(M205,AE205)+0.001&gt;AR205*1000000+SUM(T205,AL205)*10000+SUM(N205,AF205)*100+SUM(H205,Z205)+0.006,1,0)=2,"R",IF(IF(AR205*1000000+SUM(T205,AL205)*10000+SUM(N205,AF205)*100+SUM(H205,Z205)+0.006&gt;AS205*1000000+SUM(U205,AM205)*10000+SUM(O205,AG205)*100+SUM(I205,AA205)+0.005,1,0)+IF(AT205*1000000+SUM(V205,AN205)*10000+SUM(P205,AH205)*100+SUM(J205,AB205)+0.004&gt;AS205*1000000+SUM(U205,AM205)*10000+SUM(O205,AG205)*100+SUM(I205,AA205)+0.005,1,0)+IF(AU205*1000000+SUM(W205,AO205)*10000+SUM(Q205,AI205)*100+SUM(K205,AC205)+0.003&gt;AS205*1000000+SUM(U205,AM205)*10000+SUM(O205,AG205)*100+SUM(I205,AA205)+0.005,1,0)+IF(AV205*1000000+SUM(X205,AP205)*10000+SUM(R205,AJ205)*100+SUM(L205,AD205)+0.002&gt;AS205*1000000+SUM(U205,AM205)*10000+SUM(O205,AG205)*100+SUM(I205,AA205)+0.005,1,0)+IF(AW205*1000000+SUM(Y205,AQ205)*10000+SUM(S205,AK205)*100+SUM(M205,AE205)+0.001&gt;AS205*1000000+SUM(U205,AM205)*10000+SUM(O205,AG205)*100+SUM(I205,AA205)+0.005,1,0)=2,"I",IF(IF(AR205*1000000+SUM(T205,AL205)*10000+SUM(N205,AF205)*100+SUM(H205,Z205)+0.006&gt;AT205*1000000+SUM(V205,AN205)*10000+SUM(P205,AH205)*100+SUM(J205,AB205)+0.004,1,0)+IF(AS205*1000000+SUM(U205,AM205)*10000+SUM(O205,AG205)*100+SUM(I205,AA205)+0.005&gt;AT205*1000000+SUM(V205,AN205)*10000+SUM(P205,AH205)*100+SUM(J205,AB205)+0.004,1,0)+IF(AU205*1000000+SUM(W205,AO205)*10000+SUM(Q205,AI205)*100+SUM(K205,AC205)+0.003&gt;AT205*1000000+SUM(V205,AN205)*10000+SUM(P205,AH205)*100+SUM(J205,AB205)+0.004,1,0)+IF(AV205*1000000+SUM(X205,AP205)*10000+SUM(R205,AJ205)*100+SUM(L205,AD205)+0.002&gt;AT205*1000000+SUM(V205,AN205)*10000+SUM(P205,AH205)*100+SUM(J205,AB205)+0.004,1,0)+IF(AW205*1000000+SUM(Y205,AQ205)*10000+SUM(S205,AK205)*100+SUM(M205,AE205)+0.001&gt;AT205*1000000+SUM(V205,AN205)*10000+SUM(P205,AH205)*100+SUM(J205,AB205)+0.004,1,0)=2,"A",IF(IF(AR205*1000000+SUM(T205,AL205)*10000+SUM(N205,AF205)*100+SUM(H205,Z205)+0.006&gt;AU205*1000000+SUM(W205,AO205)*10000+SUM(Q205,AI205)*100+SUM(K205,AC205)+0.003,1,0)+IF(AS205*1000000+SUM(U205,AM205)*10000+SUM(O205,AG205)*100+SUM(I205,AA205)+0.005&gt;AU205*1000000+SUM(W205,AO205)*10000+SUM(Q205,AI205)*100+SUM(K205,AC205)+0.003,1,0)+IF(AT205*1000000+SUM(V205,AN205)*10000+SUM(P205,AH205)*100+SUM(J205,AB205)+0.004&gt;AU205*1000000+SUM(W205,AO205)*10000+SUM(Q205,AI205)*100+SUM(K205,AC205)+0.003,1,0)+IF(AV205*1000000+SUM(X205,AP205)*10000+SUM(R205,AJ205)*100+SUM(L205,AD205)+0.002&gt;AU205*1000000+SUM(W205,AO205)*10000+SUM(Q205,AI205)*100+SUM(K205,AC205)+0.003,1,0)+IF(AW205*1000000+SUM(Y205,AQ205)*10000+SUM(S205,AK205)*100+SUM(M205,AE205)+0.001&gt;AU205*1000000+SUM(W205,AO205)*10000+SUM(Q205,AI205)*100+SUM(K205,AC205)+0.003,1,0)=2,"S",IF(IF(AR205*1000000+SUM(T205,AL205)*10000+SUM(N205,AF205)*100+SUM(H205,Z205)+0.006&gt;AV205*1000000+SUM(X205,AP205)*10000+SUM(R205,AJ205)*100+SUM(L205,AD205)+0.002,1,0)+IF(AS205*1000000+SUM(U205,AM205)*10000+SUM(O205,AG205)*100+SUM(I205,AA205)+0.005&gt;AV205*1000000+SUM(X205,AP205)*10000+SUM(R205,AJ205)*100+SUM(L205,AD205)+0.002,1,0)+IF(AT205*1000000+SUM(V205,AN205)*10000+SUM(P205,AH205)*100+SUM(J205,AB205)+0.004&gt;AV205*1000000+SUM(X205,AP205)*10000+SUM(R205,AJ205)*100+SUM(L205,AD205)+0.002,1,0)+IF(AU205*1000000+SUM(W205,AO205)*10000+SUM(Q205,AI205)*100+SUM(K205,AC205)+0.003&gt;AV205*1000000+SUM(X205,AP205)*10000+SUM(R205,AJ205)*100+SUM(L205,AD205)+0.002,1,0)+IF(AW205*1000000+SUM(Y205,AQ205)*10000+SUM(S205,AK205)*100+SUM(M205,AE205)+0.001&gt;AV205*1000000+SUM(X205,AP205)*10000+SUM(R205,AJ205)*100+SUM(L205,AD205)+0.002,1,0)=2,"E",IF(IF(AR205*1000000+SUM(T205,AL205)*10000+SUM(N205,AF205)*100+SUM(H205,Z205)+0.006&gt;AW205*1000000+SUM(Y205,AQ205)*10000+SUM(S205,AK205)*100+SUM(M205,AE205)+0.001,1,0)+IF(AS205*1000000+SUM(U205,AM205)*10000+SUM(O205,AG205)*100+SUM(I205,AA205)+0.005&gt;AW205*1000000+SUM(Y205,AQ205)*10000+SUM(S205,AK205)*100+SUM(M205,AE205)+0.001,1,0)+IF(AT205*1000000+SUM(V205,AN205)*10000+SUM(P205,AH205)*100+SUM(J205,AB205)+0.004&gt;AW205*1000000+SUM(Y205,AQ205)*10000+SUM(S205,AK205)*100+SUM(M205,AE205)+0.001,1,0)+IF(AU205*1000000+SUM(W205,AO205)*10000+SUM(Q205,AI205)*100+SUM(K205,AC205)+0.003&gt;AW205*1000000+SUM(Y205,AQ205)*10000+SUM(S205,AK205)*100+SUM(M205,AE205)+0.001,1,0)+IF(AV205*1000000+SUM(X205,AP205)*10000+SUM(R205,AJ205)*100+SUM(L205,AD205)+0.002&gt;AW205*1000000+SUM(Y205,AQ205)*10000+SUM(S205,AK205)*100+SUM(M205,AE205)+0.001,1,0)=2,"C","")))))))</x:f>
      </x:c>
      <x:c r="AY205" s="27" t="str">
        <x:f>IF(C205="","",IF(LEFT(AX205,1)="R","นักปฏิบัติ",IF(LEFT(AX205,1)="I","นักคิดวิเคราะห์",IF(LEFT(AX205,1)="A","นักสร้างสรรค์",IF(LEFT(AX205,1)="S","ผู้เข้าใจผู้คน",IF(LEFT(AX205,1)="E","ผู้นำการเปลี่ยนแปลง","ผู้จัดระบบ"))))))</x:f>
      </x:c>
    </x:row>
  </x:sheetData>
  <x:mergeCells>
    <x:mergeCell ref="A1:AY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4" hidden="0" customWidth="1"/>
    <x:col min="4" max="4" width="62" hidden="0" customWidth="1"/>
    <x:col min="5" max="5" width="12" hidden="0" customWidth="1"/>
    <x:col min="6" max="6" width="12" hidden="0" customWidth="1"/>
  </x:cols>
  <x:sheetData>
    <x:row r="1">
      <x:c r="A1" s="4" t="str">
        <x:v>คำถาม RIASEC</x:v>
      </x:c>
      <x:c r="B1" s="4"/>
      <x:c r="C1" s="4"/>
      <x:c r="D1" s="4"/>
      <x:c r="E1" s="4"/>
      <x:c r="F1" s="4"/>
    </x:row>
    <x:row r="2">
      <x:c r="A2" s="5" t="str">
        <x:v>แก้ไขข้อความได้ตามบริบทโรงเรียน แต่คงรหัส R/I/A/S/E/C และค่าคำตอบไว้เพื่อสูตรคะแนน</x:v>
      </x:c>
    </x:row>
    <x:row r="4">
      <x:c r="A4" s="23" t="str">
        <x:v>รหัสคำถาม</x:v>
      </x:c>
      <x:c r="B4" s="24" t="str">
        <x:v>มิติ S.D.S.</x:v>
      </x:c>
      <x:c r="C4" s="24" t="str">
        <x:v>รหัส RIASEC</x:v>
      </x:c>
      <x:c r="D4" s="24" t="str">
        <x:v>ข้อความคำถาม</x:v>
      </x:c>
      <x:c r="E4" s="24" t="str">
        <x:v>ใช่/สนใจ</x:v>
      </x:c>
      <x:c r="F4" s="25" t="str">
        <x:v>ไม่ใช่</x:v>
      </x:c>
    </x:row>
    <x:row r="5">
      <x:c r="A5" s="9" t="str">
        <x:v>01</x:v>
      </x:c>
      <x:c r="B5" s="9" t="str">
        <x:v>กิจกรรม</x:v>
      </x:c>
      <x:c r="C5" s="9" t="str">
        <x:v>R</x:v>
      </x:c>
      <x:c r="D5" s="9" t="str">
        <x:v>ประกอบหรือซ่อมสิ่งของที่มีชิ้นส่วน</x:v>
      </x:c>
      <x:c r="E5" s="9" t="n">
        <x:v>1</x:v>
      </x:c>
      <x:c r="F5" s="9" t="n">
        <x:v>0</x:v>
      </x:c>
    </x:row>
    <x:row r="6">
      <x:c r="A6" s="9" t="str">
        <x:v>02</x:v>
      </x:c>
      <x:c r="B6" s="9" t="str">
        <x:v>กิจกรรม</x:v>
      </x:c>
      <x:c r="C6" s="9" t="str">
        <x:v>I</x:v>
      </x:c>
      <x:c r="D6" s="9" t="str">
        <x:v>ทดลอง ค้นคว้า หรือหาคำตอบจากข้อมูล</x:v>
      </x:c>
      <x:c r="E6" s="9" t="n">
        <x:v>1</x:v>
      </x:c>
      <x:c r="F6" s="9" t="n">
        <x:v>0</x:v>
      </x:c>
    </x:row>
    <x:row r="7">
      <x:c r="A7" s="9" t="str">
        <x:v>03</x:v>
      </x:c>
      <x:c r="B7" s="9" t="str">
        <x:v>กิจกรรม</x:v>
      </x:c>
      <x:c r="C7" s="9" t="str">
        <x:v>A</x:v>
      </x:c>
      <x:c r="D7" s="9" t="str">
        <x:v>วาดภาพ ออกแบบ หรือสร้างผลงาน</x:v>
      </x:c>
      <x:c r="E7" s="9" t="n">
        <x:v>1</x:v>
      </x:c>
      <x:c r="F7" s="9" t="n">
        <x:v>0</x:v>
      </x:c>
    </x:row>
    <x:row r="8">
      <x:c r="A8" s="9" t="str">
        <x:v>04</x:v>
      </x:c>
      <x:c r="B8" s="9" t="str">
        <x:v>กิจกรรม</x:v>
      </x:c>
      <x:c r="C8" s="9" t="str">
        <x:v>S</x:v>
      </x:c>
      <x:c r="D8" s="9" t="str">
        <x:v>สอน อธิบาย หรือช่วยคนแก้ปัญหา</x:v>
      </x:c>
      <x:c r="E8" s="9" t="n">
        <x:v>1</x:v>
      </x:c>
      <x:c r="F8" s="9" t="n">
        <x:v>0</x:v>
      </x:c>
    </x:row>
    <x:row r="9">
      <x:c r="A9" s="9" t="str">
        <x:v>05</x:v>
      </x:c>
      <x:c r="B9" s="9" t="str">
        <x:v>กิจกรรม</x:v>
      </x:c>
      <x:c r="C9" s="9" t="str">
        <x:v>E</x:v>
      </x:c>
      <x:c r="D9" s="9" t="str">
        <x:v>ชวนคนเห็นด้วยกับไอเดียของคุณ</x:v>
      </x:c>
      <x:c r="E9" s="9" t="n">
        <x:v>1</x:v>
      </x:c>
      <x:c r="F9" s="9" t="n">
        <x:v>0</x:v>
      </x:c>
    </x:row>
    <x:row r="10">
      <x:c r="A10" s="9" t="str">
        <x:v>06</x:v>
      </x:c>
      <x:c r="B10" s="9" t="str">
        <x:v>กิจกรรม</x:v>
      </x:c>
      <x:c r="C10" s="9" t="str">
        <x:v>C</x:v>
      </x:c>
      <x:c r="D10" s="9" t="str">
        <x:v>จัดแฟ้ม ข้อมูล หรือรายการให้เป็นระเบียบ</x:v>
      </x:c>
      <x:c r="E10" s="9" t="n">
        <x:v>1</x:v>
      </x:c>
      <x:c r="F10" s="9" t="n">
        <x:v>0</x:v>
      </x:c>
    </x:row>
    <x:row r="11">
      <x:c r="A11" s="9" t="str">
        <x:v>07</x:v>
      </x:c>
      <x:c r="B11" s="9" t="str">
        <x:v>ความสามารถ</x:v>
      </x:c>
      <x:c r="C11" s="9" t="str">
        <x:v>R</x:v>
      </x:c>
      <x:c r="D11" s="9" t="str">
        <x:v>ใช้เครื่องมือหรืออุปกรณ์ได้อย่างคล่องแคล่ว</x:v>
      </x:c>
      <x:c r="E11" s="9" t="n">
        <x:v>1</x:v>
      </x:c>
      <x:c r="F11" s="9" t="n">
        <x:v>0</x:v>
      </x:c>
    </x:row>
    <x:row r="12">
      <x:c r="A12" s="9" t="str">
        <x:v>08</x:v>
      </x:c>
      <x:c r="B12" s="9" t="str">
        <x:v>ความสามารถ</x:v>
      </x:c>
      <x:c r="C12" s="9" t="str">
        <x:v>I</x:v>
      </x:c>
      <x:c r="D12" s="9" t="str">
        <x:v>วิเคราะห์โจทย์ที่มีเหตุผลหลายขั้นตอน</x:v>
      </x:c>
      <x:c r="E12" s="9" t="n">
        <x:v>1</x:v>
      </x:c>
      <x:c r="F12" s="9" t="n">
        <x:v>0</x:v>
      </x:c>
    </x:row>
    <x:row r="13">
      <x:c r="A13" s="9" t="str">
        <x:v>09</x:v>
      </x:c>
      <x:c r="B13" s="9" t="str">
        <x:v>ความสามารถ</x:v>
      </x:c>
      <x:c r="C13" s="9" t="str">
        <x:v>A</x:v>
      </x:c>
      <x:c r="D13" s="9" t="str">
        <x:v>คิดไอเดียหรือวิธีนำเสนอแปลกใหม่</x:v>
      </x:c>
      <x:c r="E13" s="9" t="n">
        <x:v>1</x:v>
      </x:c>
      <x:c r="F13" s="9" t="n">
        <x:v>0</x:v>
      </x:c>
    </x:row>
    <x:row r="14">
      <x:c r="A14" s="9" t="str">
        <x:v>10</x:v>
      </x:c>
      <x:c r="B14" s="9" t="str">
        <x:v>ความสามารถ</x:v>
      </x:c>
      <x:c r="C14" s="9" t="str">
        <x:v>S</x:v>
      </x:c>
      <x:c r="D14" s="9" t="str">
        <x:v>รับฟังความรู้สึกและสื่อสารกับคนอื่น</x:v>
      </x:c>
      <x:c r="E14" s="9" t="n">
        <x:v>1</x:v>
      </x:c>
      <x:c r="F14" s="9" t="n">
        <x:v>0</x:v>
      </x:c>
    </x:row>
    <x:row r="15">
      <x:c r="A15" s="9" t="str">
        <x:v>11</x:v>
      </x:c>
      <x:c r="B15" s="9" t="str">
        <x:v>ความสามารถ</x:v>
      </x:c>
      <x:c r="C15" s="9" t="str">
        <x:v>E</x:v>
      </x:c>
      <x:c r="D15" s="9" t="str">
        <x:v>วางเป้าหมายและพาคนอื่นทำงานให้สำเร็จ</x:v>
      </x:c>
      <x:c r="E15" s="9" t="n">
        <x:v>1</x:v>
      </x:c>
      <x:c r="F15" s="9" t="n">
        <x:v>0</x:v>
      </x:c>
    </x:row>
    <x:row r="16">
      <x:c r="A16" s="9" t="str">
        <x:v>12</x:v>
      </x:c>
      <x:c r="B16" s="9" t="str">
        <x:v>ความสามารถ</x:v>
      </x:c>
      <x:c r="C16" s="9" t="str">
        <x:v>C</x:v>
      </x:c>
      <x:c r="D16" s="9" t="str">
        <x:v>ตรวจรายละเอียด ตัวเลข หรือเอกสารได้รอบคอบ</x:v>
      </x:c>
      <x:c r="E16" s="9" t="n">
        <x:v>1</x:v>
      </x:c>
      <x:c r="F16" s="9" t="n">
        <x:v>0</x:v>
      </x:c>
    </x:row>
    <x:row r="17">
      <x:c r="A17" s="9" t="str">
        <x:v>13</x:v>
      </x:c>
      <x:c r="B17" s="9" t="str">
        <x:v>อาชีพ</x:v>
      </x:c>
      <x:c r="C17" s="9" t="str">
        <x:v>R</x:v>
      </x:c>
      <x:c r="D17" s="9" t="str">
        <x:v>สนใจอาชีพที่ได้ทำงานกับเครื่องมือ เทคโนโลยี หรือภาคสนาม</x:v>
      </x:c>
      <x:c r="E17" s="9" t="n">
        <x:v>1</x:v>
      </x:c>
      <x:c r="F17" s="9" t="n">
        <x:v>0</x:v>
      </x:c>
    </x:row>
    <x:row r="18">
      <x:c r="A18" s="9" t="str">
        <x:v>14</x:v>
      </x:c>
      <x:c r="B18" s="9" t="str">
        <x:v>อาชีพ</x:v>
      </x:c>
      <x:c r="C18" s="9" t="str">
        <x:v>I</x:v>
      </x:c>
      <x:c r="D18" s="9" t="str">
        <x:v>สนใจอาชีพนักวิทยาศาสตร์ นักวิจัย หรือผู้เชี่ยวชาญ</x:v>
      </x:c>
      <x:c r="E18" s="9" t="n">
        <x:v>1</x:v>
      </x:c>
      <x:c r="F18" s="9" t="n">
        <x:v>0</x:v>
      </x:c>
    </x:row>
    <x:row r="19">
      <x:c r="A19" s="9" t="str">
        <x:v>15</x:v>
      </x:c>
      <x:c r="B19" s="9" t="str">
        <x:v>อาชีพ</x:v>
      </x:c>
      <x:c r="C19" s="9" t="str">
        <x:v>A</x:v>
      </x:c>
      <x:c r="D19" s="9" t="str">
        <x:v>สนใจอาชีพนักออกแบบ นักเขียน หรือผู้สร้างสื่อ</x:v>
      </x:c>
      <x:c r="E19" s="9" t="n">
        <x:v>1</x:v>
      </x:c>
      <x:c r="F19" s="9" t="n">
        <x:v>0</x:v>
      </x:c>
    </x:row>
    <x:row r="20">
      <x:c r="A20" s="9" t="str">
        <x:v>16</x:v>
      </x:c>
      <x:c r="B20" s="9" t="str">
        <x:v>อาชีพ</x:v>
      </x:c>
      <x:c r="C20" s="9" t="str">
        <x:v>S</x:v>
      </x:c>
      <x:c r="D20" s="9" t="str">
        <x:v>สนใจอาชีพครู บุคลากรสุขภาพ หรือผู้ให้คำปรึกษา</x:v>
      </x:c>
      <x:c r="E20" s="9" t="n">
        <x:v>1</x:v>
      </x:c>
      <x:c r="F20" s="9" t="n">
        <x:v>0</x:v>
      </x:c>
    </x:row>
    <x:row r="21">
      <x:c r="A21" s="9" t="str">
        <x:v>17</x:v>
      </x:c>
      <x:c r="B21" s="9" t="str">
        <x:v>อาชีพ</x:v>
      </x:c>
      <x:c r="C21" s="9" t="str">
        <x:v>E</x:v>
      </x:c>
      <x:c r="D21" s="9" t="str">
        <x:v>สนใจอาชีพนักธุรกิจ นักการตลาด หรือผู้นำโครงการ</x:v>
      </x:c>
      <x:c r="E21" s="9" t="n">
        <x:v>1</x:v>
      </x:c>
      <x:c r="F21" s="9" t="n">
        <x:v>0</x:v>
      </x:c>
    </x:row>
    <x:row r="22">
      <x:c r="A22" s="9" t="str">
        <x:v>18</x:v>
      </x:c>
      <x:c r="B22" s="9" t="str">
        <x:v>อาชีพ</x:v>
      </x:c>
      <x:c r="C22" s="9" t="str">
        <x:v>C</x:v>
      </x:c>
      <x:c r="D22" s="9" t="str">
        <x:v>สนใจอาชีพบัญชี การเงิน ธุรการ หรือวางระบบข้อมูล</x:v>
      </x:c>
      <x:c r="E22" s="9" t="n">
        <x:v>1</x:v>
      </x:c>
      <x:c r="F22" s="9" t="n">
        <x:v>0</x:v>
      </x:c>
    </x:row>
    <x:row r="23">
      <x:c r="A23" s="9" t="str">
        <x:v>19</x:v>
      </x:c>
      <x:c r="B23" s="9" t="str">
        <x:v>กิจกรรม</x:v>
      </x:c>
      <x:c r="C23" s="9" t="str">
        <x:v>R</x:v>
      </x:c>
      <x:c r="D23" s="9" t="str">
        <x:v>ประกอบหรือซ่อมสิ่งของที่มีชิ้นส่วน</x:v>
      </x:c>
      <x:c r="E23" s="9" t="n">
        <x:v>1</x:v>
      </x:c>
      <x:c r="F23" s="9" t="n">
        <x:v>0</x:v>
      </x:c>
    </x:row>
    <x:row r="24">
      <x:c r="A24" s="9" t="str">
        <x:v>20</x:v>
      </x:c>
      <x:c r="B24" s="9" t="str">
        <x:v>กิจกรรม</x:v>
      </x:c>
      <x:c r="C24" s="9" t="str">
        <x:v>I</x:v>
      </x:c>
      <x:c r="D24" s="9" t="str">
        <x:v>ทดลอง ค้นคว้า หรือหาคำตอบจากข้อมูล</x:v>
      </x:c>
      <x:c r="E24" s="9" t="n">
        <x:v>1</x:v>
      </x:c>
      <x:c r="F24" s="9" t="n">
        <x:v>0</x:v>
      </x:c>
    </x:row>
    <x:row r="25">
      <x:c r="A25" s="9" t="str">
        <x:v>21</x:v>
      </x:c>
      <x:c r="B25" s="9" t="str">
        <x:v>กิจกรรม</x:v>
      </x:c>
      <x:c r="C25" s="9" t="str">
        <x:v>A</x:v>
      </x:c>
      <x:c r="D25" s="9" t="str">
        <x:v>วาดภาพ ออกแบบ หรือสร้างผลงาน</x:v>
      </x:c>
      <x:c r="E25" s="9" t="n">
        <x:v>1</x:v>
      </x:c>
      <x:c r="F25" s="9" t="n">
        <x:v>0</x:v>
      </x:c>
    </x:row>
    <x:row r="26">
      <x:c r="A26" s="9" t="str">
        <x:v>22</x:v>
      </x:c>
      <x:c r="B26" s="9" t="str">
        <x:v>กิจกรรม</x:v>
      </x:c>
      <x:c r="C26" s="9" t="str">
        <x:v>S</x:v>
      </x:c>
      <x:c r="D26" s="9" t="str">
        <x:v>สอน อธิบาย หรือช่วยคนแก้ปัญหา</x:v>
      </x:c>
      <x:c r="E26" s="9" t="n">
        <x:v>1</x:v>
      </x:c>
      <x:c r="F26" s="9" t="n">
        <x:v>0</x:v>
      </x:c>
    </x:row>
    <x:row r="27">
      <x:c r="A27" s="9" t="str">
        <x:v>23</x:v>
      </x:c>
      <x:c r="B27" s="9" t="str">
        <x:v>กิจกรรม</x:v>
      </x:c>
      <x:c r="C27" s="9" t="str">
        <x:v>E</x:v>
      </x:c>
      <x:c r="D27" s="9" t="str">
        <x:v>ชวนคนเห็นด้วยกับไอเดียของคุณ</x:v>
      </x:c>
      <x:c r="E27" s="9" t="n">
        <x:v>1</x:v>
      </x:c>
      <x:c r="F27" s="9" t="n">
        <x:v>0</x:v>
      </x:c>
    </x:row>
    <x:row r="28">
      <x:c r="A28" s="9" t="str">
        <x:v>24</x:v>
      </x:c>
      <x:c r="B28" s="9" t="str">
        <x:v>กิจกรรม</x:v>
      </x:c>
      <x:c r="C28" s="9" t="str">
        <x:v>C</x:v>
      </x:c>
      <x:c r="D28" s="9" t="str">
        <x:v>จัดแฟ้ม ข้อมูล หรือรายการให้เป็นระเบียบ</x:v>
      </x:c>
      <x:c r="E28" s="9" t="n">
        <x:v>1</x:v>
      </x:c>
      <x:c r="F28" s="9" t="n">
        <x:v>0</x:v>
      </x:c>
    </x:row>
    <x:row r="29">
      <x:c r="A29" s="9" t="str">
        <x:v>25</x:v>
      </x:c>
      <x:c r="B29" s="9" t="str">
        <x:v>ความสามารถ</x:v>
      </x:c>
      <x:c r="C29" s="9" t="str">
        <x:v>R</x:v>
      </x:c>
      <x:c r="D29" s="9" t="str">
        <x:v>ใช้เครื่องมือหรืออุปกรณ์ได้อย่างคล่องแคล่ว</x:v>
      </x:c>
      <x:c r="E29" s="9" t="n">
        <x:v>1</x:v>
      </x:c>
      <x:c r="F29" s="9" t="n">
        <x:v>0</x:v>
      </x:c>
    </x:row>
    <x:row r="30">
      <x:c r="A30" s="9" t="str">
        <x:v>26</x:v>
      </x:c>
      <x:c r="B30" s="9" t="str">
        <x:v>ความสามารถ</x:v>
      </x:c>
      <x:c r="C30" s="9" t="str">
        <x:v>I</x:v>
      </x:c>
      <x:c r="D30" s="9" t="str">
        <x:v>วิเคราะห์โจทย์ที่มีเหตุผลหลายขั้นตอน</x:v>
      </x:c>
      <x:c r="E30" s="9" t="n">
        <x:v>1</x:v>
      </x:c>
      <x:c r="F30" s="9" t="n">
        <x:v>0</x:v>
      </x:c>
    </x:row>
    <x:row r="31">
      <x:c r="A31" s="9" t="str">
        <x:v>27</x:v>
      </x:c>
      <x:c r="B31" s="9" t="str">
        <x:v>ความสามารถ</x:v>
      </x:c>
      <x:c r="C31" s="9" t="str">
        <x:v>A</x:v>
      </x:c>
      <x:c r="D31" s="9" t="str">
        <x:v>คิดไอเดียหรือวิธีนำเสนอแปลกใหม่</x:v>
      </x:c>
      <x:c r="E31" s="9" t="n">
        <x:v>1</x:v>
      </x:c>
      <x:c r="F31" s="9" t="n">
        <x:v>0</x:v>
      </x:c>
    </x:row>
    <x:row r="32">
      <x:c r="A32" s="9" t="str">
        <x:v>28</x:v>
      </x:c>
      <x:c r="B32" s="9" t="str">
        <x:v>ความสามารถ</x:v>
      </x:c>
      <x:c r="C32" s="9" t="str">
        <x:v>S</x:v>
      </x:c>
      <x:c r="D32" s="9" t="str">
        <x:v>รับฟังความรู้สึกและสื่อสารกับคนอื่น</x:v>
      </x:c>
      <x:c r="E32" s="9" t="n">
        <x:v>1</x:v>
      </x:c>
      <x:c r="F32" s="9" t="n">
        <x:v>0</x:v>
      </x:c>
    </x:row>
    <x:row r="33">
      <x:c r="A33" s="9" t="str">
        <x:v>29</x:v>
      </x:c>
      <x:c r="B33" s="9" t="str">
        <x:v>ความสามารถ</x:v>
      </x:c>
      <x:c r="C33" s="9" t="str">
        <x:v>E</x:v>
      </x:c>
      <x:c r="D33" s="9" t="str">
        <x:v>วางเป้าหมายและพาคนอื่นทำงานให้สำเร็จ</x:v>
      </x:c>
      <x:c r="E33" s="9" t="n">
        <x:v>1</x:v>
      </x:c>
      <x:c r="F33" s="9" t="n">
        <x:v>0</x:v>
      </x:c>
    </x:row>
    <x:row r="34">
      <x:c r="A34" s="9" t="str">
        <x:v>30</x:v>
      </x:c>
      <x:c r="B34" s="9" t="str">
        <x:v>ความสามารถ</x:v>
      </x:c>
      <x:c r="C34" s="9" t="str">
        <x:v>C</x:v>
      </x:c>
      <x:c r="D34" s="9" t="str">
        <x:v>ตรวจรายละเอียด ตัวเลข หรือเอกสารได้รอบคอบ</x:v>
      </x:c>
      <x:c r="E34" s="9" t="n">
        <x:v>1</x:v>
      </x:c>
      <x:c r="F34" s="9" t="n">
        <x:v>0</x:v>
      </x:c>
    </x:row>
    <x:row r="35">
      <x:c r="A35" s="9" t="str">
        <x:v>31</x:v>
      </x:c>
      <x:c r="B35" s="9" t="str">
        <x:v>อาชีพ</x:v>
      </x:c>
      <x:c r="C35" s="9" t="str">
        <x:v>R</x:v>
      </x:c>
      <x:c r="D35" s="9" t="str">
        <x:v>สนใจอาชีพที่ได้ทำงานกับเครื่องมือ เทคโนโลยี หรือภาคสนาม</x:v>
      </x:c>
      <x:c r="E35" s="9" t="n">
        <x:v>1</x:v>
      </x:c>
      <x:c r="F35" s="9" t="n">
        <x:v>0</x:v>
      </x:c>
    </x:row>
    <x:row r="36">
      <x:c r="A36" s="9" t="str">
        <x:v>32</x:v>
      </x:c>
      <x:c r="B36" s="9" t="str">
        <x:v>อาชีพ</x:v>
      </x:c>
      <x:c r="C36" s="9" t="str">
        <x:v>I</x:v>
      </x:c>
      <x:c r="D36" s="9" t="str">
        <x:v>สนใจอาชีพนักวิทยาศาสตร์ นักวิจัย หรือผู้เชี่ยวชาญ</x:v>
      </x:c>
      <x:c r="E36" s="9" t="n">
        <x:v>1</x:v>
      </x:c>
      <x:c r="F36" s="9" t="n">
        <x:v>0</x:v>
      </x:c>
    </x:row>
    <x:row r="37">
      <x:c r="A37" s="9" t="str">
        <x:v>33</x:v>
      </x:c>
      <x:c r="B37" s="9" t="str">
        <x:v>อาชีพ</x:v>
      </x:c>
      <x:c r="C37" s="9" t="str">
        <x:v>A</x:v>
      </x:c>
      <x:c r="D37" s="9" t="str">
        <x:v>สนใจอาชีพนักออกแบบ นักเขียน หรือผู้สร้างสื่อ</x:v>
      </x:c>
      <x:c r="E37" s="9" t="n">
        <x:v>1</x:v>
      </x:c>
      <x:c r="F37" s="9" t="n">
        <x:v>0</x:v>
      </x:c>
    </x:row>
    <x:row r="38">
      <x:c r="A38" s="9" t="str">
        <x:v>34</x:v>
      </x:c>
      <x:c r="B38" s="9" t="str">
        <x:v>อาชีพ</x:v>
      </x:c>
      <x:c r="C38" s="9" t="str">
        <x:v>S</x:v>
      </x:c>
      <x:c r="D38" s="9" t="str">
        <x:v>สนใจอาชีพครู บุคลากรสุขภาพ หรือผู้ให้คำปรึกษา</x:v>
      </x:c>
      <x:c r="E38" s="9" t="n">
        <x:v>1</x:v>
      </x:c>
      <x:c r="F38" s="9" t="n">
        <x:v>0</x:v>
      </x:c>
    </x:row>
    <x:row r="39">
      <x:c r="A39" s="9" t="str">
        <x:v>35</x:v>
      </x:c>
      <x:c r="B39" s="9" t="str">
        <x:v>อาชีพ</x:v>
      </x:c>
      <x:c r="C39" s="9" t="str">
        <x:v>E</x:v>
      </x:c>
      <x:c r="D39" s="9" t="str">
        <x:v>สนใจอาชีพนักธุรกิจ นักการตลาด หรือผู้นำโครงการ</x:v>
      </x:c>
      <x:c r="E39" s="9" t="n">
        <x:v>1</x:v>
      </x:c>
      <x:c r="F39" s="9" t="n">
        <x:v>0</x:v>
      </x:c>
    </x:row>
    <x:row r="40">
      <x:c r="A40" s="9" t="str">
        <x:v>36</x:v>
      </x:c>
      <x:c r="B40" s="9" t="str">
        <x:v>อาชีพ</x:v>
      </x:c>
      <x:c r="C40" s="9" t="str">
        <x:v>C</x:v>
      </x:c>
      <x:c r="D40" s="9" t="str">
        <x:v>สนใจอาชีพบัญชี การเงิน ธุรการ หรือวางระบบข้อมูล</x:v>
      </x:c>
      <x:c r="E40" s="9" t="n">
        <x:v>1</x:v>
      </x:c>
      <x:c r="F40" s="9" t="n">
        <x:v>0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42" hidden="0" customWidth="1"/>
    <x:col min="4" max="4" width="38" hidden="0" customWidth="1"/>
    <x:col min="5" max="5" width="28" hidden="0" customWidth="1"/>
  </x:cols>
  <x:sheetData>
    <x:row r="1">
      <x:c r="A1" s="4" t="str">
        <x:v>อาชีพและคณะ</x:v>
      </x:c>
      <x:c r="B1" s="4"/>
      <x:c r="C1" s="4"/>
      <x:c r="D1" s="4"/>
      <x:c r="E1" s="4"/>
    </x:row>
    <x:row r="2">
      <x:c r="A2" s="5" t="str">
        <x:v>ตารางอ้างอิงสำหรับหน้า Career Explorer ใน Glide</x:v>
      </x:c>
    </x:row>
    <x:row r="4">
      <x:c r="A4" s="23" t="str">
        <x:v>อาชีพ</x:v>
      </x:c>
      <x:c r="B4" s="24" t="str">
        <x:v>รหัส RIASEC</x:v>
      </x:c>
      <x:c r="C4" s="24" t="str">
        <x:v>ภาพรวมงาน</x:v>
      </x:c>
      <x:c r="D4" s="24" t="str">
        <x:v>คณะ/สาขาในไทย</x:v>
      </x:c>
      <x:c r="E4" s="25" t="str">
        <x:v>ลิงก์ค้นหาหลักสูตร</x:v>
      </x:c>
    </x:row>
    <x:row r="5">
      <x:c r="A5" s="9" t="str">
        <x:v>วิศวกรหุ่นยนต์</x:v>
      </x:c>
      <x:c r="B5" s="9" t="str">
        <x:v>RI</x:v>
      </x:c>
      <x:c r="C5" s="9" t="str">
        <x:v>ออกแบบระบบอัตโนมัติ</x:v>
      </x:c>
      <x:c r="D5" s="9" t="str">
        <x:v>วิศวกรรมเมคคาทรอนิกส์ / หุ่นยนต์</x:v>
      </x:c>
      <x:c r="E5" s="9" t="str">
        <x:v>https://course.mytcas.com/</x:v>
      </x:c>
    </x:row>
    <x:row r="6">
      <x:c r="A6" s="9" t="str">
        <x:v>นักพัฒนาซอฟต์แวร์</x:v>
      </x:c>
      <x:c r="B6" s="9" t="str">
        <x:v>IC</x:v>
      </x:c>
      <x:c r="C6" s="9" t="str">
        <x:v>สร้างระบบและแอป</x:v>
      </x:c>
      <x:c r="D6" s="9" t="str">
        <x:v>วิทยาการคอมพิวเตอร์ / IT</x:v>
      </x:c>
      <x:c r="E6" s="9" t="str">
        <x:v>https://course.mytcas.com/</x:v>
      </x:c>
    </x:row>
    <x:row r="7">
      <x:c r="A7" s="9" t="str">
        <x:v>นักวิเคราะห์ข้อมูล</x:v>
      </x:c>
      <x:c r="B7" s="9" t="str">
        <x:v>IC</x:v>
      </x:c>
      <x:c r="C7" s="9" t="str">
        <x:v>แปลข้อมูลเป็นข้อค้นพบ</x:v>
      </x:c>
      <x:c r="D7" s="9" t="str">
        <x:v>สถิติ / Data Science</x:v>
      </x:c>
      <x:c r="E7" s="9" t="str">
        <x:v>https://course.mytcas.com/</x:v>
      </x:c>
    </x:row>
    <x:row r="8">
      <x:c r="A8" s="9" t="str">
        <x:v>นักออกแบบ UX/UI</x:v>
      </x:c>
      <x:c r="B8" s="9" t="str">
        <x:v>AI</x:v>
      </x:c>
      <x:c r="C8" s="9" t="str">
        <x:v>ออกแบบประสบการณ์ดิจิทัล</x:v>
      </x:c>
      <x:c r="D8" s="9" t="str">
        <x:v>ออกแบบนิเทศศิลป์ / IT</x:v>
      </x:c>
      <x:c r="E8" s="9" t="str">
        <x:v>https://course.mytcas.com/</x:v>
      </x:c>
    </x:row>
    <x:row r="9">
      <x:c r="A9" s="9" t="str">
        <x:v>ครู</x:v>
      </x:c>
      <x:c r="B9" s="9" t="str">
        <x:v>SA</x:v>
      </x:c>
      <x:c r="C9" s="9" t="str">
        <x:v>ออกแบบการเรียนรู้</x:v>
      </x:c>
      <x:c r="D9" s="9" t="str">
        <x:v>ครุศาสตร์ / ศึกษาศาสตร์</x:v>
      </x:c>
      <x:c r="E9" s="9" t="str">
        <x:v>https://course.mytcas.com/</x:v>
      </x:c>
    </x:row>
    <x:row r="10">
      <x:c r="A10" s="9" t="str">
        <x:v>นักจิตวิทยา</x:v>
      </x:c>
      <x:c r="B10" s="9" t="str">
        <x:v>SI</x:v>
      </x:c>
      <x:c r="C10" s="9" t="str">
        <x:v>ส่งเสริมสุขภาวะทางใจ</x:v>
      </x:c>
      <x:c r="D10" s="9" t="str">
        <x:v>จิตวิทยา</x:v>
      </x:c>
      <x:c r="E10" s="9" t="str">
        <x:v>https://course.mytcas.com/</x:v>
      </x:c>
    </x:row>
    <x:row r="11">
      <x:c r="A11" s="9" t="str">
        <x:v>พยาบาลวิชาชีพ</x:v>
      </x:c>
      <x:c r="B11" s="9" t="str">
        <x:v>SI</x:v>
      </x:c>
      <x:c r="C11" s="9" t="str">
        <x:v>ดูแลสุขภาพด้วยความรู้และหัวใจ</x:v>
      </x:c>
      <x:c r="D11" s="9" t="str">
        <x:v>พยาบาลศาสตร์</x:v>
      </x:c>
      <x:c r="E11" s="9" t="str">
        <x:v>https://course.mytcas.com/</x:v>
      </x:c>
    </x:row>
    <x:row r="12">
      <x:c r="A12" s="9" t="str">
        <x:v>ผู้ประกอบการ</x:v>
      </x:c>
      <x:c r="B12" s="9" t="str">
        <x:v>ER</x:v>
      </x:c>
      <x:c r="C12" s="9" t="str">
        <x:v>เปลี่ยนปัญหาเป็นโอกาส</x:v>
      </x:c>
      <x:c r="D12" s="9" t="str">
        <x:v>บริหารธุรกิจ / ผู้ประกอบการ</x:v>
      </x:c>
      <x:c r="E12" s="9" t="str">
        <x:v>https://course.mytcas.com/</x:v>
      </x:c>
    </x:row>
    <x:row r="13">
      <x:c r="A13" s="9" t="str">
        <x:v>นักการตลาดดิจิทัล</x:v>
      </x:c>
      <x:c r="B13" s="9" t="str">
        <x:v>EA</x:v>
      </x:c>
      <x:c r="C13" s="9" t="str">
        <x:v>เข้าใจลูกค้าและแบรนด์</x:v>
      </x:c>
      <x:c r="D13" s="9" t="str">
        <x:v>การตลาด / นิเทศศาสตร์</x:v>
      </x:c>
      <x:c r="E13" s="9" t="str">
        <x:v>https://course.mytcas.com/</x:v>
      </x:c>
    </x:row>
    <x:row r="14">
      <x:c r="A14" s="9" t="str">
        <x:v>นักบัญชี</x:v>
      </x:c>
      <x:c r="B14" s="9" t="str">
        <x:v>CE</x:v>
      </x:c>
      <x:c r="C14" s="9" t="str">
        <x:v>จัดการข้อมูลการเงิน</x:v>
      </x:c>
      <x:c r="D14" s="9" t="str">
        <x:v>บัญชี</x:v>
      </x:c>
      <x:c r="E14" s="9" t="str">
        <x:v>https://course.mytcas.com/</x:v>
      </x:c>
    </x:row>
    <x:row r="15">
      <x:c r="A15" s="9" t="str">
        <x:v>นักโลจิสติกส์</x:v>
      </x:c>
      <x:c r="B15" s="9" t="str">
        <x:v>CR</x:v>
      </x:c>
      <x:c r="C15" s="9" t="str">
        <x:v>จัดระบบการเคลื่อนย้ายสินค้า</x:v>
      </x:c>
      <x:c r="D15" s="9" t="str">
        <x:v>โลจิสติกส์ / วิศวกรรมอุตสาหการ</x:v>
      </x:c>
      <x:c r="E15" s="9" t="str">
        <x:v>https://course.mytcas.com/</x:v>
      </x:c>
    </x:row>
    <x:row r="16">
      <x:c r="A16" s="9" t="str">
        <x:v>เกษตรกรอัจฉริยะ</x:v>
      </x:c>
      <x:c r="B16" s="9" t="str">
        <x:v>RI</x:v>
      </x:c>
      <x:c r="C16" s="9" t="str">
        <x:v>ใช้ข้อมูลยกระดับการเกษตร</x:v>
      </x:c>
      <x:c r="D16" s="9" t="str">
        <x:v>เกษตรศาสตร์ / เกษตรดิจิทัล</x:v>
      </x:c>
      <x:c r="E16" s="9" t="str">
        <x:v>https://course.mytcas.com/</x:v>
      </x:c>
    </x:row>
  </x:sheetData>
  <x:mergeCells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4" hidden="0" customWidth="1"/>
    <x:col min="3" max="3" width="42" hidden="0" customWidth="1"/>
    <x:col min="4" max="4" width="50" hidden="0" customWidth="1"/>
    <x:col min="5" max="5" width="32" hidden="0" customWidth="1"/>
  </x:cols>
  <x:sheetData>
    <x:row r="1">
      <x:c r="A1" s="4" t="str">
        <x:v>มหาวิทยาลัย 5 ตัวเลือกต่อสาขา</x:v>
      </x:c>
      <x:c r="B1" s="4"/>
      <x:c r="C1" s="4"/>
      <x:c r="D1" s="4"/>
      <x:c r="E1" s="4"/>
    </x:row>
    <x:row r="2">
      <x:c r="A2" s="5" t="str">
        <x:v>รายการแนะนำเพื่อเริ่มค้นหา ไม่ใช่อันดับทางการ; ตรวจสอบหลักสูตรและรอบ TCAS ปัจจุบันจาก MyTCAS ก่อนตัดสินใจ</x:v>
      </x:c>
    </x:row>
    <x:row r="4">
      <x:c r="A4" s="23" t="str">
        <x:v>สาขา/หลักสูตร</x:v>
      </x:c>
      <x:c r="B4" s="24" t="str">
        <x:v>ลำดับแนะนำ</x:v>
      </x:c>
      <x:c r="C4" s="24" t="str">
        <x:v>มหาวิทยาลัย</x:v>
      </x:c>
      <x:c r="D4" s="24" t="str">
        <x:v>คำแนะนำก่อนสมัคร</x:v>
      </x:c>
      <x:c r="E4" s="25" t="str">
        <x:v>ลิงก์ค้นหาหลักสูตร</x:v>
      </x:c>
    </x:row>
    <x:row r="5">
      <x:c r="A5" s="9" t="str">
        <x:v>วิศวกรรมเมคคาทรอนิกส์ / หุ่นยนต์</x:v>
      </x:c>
      <x:c r="B5" s="9" t="n">
        <x:v>1</x:v>
      </x:c>
      <x:c r="C5" s="9" t="str">
        <x:v>จุฬาลงกรณ์มหาวิทยาลัย</x:v>
      </x:c>
      <x:c r="D5" s="9" t="str">
        <x:v>ตรวจสอบชื่อคณะ/หลักสูตรและรอบรับสมัครล่าสุดใน MyTCAS</x:v>
      </x:c>
      <x:c r="E5" s="9" t="str">
        <x:v>https://course.mytcas.com/</x:v>
      </x:c>
    </x:row>
    <x:row r="6">
      <x:c r="A6" s="9" t="str">
        <x:v>วิศวกรรมเมคคาทรอนิกส์ / หุ่นยนต์</x:v>
      </x:c>
      <x:c r="B6" s="9" t="n">
        <x:v>2</x:v>
      </x:c>
      <x:c r="C6" s="9" t="str">
        <x:v>มหาวิทยาลัยเทคโนโลยีพระจอมเกล้าธนบุรี</x:v>
      </x:c>
      <x:c r="D6" s="9" t="str">
        <x:v>ตรวจสอบชื่อคณะ/หลักสูตรและรอบรับสมัครล่าสุดใน MyTCAS</x:v>
      </x:c>
      <x:c r="E6" s="9" t="str">
        <x:v>https://course.mytcas.com/</x:v>
      </x:c>
    </x:row>
    <x:row r="7">
      <x:c r="A7" s="9" t="str">
        <x:v>วิศวกรรมเมคคาทรอนิกส์ / หุ่นยนต์</x:v>
      </x:c>
      <x:c r="B7" s="9" t="n">
        <x:v>3</x:v>
      </x:c>
      <x:c r="C7" s="9" t="str">
        <x:v>สถาบันเทคโนโลยีพระจอมเกล้าเจ้าคุณทหารลาดกระบัง</x:v>
      </x:c>
      <x:c r="D7" s="9" t="str">
        <x:v>ตรวจสอบชื่อคณะ/หลักสูตรและรอบรับสมัครล่าสุดใน MyTCAS</x:v>
      </x:c>
      <x:c r="E7" s="9" t="str">
        <x:v>https://course.mytcas.com/</x:v>
      </x:c>
    </x:row>
    <x:row r="8">
      <x:c r="A8" s="9" t="str">
        <x:v>วิศวกรรมเมคคาทรอนิกส์ / หุ่นยนต์</x:v>
      </x:c>
      <x:c r="B8" s="9" t="n">
        <x:v>4</x:v>
      </x:c>
      <x:c r="C8" s="9" t="str">
        <x:v>มหาวิทยาลัยเกษตรศาสตร์</x:v>
      </x:c>
      <x:c r="D8" s="9" t="str">
        <x:v>ตรวจสอบชื่อคณะ/หลักสูตรและรอบรับสมัครล่าสุดใน MyTCAS</x:v>
      </x:c>
      <x:c r="E8" s="9" t="str">
        <x:v>https://course.mytcas.com/</x:v>
      </x:c>
    </x:row>
    <x:row r="9">
      <x:c r="A9" s="9" t="str">
        <x:v>วิศวกรรมเมคคาทรอนิกส์ / หุ่นยนต์</x:v>
      </x:c>
      <x:c r="B9" s="9" t="n">
        <x:v>5</x:v>
      </x:c>
      <x:c r="C9" s="9" t="str">
        <x:v>มหาวิทยาลัยเทคโนโลยีสุรนารี</x:v>
      </x:c>
      <x:c r="D9" s="9" t="str">
        <x:v>ตรวจสอบชื่อคณะ/หลักสูตรและรอบรับสมัครล่าสุดใน MyTCAS</x:v>
      </x:c>
      <x:c r="E9" s="9" t="str">
        <x:v>https://course.mytcas.com/</x:v>
      </x:c>
    </x:row>
    <x:row r="10">
      <x:c r="A10" s="9" t="str">
        <x:v>วิทยาการคอมพิวเตอร์ / IT</x:v>
      </x:c>
      <x:c r="B10" s="9" t="n">
        <x:v>1</x:v>
      </x:c>
      <x:c r="C10" s="9" t="str">
        <x:v>จุฬาลงกรณ์มหาวิทยาลัย</x:v>
      </x:c>
      <x:c r="D10" s="9" t="str">
        <x:v>ตรวจสอบชื่อคณะ/หลักสูตรและรอบรับสมัครล่าสุดใน MyTCAS</x:v>
      </x:c>
      <x:c r="E10" s="9" t="str">
        <x:v>https://course.mytcas.com/</x:v>
      </x:c>
    </x:row>
    <x:row r="11">
      <x:c r="A11" s="9" t="str">
        <x:v>วิทยาการคอมพิวเตอร์ / IT</x:v>
      </x:c>
      <x:c r="B11" s="9" t="n">
        <x:v>2</x:v>
      </x:c>
      <x:c r="C11" s="9" t="str">
        <x:v>มหาวิทยาลัยเทคโนโลยีพระจอมเกล้าธนบุรี</x:v>
      </x:c>
      <x:c r="D11" s="9" t="str">
        <x:v>ตรวจสอบชื่อคณะ/หลักสูตรและรอบรับสมัครล่าสุดใน MyTCAS</x:v>
      </x:c>
      <x:c r="E11" s="9" t="str">
        <x:v>https://course.mytcas.com/</x:v>
      </x:c>
    </x:row>
    <x:row r="12">
      <x:c r="A12" s="9" t="str">
        <x:v>วิทยาการคอมพิวเตอร์ / IT</x:v>
      </x:c>
      <x:c r="B12" s="9" t="n">
        <x:v>3</x:v>
      </x:c>
      <x:c r="C12" s="9" t="str">
        <x:v>สถาบันเทคโนโลยีพระจอมเกล้าเจ้าคุณทหารลาดกระบัง</x:v>
      </x:c>
      <x:c r="D12" s="9" t="str">
        <x:v>ตรวจสอบชื่อคณะ/หลักสูตรและรอบรับสมัครล่าสุดใน MyTCAS</x:v>
      </x:c>
      <x:c r="E12" s="9" t="str">
        <x:v>https://course.mytcas.com/</x:v>
      </x:c>
    </x:row>
    <x:row r="13">
      <x:c r="A13" s="9" t="str">
        <x:v>วิทยาการคอมพิวเตอร์ / IT</x:v>
      </x:c>
      <x:c r="B13" s="9" t="n">
        <x:v>4</x:v>
      </x:c>
      <x:c r="C13" s="9" t="str">
        <x:v>มหาวิทยาลัยเกษตรศาสตร์</x:v>
      </x:c>
      <x:c r="D13" s="9" t="str">
        <x:v>ตรวจสอบชื่อคณะ/หลักสูตรและรอบรับสมัครล่าสุดใน MyTCAS</x:v>
      </x:c>
      <x:c r="E13" s="9" t="str">
        <x:v>https://course.mytcas.com/</x:v>
      </x:c>
    </x:row>
    <x:row r="14">
      <x:c r="A14" s="9" t="str">
        <x:v>วิทยาการคอมพิวเตอร์ / IT</x:v>
      </x:c>
      <x:c r="B14" s="9" t="n">
        <x:v>5</x:v>
      </x:c>
      <x:c r="C14" s="9" t="str">
        <x:v>มหาวิทยาลัยมหิดล</x:v>
      </x:c>
      <x:c r="D14" s="9" t="str">
        <x:v>ตรวจสอบชื่อคณะ/หลักสูตรและรอบรับสมัครล่าสุดใน MyTCAS</x:v>
      </x:c>
      <x:c r="E14" s="9" t="str">
        <x:v>https://course.mytcas.com/</x:v>
      </x:c>
    </x:row>
    <x:row r="15">
      <x:c r="A15" s="9" t="str">
        <x:v>สถิติ / Data Science</x:v>
      </x:c>
      <x:c r="B15" s="9" t="n">
        <x:v>1</x:v>
      </x:c>
      <x:c r="C15" s="9" t="str">
        <x:v>จุฬาลงกรณ์มหาวิทยาลัย</x:v>
      </x:c>
      <x:c r="D15" s="9" t="str">
        <x:v>ตรวจสอบชื่อคณะ/หลักสูตรและรอบรับสมัครล่าสุดใน MyTCAS</x:v>
      </x:c>
      <x:c r="E15" s="9" t="str">
        <x:v>https://course.mytcas.com/</x:v>
      </x:c>
    </x:row>
    <x:row r="16">
      <x:c r="A16" s="9" t="str">
        <x:v>สถิติ / Data Science</x:v>
      </x:c>
      <x:c r="B16" s="9" t="n">
        <x:v>2</x:v>
      </x:c>
      <x:c r="C16" s="9" t="str">
        <x:v>มหาวิทยาลัยธรรมศาสตร์</x:v>
      </x:c>
      <x:c r="D16" s="9" t="str">
        <x:v>ตรวจสอบชื่อคณะ/หลักสูตรและรอบรับสมัครล่าสุดใน MyTCAS</x:v>
      </x:c>
      <x:c r="E16" s="9" t="str">
        <x:v>https://course.mytcas.com/</x:v>
      </x:c>
    </x:row>
    <x:row r="17">
      <x:c r="A17" s="9" t="str">
        <x:v>สถิติ / Data Science</x:v>
      </x:c>
      <x:c r="B17" s="9" t="n">
        <x:v>3</x:v>
      </x:c>
      <x:c r="C17" s="9" t="str">
        <x:v>มหาวิทยาลัยมหิดล</x:v>
      </x:c>
      <x:c r="D17" s="9" t="str">
        <x:v>ตรวจสอบชื่อคณะ/หลักสูตรและรอบรับสมัครล่าสุดใน MyTCAS</x:v>
      </x:c>
      <x:c r="E17" s="9" t="str">
        <x:v>https://course.mytcas.com/</x:v>
      </x:c>
    </x:row>
    <x:row r="18">
      <x:c r="A18" s="9" t="str">
        <x:v>สถิติ / Data Science</x:v>
      </x:c>
      <x:c r="B18" s="9" t="n">
        <x:v>4</x:v>
      </x:c>
      <x:c r="C18" s="9" t="str">
        <x:v>มหาวิทยาลัยเกษตรศาสตร์</x:v>
      </x:c>
      <x:c r="D18" s="9" t="str">
        <x:v>ตรวจสอบชื่อคณะ/หลักสูตรและรอบรับสมัครล่าสุดใน MyTCAS</x:v>
      </x:c>
      <x:c r="E18" s="9" t="str">
        <x:v>https://course.mytcas.com/</x:v>
      </x:c>
    </x:row>
    <x:row r="19">
      <x:c r="A19" s="9" t="str">
        <x:v>สถิติ / Data Science</x:v>
      </x:c>
      <x:c r="B19" s="9" t="n">
        <x:v>5</x:v>
      </x:c>
      <x:c r="C19" s="9" t="str">
        <x:v>มหาวิทยาลัยเชียงใหม่</x:v>
      </x:c>
      <x:c r="D19" s="9" t="str">
        <x:v>ตรวจสอบชื่อคณะ/หลักสูตรและรอบรับสมัครล่าสุดใน MyTCAS</x:v>
      </x:c>
      <x:c r="E19" s="9" t="str">
        <x:v>https://course.mytcas.com/</x:v>
      </x:c>
    </x:row>
    <x:row r="20">
      <x:c r="A20" s="9" t="str">
        <x:v>ออกแบบนิเทศศิลป์ / IT</x:v>
      </x:c>
      <x:c r="B20" s="9" t="n">
        <x:v>1</x:v>
      </x:c>
      <x:c r="C20" s="9" t="str">
        <x:v>จุฬาลงกรณ์มหาวิทยาลัย</x:v>
      </x:c>
      <x:c r="D20" s="9" t="str">
        <x:v>ตรวจสอบชื่อคณะ/หลักสูตรและรอบรับสมัครล่าสุดใน MyTCAS</x:v>
      </x:c>
      <x:c r="E20" s="9" t="str">
        <x:v>https://course.mytcas.com/</x:v>
      </x:c>
    </x:row>
    <x:row r="21">
      <x:c r="A21" s="9" t="str">
        <x:v>ออกแบบนิเทศศิลป์ / IT</x:v>
      </x:c>
      <x:c r="B21" s="9" t="n">
        <x:v>2</x:v>
      </x:c>
      <x:c r="C21" s="9" t="str">
        <x:v>มหาวิทยาลัยเทคโนโลยีพระจอมเกล้าธนบุรี</x:v>
      </x:c>
      <x:c r="D21" s="9" t="str">
        <x:v>ตรวจสอบชื่อคณะ/หลักสูตรและรอบรับสมัครล่าสุดใน MyTCAS</x:v>
      </x:c>
      <x:c r="E21" s="9" t="str">
        <x:v>https://course.mytcas.com/</x:v>
      </x:c>
    </x:row>
    <x:row r="22">
      <x:c r="A22" s="9" t="str">
        <x:v>ออกแบบนิเทศศิลป์ / IT</x:v>
      </x:c>
      <x:c r="B22" s="9" t="n">
        <x:v>3</x:v>
      </x:c>
      <x:c r="C22" s="9" t="str">
        <x:v>สถาบันเทคโนโลยีพระจอมเกล้าเจ้าคุณทหารลาดกระบัง</x:v>
      </x:c>
      <x:c r="D22" s="9" t="str">
        <x:v>ตรวจสอบชื่อคณะ/หลักสูตรและรอบรับสมัครล่าสุดใน MyTCAS</x:v>
      </x:c>
      <x:c r="E22" s="9" t="str">
        <x:v>https://course.mytcas.com/</x:v>
      </x:c>
    </x:row>
    <x:row r="23">
      <x:c r="A23" s="9" t="str">
        <x:v>ออกแบบนิเทศศิลป์ / IT</x:v>
      </x:c>
      <x:c r="B23" s="9" t="n">
        <x:v>4</x:v>
      </x:c>
      <x:c r="C23" s="9" t="str">
        <x:v>มหาวิทยาลัยศิลปากร</x:v>
      </x:c>
      <x:c r="D23" s="9" t="str">
        <x:v>ตรวจสอบชื่อคณะ/หลักสูตรและรอบรับสมัครล่าสุดใน MyTCAS</x:v>
      </x:c>
      <x:c r="E23" s="9" t="str">
        <x:v>https://course.mytcas.com/</x:v>
      </x:c>
    </x:row>
    <x:row r="24">
      <x:c r="A24" s="9" t="str">
        <x:v>ออกแบบนิเทศศิลป์ / IT</x:v>
      </x:c>
      <x:c r="B24" s="9" t="n">
        <x:v>5</x:v>
      </x:c>
      <x:c r="C24" s="9" t="str">
        <x:v>มหาวิทยาลัยกรุงเทพ</x:v>
      </x:c>
      <x:c r="D24" s="9" t="str">
        <x:v>ตรวจสอบชื่อคณะ/หลักสูตรและรอบรับสมัครล่าสุดใน MyTCAS</x:v>
      </x:c>
      <x:c r="E24" s="9" t="str">
        <x:v>https://course.mytcas.com/</x:v>
      </x:c>
    </x:row>
    <x:row r="25">
      <x:c r="A25" s="9" t="str">
        <x:v>ครุศาสตร์ / ศึกษาศาสตร์</x:v>
      </x:c>
      <x:c r="B25" s="9" t="n">
        <x:v>1</x:v>
      </x:c>
      <x:c r="C25" s="9" t="str">
        <x:v>จุฬาลงกรณ์มหาวิทยาลัย</x:v>
      </x:c>
      <x:c r="D25" s="9" t="str">
        <x:v>ตรวจสอบชื่อคณะ/หลักสูตรและรอบรับสมัครล่าสุดใน MyTCAS</x:v>
      </x:c>
      <x:c r="E25" s="9" t="str">
        <x:v>https://course.mytcas.com/</x:v>
      </x:c>
    </x:row>
    <x:row r="26">
      <x:c r="A26" s="9" t="str">
        <x:v>ครุศาสตร์ / ศึกษาศาสตร์</x:v>
      </x:c>
      <x:c r="B26" s="9" t="n">
        <x:v>2</x:v>
      </x:c>
      <x:c r="C26" s="9" t="str">
        <x:v>มหาวิทยาลัยเกษตรศาสตร์</x:v>
      </x:c>
      <x:c r="D26" s="9" t="str">
        <x:v>ตรวจสอบชื่อคณะ/หลักสูตรและรอบรับสมัครล่าสุดใน MyTCAS</x:v>
      </x:c>
      <x:c r="E26" s="9" t="str">
        <x:v>https://course.mytcas.com/</x:v>
      </x:c>
    </x:row>
    <x:row r="27">
      <x:c r="A27" s="9" t="str">
        <x:v>ครุศาสตร์ / ศึกษาศาสตร์</x:v>
      </x:c>
      <x:c r="B27" s="9" t="n">
        <x:v>3</x:v>
      </x:c>
      <x:c r="C27" s="9" t="str">
        <x:v>มหาวิทยาลัยเชียงใหม่</x:v>
      </x:c>
      <x:c r="D27" s="9" t="str">
        <x:v>ตรวจสอบชื่อคณะ/หลักสูตรและรอบรับสมัครล่าสุดใน MyTCAS</x:v>
      </x:c>
      <x:c r="E27" s="9" t="str">
        <x:v>https://course.mytcas.com/</x:v>
      </x:c>
    </x:row>
    <x:row r="28">
      <x:c r="A28" s="9" t="str">
        <x:v>ครุศาสตร์ / ศึกษาศาสตร์</x:v>
      </x:c>
      <x:c r="B28" s="9" t="n">
        <x:v>4</x:v>
      </x:c>
      <x:c r="C28" s="9" t="str">
        <x:v>มหาวิทยาลัยขอนแก่น</x:v>
      </x:c>
      <x:c r="D28" s="9" t="str">
        <x:v>ตรวจสอบชื่อคณะ/หลักสูตรและรอบรับสมัครล่าสุดใน MyTCAS</x:v>
      </x:c>
      <x:c r="E28" s="9" t="str">
        <x:v>https://course.mytcas.com/</x:v>
      </x:c>
    </x:row>
    <x:row r="29">
      <x:c r="A29" s="9" t="str">
        <x:v>ครุศาสตร์ / ศึกษาศาสตร์</x:v>
      </x:c>
      <x:c r="B29" s="9" t="n">
        <x:v>5</x:v>
      </x:c>
      <x:c r="C29" s="9" t="str">
        <x:v>มหาวิทยาลัยศรีนครินทรวิโรฒ</x:v>
      </x:c>
      <x:c r="D29" s="9" t="str">
        <x:v>ตรวจสอบชื่อคณะ/หลักสูตรและรอบรับสมัครล่าสุดใน MyTCAS</x:v>
      </x:c>
      <x:c r="E29" s="9" t="str">
        <x:v>https://course.mytcas.com/</x:v>
      </x:c>
    </x:row>
    <x:row r="30">
      <x:c r="A30" s="9" t="str">
        <x:v>จิตวิทยา</x:v>
      </x:c>
      <x:c r="B30" s="9" t="n">
        <x:v>1</x:v>
      </x:c>
      <x:c r="C30" s="9" t="str">
        <x:v>จุฬาลงกรณ์มหาวิทยาลัย</x:v>
      </x:c>
      <x:c r="D30" s="9" t="str">
        <x:v>ตรวจสอบชื่อคณะ/หลักสูตรและรอบรับสมัครล่าสุดใน MyTCAS</x:v>
      </x:c>
      <x:c r="E30" s="9" t="str">
        <x:v>https://course.mytcas.com/</x:v>
      </x:c>
    </x:row>
    <x:row r="31">
      <x:c r="A31" s="9" t="str">
        <x:v>จิตวิทยา</x:v>
      </x:c>
      <x:c r="B31" s="9" t="n">
        <x:v>2</x:v>
      </x:c>
      <x:c r="C31" s="9" t="str">
        <x:v>มหาวิทยาลัยธรรมศาสตร์</x:v>
      </x:c>
      <x:c r="D31" s="9" t="str">
        <x:v>ตรวจสอบชื่อคณะ/หลักสูตรและรอบรับสมัครล่าสุดใน MyTCAS</x:v>
      </x:c>
      <x:c r="E31" s="9" t="str">
        <x:v>https://course.mytcas.com/</x:v>
      </x:c>
    </x:row>
    <x:row r="32">
      <x:c r="A32" s="9" t="str">
        <x:v>จิตวิทยา</x:v>
      </x:c>
      <x:c r="B32" s="9" t="n">
        <x:v>3</x:v>
      </x:c>
      <x:c r="C32" s="9" t="str">
        <x:v>มหาวิทยาลัยเกษตรศาสตร์</x:v>
      </x:c>
      <x:c r="D32" s="9" t="str">
        <x:v>ตรวจสอบชื่อคณะ/หลักสูตรและรอบรับสมัครล่าสุดใน MyTCAS</x:v>
      </x:c>
      <x:c r="E32" s="9" t="str">
        <x:v>https://course.mytcas.com/</x:v>
      </x:c>
    </x:row>
    <x:row r="33">
      <x:c r="A33" s="9" t="str">
        <x:v>จิตวิทยา</x:v>
      </x:c>
      <x:c r="B33" s="9" t="n">
        <x:v>4</x:v>
      </x:c>
      <x:c r="C33" s="9" t="str">
        <x:v>มหาวิทยาลัยเชียงใหม่</x:v>
      </x:c>
      <x:c r="D33" s="9" t="str">
        <x:v>ตรวจสอบชื่อคณะ/หลักสูตรและรอบรับสมัครล่าสุดใน MyTCAS</x:v>
      </x:c>
      <x:c r="E33" s="9" t="str">
        <x:v>https://course.mytcas.com/</x:v>
      </x:c>
    </x:row>
    <x:row r="34">
      <x:c r="A34" s="9" t="str">
        <x:v>จิตวิทยา</x:v>
      </x:c>
      <x:c r="B34" s="9" t="n">
        <x:v>5</x:v>
      </x:c>
      <x:c r="C34" s="9" t="str">
        <x:v>มหาวิทยาลัยศรีนครินทรวิโรฒ</x:v>
      </x:c>
      <x:c r="D34" s="9" t="str">
        <x:v>ตรวจสอบชื่อคณะ/หลักสูตรและรอบรับสมัครล่าสุดใน MyTCAS</x:v>
      </x:c>
      <x:c r="E34" s="9" t="str">
        <x:v>https://course.mytcas.com/</x:v>
      </x:c>
    </x:row>
    <x:row r="35">
      <x:c r="A35" s="9" t="str">
        <x:v>พยาบาลศาสตร์</x:v>
      </x:c>
      <x:c r="B35" s="9" t="n">
        <x:v>1</x:v>
      </x:c>
      <x:c r="C35" s="9" t="str">
        <x:v>มหาวิทยาลัยมหิดล</x:v>
      </x:c>
      <x:c r="D35" s="9" t="str">
        <x:v>ตรวจสอบชื่อคณะ/หลักสูตรและรอบรับสมัครล่าสุดใน MyTCAS</x:v>
      </x:c>
      <x:c r="E35" s="9" t="str">
        <x:v>https://course.mytcas.com/</x:v>
      </x:c>
    </x:row>
    <x:row r="36">
      <x:c r="A36" s="9" t="str">
        <x:v>พยาบาลศาสตร์</x:v>
      </x:c>
      <x:c r="B36" s="9" t="n">
        <x:v>2</x:v>
      </x:c>
      <x:c r="C36" s="9" t="str">
        <x:v>จุฬาลงกรณ์มหาวิทยาลัย</x:v>
      </x:c>
      <x:c r="D36" s="9" t="str">
        <x:v>ตรวจสอบชื่อคณะ/หลักสูตรและรอบรับสมัครล่าสุดใน MyTCAS</x:v>
      </x:c>
      <x:c r="E36" s="9" t="str">
        <x:v>https://course.mytcas.com/</x:v>
      </x:c>
    </x:row>
    <x:row r="37">
      <x:c r="A37" s="9" t="str">
        <x:v>พยาบาลศาสตร์</x:v>
      </x:c>
      <x:c r="B37" s="9" t="n">
        <x:v>3</x:v>
      </x:c>
      <x:c r="C37" s="9" t="str">
        <x:v>มหาวิทยาลัยเชียงใหม่</x:v>
      </x:c>
      <x:c r="D37" s="9" t="str">
        <x:v>ตรวจสอบชื่อคณะ/หลักสูตรและรอบรับสมัครล่าสุดใน MyTCAS</x:v>
      </x:c>
      <x:c r="E37" s="9" t="str">
        <x:v>https://course.mytcas.com/</x:v>
      </x:c>
    </x:row>
    <x:row r="38">
      <x:c r="A38" s="9" t="str">
        <x:v>พยาบาลศาสตร์</x:v>
      </x:c>
      <x:c r="B38" s="9" t="n">
        <x:v>4</x:v>
      </x:c>
      <x:c r="C38" s="9" t="str">
        <x:v>มหาวิทยาลัยขอนแก่น</x:v>
      </x:c>
      <x:c r="D38" s="9" t="str">
        <x:v>ตรวจสอบชื่อคณะ/หลักสูตรและรอบรับสมัครล่าสุดใน MyTCAS</x:v>
      </x:c>
      <x:c r="E38" s="9" t="str">
        <x:v>https://course.mytcas.com/</x:v>
      </x:c>
    </x:row>
    <x:row r="39">
      <x:c r="A39" s="9" t="str">
        <x:v>พยาบาลศาสตร์</x:v>
      </x:c>
      <x:c r="B39" s="9" t="n">
        <x:v>5</x:v>
      </x:c>
      <x:c r="C39" s="9" t="str">
        <x:v>มหาวิทยาลัยสงขลานครินทร์</x:v>
      </x:c>
      <x:c r="D39" s="9" t="str">
        <x:v>ตรวจสอบชื่อคณะ/หลักสูตรและรอบรับสมัครล่าสุดใน MyTCAS</x:v>
      </x:c>
      <x:c r="E39" s="9" t="str">
        <x:v>https://course.mytcas.com/</x:v>
      </x:c>
    </x:row>
    <x:row r="40">
      <x:c r="A40" s="9" t="str">
        <x:v>บริหารธุรกิจ / ผู้ประกอบการ</x:v>
      </x:c>
      <x:c r="B40" s="9" t="n">
        <x:v>1</x:v>
      </x:c>
      <x:c r="C40" s="9" t="str">
        <x:v>จุฬาลงกรณ์มหาวิทยาลัย</x:v>
      </x:c>
      <x:c r="D40" s="9" t="str">
        <x:v>ตรวจสอบชื่อคณะ/หลักสูตรและรอบรับสมัครล่าสุดใน MyTCAS</x:v>
      </x:c>
      <x:c r="E40" s="9" t="str">
        <x:v>https://course.mytcas.com/</x:v>
      </x:c>
    </x:row>
    <x:row r="41">
      <x:c r="A41" s="9" t="str">
        <x:v>บริหารธุรกิจ / ผู้ประกอบการ</x:v>
      </x:c>
      <x:c r="B41" s="9" t="n">
        <x:v>2</x:v>
      </x:c>
      <x:c r="C41" s="9" t="str">
        <x:v>มหาวิทยาลัยธรรมศาสตร์</x:v>
      </x:c>
      <x:c r="D41" s="9" t="str">
        <x:v>ตรวจสอบชื่อคณะ/หลักสูตรและรอบรับสมัครล่าสุดใน MyTCAS</x:v>
      </x:c>
      <x:c r="E41" s="9" t="str">
        <x:v>https://course.mytcas.com/</x:v>
      </x:c>
    </x:row>
    <x:row r="42">
      <x:c r="A42" s="9" t="str">
        <x:v>บริหารธุรกิจ / ผู้ประกอบการ</x:v>
      </x:c>
      <x:c r="B42" s="9" t="n">
        <x:v>3</x:v>
      </x:c>
      <x:c r="C42" s="9" t="str">
        <x:v>มหาวิทยาลัยมหิดล</x:v>
      </x:c>
      <x:c r="D42" s="9" t="str">
        <x:v>ตรวจสอบชื่อคณะ/หลักสูตรและรอบรับสมัครล่าสุดใน MyTCAS</x:v>
      </x:c>
      <x:c r="E42" s="9" t="str">
        <x:v>https://course.mytcas.com/</x:v>
      </x:c>
    </x:row>
    <x:row r="43">
      <x:c r="A43" s="9" t="str">
        <x:v>บริหารธุรกิจ / ผู้ประกอบการ</x:v>
      </x:c>
      <x:c r="B43" s="9" t="n">
        <x:v>4</x:v>
      </x:c>
      <x:c r="C43" s="9" t="str">
        <x:v>มหาวิทยาลัยเกษตรศาสตร์</x:v>
      </x:c>
      <x:c r="D43" s="9" t="str">
        <x:v>ตรวจสอบชื่อคณะ/หลักสูตรและรอบรับสมัครล่าสุดใน MyTCAS</x:v>
      </x:c>
      <x:c r="E43" s="9" t="str">
        <x:v>https://course.mytcas.com/</x:v>
      </x:c>
    </x:row>
    <x:row r="44">
      <x:c r="A44" s="9" t="str">
        <x:v>บริหารธุรกิจ / ผู้ประกอบการ</x:v>
      </x:c>
      <x:c r="B44" s="9" t="n">
        <x:v>5</x:v>
      </x:c>
      <x:c r="C44" s="9" t="str">
        <x:v>มหาวิทยาลัยเชียงใหม่</x:v>
      </x:c>
      <x:c r="D44" s="9" t="str">
        <x:v>ตรวจสอบชื่อคณะ/หลักสูตรและรอบรับสมัครล่าสุดใน MyTCAS</x:v>
      </x:c>
      <x:c r="E44" s="9" t="str">
        <x:v>https://course.mytcas.com/</x:v>
      </x:c>
    </x:row>
    <x:row r="45">
      <x:c r="A45" s="9" t="str">
        <x:v>การตลาด / นิเทศศาสตร์</x:v>
      </x:c>
      <x:c r="B45" s="9" t="n">
        <x:v>1</x:v>
      </x:c>
      <x:c r="C45" s="9" t="str">
        <x:v>จุฬาลงกรณ์มหาวิทยาลัย</x:v>
      </x:c>
      <x:c r="D45" s="9" t="str">
        <x:v>ตรวจสอบชื่อคณะ/หลักสูตรและรอบรับสมัครล่าสุดใน MyTCAS</x:v>
      </x:c>
      <x:c r="E45" s="9" t="str">
        <x:v>https://course.mytcas.com/</x:v>
      </x:c>
    </x:row>
    <x:row r="46">
      <x:c r="A46" s="9" t="str">
        <x:v>การตลาด / นิเทศศาสตร์</x:v>
      </x:c>
      <x:c r="B46" s="9" t="n">
        <x:v>2</x:v>
      </x:c>
      <x:c r="C46" s="9" t="str">
        <x:v>มหาวิทยาลัยธรรมศาสตร์</x:v>
      </x:c>
      <x:c r="D46" s="9" t="str">
        <x:v>ตรวจสอบชื่อคณะ/หลักสูตรและรอบรับสมัครล่าสุดใน MyTCAS</x:v>
      </x:c>
      <x:c r="E46" s="9" t="str">
        <x:v>https://course.mytcas.com/</x:v>
      </x:c>
    </x:row>
    <x:row r="47">
      <x:c r="A47" s="9" t="str">
        <x:v>การตลาด / นิเทศศาสตร์</x:v>
      </x:c>
      <x:c r="B47" s="9" t="n">
        <x:v>3</x:v>
      </x:c>
      <x:c r="C47" s="9" t="str">
        <x:v>มหาวิทยาลัยมหิดล</x:v>
      </x:c>
      <x:c r="D47" s="9" t="str">
        <x:v>ตรวจสอบชื่อคณะ/หลักสูตรและรอบรับสมัครล่าสุดใน MyTCAS</x:v>
      </x:c>
      <x:c r="E47" s="9" t="str">
        <x:v>https://course.mytcas.com/</x:v>
      </x:c>
    </x:row>
    <x:row r="48">
      <x:c r="A48" s="9" t="str">
        <x:v>การตลาด / นิเทศศาสตร์</x:v>
      </x:c>
      <x:c r="B48" s="9" t="n">
        <x:v>4</x:v>
      </x:c>
      <x:c r="C48" s="9" t="str">
        <x:v>มหาวิทยาลัยเกษตรศาสตร์</x:v>
      </x:c>
      <x:c r="D48" s="9" t="str">
        <x:v>ตรวจสอบชื่อคณะ/หลักสูตรและรอบรับสมัครล่าสุดใน MyTCAS</x:v>
      </x:c>
      <x:c r="E48" s="9" t="str">
        <x:v>https://course.mytcas.com/</x:v>
      </x:c>
    </x:row>
    <x:row r="49">
      <x:c r="A49" s="9" t="str">
        <x:v>การตลาด / นิเทศศาสตร์</x:v>
      </x:c>
      <x:c r="B49" s="9" t="n">
        <x:v>5</x:v>
      </x:c>
      <x:c r="C49" s="9" t="str">
        <x:v>มหาวิทยาลัยเชียงใหม่</x:v>
      </x:c>
      <x:c r="D49" s="9" t="str">
        <x:v>ตรวจสอบชื่อคณะ/หลักสูตรและรอบรับสมัครล่าสุดใน MyTCAS</x:v>
      </x:c>
      <x:c r="E49" s="9" t="str">
        <x:v>https://course.mytcas.com/</x:v>
      </x:c>
    </x:row>
    <x:row r="50">
      <x:c r="A50" s="9" t="str">
        <x:v>บัญชี</x:v>
      </x:c>
      <x:c r="B50" s="9" t="n">
        <x:v>1</x:v>
      </x:c>
      <x:c r="C50" s="9" t="str">
        <x:v>จุฬาลงกรณ์มหาวิทยาลัย</x:v>
      </x:c>
      <x:c r="D50" s="9" t="str">
        <x:v>ตรวจสอบชื่อคณะ/หลักสูตรและรอบรับสมัครล่าสุดใน MyTCAS</x:v>
      </x:c>
      <x:c r="E50" s="9" t="str">
        <x:v>https://course.mytcas.com/</x:v>
      </x:c>
    </x:row>
    <x:row r="51">
      <x:c r="A51" s="9" t="str">
        <x:v>บัญชี</x:v>
      </x:c>
      <x:c r="B51" s="9" t="n">
        <x:v>2</x:v>
      </x:c>
      <x:c r="C51" s="9" t="str">
        <x:v>มหาวิทยาลัยธรรมศาสตร์</x:v>
      </x:c>
      <x:c r="D51" s="9" t="str">
        <x:v>ตรวจสอบชื่อคณะ/หลักสูตรและรอบรับสมัครล่าสุดใน MyTCAS</x:v>
      </x:c>
      <x:c r="E51" s="9" t="str">
        <x:v>https://course.mytcas.com/</x:v>
      </x:c>
    </x:row>
    <x:row r="52">
      <x:c r="A52" s="9" t="str">
        <x:v>บัญชี</x:v>
      </x:c>
      <x:c r="B52" s="9" t="n">
        <x:v>3</x:v>
      </x:c>
      <x:c r="C52" s="9" t="str">
        <x:v>มหาวิทยาลัยเกษตรศาสตร์</x:v>
      </x:c>
      <x:c r="D52" s="9" t="str">
        <x:v>ตรวจสอบชื่อคณะ/หลักสูตรและรอบรับสมัครล่าสุดใน MyTCAS</x:v>
      </x:c>
      <x:c r="E52" s="9" t="str">
        <x:v>https://course.mytcas.com/</x:v>
      </x:c>
    </x:row>
    <x:row r="53">
      <x:c r="A53" s="9" t="str">
        <x:v>บัญชี</x:v>
      </x:c>
      <x:c r="B53" s="9" t="n">
        <x:v>4</x:v>
      </x:c>
      <x:c r="C53" s="9" t="str">
        <x:v>มหาวิทยาลัยมหิดล</x:v>
      </x:c>
      <x:c r="D53" s="9" t="str">
        <x:v>ตรวจสอบชื่อคณะ/หลักสูตรและรอบรับสมัครล่าสุดใน MyTCAS</x:v>
      </x:c>
      <x:c r="E53" s="9" t="str">
        <x:v>https://course.mytcas.com/</x:v>
      </x:c>
    </x:row>
    <x:row r="54">
      <x:c r="A54" s="9" t="str">
        <x:v>บัญชี</x:v>
      </x:c>
      <x:c r="B54" s="9" t="n">
        <x:v>5</x:v>
      </x:c>
      <x:c r="C54" s="9" t="str">
        <x:v>มหาวิทยาลัยเชียงใหม่</x:v>
      </x:c>
      <x:c r="D54" s="9" t="str">
        <x:v>ตรวจสอบชื่อคณะ/หลักสูตรและรอบรับสมัครล่าสุดใน MyTCAS</x:v>
      </x:c>
      <x:c r="E54" s="9" t="str">
        <x:v>https://course.mytcas.com/</x:v>
      </x:c>
    </x:row>
    <x:row r="55">
      <x:c r="A55" s="9" t="str">
        <x:v>โลจิสติกส์ / วิศวกรรมอุตสาหการ</x:v>
      </x:c>
      <x:c r="B55" s="9" t="n">
        <x:v>1</x:v>
      </x:c>
      <x:c r="C55" s="9" t="str">
        <x:v>มหาวิทยาลัยบูรพา</x:v>
      </x:c>
      <x:c r="D55" s="9" t="str">
        <x:v>ตรวจสอบชื่อคณะ/หลักสูตรและรอบรับสมัครล่าสุดใน MyTCAS</x:v>
      </x:c>
      <x:c r="E55" s="9" t="str">
        <x:v>https://course.mytcas.com/</x:v>
      </x:c>
    </x:row>
    <x:row r="56">
      <x:c r="A56" s="9" t="str">
        <x:v>โลจิสติกส์ / วิศวกรรมอุตสาหการ</x:v>
      </x:c>
      <x:c r="B56" s="9" t="n">
        <x:v>2</x:v>
      </x:c>
      <x:c r="C56" s="9" t="str">
        <x:v>มหาวิทยาลัยเกษตรศาสตร์</x:v>
      </x:c>
      <x:c r="D56" s="9" t="str">
        <x:v>ตรวจสอบชื่อคณะ/หลักสูตรและรอบรับสมัครล่าสุดใน MyTCAS</x:v>
      </x:c>
      <x:c r="E56" s="9" t="str">
        <x:v>https://course.mytcas.com/</x:v>
      </x:c>
    </x:row>
    <x:row r="57">
      <x:c r="A57" s="9" t="str">
        <x:v>โลจิสติกส์ / วิศวกรรมอุตสาหการ</x:v>
      </x:c>
      <x:c r="B57" s="9" t="n">
        <x:v>3</x:v>
      </x:c>
      <x:c r="C57" s="9" t="str">
        <x:v>มหาวิทยาลัยเทคโนโลยีพระจอมเกล้าธนบุรี</x:v>
      </x:c>
      <x:c r="D57" s="9" t="str">
        <x:v>ตรวจสอบชื่อคณะ/หลักสูตรและรอบรับสมัครล่าสุดใน MyTCAS</x:v>
      </x:c>
      <x:c r="E57" s="9" t="str">
        <x:v>https://course.mytcas.com/</x:v>
      </x:c>
    </x:row>
    <x:row r="58">
      <x:c r="A58" s="9" t="str">
        <x:v>โลจิสติกส์ / วิศวกรรมอุตสาหการ</x:v>
      </x:c>
      <x:c r="B58" s="9" t="n">
        <x:v>4</x:v>
      </x:c>
      <x:c r="C58" s="9" t="str">
        <x:v>สถาบันเทคโนโลยีพระจอมเกล้าเจ้าคุณทหารลาดกระบัง</x:v>
      </x:c>
      <x:c r="D58" s="9" t="str">
        <x:v>ตรวจสอบชื่อคณะ/หลักสูตรและรอบรับสมัครล่าสุดใน MyTCAS</x:v>
      </x:c>
      <x:c r="E58" s="9" t="str">
        <x:v>https://course.mytcas.com/</x:v>
      </x:c>
    </x:row>
    <x:row r="59">
      <x:c r="A59" s="9" t="str">
        <x:v>โลจิสติกส์ / วิศวกรรมอุตสาหการ</x:v>
      </x:c>
      <x:c r="B59" s="9" t="n">
        <x:v>5</x:v>
      </x:c>
      <x:c r="C59" s="9" t="str">
        <x:v>มหาวิทยาลัยนเรศวร</x:v>
      </x:c>
      <x:c r="D59" s="9" t="str">
        <x:v>ตรวจสอบชื่อคณะ/หลักสูตรและรอบรับสมัครล่าสุดใน MyTCAS</x:v>
      </x:c>
      <x:c r="E59" s="9" t="str">
        <x:v>https://course.mytcas.com/</x:v>
      </x:c>
    </x:row>
    <x:row r="60">
      <x:c r="A60" s="9" t="str">
        <x:v>เกษตรศาสตร์ / เกษตรดิจิทัล</x:v>
      </x:c>
      <x:c r="B60" s="9" t="n">
        <x:v>1</x:v>
      </x:c>
      <x:c r="C60" s="9" t="str">
        <x:v>มหาวิทยาลัยเกษตรศาสตร์</x:v>
      </x:c>
      <x:c r="D60" s="9" t="str">
        <x:v>ตรวจสอบชื่อคณะ/หลักสูตรและรอบรับสมัครล่าสุดใน MyTCAS</x:v>
      </x:c>
      <x:c r="E60" s="9" t="str">
        <x:v>https://course.mytcas.com/</x:v>
      </x:c>
    </x:row>
    <x:row r="61">
      <x:c r="A61" s="9" t="str">
        <x:v>เกษตรศาสตร์ / เกษตรดิจิทัล</x:v>
      </x:c>
      <x:c r="B61" s="9" t="n">
        <x:v>2</x:v>
      </x:c>
      <x:c r="C61" s="9" t="str">
        <x:v>มหาวิทยาลัยแม่โจ้</x:v>
      </x:c>
      <x:c r="D61" s="9" t="str">
        <x:v>ตรวจสอบชื่อคณะ/หลักสูตรและรอบรับสมัครล่าสุดใน MyTCAS</x:v>
      </x:c>
      <x:c r="E61" s="9" t="str">
        <x:v>https://course.mytcas.com/</x:v>
      </x:c>
    </x:row>
    <x:row r="62">
      <x:c r="A62" s="9" t="str">
        <x:v>เกษตรศาสตร์ / เกษตรดิจิทัล</x:v>
      </x:c>
      <x:c r="B62" s="9" t="n">
        <x:v>3</x:v>
      </x:c>
      <x:c r="C62" s="9" t="str">
        <x:v>มหาวิทยาลัยขอนแก่น</x:v>
      </x:c>
      <x:c r="D62" s="9" t="str">
        <x:v>ตรวจสอบชื่อคณะ/หลักสูตรและรอบรับสมัครล่าสุดใน MyTCAS</x:v>
      </x:c>
      <x:c r="E62" s="9" t="str">
        <x:v>https://course.mytcas.com/</x:v>
      </x:c>
    </x:row>
    <x:row r="63">
      <x:c r="A63" s="9" t="str">
        <x:v>เกษตรศาสตร์ / เกษตรดิจิทัล</x:v>
      </x:c>
      <x:c r="B63" s="9" t="n">
        <x:v>4</x:v>
      </x:c>
      <x:c r="C63" s="9" t="str">
        <x:v>มหาวิทยาลัยเชียงใหม่</x:v>
      </x:c>
      <x:c r="D63" s="9" t="str">
        <x:v>ตรวจสอบชื่อคณะ/หลักสูตรและรอบรับสมัครล่าสุดใน MyTCAS</x:v>
      </x:c>
      <x:c r="E63" s="9" t="str">
        <x:v>https://course.mytcas.com/</x:v>
      </x:c>
    </x:row>
    <x:row r="64">
      <x:c r="A64" s="9" t="str">
        <x:v>เกษตรศาสตร์ / เกษตรดิจิทัล</x:v>
      </x:c>
      <x:c r="B64" s="9" t="n">
        <x:v>5</x:v>
      </x:c>
      <x:c r="C64" s="9" t="str">
        <x:v>มหาวิทยาลัยสงขลานครินทร์</x:v>
      </x:c>
      <x:c r="D64" s="9" t="str">
        <x:v>ตรวจสอบชื่อคณะ/หลักสูตรและรอบรับสมัครล่าสุดใน MyTCAS</x:v>
      </x:c>
      <x:c r="E64" s="9" t="str">
        <x:v>https://course.mytcas.com/</x:v>
      </x:c>
    </x:row>
  </x:sheetData>
  <x:mergeCells>
    <x:mergeCell ref="A1:E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4" hidden="0" customWidth="1"/>
    <x:col min="3" max="3" width="34" hidden="0" customWidth="1"/>
  </x:cols>
  <x:sheetData>
    <x:row r="1">
      <x:c r="A1" s="4" t="str">
        <x:v>ลิงก์ไทย</x:v>
      </x:c>
      <x:c r="B1" s="4"/>
      <x:c r="C1" s="4"/>
    </x:row>
    <x:row r="2">
      <x:c r="A2" s="5" t="str">
        <x:v>ใช้ในหน้าทรัพยากรและการศึกษาต่อของ Glide</x:v>
      </x:c>
    </x:row>
    <x:row r="4">
      <x:c r="A4" s="23" t="str">
        <x:v>แหล่งข้อมูล</x:v>
      </x:c>
      <x:c r="B4" s="24" t="str">
        <x:v>การใช้งาน</x:v>
      </x:c>
      <x:c r="C4" s="25" t="str">
        <x:v>URL</x:v>
      </x:c>
    </x:row>
    <x:row r="5">
      <x:c r="A5" s="9" t="str">
        <x:v>MyTCAS · ค้นหาหลักสูตร</x:v>
      </x:c>
      <x:c r="B5" s="9" t="str">
        <x:v>ค้นหาคณะ มหาวิทยาลัย และหลักสูตร</x:v>
      </x:c>
      <x:c r="C5" s="9" t="str">
        <x:v>https://course.mytcas.com/</x:v>
      </x:c>
    </x:row>
    <x:row r="6">
      <x:c r="A6" s="9" t="str">
        <x:v>MyTCAS · ระบบ TCAS</x:v>
      </x:c>
      <x:c r="B6" s="9" t="str">
        <x:v>ข้อมูลการรับสมัครระดับอุดมศึกษา</x:v>
      </x:c>
      <x:c r="C6" s="9" t="str">
        <x:v>https://www.mytcas.com/</x:v>
      </x:c>
    </x:row>
    <x:row r="7">
      <x:c r="A7" s="9" t="str">
        <x:v>กระทรวงแรงงาน</x:v>
      </x:c>
      <x:c r="B7" s="9" t="str">
        <x:v>ข่าวและข้อมูลด้านแรงงานไทย</x:v>
      </x:c>
      <x:c r="C7" s="9" t="str">
        <x:v>https://www.mol.go.th/</x:v>
      </x:c>
    </x:row>
    <x:row r="8">
      <x:c r="A8" s="9" t="str">
        <x:v>กรมการจัดหางาน</x:v>
      </x:c>
      <x:c r="B8" s="9" t="str">
        <x:v>บริการหางานและข้อมูลตลาดแรงงาน</x:v>
      </x:c>
      <x:c r="C8" s="9" t="str">
        <x:v>https://www.doe.go.th/</x:v>
      </x:c>
    </x:row>
    <x:row r="9">
      <x:c r="A9" s="9" t="str">
        <x:v>JobThai</x:v>
      </x:c>
      <x:c r="B9" s="9" t="str">
        <x:v>ค้นหางานและฝึกงานในไทย</x:v>
      </x:c>
      <x:c r="C9" s="9" t="str">
        <x:v>https://www.jobthai.com/</x:v>
      </x:c>
    </x:row>
    <x:row r="10">
      <x:c r="A10" s="9" t="str">
        <x:v>JobsDB Thailand</x:v>
      </x:c>
      <x:c r="B10" s="9" t="str">
        <x:v>งานและคำแนะนำอาชีพ</x:v>
      </x:c>
      <x:c r="C10" s="9" t="str">
        <x:v>https://th.jobsdb.com/</x:v>
      </x:c>
    </x:row>
    <x:row r="11">
      <x:c r="A11" s="9" t="str">
        <x:v>JOBBKK</x:v>
      </x:c>
      <x:c r="B11" s="9" t="str">
        <x:v>ค้นหางานและสร้างเรซูเม่</x:v>
      </x:c>
      <x:c r="C11" s="9" t="str">
        <x:v>https://www.jobbkk.com/</x:v>
      </x:c>
    </x:row>
    <x:row r="12">
      <x:c r="A12" s="9" t="str">
        <x:v>JobTH</x:v>
      </x:c>
      <x:c r="B12" s="9" t="str">
        <x:v>ตำแหน่งงานทั่วประเทศไทย</x:v>
      </x:c>
      <x:c r="C12" s="9" t="str">
        <x:v>https://www.jobth.com/</x:v>
      </x:c>
    </x:row>
  </x:sheetData>
  <x:mergeCells>
    <x:mergeCell ref="A1:C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0" hidden="0" customWidth="1"/>
    <x:col min="4" max="4" width="27" hidden="0" customWidth="1"/>
    <x:col min="5" max="5" width="46" hidden="0" customWidth="1"/>
  </x:cols>
  <x:sheetData>
    <x:row r="1">
      <x:c r="A1" s="4" t="str">
        <x:v>สรุปผลห้อง</x:v>
      </x:c>
      <x:c r="B1" s="4"/>
      <x:c r="C1" s="4"/>
      <x:c r="D1" s="4"/>
      <x:c r="E1" s="4"/>
      <x:c r="F1" s="4"/>
      <x:c r="G1" s="4"/>
      <x:c r="H1" s="4"/>
    </x:row>
    <x:row r="2">
      <x:c r="A2" s="5" t="str">
        <x:v>หน้า Dashboard สำหรับครูแนะแนว: สูตรจะนับจากตารางคำตอบนักเรียนอัตโนมัติ</x:v>
      </x:c>
    </x:row>
    <x:row r="4">
      <x:c r="A4" s="31" t="str">
        <x:v>นักเรียนที่ส่งคำตอบ</x:v>
      </x:c>
      <x:c r="B4" s="29" t="n">
        <x:f>COUNTIF('คำตอบนักเรียน'!C5:C205,"&lt;&gt;")</x:f>
        <x:v>1</x:v>
      </x:c>
      <x:c r="D4" s="31" t="str">
        <x:v>คะแนน E เฉลี่ย</x:v>
      </x:c>
      <x:c r="E4" s="29" t="n">
        <x:f>AVERAGEIF('คำตอบนักเรียน'!AV5:AV205,"&gt;=0")</x:f>
        <x:v>5</x:v>
      </x:c>
    </x:row>
    <x:row r="5">
      <x:c r="A5" s="31" t="str">
        <x:v>คะแนน R เฉลี่ย</x:v>
      </x:c>
      <x:c r="B5" s="29" t="n">
        <x:f>AVERAGEIF('คำตอบนักเรียน'!AR5:AR205,"&gt;=0")</x:f>
        <x:v>5</x:v>
      </x:c>
      <x:c r="D5" s="31" t="str">
        <x:v>คะแนน C เฉลี่ย</x:v>
      </x:c>
      <x:c r="E5" s="29" t="n">
        <x:f>AVERAGEIF('คำตอบนักเรียน'!AW5:AW205,"&gt;=0")</x:f>
        <x:v>6</x:v>
      </x:c>
    </x:row>
    <x:row r="6">
      <x:c r="A6" s="31" t="str">
        <x:v>คะแนน I เฉลี่ย</x:v>
      </x:c>
      <x:c r="B6" s="29" t="n">
        <x:f>AVERAGEIF('คำตอบนักเรียน'!AS5:AS205,"&gt;=0")</x:f>
        <x:v>5</x:v>
      </x:c>
      <x:c r="D6" s="31" t="str">
        <x:v>หมายเหตุ</x:v>
      </x:c>
      <x:c r="E6" s="29" t="str">
        <x:v>เพิ่มแถวในคำตอบนักเรียนได้ถึงแถว 205</x:v>
      </x:c>
    </x:row>
    <x:row r="7">
      <x:c r="A7" s="31" t="str">
        <x:v>คะแนน A เฉลี่ย</x:v>
      </x:c>
      <x:c r="B7" s="29" t="n">
        <x:f>AVERAGEIF('คำตอบนักเรียน'!AT5:AT205,"&gt;=0")</x:f>
        <x:v>6</x:v>
      </x:c>
      <x:c r="D7" s="31" t="str">
        <x:v>ข้อควรใช้</x:v>
      </x:c>
      <x:c r="E7" s="29" t="str">
        <x:v>ใช้เพื่อแนะแนว ไม่ใช่ตัดสินอนาคต</x:v>
      </x:c>
    </x:row>
    <x:row r="8">
      <x:c r="A8" s="31" t="str">
        <x:v>คะแนน S เฉลี่ย</x:v>
      </x:c>
      <x:c r="B8" s="29" t="n">
        <x:f>AVERAGEIF('คำตอบนักเรียน'!AU5:AU205,"&gt;=0")</x:f>
        <x:v>6</x:v>
      </x:c>
      <x:c r="D8" s="31" t="str">
        <x:v>แหล่งหลักสูตร</x:v>
      </x:c>
      <x:c r="E8" s="29" t="str">
        <x:v>https://course.mytcas.com/</x:v>
      </x:c>
    </x:row>
  </x:sheetData>
  <x:mergeCells>
    <x:mergeCell ref="A1:H1"/>
  </x:mergeCells>
  <x:pageMargins left="0.7" right="0.7" top="0.75" bottom="0.75" header="0.3" footer="0.3"/>
</x:worksheet>
</file>
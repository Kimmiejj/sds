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e729b893c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ริ่มต้น" sheetId="1" r:id="R157e4f87678d48f7"/>
    <x:sheet xmlns:r="http://schemas.openxmlformats.org/officeDocument/2006/relationships" name="คำตอบนักเรียน" sheetId="2" r:id="Re9b71712356c4536"/>
    <x:sheet xmlns:r="http://schemas.openxmlformats.org/officeDocument/2006/relationships" name="คำถาม RIASEC" sheetId="3" r:id="R5464cc53910c4dfd"/>
    <x:sheet xmlns:r="http://schemas.openxmlformats.org/officeDocument/2006/relationships" name="อาชีพและคณะ" sheetId="4" r:id="R12950be5b3564d9d"/>
    <x:sheet xmlns:r="http://schemas.openxmlformats.org/officeDocument/2006/relationships" name="มหาวิทยาลัย 5 ตัวเลือก" sheetId="5" r:id="R572ba77bd00e4b23"/>
    <x:sheet xmlns:r="http://schemas.openxmlformats.org/officeDocument/2006/relationships" name="ลิงก์ไทย" sheetId="6" r:id="R3bc7d460fc4c4afe"/>
    <x:sheet xmlns:r="http://schemas.openxmlformats.org/officeDocument/2006/relationships" name="สรุปผลห้อง" sheetId="7" r:id="R508b1d0d116b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0756F"/>
      <x:name val="Carlito"/>
    </x:font>
    <x:font>
      <x:b/>
      <x:sz val="11"/>
      <x:color rgb="FF193D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D3A"/>
      </x:patternFill>
    </x:fill>
    <x:fill>
      <x:patternFill patternType="solid">
        <x:fgColor rgb="FFE8F3EE"/>
      </x:patternFill>
    </x:fill>
    <x:fill>
      <x:patternFill patternType="solid">
        <x:fgColor rgb="FFDCEBE5"/>
      </x:patternFill>
    </x:fill>
  </x:fills>
  <x:borders count="5">
    <x:border/>
    <x:border>
      <x:left style="thin">
        <x:color rgb="FFD8E0DC"/>
      </x:left>
      <x:right style="thin">
        <x:color rgb="FFD8E0DC"/>
      </x:right>
      <x:top style="thin">
        <x:color rgb="FFD8E0DC"/>
      </x:top>
      <x:bottom style="thin">
        <x:color rgb="FFD8E0DC"/>
      </x:bottom>
    </x:border>
    <x:border>
      <x:left style="thin">
        <x:color rgb="FFD8E0DC"/>
      </x:left>
      <x:top style="thin">
        <x:color rgb="FFD8E0DC"/>
      </x:top>
      <x:bottom style="thin">
        <x:color rgb="FFD8E0DC"/>
      </x:bottom>
    </x:border>
    <x:border>
      <x:top style="thin">
        <x:color rgb="FFD8E0DC"/>
      </x:top>
      <x:bottom style="thin">
        <x:color rgb="FFD8E0DC"/>
      </x:bottom>
    </x:border>
    <x:border>
      <x:right style="thin">
        <x:color rgb="FFD8E0DC"/>
      </x:right>
      <x:top style="thin">
        <x:color rgb="FFD8E0DC"/>
      </x:top>
      <x:bottom style="thin">
        <x:color rgb="FFD8E0D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3969265f34f8c" /><Relationship Type="http://schemas.openxmlformats.org/officeDocument/2006/relationships/theme" Target="/xl/theme/theme1.xml" Id="Rbb6dd192947842fa" /><Relationship Type="http://schemas.openxmlformats.org/officeDocument/2006/relationships/sharedStrings" Target="/xl/sharedStrings.xml" Id="Re418afd08443420a" /><Relationship Type="http://schemas.openxmlformats.org/officeDocument/2006/relationships/worksheet" Target="/xl/worksheets/sheet1.xml" Id="R157e4f87678d48f7" /><Relationship Type="http://schemas.openxmlformats.org/officeDocument/2006/relationships/worksheet" Target="/xl/worksheets/sheet2.xml" Id="Re9b71712356c4536" /><Relationship Type="http://schemas.openxmlformats.org/officeDocument/2006/relationships/worksheet" Target="/xl/worksheets/sheet3.xml" Id="R5464cc53910c4dfd" /><Relationship Type="http://schemas.openxmlformats.org/officeDocument/2006/relationships/worksheet" Target="/xl/worksheets/sheet4.xml" Id="R12950be5b3564d9d" /><Relationship Type="http://schemas.openxmlformats.org/officeDocument/2006/relationships/worksheet" Target="/xl/worksheets/sheet5.xml" Id="R572ba77bd00e4b23" /><Relationship Type="http://schemas.openxmlformats.org/officeDocument/2006/relationships/worksheet" Target="/xl/worksheets/sheet6.xml" Id="R3bc7d460fc4c4afe" /><Relationship Type="http://schemas.openxmlformats.org/officeDocument/2006/relationships/worksheet" Target="/xl/worksheets/sheet7.xml" Id="R508b1d0d116b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</x:cols>
  <x:sheetData>
    <x:row r="1">
      <x:c r="A1" s="4" t="str">
        <x:v>เข็มทิศอาชีพ · RIASEC Thailand</x:v>
      </x:c>
      <x:c r="B1" s="4"/>
      <x:c r="C1" s="4"/>
      <x:c r="D1" s="4"/>
      <x:c r="E1" s="4"/>
      <x:c r="F1" s="4"/>
      <x:c r="G1" s="4"/>
      <x:c r="H1" s="4"/>
    </x:row>
    <x:row r="2">
      <x:c r="A2" s="5" t="str">
        <x:v>เวิร์กบุ๊กสำหรับ Google Sheets + Glide: รับคำตอบนักเรียน คำนวณผล และสรุปภาพรวมของห้อง</x:v>
      </x:c>
    </x:row>
    <x:row r="4" ht="44" customHeight="1">
      <x:c r="A4" s="10" t="str">
        <x:v>1. อัปโหลดไฟล์นี้เข้า Google Drive</x:v>
      </x:c>
      <x:c r="B4" s="11" t="str">
        <x:v>เลือก New &gt; File upload แล้วเปิดด้วย Google Sheets เพื่อใช้เป็นฐานข้อมูลออนไลน์</x:v>
      </x:c>
    </x:row>
    <x:row r="5" ht="44" customHeight="1">
      <x:c r="A5" s="10" t="str">
        <x:v>2. สร้างแอปใน Glide</x:v>
      </x:c>
      <x:c r="B5" s="11" t="str">
        <x:v>เลือกฐานข้อมูล Google Sheets นี้ แล้วใช้ตาราง “คำตอบนักเรียน” เป็นตารางหลัก</x:v>
      </x:c>
    </x:row>
    <x:row r="6" ht="44" customHeight="1">
      <x:c r="A6" s="10" t="str">
        <x:v>3. สร้างแบบฟอร์ม</x:v>
      </x:c>
      <x:c r="B6" s="11" t="str">
        <x:v>รับข้อมูลชื่อ ห้อง เลขที่ และ Q01–Q36 (กำหนดค่า 1 = ใช่/สนใจ, 0 = ไม่ใช่)</x:v>
      </x:c>
    </x:row>
    <x:row r="7" ht="44" customHeight="1">
      <x:c r="A7" s="10" t="str">
        <x:v>4. ตั้งค่าให้ผู้เรียนส่งคำตอบ</x:v>
      </x:c>
      <x:c r="B7" s="11" t="str">
        <x:v>ให้ Glide เพิ่มหนึ่งแถวใน “คำตอบนักเรียน”; คอลัมน์คะแนนและ Holland Code จะคำนวณอัตโนมัติ</x:v>
      </x:c>
    </x:row>
    <x:row r="8" ht="44" customHeight="1">
      <x:c r="A8" s="10" t="str">
        <x:v>5. ทำ QR Code</x:v>
      </x:c>
      <x:c r="B8" s="11" t="str">
        <x:v>คัดลอก Public app link จาก Glide แล้วสร้าง QR ใน Glide หรือเครื่องมือ QR ที่โรงเรียนใช้อยู่</x:v>
      </x:c>
    </x:row>
    <x:row r="9" ht="44" customHeight="1">
      <x:c r="A9" s="10" t="str">
        <x:v>ความเป็นส่วนตัว</x:v>
      </x:c>
      <x:c r="B9" s="11" t="str">
        <x:v>แนะนำเปิดเฉพาะผู้มีลิงก์/อีเมลโรงเรียน และเก็บข้อมูลเท่าที่จำเป็นตามนโยบายโรงเรียน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>
      <x:c r="A1" s="4" t="str">
        <x:v>คำตอบนักเรียน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</x:row>
    <x:row r="2">
      <x:c r="A2" s="5" t="str">
        <x:v>Glide ต้องเพิ่มข้อมูล 1 แถวต่อผู้เรียน: Q01–Q36 ใช้ 1 เมื่อ ใช่/สนใจ และ 0 เมื่อ ไม่ใช่</x:v>
      </x:c>
    </x:row>
    <x:row r="4">
      <x:c r="A4" s="23" t="str">
        <x:v>รหัสรายการ</x:v>
      </x:c>
      <x:c r="B4" s="24" t="str">
        <x:v>วันเวลา</x:v>
      </x:c>
      <x:c r="C4" s="24" t="str">
        <x:v>ชื่อ-นามสกุล</x:v>
      </x:c>
      <x:c r="D4" s="24" t="str">
        <x:v>ชื่อเล่น</x:v>
      </x:c>
      <x:c r="E4" s="24" t="str">
        <x:v>ห้อง</x:v>
      </x:c>
      <x:c r="F4" s="24" t="str">
        <x:v>เลขที่</x:v>
      </x:c>
      <x:c r="G4" s="24" t="str">
        <x:v>ยินยอมให้ใช้ข้อมูล</x:v>
      </x:c>
      <x:c r="H4" s="24" t="str">
        <x:v>Q01</x:v>
      </x:c>
      <x:c r="I4" s="24" t="str">
        <x:v>Q02</x:v>
      </x:c>
      <x:c r="J4" s="24" t="str">
        <x:v>Q03</x:v>
      </x:c>
      <x:c r="K4" s="24" t="str">
        <x:v>Q04</x:v>
      </x:c>
      <x:c r="L4" s="24" t="str">
        <x:v>Q05</x:v>
      </x:c>
      <x:c r="M4" s="24" t="str">
        <x:v>Q06</x:v>
      </x:c>
      <x:c r="N4" s="24" t="str">
        <x:v>Q07</x:v>
      </x:c>
      <x:c r="O4" s="24" t="str">
        <x:v>Q08</x:v>
      </x:c>
      <x:c r="P4" s="24" t="str">
        <x:v>Q09</x:v>
      </x:c>
      <x:c r="Q4" s="24" t="str">
        <x:v>Q10</x:v>
      </x:c>
      <x:c r="R4" s="24" t="str">
        <x:v>Q11</x:v>
      </x:c>
      <x:c r="S4" s="24" t="str">
        <x:v>Q12</x:v>
      </x:c>
      <x:c r="T4" s="24" t="str">
        <x:v>Q13</x:v>
      </x:c>
      <x:c r="U4" s="24" t="str">
        <x:v>Q14</x:v>
      </x:c>
      <x:c r="V4" s="24" t="str">
        <x:v>Q15</x:v>
      </x:c>
      <x:c r="W4" s="24" t="str">
        <x:v>Q16</x:v>
      </x:c>
      <x:c r="X4" s="24" t="str">
        <x:v>Q17</x:v>
      </x:c>
      <x:c r="Y4" s="24" t="str">
        <x:v>Q18</x:v>
      </x:c>
      <x:c r="Z4" s="24" t="str">
        <x:v>Q19</x:v>
      </x:c>
      <x:c r="AA4" s="24" t="str">
        <x:v>Q20</x:v>
      </x:c>
      <x:c r="AB4" s="24" t="str">
        <x:v>Q21</x:v>
      </x:c>
      <x:c r="AC4" s="24" t="str">
        <x:v>Q22</x:v>
      </x:c>
      <x:c r="AD4" s="24" t="str">
        <x:v>Q23</x:v>
      </x:c>
      <x:c r="AE4" s="24" t="str">
        <x:v>Q24</x:v>
      </x:c>
      <x:c r="AF4" s="24" t="str">
        <x:v>Q25</x:v>
      </x:c>
      <x:c r="AG4" s="24" t="str">
        <x:v>Q26</x:v>
      </x:c>
      <x:c r="AH4" s="24" t="str">
        <x:v>Q27</x:v>
      </x:c>
      <x:c r="AI4" s="24" t="str">
        <x:v>Q28</x:v>
      </x:c>
      <x:c r="AJ4" s="24" t="str">
        <x:v>Q29</x:v>
      </x:c>
      <x:c r="AK4" s="24" t="str">
        <x:v>Q30</x:v>
      </x:c>
      <x:c r="AL4" s="24" t="str">
        <x:v>Q31</x:v>
      </x:c>
      <x:c r="AM4" s="24" t="str">
        <x:v>Q32</x:v>
      </x:c>
      <x:c r="AN4" s="24" t="str">
        <x:v>Q33</x:v>
      </x:c>
      <x:c r="AO4" s="24" t="str">
        <x:v>Q34</x:v>
      </x:c>
      <x:c r="AP4" s="24" t="str">
        <x:v>Q35</x:v>
      </x:c>
      <x:c r="AQ4" s="24" t="str">
        <x:v>Q36</x:v>
      </x:c>
      <x:c r="AR4" s="24" t="str">
        <x:v>R</x:v>
      </x:c>
      <x:c r="AS4" s="24" t="str">
        <x:v>I</x:v>
      </x:c>
      <x:c r="AT4" s="24" t="str">
        <x:v>A</x:v>
      </x:c>
      <x:c r="AU4" s="24" t="str">
        <x:v>S</x:v>
      </x:c>
      <x:c r="AV4" s="24" t="str">
        <x:v>E</x:v>
      </x:c>
      <x:c r="AW4" s="24" t="str">
        <x:v>C</x:v>
      </x:c>
      <x:c r="AX4" s="24" t="str">
        <x:v>Holland Code</x:v>
      </x:c>
      <x:c r="AY4" s="25" t="str">
        <x:v>บุคลิกภาพเด่น</x:v>
      </x:c>
    </x:row>
    <x:row r="5">
      <x:c r="A5" s="27" t="str">
        <x:v>EXAMPLE-001</x:v>
      </x:c>
      <x:c r="B5" s="28" t="n">
        <x:v>46223.083333333336</x:v>
      </x:c>
      <x:c r="C5" s="27" t="str">
        <x:v>ตัวอย่าง นักเรียน</x:v>
      </x:c>
      <x:c r="D5" s="27" t="str">
        <x:v>น้องตัวอย่าง</x:v>
      </x:c>
      <x:c r="E5" s="27" t="str">
        <x:v>ม.5/1</x:v>
      </x:c>
      <x:c r="F5" s="27" t="n">
        <x:v>1</x:v>
      </x:c>
      <x:c r="G5" s="27" t="str">
        <x:v>ยินยอม</x:v>
      </x:c>
      <x:c r="H5" s="27" t="n">
        <x:v>1</x:v>
      </x:c>
      <x:c r="I5" s="27" t="n">
        <x:v>1</x:v>
      </x:c>
      <x:c r="J5" s="27" t="n">
        <x:v>1</x:v>
      </x:c>
      <x:c r="K5" s="27" t="n">
        <x:v>1</x:v>
      </x:c>
      <x:c r="L5" s="27" t="n">
        <x:v>1</x:v>
      </x:c>
      <x:c r="M5" s="27" t="n">
        <x:v>1</x:v>
      </x:c>
      <x:c r="N5" s="27" t="n">
        <x:v>1</x:v>
      </x:c>
      <x:c r="O5" s="27" t="n">
        <x:v>1</x:v>
      </x:c>
      <x:c r="P5" s="27" t="n">
        <x:v>1</x:v>
      </x:c>
      <x:c r="Q5" s="27" t="n">
        <x:v>1</x:v>
      </x:c>
      <x:c r="R5" s="27" t="n">
        <x:v>1</x:v>
      </x:c>
      <x:c r="S5" s="27" t="n">
        <x:v>1</x:v>
      </x:c>
      <x:c r="T5" s="27" t="n">
        <x:v>1</x:v>
      </x:c>
      <x:c r="U5" s="27" t="n">
        <x:v>1</x:v>
      </x:c>
      <x:c r="V5" s="27" t="n">
        <x:v>1</x:v>
      </x:c>
      <x:c r="W5" s="27" t="n">
        <x:v>1</x:v>
      </x:c>
      <x:c r="X5" s="27" t="n">
        <x:v>1</x:v>
      </x:c>
      <x:c r="Y5" s="27" t="n">
        <x:v>1</x:v>
      </x:c>
      <x:c r="Z5" s="27" t="n">
        <x:v>0</x:v>
      </x:c>
      <x:c r="AA5" s="27" t="n">
        <x:v>1</x:v>
      </x:c>
      <x:c r="AB5" s="27" t="n">
        <x:v>1</x:v>
      </x:c>
      <x:c r="AC5" s="27" t="n">
        <x:v>1</x:v>
      </x:c>
      <x:c r="AD5" s="27" t="n">
        <x:v>0</x:v>
      </x:c>
      <x:c r="AE5" s="27" t="n">
        <x:v>1</x:v>
      </x:c>
      <x:c r="AF5" s="27" t="n">
        <x:v>1</x:v>
      </x:c>
      <x:c r="AG5" s="27" t="n">
        <x:v>1</x:v>
      </x:c>
      <x:c r="AH5" s="27" t="n">
        <x:v>1</x:v>
      </x:c>
      <x:c r="AI5" s="27" t="n">
        <x:v>1</x:v>
      </x:c>
      <x:c r="AJ5" s="27" t="n">
        <x:v>1</x:v>
      </x:c>
      <x:c r="AK5" s="27" t="n">
        <x:v>1</x:v>
      </x:c>
      <x:c r="AL5" s="27" t="n">
        <x:v>1</x:v>
      </x:c>
      <x:c r="AM5" s="27" t="n">
        <x:v>0</x:v>
      </x:c>
      <x:c r="AN5" s="27" t="n">
        <x:v>1</x:v>
      </x:c>
      <x:c r="AO5" s="27" t="n">
        <x:v>1</x:v>
      </x:c>
      <x:c r="AP5" s="27" t="n">
        <x:v>1</x:v>
      </x:c>
      <x:c r="AQ5" s="27" t="n">
        <x:v>1</x:v>
      </x:c>
      <x:c r="AR5" s="27" t="n">
        <x:f>SUM(H5,N5,T5,Z5,AF5,AL5)</x:f>
        <x:v>5</x:v>
      </x:c>
      <x:c r="AS5" s="27" t="n">
        <x:f>SUM(I5,O5,U5,AA5,AG5,AM5)</x:f>
        <x:v>5</x:v>
      </x:c>
      <x:c r="AT5" s="27" t="n">
        <x:f>SUM(J5,P5,V5,AB5,AH5,AN5)</x:f>
        <x:v>6</x:v>
      </x:c>
      <x:c r="AU5" s="27" t="n">
        <x:f>SUM(K5,Q5,W5,AC5,AI5,AO5)</x:f>
        <x:v>6</x:v>
      </x:c>
      <x:c r="AV5" s="27" t="n">
        <x:f>SUM(L5,R5,X5,AD5,AJ5,AP5)</x:f>
        <x:v>5</x:v>
      </x:c>
      <x:c r="AW5" s="27" t="n">
        <x:f>SUM(M5,S5,Y5,AE5,AK5,AQ5)</x:f>
        <x:v>6</x:v>
      </x:c>
      <x:c r="AX5" s="27" t="str">
        <x:f>CONCAT(IF(AR5&gt;=LARGE(AR5:AW5,3),"R",""),IF(AS5&gt;=LARGE(AR5:AW5,3),"I",""),IF(AT5&gt;=LARGE(AR5:AW5,3),"A",""),IF(AU5&gt;=LARGE(AR5:AW5,3),"S",""),IF(AV5&gt;=LARGE(AR5:AW5,3),"E",""),IF(AW5&gt;=LARGE(AR5:AW5,3),"C",""))</x:f>
        <x:v>ASC</x:v>
      </x:c>
      <x:c r="AY5" s="27" t="str">
        <x:f>IF(AR5=MAX(AR5:AW5),"นักปฏิบัติ",IF(AS5=MAX(AR5:AW5),"นักคิดวิเคราะห์",IF(AT5=MAX(AR5:AW5),"นักสร้างสรรค์",IF(AU5=MAX(AR5:AW5),"ผู้เข้าใจผู้คน",IF(AV5=MAX(AR5:AW5),"ผู้นำการเปลี่ยนแปลง","ผู้จัดระบบ")))))</x:f>
        <x:v>นักสร้างสรรค์</x:v>
      </x:c>
    </x:row>
    <x:row r="6">
      <x:c r="A6" s="27"/>
      <x:c r="B6" s="28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  <x:c r="AC6" s="27"/>
      <x:c r="AD6" s="27"/>
      <x:c r="AE6" s="27"/>
      <x:c r="AF6" s="27"/>
      <x:c r="AG6" s="27"/>
      <x:c r="AH6" s="27"/>
      <x:c r="AI6" s="27"/>
      <x:c r="AJ6" s="27"/>
      <x:c r="AK6" s="27"/>
      <x:c r="AL6" s="27"/>
      <x:c r="AM6" s="27"/>
      <x:c r="AN6" s="27"/>
      <x:c r="AO6" s="27"/>
      <x:c r="AP6" s="27"/>
      <x:c r="AQ6" s="27"/>
      <x:c r="AR6" s="27" t="str">
        <x:f>IF(C6="","",SUM(H6,N6,T6,Z6,AF6,AL6))</x:f>
      </x:c>
      <x:c r="AS6" s="27" t="str">
        <x:f>IF(C6="","",SUM(I6,O6,U6,AA6,AG6,AM6))</x:f>
      </x:c>
      <x:c r="AT6" s="27" t="str">
        <x:f>IF(C6="","",SUM(J6,P6,V6,AB6,AH6,AN6))</x:f>
      </x:c>
      <x:c r="AU6" s="27" t="str">
        <x:f>IF(C6="","",SUM(K6,Q6,W6,AC6,AI6,AO6))</x:f>
      </x:c>
      <x:c r="AV6" s="27" t="str">
        <x:f>IF(C6="","",SUM(L6,R6,X6,AD6,AJ6,AP6))</x:f>
      </x:c>
      <x:c r="AW6" s="27" t="str">
        <x:f>IF(C6="","",SUM(M6,S6,Y6,AE6,AK6,AQ6))</x:f>
      </x:c>
      <x:c r="AX6" s="27" t="str">
        <x:f>IF(C6="","",CONCAT(IF(AR6&gt;=LARGE(AR6:AW6,3),"R",""),IF(AS6&gt;=LARGE(AR6:AW6,3),"I",""),IF(AT6&gt;=LARGE(AR6:AW6,3),"A",""),IF(AU6&gt;=LARGE(AR6:AW6,3),"S",""),IF(AV6&gt;=LARGE(AR6:AW6,3),"E",""),IF(AW6&gt;=LARGE(AR6:AW6,3),"C","")))</x:f>
      </x:c>
      <x:c r="AY6" s="27" t="str">
        <x:f>IF(C6="","",IF(AR6=MAX(AR6:AW6),"นักปฏิบัติ",IF(AS6=MAX(AR6:AW6),"นักคิดวิเคราะห์",IF(AT6=MAX(AR6:AW6),"นักสร้างสรรค์",IF(AU6=MAX(AR6:AW6),"ผู้เข้าใจผู้คน",IF(AV6=MAX(AR6:AW6),"ผู้นำการเปลี่ยนแปลง","ผู้จัดระบบ"))))))</x:f>
      </x:c>
    </x:row>
    <x:row r="7">
      <x:c r="A7" s="27"/>
      <x:c r="B7" s="28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  <x:c r="AC7" s="27"/>
      <x:c r="AD7" s="27"/>
      <x:c r="AE7" s="27"/>
      <x:c r="AF7" s="27"/>
      <x:c r="AG7" s="27"/>
      <x:c r="AH7" s="27"/>
      <x:c r="AI7" s="27"/>
      <x:c r="AJ7" s="27"/>
      <x:c r="AK7" s="27"/>
      <x:c r="AL7" s="27"/>
      <x:c r="AM7" s="27"/>
      <x:c r="AN7" s="27"/>
      <x:c r="AO7" s="27"/>
      <x:c r="AP7" s="27"/>
      <x:c r="AQ7" s="27"/>
      <x:c r="AR7" s="27" t="str">
        <x:f>IF(C7="","",SUM(H7,N7,T7,Z7,AF7,AL7))</x:f>
      </x:c>
      <x:c r="AS7" s="27" t="str">
        <x:f>IF(C7="","",SUM(I7,O7,U7,AA7,AG7,AM7))</x:f>
      </x:c>
      <x:c r="AT7" s="27" t="str">
        <x:f>IF(C7="","",SUM(J7,P7,V7,AB7,AH7,AN7))</x:f>
      </x:c>
      <x:c r="AU7" s="27" t="str">
        <x:f>IF(C7="","",SUM(K7,Q7,W7,AC7,AI7,AO7))</x:f>
      </x:c>
      <x:c r="AV7" s="27" t="str">
        <x:f>IF(C7="","",SUM(L7,R7,X7,AD7,AJ7,AP7))</x:f>
      </x:c>
      <x:c r="AW7" s="27" t="str">
        <x:f>IF(C7="","",SUM(M7,S7,Y7,AE7,AK7,AQ7))</x:f>
      </x:c>
      <x:c r="AX7" s="27" t="str">
        <x:f>IF(C7="","",CONCAT(IF(AR7&gt;=LARGE(AR7:AW7,3),"R",""),IF(AS7&gt;=LARGE(AR7:AW7,3),"I",""),IF(AT7&gt;=LARGE(AR7:AW7,3),"A",""),IF(AU7&gt;=LARGE(AR7:AW7,3),"S",""),IF(AV7&gt;=LARGE(AR7:AW7,3),"E",""),IF(AW7&gt;=LARGE(AR7:AW7,3),"C","")))</x:f>
      </x:c>
      <x:c r="AY7" s="27" t="str">
        <x:f>IF(C7="","",IF(AR7=MAX(AR7:AW7),"นักปฏิบัติ",IF(AS7=MAX(AR7:AW7),"นักคิดวิเคราะห์",IF(AT7=MAX(AR7:AW7),"นักสร้างสรรค์",IF(AU7=MAX(AR7:AW7),"ผู้เข้าใจผู้คน",IF(AV7=MAX(AR7:AW7),"ผู้นำการเปลี่ยนแปลง","ผู้จัดระบบ"))))))</x:f>
      </x:c>
    </x:row>
    <x:row r="8">
      <x:c r="A8" s="27"/>
      <x:c r="B8" s="28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  <x:c r="AC8" s="27"/>
      <x:c r="AD8" s="27"/>
      <x:c r="AE8" s="27"/>
      <x:c r="AF8" s="27"/>
      <x:c r="AG8" s="27"/>
      <x:c r="AH8" s="27"/>
      <x:c r="AI8" s="27"/>
      <x:c r="AJ8" s="27"/>
      <x:c r="AK8" s="27"/>
      <x:c r="AL8" s="27"/>
      <x:c r="AM8" s="27"/>
      <x:c r="AN8" s="27"/>
      <x:c r="AO8" s="27"/>
      <x:c r="AP8" s="27"/>
      <x:c r="AQ8" s="27"/>
      <x:c r="AR8" s="27" t="str">
        <x:f>IF(C8="","",SUM(H8,N8,T8,Z8,AF8,AL8))</x:f>
      </x:c>
      <x:c r="AS8" s="27" t="str">
        <x:f>IF(C8="","",SUM(I8,O8,U8,AA8,AG8,AM8))</x:f>
      </x:c>
      <x:c r="AT8" s="27" t="str">
        <x:f>IF(C8="","",SUM(J8,P8,V8,AB8,AH8,AN8))</x:f>
      </x:c>
      <x:c r="AU8" s="27" t="str">
        <x:f>IF(C8="","",SUM(K8,Q8,W8,AC8,AI8,AO8))</x:f>
      </x:c>
      <x:c r="AV8" s="27" t="str">
        <x:f>IF(C8="","",SUM(L8,R8,X8,AD8,AJ8,AP8))</x:f>
      </x:c>
      <x:c r="AW8" s="27" t="str">
        <x:f>IF(C8="","",SUM(M8,S8,Y8,AE8,AK8,AQ8))</x:f>
      </x:c>
      <x:c r="AX8" s="27" t="str">
        <x:f>IF(C8="","",CONCAT(IF(AR8&gt;=LARGE(AR8:AW8,3),"R",""),IF(AS8&gt;=LARGE(AR8:AW8,3),"I",""),IF(AT8&gt;=LARGE(AR8:AW8,3),"A",""),IF(AU8&gt;=LARGE(AR8:AW8,3),"S",""),IF(AV8&gt;=LARGE(AR8:AW8,3),"E",""),IF(AW8&gt;=LARGE(AR8:AW8,3),"C","")))</x:f>
      </x:c>
      <x:c r="AY8" s="27" t="str">
        <x:f>IF(C8="","",IF(AR8=MAX(AR8:AW8),"นักปฏิบัติ",IF(AS8=MAX(AR8:AW8),"นักคิดวิเคราะห์",IF(AT8=MAX(AR8:AW8),"นักสร้างสรรค์",IF(AU8=MAX(AR8:AW8),"ผู้เข้าใจผู้คน",IF(AV8=MAX(AR8:AW8),"ผู้นำการเปลี่ยนแปลง","ผู้จัดระบบ"))))))</x:f>
      </x:c>
    </x:row>
    <x:row r="9">
      <x:c r="A9" s="27"/>
      <x:c r="B9" s="28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  <x:c r="AC9" s="27"/>
      <x:c r="AD9" s="27"/>
      <x:c r="AE9" s="27"/>
      <x:c r="AF9" s="27"/>
      <x:c r="AG9" s="27"/>
      <x:c r="AH9" s="27"/>
      <x:c r="AI9" s="27"/>
      <x:c r="AJ9" s="27"/>
      <x:c r="AK9" s="27"/>
      <x:c r="AL9" s="27"/>
      <x:c r="AM9" s="27"/>
      <x:c r="AN9" s="27"/>
      <x:c r="AO9" s="27"/>
      <x:c r="AP9" s="27"/>
      <x:c r="AQ9" s="27"/>
      <x:c r="AR9" s="27" t="str">
        <x:f>IF(C9="","",SUM(H9,N9,T9,Z9,AF9,AL9))</x:f>
      </x:c>
      <x:c r="AS9" s="27" t="str">
        <x:f>IF(C9="","",SUM(I9,O9,U9,AA9,AG9,AM9))</x:f>
      </x:c>
      <x:c r="AT9" s="27" t="str">
        <x:f>IF(C9="","",SUM(J9,P9,V9,AB9,AH9,AN9))</x:f>
      </x:c>
      <x:c r="AU9" s="27" t="str">
        <x:f>IF(C9="","",SUM(K9,Q9,W9,AC9,AI9,AO9))</x:f>
      </x:c>
      <x:c r="AV9" s="27" t="str">
        <x:f>IF(C9="","",SUM(L9,R9,X9,AD9,AJ9,AP9))</x:f>
      </x:c>
      <x:c r="AW9" s="27" t="str">
        <x:f>IF(C9="","",SUM(M9,S9,Y9,AE9,AK9,AQ9))</x:f>
      </x:c>
      <x:c r="AX9" s="27" t="str">
        <x:f>IF(C9="","",CONCAT(IF(AR9&gt;=LARGE(AR9:AW9,3),"R",""),IF(AS9&gt;=LARGE(AR9:AW9,3),"I",""),IF(AT9&gt;=LARGE(AR9:AW9,3),"A",""),IF(AU9&gt;=LARGE(AR9:AW9,3),"S",""),IF(AV9&gt;=LARGE(AR9:AW9,3),"E",""),IF(AW9&gt;=LARGE(AR9:AW9,3),"C","")))</x:f>
      </x:c>
      <x:c r="AY9" s="27" t="str">
        <x:f>IF(C9="","",IF(AR9=MAX(AR9:AW9),"นักปฏิบัติ",IF(AS9=MAX(AR9:AW9),"นักคิดวิเคราะห์",IF(AT9=MAX(AR9:AW9),"นักสร้างสรรค์",IF(AU9=MAX(AR9:AW9),"ผู้เข้าใจผู้คน",IF(AV9=MAX(AR9:AW9),"ผู้นำการเปลี่ยนแปลง","ผู้จัดระบบ"))))))</x:f>
      </x:c>
    </x:row>
    <x:row r="10">
      <x:c r="A10" s="27"/>
      <x:c r="B10" s="28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  <x:c r="AC10" s="27"/>
      <x:c r="AD10" s="27"/>
      <x:c r="AE10" s="27"/>
      <x:c r="AF10" s="27"/>
      <x:c r="AG10" s="27"/>
      <x:c r="AH10" s="27"/>
      <x:c r="AI10" s="27"/>
      <x:c r="AJ10" s="27"/>
      <x:c r="AK10" s="27"/>
      <x:c r="AL10" s="27"/>
      <x:c r="AM10" s="27"/>
      <x:c r="AN10" s="27"/>
      <x:c r="AO10" s="27"/>
      <x:c r="AP10" s="27"/>
      <x:c r="AQ10" s="27"/>
      <x:c r="AR10" s="27" t="str">
        <x:f>IF(C10="","",SUM(H10,N10,T10,Z10,AF10,AL10))</x:f>
      </x:c>
      <x:c r="AS10" s="27" t="str">
        <x:f>IF(C10="","",SUM(I10,O10,U10,AA10,AG10,AM10))</x:f>
      </x:c>
      <x:c r="AT10" s="27" t="str">
        <x:f>IF(C10="","",SUM(J10,P10,V10,AB10,AH10,AN10))</x:f>
      </x:c>
      <x:c r="AU10" s="27" t="str">
        <x:f>IF(C10="","",SUM(K10,Q10,W10,AC10,AI10,AO10))</x:f>
      </x:c>
      <x:c r="AV10" s="27" t="str">
        <x:f>IF(C10="","",SUM(L10,R10,X10,AD10,AJ10,AP10))</x:f>
      </x:c>
      <x:c r="AW10" s="27" t="str">
        <x:f>IF(C10="","",SUM(M10,S10,Y10,AE10,AK10,AQ10))</x:f>
      </x:c>
      <x:c r="AX10" s="27" t="str">
        <x:f>IF(C10="","",CONCAT(IF(AR10&gt;=LARGE(AR10:AW10,3),"R",""),IF(AS10&gt;=LARGE(AR10:AW10,3),"I",""),IF(AT10&gt;=LARGE(AR10:AW10,3),"A",""),IF(AU10&gt;=LARGE(AR10:AW10,3),"S",""),IF(AV10&gt;=LARGE(AR10:AW10,3),"E",""),IF(AW10&gt;=LARGE(AR10:AW10,3),"C","")))</x:f>
      </x:c>
      <x:c r="AY10" s="27" t="str">
        <x:f>IF(C10="","",IF(AR10=MAX(AR10:AW10),"นักปฏิบัติ",IF(AS10=MAX(AR10:AW10),"นักคิดวิเคราะห์",IF(AT10=MAX(AR10:AW10),"นักสร้างสรรค์",IF(AU10=MAX(AR10:AW10),"ผู้เข้าใจผู้คน",IF(AV10=MAX(AR10:AW10),"ผู้นำการเปลี่ยนแปลง","ผู้จัดระบบ"))))))</x:f>
      </x:c>
    </x:row>
    <x:row r="11">
      <x:c r="A11" s="27"/>
      <x:c r="B11" s="28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  <x:c r="AC11" s="27"/>
      <x:c r="AD11" s="27"/>
      <x:c r="AE11" s="27"/>
      <x:c r="AF11" s="27"/>
      <x:c r="AG11" s="27"/>
      <x:c r="AH11" s="27"/>
      <x:c r="AI11" s="27"/>
      <x:c r="AJ11" s="27"/>
      <x:c r="AK11" s="27"/>
      <x:c r="AL11" s="27"/>
      <x:c r="AM11" s="27"/>
      <x:c r="AN11" s="27"/>
      <x:c r="AO11" s="27"/>
      <x:c r="AP11" s="27"/>
      <x:c r="AQ11" s="27"/>
      <x:c r="AR11" s="27" t="str">
        <x:f>IF(C11="","",SUM(H11,N11,T11,Z11,AF11,AL11))</x:f>
      </x:c>
      <x:c r="AS11" s="27" t="str">
        <x:f>IF(C11="","",SUM(I11,O11,U11,AA11,AG11,AM11))</x:f>
      </x:c>
      <x:c r="AT11" s="27" t="str">
        <x:f>IF(C11="","",SUM(J11,P11,V11,AB11,AH11,AN11))</x:f>
      </x:c>
      <x:c r="AU11" s="27" t="str">
        <x:f>IF(C11="","",SUM(K11,Q11,W11,AC11,AI11,AO11))</x:f>
      </x:c>
      <x:c r="AV11" s="27" t="str">
        <x:f>IF(C11="","",SUM(L11,R11,X11,AD11,AJ11,AP11))</x:f>
      </x:c>
      <x:c r="AW11" s="27" t="str">
        <x:f>IF(C11="","",SUM(M11,S11,Y11,AE11,AK11,AQ11))</x:f>
      </x:c>
      <x:c r="AX11" s="27" t="str">
        <x:f>IF(C11="","",CONCAT(IF(AR11&gt;=LARGE(AR11:AW11,3),"R",""),IF(AS11&gt;=LARGE(AR11:AW11,3),"I",""),IF(AT11&gt;=LARGE(AR11:AW11,3),"A",""),IF(AU11&gt;=LARGE(AR11:AW11,3),"S",""),IF(AV11&gt;=LARGE(AR11:AW11,3),"E",""),IF(AW11&gt;=LARGE(AR11:AW11,3),"C","")))</x:f>
      </x:c>
      <x:c r="AY11" s="27" t="str">
        <x:f>IF(C11="","",IF(AR11=MAX(AR11:AW11),"นักปฏิบัติ",IF(AS11=MAX(AR11:AW11),"นักคิดวิเคราะห์",IF(AT11=MAX(AR11:AW11),"นักสร้างสรรค์",IF(AU11=MAX(AR11:AW11),"ผู้เข้าใจผู้คน",IF(AV11=MAX(AR11:AW11),"ผู้นำการเปลี่ยนแปลง","ผู้จัดระบบ"))))))</x:f>
      </x:c>
    </x:row>
    <x:row r="12">
      <x:c r="A12" s="27"/>
      <x:c r="B12" s="28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  <x:c r="AC12" s="27"/>
      <x:c r="AD12" s="27"/>
      <x:c r="AE12" s="27"/>
      <x:c r="AF12" s="27"/>
      <x:c r="AG12" s="27"/>
      <x:c r="AH12" s="27"/>
      <x:c r="AI12" s="27"/>
      <x:c r="AJ12" s="27"/>
      <x:c r="AK12" s="27"/>
      <x:c r="AL12" s="27"/>
      <x:c r="AM12" s="27"/>
      <x:c r="AN12" s="27"/>
      <x:c r="AO12" s="27"/>
      <x:c r="AP12" s="27"/>
      <x:c r="AQ12" s="27"/>
      <x:c r="AR12" s="27" t="str">
        <x:f>IF(C12="","",SUM(H12,N12,T12,Z12,AF12,AL12))</x:f>
      </x:c>
      <x:c r="AS12" s="27" t="str">
        <x:f>IF(C12="","",SUM(I12,O12,U12,AA12,AG12,AM12))</x:f>
      </x:c>
      <x:c r="AT12" s="27" t="str">
        <x:f>IF(C12="","",SUM(J12,P12,V12,AB12,AH12,AN12))</x:f>
      </x:c>
      <x:c r="AU12" s="27" t="str">
        <x:f>IF(C12="","",SUM(K12,Q12,W12,AC12,AI12,AO12))</x:f>
      </x:c>
      <x:c r="AV12" s="27" t="str">
        <x:f>IF(C12="","",SUM(L12,R12,X12,AD12,AJ12,AP12))</x:f>
      </x:c>
      <x:c r="AW12" s="27" t="str">
        <x:f>IF(C12="","",SUM(M12,S12,Y12,AE12,AK12,AQ12))</x:f>
      </x:c>
      <x:c r="AX12" s="27" t="str">
        <x:f>IF(C12="","",CONCAT(IF(AR12&gt;=LARGE(AR12:AW12,3),"R",""),IF(AS12&gt;=LARGE(AR12:AW12,3),"I",""),IF(AT12&gt;=LARGE(AR12:AW12,3),"A",""),IF(AU12&gt;=LARGE(AR12:AW12,3),"S",""),IF(AV12&gt;=LARGE(AR12:AW12,3),"E",""),IF(AW12&gt;=LARGE(AR12:AW12,3),"C","")))</x:f>
      </x:c>
      <x:c r="AY12" s="27" t="str">
        <x:f>IF(C12="","",IF(AR12=MAX(AR12:AW12),"นักปฏิบัติ",IF(AS12=MAX(AR12:AW12),"นักคิดวิเคราะห์",IF(AT12=MAX(AR12:AW12),"นักสร้างสรรค์",IF(AU12=MAX(AR12:AW12),"ผู้เข้าใจผู้คน",IF(AV12=MAX(AR12:AW12),"ผู้นำการเปลี่ยนแปลง","ผู้จัดระบบ"))))))</x:f>
      </x:c>
    </x:row>
    <x:row r="13">
      <x:c r="A13" s="27"/>
      <x:c r="B13" s="28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  <x:c r="AC13" s="27"/>
      <x:c r="AD13" s="27"/>
      <x:c r="AE13" s="27"/>
      <x:c r="AF13" s="27"/>
      <x:c r="AG13" s="27"/>
      <x:c r="AH13" s="27"/>
      <x:c r="AI13" s="27"/>
      <x:c r="AJ13" s="27"/>
      <x:c r="AK13" s="27"/>
      <x:c r="AL13" s="27"/>
      <x:c r="AM13" s="27"/>
      <x:c r="AN13" s="27"/>
      <x:c r="AO13" s="27"/>
      <x:c r="AP13" s="27"/>
      <x:c r="AQ13" s="27"/>
      <x:c r="AR13" s="27" t="str">
        <x:f>IF(C13="","",SUM(H13,N13,T13,Z13,AF13,AL13))</x:f>
      </x:c>
      <x:c r="AS13" s="27" t="str">
        <x:f>IF(C13="","",SUM(I13,O13,U13,AA13,AG13,AM13))</x:f>
      </x:c>
      <x:c r="AT13" s="27" t="str">
        <x:f>IF(C13="","",SUM(J13,P13,V13,AB13,AH13,AN13))</x:f>
      </x:c>
      <x:c r="AU13" s="27" t="str">
        <x:f>IF(C13="","",SUM(K13,Q13,W13,AC13,AI13,AO13))</x:f>
      </x:c>
      <x:c r="AV13" s="27" t="str">
        <x:f>IF(C13="","",SUM(L13,R13,X13,AD13,AJ13,AP13))</x:f>
      </x:c>
      <x:c r="AW13" s="27" t="str">
        <x:f>IF(C13="","",SUM(M13,S13,Y13,AE13,AK13,AQ13))</x:f>
      </x:c>
      <x:c r="AX13" s="27" t="str">
        <x:f>IF(C13="","",CONCAT(IF(AR13&gt;=LARGE(AR13:AW13,3),"R",""),IF(AS13&gt;=LARGE(AR13:AW13,3),"I",""),IF(AT13&gt;=LARGE(AR13:AW13,3),"A",""),IF(AU13&gt;=LARGE(AR13:AW13,3),"S",""),IF(AV13&gt;=LARGE(AR13:AW13,3),"E",""),IF(AW13&gt;=LARGE(AR13:AW13,3),"C","")))</x:f>
      </x:c>
      <x:c r="AY13" s="27" t="str">
        <x:f>IF(C13="","",IF(AR13=MAX(AR13:AW13),"นักปฏิบัติ",IF(AS13=MAX(AR13:AW13),"นักคิดวิเคราะห์",IF(AT13=MAX(AR13:AW13),"นักสร้างสรรค์",IF(AU13=MAX(AR13:AW13),"ผู้เข้าใจผู้คน",IF(AV13=MAX(AR13:AW13),"ผู้นำการเปลี่ยนแปลง","ผู้จัดระบบ"))))))</x:f>
      </x:c>
    </x:row>
    <x:row r="14">
      <x:c r="A14" s="27"/>
      <x:c r="B14" s="28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  <x:c r="AH14" s="27"/>
      <x:c r="AI14" s="27"/>
      <x:c r="AJ14" s="27"/>
      <x:c r="AK14" s="27"/>
      <x:c r="AL14" s="27"/>
      <x:c r="AM14" s="27"/>
      <x:c r="AN14" s="27"/>
      <x:c r="AO14" s="27"/>
      <x:c r="AP14" s="27"/>
      <x:c r="AQ14" s="27"/>
      <x:c r="AR14" s="27" t="str">
        <x:f>IF(C14="","",SUM(H14,N14,T14,Z14,AF14,AL14))</x:f>
      </x:c>
      <x:c r="AS14" s="27" t="str">
        <x:f>IF(C14="","",SUM(I14,O14,U14,AA14,AG14,AM14))</x:f>
      </x:c>
      <x:c r="AT14" s="27" t="str">
        <x:f>IF(C14="","",SUM(J14,P14,V14,AB14,AH14,AN14))</x:f>
      </x:c>
      <x:c r="AU14" s="27" t="str">
        <x:f>IF(C14="","",SUM(K14,Q14,W14,AC14,AI14,AO14))</x:f>
      </x:c>
      <x:c r="AV14" s="27" t="str">
        <x:f>IF(C14="","",SUM(L14,R14,X14,AD14,AJ14,AP14))</x:f>
      </x:c>
      <x:c r="AW14" s="27" t="str">
        <x:f>IF(C14="","",SUM(M14,S14,Y14,AE14,AK14,AQ14))</x:f>
      </x:c>
      <x:c r="AX14" s="27" t="str">
        <x:f>IF(C14="","",CONCAT(IF(AR14&gt;=LARGE(AR14:AW14,3),"R",""),IF(AS14&gt;=LARGE(AR14:AW14,3),"I",""),IF(AT14&gt;=LARGE(AR14:AW14,3),"A",""),IF(AU14&gt;=LARGE(AR14:AW14,3),"S",""),IF(AV14&gt;=LARGE(AR14:AW14,3),"E",""),IF(AW14&gt;=LARGE(AR14:AW14,3),"C","")))</x:f>
      </x:c>
      <x:c r="AY14" s="27" t="str">
        <x:f>IF(C14="","",IF(AR14=MAX(AR14:AW14),"นักปฏิบัติ",IF(AS14=MAX(AR14:AW14),"นักคิดวิเคราะห์",IF(AT14=MAX(AR14:AW14),"นักสร้างสรรค์",IF(AU14=MAX(AR14:AW14),"ผู้เข้าใจผู้คน",IF(AV14=MAX(AR14:AW14),"ผู้นำการเปลี่ยนแปลง","ผู้จัดระบบ"))))))</x:f>
      </x:c>
    </x:row>
    <x:row r="15">
      <x:c r="A15" s="27"/>
      <x:c r="B15" s="28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  <x:c r="AH15" s="27"/>
      <x:c r="AI15" s="27"/>
      <x:c r="AJ15" s="27"/>
      <x:c r="AK15" s="27"/>
      <x:c r="AL15" s="27"/>
      <x:c r="AM15" s="27"/>
      <x:c r="AN15" s="27"/>
      <x:c r="AO15" s="27"/>
      <x:c r="AP15" s="27"/>
      <x:c r="AQ15" s="27"/>
      <x:c r="AR15" s="27" t="str">
        <x:f>IF(C15="","",SUM(H15,N15,T15,Z15,AF15,AL15))</x:f>
      </x:c>
      <x:c r="AS15" s="27" t="str">
        <x:f>IF(C15="","",SUM(I15,O15,U15,AA15,AG15,AM15))</x:f>
      </x:c>
      <x:c r="AT15" s="27" t="str">
        <x:f>IF(C15="","",SUM(J15,P15,V15,AB15,AH15,AN15))</x:f>
      </x:c>
      <x:c r="AU15" s="27" t="str">
        <x:f>IF(C15="","",SUM(K15,Q15,W15,AC15,AI15,AO15))</x:f>
      </x:c>
      <x:c r="AV15" s="27" t="str">
        <x:f>IF(C15="","",SUM(L15,R15,X15,AD15,AJ15,AP15))</x:f>
      </x:c>
      <x:c r="AW15" s="27" t="str">
        <x:f>IF(C15="","",SUM(M15,S15,Y15,AE15,AK15,AQ15))</x:f>
      </x:c>
      <x:c r="AX15" s="27" t="str">
        <x:f>IF(C15="","",CONCAT(IF(AR15&gt;=LARGE(AR15:AW15,3),"R",""),IF(AS15&gt;=LARGE(AR15:AW15,3),"I",""),IF(AT15&gt;=LARGE(AR15:AW15,3),"A",""),IF(AU15&gt;=LARGE(AR15:AW15,3),"S",""),IF(AV15&gt;=LARGE(AR15:AW15,3),"E",""),IF(AW15&gt;=LARGE(AR15:AW15,3),"C","")))</x:f>
      </x:c>
      <x:c r="AY15" s="27" t="str">
        <x:f>IF(C15="","",IF(AR15=MAX(AR15:AW15),"นักปฏิบัติ",IF(AS15=MAX(AR15:AW15),"นักคิดวิเคราะห์",IF(AT15=MAX(AR15:AW15),"นักสร้างสรรค์",IF(AU15=MAX(AR15:AW15),"ผู้เข้าใจผู้คน",IF(AV15=MAX(AR15:AW15),"ผู้นำการเปลี่ยนแปลง","ผู้จัดระบบ"))))))</x:f>
      </x:c>
    </x:row>
    <x:row r="16">
      <x:c r="A16" s="27"/>
      <x:c r="B16" s="28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27"/>
      <x:c r="AH16" s="27"/>
      <x:c r="AI16" s="27"/>
      <x:c r="AJ16" s="27"/>
      <x:c r="AK16" s="27"/>
      <x:c r="AL16" s="27"/>
      <x:c r="AM16" s="27"/>
      <x:c r="AN16" s="27"/>
      <x:c r="AO16" s="27"/>
      <x:c r="AP16" s="27"/>
      <x:c r="AQ16" s="27"/>
      <x:c r="AR16" s="27" t="str">
        <x:f>IF(C16="","",SUM(H16,N16,T16,Z16,AF16,AL16))</x:f>
      </x:c>
      <x:c r="AS16" s="27" t="str">
        <x:f>IF(C16="","",SUM(I16,O16,U16,AA16,AG16,AM16))</x:f>
      </x:c>
      <x:c r="AT16" s="27" t="str">
        <x:f>IF(C16="","",SUM(J16,P16,V16,AB16,AH16,AN16))</x:f>
      </x:c>
      <x:c r="AU16" s="27" t="str">
        <x:f>IF(C16="","",SUM(K16,Q16,W16,AC16,AI16,AO16))</x:f>
      </x:c>
      <x:c r="AV16" s="27" t="str">
        <x:f>IF(C16="","",SUM(L16,R16,X16,AD16,AJ16,AP16))</x:f>
      </x:c>
      <x:c r="AW16" s="27" t="str">
        <x:f>IF(C16="","",SUM(M16,S16,Y16,AE16,AK16,AQ16))</x:f>
      </x:c>
      <x:c r="AX16" s="27" t="str">
        <x:f>IF(C16="","",CONCAT(IF(AR16&gt;=LARGE(AR16:AW16,3),"R",""),IF(AS16&gt;=LARGE(AR16:AW16,3),"I",""),IF(AT16&gt;=LARGE(AR16:AW16,3),"A",""),IF(AU16&gt;=LARGE(AR16:AW16,3),"S",""),IF(AV16&gt;=LARGE(AR16:AW16,3),"E",""),IF(AW16&gt;=LARGE(AR16:AW16,3),"C","")))</x:f>
      </x:c>
      <x:c r="AY16" s="27" t="str">
        <x:f>IF(C16="","",IF(AR16=MAX(AR16:AW16),"นักปฏิบัติ",IF(AS16=MAX(AR16:AW16),"นักคิดวิเคราะห์",IF(AT16=MAX(AR16:AW16),"นักสร้างสรรค์",IF(AU16=MAX(AR16:AW16),"ผู้เข้าใจผู้คน",IF(AV16=MAX(AR16:AW16),"ผู้นำการเปลี่ยนแปลง","ผู้จัดระบบ"))))))</x:f>
      </x:c>
    </x:row>
    <x:row r="17">
      <x:c r="A17" s="27"/>
      <x:c r="B17" s="28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27"/>
      <x:c r="AH17" s="27"/>
      <x:c r="AI17" s="27"/>
      <x:c r="AJ17" s="27"/>
      <x:c r="AK17" s="27"/>
      <x:c r="AL17" s="27"/>
      <x:c r="AM17" s="27"/>
      <x:c r="AN17" s="27"/>
      <x:c r="AO17" s="27"/>
      <x:c r="AP17" s="27"/>
      <x:c r="AQ17" s="27"/>
      <x:c r="AR17" s="27" t="str">
        <x:f>IF(C17="","",SUM(H17,N17,T17,Z17,AF17,AL17))</x:f>
      </x:c>
      <x:c r="AS17" s="27" t="str">
        <x:f>IF(C17="","",SUM(I17,O17,U17,AA17,AG17,AM17))</x:f>
      </x:c>
      <x:c r="AT17" s="27" t="str">
        <x:f>IF(C17="","",SUM(J17,P17,V17,AB17,AH17,AN17))</x:f>
      </x:c>
      <x:c r="AU17" s="27" t="str">
        <x:f>IF(C17="","",SUM(K17,Q17,W17,AC17,AI17,AO17))</x:f>
      </x:c>
      <x:c r="AV17" s="27" t="str">
        <x:f>IF(C17="","",SUM(L17,R17,X17,AD17,AJ17,AP17))</x:f>
      </x:c>
      <x:c r="AW17" s="27" t="str">
        <x:f>IF(C17="","",SUM(M17,S17,Y17,AE17,AK17,AQ17))</x:f>
      </x:c>
      <x:c r="AX17" s="27" t="str">
        <x:f>IF(C17="","",CONCAT(IF(AR17&gt;=LARGE(AR17:AW17,3),"R",""),IF(AS17&gt;=LARGE(AR17:AW17,3),"I",""),IF(AT17&gt;=LARGE(AR17:AW17,3),"A",""),IF(AU17&gt;=LARGE(AR17:AW17,3),"S",""),IF(AV17&gt;=LARGE(AR17:AW17,3),"E",""),IF(AW17&gt;=LARGE(AR17:AW17,3),"C","")))</x:f>
      </x:c>
      <x:c r="AY17" s="27" t="str">
        <x:f>IF(C17="","",IF(AR17=MAX(AR17:AW17),"นักปฏิบัติ",IF(AS17=MAX(AR17:AW17),"นักคิดวิเคราะห์",IF(AT17=MAX(AR17:AW17),"นักสร้างสรรค์",IF(AU17=MAX(AR17:AW17),"ผู้เข้าใจผู้คน",IF(AV17=MAX(AR17:AW17),"ผู้นำการเปลี่ยนแปลง","ผู้จัดระบบ"))))))</x:f>
      </x:c>
    </x:row>
    <x:row r="18">
      <x:c r="A18" s="27"/>
      <x:c r="B18" s="28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27"/>
      <x:c r="AH18" s="27"/>
      <x:c r="AI18" s="27"/>
      <x:c r="AJ18" s="27"/>
      <x:c r="AK18" s="27"/>
      <x:c r="AL18" s="27"/>
      <x:c r="AM18" s="27"/>
      <x:c r="AN18" s="27"/>
      <x:c r="AO18" s="27"/>
      <x:c r="AP18" s="27"/>
      <x:c r="AQ18" s="27"/>
      <x:c r="AR18" s="27" t="str">
        <x:f>IF(C18="","",SUM(H18,N18,T18,Z18,AF18,AL18))</x:f>
      </x:c>
      <x:c r="AS18" s="27" t="str">
        <x:f>IF(C18="","",SUM(I18,O18,U18,AA18,AG18,AM18))</x:f>
      </x:c>
      <x:c r="AT18" s="27" t="str">
        <x:f>IF(C18="","",SUM(J18,P18,V18,AB18,AH18,AN18))</x:f>
      </x:c>
      <x:c r="AU18" s="27" t="str">
        <x:f>IF(C18="","",SUM(K18,Q18,W18,AC18,AI18,AO18))</x:f>
      </x:c>
      <x:c r="AV18" s="27" t="str">
        <x:f>IF(C18="","",SUM(L18,R18,X18,AD18,AJ18,AP18))</x:f>
      </x:c>
      <x:c r="AW18" s="27" t="str">
        <x:f>IF(C18="","",SUM(M18,S18,Y18,AE18,AK18,AQ18))</x:f>
      </x:c>
      <x:c r="AX18" s="27" t="str">
        <x:f>IF(C18="","",CONCAT(IF(AR18&gt;=LARGE(AR18:AW18,3),"R",""),IF(AS18&gt;=LARGE(AR18:AW18,3),"I",""),IF(AT18&gt;=LARGE(AR18:AW18,3),"A",""),IF(AU18&gt;=LARGE(AR18:AW18,3),"S",""),IF(AV18&gt;=LARGE(AR18:AW18,3),"E",""),IF(AW18&gt;=LARGE(AR18:AW18,3),"C","")))</x:f>
      </x:c>
      <x:c r="AY18" s="27" t="str">
        <x:f>IF(C18="","",IF(AR18=MAX(AR18:AW18),"นักปฏิบัติ",IF(AS18=MAX(AR18:AW18),"นักคิดวิเคราะห์",IF(AT18=MAX(AR18:AW18),"นักสร้างสรรค์",IF(AU18=MAX(AR18:AW18),"ผู้เข้าใจผู้คน",IF(AV18=MAX(AR18:AW18),"ผู้นำการเปลี่ยนแปลง","ผู้จัดระบบ"))))))</x:f>
      </x:c>
    </x:row>
    <x:row r="19">
      <x:c r="A19" s="27"/>
      <x:c r="B19" s="28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27"/>
      <x:c r="AH19" s="27"/>
      <x:c r="AI19" s="27"/>
      <x:c r="AJ19" s="27"/>
      <x:c r="AK19" s="27"/>
      <x:c r="AL19" s="27"/>
      <x:c r="AM19" s="27"/>
      <x:c r="AN19" s="27"/>
      <x:c r="AO19" s="27"/>
      <x:c r="AP19" s="27"/>
      <x:c r="AQ19" s="27"/>
      <x:c r="AR19" s="27" t="str">
        <x:f>IF(C19="","",SUM(H19,N19,T19,Z19,AF19,AL19))</x:f>
      </x:c>
      <x:c r="AS19" s="27" t="str">
        <x:f>IF(C19="","",SUM(I19,O19,U19,AA19,AG19,AM19))</x:f>
      </x:c>
      <x:c r="AT19" s="27" t="str">
        <x:f>IF(C19="","",SUM(J19,P19,V19,AB19,AH19,AN19))</x:f>
      </x:c>
      <x:c r="AU19" s="27" t="str">
        <x:f>IF(C19="","",SUM(K19,Q19,W19,AC19,AI19,AO19))</x:f>
      </x:c>
      <x:c r="AV19" s="27" t="str">
        <x:f>IF(C19="","",SUM(L19,R19,X19,AD19,AJ19,AP19))</x:f>
      </x:c>
      <x:c r="AW19" s="27" t="str">
        <x:f>IF(C19="","",SUM(M19,S19,Y19,AE19,AK19,AQ19))</x:f>
      </x:c>
      <x:c r="AX19" s="27" t="str">
        <x:f>IF(C19="","",CONCAT(IF(AR19&gt;=LARGE(AR19:AW19,3),"R",""),IF(AS19&gt;=LARGE(AR19:AW19,3),"I",""),IF(AT19&gt;=LARGE(AR19:AW19,3),"A",""),IF(AU19&gt;=LARGE(AR19:AW19,3),"S",""),IF(AV19&gt;=LARGE(AR19:AW19,3),"E",""),IF(AW19&gt;=LARGE(AR19:AW19,3),"C","")))</x:f>
      </x:c>
      <x:c r="AY19" s="27" t="str">
        <x:f>IF(C19="","",IF(AR19=MAX(AR19:AW19),"นักปฏิบัติ",IF(AS19=MAX(AR19:AW19),"นักคิดวิเคราะห์",IF(AT19=MAX(AR19:AW19),"นักสร้างสรรค์",IF(AU19=MAX(AR19:AW19),"ผู้เข้าใจผู้คน",IF(AV19=MAX(AR19:AW19),"ผู้นำการเปลี่ยนแปลง","ผู้จัดระบบ"))))))</x:f>
      </x:c>
    </x:row>
    <x:row r="20">
      <x:c r="A20" s="27"/>
      <x:c r="B20" s="28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27"/>
      <x:c r="AH20" s="27"/>
      <x:c r="AI20" s="27"/>
      <x:c r="AJ20" s="27"/>
      <x:c r="AK20" s="27"/>
      <x:c r="AL20" s="27"/>
      <x:c r="AM20" s="27"/>
      <x:c r="AN20" s="27"/>
      <x:c r="AO20" s="27"/>
      <x:c r="AP20" s="27"/>
      <x:c r="AQ20" s="27"/>
      <x:c r="AR20" s="27" t="str">
        <x:f>IF(C20="","",SUM(H20,N20,T20,Z20,AF20,AL20))</x:f>
      </x:c>
      <x:c r="AS20" s="27" t="str">
        <x:f>IF(C20="","",SUM(I20,O20,U20,AA20,AG20,AM20))</x:f>
      </x:c>
      <x:c r="AT20" s="27" t="str">
        <x:f>IF(C20="","",SUM(J20,P20,V20,AB20,AH20,AN20))</x:f>
      </x:c>
      <x:c r="AU20" s="27" t="str">
        <x:f>IF(C20="","",SUM(K20,Q20,W20,AC20,AI20,AO20))</x:f>
      </x:c>
      <x:c r="AV20" s="27" t="str">
        <x:f>IF(C20="","",SUM(L20,R20,X20,AD20,AJ20,AP20))</x:f>
      </x:c>
      <x:c r="AW20" s="27" t="str">
        <x:f>IF(C20="","",SUM(M20,S20,Y20,AE20,AK20,AQ20))</x:f>
      </x:c>
      <x:c r="AX20" s="27" t="str">
        <x:f>IF(C20="","",CONCAT(IF(AR20&gt;=LARGE(AR20:AW20,3),"R",""),IF(AS20&gt;=LARGE(AR20:AW20,3),"I",""),IF(AT20&gt;=LARGE(AR20:AW20,3),"A",""),IF(AU20&gt;=LARGE(AR20:AW20,3),"S",""),IF(AV20&gt;=LARGE(AR20:AW20,3),"E",""),IF(AW20&gt;=LARGE(AR20:AW20,3),"C","")))</x:f>
      </x:c>
      <x:c r="AY20" s="27" t="str">
        <x:f>IF(C20="","",IF(AR20=MAX(AR20:AW20),"นักปฏิบัติ",IF(AS20=MAX(AR20:AW20),"นักคิดวิเคราะห์",IF(AT20=MAX(AR20:AW20),"นักสร้างสรรค์",IF(AU20=MAX(AR20:AW20),"ผู้เข้าใจผู้คน",IF(AV20=MAX(AR20:AW20),"ผู้นำการเปลี่ยนแปลง","ผู้จัดระบบ"))))))</x:f>
      </x:c>
    </x:row>
    <x:row r="21">
      <x:c r="A21" s="27"/>
      <x:c r="B21" s="28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  <x:c r="AC21" s="27"/>
      <x:c r="AD21" s="27"/>
      <x:c r="AE21" s="27"/>
      <x:c r="AF21" s="27"/>
      <x:c r="AG21" s="27"/>
      <x:c r="AH21" s="27"/>
      <x:c r="AI21" s="27"/>
      <x:c r="AJ21" s="27"/>
      <x:c r="AK21" s="27"/>
      <x:c r="AL21" s="27"/>
      <x:c r="AM21" s="27"/>
      <x:c r="AN21" s="27"/>
      <x:c r="AO21" s="27"/>
      <x:c r="AP21" s="27"/>
      <x:c r="AQ21" s="27"/>
      <x:c r="AR21" s="27" t="str">
        <x:f>IF(C21="","",SUM(H21,N21,T21,Z21,AF21,AL21))</x:f>
      </x:c>
      <x:c r="AS21" s="27" t="str">
        <x:f>IF(C21="","",SUM(I21,O21,U21,AA21,AG21,AM21))</x:f>
      </x:c>
      <x:c r="AT21" s="27" t="str">
        <x:f>IF(C21="","",SUM(J21,P21,V21,AB21,AH21,AN21))</x:f>
      </x:c>
      <x:c r="AU21" s="27" t="str">
        <x:f>IF(C21="","",SUM(K21,Q21,W21,AC21,AI21,AO21))</x:f>
      </x:c>
      <x:c r="AV21" s="27" t="str">
        <x:f>IF(C21="","",SUM(L21,R21,X21,AD21,AJ21,AP21))</x:f>
      </x:c>
      <x:c r="AW21" s="27" t="str">
        <x:f>IF(C21="","",SUM(M21,S21,Y21,AE21,AK21,AQ21))</x:f>
      </x:c>
      <x:c r="AX21" s="27" t="str">
        <x:f>IF(C21="","",CONCAT(IF(AR21&gt;=LARGE(AR21:AW21,3),"R",""),IF(AS21&gt;=LARGE(AR21:AW21,3),"I",""),IF(AT21&gt;=LARGE(AR21:AW21,3),"A",""),IF(AU21&gt;=LARGE(AR21:AW21,3),"S",""),IF(AV21&gt;=LARGE(AR21:AW21,3),"E",""),IF(AW21&gt;=LARGE(AR21:AW21,3),"C","")))</x:f>
      </x:c>
      <x:c r="AY21" s="27" t="str">
        <x:f>IF(C21="","",IF(AR21=MAX(AR21:AW21),"นักปฏิบัติ",IF(AS21=MAX(AR21:AW21),"นักคิดวิเคราะห์",IF(AT21=MAX(AR21:AW21),"นักสร้างสรรค์",IF(AU21=MAX(AR21:AW21),"ผู้เข้าใจผู้คน",IF(AV21=MAX(AR21:AW21),"ผู้นำการเปลี่ยนแปลง","ผู้จัดระบบ"))))))</x:f>
      </x:c>
    </x:row>
    <x:row r="22">
      <x:c r="A22" s="27"/>
      <x:c r="B22" s="28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  <x:c r="AC22" s="27"/>
      <x:c r="AD22" s="27"/>
      <x:c r="AE22" s="27"/>
      <x:c r="AF22" s="27"/>
      <x:c r="AG22" s="27"/>
      <x:c r="AH22" s="27"/>
      <x:c r="AI22" s="27"/>
      <x:c r="AJ22" s="27"/>
      <x:c r="AK22" s="27"/>
      <x:c r="AL22" s="27"/>
      <x:c r="AM22" s="27"/>
      <x:c r="AN22" s="27"/>
      <x:c r="AO22" s="27"/>
      <x:c r="AP22" s="27"/>
      <x:c r="AQ22" s="27"/>
      <x:c r="AR22" s="27" t="str">
        <x:f>IF(C22="","",SUM(H22,N22,T22,Z22,AF22,AL22))</x:f>
      </x:c>
      <x:c r="AS22" s="27" t="str">
        <x:f>IF(C22="","",SUM(I22,O22,U22,AA22,AG22,AM22))</x:f>
      </x:c>
      <x:c r="AT22" s="27" t="str">
        <x:f>IF(C22="","",SUM(J22,P22,V22,AB22,AH22,AN22))</x:f>
      </x:c>
      <x:c r="AU22" s="27" t="str">
        <x:f>IF(C22="","",SUM(K22,Q22,W22,AC22,AI22,AO22))</x:f>
      </x:c>
      <x:c r="AV22" s="27" t="str">
        <x:f>IF(C22="","",SUM(L22,R22,X22,AD22,AJ22,AP22))</x:f>
      </x:c>
      <x:c r="AW22" s="27" t="str">
        <x:f>IF(C22="","",SUM(M22,S22,Y22,AE22,AK22,AQ22))</x:f>
      </x:c>
      <x:c r="AX22" s="27" t="str">
        <x:f>IF(C22="","",CONCAT(IF(AR22&gt;=LARGE(AR22:AW22,3),"R",""),IF(AS22&gt;=LARGE(AR22:AW22,3),"I",""),IF(AT22&gt;=LARGE(AR22:AW22,3),"A",""),IF(AU22&gt;=LARGE(AR22:AW22,3),"S",""),IF(AV22&gt;=LARGE(AR22:AW22,3),"E",""),IF(AW22&gt;=LARGE(AR22:AW22,3),"C","")))</x:f>
      </x:c>
      <x:c r="AY22" s="27" t="str">
        <x:f>IF(C22="","",IF(AR22=MAX(AR22:AW22),"นักปฏิบัติ",IF(AS22=MAX(AR22:AW22),"นักคิดวิเคราะห์",IF(AT22=MAX(AR22:AW22),"นักสร้างสรรค์",IF(AU22=MAX(AR22:AW22),"ผู้เข้าใจผู้คน",IF(AV22=MAX(AR22:AW22),"ผู้นำการเปลี่ยนแปลง","ผู้จัดระบบ"))))))</x:f>
      </x:c>
    </x:row>
    <x:row r="23">
      <x:c r="A23" s="27"/>
      <x:c r="B23" s="28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  <x:c r="AC23" s="27"/>
      <x:c r="AD23" s="27"/>
      <x:c r="AE23" s="27"/>
      <x:c r="AF23" s="27"/>
      <x:c r="AG23" s="27"/>
      <x:c r="AH23" s="27"/>
      <x:c r="AI23" s="27"/>
      <x:c r="AJ23" s="27"/>
      <x:c r="AK23" s="27"/>
      <x:c r="AL23" s="27"/>
      <x:c r="AM23" s="27"/>
      <x:c r="AN23" s="27"/>
      <x:c r="AO23" s="27"/>
      <x:c r="AP23" s="27"/>
      <x:c r="AQ23" s="27"/>
      <x:c r="AR23" s="27" t="str">
        <x:f>IF(C23="","",SUM(H23,N23,T23,Z23,AF23,AL23))</x:f>
      </x:c>
      <x:c r="AS23" s="27" t="str">
        <x:f>IF(C23="","",SUM(I23,O23,U23,AA23,AG23,AM23))</x:f>
      </x:c>
      <x:c r="AT23" s="27" t="str">
        <x:f>IF(C23="","",SUM(J23,P23,V23,AB23,AH23,AN23))</x:f>
      </x:c>
      <x:c r="AU23" s="27" t="str">
        <x:f>IF(C23="","",SUM(K23,Q23,W23,AC23,AI23,AO23))</x:f>
      </x:c>
      <x:c r="AV23" s="27" t="str">
        <x:f>IF(C23="","",SUM(L23,R23,X23,AD23,AJ23,AP23))</x:f>
      </x:c>
      <x:c r="AW23" s="27" t="str">
        <x:f>IF(C23="","",SUM(M23,S23,Y23,AE23,AK23,AQ23))</x:f>
      </x:c>
      <x:c r="AX23" s="27" t="str">
        <x:f>IF(C23="","",CONCAT(IF(AR23&gt;=LARGE(AR23:AW23,3),"R",""),IF(AS23&gt;=LARGE(AR23:AW23,3),"I",""),IF(AT23&gt;=LARGE(AR23:AW23,3),"A",""),IF(AU23&gt;=LARGE(AR23:AW23,3),"S",""),IF(AV23&gt;=LARGE(AR23:AW23,3),"E",""),IF(AW23&gt;=LARGE(AR23:AW23,3),"C","")))</x:f>
      </x:c>
      <x:c r="AY23" s="27" t="str">
        <x:f>IF(C23="","",IF(AR23=MAX(AR23:AW23),"นักปฏิบัติ",IF(AS23=MAX(AR23:AW23),"นักคิดวิเคราะห์",IF(AT23=MAX(AR23:AW23),"นักสร้างสรรค์",IF(AU23=MAX(AR23:AW23),"ผู้เข้าใจผู้คน",IF(AV23=MAX(AR23:AW23),"ผู้นำการเปลี่ยนแปลง","ผู้จัดระบบ"))))))</x:f>
      </x:c>
    </x:row>
    <x:row r="24">
      <x:c r="A24" s="27"/>
      <x:c r="B24" s="28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  <x:c r="AC24" s="27"/>
      <x:c r="AD24" s="27"/>
      <x:c r="AE24" s="27"/>
      <x:c r="AF24" s="27"/>
      <x:c r="AG24" s="27"/>
      <x:c r="AH24" s="27"/>
      <x:c r="AI24" s="27"/>
      <x:c r="AJ24" s="27"/>
      <x:c r="AK24" s="27"/>
      <x:c r="AL24" s="27"/>
      <x:c r="AM24" s="27"/>
      <x:c r="AN24" s="27"/>
      <x:c r="AO24" s="27"/>
      <x:c r="AP24" s="27"/>
      <x:c r="AQ24" s="27"/>
      <x:c r="AR24" s="27" t="str">
        <x:f>IF(C24="","",SUM(H24,N24,T24,Z24,AF24,AL24))</x:f>
      </x:c>
      <x:c r="AS24" s="27" t="str">
        <x:f>IF(C24="","",SUM(I24,O24,U24,AA24,AG24,AM24))</x:f>
      </x:c>
      <x:c r="AT24" s="27" t="str">
        <x:f>IF(C24="","",SUM(J24,P24,V24,AB24,AH24,AN24))</x:f>
      </x:c>
      <x:c r="AU24" s="27" t="str">
        <x:f>IF(C24="","",SUM(K24,Q24,W24,AC24,AI24,AO24))</x:f>
      </x:c>
      <x:c r="AV24" s="27" t="str">
        <x:f>IF(C24="","",SUM(L24,R24,X24,AD24,AJ24,AP24))</x:f>
      </x:c>
      <x:c r="AW24" s="27" t="str">
        <x:f>IF(C24="","",SUM(M24,S24,Y24,AE24,AK24,AQ24))</x:f>
      </x:c>
      <x:c r="AX24" s="27" t="str">
        <x:f>IF(C24="","",CONCAT(IF(AR24&gt;=LARGE(AR24:AW24,3),"R",""),IF(AS24&gt;=LARGE(AR24:AW24,3),"I",""),IF(AT24&gt;=LARGE(AR24:AW24,3),"A",""),IF(AU24&gt;=LARGE(AR24:AW24,3),"S",""),IF(AV24&gt;=LARGE(AR24:AW24,3),"E",""),IF(AW24&gt;=LARGE(AR24:AW24,3),"C","")))</x:f>
      </x:c>
      <x:c r="AY24" s="27" t="str">
        <x:f>IF(C24="","",IF(AR24=MAX(AR24:AW24),"นักปฏิบัติ",IF(AS24=MAX(AR24:AW24),"นักคิดวิเคราะห์",IF(AT24=MAX(AR24:AW24),"นักสร้างสรรค์",IF(AU24=MAX(AR24:AW24),"ผู้เข้าใจผู้คน",IF(AV24=MAX(AR24:AW24),"ผู้นำการเปลี่ยนแปลง","ผู้จัดระบบ"))))))</x:f>
      </x:c>
    </x:row>
    <x:row r="25">
      <x:c r="A25" s="27"/>
      <x:c r="B25" s="28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  <x:c r="AC25" s="27"/>
      <x:c r="AD25" s="27"/>
      <x:c r="AE25" s="27"/>
      <x:c r="AF25" s="27"/>
      <x:c r="AG25" s="27"/>
      <x:c r="AH25" s="27"/>
      <x:c r="AI25" s="27"/>
      <x:c r="AJ25" s="27"/>
      <x:c r="AK25" s="27"/>
      <x:c r="AL25" s="27"/>
      <x:c r="AM25" s="27"/>
      <x:c r="AN25" s="27"/>
      <x:c r="AO25" s="27"/>
      <x:c r="AP25" s="27"/>
      <x:c r="AQ25" s="27"/>
      <x:c r="AR25" s="27" t="str">
        <x:f>IF(C25="","",SUM(H25,N25,T25,Z25,AF25,AL25))</x:f>
      </x:c>
      <x:c r="AS25" s="27" t="str">
        <x:f>IF(C25="","",SUM(I25,O25,U25,AA25,AG25,AM25))</x:f>
      </x:c>
      <x:c r="AT25" s="27" t="str">
        <x:f>IF(C25="","",SUM(J25,P25,V25,AB25,AH25,AN25))</x:f>
      </x:c>
      <x:c r="AU25" s="27" t="str">
        <x:f>IF(C25="","",SUM(K25,Q25,W25,AC25,AI25,AO25))</x:f>
      </x:c>
      <x:c r="AV25" s="27" t="str">
        <x:f>IF(C25="","",SUM(L25,R25,X25,AD25,AJ25,AP25))</x:f>
      </x:c>
      <x:c r="AW25" s="27" t="str">
        <x:f>IF(C25="","",SUM(M25,S25,Y25,AE25,AK25,AQ25))</x:f>
      </x:c>
      <x:c r="AX25" s="27" t="str">
        <x:f>IF(C25="","",CONCAT(IF(AR25&gt;=LARGE(AR25:AW25,3),"R",""),IF(AS25&gt;=LARGE(AR25:AW25,3),"I",""),IF(AT25&gt;=LARGE(AR25:AW25,3),"A",""),IF(AU25&gt;=LARGE(AR25:AW25,3),"S",""),IF(AV25&gt;=LARGE(AR25:AW25,3),"E",""),IF(AW25&gt;=LARGE(AR25:AW25,3),"C","")))</x:f>
      </x:c>
      <x:c r="AY25" s="27" t="str">
        <x:f>IF(C25="","",IF(AR25=MAX(AR25:AW25),"นักปฏิบัติ",IF(AS25=MAX(AR25:AW25),"นักคิดวิเคราะห์",IF(AT25=MAX(AR25:AW25),"นักสร้างสรรค์",IF(AU25=MAX(AR25:AW25),"ผู้เข้าใจผู้คน",IF(AV25=MAX(AR25:AW25),"ผู้นำการเปลี่ยนแปลง","ผู้จัดระบบ"))))))</x:f>
      </x:c>
    </x:row>
    <x:row r="26">
      <x:c r="A26" s="27"/>
      <x:c r="B26" s="28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  <x:c r="AC26" s="27"/>
      <x:c r="AD26" s="27"/>
      <x:c r="AE26" s="27"/>
      <x:c r="AF26" s="27"/>
      <x:c r="AG26" s="27"/>
      <x:c r="AH26" s="27"/>
      <x:c r="AI26" s="27"/>
      <x:c r="AJ26" s="27"/>
      <x:c r="AK26" s="27"/>
      <x:c r="AL26" s="27"/>
      <x:c r="AM26" s="27"/>
      <x:c r="AN26" s="27"/>
      <x:c r="AO26" s="27"/>
      <x:c r="AP26" s="27"/>
      <x:c r="AQ26" s="27"/>
      <x:c r="AR26" s="27" t="str">
        <x:f>IF(C26="","",SUM(H26,N26,T26,Z26,AF26,AL26))</x:f>
      </x:c>
      <x:c r="AS26" s="27" t="str">
        <x:f>IF(C26="","",SUM(I26,O26,U26,AA26,AG26,AM26))</x:f>
      </x:c>
      <x:c r="AT26" s="27" t="str">
        <x:f>IF(C26="","",SUM(J26,P26,V26,AB26,AH26,AN26))</x:f>
      </x:c>
      <x:c r="AU26" s="27" t="str">
        <x:f>IF(C26="","",SUM(K26,Q26,W26,AC26,AI26,AO26))</x:f>
      </x:c>
      <x:c r="AV26" s="27" t="str">
        <x:f>IF(C26="","",SUM(L26,R26,X26,AD26,AJ26,AP26))</x:f>
      </x:c>
      <x:c r="AW26" s="27" t="str">
        <x:f>IF(C26="","",SUM(M26,S26,Y26,AE26,AK26,AQ26))</x:f>
      </x:c>
      <x:c r="AX26" s="27" t="str">
        <x:f>IF(C26="","",CONCAT(IF(AR26&gt;=LARGE(AR26:AW26,3),"R",""),IF(AS26&gt;=LARGE(AR26:AW26,3),"I",""),IF(AT26&gt;=LARGE(AR26:AW26,3),"A",""),IF(AU26&gt;=LARGE(AR26:AW26,3),"S",""),IF(AV26&gt;=LARGE(AR26:AW26,3),"E",""),IF(AW26&gt;=LARGE(AR26:AW26,3),"C","")))</x:f>
      </x:c>
      <x:c r="AY26" s="27" t="str">
        <x:f>IF(C26="","",IF(AR26=MAX(AR26:AW26),"นักปฏิบัติ",IF(AS26=MAX(AR26:AW26),"นักคิดวิเคราะห์",IF(AT26=MAX(AR26:AW26),"นักสร้างสรรค์",IF(AU26=MAX(AR26:AW26),"ผู้เข้าใจผู้คน",IF(AV26=MAX(AR26:AW26),"ผู้นำการเปลี่ยนแปลง","ผู้จัดระบบ"))))))</x:f>
      </x:c>
    </x:row>
    <x:row r="27">
      <x:c r="A27" s="27"/>
      <x:c r="B27" s="28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  <x:c r="AC27" s="27"/>
      <x:c r="AD27" s="27"/>
      <x:c r="AE27" s="27"/>
      <x:c r="AF27" s="27"/>
      <x:c r="AG27" s="27"/>
      <x:c r="AH27" s="27"/>
      <x:c r="AI27" s="27"/>
      <x:c r="AJ27" s="27"/>
      <x:c r="AK27" s="27"/>
      <x:c r="AL27" s="27"/>
      <x:c r="AM27" s="27"/>
      <x:c r="AN27" s="27"/>
      <x:c r="AO27" s="27"/>
      <x:c r="AP27" s="27"/>
      <x:c r="AQ27" s="27"/>
      <x:c r="AR27" s="27" t="str">
        <x:f>IF(C27="","",SUM(H27,N27,T27,Z27,AF27,AL27))</x:f>
      </x:c>
      <x:c r="AS27" s="27" t="str">
        <x:f>IF(C27="","",SUM(I27,O27,U27,AA27,AG27,AM27))</x:f>
      </x:c>
      <x:c r="AT27" s="27" t="str">
        <x:f>IF(C27="","",SUM(J27,P27,V27,AB27,AH27,AN27))</x:f>
      </x:c>
      <x:c r="AU27" s="27" t="str">
        <x:f>IF(C27="","",SUM(K27,Q27,W27,AC27,AI27,AO27))</x:f>
      </x:c>
      <x:c r="AV27" s="27" t="str">
        <x:f>IF(C27="","",SUM(L27,R27,X27,AD27,AJ27,AP27))</x:f>
      </x:c>
      <x:c r="AW27" s="27" t="str">
        <x:f>IF(C27="","",SUM(M27,S27,Y27,AE27,AK27,AQ27))</x:f>
      </x:c>
      <x:c r="AX27" s="27" t="str">
        <x:f>IF(C27="","",CONCAT(IF(AR27&gt;=LARGE(AR27:AW27,3),"R",""),IF(AS27&gt;=LARGE(AR27:AW27,3),"I",""),IF(AT27&gt;=LARGE(AR27:AW27,3),"A",""),IF(AU27&gt;=LARGE(AR27:AW27,3),"S",""),IF(AV27&gt;=LARGE(AR27:AW27,3),"E",""),IF(AW27&gt;=LARGE(AR27:AW27,3),"C","")))</x:f>
      </x:c>
      <x:c r="AY27" s="27" t="str">
        <x:f>IF(C27="","",IF(AR27=MAX(AR27:AW27),"นักปฏิบัติ",IF(AS27=MAX(AR27:AW27),"นักคิดวิเคราะห์",IF(AT27=MAX(AR27:AW27),"นักสร้างสรรค์",IF(AU27=MAX(AR27:AW27),"ผู้เข้าใจผู้คน",IF(AV27=MAX(AR27:AW27),"ผู้นำการเปลี่ยนแปลง","ผู้จัดระบบ"))))))</x:f>
      </x:c>
    </x:row>
    <x:row r="28">
      <x:c r="A28" s="27"/>
      <x:c r="B28" s="28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  <x:c r="AC28" s="27"/>
      <x:c r="AD28" s="27"/>
      <x:c r="AE28" s="27"/>
      <x:c r="AF28" s="27"/>
      <x:c r="AG28" s="27"/>
      <x:c r="AH28" s="27"/>
      <x:c r="AI28" s="27"/>
      <x:c r="AJ28" s="27"/>
      <x:c r="AK28" s="27"/>
      <x:c r="AL28" s="27"/>
      <x:c r="AM28" s="27"/>
      <x:c r="AN28" s="27"/>
      <x:c r="AO28" s="27"/>
      <x:c r="AP28" s="27"/>
      <x:c r="AQ28" s="27"/>
      <x:c r="AR28" s="27" t="str">
        <x:f>IF(C28="","",SUM(H28,N28,T28,Z28,AF28,AL28))</x:f>
      </x:c>
      <x:c r="AS28" s="27" t="str">
        <x:f>IF(C28="","",SUM(I28,O28,U28,AA28,AG28,AM28))</x:f>
      </x:c>
      <x:c r="AT28" s="27" t="str">
        <x:f>IF(C28="","",SUM(J28,P28,V28,AB28,AH28,AN28))</x:f>
      </x:c>
      <x:c r="AU28" s="27" t="str">
        <x:f>IF(C28="","",SUM(K28,Q28,W28,AC28,AI28,AO28))</x:f>
      </x:c>
      <x:c r="AV28" s="27" t="str">
        <x:f>IF(C28="","",SUM(L28,R28,X28,AD28,AJ28,AP28))</x:f>
      </x:c>
      <x:c r="AW28" s="27" t="str">
        <x:f>IF(C28="","",SUM(M28,S28,Y28,AE28,AK28,AQ28))</x:f>
      </x:c>
      <x:c r="AX28" s="27" t="str">
        <x:f>IF(C28="","",CONCAT(IF(AR28&gt;=LARGE(AR28:AW28,3),"R",""),IF(AS28&gt;=LARGE(AR28:AW28,3),"I",""),IF(AT28&gt;=LARGE(AR28:AW28,3),"A",""),IF(AU28&gt;=LARGE(AR28:AW28,3),"S",""),IF(AV28&gt;=LARGE(AR28:AW28,3),"E",""),IF(AW28&gt;=LARGE(AR28:AW28,3),"C","")))</x:f>
      </x:c>
      <x:c r="AY28" s="27" t="str">
        <x:f>IF(C28="","",IF(AR28=MAX(AR28:AW28),"นักปฏิบัติ",IF(AS28=MAX(AR28:AW28),"นักคิดวิเคราะห์",IF(AT28=MAX(AR28:AW28),"นักสร้างสรรค์",IF(AU28=MAX(AR28:AW28),"ผู้เข้าใจผู้คน",IF(AV28=MAX(AR28:AW28),"ผู้นำการเปลี่ยนแปลง","ผู้จัดระบบ"))))))</x:f>
      </x:c>
    </x:row>
    <x:row r="29">
      <x:c r="A29" s="27"/>
      <x:c r="B29" s="28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  <x:c r="AC29" s="27"/>
      <x:c r="AD29" s="27"/>
      <x:c r="AE29" s="27"/>
      <x:c r="AF29" s="27"/>
      <x:c r="AG29" s="27"/>
      <x:c r="AH29" s="27"/>
      <x:c r="AI29" s="27"/>
      <x:c r="AJ29" s="27"/>
      <x:c r="AK29" s="27"/>
      <x:c r="AL29" s="27"/>
      <x:c r="AM29" s="27"/>
      <x:c r="AN29" s="27"/>
      <x:c r="AO29" s="27"/>
      <x:c r="AP29" s="27"/>
      <x:c r="AQ29" s="27"/>
      <x:c r="AR29" s="27" t="str">
        <x:f>IF(C29="","",SUM(H29,N29,T29,Z29,AF29,AL29))</x:f>
      </x:c>
      <x:c r="AS29" s="27" t="str">
        <x:f>IF(C29="","",SUM(I29,O29,U29,AA29,AG29,AM29))</x:f>
      </x:c>
      <x:c r="AT29" s="27" t="str">
        <x:f>IF(C29="","",SUM(J29,P29,V29,AB29,AH29,AN29))</x:f>
      </x:c>
      <x:c r="AU29" s="27" t="str">
        <x:f>IF(C29="","",SUM(K29,Q29,W29,AC29,AI29,AO29))</x:f>
      </x:c>
      <x:c r="AV29" s="27" t="str">
        <x:f>IF(C29="","",SUM(L29,R29,X29,AD29,AJ29,AP29))</x:f>
      </x:c>
      <x:c r="AW29" s="27" t="str">
        <x:f>IF(C29="","",SUM(M29,S29,Y29,AE29,AK29,AQ29))</x:f>
      </x:c>
      <x:c r="AX29" s="27" t="str">
        <x:f>IF(C29="","",CONCAT(IF(AR29&gt;=LARGE(AR29:AW29,3),"R",""),IF(AS29&gt;=LARGE(AR29:AW29,3),"I",""),IF(AT29&gt;=LARGE(AR29:AW29,3),"A",""),IF(AU29&gt;=LARGE(AR29:AW29,3),"S",""),IF(AV29&gt;=LARGE(AR29:AW29,3),"E",""),IF(AW29&gt;=LARGE(AR29:AW29,3),"C","")))</x:f>
      </x:c>
      <x:c r="AY29" s="27" t="str">
        <x:f>IF(C29="","",IF(AR29=MAX(AR29:AW29),"นักปฏิบัติ",IF(AS29=MAX(AR29:AW29),"นักคิดวิเคราะห์",IF(AT29=MAX(AR29:AW29),"นักสร้างสรรค์",IF(AU29=MAX(AR29:AW29),"ผู้เข้าใจผู้คน",IF(AV29=MAX(AR29:AW29),"ผู้นำการเปลี่ยนแปลง","ผู้จัดระบบ"))))))</x:f>
      </x:c>
    </x:row>
    <x:row r="30">
      <x:c r="A30" s="27"/>
      <x:c r="B30" s="28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  <x:c r="AC30" s="27"/>
      <x:c r="AD30" s="27"/>
      <x:c r="AE30" s="27"/>
      <x:c r="AF30" s="27"/>
      <x:c r="AG30" s="27"/>
      <x:c r="AH30" s="27"/>
      <x:c r="AI30" s="27"/>
      <x:c r="AJ30" s="27"/>
      <x:c r="AK30" s="27"/>
      <x:c r="AL30" s="27"/>
      <x:c r="AM30" s="27"/>
      <x:c r="AN30" s="27"/>
      <x:c r="AO30" s="27"/>
      <x:c r="AP30" s="27"/>
      <x:c r="AQ30" s="27"/>
      <x:c r="AR30" s="27" t="str">
        <x:f>IF(C30="","",SUM(H30,N30,T30,Z30,AF30,AL30))</x:f>
      </x:c>
      <x:c r="AS30" s="27" t="str">
        <x:f>IF(C30="","",SUM(I30,O30,U30,AA30,AG30,AM30))</x:f>
      </x:c>
      <x:c r="AT30" s="27" t="str">
        <x:f>IF(C30="","",SUM(J30,P30,V30,AB30,AH30,AN30))</x:f>
      </x:c>
      <x:c r="AU30" s="27" t="str">
        <x:f>IF(C30="","",SUM(K30,Q30,W30,AC30,AI30,AO30))</x:f>
      </x:c>
      <x:c r="AV30" s="27" t="str">
        <x:f>IF(C30="","",SUM(L30,R30,X30,AD30,AJ30,AP30))</x:f>
      </x:c>
      <x:c r="AW30" s="27" t="str">
        <x:f>IF(C30="","",SUM(M30,S30,Y30,AE30,AK30,AQ30))</x:f>
      </x:c>
      <x:c r="AX30" s="27" t="str">
        <x:f>IF(C30="","",CONCAT(IF(AR30&gt;=LARGE(AR30:AW30,3),"R",""),IF(AS30&gt;=LARGE(AR30:AW30,3),"I",""),IF(AT30&gt;=LARGE(AR30:AW30,3),"A",""),IF(AU30&gt;=LARGE(AR30:AW30,3),"S",""),IF(AV30&gt;=LARGE(AR30:AW30,3),"E",""),IF(AW30&gt;=LARGE(AR30:AW30,3),"C","")))</x:f>
      </x:c>
      <x:c r="AY30" s="27" t="str">
        <x:f>IF(C30="","",IF(AR30=MAX(AR30:AW30),"นักปฏิบัติ",IF(AS30=MAX(AR30:AW30),"นักคิดวิเคราะห์",IF(AT30=MAX(AR30:AW30),"นักสร้างสรรค์",IF(AU30=MAX(AR30:AW30),"ผู้เข้าใจผู้คน",IF(AV30=MAX(AR30:AW30),"ผู้นำการเปลี่ยนแปลง","ผู้จัดระบบ"))))))</x:f>
      </x:c>
    </x:row>
    <x:row r="31">
      <x:c r="A31" s="27"/>
      <x:c r="B31" s="28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  <x:c r="AC31" s="27"/>
      <x:c r="AD31" s="27"/>
      <x:c r="AE31" s="27"/>
      <x:c r="AF31" s="27"/>
      <x:c r="AG31" s="27"/>
      <x:c r="AH31" s="27"/>
      <x:c r="AI31" s="27"/>
      <x:c r="AJ31" s="27"/>
      <x:c r="AK31" s="27"/>
      <x:c r="AL31" s="27"/>
      <x:c r="AM31" s="27"/>
      <x:c r="AN31" s="27"/>
      <x:c r="AO31" s="27"/>
      <x:c r="AP31" s="27"/>
      <x:c r="AQ31" s="27"/>
      <x:c r="AR31" s="27" t="str">
        <x:f>IF(C31="","",SUM(H31,N31,T31,Z31,AF31,AL31))</x:f>
      </x:c>
      <x:c r="AS31" s="27" t="str">
        <x:f>IF(C31="","",SUM(I31,O31,U31,AA31,AG31,AM31))</x:f>
      </x:c>
      <x:c r="AT31" s="27" t="str">
        <x:f>IF(C31="","",SUM(J31,P31,V31,AB31,AH31,AN31))</x:f>
      </x:c>
      <x:c r="AU31" s="27" t="str">
        <x:f>IF(C31="","",SUM(K31,Q31,W31,AC31,AI31,AO31))</x:f>
      </x:c>
      <x:c r="AV31" s="27" t="str">
        <x:f>IF(C31="","",SUM(L31,R31,X31,AD31,AJ31,AP31))</x:f>
      </x:c>
      <x:c r="AW31" s="27" t="str">
        <x:f>IF(C31="","",SUM(M31,S31,Y31,AE31,AK31,AQ31))</x:f>
      </x:c>
      <x:c r="AX31" s="27" t="str">
        <x:f>IF(C31="","",CONCAT(IF(AR31&gt;=LARGE(AR31:AW31,3),"R",""),IF(AS31&gt;=LARGE(AR31:AW31,3),"I",""),IF(AT31&gt;=LARGE(AR31:AW31,3),"A",""),IF(AU31&gt;=LARGE(AR31:AW31,3),"S",""),IF(AV31&gt;=LARGE(AR31:AW31,3),"E",""),IF(AW31&gt;=LARGE(AR31:AW31,3),"C","")))</x:f>
      </x:c>
      <x:c r="AY31" s="27" t="str">
        <x:f>IF(C31="","",IF(AR31=MAX(AR31:AW31),"นักปฏิบัติ",IF(AS31=MAX(AR31:AW31),"นักคิดวิเคราะห์",IF(AT31=MAX(AR31:AW31),"นักสร้างสรรค์",IF(AU31=MAX(AR31:AW31),"ผู้เข้าใจผู้คน",IF(AV31=MAX(AR31:AW31),"ผู้นำการเปลี่ยนแปลง","ผู้จัดระบบ"))))))</x:f>
      </x:c>
    </x:row>
    <x:row r="32">
      <x:c r="A32" s="27"/>
      <x:c r="B32" s="28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  <x:c r="AC32" s="27"/>
      <x:c r="AD32" s="27"/>
      <x:c r="AE32" s="27"/>
      <x:c r="AF32" s="27"/>
      <x:c r="AG32" s="27"/>
      <x:c r="AH32" s="27"/>
      <x:c r="AI32" s="27"/>
      <x:c r="AJ32" s="27"/>
      <x:c r="AK32" s="27"/>
      <x:c r="AL32" s="27"/>
      <x:c r="AM32" s="27"/>
      <x:c r="AN32" s="27"/>
      <x:c r="AO32" s="27"/>
      <x:c r="AP32" s="27"/>
      <x:c r="AQ32" s="27"/>
      <x:c r="AR32" s="27" t="str">
        <x:f>IF(C32="","",SUM(H32,N32,T32,Z32,AF32,AL32))</x:f>
      </x:c>
      <x:c r="AS32" s="27" t="str">
        <x:f>IF(C32="","",SUM(I32,O32,U32,AA32,AG32,AM32))</x:f>
      </x:c>
      <x:c r="AT32" s="27" t="str">
        <x:f>IF(C32="","",SUM(J32,P32,V32,AB32,AH32,AN32))</x:f>
      </x:c>
      <x:c r="AU32" s="27" t="str">
        <x:f>IF(C32="","",SUM(K32,Q32,W32,AC32,AI32,AO32))</x:f>
      </x:c>
      <x:c r="AV32" s="27" t="str">
        <x:f>IF(C32="","",SUM(L32,R32,X32,AD32,AJ32,AP32))</x:f>
      </x:c>
      <x:c r="AW32" s="27" t="str">
        <x:f>IF(C32="","",SUM(M32,S32,Y32,AE32,AK32,AQ32))</x:f>
      </x:c>
      <x:c r="AX32" s="27" t="str">
        <x:f>IF(C32="","",CONCAT(IF(AR32&gt;=LARGE(AR32:AW32,3),"R",""),IF(AS32&gt;=LARGE(AR32:AW32,3),"I",""),IF(AT32&gt;=LARGE(AR32:AW32,3),"A",""),IF(AU32&gt;=LARGE(AR32:AW32,3),"S",""),IF(AV32&gt;=LARGE(AR32:AW32,3),"E",""),IF(AW32&gt;=LARGE(AR32:AW32,3),"C","")))</x:f>
      </x:c>
      <x:c r="AY32" s="27" t="str">
        <x:f>IF(C32="","",IF(AR32=MAX(AR32:AW32),"นักปฏิบัติ",IF(AS32=MAX(AR32:AW32),"นักคิดวิเคราะห์",IF(AT32=MAX(AR32:AW32),"นักสร้างสรรค์",IF(AU32=MAX(AR32:AW32),"ผู้เข้าใจผู้คน",IF(AV32=MAX(AR32:AW32),"ผู้นำการเปลี่ยนแปลง","ผู้จัดระบบ"))))))</x:f>
      </x:c>
    </x:row>
    <x:row r="33">
      <x:c r="A33" s="27"/>
      <x:c r="B33" s="28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  <x:c r="AC33" s="27"/>
      <x:c r="AD33" s="27"/>
      <x:c r="AE33" s="27"/>
      <x:c r="AF33" s="27"/>
      <x:c r="AG33" s="27"/>
      <x:c r="AH33" s="27"/>
      <x:c r="AI33" s="27"/>
      <x:c r="AJ33" s="27"/>
      <x:c r="AK33" s="27"/>
      <x:c r="AL33" s="27"/>
      <x:c r="AM33" s="27"/>
      <x:c r="AN33" s="27"/>
      <x:c r="AO33" s="27"/>
      <x:c r="AP33" s="27"/>
      <x:c r="AQ33" s="27"/>
      <x:c r="AR33" s="27" t="str">
        <x:f>IF(C33="","",SUM(H33,N33,T33,Z33,AF33,AL33))</x:f>
      </x:c>
      <x:c r="AS33" s="27" t="str">
        <x:f>IF(C33="","",SUM(I33,O33,U33,AA33,AG33,AM33))</x:f>
      </x:c>
      <x:c r="AT33" s="27" t="str">
        <x:f>IF(C33="","",SUM(J33,P33,V33,AB33,AH33,AN33))</x:f>
      </x:c>
      <x:c r="AU33" s="27" t="str">
        <x:f>IF(C33="","",SUM(K33,Q33,W33,AC33,AI33,AO33))</x:f>
      </x:c>
      <x:c r="AV33" s="27" t="str">
        <x:f>IF(C33="","",SUM(L33,R33,X33,AD33,AJ33,AP33))</x:f>
      </x:c>
      <x:c r="AW33" s="27" t="str">
        <x:f>IF(C33="","",SUM(M33,S33,Y33,AE33,AK33,AQ33))</x:f>
      </x:c>
      <x:c r="AX33" s="27" t="str">
        <x:f>IF(C33="","",CONCAT(IF(AR33&gt;=LARGE(AR33:AW33,3),"R",""),IF(AS33&gt;=LARGE(AR33:AW33,3),"I",""),IF(AT33&gt;=LARGE(AR33:AW33,3),"A",""),IF(AU33&gt;=LARGE(AR33:AW33,3),"S",""),IF(AV33&gt;=LARGE(AR33:AW33,3),"E",""),IF(AW33&gt;=LARGE(AR33:AW33,3),"C","")))</x:f>
      </x:c>
      <x:c r="AY33" s="27" t="str">
        <x:f>IF(C33="","",IF(AR33=MAX(AR33:AW33),"นักปฏิบัติ",IF(AS33=MAX(AR33:AW33),"นักคิดวิเคราะห์",IF(AT33=MAX(AR33:AW33),"นักสร้างสรรค์",IF(AU33=MAX(AR33:AW33),"ผู้เข้าใจผู้คน",IF(AV33=MAX(AR33:AW33),"ผู้นำการเปลี่ยนแปลง","ผู้จัดระบบ"))))))</x:f>
      </x:c>
    </x:row>
    <x:row r="34">
      <x:c r="A34" s="27"/>
      <x:c r="B34" s="28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  <x:c r="AC34" s="27"/>
      <x:c r="AD34" s="27"/>
      <x:c r="AE34" s="27"/>
      <x:c r="AF34" s="27"/>
      <x:c r="AG34" s="27"/>
      <x:c r="AH34" s="27"/>
      <x:c r="AI34" s="27"/>
      <x:c r="AJ34" s="27"/>
      <x:c r="AK34" s="27"/>
      <x:c r="AL34" s="27"/>
      <x:c r="AM34" s="27"/>
      <x:c r="AN34" s="27"/>
      <x:c r="AO34" s="27"/>
      <x:c r="AP34" s="27"/>
      <x:c r="AQ34" s="27"/>
      <x:c r="AR34" s="27" t="str">
        <x:f>IF(C34="","",SUM(H34,N34,T34,Z34,AF34,AL34))</x:f>
      </x:c>
      <x:c r="AS34" s="27" t="str">
        <x:f>IF(C34="","",SUM(I34,O34,U34,AA34,AG34,AM34))</x:f>
      </x:c>
      <x:c r="AT34" s="27" t="str">
        <x:f>IF(C34="","",SUM(J34,P34,V34,AB34,AH34,AN34))</x:f>
      </x:c>
      <x:c r="AU34" s="27" t="str">
        <x:f>IF(C34="","",SUM(K34,Q34,W34,AC34,AI34,AO34))</x:f>
      </x:c>
      <x:c r="AV34" s="27" t="str">
        <x:f>IF(C34="","",SUM(L34,R34,X34,AD34,AJ34,AP34))</x:f>
      </x:c>
      <x:c r="AW34" s="27" t="str">
        <x:f>IF(C34="","",SUM(M34,S34,Y34,AE34,AK34,AQ34))</x:f>
      </x:c>
      <x:c r="AX34" s="27" t="str">
        <x:f>IF(C34="","",CONCAT(IF(AR34&gt;=LARGE(AR34:AW34,3),"R",""),IF(AS34&gt;=LARGE(AR34:AW34,3),"I",""),IF(AT34&gt;=LARGE(AR34:AW34,3),"A",""),IF(AU34&gt;=LARGE(AR34:AW34,3),"S",""),IF(AV34&gt;=LARGE(AR34:AW34,3),"E",""),IF(AW34&gt;=LARGE(AR34:AW34,3),"C","")))</x:f>
      </x:c>
      <x:c r="AY34" s="27" t="str">
        <x:f>IF(C34="","",IF(AR34=MAX(AR34:AW34),"นักปฏิบัติ",IF(AS34=MAX(AR34:AW34),"นักคิดวิเคราะห์",IF(AT34=MAX(AR34:AW34),"นักสร้างสรรค์",IF(AU34=MAX(AR34:AW34),"ผู้เข้าใจผู้คน",IF(AV34=MAX(AR34:AW34),"ผู้นำการเปลี่ยนแปลง","ผู้จัดระบบ"))))))</x:f>
      </x:c>
    </x:row>
    <x:row r="35">
      <x:c r="A35" s="27"/>
      <x:c r="B35" s="28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  <x:c r="AC35" s="27"/>
      <x:c r="AD35" s="27"/>
      <x:c r="AE35" s="27"/>
      <x:c r="AF35" s="27"/>
      <x:c r="AG35" s="27"/>
      <x:c r="AH35" s="27"/>
      <x:c r="AI35" s="27"/>
      <x:c r="AJ35" s="27"/>
      <x:c r="AK35" s="27"/>
      <x:c r="AL35" s="27"/>
      <x:c r="AM35" s="27"/>
      <x:c r="AN35" s="27"/>
      <x:c r="AO35" s="27"/>
      <x:c r="AP35" s="27"/>
      <x:c r="AQ35" s="27"/>
      <x:c r="AR35" s="27" t="str">
        <x:f>IF(C35="","",SUM(H35,N35,T35,Z35,AF35,AL35))</x:f>
      </x:c>
      <x:c r="AS35" s="27" t="str">
        <x:f>IF(C35="","",SUM(I35,O35,U35,AA35,AG35,AM35))</x:f>
      </x:c>
      <x:c r="AT35" s="27" t="str">
        <x:f>IF(C35="","",SUM(J35,P35,V35,AB35,AH35,AN35))</x:f>
      </x:c>
      <x:c r="AU35" s="27" t="str">
        <x:f>IF(C35="","",SUM(K35,Q35,W35,AC35,AI35,AO35))</x:f>
      </x:c>
      <x:c r="AV35" s="27" t="str">
        <x:f>IF(C35="","",SUM(L35,R35,X35,AD35,AJ35,AP35))</x:f>
      </x:c>
      <x:c r="AW35" s="27" t="str">
        <x:f>IF(C35="","",SUM(M35,S35,Y35,AE35,AK35,AQ35))</x:f>
      </x:c>
      <x:c r="AX35" s="27" t="str">
        <x:f>IF(C35="","",CONCAT(IF(AR35&gt;=LARGE(AR35:AW35,3),"R",""),IF(AS35&gt;=LARGE(AR35:AW35,3),"I",""),IF(AT35&gt;=LARGE(AR35:AW35,3),"A",""),IF(AU35&gt;=LARGE(AR35:AW35,3),"S",""),IF(AV35&gt;=LARGE(AR35:AW35,3),"E",""),IF(AW35&gt;=LARGE(AR35:AW35,3),"C","")))</x:f>
      </x:c>
      <x:c r="AY35" s="27" t="str">
        <x:f>IF(C35="","",IF(AR35=MAX(AR35:AW35),"นักปฏิบัติ",IF(AS35=MAX(AR35:AW35),"นักคิดวิเคราะห์",IF(AT35=MAX(AR35:AW35),"นักสร้างสรรค์",IF(AU35=MAX(AR35:AW35),"ผู้เข้าใจผู้คน",IF(AV35=MAX(AR35:AW35),"ผู้นำการเปลี่ยนแปลง","ผู้จัดระบบ"))))))</x:f>
      </x:c>
    </x:row>
    <x:row r="36">
      <x:c r="A36" s="27"/>
      <x:c r="B36" s="28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  <x:c r="AC36" s="27"/>
      <x:c r="AD36" s="27"/>
      <x:c r="AE36" s="27"/>
      <x:c r="AF36" s="27"/>
      <x:c r="AG36" s="27"/>
      <x:c r="AH36" s="27"/>
      <x:c r="AI36" s="27"/>
      <x:c r="AJ36" s="27"/>
      <x:c r="AK36" s="27"/>
      <x:c r="AL36" s="27"/>
      <x:c r="AM36" s="27"/>
      <x:c r="AN36" s="27"/>
      <x:c r="AO36" s="27"/>
      <x:c r="AP36" s="27"/>
      <x:c r="AQ36" s="27"/>
      <x:c r="AR36" s="27" t="str">
        <x:f>IF(C36="","",SUM(H36,N36,T36,Z36,AF36,AL36))</x:f>
      </x:c>
      <x:c r="AS36" s="27" t="str">
        <x:f>IF(C36="","",SUM(I36,O36,U36,AA36,AG36,AM36))</x:f>
      </x:c>
      <x:c r="AT36" s="27" t="str">
        <x:f>IF(C36="","",SUM(J36,P36,V36,AB36,AH36,AN36))</x:f>
      </x:c>
      <x:c r="AU36" s="27" t="str">
        <x:f>IF(C36="","",SUM(K36,Q36,W36,AC36,AI36,AO36))</x:f>
      </x:c>
      <x:c r="AV36" s="27" t="str">
        <x:f>IF(C36="","",SUM(L36,R36,X36,AD36,AJ36,AP36))</x:f>
      </x:c>
      <x:c r="AW36" s="27" t="str">
        <x:f>IF(C36="","",SUM(M36,S36,Y36,AE36,AK36,AQ36))</x:f>
      </x:c>
      <x:c r="AX36" s="27" t="str">
        <x:f>IF(C36="","",CONCAT(IF(AR36&gt;=LARGE(AR36:AW36,3),"R",""),IF(AS36&gt;=LARGE(AR36:AW36,3),"I",""),IF(AT36&gt;=LARGE(AR36:AW36,3),"A",""),IF(AU36&gt;=LARGE(AR36:AW36,3),"S",""),IF(AV36&gt;=LARGE(AR36:AW36,3),"E",""),IF(AW36&gt;=LARGE(AR36:AW36,3),"C","")))</x:f>
      </x:c>
      <x:c r="AY36" s="27" t="str">
        <x:f>IF(C36="","",IF(AR36=MAX(AR36:AW36),"นักปฏิบัติ",IF(AS36=MAX(AR36:AW36),"นักคิดวิเคราะห์",IF(AT36=MAX(AR36:AW36),"นักสร้างสรรค์",IF(AU36=MAX(AR36:AW36),"ผู้เข้าใจผู้คน",IF(AV36=MAX(AR36:AW36),"ผู้นำการเปลี่ยนแปลง","ผู้จัดระบบ"))))))</x:f>
      </x:c>
    </x:row>
    <x:row r="37">
      <x:c r="A37" s="27"/>
      <x:c r="B37" s="28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  <x:c r="AC37" s="27"/>
      <x:c r="AD37" s="27"/>
      <x:c r="AE37" s="27"/>
      <x:c r="AF37" s="27"/>
      <x:c r="AG37" s="27"/>
      <x:c r="AH37" s="27"/>
      <x:c r="AI37" s="27"/>
      <x:c r="AJ37" s="27"/>
      <x:c r="AK37" s="27"/>
      <x:c r="AL37" s="27"/>
      <x:c r="AM37" s="27"/>
      <x:c r="AN37" s="27"/>
      <x:c r="AO37" s="27"/>
      <x:c r="AP37" s="27"/>
      <x:c r="AQ37" s="27"/>
      <x:c r="AR37" s="27" t="str">
        <x:f>IF(C37="","",SUM(H37,N37,T37,Z37,AF37,AL37))</x:f>
      </x:c>
      <x:c r="AS37" s="27" t="str">
        <x:f>IF(C37="","",SUM(I37,O37,U37,AA37,AG37,AM37))</x:f>
      </x:c>
      <x:c r="AT37" s="27" t="str">
        <x:f>IF(C37="","",SUM(J37,P37,V37,AB37,AH37,AN37))</x:f>
      </x:c>
      <x:c r="AU37" s="27" t="str">
        <x:f>IF(C37="","",SUM(K37,Q37,W37,AC37,AI37,AO37))</x:f>
      </x:c>
      <x:c r="AV37" s="27" t="str">
        <x:f>IF(C37="","",SUM(L37,R37,X37,AD37,AJ37,AP37))</x:f>
      </x:c>
      <x:c r="AW37" s="27" t="str">
        <x:f>IF(C37="","",SUM(M37,S37,Y37,AE37,AK37,AQ37))</x:f>
      </x:c>
      <x:c r="AX37" s="27" t="str">
        <x:f>IF(C37="","",CONCAT(IF(AR37&gt;=LARGE(AR37:AW37,3),"R",""),IF(AS37&gt;=LARGE(AR37:AW37,3),"I",""),IF(AT37&gt;=LARGE(AR37:AW37,3),"A",""),IF(AU37&gt;=LARGE(AR37:AW37,3),"S",""),IF(AV37&gt;=LARGE(AR37:AW37,3),"E",""),IF(AW37&gt;=LARGE(AR37:AW37,3),"C","")))</x:f>
      </x:c>
      <x:c r="AY37" s="27" t="str">
        <x:f>IF(C37="","",IF(AR37=MAX(AR37:AW37),"นักปฏิบัติ",IF(AS37=MAX(AR37:AW37),"นักคิดวิเคราะห์",IF(AT37=MAX(AR37:AW37),"นักสร้างสรรค์",IF(AU37=MAX(AR37:AW37),"ผู้เข้าใจผู้คน",IF(AV37=MAX(AR37:AW37),"ผู้นำการเปลี่ยนแปลง","ผู้จัดระบบ"))))))</x:f>
      </x:c>
    </x:row>
    <x:row r="38">
      <x:c r="A38" s="27"/>
      <x:c r="B38" s="28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  <x:c r="AC38" s="27"/>
      <x:c r="AD38" s="27"/>
      <x:c r="AE38" s="27"/>
      <x:c r="AF38" s="27"/>
      <x:c r="AG38" s="27"/>
      <x:c r="AH38" s="27"/>
      <x:c r="AI38" s="27"/>
      <x:c r="AJ38" s="27"/>
      <x:c r="AK38" s="27"/>
      <x:c r="AL38" s="27"/>
      <x:c r="AM38" s="27"/>
      <x:c r="AN38" s="27"/>
      <x:c r="AO38" s="27"/>
      <x:c r="AP38" s="27"/>
      <x:c r="AQ38" s="27"/>
      <x:c r="AR38" s="27" t="str">
        <x:f>IF(C38="","",SUM(H38,N38,T38,Z38,AF38,AL38))</x:f>
      </x:c>
      <x:c r="AS38" s="27" t="str">
        <x:f>IF(C38="","",SUM(I38,O38,U38,AA38,AG38,AM38))</x:f>
      </x:c>
      <x:c r="AT38" s="27" t="str">
        <x:f>IF(C38="","",SUM(J38,P38,V38,AB38,AH38,AN38))</x:f>
      </x:c>
      <x:c r="AU38" s="27" t="str">
        <x:f>IF(C38="","",SUM(K38,Q38,W38,AC38,AI38,AO38))</x:f>
      </x:c>
      <x:c r="AV38" s="27" t="str">
        <x:f>IF(C38="","",SUM(L38,R38,X38,AD38,AJ38,AP38))</x:f>
      </x:c>
      <x:c r="AW38" s="27" t="str">
        <x:f>IF(C38="","",SUM(M38,S38,Y38,AE38,AK38,AQ38))</x:f>
      </x:c>
      <x:c r="AX38" s="27" t="str">
        <x:f>IF(C38="","",CONCAT(IF(AR38&gt;=LARGE(AR38:AW38,3),"R",""),IF(AS38&gt;=LARGE(AR38:AW38,3),"I",""),IF(AT38&gt;=LARGE(AR38:AW38,3),"A",""),IF(AU38&gt;=LARGE(AR38:AW38,3),"S",""),IF(AV38&gt;=LARGE(AR38:AW38,3),"E",""),IF(AW38&gt;=LARGE(AR38:AW38,3),"C","")))</x:f>
      </x:c>
      <x:c r="AY38" s="27" t="str">
        <x:f>IF(C38="","",IF(AR38=MAX(AR38:AW38),"นักปฏิบัติ",IF(AS38=MAX(AR38:AW38),"นักคิดวิเคราะห์",IF(AT38=MAX(AR38:AW38),"นักสร้างสรรค์",IF(AU38=MAX(AR38:AW38),"ผู้เข้าใจผู้คน",IF(AV38=MAX(AR38:AW38),"ผู้นำการเปลี่ยนแปลง","ผู้จัดระบบ"))))))</x:f>
      </x:c>
    </x:row>
    <x:row r="39">
      <x:c r="A39" s="27"/>
      <x:c r="B39" s="28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  <x:c r="AC39" s="27"/>
      <x:c r="AD39" s="27"/>
      <x:c r="AE39" s="27"/>
      <x:c r="AF39" s="27"/>
      <x:c r="AG39" s="27"/>
      <x:c r="AH39" s="27"/>
      <x:c r="AI39" s="27"/>
      <x:c r="AJ39" s="27"/>
      <x:c r="AK39" s="27"/>
      <x:c r="AL39" s="27"/>
      <x:c r="AM39" s="27"/>
      <x:c r="AN39" s="27"/>
      <x:c r="AO39" s="27"/>
      <x:c r="AP39" s="27"/>
      <x:c r="AQ39" s="27"/>
      <x:c r="AR39" s="27" t="str">
        <x:f>IF(C39="","",SUM(H39,N39,T39,Z39,AF39,AL39))</x:f>
      </x:c>
      <x:c r="AS39" s="27" t="str">
        <x:f>IF(C39="","",SUM(I39,O39,U39,AA39,AG39,AM39))</x:f>
      </x:c>
      <x:c r="AT39" s="27" t="str">
        <x:f>IF(C39="","",SUM(J39,P39,V39,AB39,AH39,AN39))</x:f>
      </x:c>
      <x:c r="AU39" s="27" t="str">
        <x:f>IF(C39="","",SUM(K39,Q39,W39,AC39,AI39,AO39))</x:f>
      </x:c>
      <x:c r="AV39" s="27" t="str">
        <x:f>IF(C39="","",SUM(L39,R39,X39,AD39,AJ39,AP39))</x:f>
      </x:c>
      <x:c r="AW39" s="27" t="str">
        <x:f>IF(C39="","",SUM(M39,S39,Y39,AE39,AK39,AQ39))</x:f>
      </x:c>
      <x:c r="AX39" s="27" t="str">
        <x:f>IF(C39="","",CONCAT(IF(AR39&gt;=LARGE(AR39:AW39,3),"R",""),IF(AS39&gt;=LARGE(AR39:AW39,3),"I",""),IF(AT39&gt;=LARGE(AR39:AW39,3),"A",""),IF(AU39&gt;=LARGE(AR39:AW39,3),"S",""),IF(AV39&gt;=LARGE(AR39:AW39,3),"E",""),IF(AW39&gt;=LARGE(AR39:AW39,3),"C","")))</x:f>
      </x:c>
      <x:c r="AY39" s="27" t="str">
        <x:f>IF(C39="","",IF(AR39=MAX(AR39:AW39),"นักปฏิบัติ",IF(AS39=MAX(AR39:AW39),"นักคิดวิเคราะห์",IF(AT39=MAX(AR39:AW39),"นักสร้างสรรค์",IF(AU39=MAX(AR39:AW39),"ผู้เข้าใจผู้คน",IF(AV39=MAX(AR39:AW39),"ผู้นำการเปลี่ยนแปลง","ผู้จัดระบบ"))))))</x:f>
      </x:c>
    </x:row>
    <x:row r="40">
      <x:c r="A40" s="27"/>
      <x:c r="B40" s="28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  <x:c r="AC40" s="27"/>
      <x:c r="AD40" s="27"/>
      <x:c r="AE40" s="27"/>
      <x:c r="AF40" s="27"/>
      <x:c r="AG40" s="27"/>
      <x:c r="AH40" s="27"/>
      <x:c r="AI40" s="27"/>
      <x:c r="AJ40" s="27"/>
      <x:c r="AK40" s="27"/>
      <x:c r="AL40" s="27"/>
      <x:c r="AM40" s="27"/>
      <x:c r="AN40" s="27"/>
      <x:c r="AO40" s="27"/>
      <x:c r="AP40" s="27"/>
      <x:c r="AQ40" s="27"/>
      <x:c r="AR40" s="27" t="str">
        <x:f>IF(C40="","",SUM(H40,N40,T40,Z40,AF40,AL40))</x:f>
      </x:c>
      <x:c r="AS40" s="27" t="str">
        <x:f>IF(C40="","",SUM(I40,O40,U40,AA40,AG40,AM40))</x:f>
      </x:c>
      <x:c r="AT40" s="27" t="str">
        <x:f>IF(C40="","",SUM(J40,P40,V40,AB40,AH40,AN40))</x:f>
      </x:c>
      <x:c r="AU40" s="27" t="str">
        <x:f>IF(C40="","",SUM(K40,Q40,W40,AC40,AI40,AO40))</x:f>
      </x:c>
      <x:c r="AV40" s="27" t="str">
        <x:f>IF(C40="","",SUM(L40,R40,X40,AD40,AJ40,AP40))</x:f>
      </x:c>
      <x:c r="AW40" s="27" t="str">
        <x:f>IF(C40="","",SUM(M40,S40,Y40,AE40,AK40,AQ40))</x:f>
      </x:c>
      <x:c r="AX40" s="27" t="str">
        <x:f>IF(C40="","",CONCAT(IF(AR40&gt;=LARGE(AR40:AW40,3),"R",""),IF(AS40&gt;=LARGE(AR40:AW40,3),"I",""),IF(AT40&gt;=LARGE(AR40:AW40,3),"A",""),IF(AU40&gt;=LARGE(AR40:AW40,3),"S",""),IF(AV40&gt;=LARGE(AR40:AW40,3),"E",""),IF(AW40&gt;=LARGE(AR40:AW40,3),"C","")))</x:f>
      </x:c>
      <x:c r="AY40" s="27" t="str">
        <x:f>IF(C40="","",IF(AR40=MAX(AR40:AW40),"นักปฏิบัติ",IF(AS40=MAX(AR40:AW40),"นักคิดวิเคราะห์",IF(AT40=MAX(AR40:AW40),"นักสร้างสรรค์",IF(AU40=MAX(AR40:AW40),"ผู้เข้าใจผู้คน",IF(AV40=MAX(AR40:AW40),"ผู้นำการเปลี่ยนแปลง","ผู้จัดระบบ"))))))</x:f>
      </x:c>
    </x:row>
    <x:row r="41">
      <x:c r="A41" s="27"/>
      <x:c r="B41" s="28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  <x:c r="AC41" s="27"/>
      <x:c r="AD41" s="27"/>
      <x:c r="AE41" s="27"/>
      <x:c r="AF41" s="27"/>
      <x:c r="AG41" s="27"/>
      <x:c r="AH41" s="27"/>
      <x:c r="AI41" s="27"/>
      <x:c r="AJ41" s="27"/>
      <x:c r="AK41" s="27"/>
      <x:c r="AL41" s="27"/>
      <x:c r="AM41" s="27"/>
      <x:c r="AN41" s="27"/>
      <x:c r="AO41" s="27"/>
      <x:c r="AP41" s="27"/>
      <x:c r="AQ41" s="27"/>
      <x:c r="AR41" s="27" t="str">
        <x:f>IF(C41="","",SUM(H41,N41,T41,Z41,AF41,AL41))</x:f>
      </x:c>
      <x:c r="AS41" s="27" t="str">
        <x:f>IF(C41="","",SUM(I41,O41,U41,AA41,AG41,AM41))</x:f>
      </x:c>
      <x:c r="AT41" s="27" t="str">
        <x:f>IF(C41="","",SUM(J41,P41,V41,AB41,AH41,AN41))</x:f>
      </x:c>
      <x:c r="AU41" s="27" t="str">
        <x:f>IF(C41="","",SUM(K41,Q41,W41,AC41,AI41,AO41))</x:f>
      </x:c>
      <x:c r="AV41" s="27" t="str">
        <x:f>IF(C41="","",SUM(L41,R41,X41,AD41,AJ41,AP41))</x:f>
      </x:c>
      <x:c r="AW41" s="27" t="str">
        <x:f>IF(C41="","",SUM(M41,S41,Y41,AE41,AK41,AQ41))</x:f>
      </x:c>
      <x:c r="AX41" s="27" t="str">
        <x:f>IF(C41="","",CONCAT(IF(AR41&gt;=LARGE(AR41:AW41,3),"R",""),IF(AS41&gt;=LARGE(AR41:AW41,3),"I",""),IF(AT41&gt;=LARGE(AR41:AW41,3),"A",""),IF(AU41&gt;=LARGE(AR41:AW41,3),"S",""),IF(AV41&gt;=LARGE(AR41:AW41,3),"E",""),IF(AW41&gt;=LARGE(AR41:AW41,3),"C","")))</x:f>
      </x:c>
      <x:c r="AY41" s="27" t="str">
        <x:f>IF(C41="","",IF(AR41=MAX(AR41:AW41),"นักปฏิบัติ",IF(AS41=MAX(AR41:AW41),"นักคิดวิเคราะห์",IF(AT41=MAX(AR41:AW41),"นักสร้างสรรค์",IF(AU41=MAX(AR41:AW41),"ผู้เข้าใจผู้คน",IF(AV41=MAX(AR41:AW41),"ผู้นำการเปลี่ยนแปลง","ผู้จัดระบบ"))))))</x:f>
      </x:c>
    </x:row>
    <x:row r="42">
      <x:c r="A42" s="27"/>
      <x:c r="B42" s="28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  <x:c r="AC42" s="27"/>
      <x:c r="AD42" s="27"/>
      <x:c r="AE42" s="27"/>
      <x:c r="AF42" s="27"/>
      <x:c r="AG42" s="27"/>
      <x:c r="AH42" s="27"/>
      <x:c r="AI42" s="27"/>
      <x:c r="AJ42" s="27"/>
      <x:c r="AK42" s="27"/>
      <x:c r="AL42" s="27"/>
      <x:c r="AM42" s="27"/>
      <x:c r="AN42" s="27"/>
      <x:c r="AO42" s="27"/>
      <x:c r="AP42" s="27"/>
      <x:c r="AQ42" s="27"/>
      <x:c r="AR42" s="27" t="str">
        <x:f>IF(C42="","",SUM(H42,N42,T42,Z42,AF42,AL42))</x:f>
      </x:c>
      <x:c r="AS42" s="27" t="str">
        <x:f>IF(C42="","",SUM(I42,O42,U42,AA42,AG42,AM42))</x:f>
      </x:c>
      <x:c r="AT42" s="27" t="str">
        <x:f>IF(C42="","",SUM(J42,P42,V42,AB42,AH42,AN42))</x:f>
      </x:c>
      <x:c r="AU42" s="27" t="str">
        <x:f>IF(C42="","",SUM(K42,Q42,W42,AC42,AI42,AO42))</x:f>
      </x:c>
      <x:c r="AV42" s="27" t="str">
        <x:f>IF(C42="","",SUM(L42,R42,X42,AD42,AJ42,AP42))</x:f>
      </x:c>
      <x:c r="AW42" s="27" t="str">
        <x:f>IF(C42="","",SUM(M42,S42,Y42,AE42,AK42,AQ42))</x:f>
      </x:c>
      <x:c r="AX42" s="27" t="str">
        <x:f>IF(C42="","",CONCAT(IF(AR42&gt;=LARGE(AR42:AW42,3),"R",""),IF(AS42&gt;=LARGE(AR42:AW42,3),"I",""),IF(AT42&gt;=LARGE(AR42:AW42,3),"A",""),IF(AU42&gt;=LARGE(AR42:AW42,3),"S",""),IF(AV42&gt;=LARGE(AR42:AW42,3),"E",""),IF(AW42&gt;=LARGE(AR42:AW42,3),"C","")))</x:f>
      </x:c>
      <x:c r="AY42" s="27" t="str">
        <x:f>IF(C42="","",IF(AR42=MAX(AR42:AW42),"นักปฏิบัติ",IF(AS42=MAX(AR42:AW42),"นักคิดวิเคราะห์",IF(AT42=MAX(AR42:AW42),"นักสร้างสรรค์",IF(AU42=MAX(AR42:AW42),"ผู้เข้าใจผู้คน",IF(AV42=MAX(AR42:AW42),"ผู้นำการเปลี่ยนแปลง","ผู้จัดระบบ"))))))</x:f>
      </x:c>
    </x:row>
    <x:row r="43">
      <x:c r="A43" s="27"/>
      <x:c r="B43" s="28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  <x:c r="AC43" s="27"/>
      <x:c r="AD43" s="27"/>
      <x:c r="AE43" s="27"/>
      <x:c r="AF43" s="27"/>
      <x:c r="AG43" s="27"/>
      <x:c r="AH43" s="27"/>
      <x:c r="AI43" s="27"/>
      <x:c r="AJ43" s="27"/>
      <x:c r="AK43" s="27"/>
      <x:c r="AL43" s="27"/>
      <x:c r="AM43" s="27"/>
      <x:c r="AN43" s="27"/>
      <x:c r="AO43" s="27"/>
      <x:c r="AP43" s="27"/>
      <x:c r="AQ43" s="27"/>
      <x:c r="AR43" s="27" t="str">
        <x:f>IF(C43="","",SUM(H43,N43,T43,Z43,AF43,AL43))</x:f>
      </x:c>
      <x:c r="AS43" s="27" t="str">
        <x:f>IF(C43="","",SUM(I43,O43,U43,AA43,AG43,AM43))</x:f>
      </x:c>
      <x:c r="AT43" s="27" t="str">
        <x:f>IF(C43="","",SUM(J43,P43,V43,AB43,AH43,AN43))</x:f>
      </x:c>
      <x:c r="AU43" s="27" t="str">
        <x:f>IF(C43="","",SUM(K43,Q43,W43,AC43,AI43,AO43))</x:f>
      </x:c>
      <x:c r="AV43" s="27" t="str">
        <x:f>IF(C43="","",SUM(L43,R43,X43,AD43,AJ43,AP43))</x:f>
      </x:c>
      <x:c r="AW43" s="27" t="str">
        <x:f>IF(C43="","",SUM(M43,S43,Y43,AE43,AK43,AQ43))</x:f>
      </x:c>
      <x:c r="AX43" s="27" t="str">
        <x:f>IF(C43="","",CONCAT(IF(AR43&gt;=LARGE(AR43:AW43,3),"R",""),IF(AS43&gt;=LARGE(AR43:AW43,3),"I",""),IF(AT43&gt;=LARGE(AR43:AW43,3),"A",""),IF(AU43&gt;=LARGE(AR43:AW43,3),"S",""),IF(AV43&gt;=LARGE(AR43:AW43,3),"E",""),IF(AW43&gt;=LARGE(AR43:AW43,3),"C","")))</x:f>
      </x:c>
      <x:c r="AY43" s="27" t="str">
        <x:f>IF(C43="","",IF(AR43=MAX(AR43:AW43),"นักปฏิบัติ",IF(AS43=MAX(AR43:AW43),"นักคิดวิเคราะห์",IF(AT43=MAX(AR43:AW43),"นักสร้างสรรค์",IF(AU43=MAX(AR43:AW43),"ผู้เข้าใจผู้คน",IF(AV43=MAX(AR43:AW43),"ผู้นำการเปลี่ยนแปลง","ผู้จัดระบบ"))))))</x:f>
      </x:c>
    </x:row>
    <x:row r="44">
      <x:c r="A44" s="27"/>
      <x:c r="B44" s="28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  <x:c r="AC44" s="27"/>
      <x:c r="AD44" s="27"/>
      <x:c r="AE44" s="27"/>
      <x:c r="AF44" s="27"/>
      <x:c r="AG44" s="27"/>
      <x:c r="AH44" s="27"/>
      <x:c r="AI44" s="27"/>
      <x:c r="AJ44" s="27"/>
      <x:c r="AK44" s="27"/>
      <x:c r="AL44" s="27"/>
      <x:c r="AM44" s="27"/>
      <x:c r="AN44" s="27"/>
      <x:c r="AO44" s="27"/>
      <x:c r="AP44" s="27"/>
      <x:c r="AQ44" s="27"/>
      <x:c r="AR44" s="27" t="str">
        <x:f>IF(C44="","",SUM(H44,N44,T44,Z44,AF44,AL44))</x:f>
      </x:c>
      <x:c r="AS44" s="27" t="str">
        <x:f>IF(C44="","",SUM(I44,O44,U44,AA44,AG44,AM44))</x:f>
      </x:c>
      <x:c r="AT44" s="27" t="str">
        <x:f>IF(C44="","",SUM(J44,P44,V44,AB44,AH44,AN44))</x:f>
      </x:c>
      <x:c r="AU44" s="27" t="str">
        <x:f>IF(C44="","",SUM(K44,Q44,W44,AC44,AI44,AO44))</x:f>
      </x:c>
      <x:c r="AV44" s="27" t="str">
        <x:f>IF(C44="","",SUM(L44,R44,X44,AD44,AJ44,AP44))</x:f>
      </x:c>
      <x:c r="AW44" s="27" t="str">
        <x:f>IF(C44="","",SUM(M44,S44,Y44,AE44,AK44,AQ44))</x:f>
      </x:c>
      <x:c r="AX44" s="27" t="str">
        <x:f>IF(C44="","",CONCAT(IF(AR44&gt;=LARGE(AR44:AW44,3),"R",""),IF(AS44&gt;=LARGE(AR44:AW44,3),"I",""),IF(AT44&gt;=LARGE(AR44:AW44,3),"A",""),IF(AU44&gt;=LARGE(AR44:AW44,3),"S",""),IF(AV44&gt;=LARGE(AR44:AW44,3),"E",""),IF(AW44&gt;=LARGE(AR44:AW44,3),"C","")))</x:f>
      </x:c>
      <x:c r="AY44" s="27" t="str">
        <x:f>IF(C44="","",IF(AR44=MAX(AR44:AW44),"นักปฏิบัติ",IF(AS44=MAX(AR44:AW44),"นักคิดวิเคราะห์",IF(AT44=MAX(AR44:AW44),"นักสร้างสรรค์",IF(AU44=MAX(AR44:AW44),"ผู้เข้าใจผู้คน",IF(AV44=MAX(AR44:AW44),"ผู้นำการเปลี่ยนแปลง","ผู้จัดระบบ"))))))</x:f>
      </x:c>
    </x:row>
    <x:row r="45">
      <x:c r="A45" s="27"/>
      <x:c r="B45" s="28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  <x:c r="AC45" s="27"/>
      <x:c r="AD45" s="27"/>
      <x:c r="AE45" s="27"/>
      <x:c r="AF45" s="27"/>
      <x:c r="AG45" s="27"/>
      <x:c r="AH45" s="27"/>
      <x:c r="AI45" s="27"/>
      <x:c r="AJ45" s="27"/>
      <x:c r="AK45" s="27"/>
      <x:c r="AL45" s="27"/>
      <x:c r="AM45" s="27"/>
      <x:c r="AN45" s="27"/>
      <x:c r="AO45" s="27"/>
      <x:c r="AP45" s="27"/>
      <x:c r="AQ45" s="27"/>
      <x:c r="AR45" s="27" t="str">
        <x:f>IF(C45="","",SUM(H45,N45,T45,Z45,AF45,AL45))</x:f>
      </x:c>
      <x:c r="AS45" s="27" t="str">
        <x:f>IF(C45="","",SUM(I45,O45,U45,AA45,AG45,AM45))</x:f>
      </x:c>
      <x:c r="AT45" s="27" t="str">
        <x:f>IF(C45="","",SUM(J45,P45,V45,AB45,AH45,AN45))</x:f>
      </x:c>
      <x:c r="AU45" s="27" t="str">
        <x:f>IF(C45="","",SUM(K45,Q45,W45,AC45,AI45,AO45))</x:f>
      </x:c>
      <x:c r="AV45" s="27" t="str">
        <x:f>IF(C45="","",SUM(L45,R45,X45,AD45,AJ45,AP45))</x:f>
      </x:c>
      <x:c r="AW45" s="27" t="str">
        <x:f>IF(C45="","",SUM(M45,S45,Y45,AE45,AK45,AQ45))</x:f>
      </x:c>
      <x:c r="AX45" s="27" t="str">
        <x:f>IF(C45="","",CONCAT(IF(AR45&gt;=LARGE(AR45:AW45,3),"R",""),IF(AS45&gt;=LARGE(AR45:AW45,3),"I",""),IF(AT45&gt;=LARGE(AR45:AW45,3),"A",""),IF(AU45&gt;=LARGE(AR45:AW45,3),"S",""),IF(AV45&gt;=LARGE(AR45:AW45,3),"E",""),IF(AW45&gt;=LARGE(AR45:AW45,3),"C","")))</x:f>
      </x:c>
      <x:c r="AY45" s="27" t="str">
        <x:f>IF(C45="","",IF(AR45=MAX(AR45:AW45),"นักปฏิบัติ",IF(AS45=MAX(AR45:AW45),"นักคิดวิเคราะห์",IF(AT45=MAX(AR45:AW45),"นักสร้างสรรค์",IF(AU45=MAX(AR45:AW45),"ผู้เข้าใจผู้คน",IF(AV45=MAX(AR45:AW45),"ผู้นำการเปลี่ยนแปลง","ผู้จัดระบบ"))))))</x:f>
      </x:c>
    </x:row>
    <x:row r="46">
      <x:c r="A46" s="27"/>
      <x:c r="B46" s="28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  <x:c r="AC46" s="27"/>
      <x:c r="AD46" s="27"/>
      <x:c r="AE46" s="27"/>
      <x:c r="AF46" s="27"/>
      <x:c r="AG46" s="27"/>
      <x:c r="AH46" s="27"/>
      <x:c r="AI46" s="27"/>
      <x:c r="AJ46" s="27"/>
      <x:c r="AK46" s="27"/>
      <x:c r="AL46" s="27"/>
      <x:c r="AM46" s="27"/>
      <x:c r="AN46" s="27"/>
      <x:c r="AO46" s="27"/>
      <x:c r="AP46" s="27"/>
      <x:c r="AQ46" s="27"/>
      <x:c r="AR46" s="27" t="str">
        <x:f>IF(C46="","",SUM(H46,N46,T46,Z46,AF46,AL46))</x:f>
      </x:c>
      <x:c r="AS46" s="27" t="str">
        <x:f>IF(C46="","",SUM(I46,O46,U46,AA46,AG46,AM46))</x:f>
      </x:c>
      <x:c r="AT46" s="27" t="str">
        <x:f>IF(C46="","",SUM(J46,P46,V46,AB46,AH46,AN46))</x:f>
      </x:c>
      <x:c r="AU46" s="27" t="str">
        <x:f>IF(C46="","",SUM(K46,Q46,W46,AC46,AI46,AO46))</x:f>
      </x:c>
      <x:c r="AV46" s="27" t="str">
        <x:f>IF(C46="","",SUM(L46,R46,X46,AD46,AJ46,AP46))</x:f>
      </x:c>
      <x:c r="AW46" s="27" t="str">
        <x:f>IF(C46="","",SUM(M46,S46,Y46,AE46,AK46,AQ46))</x:f>
      </x:c>
      <x:c r="AX46" s="27" t="str">
        <x:f>IF(C46="","",CONCAT(IF(AR46&gt;=LARGE(AR46:AW46,3),"R",""),IF(AS46&gt;=LARGE(AR46:AW46,3),"I",""),IF(AT46&gt;=LARGE(AR46:AW46,3),"A",""),IF(AU46&gt;=LARGE(AR46:AW46,3),"S",""),IF(AV46&gt;=LARGE(AR46:AW46,3),"E",""),IF(AW46&gt;=LARGE(AR46:AW46,3),"C","")))</x:f>
      </x:c>
      <x:c r="AY46" s="27" t="str">
        <x:f>IF(C46="","",IF(AR46=MAX(AR46:AW46),"นักปฏิบัติ",IF(AS46=MAX(AR46:AW46),"นักคิดวิเคราะห์",IF(AT46=MAX(AR46:AW46),"นักสร้างสรรค์",IF(AU46=MAX(AR46:AW46),"ผู้เข้าใจผู้คน",IF(AV46=MAX(AR46:AW46),"ผู้นำการเปลี่ยนแปลง","ผู้จัดระบบ"))))))</x:f>
      </x:c>
    </x:row>
    <x:row r="47">
      <x:c r="A47" s="27"/>
      <x:c r="B47" s="28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  <x:c r="AC47" s="27"/>
      <x:c r="AD47" s="27"/>
      <x:c r="AE47" s="27"/>
      <x:c r="AF47" s="27"/>
      <x:c r="AG47" s="27"/>
      <x:c r="AH47" s="27"/>
      <x:c r="AI47" s="27"/>
      <x:c r="AJ47" s="27"/>
      <x:c r="AK47" s="27"/>
      <x:c r="AL47" s="27"/>
      <x:c r="AM47" s="27"/>
      <x:c r="AN47" s="27"/>
      <x:c r="AO47" s="27"/>
      <x:c r="AP47" s="27"/>
      <x:c r="AQ47" s="27"/>
      <x:c r="AR47" s="27" t="str">
        <x:f>IF(C47="","",SUM(H47,N47,T47,Z47,AF47,AL47))</x:f>
      </x:c>
      <x:c r="AS47" s="27" t="str">
        <x:f>IF(C47="","",SUM(I47,O47,U47,AA47,AG47,AM47))</x:f>
      </x:c>
      <x:c r="AT47" s="27" t="str">
        <x:f>IF(C47="","",SUM(J47,P47,V47,AB47,AH47,AN47))</x:f>
      </x:c>
      <x:c r="AU47" s="27" t="str">
        <x:f>IF(C47="","",SUM(K47,Q47,W47,AC47,AI47,AO47))</x:f>
      </x:c>
      <x:c r="AV47" s="27" t="str">
        <x:f>IF(C47="","",SUM(L47,R47,X47,AD47,AJ47,AP47))</x:f>
      </x:c>
      <x:c r="AW47" s="27" t="str">
        <x:f>IF(C47="","",SUM(M47,S47,Y47,AE47,AK47,AQ47))</x:f>
      </x:c>
      <x:c r="AX47" s="27" t="str">
        <x:f>IF(C47="","",CONCAT(IF(AR47&gt;=LARGE(AR47:AW47,3),"R",""),IF(AS47&gt;=LARGE(AR47:AW47,3),"I",""),IF(AT47&gt;=LARGE(AR47:AW47,3),"A",""),IF(AU47&gt;=LARGE(AR47:AW47,3),"S",""),IF(AV47&gt;=LARGE(AR47:AW47,3),"E",""),IF(AW47&gt;=LARGE(AR47:AW47,3),"C","")))</x:f>
      </x:c>
      <x:c r="AY47" s="27" t="str">
        <x:f>IF(C47="","",IF(AR47=MAX(AR47:AW47),"นักปฏิบัติ",IF(AS47=MAX(AR47:AW47),"นักคิดวิเคราะห์",IF(AT47=MAX(AR47:AW47),"นักสร้างสรรค์",IF(AU47=MAX(AR47:AW47),"ผู้เข้าใจผู้คน",IF(AV47=MAX(AR47:AW47),"ผู้นำการเปลี่ยนแปลง","ผู้จัดระบบ"))))))</x:f>
      </x:c>
    </x:row>
    <x:row r="48">
      <x:c r="A48" s="27"/>
      <x:c r="B48" s="28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  <x:c r="AC48" s="27"/>
      <x:c r="AD48" s="27"/>
      <x:c r="AE48" s="27"/>
      <x:c r="AF48" s="27"/>
      <x:c r="AG48" s="27"/>
      <x:c r="AH48" s="27"/>
      <x:c r="AI48" s="27"/>
      <x:c r="AJ48" s="27"/>
      <x:c r="AK48" s="27"/>
      <x:c r="AL48" s="27"/>
      <x:c r="AM48" s="27"/>
      <x:c r="AN48" s="27"/>
      <x:c r="AO48" s="27"/>
      <x:c r="AP48" s="27"/>
      <x:c r="AQ48" s="27"/>
      <x:c r="AR48" s="27" t="str">
        <x:f>IF(C48="","",SUM(H48,N48,T48,Z48,AF48,AL48))</x:f>
      </x:c>
      <x:c r="AS48" s="27" t="str">
        <x:f>IF(C48="","",SUM(I48,O48,U48,AA48,AG48,AM48))</x:f>
      </x:c>
      <x:c r="AT48" s="27" t="str">
        <x:f>IF(C48="","",SUM(J48,P48,V48,AB48,AH48,AN48))</x:f>
      </x:c>
      <x:c r="AU48" s="27" t="str">
        <x:f>IF(C48="","",SUM(K48,Q48,W48,AC48,AI48,AO48))</x:f>
      </x:c>
      <x:c r="AV48" s="27" t="str">
        <x:f>IF(C48="","",SUM(L48,R48,X48,AD48,AJ48,AP48))</x:f>
      </x:c>
      <x:c r="AW48" s="27" t="str">
        <x:f>IF(C48="","",SUM(M48,S48,Y48,AE48,AK48,AQ48))</x:f>
      </x:c>
      <x:c r="AX48" s="27" t="str">
        <x:f>IF(C48="","",CONCAT(IF(AR48&gt;=LARGE(AR48:AW48,3),"R",""),IF(AS48&gt;=LARGE(AR48:AW48,3),"I",""),IF(AT48&gt;=LARGE(AR48:AW48,3),"A",""),IF(AU48&gt;=LARGE(AR48:AW48,3),"S",""),IF(AV48&gt;=LARGE(AR48:AW48,3),"E",""),IF(AW48&gt;=LARGE(AR48:AW48,3),"C","")))</x:f>
      </x:c>
      <x:c r="AY48" s="27" t="str">
        <x:f>IF(C48="","",IF(AR48=MAX(AR48:AW48),"นักปฏิบัติ",IF(AS48=MAX(AR48:AW48),"นักคิดวิเคราะห์",IF(AT48=MAX(AR48:AW48),"นักสร้างสรรค์",IF(AU48=MAX(AR48:AW48),"ผู้เข้าใจผู้คน",IF(AV48=MAX(AR48:AW48),"ผู้นำการเปลี่ยนแปลง","ผู้จัดระบบ"))))))</x:f>
      </x:c>
    </x:row>
    <x:row r="49">
      <x:c r="A49" s="27"/>
      <x:c r="B49" s="28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  <x:c r="AC49" s="27"/>
      <x:c r="AD49" s="27"/>
      <x:c r="AE49" s="27"/>
      <x:c r="AF49" s="27"/>
      <x:c r="AG49" s="27"/>
      <x:c r="AH49" s="27"/>
      <x:c r="AI49" s="27"/>
      <x:c r="AJ49" s="27"/>
      <x:c r="AK49" s="27"/>
      <x:c r="AL49" s="27"/>
      <x:c r="AM49" s="27"/>
      <x:c r="AN49" s="27"/>
      <x:c r="AO49" s="27"/>
      <x:c r="AP49" s="27"/>
      <x:c r="AQ49" s="27"/>
      <x:c r="AR49" s="27" t="str">
        <x:f>IF(C49="","",SUM(H49,N49,T49,Z49,AF49,AL49))</x:f>
      </x:c>
      <x:c r="AS49" s="27" t="str">
        <x:f>IF(C49="","",SUM(I49,O49,U49,AA49,AG49,AM49))</x:f>
      </x:c>
      <x:c r="AT49" s="27" t="str">
        <x:f>IF(C49="","",SUM(J49,P49,V49,AB49,AH49,AN49))</x:f>
      </x:c>
      <x:c r="AU49" s="27" t="str">
        <x:f>IF(C49="","",SUM(K49,Q49,W49,AC49,AI49,AO49))</x:f>
      </x:c>
      <x:c r="AV49" s="27" t="str">
        <x:f>IF(C49="","",SUM(L49,R49,X49,AD49,AJ49,AP49))</x:f>
      </x:c>
      <x:c r="AW49" s="27" t="str">
        <x:f>IF(C49="","",SUM(M49,S49,Y49,AE49,AK49,AQ49))</x:f>
      </x:c>
      <x:c r="AX49" s="27" t="str">
        <x:f>IF(C49="","",CONCAT(IF(AR49&gt;=LARGE(AR49:AW49,3),"R",""),IF(AS49&gt;=LARGE(AR49:AW49,3),"I",""),IF(AT49&gt;=LARGE(AR49:AW49,3),"A",""),IF(AU49&gt;=LARGE(AR49:AW49,3),"S",""),IF(AV49&gt;=LARGE(AR49:AW49,3),"E",""),IF(AW49&gt;=LARGE(AR49:AW49,3),"C","")))</x:f>
      </x:c>
      <x:c r="AY49" s="27" t="str">
        <x:f>IF(C49="","",IF(AR49=MAX(AR49:AW49),"นักปฏิบัติ",IF(AS49=MAX(AR49:AW49),"นักคิดวิเคราะห์",IF(AT49=MAX(AR49:AW49),"นักสร้างสรรค์",IF(AU49=MAX(AR49:AW49),"ผู้เข้าใจผู้คน",IF(AV49=MAX(AR49:AW49),"ผู้นำการเปลี่ยนแปลง","ผู้จัดระบบ"))))))</x:f>
      </x:c>
    </x:row>
    <x:row r="50">
      <x:c r="A50" s="27"/>
      <x:c r="B50" s="28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  <x:c r="AC50" s="27"/>
      <x:c r="AD50" s="27"/>
      <x:c r="AE50" s="27"/>
      <x:c r="AF50" s="27"/>
      <x:c r="AG50" s="27"/>
      <x:c r="AH50" s="27"/>
      <x:c r="AI50" s="27"/>
      <x:c r="AJ50" s="27"/>
      <x:c r="AK50" s="27"/>
      <x:c r="AL50" s="27"/>
      <x:c r="AM50" s="27"/>
      <x:c r="AN50" s="27"/>
      <x:c r="AO50" s="27"/>
      <x:c r="AP50" s="27"/>
      <x:c r="AQ50" s="27"/>
      <x:c r="AR50" s="27" t="str">
        <x:f>IF(C50="","",SUM(H50,N50,T50,Z50,AF50,AL50))</x:f>
      </x:c>
      <x:c r="AS50" s="27" t="str">
        <x:f>IF(C50="","",SUM(I50,O50,U50,AA50,AG50,AM50))</x:f>
      </x:c>
      <x:c r="AT50" s="27" t="str">
        <x:f>IF(C50="","",SUM(J50,P50,V50,AB50,AH50,AN50))</x:f>
      </x:c>
      <x:c r="AU50" s="27" t="str">
        <x:f>IF(C50="","",SUM(K50,Q50,W50,AC50,AI50,AO50))</x:f>
      </x:c>
      <x:c r="AV50" s="27" t="str">
        <x:f>IF(C50="","",SUM(L50,R50,X50,AD50,AJ50,AP50))</x:f>
      </x:c>
      <x:c r="AW50" s="27" t="str">
        <x:f>IF(C50="","",SUM(M50,S50,Y50,AE50,AK50,AQ50))</x:f>
      </x:c>
      <x:c r="AX50" s="27" t="str">
        <x:f>IF(C50="","",CONCAT(IF(AR50&gt;=LARGE(AR50:AW50,3),"R",""),IF(AS50&gt;=LARGE(AR50:AW50,3),"I",""),IF(AT50&gt;=LARGE(AR50:AW50,3),"A",""),IF(AU50&gt;=LARGE(AR50:AW50,3),"S",""),IF(AV50&gt;=LARGE(AR50:AW50,3),"E",""),IF(AW50&gt;=LARGE(AR50:AW50,3),"C","")))</x:f>
      </x:c>
      <x:c r="AY50" s="27" t="str">
        <x:f>IF(C50="","",IF(AR50=MAX(AR50:AW50),"นักปฏิบัติ",IF(AS50=MAX(AR50:AW50),"นักคิดวิเคราะห์",IF(AT50=MAX(AR50:AW50),"นักสร้างสรรค์",IF(AU50=MAX(AR50:AW50),"ผู้เข้าใจผู้คน",IF(AV50=MAX(AR50:AW50),"ผู้นำการเปลี่ยนแปลง","ผู้จัดระบบ"))))))</x:f>
      </x:c>
    </x:row>
    <x:row r="51">
      <x:c r="A51" s="27"/>
      <x:c r="B51" s="28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  <x:c r="AC51" s="27"/>
      <x:c r="AD51" s="27"/>
      <x:c r="AE51" s="27"/>
      <x:c r="AF51" s="27"/>
      <x:c r="AG51" s="27"/>
      <x:c r="AH51" s="27"/>
      <x:c r="AI51" s="27"/>
      <x:c r="AJ51" s="27"/>
      <x:c r="AK51" s="27"/>
      <x:c r="AL51" s="27"/>
      <x:c r="AM51" s="27"/>
      <x:c r="AN51" s="27"/>
      <x:c r="AO51" s="27"/>
      <x:c r="AP51" s="27"/>
      <x:c r="AQ51" s="27"/>
      <x:c r="AR51" s="27" t="str">
        <x:f>IF(C51="","",SUM(H51,N51,T51,Z51,AF51,AL51))</x:f>
      </x:c>
      <x:c r="AS51" s="27" t="str">
        <x:f>IF(C51="","",SUM(I51,O51,U51,AA51,AG51,AM51))</x:f>
      </x:c>
      <x:c r="AT51" s="27" t="str">
        <x:f>IF(C51="","",SUM(J51,P51,V51,AB51,AH51,AN51))</x:f>
      </x:c>
      <x:c r="AU51" s="27" t="str">
        <x:f>IF(C51="","",SUM(K51,Q51,W51,AC51,AI51,AO51))</x:f>
      </x:c>
      <x:c r="AV51" s="27" t="str">
        <x:f>IF(C51="","",SUM(L51,R51,X51,AD51,AJ51,AP51))</x:f>
      </x:c>
      <x:c r="AW51" s="27" t="str">
        <x:f>IF(C51="","",SUM(M51,S51,Y51,AE51,AK51,AQ51))</x:f>
      </x:c>
      <x:c r="AX51" s="27" t="str">
        <x:f>IF(C51="","",CONCAT(IF(AR51&gt;=LARGE(AR51:AW51,3),"R",""),IF(AS51&gt;=LARGE(AR51:AW51,3),"I",""),IF(AT51&gt;=LARGE(AR51:AW51,3),"A",""),IF(AU51&gt;=LARGE(AR51:AW51,3),"S",""),IF(AV51&gt;=LARGE(AR51:AW51,3),"E",""),IF(AW51&gt;=LARGE(AR51:AW51,3),"C","")))</x:f>
      </x:c>
      <x:c r="AY51" s="27" t="str">
        <x:f>IF(C51="","",IF(AR51=MAX(AR51:AW51),"นักปฏิบัติ",IF(AS51=MAX(AR51:AW51),"นักคิดวิเคราะห์",IF(AT51=MAX(AR51:AW51),"นักสร้างสรรค์",IF(AU51=MAX(AR51:AW51),"ผู้เข้าใจผู้คน",IF(AV51=MAX(AR51:AW51),"ผู้นำการเปลี่ยนแปลง","ผู้จัดระบบ"))))))</x:f>
      </x:c>
    </x:row>
    <x:row r="52">
      <x:c r="A52" s="27"/>
      <x:c r="B52" s="28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27"/>
      <x:c r="AH52" s="27"/>
      <x:c r="AI52" s="27"/>
      <x:c r="AJ52" s="27"/>
      <x:c r="AK52" s="27"/>
      <x:c r="AL52" s="27"/>
      <x:c r="AM52" s="27"/>
      <x:c r="AN52" s="27"/>
      <x:c r="AO52" s="27"/>
      <x:c r="AP52" s="27"/>
      <x:c r="AQ52" s="27"/>
      <x:c r="AR52" s="27" t="str">
        <x:f>IF(C52="","",SUM(H52,N52,T52,Z52,AF52,AL52))</x:f>
      </x:c>
      <x:c r="AS52" s="27" t="str">
        <x:f>IF(C52="","",SUM(I52,O52,U52,AA52,AG52,AM52))</x:f>
      </x:c>
      <x:c r="AT52" s="27" t="str">
        <x:f>IF(C52="","",SUM(J52,P52,V52,AB52,AH52,AN52))</x:f>
      </x:c>
      <x:c r="AU52" s="27" t="str">
        <x:f>IF(C52="","",SUM(K52,Q52,W52,AC52,AI52,AO52))</x:f>
      </x:c>
      <x:c r="AV52" s="27" t="str">
        <x:f>IF(C52="","",SUM(L52,R52,X52,AD52,AJ52,AP52))</x:f>
      </x:c>
      <x:c r="AW52" s="27" t="str">
        <x:f>IF(C52="","",SUM(M52,S52,Y52,AE52,AK52,AQ52))</x:f>
      </x:c>
      <x:c r="AX52" s="27" t="str">
        <x:f>IF(C52="","",CONCAT(IF(AR52&gt;=LARGE(AR52:AW52,3),"R",""),IF(AS52&gt;=LARGE(AR52:AW52,3),"I",""),IF(AT52&gt;=LARGE(AR52:AW52,3),"A",""),IF(AU52&gt;=LARGE(AR52:AW52,3),"S",""),IF(AV52&gt;=LARGE(AR52:AW52,3),"E",""),IF(AW52&gt;=LARGE(AR52:AW52,3),"C","")))</x:f>
      </x:c>
      <x:c r="AY52" s="27" t="str">
        <x:f>IF(C52="","",IF(AR52=MAX(AR52:AW52),"นักปฏิบัติ",IF(AS52=MAX(AR52:AW52),"นักคิดวิเคราะห์",IF(AT52=MAX(AR52:AW52),"นักสร้างสรรค์",IF(AU52=MAX(AR52:AW52),"ผู้เข้าใจผู้คน",IF(AV52=MAX(AR52:AW52),"ผู้นำการเปลี่ยนแปลง","ผู้จัดระบบ"))))))</x:f>
      </x:c>
    </x:row>
    <x:row r="53">
      <x:c r="A53" s="27"/>
      <x:c r="B53" s="28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7"/>
      <x:c r="AK53" s="27"/>
      <x:c r="AL53" s="27"/>
      <x:c r="AM53" s="27"/>
      <x:c r="AN53" s="27"/>
      <x:c r="AO53" s="27"/>
      <x:c r="AP53" s="27"/>
      <x:c r="AQ53" s="27"/>
      <x:c r="AR53" s="27" t="str">
        <x:f>IF(C53="","",SUM(H53,N53,T53,Z53,AF53,AL53))</x:f>
      </x:c>
      <x:c r="AS53" s="27" t="str">
        <x:f>IF(C53="","",SUM(I53,O53,U53,AA53,AG53,AM53))</x:f>
      </x:c>
      <x:c r="AT53" s="27" t="str">
        <x:f>IF(C53="","",SUM(J53,P53,V53,AB53,AH53,AN53))</x:f>
      </x:c>
      <x:c r="AU53" s="27" t="str">
        <x:f>IF(C53="","",SUM(K53,Q53,W53,AC53,AI53,AO53))</x:f>
      </x:c>
      <x:c r="AV53" s="27" t="str">
        <x:f>IF(C53="","",SUM(L53,R53,X53,AD53,AJ53,AP53))</x:f>
      </x:c>
      <x:c r="AW53" s="27" t="str">
        <x:f>IF(C53="","",SUM(M53,S53,Y53,AE53,AK53,AQ53))</x:f>
      </x:c>
      <x:c r="AX53" s="27" t="str">
        <x:f>IF(C53="","",CONCAT(IF(AR53&gt;=LARGE(AR53:AW53,3),"R",""),IF(AS53&gt;=LARGE(AR53:AW53,3),"I",""),IF(AT53&gt;=LARGE(AR53:AW53,3),"A",""),IF(AU53&gt;=LARGE(AR53:AW53,3),"S",""),IF(AV53&gt;=LARGE(AR53:AW53,3),"E",""),IF(AW53&gt;=LARGE(AR53:AW53,3),"C","")))</x:f>
      </x:c>
      <x:c r="AY53" s="27" t="str">
        <x:f>IF(C53="","",IF(AR53=MAX(AR53:AW53),"นักปฏิบัติ",IF(AS53=MAX(AR53:AW53),"นักคิดวิเคราะห์",IF(AT53=MAX(AR53:AW53),"นักสร้างสรรค์",IF(AU53=MAX(AR53:AW53),"ผู้เข้าใจผู้คน",IF(AV53=MAX(AR53:AW53),"ผู้นำการเปลี่ยนแปลง","ผู้จัดระบบ"))))))</x:f>
      </x:c>
    </x:row>
    <x:row r="54">
      <x:c r="A54" s="27"/>
      <x:c r="B54" s="28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  <x:c r="AC54" s="27"/>
      <x:c r="AD54" s="27"/>
      <x:c r="AE54" s="27"/>
      <x:c r="AF54" s="27"/>
      <x:c r="AG54" s="27"/>
      <x:c r="AH54" s="27"/>
      <x:c r="AI54" s="27"/>
      <x:c r="AJ54" s="27"/>
      <x:c r="AK54" s="27"/>
      <x:c r="AL54" s="27"/>
      <x:c r="AM54" s="27"/>
      <x:c r="AN54" s="27"/>
      <x:c r="AO54" s="27"/>
      <x:c r="AP54" s="27"/>
      <x:c r="AQ54" s="27"/>
      <x:c r="AR54" s="27" t="str">
        <x:f>IF(C54="","",SUM(H54,N54,T54,Z54,AF54,AL54))</x:f>
      </x:c>
      <x:c r="AS54" s="27" t="str">
        <x:f>IF(C54="","",SUM(I54,O54,U54,AA54,AG54,AM54))</x:f>
      </x:c>
      <x:c r="AT54" s="27" t="str">
        <x:f>IF(C54="","",SUM(J54,P54,V54,AB54,AH54,AN54))</x:f>
      </x:c>
      <x:c r="AU54" s="27" t="str">
        <x:f>IF(C54="","",SUM(K54,Q54,W54,AC54,AI54,AO54))</x:f>
      </x:c>
      <x:c r="AV54" s="27" t="str">
        <x:f>IF(C54="","",SUM(L54,R54,X54,AD54,AJ54,AP54))</x:f>
      </x:c>
      <x:c r="AW54" s="27" t="str">
        <x:f>IF(C54="","",SUM(M54,S54,Y54,AE54,AK54,AQ54))</x:f>
      </x:c>
      <x:c r="AX54" s="27" t="str">
        <x:f>IF(C54="","",CONCAT(IF(AR54&gt;=LARGE(AR54:AW54,3),"R",""),IF(AS54&gt;=LARGE(AR54:AW54,3),"I",""),IF(AT54&gt;=LARGE(AR54:AW54,3),"A",""),IF(AU54&gt;=LARGE(AR54:AW54,3),"S",""),IF(AV54&gt;=LARGE(AR54:AW54,3),"E",""),IF(AW54&gt;=LARGE(AR54:AW54,3),"C","")))</x:f>
      </x:c>
      <x:c r="AY54" s="27" t="str">
        <x:f>IF(C54="","",IF(AR54=MAX(AR54:AW54),"นักปฏิบัติ",IF(AS54=MAX(AR54:AW54),"นักคิดวิเคราะห์",IF(AT54=MAX(AR54:AW54),"นักสร้างสรรค์",IF(AU54=MAX(AR54:AW54),"ผู้เข้าใจผู้คน",IF(AV54=MAX(AR54:AW54),"ผู้นำการเปลี่ยนแปลง","ผู้จัดระบบ"))))))</x:f>
      </x:c>
    </x:row>
    <x:row r="55">
      <x:c r="A55" s="27"/>
      <x:c r="B55" s="28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  <x:c r="AC55" s="27"/>
      <x:c r="AD55" s="27"/>
      <x:c r="AE55" s="27"/>
      <x:c r="AF55" s="27"/>
      <x:c r="AG55" s="27"/>
      <x:c r="AH55" s="27"/>
      <x:c r="AI55" s="27"/>
      <x:c r="AJ55" s="27"/>
      <x:c r="AK55" s="27"/>
      <x:c r="AL55" s="27"/>
      <x:c r="AM55" s="27"/>
      <x:c r="AN55" s="27"/>
      <x:c r="AO55" s="27"/>
      <x:c r="AP55" s="27"/>
      <x:c r="AQ55" s="27"/>
      <x:c r="AR55" s="27" t="str">
        <x:f>IF(C55="","",SUM(H55,N55,T55,Z55,AF55,AL55))</x:f>
      </x:c>
      <x:c r="AS55" s="27" t="str">
        <x:f>IF(C55="","",SUM(I55,O55,U55,AA55,AG55,AM55))</x:f>
      </x:c>
      <x:c r="AT55" s="27" t="str">
        <x:f>IF(C55="","",SUM(J55,P55,V55,AB55,AH55,AN55))</x:f>
      </x:c>
      <x:c r="AU55" s="27" t="str">
        <x:f>IF(C55="","",SUM(K55,Q55,W55,AC55,AI55,AO55))</x:f>
      </x:c>
      <x:c r="AV55" s="27" t="str">
        <x:f>IF(C55="","",SUM(L55,R55,X55,AD55,AJ55,AP55))</x:f>
      </x:c>
      <x:c r="AW55" s="27" t="str">
        <x:f>IF(C55="","",SUM(M55,S55,Y55,AE55,AK55,AQ55))</x:f>
      </x:c>
      <x:c r="AX55" s="27" t="str">
        <x:f>IF(C55="","",CONCAT(IF(AR55&gt;=LARGE(AR55:AW55,3),"R",""),IF(AS55&gt;=LARGE(AR55:AW55,3),"I",""),IF(AT55&gt;=LARGE(AR55:AW55,3),"A",""),IF(AU55&gt;=LARGE(AR55:AW55,3),"S",""),IF(AV55&gt;=LARGE(AR55:AW55,3),"E",""),IF(AW55&gt;=LARGE(AR55:AW55,3),"C","")))</x:f>
      </x:c>
      <x:c r="AY55" s="27" t="str">
        <x:f>IF(C55="","",IF(AR55=MAX(AR55:AW55),"นักปฏิบัติ",IF(AS55=MAX(AR55:AW55),"นักคิดวิเคราะห์",IF(AT55=MAX(AR55:AW55),"นักสร้างสรรค์",IF(AU55=MAX(AR55:AW55),"ผู้เข้าใจผู้คน",IF(AV55=MAX(AR55:AW55),"ผู้นำการเปลี่ยนแปลง","ผู้จัดระบบ"))))))</x:f>
      </x:c>
    </x:row>
    <x:row r="56">
      <x:c r="A56" s="27"/>
      <x:c r="B56" s="28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  <x:c r="AC56" s="27"/>
      <x:c r="AD56" s="27"/>
      <x:c r="AE56" s="27"/>
      <x:c r="AF56" s="27"/>
      <x:c r="AG56" s="27"/>
      <x:c r="AH56" s="27"/>
      <x:c r="AI56" s="27"/>
      <x:c r="AJ56" s="27"/>
      <x:c r="AK56" s="27"/>
      <x:c r="AL56" s="27"/>
      <x:c r="AM56" s="27"/>
      <x:c r="AN56" s="27"/>
      <x:c r="AO56" s="27"/>
      <x:c r="AP56" s="27"/>
      <x:c r="AQ56" s="27"/>
      <x:c r="AR56" s="27" t="str">
        <x:f>IF(C56="","",SUM(H56,N56,T56,Z56,AF56,AL56))</x:f>
      </x:c>
      <x:c r="AS56" s="27" t="str">
        <x:f>IF(C56="","",SUM(I56,O56,U56,AA56,AG56,AM56))</x:f>
      </x:c>
      <x:c r="AT56" s="27" t="str">
        <x:f>IF(C56="","",SUM(J56,P56,V56,AB56,AH56,AN56))</x:f>
      </x:c>
      <x:c r="AU56" s="27" t="str">
        <x:f>IF(C56="","",SUM(K56,Q56,W56,AC56,AI56,AO56))</x:f>
      </x:c>
      <x:c r="AV56" s="27" t="str">
        <x:f>IF(C56="","",SUM(L56,R56,X56,AD56,AJ56,AP56))</x:f>
      </x:c>
      <x:c r="AW56" s="27" t="str">
        <x:f>IF(C56="","",SUM(M56,S56,Y56,AE56,AK56,AQ56))</x:f>
      </x:c>
      <x:c r="AX56" s="27" t="str">
        <x:f>IF(C56="","",CONCAT(IF(AR56&gt;=LARGE(AR56:AW56,3),"R",""),IF(AS56&gt;=LARGE(AR56:AW56,3),"I",""),IF(AT56&gt;=LARGE(AR56:AW56,3),"A",""),IF(AU56&gt;=LARGE(AR56:AW56,3),"S",""),IF(AV56&gt;=LARGE(AR56:AW56,3),"E",""),IF(AW56&gt;=LARGE(AR56:AW56,3),"C","")))</x:f>
      </x:c>
      <x:c r="AY56" s="27" t="str">
        <x:f>IF(C56="","",IF(AR56=MAX(AR56:AW56),"นักปฏิบัติ",IF(AS56=MAX(AR56:AW56),"นักคิดวิเคราะห์",IF(AT56=MAX(AR56:AW56),"นักสร้างสรรค์",IF(AU56=MAX(AR56:AW56),"ผู้เข้าใจผู้คน",IF(AV56=MAX(AR56:AW56),"ผู้นำการเปลี่ยนแปลง","ผู้จัดระบบ"))))))</x:f>
      </x:c>
    </x:row>
    <x:row r="57">
      <x:c r="A57" s="27"/>
      <x:c r="B57" s="28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  <x:c r="AC57" s="27"/>
      <x:c r="AD57" s="27"/>
      <x:c r="AE57" s="27"/>
      <x:c r="AF57" s="27"/>
      <x:c r="AG57" s="27"/>
      <x:c r="AH57" s="27"/>
      <x:c r="AI57" s="27"/>
      <x:c r="AJ57" s="27"/>
      <x:c r="AK57" s="27"/>
      <x:c r="AL57" s="27"/>
      <x:c r="AM57" s="27"/>
      <x:c r="AN57" s="27"/>
      <x:c r="AO57" s="27"/>
      <x:c r="AP57" s="27"/>
      <x:c r="AQ57" s="27"/>
      <x:c r="AR57" s="27" t="str">
        <x:f>IF(C57="","",SUM(H57,N57,T57,Z57,AF57,AL57))</x:f>
      </x:c>
      <x:c r="AS57" s="27" t="str">
        <x:f>IF(C57="","",SUM(I57,O57,U57,AA57,AG57,AM57))</x:f>
      </x:c>
      <x:c r="AT57" s="27" t="str">
        <x:f>IF(C57="","",SUM(J57,P57,V57,AB57,AH57,AN57))</x:f>
      </x:c>
      <x:c r="AU57" s="27" t="str">
        <x:f>IF(C57="","",SUM(K57,Q57,W57,AC57,AI57,AO57))</x:f>
      </x:c>
      <x:c r="AV57" s="27" t="str">
        <x:f>IF(C57="","",SUM(L57,R57,X57,AD57,AJ57,AP57))</x:f>
      </x:c>
      <x:c r="AW57" s="27" t="str">
        <x:f>IF(C57="","",SUM(M57,S57,Y57,AE57,AK57,AQ57))</x:f>
      </x:c>
      <x:c r="AX57" s="27" t="str">
        <x:f>IF(C57="","",CONCAT(IF(AR57&gt;=LARGE(AR57:AW57,3),"R",""),IF(AS57&gt;=LARGE(AR57:AW57,3),"I",""),IF(AT57&gt;=LARGE(AR57:AW57,3),"A",""),IF(AU57&gt;=LARGE(AR57:AW57,3),"S",""),IF(AV57&gt;=LARGE(AR57:AW57,3),"E",""),IF(AW57&gt;=LARGE(AR57:AW57,3),"C","")))</x:f>
      </x:c>
      <x:c r="AY57" s="27" t="str">
        <x:f>IF(C57="","",IF(AR57=MAX(AR57:AW57),"นักปฏิบัติ",IF(AS57=MAX(AR57:AW57),"นักคิดวิเคราะห์",IF(AT57=MAX(AR57:AW57),"นักสร้างสรรค์",IF(AU57=MAX(AR57:AW57),"ผู้เข้าใจผู้คน",IF(AV57=MAX(AR57:AW57),"ผู้นำการเปลี่ยนแปลง","ผู้จัดระบบ"))))))</x:f>
      </x:c>
    </x:row>
    <x:row r="58">
      <x:c r="A58" s="27"/>
      <x:c r="B58" s="28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  <x:c r="AC58" s="27"/>
      <x:c r="AD58" s="27"/>
      <x:c r="AE58" s="27"/>
      <x:c r="AF58" s="27"/>
      <x:c r="AG58" s="27"/>
      <x:c r="AH58" s="27"/>
      <x:c r="AI58" s="27"/>
      <x:c r="AJ58" s="27"/>
      <x:c r="AK58" s="27"/>
      <x:c r="AL58" s="27"/>
      <x:c r="AM58" s="27"/>
      <x:c r="AN58" s="27"/>
      <x:c r="AO58" s="27"/>
      <x:c r="AP58" s="27"/>
      <x:c r="AQ58" s="27"/>
      <x:c r="AR58" s="27" t="str">
        <x:f>IF(C58="","",SUM(H58,N58,T58,Z58,AF58,AL58))</x:f>
      </x:c>
      <x:c r="AS58" s="27" t="str">
        <x:f>IF(C58="","",SUM(I58,O58,U58,AA58,AG58,AM58))</x:f>
      </x:c>
      <x:c r="AT58" s="27" t="str">
        <x:f>IF(C58="","",SUM(J58,P58,V58,AB58,AH58,AN58))</x:f>
      </x:c>
      <x:c r="AU58" s="27" t="str">
        <x:f>IF(C58="","",SUM(K58,Q58,W58,AC58,AI58,AO58))</x:f>
      </x:c>
      <x:c r="AV58" s="27" t="str">
        <x:f>IF(C58="","",SUM(L58,R58,X58,AD58,AJ58,AP58))</x:f>
      </x:c>
      <x:c r="AW58" s="27" t="str">
        <x:f>IF(C58="","",SUM(M58,S58,Y58,AE58,AK58,AQ58))</x:f>
      </x:c>
      <x:c r="AX58" s="27" t="str">
        <x:f>IF(C58="","",CONCAT(IF(AR58&gt;=LARGE(AR58:AW58,3),"R",""),IF(AS58&gt;=LARGE(AR58:AW58,3),"I",""),IF(AT58&gt;=LARGE(AR58:AW58,3),"A",""),IF(AU58&gt;=LARGE(AR58:AW58,3),"S",""),IF(AV58&gt;=LARGE(AR58:AW58,3),"E",""),IF(AW58&gt;=LARGE(AR58:AW58,3),"C","")))</x:f>
      </x:c>
      <x:c r="AY58" s="27" t="str">
        <x:f>IF(C58="","",IF(AR58=MAX(AR58:AW58),"นักปฏิบัติ",IF(AS58=MAX(AR58:AW58),"นักคิดวิเคราะห์",IF(AT58=MAX(AR58:AW58),"นักสร้างสรรค์",IF(AU58=MAX(AR58:AW58),"ผู้เข้าใจผู้คน",IF(AV58=MAX(AR58:AW58),"ผู้นำการเปลี่ยนแปลง","ผู้จัดระบบ"))))))</x:f>
      </x:c>
    </x:row>
    <x:row r="59">
      <x:c r="A59" s="27"/>
      <x:c r="B59" s="28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  <x:c r="AC59" s="27"/>
      <x:c r="AD59" s="27"/>
      <x:c r="AE59" s="27"/>
      <x:c r="AF59" s="27"/>
      <x:c r="AG59" s="27"/>
      <x:c r="AH59" s="27"/>
      <x:c r="AI59" s="27"/>
      <x:c r="AJ59" s="27"/>
      <x:c r="AK59" s="27"/>
      <x:c r="AL59" s="27"/>
      <x:c r="AM59" s="27"/>
      <x:c r="AN59" s="27"/>
      <x:c r="AO59" s="27"/>
      <x:c r="AP59" s="27"/>
      <x:c r="AQ59" s="27"/>
      <x:c r="AR59" s="27" t="str">
        <x:f>IF(C59="","",SUM(H59,N59,T59,Z59,AF59,AL59))</x:f>
      </x:c>
      <x:c r="AS59" s="27" t="str">
        <x:f>IF(C59="","",SUM(I59,O59,U59,AA59,AG59,AM59))</x:f>
      </x:c>
      <x:c r="AT59" s="27" t="str">
        <x:f>IF(C59="","",SUM(J59,P59,V59,AB59,AH59,AN59))</x:f>
      </x:c>
      <x:c r="AU59" s="27" t="str">
        <x:f>IF(C59="","",SUM(K59,Q59,W59,AC59,AI59,AO59))</x:f>
      </x:c>
      <x:c r="AV59" s="27" t="str">
        <x:f>IF(C59="","",SUM(L59,R59,X59,AD59,AJ59,AP59))</x:f>
      </x:c>
      <x:c r="AW59" s="27" t="str">
        <x:f>IF(C59="","",SUM(M59,S59,Y59,AE59,AK59,AQ59))</x:f>
      </x:c>
      <x:c r="AX59" s="27" t="str">
        <x:f>IF(C59="","",CONCAT(IF(AR59&gt;=LARGE(AR59:AW59,3),"R",""),IF(AS59&gt;=LARGE(AR59:AW59,3),"I",""),IF(AT59&gt;=LARGE(AR59:AW59,3),"A",""),IF(AU59&gt;=LARGE(AR59:AW59,3),"S",""),IF(AV59&gt;=LARGE(AR59:AW59,3),"E",""),IF(AW59&gt;=LARGE(AR59:AW59,3),"C","")))</x:f>
      </x:c>
      <x:c r="AY59" s="27" t="str">
        <x:f>IF(C59="","",IF(AR59=MAX(AR59:AW59),"นักปฏิบัติ",IF(AS59=MAX(AR59:AW59),"นักคิดวิเคราะห์",IF(AT59=MAX(AR59:AW59),"นักสร้างสรรค์",IF(AU59=MAX(AR59:AW59),"ผู้เข้าใจผู้คน",IF(AV59=MAX(AR59:AW59),"ผู้นำการเปลี่ยนแปลง","ผู้จัดระบบ"))))))</x:f>
      </x:c>
    </x:row>
    <x:row r="60">
      <x:c r="A60" s="27"/>
      <x:c r="B60" s="28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  <x:c r="AC60" s="27"/>
      <x:c r="AD60" s="27"/>
      <x:c r="AE60" s="27"/>
      <x:c r="AF60" s="27"/>
      <x:c r="AG60" s="27"/>
      <x:c r="AH60" s="27"/>
      <x:c r="AI60" s="27"/>
      <x:c r="AJ60" s="27"/>
      <x:c r="AK60" s="27"/>
      <x:c r="AL60" s="27"/>
      <x:c r="AM60" s="27"/>
      <x:c r="AN60" s="27"/>
      <x:c r="AO60" s="27"/>
      <x:c r="AP60" s="27"/>
      <x:c r="AQ60" s="27"/>
      <x:c r="AR60" s="27" t="str">
        <x:f>IF(C60="","",SUM(H60,N60,T60,Z60,AF60,AL60))</x:f>
      </x:c>
      <x:c r="AS60" s="27" t="str">
        <x:f>IF(C60="","",SUM(I60,O60,U60,AA60,AG60,AM60))</x:f>
      </x:c>
      <x:c r="AT60" s="27" t="str">
        <x:f>IF(C60="","",SUM(J60,P60,V60,AB60,AH60,AN60))</x:f>
      </x:c>
      <x:c r="AU60" s="27" t="str">
        <x:f>IF(C60="","",SUM(K60,Q60,W60,AC60,AI60,AO60))</x:f>
      </x:c>
      <x:c r="AV60" s="27" t="str">
        <x:f>IF(C60="","",SUM(L60,R60,X60,AD60,AJ60,AP60))</x:f>
      </x:c>
      <x:c r="AW60" s="27" t="str">
        <x:f>IF(C60="","",SUM(M60,S60,Y60,AE60,AK60,AQ60))</x:f>
      </x:c>
      <x:c r="AX60" s="27" t="str">
        <x:f>IF(C60="","",CONCAT(IF(AR60&gt;=LARGE(AR60:AW60,3),"R",""),IF(AS60&gt;=LARGE(AR60:AW60,3),"I",""),IF(AT60&gt;=LARGE(AR60:AW60,3),"A",""),IF(AU60&gt;=LARGE(AR60:AW60,3),"S",""),IF(AV60&gt;=LARGE(AR60:AW60,3),"E",""),IF(AW60&gt;=LARGE(AR60:AW60,3),"C","")))</x:f>
      </x:c>
      <x:c r="AY60" s="27" t="str">
        <x:f>IF(C60="","",IF(AR60=MAX(AR60:AW60),"นักปฏิบัติ",IF(AS60=MAX(AR60:AW60),"นักคิดวิเคราะห์",IF(AT60=MAX(AR60:AW60),"นักสร้างสรรค์",IF(AU60=MAX(AR60:AW60),"ผู้เข้าใจผู้คน",IF(AV60=MAX(AR60:AW60),"ผู้นำการเปลี่ยนแปลง","ผู้จัดระบบ"))))))</x:f>
      </x:c>
    </x:row>
    <x:row r="61">
      <x:c r="A61" s="27"/>
      <x:c r="B61" s="28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  <x:c r="AC61" s="27"/>
      <x:c r="AD61" s="27"/>
      <x:c r="AE61" s="27"/>
      <x:c r="AF61" s="27"/>
      <x:c r="AG61" s="27"/>
      <x:c r="AH61" s="27"/>
      <x:c r="AI61" s="27"/>
      <x:c r="AJ61" s="27"/>
      <x:c r="AK61" s="27"/>
      <x:c r="AL61" s="27"/>
      <x:c r="AM61" s="27"/>
      <x:c r="AN61" s="27"/>
      <x:c r="AO61" s="27"/>
      <x:c r="AP61" s="27"/>
      <x:c r="AQ61" s="27"/>
      <x:c r="AR61" s="27" t="str">
        <x:f>IF(C61="","",SUM(H61,N61,T61,Z61,AF61,AL61))</x:f>
      </x:c>
      <x:c r="AS61" s="27" t="str">
        <x:f>IF(C61="","",SUM(I61,O61,U61,AA61,AG61,AM61))</x:f>
      </x:c>
      <x:c r="AT61" s="27" t="str">
        <x:f>IF(C61="","",SUM(J61,P61,V61,AB61,AH61,AN61))</x:f>
      </x:c>
      <x:c r="AU61" s="27" t="str">
        <x:f>IF(C61="","",SUM(K61,Q61,W61,AC61,AI61,AO61))</x:f>
      </x:c>
      <x:c r="AV61" s="27" t="str">
        <x:f>IF(C61="","",SUM(L61,R61,X61,AD61,AJ61,AP61))</x:f>
      </x:c>
      <x:c r="AW61" s="27" t="str">
        <x:f>IF(C61="","",SUM(M61,S61,Y61,AE61,AK61,AQ61))</x:f>
      </x:c>
      <x:c r="AX61" s="27" t="str">
        <x:f>IF(C61="","",CONCAT(IF(AR61&gt;=LARGE(AR61:AW61,3),"R",""),IF(AS61&gt;=LARGE(AR61:AW61,3),"I",""),IF(AT61&gt;=LARGE(AR61:AW61,3),"A",""),IF(AU61&gt;=LARGE(AR61:AW61,3),"S",""),IF(AV61&gt;=LARGE(AR61:AW61,3),"E",""),IF(AW61&gt;=LARGE(AR61:AW61,3),"C","")))</x:f>
      </x:c>
      <x:c r="AY61" s="27" t="str">
        <x:f>IF(C61="","",IF(AR61=MAX(AR61:AW61),"นักปฏิบัติ",IF(AS61=MAX(AR61:AW61),"นักคิดวิเคราะห์",IF(AT61=MAX(AR61:AW61),"นักสร้างสรรค์",IF(AU61=MAX(AR61:AW61),"ผู้เข้าใจผู้คน",IF(AV61=MAX(AR61:AW61),"ผู้นำการเปลี่ยนแปลง","ผู้จัดระบบ"))))))</x:f>
      </x:c>
    </x:row>
    <x:row r="62">
      <x:c r="A62" s="27"/>
      <x:c r="B62" s="28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  <x:c r="AC62" s="27"/>
      <x:c r="AD62" s="27"/>
      <x:c r="AE62" s="27"/>
      <x:c r="AF62" s="27"/>
      <x:c r="AG62" s="27"/>
      <x:c r="AH62" s="27"/>
      <x:c r="AI62" s="27"/>
      <x:c r="AJ62" s="27"/>
      <x:c r="AK62" s="27"/>
      <x:c r="AL62" s="27"/>
      <x:c r="AM62" s="27"/>
      <x:c r="AN62" s="27"/>
      <x:c r="AO62" s="27"/>
      <x:c r="AP62" s="27"/>
      <x:c r="AQ62" s="27"/>
      <x:c r="AR62" s="27" t="str">
        <x:f>IF(C62="","",SUM(H62,N62,T62,Z62,AF62,AL62))</x:f>
      </x:c>
      <x:c r="AS62" s="27" t="str">
        <x:f>IF(C62="","",SUM(I62,O62,U62,AA62,AG62,AM62))</x:f>
      </x:c>
      <x:c r="AT62" s="27" t="str">
        <x:f>IF(C62="","",SUM(J62,P62,V62,AB62,AH62,AN62))</x:f>
      </x:c>
      <x:c r="AU62" s="27" t="str">
        <x:f>IF(C62="","",SUM(K62,Q62,W62,AC62,AI62,AO62))</x:f>
      </x:c>
      <x:c r="AV62" s="27" t="str">
        <x:f>IF(C62="","",SUM(L62,R62,X62,AD62,AJ62,AP62))</x:f>
      </x:c>
      <x:c r="AW62" s="27" t="str">
        <x:f>IF(C62="","",SUM(M62,S62,Y62,AE62,AK62,AQ62))</x:f>
      </x:c>
      <x:c r="AX62" s="27" t="str">
        <x:f>IF(C62="","",CONCAT(IF(AR62&gt;=LARGE(AR62:AW62,3),"R",""),IF(AS62&gt;=LARGE(AR62:AW62,3),"I",""),IF(AT62&gt;=LARGE(AR62:AW62,3),"A",""),IF(AU62&gt;=LARGE(AR62:AW62,3),"S",""),IF(AV62&gt;=LARGE(AR62:AW62,3),"E",""),IF(AW62&gt;=LARGE(AR62:AW62,3),"C","")))</x:f>
      </x:c>
      <x:c r="AY62" s="27" t="str">
        <x:f>IF(C62="","",IF(AR62=MAX(AR62:AW62),"นักปฏิบัติ",IF(AS62=MAX(AR62:AW62),"นักคิดวิเคราะห์",IF(AT62=MAX(AR62:AW62),"นักสร้างสรรค์",IF(AU62=MAX(AR62:AW62),"ผู้เข้าใจผู้คน",IF(AV62=MAX(AR62:AW62),"ผู้นำการเปลี่ยนแปลง","ผู้จัดระบบ"))))))</x:f>
      </x:c>
    </x:row>
    <x:row r="63">
      <x:c r="A63" s="27"/>
      <x:c r="B63" s="28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  <x:c r="AC63" s="27"/>
      <x:c r="AD63" s="27"/>
      <x:c r="AE63" s="27"/>
      <x:c r="AF63" s="27"/>
      <x:c r="AG63" s="27"/>
      <x:c r="AH63" s="27"/>
      <x:c r="AI63" s="27"/>
      <x:c r="AJ63" s="27"/>
      <x:c r="AK63" s="27"/>
      <x:c r="AL63" s="27"/>
      <x:c r="AM63" s="27"/>
      <x:c r="AN63" s="27"/>
      <x:c r="AO63" s="27"/>
      <x:c r="AP63" s="27"/>
      <x:c r="AQ63" s="27"/>
      <x:c r="AR63" s="27" t="str">
        <x:f>IF(C63="","",SUM(H63,N63,T63,Z63,AF63,AL63))</x:f>
      </x:c>
      <x:c r="AS63" s="27" t="str">
        <x:f>IF(C63="","",SUM(I63,O63,U63,AA63,AG63,AM63))</x:f>
      </x:c>
      <x:c r="AT63" s="27" t="str">
        <x:f>IF(C63="","",SUM(J63,P63,V63,AB63,AH63,AN63))</x:f>
      </x:c>
      <x:c r="AU63" s="27" t="str">
        <x:f>IF(C63="","",SUM(K63,Q63,W63,AC63,AI63,AO63))</x:f>
      </x:c>
      <x:c r="AV63" s="27" t="str">
        <x:f>IF(C63="","",SUM(L63,R63,X63,AD63,AJ63,AP63))</x:f>
      </x:c>
      <x:c r="AW63" s="27" t="str">
        <x:f>IF(C63="","",SUM(M63,S63,Y63,AE63,AK63,AQ63))</x:f>
      </x:c>
      <x:c r="AX63" s="27" t="str">
        <x:f>IF(C63="","",CONCAT(IF(AR63&gt;=LARGE(AR63:AW63,3),"R",""),IF(AS63&gt;=LARGE(AR63:AW63,3),"I",""),IF(AT63&gt;=LARGE(AR63:AW63,3),"A",""),IF(AU63&gt;=LARGE(AR63:AW63,3),"S",""),IF(AV63&gt;=LARGE(AR63:AW63,3),"E",""),IF(AW63&gt;=LARGE(AR63:AW63,3),"C","")))</x:f>
      </x:c>
      <x:c r="AY63" s="27" t="str">
        <x:f>IF(C63="","",IF(AR63=MAX(AR63:AW63),"นักปฏิบัติ",IF(AS63=MAX(AR63:AW63),"นักคิดวิเคราะห์",IF(AT63=MAX(AR63:AW63),"นักสร้างสรรค์",IF(AU63=MAX(AR63:AW63),"ผู้เข้าใจผู้คน",IF(AV63=MAX(AR63:AW63),"ผู้นำการเปลี่ยนแปลง","ผู้จัดระบบ"))))))</x:f>
      </x:c>
    </x:row>
    <x:row r="64">
      <x:c r="A64" s="27"/>
      <x:c r="B64" s="28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  <x:c r="AC64" s="27"/>
      <x:c r="AD64" s="27"/>
      <x:c r="AE64" s="27"/>
      <x:c r="AF64" s="27"/>
      <x:c r="AG64" s="27"/>
      <x:c r="AH64" s="27"/>
      <x:c r="AI64" s="27"/>
      <x:c r="AJ64" s="27"/>
      <x:c r="AK64" s="27"/>
      <x:c r="AL64" s="27"/>
      <x:c r="AM64" s="27"/>
      <x:c r="AN64" s="27"/>
      <x:c r="AO64" s="27"/>
      <x:c r="AP64" s="27"/>
      <x:c r="AQ64" s="27"/>
      <x:c r="AR64" s="27" t="str">
        <x:f>IF(C64="","",SUM(H64,N64,T64,Z64,AF64,AL64))</x:f>
      </x:c>
      <x:c r="AS64" s="27" t="str">
        <x:f>IF(C64="","",SUM(I64,O64,U64,AA64,AG64,AM64))</x:f>
      </x:c>
      <x:c r="AT64" s="27" t="str">
        <x:f>IF(C64="","",SUM(J64,P64,V64,AB64,AH64,AN64))</x:f>
      </x:c>
      <x:c r="AU64" s="27" t="str">
        <x:f>IF(C64="","",SUM(K64,Q64,W64,AC64,AI64,AO64))</x:f>
      </x:c>
      <x:c r="AV64" s="27" t="str">
        <x:f>IF(C64="","",SUM(L64,R64,X64,AD64,AJ64,AP64))</x:f>
      </x:c>
      <x:c r="AW64" s="27" t="str">
        <x:f>IF(C64="","",SUM(M64,S64,Y64,AE64,AK64,AQ64))</x:f>
      </x:c>
      <x:c r="AX64" s="27" t="str">
        <x:f>IF(C64="","",CONCAT(IF(AR64&gt;=LARGE(AR64:AW64,3),"R",""),IF(AS64&gt;=LARGE(AR64:AW64,3),"I",""),IF(AT64&gt;=LARGE(AR64:AW64,3),"A",""),IF(AU64&gt;=LARGE(AR64:AW64,3),"S",""),IF(AV64&gt;=LARGE(AR64:AW64,3),"E",""),IF(AW64&gt;=LARGE(AR64:AW64,3),"C","")))</x:f>
      </x:c>
      <x:c r="AY64" s="27" t="str">
        <x:f>IF(C64="","",IF(AR64=MAX(AR64:AW64),"นักปฏิบัติ",IF(AS64=MAX(AR64:AW64),"นักคิดวิเคราะห์",IF(AT64=MAX(AR64:AW64),"นักสร้างสรรค์",IF(AU64=MAX(AR64:AW64),"ผู้เข้าใจผู้คน",IF(AV64=MAX(AR64:AW64),"ผู้นำการเปลี่ยนแปลง","ผู้จัดระบบ"))))))</x:f>
      </x:c>
    </x:row>
    <x:row r="65">
      <x:c r="A65" s="27"/>
      <x:c r="B65" s="28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  <x:c r="AC65" s="27"/>
      <x:c r="AD65" s="27"/>
      <x:c r="AE65" s="27"/>
      <x:c r="AF65" s="27"/>
      <x:c r="AG65" s="27"/>
      <x:c r="AH65" s="27"/>
      <x:c r="AI65" s="27"/>
      <x:c r="AJ65" s="27"/>
      <x:c r="AK65" s="27"/>
      <x:c r="AL65" s="27"/>
      <x:c r="AM65" s="27"/>
      <x:c r="AN65" s="27"/>
      <x:c r="AO65" s="27"/>
      <x:c r="AP65" s="27"/>
      <x:c r="AQ65" s="27"/>
      <x:c r="AR65" s="27" t="str">
        <x:f>IF(C65="","",SUM(H65,N65,T65,Z65,AF65,AL65))</x:f>
      </x:c>
      <x:c r="AS65" s="27" t="str">
        <x:f>IF(C65="","",SUM(I65,O65,U65,AA65,AG65,AM65))</x:f>
      </x:c>
      <x:c r="AT65" s="27" t="str">
        <x:f>IF(C65="","",SUM(J65,P65,V65,AB65,AH65,AN65))</x:f>
      </x:c>
      <x:c r="AU65" s="27" t="str">
        <x:f>IF(C65="","",SUM(K65,Q65,W65,AC65,AI65,AO65))</x:f>
      </x:c>
      <x:c r="AV65" s="27" t="str">
        <x:f>IF(C65="","",SUM(L65,R65,X65,AD65,AJ65,AP65))</x:f>
      </x:c>
      <x:c r="AW65" s="27" t="str">
        <x:f>IF(C65="","",SUM(M65,S65,Y65,AE65,AK65,AQ65))</x:f>
      </x:c>
      <x:c r="AX65" s="27" t="str">
        <x:f>IF(C65="","",CONCAT(IF(AR65&gt;=LARGE(AR65:AW65,3),"R",""),IF(AS65&gt;=LARGE(AR65:AW65,3),"I",""),IF(AT65&gt;=LARGE(AR65:AW65,3),"A",""),IF(AU65&gt;=LARGE(AR65:AW65,3),"S",""),IF(AV65&gt;=LARGE(AR65:AW65,3),"E",""),IF(AW65&gt;=LARGE(AR65:AW65,3),"C","")))</x:f>
      </x:c>
      <x:c r="AY65" s="27" t="str">
        <x:f>IF(C65="","",IF(AR65=MAX(AR65:AW65),"นักปฏิบัติ",IF(AS65=MAX(AR65:AW65),"นักคิดวิเคราะห์",IF(AT65=MAX(AR65:AW65),"นักสร้างสรรค์",IF(AU65=MAX(AR65:AW65),"ผู้เข้าใจผู้คน",IF(AV65=MAX(AR65:AW65),"ผู้นำการเปลี่ยนแปลง","ผู้จัดระบบ"))))))</x:f>
      </x:c>
    </x:row>
    <x:row r="66">
      <x:c r="A66" s="27"/>
      <x:c r="B66" s="28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  <x:c r="AC66" s="27"/>
      <x:c r="AD66" s="27"/>
      <x:c r="AE66" s="27"/>
      <x:c r="AF66" s="27"/>
      <x:c r="AG66" s="27"/>
      <x:c r="AH66" s="27"/>
      <x:c r="AI66" s="27"/>
      <x:c r="AJ66" s="27"/>
      <x:c r="AK66" s="27"/>
      <x:c r="AL66" s="27"/>
      <x:c r="AM66" s="27"/>
      <x:c r="AN66" s="27"/>
      <x:c r="AO66" s="27"/>
      <x:c r="AP66" s="27"/>
      <x:c r="AQ66" s="27"/>
      <x:c r="AR66" s="27" t="str">
        <x:f>IF(C66="","",SUM(H66,N66,T66,Z66,AF66,AL66))</x:f>
      </x:c>
      <x:c r="AS66" s="27" t="str">
        <x:f>IF(C66="","",SUM(I66,O66,U66,AA66,AG66,AM66))</x:f>
      </x:c>
      <x:c r="AT66" s="27" t="str">
        <x:f>IF(C66="","",SUM(J66,P66,V66,AB66,AH66,AN66))</x:f>
      </x:c>
      <x:c r="AU66" s="27" t="str">
        <x:f>IF(C66="","",SUM(K66,Q66,W66,AC66,AI66,AO66))</x:f>
      </x:c>
      <x:c r="AV66" s="27" t="str">
        <x:f>IF(C66="","",SUM(L66,R66,X66,AD66,AJ66,AP66))</x:f>
      </x:c>
      <x:c r="AW66" s="27" t="str">
        <x:f>IF(C66="","",SUM(M66,S66,Y66,AE66,AK66,AQ66))</x:f>
      </x:c>
      <x:c r="AX66" s="27" t="str">
        <x:f>IF(C66="","",CONCAT(IF(AR66&gt;=LARGE(AR66:AW66,3),"R",""),IF(AS66&gt;=LARGE(AR66:AW66,3),"I",""),IF(AT66&gt;=LARGE(AR66:AW66,3),"A",""),IF(AU66&gt;=LARGE(AR66:AW66,3),"S",""),IF(AV66&gt;=LARGE(AR66:AW66,3),"E",""),IF(AW66&gt;=LARGE(AR66:AW66,3),"C","")))</x:f>
      </x:c>
      <x:c r="AY66" s="27" t="str">
        <x:f>IF(C66="","",IF(AR66=MAX(AR66:AW66),"นักปฏิบัติ",IF(AS66=MAX(AR66:AW66),"นักคิดวิเคราะห์",IF(AT66=MAX(AR66:AW66),"นักสร้างสรรค์",IF(AU66=MAX(AR66:AW66),"ผู้เข้าใจผู้คน",IF(AV66=MAX(AR66:AW66),"ผู้นำการเปลี่ยนแปลง","ผู้จัดระบบ"))))))</x:f>
      </x:c>
    </x:row>
    <x:row r="67">
      <x:c r="A67" s="27"/>
      <x:c r="B67" s="28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  <x:c r="AC67" s="27"/>
      <x:c r="AD67" s="27"/>
      <x:c r="AE67" s="27"/>
      <x:c r="AF67" s="27"/>
      <x:c r="AG67" s="27"/>
      <x:c r="AH67" s="27"/>
      <x:c r="AI67" s="27"/>
      <x:c r="AJ67" s="27"/>
      <x:c r="AK67" s="27"/>
      <x:c r="AL67" s="27"/>
      <x:c r="AM67" s="27"/>
      <x:c r="AN67" s="27"/>
      <x:c r="AO67" s="27"/>
      <x:c r="AP67" s="27"/>
      <x:c r="AQ67" s="27"/>
      <x:c r="AR67" s="27" t="str">
        <x:f>IF(C67="","",SUM(H67,N67,T67,Z67,AF67,AL67))</x:f>
      </x:c>
      <x:c r="AS67" s="27" t="str">
        <x:f>IF(C67="","",SUM(I67,O67,U67,AA67,AG67,AM67))</x:f>
      </x:c>
      <x:c r="AT67" s="27" t="str">
        <x:f>IF(C67="","",SUM(J67,P67,V67,AB67,AH67,AN67))</x:f>
      </x:c>
      <x:c r="AU67" s="27" t="str">
        <x:f>IF(C67="","",SUM(K67,Q67,W67,AC67,AI67,AO67))</x:f>
      </x:c>
      <x:c r="AV67" s="27" t="str">
        <x:f>IF(C67="","",SUM(L67,R67,X67,AD67,AJ67,AP67))</x:f>
      </x:c>
      <x:c r="AW67" s="27" t="str">
        <x:f>IF(C67="","",SUM(M67,S67,Y67,AE67,AK67,AQ67))</x:f>
      </x:c>
      <x:c r="AX67" s="27" t="str">
        <x:f>IF(C67="","",CONCAT(IF(AR67&gt;=LARGE(AR67:AW67,3),"R",""),IF(AS67&gt;=LARGE(AR67:AW67,3),"I",""),IF(AT67&gt;=LARGE(AR67:AW67,3),"A",""),IF(AU67&gt;=LARGE(AR67:AW67,3),"S",""),IF(AV67&gt;=LARGE(AR67:AW67,3),"E",""),IF(AW67&gt;=LARGE(AR67:AW67,3),"C","")))</x:f>
      </x:c>
      <x:c r="AY67" s="27" t="str">
        <x:f>IF(C67="","",IF(AR67=MAX(AR67:AW67),"นักปฏิบัติ",IF(AS67=MAX(AR67:AW67),"นักคิดวิเคราะห์",IF(AT67=MAX(AR67:AW67),"นักสร้างสรรค์",IF(AU67=MAX(AR67:AW67),"ผู้เข้าใจผู้คน",IF(AV67=MAX(AR67:AW67),"ผู้นำการเปลี่ยนแปลง","ผู้จัดระบบ"))))))</x:f>
      </x:c>
    </x:row>
    <x:row r="68">
      <x:c r="A68" s="27"/>
      <x:c r="B68" s="28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  <x:c r="AC68" s="27"/>
      <x:c r="AD68" s="27"/>
      <x:c r="AE68" s="27"/>
      <x:c r="AF68" s="27"/>
      <x:c r="AG68" s="27"/>
      <x:c r="AH68" s="27"/>
      <x:c r="AI68" s="27"/>
      <x:c r="AJ68" s="27"/>
      <x:c r="AK68" s="27"/>
      <x:c r="AL68" s="27"/>
      <x:c r="AM68" s="27"/>
      <x:c r="AN68" s="27"/>
      <x:c r="AO68" s="27"/>
      <x:c r="AP68" s="27"/>
      <x:c r="AQ68" s="27"/>
      <x:c r="AR68" s="27" t="str">
        <x:f>IF(C68="","",SUM(H68,N68,T68,Z68,AF68,AL68))</x:f>
      </x:c>
      <x:c r="AS68" s="27" t="str">
        <x:f>IF(C68="","",SUM(I68,O68,U68,AA68,AG68,AM68))</x:f>
      </x:c>
      <x:c r="AT68" s="27" t="str">
        <x:f>IF(C68="","",SUM(J68,P68,V68,AB68,AH68,AN68))</x:f>
      </x:c>
      <x:c r="AU68" s="27" t="str">
        <x:f>IF(C68="","",SUM(K68,Q68,W68,AC68,AI68,AO68))</x:f>
      </x:c>
      <x:c r="AV68" s="27" t="str">
        <x:f>IF(C68="","",SUM(L68,R68,X68,AD68,AJ68,AP68))</x:f>
      </x:c>
      <x:c r="AW68" s="27" t="str">
        <x:f>IF(C68="","",SUM(M68,S68,Y68,AE68,AK68,AQ68))</x:f>
      </x:c>
      <x:c r="AX68" s="27" t="str">
        <x:f>IF(C68="","",CONCAT(IF(AR68&gt;=LARGE(AR68:AW68,3),"R",""),IF(AS68&gt;=LARGE(AR68:AW68,3),"I",""),IF(AT68&gt;=LARGE(AR68:AW68,3),"A",""),IF(AU68&gt;=LARGE(AR68:AW68,3),"S",""),IF(AV68&gt;=LARGE(AR68:AW68,3),"E",""),IF(AW68&gt;=LARGE(AR68:AW68,3),"C","")))</x:f>
      </x:c>
      <x:c r="AY68" s="27" t="str">
        <x:f>IF(C68="","",IF(AR68=MAX(AR68:AW68),"นักปฏิบัติ",IF(AS68=MAX(AR68:AW68),"นักคิดวิเคราะห์",IF(AT68=MAX(AR68:AW68),"นักสร้างสรรค์",IF(AU68=MAX(AR68:AW68),"ผู้เข้าใจผู้คน",IF(AV68=MAX(AR68:AW68),"ผู้นำการเปลี่ยนแปลง","ผู้จัดระบบ"))))))</x:f>
      </x:c>
    </x:row>
    <x:row r="69">
      <x:c r="A69" s="27"/>
      <x:c r="B69" s="28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  <x:c r="AC69" s="27"/>
      <x:c r="AD69" s="27"/>
      <x:c r="AE69" s="27"/>
      <x:c r="AF69" s="27"/>
      <x:c r="AG69" s="27"/>
      <x:c r="AH69" s="27"/>
      <x:c r="AI69" s="27"/>
      <x:c r="AJ69" s="27"/>
      <x:c r="AK69" s="27"/>
      <x:c r="AL69" s="27"/>
      <x:c r="AM69" s="27"/>
      <x:c r="AN69" s="27"/>
      <x:c r="AO69" s="27"/>
      <x:c r="AP69" s="27"/>
      <x:c r="AQ69" s="27"/>
      <x:c r="AR69" s="27" t="str">
        <x:f>IF(C69="","",SUM(H69,N69,T69,Z69,AF69,AL69))</x:f>
      </x:c>
      <x:c r="AS69" s="27" t="str">
        <x:f>IF(C69="","",SUM(I69,O69,U69,AA69,AG69,AM69))</x:f>
      </x:c>
      <x:c r="AT69" s="27" t="str">
        <x:f>IF(C69="","",SUM(J69,P69,V69,AB69,AH69,AN69))</x:f>
      </x:c>
      <x:c r="AU69" s="27" t="str">
        <x:f>IF(C69="","",SUM(K69,Q69,W69,AC69,AI69,AO69))</x:f>
      </x:c>
      <x:c r="AV69" s="27" t="str">
        <x:f>IF(C69="","",SUM(L69,R69,X69,AD69,AJ69,AP69))</x:f>
      </x:c>
      <x:c r="AW69" s="27" t="str">
        <x:f>IF(C69="","",SUM(M69,S69,Y69,AE69,AK69,AQ69))</x:f>
      </x:c>
      <x:c r="AX69" s="27" t="str">
        <x:f>IF(C69="","",CONCAT(IF(AR69&gt;=LARGE(AR69:AW69,3),"R",""),IF(AS69&gt;=LARGE(AR69:AW69,3),"I",""),IF(AT69&gt;=LARGE(AR69:AW69,3),"A",""),IF(AU69&gt;=LARGE(AR69:AW69,3),"S",""),IF(AV69&gt;=LARGE(AR69:AW69,3),"E",""),IF(AW69&gt;=LARGE(AR69:AW69,3),"C","")))</x:f>
      </x:c>
      <x:c r="AY69" s="27" t="str">
        <x:f>IF(C69="","",IF(AR69=MAX(AR69:AW69),"นักปฏิบัติ",IF(AS69=MAX(AR69:AW69),"นักคิดวิเคราะห์",IF(AT69=MAX(AR69:AW69),"นักสร้างสรรค์",IF(AU69=MAX(AR69:AW69),"ผู้เข้าใจผู้คน",IF(AV69=MAX(AR69:AW69),"ผู้นำการเปลี่ยนแปลง","ผู้จัดระบบ"))))))</x:f>
      </x:c>
    </x:row>
    <x:row r="70">
      <x:c r="A70" s="27"/>
      <x:c r="B70" s="28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  <x:c r="AC70" s="27"/>
      <x:c r="AD70" s="27"/>
      <x:c r="AE70" s="27"/>
      <x:c r="AF70" s="27"/>
      <x:c r="AG70" s="27"/>
      <x:c r="AH70" s="27"/>
      <x:c r="AI70" s="27"/>
      <x:c r="AJ70" s="27"/>
      <x:c r="AK70" s="27"/>
      <x:c r="AL70" s="27"/>
      <x:c r="AM70" s="27"/>
      <x:c r="AN70" s="27"/>
      <x:c r="AO70" s="27"/>
      <x:c r="AP70" s="27"/>
      <x:c r="AQ70" s="27"/>
      <x:c r="AR70" s="27" t="str">
        <x:f>IF(C70="","",SUM(H70,N70,T70,Z70,AF70,AL70))</x:f>
      </x:c>
      <x:c r="AS70" s="27" t="str">
        <x:f>IF(C70="","",SUM(I70,O70,U70,AA70,AG70,AM70))</x:f>
      </x:c>
      <x:c r="AT70" s="27" t="str">
        <x:f>IF(C70="","",SUM(J70,P70,V70,AB70,AH70,AN70))</x:f>
      </x:c>
      <x:c r="AU70" s="27" t="str">
        <x:f>IF(C70="","",SUM(K70,Q70,W70,AC70,AI70,AO70))</x:f>
      </x:c>
      <x:c r="AV70" s="27" t="str">
        <x:f>IF(C70="","",SUM(L70,R70,X70,AD70,AJ70,AP70))</x:f>
      </x:c>
      <x:c r="AW70" s="27" t="str">
        <x:f>IF(C70="","",SUM(M70,S70,Y70,AE70,AK70,AQ70))</x:f>
      </x:c>
      <x:c r="AX70" s="27" t="str">
        <x:f>IF(C70="","",CONCAT(IF(AR70&gt;=LARGE(AR70:AW70,3),"R",""),IF(AS70&gt;=LARGE(AR70:AW70,3),"I",""),IF(AT70&gt;=LARGE(AR70:AW70,3),"A",""),IF(AU70&gt;=LARGE(AR70:AW70,3),"S",""),IF(AV70&gt;=LARGE(AR70:AW70,3),"E",""),IF(AW70&gt;=LARGE(AR70:AW70,3),"C","")))</x:f>
      </x:c>
      <x:c r="AY70" s="27" t="str">
        <x:f>IF(C70="","",IF(AR70=MAX(AR70:AW70),"นักปฏิบัติ",IF(AS70=MAX(AR70:AW70),"นักคิดวิเคราะห์",IF(AT70=MAX(AR70:AW70),"นักสร้างสรรค์",IF(AU70=MAX(AR70:AW70),"ผู้เข้าใจผู้คน",IF(AV70=MAX(AR70:AW70),"ผู้นำการเปลี่ยนแปลง","ผู้จัดระบบ"))))))</x:f>
      </x:c>
    </x:row>
    <x:row r="71">
      <x:c r="A71" s="27"/>
      <x:c r="B71" s="28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  <x:c r="AC71" s="27"/>
      <x:c r="AD71" s="27"/>
      <x:c r="AE71" s="27"/>
      <x:c r="AF71" s="27"/>
      <x:c r="AG71" s="27"/>
      <x:c r="AH71" s="27"/>
      <x:c r="AI71" s="27"/>
      <x:c r="AJ71" s="27"/>
      <x:c r="AK71" s="27"/>
      <x:c r="AL71" s="27"/>
      <x:c r="AM71" s="27"/>
      <x:c r="AN71" s="27"/>
      <x:c r="AO71" s="27"/>
      <x:c r="AP71" s="27"/>
      <x:c r="AQ71" s="27"/>
      <x:c r="AR71" s="27" t="str">
        <x:f>IF(C71="","",SUM(H71,N71,T71,Z71,AF71,AL71))</x:f>
      </x:c>
      <x:c r="AS71" s="27" t="str">
        <x:f>IF(C71="","",SUM(I71,O71,U71,AA71,AG71,AM71))</x:f>
      </x:c>
      <x:c r="AT71" s="27" t="str">
        <x:f>IF(C71="","",SUM(J71,P71,V71,AB71,AH71,AN71))</x:f>
      </x:c>
      <x:c r="AU71" s="27" t="str">
        <x:f>IF(C71="","",SUM(K71,Q71,W71,AC71,AI71,AO71))</x:f>
      </x:c>
      <x:c r="AV71" s="27" t="str">
        <x:f>IF(C71="","",SUM(L71,R71,X71,AD71,AJ71,AP71))</x:f>
      </x:c>
      <x:c r="AW71" s="27" t="str">
        <x:f>IF(C71="","",SUM(M71,S71,Y71,AE71,AK71,AQ71))</x:f>
      </x:c>
      <x:c r="AX71" s="27" t="str">
        <x:f>IF(C71="","",CONCAT(IF(AR71&gt;=LARGE(AR71:AW71,3),"R",""),IF(AS71&gt;=LARGE(AR71:AW71,3),"I",""),IF(AT71&gt;=LARGE(AR71:AW71,3),"A",""),IF(AU71&gt;=LARGE(AR71:AW71,3),"S",""),IF(AV71&gt;=LARGE(AR71:AW71,3),"E",""),IF(AW71&gt;=LARGE(AR71:AW71,3),"C","")))</x:f>
      </x:c>
      <x:c r="AY71" s="27" t="str">
        <x:f>IF(C71="","",IF(AR71=MAX(AR71:AW71),"นักปฏิบัติ",IF(AS71=MAX(AR71:AW71),"นักคิดวิเคราะห์",IF(AT71=MAX(AR71:AW71),"นักสร้างสรรค์",IF(AU71=MAX(AR71:AW71),"ผู้เข้าใจผู้คน",IF(AV71=MAX(AR71:AW71),"ผู้นำการเปลี่ยนแปลง","ผู้จัดระบบ"))))))</x:f>
      </x:c>
    </x:row>
    <x:row r="72">
      <x:c r="A72" s="27"/>
      <x:c r="B72" s="28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  <x:c r="AC72" s="27"/>
      <x:c r="AD72" s="27"/>
      <x:c r="AE72" s="27"/>
      <x:c r="AF72" s="27"/>
      <x:c r="AG72" s="27"/>
      <x:c r="AH72" s="27"/>
      <x:c r="AI72" s="27"/>
      <x:c r="AJ72" s="27"/>
      <x:c r="AK72" s="27"/>
      <x:c r="AL72" s="27"/>
      <x:c r="AM72" s="27"/>
      <x:c r="AN72" s="27"/>
      <x:c r="AO72" s="27"/>
      <x:c r="AP72" s="27"/>
      <x:c r="AQ72" s="27"/>
      <x:c r="AR72" s="27" t="str">
        <x:f>IF(C72="","",SUM(H72,N72,T72,Z72,AF72,AL72))</x:f>
      </x:c>
      <x:c r="AS72" s="27" t="str">
        <x:f>IF(C72="","",SUM(I72,O72,U72,AA72,AG72,AM72))</x:f>
      </x:c>
      <x:c r="AT72" s="27" t="str">
        <x:f>IF(C72="","",SUM(J72,P72,V72,AB72,AH72,AN72))</x:f>
      </x:c>
      <x:c r="AU72" s="27" t="str">
        <x:f>IF(C72="","",SUM(K72,Q72,W72,AC72,AI72,AO72))</x:f>
      </x:c>
      <x:c r="AV72" s="27" t="str">
        <x:f>IF(C72="","",SUM(L72,R72,X72,AD72,AJ72,AP72))</x:f>
      </x:c>
      <x:c r="AW72" s="27" t="str">
        <x:f>IF(C72="","",SUM(M72,S72,Y72,AE72,AK72,AQ72))</x:f>
      </x:c>
      <x:c r="AX72" s="27" t="str">
        <x:f>IF(C72="","",CONCAT(IF(AR72&gt;=LARGE(AR72:AW72,3),"R",""),IF(AS72&gt;=LARGE(AR72:AW72,3),"I",""),IF(AT72&gt;=LARGE(AR72:AW72,3),"A",""),IF(AU72&gt;=LARGE(AR72:AW72,3),"S",""),IF(AV72&gt;=LARGE(AR72:AW72,3),"E",""),IF(AW72&gt;=LARGE(AR72:AW72,3),"C","")))</x:f>
      </x:c>
      <x:c r="AY72" s="27" t="str">
        <x:f>IF(C72="","",IF(AR72=MAX(AR72:AW72),"นักปฏิบัติ",IF(AS72=MAX(AR72:AW72),"นักคิดวิเคราะห์",IF(AT72=MAX(AR72:AW72),"นักสร้างสรรค์",IF(AU72=MAX(AR72:AW72),"ผู้เข้าใจผู้คน",IF(AV72=MAX(AR72:AW72),"ผู้นำการเปลี่ยนแปลง","ผู้จัดระบบ"))))))</x:f>
      </x:c>
    </x:row>
    <x:row r="73">
      <x:c r="A73" s="27"/>
      <x:c r="B73" s="28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  <x:c r="AC73" s="27"/>
      <x:c r="AD73" s="27"/>
      <x:c r="AE73" s="27"/>
      <x:c r="AF73" s="27"/>
      <x:c r="AG73" s="27"/>
      <x:c r="AH73" s="27"/>
      <x:c r="AI73" s="27"/>
      <x:c r="AJ73" s="27"/>
      <x:c r="AK73" s="27"/>
      <x:c r="AL73" s="27"/>
      <x:c r="AM73" s="27"/>
      <x:c r="AN73" s="27"/>
      <x:c r="AO73" s="27"/>
      <x:c r="AP73" s="27"/>
      <x:c r="AQ73" s="27"/>
      <x:c r="AR73" s="27" t="str">
        <x:f>IF(C73="","",SUM(H73,N73,T73,Z73,AF73,AL73))</x:f>
      </x:c>
      <x:c r="AS73" s="27" t="str">
        <x:f>IF(C73="","",SUM(I73,O73,U73,AA73,AG73,AM73))</x:f>
      </x:c>
      <x:c r="AT73" s="27" t="str">
        <x:f>IF(C73="","",SUM(J73,P73,V73,AB73,AH73,AN73))</x:f>
      </x:c>
      <x:c r="AU73" s="27" t="str">
        <x:f>IF(C73="","",SUM(K73,Q73,W73,AC73,AI73,AO73))</x:f>
      </x:c>
      <x:c r="AV73" s="27" t="str">
        <x:f>IF(C73="","",SUM(L73,R73,X73,AD73,AJ73,AP73))</x:f>
      </x:c>
      <x:c r="AW73" s="27" t="str">
        <x:f>IF(C73="","",SUM(M73,S73,Y73,AE73,AK73,AQ73))</x:f>
      </x:c>
      <x:c r="AX73" s="27" t="str">
        <x:f>IF(C73="","",CONCAT(IF(AR73&gt;=LARGE(AR73:AW73,3),"R",""),IF(AS73&gt;=LARGE(AR73:AW73,3),"I",""),IF(AT73&gt;=LARGE(AR73:AW73,3),"A",""),IF(AU73&gt;=LARGE(AR73:AW73,3),"S",""),IF(AV73&gt;=LARGE(AR73:AW73,3),"E",""),IF(AW73&gt;=LARGE(AR73:AW73,3),"C","")))</x:f>
      </x:c>
      <x:c r="AY73" s="27" t="str">
        <x:f>IF(C73="","",IF(AR73=MAX(AR73:AW73),"นักปฏิบัติ",IF(AS73=MAX(AR73:AW73),"นักคิดวิเคราะห์",IF(AT73=MAX(AR73:AW73),"นักสร้างสรรค์",IF(AU73=MAX(AR73:AW73),"ผู้เข้าใจผู้คน",IF(AV73=MAX(AR73:AW73),"ผู้นำการเปลี่ยนแปลง","ผู้จัดระบบ"))))))</x:f>
      </x:c>
    </x:row>
    <x:row r="74">
      <x:c r="A74" s="27"/>
      <x:c r="B74" s="28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  <x:c r="AC74" s="27"/>
      <x:c r="AD74" s="27"/>
      <x:c r="AE74" s="27"/>
      <x:c r="AF74" s="27"/>
      <x:c r="AG74" s="27"/>
      <x:c r="AH74" s="27"/>
      <x:c r="AI74" s="27"/>
      <x:c r="AJ74" s="27"/>
      <x:c r="AK74" s="27"/>
      <x:c r="AL74" s="27"/>
      <x:c r="AM74" s="27"/>
      <x:c r="AN74" s="27"/>
      <x:c r="AO74" s="27"/>
      <x:c r="AP74" s="27"/>
      <x:c r="AQ74" s="27"/>
      <x:c r="AR74" s="27" t="str">
        <x:f>IF(C74="","",SUM(H74,N74,T74,Z74,AF74,AL74))</x:f>
      </x:c>
      <x:c r="AS74" s="27" t="str">
        <x:f>IF(C74="","",SUM(I74,O74,U74,AA74,AG74,AM74))</x:f>
      </x:c>
      <x:c r="AT74" s="27" t="str">
        <x:f>IF(C74="","",SUM(J74,P74,V74,AB74,AH74,AN74))</x:f>
      </x:c>
      <x:c r="AU74" s="27" t="str">
        <x:f>IF(C74="","",SUM(K74,Q74,W74,AC74,AI74,AO74))</x:f>
      </x:c>
      <x:c r="AV74" s="27" t="str">
        <x:f>IF(C74="","",SUM(L74,R74,X74,AD74,AJ74,AP74))</x:f>
      </x:c>
      <x:c r="AW74" s="27" t="str">
        <x:f>IF(C74="","",SUM(M74,S74,Y74,AE74,AK74,AQ74))</x:f>
      </x:c>
      <x:c r="AX74" s="27" t="str">
        <x:f>IF(C74="","",CONCAT(IF(AR74&gt;=LARGE(AR74:AW74,3),"R",""),IF(AS74&gt;=LARGE(AR74:AW74,3),"I",""),IF(AT74&gt;=LARGE(AR74:AW74,3),"A",""),IF(AU74&gt;=LARGE(AR74:AW74,3),"S",""),IF(AV74&gt;=LARGE(AR74:AW74,3),"E",""),IF(AW74&gt;=LARGE(AR74:AW74,3),"C","")))</x:f>
      </x:c>
      <x:c r="AY74" s="27" t="str">
        <x:f>IF(C74="","",IF(AR74=MAX(AR74:AW74),"นักปฏิบัติ",IF(AS74=MAX(AR74:AW74),"นักคิดวิเคราะห์",IF(AT74=MAX(AR74:AW74),"นักสร้างสรรค์",IF(AU74=MAX(AR74:AW74),"ผู้เข้าใจผู้คน",IF(AV74=MAX(AR74:AW74),"ผู้นำการเปลี่ยนแปลง","ผู้จัดระบบ"))))))</x:f>
      </x:c>
    </x:row>
    <x:row r="75">
      <x:c r="A75" s="27"/>
      <x:c r="B75" s="28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  <x:c r="AC75" s="27"/>
      <x:c r="AD75" s="27"/>
      <x:c r="AE75" s="27"/>
      <x:c r="AF75" s="27"/>
      <x:c r="AG75" s="27"/>
      <x:c r="AH75" s="27"/>
      <x:c r="AI75" s="27"/>
      <x:c r="AJ75" s="27"/>
      <x:c r="AK75" s="27"/>
      <x:c r="AL75" s="27"/>
      <x:c r="AM75" s="27"/>
      <x:c r="AN75" s="27"/>
      <x:c r="AO75" s="27"/>
      <x:c r="AP75" s="27"/>
      <x:c r="AQ75" s="27"/>
      <x:c r="AR75" s="27" t="str">
        <x:f>IF(C75="","",SUM(H75,N75,T75,Z75,AF75,AL75))</x:f>
      </x:c>
      <x:c r="AS75" s="27" t="str">
        <x:f>IF(C75="","",SUM(I75,O75,U75,AA75,AG75,AM75))</x:f>
      </x:c>
      <x:c r="AT75" s="27" t="str">
        <x:f>IF(C75="","",SUM(J75,P75,V75,AB75,AH75,AN75))</x:f>
      </x:c>
      <x:c r="AU75" s="27" t="str">
        <x:f>IF(C75="","",SUM(K75,Q75,W75,AC75,AI75,AO75))</x:f>
      </x:c>
      <x:c r="AV75" s="27" t="str">
        <x:f>IF(C75="","",SUM(L75,R75,X75,AD75,AJ75,AP75))</x:f>
      </x:c>
      <x:c r="AW75" s="27" t="str">
        <x:f>IF(C75="","",SUM(M75,S75,Y75,AE75,AK75,AQ75))</x:f>
      </x:c>
      <x:c r="AX75" s="27" t="str">
        <x:f>IF(C75="","",CONCAT(IF(AR75&gt;=LARGE(AR75:AW75,3),"R",""),IF(AS75&gt;=LARGE(AR75:AW75,3),"I",""),IF(AT75&gt;=LARGE(AR75:AW75,3),"A",""),IF(AU75&gt;=LARGE(AR75:AW75,3),"S",""),IF(AV75&gt;=LARGE(AR75:AW75,3),"E",""),IF(AW75&gt;=LARGE(AR75:AW75,3),"C","")))</x:f>
      </x:c>
      <x:c r="AY75" s="27" t="str">
        <x:f>IF(C75="","",IF(AR75=MAX(AR75:AW75),"นักปฏิบัติ",IF(AS75=MAX(AR75:AW75),"นักคิดวิเคราะห์",IF(AT75=MAX(AR75:AW75),"นักสร้างสรรค์",IF(AU75=MAX(AR75:AW75),"ผู้เข้าใจผู้คน",IF(AV75=MAX(AR75:AW75),"ผู้นำการเปลี่ยนแปลง","ผู้จัดระบบ"))))))</x:f>
      </x:c>
    </x:row>
    <x:row r="76">
      <x:c r="A76" s="27"/>
      <x:c r="B76" s="28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  <x:c r="AC76" s="27"/>
      <x:c r="AD76" s="27"/>
      <x:c r="AE76" s="27"/>
      <x:c r="AF76" s="27"/>
      <x:c r="AG76" s="27"/>
      <x:c r="AH76" s="27"/>
      <x:c r="AI76" s="27"/>
      <x:c r="AJ76" s="27"/>
      <x:c r="AK76" s="27"/>
      <x:c r="AL76" s="27"/>
      <x:c r="AM76" s="27"/>
      <x:c r="AN76" s="27"/>
      <x:c r="AO76" s="27"/>
      <x:c r="AP76" s="27"/>
      <x:c r="AQ76" s="27"/>
      <x:c r="AR76" s="27" t="str">
        <x:f>IF(C76="","",SUM(H76,N76,T76,Z76,AF76,AL76))</x:f>
      </x:c>
      <x:c r="AS76" s="27" t="str">
        <x:f>IF(C76="","",SUM(I76,O76,U76,AA76,AG76,AM76))</x:f>
      </x:c>
      <x:c r="AT76" s="27" t="str">
        <x:f>IF(C76="","",SUM(J76,P76,V76,AB76,AH76,AN76))</x:f>
      </x:c>
      <x:c r="AU76" s="27" t="str">
        <x:f>IF(C76="","",SUM(K76,Q76,W76,AC76,AI76,AO76))</x:f>
      </x:c>
      <x:c r="AV76" s="27" t="str">
        <x:f>IF(C76="","",SUM(L76,R76,X76,AD76,AJ76,AP76))</x:f>
      </x:c>
      <x:c r="AW76" s="27" t="str">
        <x:f>IF(C76="","",SUM(M76,S76,Y76,AE76,AK76,AQ76))</x:f>
      </x:c>
      <x:c r="AX76" s="27" t="str">
        <x:f>IF(C76="","",CONCAT(IF(AR76&gt;=LARGE(AR76:AW76,3),"R",""),IF(AS76&gt;=LARGE(AR76:AW76,3),"I",""),IF(AT76&gt;=LARGE(AR76:AW76,3),"A",""),IF(AU76&gt;=LARGE(AR76:AW76,3),"S",""),IF(AV76&gt;=LARGE(AR76:AW76,3),"E",""),IF(AW76&gt;=LARGE(AR76:AW76,3),"C","")))</x:f>
      </x:c>
      <x:c r="AY76" s="27" t="str">
        <x:f>IF(C76="","",IF(AR76=MAX(AR76:AW76),"นักปฏิบัติ",IF(AS76=MAX(AR76:AW76),"นักคิดวิเคราะห์",IF(AT76=MAX(AR76:AW76),"นักสร้างสรรค์",IF(AU76=MAX(AR76:AW76),"ผู้เข้าใจผู้คน",IF(AV76=MAX(AR76:AW76),"ผู้นำการเปลี่ยนแปลง","ผู้จัดระบบ"))))))</x:f>
      </x:c>
    </x:row>
    <x:row r="77">
      <x:c r="A77" s="27"/>
      <x:c r="B77" s="28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27"/>
      <x:c r="AH77" s="27"/>
      <x:c r="AI77" s="27"/>
      <x:c r="AJ77" s="27"/>
      <x:c r="AK77" s="27"/>
      <x:c r="AL77" s="27"/>
      <x:c r="AM77" s="27"/>
      <x:c r="AN77" s="27"/>
      <x:c r="AO77" s="27"/>
      <x:c r="AP77" s="27"/>
      <x:c r="AQ77" s="27"/>
      <x:c r="AR77" s="27" t="str">
        <x:f>IF(C77="","",SUM(H77,N77,T77,Z77,AF77,AL77))</x:f>
      </x:c>
      <x:c r="AS77" s="27" t="str">
        <x:f>IF(C77="","",SUM(I77,O77,U77,AA77,AG77,AM77))</x:f>
      </x:c>
      <x:c r="AT77" s="27" t="str">
        <x:f>IF(C77="","",SUM(J77,P77,V77,AB77,AH77,AN77))</x:f>
      </x:c>
      <x:c r="AU77" s="27" t="str">
        <x:f>IF(C77="","",SUM(K77,Q77,W77,AC77,AI77,AO77))</x:f>
      </x:c>
      <x:c r="AV77" s="27" t="str">
        <x:f>IF(C77="","",SUM(L77,R77,X77,AD77,AJ77,AP77))</x:f>
      </x:c>
      <x:c r="AW77" s="27" t="str">
        <x:f>IF(C77="","",SUM(M77,S77,Y77,AE77,AK77,AQ77))</x:f>
      </x:c>
      <x:c r="AX77" s="27" t="str">
        <x:f>IF(C77="","",CONCAT(IF(AR77&gt;=LARGE(AR77:AW77,3),"R",""),IF(AS77&gt;=LARGE(AR77:AW77,3),"I",""),IF(AT77&gt;=LARGE(AR77:AW77,3),"A",""),IF(AU77&gt;=LARGE(AR77:AW77,3),"S",""),IF(AV77&gt;=LARGE(AR77:AW77,3),"E",""),IF(AW77&gt;=LARGE(AR77:AW77,3),"C","")))</x:f>
      </x:c>
      <x:c r="AY77" s="27" t="str">
        <x:f>IF(C77="","",IF(AR77=MAX(AR77:AW77),"นักปฏิบัติ",IF(AS77=MAX(AR77:AW77),"นักคิดวิเคราะห์",IF(AT77=MAX(AR77:AW77),"นักสร้างสรรค์",IF(AU77=MAX(AR77:AW77),"ผู้เข้าใจผู้คน",IF(AV77=MAX(AR77:AW77),"ผู้นำการเปลี่ยนแปลง","ผู้จัดระบบ"))))))</x:f>
      </x:c>
    </x:row>
    <x:row r="78">
      <x:c r="A78" s="27"/>
      <x:c r="B78" s="28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  <x:c r="AC78" s="27"/>
      <x:c r="AD78" s="27"/>
      <x:c r="AE78" s="27"/>
      <x:c r="AF78" s="27"/>
      <x:c r="AG78" s="27"/>
      <x:c r="AH78" s="27"/>
      <x:c r="AI78" s="27"/>
      <x:c r="AJ78" s="27"/>
      <x:c r="AK78" s="27"/>
      <x:c r="AL78" s="27"/>
      <x:c r="AM78" s="27"/>
      <x:c r="AN78" s="27"/>
      <x:c r="AO78" s="27"/>
      <x:c r="AP78" s="27"/>
      <x:c r="AQ78" s="27"/>
      <x:c r="AR78" s="27" t="str">
        <x:f>IF(C78="","",SUM(H78,N78,T78,Z78,AF78,AL78))</x:f>
      </x:c>
      <x:c r="AS78" s="27" t="str">
        <x:f>IF(C78="","",SUM(I78,O78,U78,AA78,AG78,AM78))</x:f>
      </x:c>
      <x:c r="AT78" s="27" t="str">
        <x:f>IF(C78="","",SUM(J78,P78,V78,AB78,AH78,AN78))</x:f>
      </x:c>
      <x:c r="AU78" s="27" t="str">
        <x:f>IF(C78="","",SUM(K78,Q78,W78,AC78,AI78,AO78))</x:f>
      </x:c>
      <x:c r="AV78" s="27" t="str">
        <x:f>IF(C78="","",SUM(L78,R78,X78,AD78,AJ78,AP78))</x:f>
      </x:c>
      <x:c r="AW78" s="27" t="str">
        <x:f>IF(C78="","",SUM(M78,S78,Y78,AE78,AK78,AQ78))</x:f>
      </x:c>
      <x:c r="AX78" s="27" t="str">
        <x:f>IF(C78="","",CONCAT(IF(AR78&gt;=LARGE(AR78:AW78,3),"R",""),IF(AS78&gt;=LARGE(AR78:AW78,3),"I",""),IF(AT78&gt;=LARGE(AR78:AW78,3),"A",""),IF(AU78&gt;=LARGE(AR78:AW78,3),"S",""),IF(AV78&gt;=LARGE(AR78:AW78,3),"E",""),IF(AW78&gt;=LARGE(AR78:AW78,3),"C","")))</x:f>
      </x:c>
      <x:c r="AY78" s="27" t="str">
        <x:f>IF(C78="","",IF(AR78=MAX(AR78:AW78),"นักปฏิบัติ",IF(AS78=MAX(AR78:AW78),"นักคิดวิเคราะห์",IF(AT78=MAX(AR78:AW78),"นักสร้างสรรค์",IF(AU78=MAX(AR78:AW78),"ผู้เข้าใจผู้คน",IF(AV78=MAX(AR78:AW78),"ผู้นำการเปลี่ยนแปลง","ผู้จัดระบบ"))))))</x:f>
      </x:c>
    </x:row>
    <x:row r="79">
      <x:c r="A79" s="27"/>
      <x:c r="B79" s="28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  <x:c r="AC79" s="27"/>
      <x:c r="AD79" s="27"/>
      <x:c r="AE79" s="27"/>
      <x:c r="AF79" s="27"/>
      <x:c r="AG79" s="27"/>
      <x:c r="AH79" s="27"/>
      <x:c r="AI79" s="27"/>
      <x:c r="AJ79" s="27"/>
      <x:c r="AK79" s="27"/>
      <x:c r="AL79" s="27"/>
      <x:c r="AM79" s="27"/>
      <x:c r="AN79" s="27"/>
      <x:c r="AO79" s="27"/>
      <x:c r="AP79" s="27"/>
      <x:c r="AQ79" s="27"/>
      <x:c r="AR79" s="27" t="str">
        <x:f>IF(C79="","",SUM(H79,N79,T79,Z79,AF79,AL79))</x:f>
      </x:c>
      <x:c r="AS79" s="27" t="str">
        <x:f>IF(C79="","",SUM(I79,O79,U79,AA79,AG79,AM79))</x:f>
      </x:c>
      <x:c r="AT79" s="27" t="str">
        <x:f>IF(C79="","",SUM(J79,P79,V79,AB79,AH79,AN79))</x:f>
      </x:c>
      <x:c r="AU79" s="27" t="str">
        <x:f>IF(C79="","",SUM(K79,Q79,W79,AC79,AI79,AO79))</x:f>
      </x:c>
      <x:c r="AV79" s="27" t="str">
        <x:f>IF(C79="","",SUM(L79,R79,X79,AD79,AJ79,AP79))</x:f>
      </x:c>
      <x:c r="AW79" s="27" t="str">
        <x:f>IF(C79="","",SUM(M79,S79,Y79,AE79,AK79,AQ79))</x:f>
      </x:c>
      <x:c r="AX79" s="27" t="str">
        <x:f>IF(C79="","",CONCAT(IF(AR79&gt;=LARGE(AR79:AW79,3),"R",""),IF(AS79&gt;=LARGE(AR79:AW79,3),"I",""),IF(AT79&gt;=LARGE(AR79:AW79,3),"A",""),IF(AU79&gt;=LARGE(AR79:AW79,3),"S",""),IF(AV79&gt;=LARGE(AR79:AW79,3),"E",""),IF(AW79&gt;=LARGE(AR79:AW79,3),"C","")))</x:f>
      </x:c>
      <x:c r="AY79" s="27" t="str">
        <x:f>IF(C79="","",IF(AR79=MAX(AR79:AW79),"นักปฏิบัติ",IF(AS79=MAX(AR79:AW79),"นักคิดวิเคราะห์",IF(AT79=MAX(AR79:AW79),"นักสร้างสรรค์",IF(AU79=MAX(AR79:AW79),"ผู้เข้าใจผู้คน",IF(AV79=MAX(AR79:AW79),"ผู้นำการเปลี่ยนแปลง","ผู้จัดระบบ"))))))</x:f>
      </x:c>
    </x:row>
    <x:row r="80">
      <x:c r="A80" s="27"/>
      <x:c r="B80" s="28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  <x:c r="AC80" s="27"/>
      <x:c r="AD80" s="27"/>
      <x:c r="AE80" s="27"/>
      <x:c r="AF80" s="27"/>
      <x:c r="AG80" s="27"/>
      <x:c r="AH80" s="27"/>
      <x:c r="AI80" s="27"/>
      <x:c r="AJ80" s="27"/>
      <x:c r="AK80" s="27"/>
      <x:c r="AL80" s="27"/>
      <x:c r="AM80" s="27"/>
      <x:c r="AN80" s="27"/>
      <x:c r="AO80" s="27"/>
      <x:c r="AP80" s="27"/>
      <x:c r="AQ80" s="27"/>
      <x:c r="AR80" s="27" t="str">
        <x:f>IF(C80="","",SUM(H80,N80,T80,Z80,AF80,AL80))</x:f>
      </x:c>
      <x:c r="AS80" s="27" t="str">
        <x:f>IF(C80="","",SUM(I80,O80,U80,AA80,AG80,AM80))</x:f>
      </x:c>
      <x:c r="AT80" s="27" t="str">
        <x:f>IF(C80="","",SUM(J80,P80,V80,AB80,AH80,AN80))</x:f>
      </x:c>
      <x:c r="AU80" s="27" t="str">
        <x:f>IF(C80="","",SUM(K80,Q80,W80,AC80,AI80,AO80))</x:f>
      </x:c>
      <x:c r="AV80" s="27" t="str">
        <x:f>IF(C80="","",SUM(L80,R80,X80,AD80,AJ80,AP80))</x:f>
      </x:c>
      <x:c r="AW80" s="27" t="str">
        <x:f>IF(C80="","",SUM(M80,S80,Y80,AE80,AK80,AQ80))</x:f>
      </x:c>
      <x:c r="AX80" s="27" t="str">
        <x:f>IF(C80="","",CONCAT(IF(AR80&gt;=LARGE(AR80:AW80,3),"R",""),IF(AS80&gt;=LARGE(AR80:AW80,3),"I",""),IF(AT80&gt;=LARGE(AR80:AW80,3),"A",""),IF(AU80&gt;=LARGE(AR80:AW80,3),"S",""),IF(AV80&gt;=LARGE(AR80:AW80,3),"E",""),IF(AW80&gt;=LARGE(AR80:AW80,3),"C","")))</x:f>
      </x:c>
      <x:c r="AY80" s="27" t="str">
        <x:f>IF(C80="","",IF(AR80=MAX(AR80:AW80),"นักปฏิบัติ",IF(AS80=MAX(AR80:AW80),"นักคิดวิเคราะห์",IF(AT80=MAX(AR80:AW80),"นักสร้างสรรค์",IF(AU80=MAX(AR80:AW80),"ผู้เข้าใจผู้คน",IF(AV80=MAX(AR80:AW80),"ผู้นำการเปลี่ยนแปลง","ผู้จัดระบบ"))))))</x:f>
      </x:c>
    </x:row>
    <x:row r="81">
      <x:c r="A81" s="27"/>
      <x:c r="B81" s="28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  <x:c r="AC81" s="27"/>
      <x:c r="AD81" s="27"/>
      <x:c r="AE81" s="27"/>
      <x:c r="AF81" s="27"/>
      <x:c r="AG81" s="27"/>
      <x:c r="AH81" s="27"/>
      <x:c r="AI81" s="27"/>
      <x:c r="AJ81" s="27"/>
      <x:c r="AK81" s="27"/>
      <x:c r="AL81" s="27"/>
      <x:c r="AM81" s="27"/>
      <x:c r="AN81" s="27"/>
      <x:c r="AO81" s="27"/>
      <x:c r="AP81" s="27"/>
      <x:c r="AQ81" s="27"/>
      <x:c r="AR81" s="27" t="str">
        <x:f>IF(C81="","",SUM(H81,N81,T81,Z81,AF81,AL81))</x:f>
      </x:c>
      <x:c r="AS81" s="27" t="str">
        <x:f>IF(C81="","",SUM(I81,O81,U81,AA81,AG81,AM81))</x:f>
      </x:c>
      <x:c r="AT81" s="27" t="str">
        <x:f>IF(C81="","",SUM(J81,P81,V81,AB81,AH81,AN81))</x:f>
      </x:c>
      <x:c r="AU81" s="27" t="str">
        <x:f>IF(C81="","",SUM(K81,Q81,W81,AC81,AI81,AO81))</x:f>
      </x:c>
      <x:c r="AV81" s="27" t="str">
        <x:f>IF(C81="","",SUM(L81,R81,X81,AD81,AJ81,AP81))</x:f>
      </x:c>
      <x:c r="AW81" s="27" t="str">
        <x:f>IF(C81="","",SUM(M81,S81,Y81,AE81,AK81,AQ81))</x:f>
      </x:c>
      <x:c r="AX81" s="27" t="str">
        <x:f>IF(C81="","",CONCAT(IF(AR81&gt;=LARGE(AR81:AW81,3),"R",""),IF(AS81&gt;=LARGE(AR81:AW81,3),"I",""),IF(AT81&gt;=LARGE(AR81:AW81,3),"A",""),IF(AU81&gt;=LARGE(AR81:AW81,3),"S",""),IF(AV81&gt;=LARGE(AR81:AW81,3),"E",""),IF(AW81&gt;=LARGE(AR81:AW81,3),"C","")))</x:f>
      </x:c>
      <x:c r="AY81" s="27" t="str">
        <x:f>IF(C81="","",IF(AR81=MAX(AR81:AW81),"นักปฏิบัติ",IF(AS81=MAX(AR81:AW81),"นักคิดวิเคราะห์",IF(AT81=MAX(AR81:AW81),"นักสร้างสรรค์",IF(AU81=MAX(AR81:AW81),"ผู้เข้าใจผู้คน",IF(AV81=MAX(AR81:AW81),"ผู้นำการเปลี่ยนแปลง","ผู้จัดระบบ"))))))</x:f>
      </x:c>
    </x:row>
    <x:row r="82">
      <x:c r="A82" s="27"/>
      <x:c r="B82" s="28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  <x:c r="AC82" s="27"/>
      <x:c r="AD82" s="27"/>
      <x:c r="AE82" s="27"/>
      <x:c r="AF82" s="27"/>
      <x:c r="AG82" s="27"/>
      <x:c r="AH82" s="27"/>
      <x:c r="AI82" s="27"/>
      <x:c r="AJ82" s="27"/>
      <x:c r="AK82" s="27"/>
      <x:c r="AL82" s="27"/>
      <x:c r="AM82" s="27"/>
      <x:c r="AN82" s="27"/>
      <x:c r="AO82" s="27"/>
      <x:c r="AP82" s="27"/>
      <x:c r="AQ82" s="27"/>
      <x:c r="AR82" s="27" t="str">
        <x:f>IF(C82="","",SUM(H82,N82,T82,Z82,AF82,AL82))</x:f>
      </x:c>
      <x:c r="AS82" s="27" t="str">
        <x:f>IF(C82="","",SUM(I82,O82,U82,AA82,AG82,AM82))</x:f>
      </x:c>
      <x:c r="AT82" s="27" t="str">
        <x:f>IF(C82="","",SUM(J82,P82,V82,AB82,AH82,AN82))</x:f>
      </x:c>
      <x:c r="AU82" s="27" t="str">
        <x:f>IF(C82="","",SUM(K82,Q82,W82,AC82,AI82,AO82))</x:f>
      </x:c>
      <x:c r="AV82" s="27" t="str">
        <x:f>IF(C82="","",SUM(L82,R82,X82,AD82,AJ82,AP82))</x:f>
      </x:c>
      <x:c r="AW82" s="27" t="str">
        <x:f>IF(C82="","",SUM(M82,S82,Y82,AE82,AK82,AQ82))</x:f>
      </x:c>
      <x:c r="AX82" s="27" t="str">
        <x:f>IF(C82="","",CONCAT(IF(AR82&gt;=LARGE(AR82:AW82,3),"R",""),IF(AS82&gt;=LARGE(AR82:AW82,3),"I",""),IF(AT82&gt;=LARGE(AR82:AW82,3),"A",""),IF(AU82&gt;=LARGE(AR82:AW82,3),"S",""),IF(AV82&gt;=LARGE(AR82:AW82,3),"E",""),IF(AW82&gt;=LARGE(AR82:AW82,3),"C","")))</x:f>
      </x:c>
      <x:c r="AY82" s="27" t="str">
        <x:f>IF(C82="","",IF(AR82=MAX(AR82:AW82),"นักปฏิบัติ",IF(AS82=MAX(AR82:AW82),"นักคิดวิเคราะห์",IF(AT82=MAX(AR82:AW82),"นักสร้างสรรค์",IF(AU82=MAX(AR82:AW82),"ผู้เข้าใจผู้คน",IF(AV82=MAX(AR82:AW82),"ผู้นำการเปลี่ยนแปลง","ผู้จัดระบบ"))))))</x:f>
      </x:c>
    </x:row>
    <x:row r="83">
      <x:c r="A83" s="27"/>
      <x:c r="B83" s="28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  <x:c r="AC83" s="27"/>
      <x:c r="AD83" s="27"/>
      <x:c r="AE83" s="27"/>
      <x:c r="AF83" s="27"/>
      <x:c r="AG83" s="27"/>
      <x:c r="AH83" s="27"/>
      <x:c r="AI83" s="27"/>
      <x:c r="AJ83" s="27"/>
      <x:c r="AK83" s="27"/>
      <x:c r="AL83" s="27"/>
      <x:c r="AM83" s="27"/>
      <x:c r="AN83" s="27"/>
      <x:c r="AO83" s="27"/>
      <x:c r="AP83" s="27"/>
      <x:c r="AQ83" s="27"/>
      <x:c r="AR83" s="27" t="str">
        <x:f>IF(C83="","",SUM(H83,N83,T83,Z83,AF83,AL83))</x:f>
      </x:c>
      <x:c r="AS83" s="27" t="str">
        <x:f>IF(C83="","",SUM(I83,O83,U83,AA83,AG83,AM83))</x:f>
      </x:c>
      <x:c r="AT83" s="27" t="str">
        <x:f>IF(C83="","",SUM(J83,P83,V83,AB83,AH83,AN83))</x:f>
      </x:c>
      <x:c r="AU83" s="27" t="str">
        <x:f>IF(C83="","",SUM(K83,Q83,W83,AC83,AI83,AO83))</x:f>
      </x:c>
      <x:c r="AV83" s="27" t="str">
        <x:f>IF(C83="","",SUM(L83,R83,X83,AD83,AJ83,AP83))</x:f>
      </x:c>
      <x:c r="AW83" s="27" t="str">
        <x:f>IF(C83="","",SUM(M83,S83,Y83,AE83,AK83,AQ83))</x:f>
      </x:c>
      <x:c r="AX83" s="27" t="str">
        <x:f>IF(C83="","",CONCAT(IF(AR83&gt;=LARGE(AR83:AW83,3),"R",""),IF(AS83&gt;=LARGE(AR83:AW83,3),"I",""),IF(AT83&gt;=LARGE(AR83:AW83,3),"A",""),IF(AU83&gt;=LARGE(AR83:AW83,3),"S",""),IF(AV83&gt;=LARGE(AR83:AW83,3),"E",""),IF(AW83&gt;=LARGE(AR83:AW83,3),"C","")))</x:f>
      </x:c>
      <x:c r="AY83" s="27" t="str">
        <x:f>IF(C83="","",IF(AR83=MAX(AR83:AW83),"นักปฏิบัติ",IF(AS83=MAX(AR83:AW83),"นักคิดวิเคราะห์",IF(AT83=MAX(AR83:AW83),"นักสร้างสรรค์",IF(AU83=MAX(AR83:AW83),"ผู้เข้าใจผู้คน",IF(AV83=MAX(AR83:AW83),"ผู้นำการเปลี่ยนแปลง","ผู้จัดระบบ"))))))</x:f>
      </x:c>
    </x:row>
    <x:row r="84">
      <x:c r="A84" s="27"/>
      <x:c r="B84" s="28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  <x:c r="AC84" s="27"/>
      <x:c r="AD84" s="27"/>
      <x:c r="AE84" s="27"/>
      <x:c r="AF84" s="27"/>
      <x:c r="AG84" s="27"/>
      <x:c r="AH84" s="27"/>
      <x:c r="AI84" s="27"/>
      <x:c r="AJ84" s="27"/>
      <x:c r="AK84" s="27"/>
      <x:c r="AL84" s="27"/>
      <x:c r="AM84" s="27"/>
      <x:c r="AN84" s="27"/>
      <x:c r="AO84" s="27"/>
      <x:c r="AP84" s="27"/>
      <x:c r="AQ84" s="27"/>
      <x:c r="AR84" s="27" t="str">
        <x:f>IF(C84="","",SUM(H84,N84,T84,Z84,AF84,AL84))</x:f>
      </x:c>
      <x:c r="AS84" s="27" t="str">
        <x:f>IF(C84="","",SUM(I84,O84,U84,AA84,AG84,AM84))</x:f>
      </x:c>
      <x:c r="AT84" s="27" t="str">
        <x:f>IF(C84="","",SUM(J84,P84,V84,AB84,AH84,AN84))</x:f>
      </x:c>
      <x:c r="AU84" s="27" t="str">
        <x:f>IF(C84="","",SUM(K84,Q84,W84,AC84,AI84,AO84))</x:f>
      </x:c>
      <x:c r="AV84" s="27" t="str">
        <x:f>IF(C84="","",SUM(L84,R84,X84,AD84,AJ84,AP84))</x:f>
      </x:c>
      <x:c r="AW84" s="27" t="str">
        <x:f>IF(C84="","",SUM(M84,S84,Y84,AE84,AK84,AQ84))</x:f>
      </x:c>
      <x:c r="AX84" s="27" t="str">
        <x:f>IF(C84="","",CONCAT(IF(AR84&gt;=LARGE(AR84:AW84,3),"R",""),IF(AS84&gt;=LARGE(AR84:AW84,3),"I",""),IF(AT84&gt;=LARGE(AR84:AW84,3),"A",""),IF(AU84&gt;=LARGE(AR84:AW84,3),"S",""),IF(AV84&gt;=LARGE(AR84:AW84,3),"E",""),IF(AW84&gt;=LARGE(AR84:AW84,3),"C","")))</x:f>
      </x:c>
      <x:c r="AY84" s="27" t="str">
        <x:f>IF(C84="","",IF(AR84=MAX(AR84:AW84),"นักปฏิบัติ",IF(AS84=MAX(AR84:AW84),"นักคิดวิเคราะห์",IF(AT84=MAX(AR84:AW84),"นักสร้างสรรค์",IF(AU84=MAX(AR84:AW84),"ผู้เข้าใจผู้คน",IF(AV84=MAX(AR84:AW84),"ผู้นำการเปลี่ยนแปลง","ผู้จัดระบบ"))))))</x:f>
      </x:c>
    </x:row>
    <x:row r="85">
      <x:c r="A85" s="27"/>
      <x:c r="B85" s="28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  <x:c r="AC85" s="27"/>
      <x:c r="AD85" s="27"/>
      <x:c r="AE85" s="27"/>
      <x:c r="AF85" s="27"/>
      <x:c r="AG85" s="27"/>
      <x:c r="AH85" s="27"/>
      <x:c r="AI85" s="27"/>
      <x:c r="AJ85" s="27"/>
      <x:c r="AK85" s="27"/>
      <x:c r="AL85" s="27"/>
      <x:c r="AM85" s="27"/>
      <x:c r="AN85" s="27"/>
      <x:c r="AO85" s="27"/>
      <x:c r="AP85" s="27"/>
      <x:c r="AQ85" s="27"/>
      <x:c r="AR85" s="27" t="str">
        <x:f>IF(C85="","",SUM(H85,N85,T85,Z85,AF85,AL85))</x:f>
      </x:c>
      <x:c r="AS85" s="27" t="str">
        <x:f>IF(C85="","",SUM(I85,O85,U85,AA85,AG85,AM85))</x:f>
      </x:c>
      <x:c r="AT85" s="27" t="str">
        <x:f>IF(C85="","",SUM(J85,P85,V85,AB85,AH85,AN85))</x:f>
      </x:c>
      <x:c r="AU85" s="27" t="str">
        <x:f>IF(C85="","",SUM(K85,Q85,W85,AC85,AI85,AO85))</x:f>
      </x:c>
      <x:c r="AV85" s="27" t="str">
        <x:f>IF(C85="","",SUM(L85,R85,X85,AD85,AJ85,AP85))</x:f>
      </x:c>
      <x:c r="AW85" s="27" t="str">
        <x:f>IF(C85="","",SUM(M85,S85,Y85,AE85,AK85,AQ85))</x:f>
      </x:c>
      <x:c r="AX85" s="27" t="str">
        <x:f>IF(C85="","",CONCAT(IF(AR85&gt;=LARGE(AR85:AW85,3),"R",""),IF(AS85&gt;=LARGE(AR85:AW85,3),"I",""),IF(AT85&gt;=LARGE(AR85:AW85,3),"A",""),IF(AU85&gt;=LARGE(AR85:AW85,3),"S",""),IF(AV85&gt;=LARGE(AR85:AW85,3),"E",""),IF(AW85&gt;=LARGE(AR85:AW85,3),"C","")))</x:f>
      </x:c>
      <x:c r="AY85" s="27" t="str">
        <x:f>IF(C85="","",IF(AR85=MAX(AR85:AW85),"นักปฏิบัติ",IF(AS85=MAX(AR85:AW85),"นักคิดวิเคราะห์",IF(AT85=MAX(AR85:AW85),"นักสร้างสรรค์",IF(AU85=MAX(AR85:AW85),"ผู้เข้าใจผู้คน",IF(AV85=MAX(AR85:AW85),"ผู้นำการเปลี่ยนแปลง","ผู้จัดระบบ"))))))</x:f>
      </x:c>
    </x:row>
    <x:row r="86">
      <x:c r="A86" s="27"/>
      <x:c r="B86" s="28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  <x:c r="AC86" s="27"/>
      <x:c r="AD86" s="27"/>
      <x:c r="AE86" s="27"/>
      <x:c r="AF86" s="27"/>
      <x:c r="AG86" s="27"/>
      <x:c r="AH86" s="27"/>
      <x:c r="AI86" s="27"/>
      <x:c r="AJ86" s="27"/>
      <x:c r="AK86" s="27"/>
      <x:c r="AL86" s="27"/>
      <x:c r="AM86" s="27"/>
      <x:c r="AN86" s="27"/>
      <x:c r="AO86" s="27"/>
      <x:c r="AP86" s="27"/>
      <x:c r="AQ86" s="27"/>
      <x:c r="AR86" s="27" t="str">
        <x:f>IF(C86="","",SUM(H86,N86,T86,Z86,AF86,AL86))</x:f>
      </x:c>
      <x:c r="AS86" s="27" t="str">
        <x:f>IF(C86="","",SUM(I86,O86,U86,AA86,AG86,AM86))</x:f>
      </x:c>
      <x:c r="AT86" s="27" t="str">
        <x:f>IF(C86="","",SUM(J86,P86,V86,AB86,AH86,AN86))</x:f>
      </x:c>
      <x:c r="AU86" s="27" t="str">
        <x:f>IF(C86="","",SUM(K86,Q86,W86,AC86,AI86,AO86))</x:f>
      </x:c>
      <x:c r="AV86" s="27" t="str">
        <x:f>IF(C86="","",SUM(L86,R86,X86,AD86,AJ86,AP86))</x:f>
      </x:c>
      <x:c r="AW86" s="27" t="str">
        <x:f>IF(C86="","",SUM(M86,S86,Y86,AE86,AK86,AQ86))</x:f>
      </x:c>
      <x:c r="AX86" s="27" t="str">
        <x:f>IF(C86="","",CONCAT(IF(AR86&gt;=LARGE(AR86:AW86,3),"R",""),IF(AS86&gt;=LARGE(AR86:AW86,3),"I",""),IF(AT86&gt;=LARGE(AR86:AW86,3),"A",""),IF(AU86&gt;=LARGE(AR86:AW86,3),"S",""),IF(AV86&gt;=LARGE(AR86:AW86,3),"E",""),IF(AW86&gt;=LARGE(AR86:AW86,3),"C","")))</x:f>
      </x:c>
      <x:c r="AY86" s="27" t="str">
        <x:f>IF(C86="","",IF(AR86=MAX(AR86:AW86),"นักปฏิบัติ",IF(AS86=MAX(AR86:AW86),"นักคิดวิเคราะห์",IF(AT86=MAX(AR86:AW86),"นักสร้างสรรค์",IF(AU86=MAX(AR86:AW86),"ผู้เข้าใจผู้คน",IF(AV86=MAX(AR86:AW86),"ผู้นำการเปลี่ยนแปลง","ผู้จัดระบบ"))))))</x:f>
      </x:c>
    </x:row>
    <x:row r="87">
      <x:c r="A87" s="27"/>
      <x:c r="B87" s="28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  <x:c r="AC87" s="27"/>
      <x:c r="AD87" s="27"/>
      <x:c r="AE87" s="27"/>
      <x:c r="AF87" s="27"/>
      <x:c r="AG87" s="27"/>
      <x:c r="AH87" s="27"/>
      <x:c r="AI87" s="27"/>
      <x:c r="AJ87" s="27"/>
      <x:c r="AK87" s="27"/>
      <x:c r="AL87" s="27"/>
      <x:c r="AM87" s="27"/>
      <x:c r="AN87" s="27"/>
      <x:c r="AO87" s="27"/>
      <x:c r="AP87" s="27"/>
      <x:c r="AQ87" s="27"/>
      <x:c r="AR87" s="27" t="str">
        <x:f>IF(C87="","",SUM(H87,N87,T87,Z87,AF87,AL87))</x:f>
      </x:c>
      <x:c r="AS87" s="27" t="str">
        <x:f>IF(C87="","",SUM(I87,O87,U87,AA87,AG87,AM87))</x:f>
      </x:c>
      <x:c r="AT87" s="27" t="str">
        <x:f>IF(C87="","",SUM(J87,P87,V87,AB87,AH87,AN87))</x:f>
      </x:c>
      <x:c r="AU87" s="27" t="str">
        <x:f>IF(C87="","",SUM(K87,Q87,W87,AC87,AI87,AO87))</x:f>
      </x:c>
      <x:c r="AV87" s="27" t="str">
        <x:f>IF(C87="","",SUM(L87,R87,X87,AD87,AJ87,AP87))</x:f>
      </x:c>
      <x:c r="AW87" s="27" t="str">
        <x:f>IF(C87="","",SUM(M87,S87,Y87,AE87,AK87,AQ87))</x:f>
      </x:c>
      <x:c r="AX87" s="27" t="str">
        <x:f>IF(C87="","",CONCAT(IF(AR87&gt;=LARGE(AR87:AW87,3),"R",""),IF(AS87&gt;=LARGE(AR87:AW87,3),"I",""),IF(AT87&gt;=LARGE(AR87:AW87,3),"A",""),IF(AU87&gt;=LARGE(AR87:AW87,3),"S",""),IF(AV87&gt;=LARGE(AR87:AW87,3),"E",""),IF(AW87&gt;=LARGE(AR87:AW87,3),"C","")))</x:f>
      </x:c>
      <x:c r="AY87" s="27" t="str">
        <x:f>IF(C87="","",IF(AR87=MAX(AR87:AW87),"นักปฏิบัติ",IF(AS87=MAX(AR87:AW87),"นักคิดวิเคราะห์",IF(AT87=MAX(AR87:AW87),"นักสร้างสรรค์",IF(AU87=MAX(AR87:AW87),"ผู้เข้าใจผู้คน",IF(AV87=MAX(AR87:AW87),"ผู้นำการเปลี่ยนแปลง","ผู้จัดระบบ"))))))</x:f>
      </x:c>
    </x:row>
    <x:row r="88">
      <x:c r="A88" s="27"/>
      <x:c r="B88" s="28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  <x:c r="AC88" s="27"/>
      <x:c r="AD88" s="27"/>
      <x:c r="AE88" s="27"/>
      <x:c r="AF88" s="27"/>
      <x:c r="AG88" s="27"/>
      <x:c r="AH88" s="27"/>
      <x:c r="AI88" s="27"/>
      <x:c r="AJ88" s="27"/>
      <x:c r="AK88" s="27"/>
      <x:c r="AL88" s="27"/>
      <x:c r="AM88" s="27"/>
      <x:c r="AN88" s="27"/>
      <x:c r="AO88" s="27"/>
      <x:c r="AP88" s="27"/>
      <x:c r="AQ88" s="27"/>
      <x:c r="AR88" s="27" t="str">
        <x:f>IF(C88="","",SUM(H88,N88,T88,Z88,AF88,AL88))</x:f>
      </x:c>
      <x:c r="AS88" s="27" t="str">
        <x:f>IF(C88="","",SUM(I88,O88,U88,AA88,AG88,AM88))</x:f>
      </x:c>
      <x:c r="AT88" s="27" t="str">
        <x:f>IF(C88="","",SUM(J88,P88,V88,AB88,AH88,AN88))</x:f>
      </x:c>
      <x:c r="AU88" s="27" t="str">
        <x:f>IF(C88="","",SUM(K88,Q88,W88,AC88,AI88,AO88))</x:f>
      </x:c>
      <x:c r="AV88" s="27" t="str">
        <x:f>IF(C88="","",SUM(L88,R88,X88,AD88,AJ88,AP88))</x:f>
      </x:c>
      <x:c r="AW88" s="27" t="str">
        <x:f>IF(C88="","",SUM(M88,S88,Y88,AE88,AK88,AQ88))</x:f>
      </x:c>
      <x:c r="AX88" s="27" t="str">
        <x:f>IF(C88="","",CONCAT(IF(AR88&gt;=LARGE(AR88:AW88,3),"R",""),IF(AS88&gt;=LARGE(AR88:AW88,3),"I",""),IF(AT88&gt;=LARGE(AR88:AW88,3),"A",""),IF(AU88&gt;=LARGE(AR88:AW88,3),"S",""),IF(AV88&gt;=LARGE(AR88:AW88,3),"E",""),IF(AW88&gt;=LARGE(AR88:AW88,3),"C","")))</x:f>
      </x:c>
      <x:c r="AY88" s="27" t="str">
        <x:f>IF(C88="","",IF(AR88=MAX(AR88:AW88),"นักปฏิบัติ",IF(AS88=MAX(AR88:AW88),"นักคิดวิเคราะห์",IF(AT88=MAX(AR88:AW88),"นักสร้างสรรค์",IF(AU88=MAX(AR88:AW88),"ผู้เข้าใจผู้คน",IF(AV88=MAX(AR88:AW88),"ผู้นำการเปลี่ยนแปลง","ผู้จัดระบบ"))))))</x:f>
      </x:c>
    </x:row>
    <x:row r="89">
      <x:c r="A89" s="27"/>
      <x:c r="B89" s="28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  <x:c r="AC89" s="27"/>
      <x:c r="AD89" s="27"/>
      <x:c r="AE89" s="27"/>
      <x:c r="AF89" s="27"/>
      <x:c r="AG89" s="27"/>
      <x:c r="AH89" s="27"/>
      <x:c r="AI89" s="27"/>
      <x:c r="AJ89" s="27"/>
      <x:c r="AK89" s="27"/>
      <x:c r="AL89" s="27"/>
      <x:c r="AM89" s="27"/>
      <x:c r="AN89" s="27"/>
      <x:c r="AO89" s="27"/>
      <x:c r="AP89" s="27"/>
      <x:c r="AQ89" s="27"/>
      <x:c r="AR89" s="27" t="str">
        <x:f>IF(C89="","",SUM(H89,N89,T89,Z89,AF89,AL89))</x:f>
      </x:c>
      <x:c r="AS89" s="27" t="str">
        <x:f>IF(C89="","",SUM(I89,O89,U89,AA89,AG89,AM89))</x:f>
      </x:c>
      <x:c r="AT89" s="27" t="str">
        <x:f>IF(C89="","",SUM(J89,P89,V89,AB89,AH89,AN89))</x:f>
      </x:c>
      <x:c r="AU89" s="27" t="str">
        <x:f>IF(C89="","",SUM(K89,Q89,W89,AC89,AI89,AO89))</x:f>
      </x:c>
      <x:c r="AV89" s="27" t="str">
        <x:f>IF(C89="","",SUM(L89,R89,X89,AD89,AJ89,AP89))</x:f>
      </x:c>
      <x:c r="AW89" s="27" t="str">
        <x:f>IF(C89="","",SUM(M89,S89,Y89,AE89,AK89,AQ89))</x:f>
      </x:c>
      <x:c r="AX89" s="27" t="str">
        <x:f>IF(C89="","",CONCAT(IF(AR89&gt;=LARGE(AR89:AW89,3),"R",""),IF(AS89&gt;=LARGE(AR89:AW89,3),"I",""),IF(AT89&gt;=LARGE(AR89:AW89,3),"A",""),IF(AU89&gt;=LARGE(AR89:AW89,3),"S",""),IF(AV89&gt;=LARGE(AR89:AW89,3),"E",""),IF(AW89&gt;=LARGE(AR89:AW89,3),"C","")))</x:f>
      </x:c>
      <x:c r="AY89" s="27" t="str">
        <x:f>IF(C89="","",IF(AR89=MAX(AR89:AW89),"นักปฏิบัติ",IF(AS89=MAX(AR89:AW89),"นักคิดวิเคราะห์",IF(AT89=MAX(AR89:AW89),"นักสร้างสรรค์",IF(AU89=MAX(AR89:AW89),"ผู้เข้าใจผู้คน",IF(AV89=MAX(AR89:AW89),"ผู้นำการเปลี่ยนแปลง","ผู้จัดระบบ"))))))</x:f>
      </x:c>
    </x:row>
    <x:row r="90">
      <x:c r="A90" s="27"/>
      <x:c r="B90" s="28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  <x:c r="AC90" s="27"/>
      <x:c r="AD90" s="27"/>
      <x:c r="AE90" s="27"/>
      <x:c r="AF90" s="27"/>
      <x:c r="AG90" s="27"/>
      <x:c r="AH90" s="27"/>
      <x:c r="AI90" s="27"/>
      <x:c r="AJ90" s="27"/>
      <x:c r="AK90" s="27"/>
      <x:c r="AL90" s="27"/>
      <x:c r="AM90" s="27"/>
      <x:c r="AN90" s="27"/>
      <x:c r="AO90" s="27"/>
      <x:c r="AP90" s="27"/>
      <x:c r="AQ90" s="27"/>
      <x:c r="AR90" s="27" t="str">
        <x:f>IF(C90="","",SUM(H90,N90,T90,Z90,AF90,AL90))</x:f>
      </x:c>
      <x:c r="AS90" s="27" t="str">
        <x:f>IF(C90="","",SUM(I90,O90,U90,AA90,AG90,AM90))</x:f>
      </x:c>
      <x:c r="AT90" s="27" t="str">
        <x:f>IF(C90="","",SUM(J90,P90,V90,AB90,AH90,AN90))</x:f>
      </x:c>
      <x:c r="AU90" s="27" t="str">
        <x:f>IF(C90="","",SUM(K90,Q90,W90,AC90,AI90,AO90))</x:f>
      </x:c>
      <x:c r="AV90" s="27" t="str">
        <x:f>IF(C90="","",SUM(L90,R90,X90,AD90,AJ90,AP90))</x:f>
      </x:c>
      <x:c r="AW90" s="27" t="str">
        <x:f>IF(C90="","",SUM(M90,S90,Y90,AE90,AK90,AQ90))</x:f>
      </x:c>
      <x:c r="AX90" s="27" t="str">
        <x:f>IF(C90="","",CONCAT(IF(AR90&gt;=LARGE(AR90:AW90,3),"R",""),IF(AS90&gt;=LARGE(AR90:AW90,3),"I",""),IF(AT90&gt;=LARGE(AR90:AW90,3),"A",""),IF(AU90&gt;=LARGE(AR90:AW90,3),"S",""),IF(AV90&gt;=LARGE(AR90:AW90,3),"E",""),IF(AW90&gt;=LARGE(AR90:AW90,3),"C","")))</x:f>
      </x:c>
      <x:c r="AY90" s="27" t="str">
        <x:f>IF(C90="","",IF(AR90=MAX(AR90:AW90),"นักปฏิบัติ",IF(AS90=MAX(AR90:AW90),"นักคิดวิเคราะห์",IF(AT90=MAX(AR90:AW90),"นักสร้างสรรค์",IF(AU90=MAX(AR90:AW90),"ผู้เข้าใจผู้คน",IF(AV90=MAX(AR90:AW90),"ผู้นำการเปลี่ยนแปลง","ผู้จัดระบบ"))))))</x:f>
      </x:c>
    </x:row>
    <x:row r="91">
      <x:c r="A91" s="27"/>
      <x:c r="B91" s="28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  <x:c r="AC91" s="27"/>
      <x:c r="AD91" s="27"/>
      <x:c r="AE91" s="27"/>
      <x:c r="AF91" s="27"/>
      <x:c r="AG91" s="27"/>
      <x:c r="AH91" s="27"/>
      <x:c r="AI91" s="27"/>
      <x:c r="AJ91" s="27"/>
      <x:c r="AK91" s="27"/>
      <x:c r="AL91" s="27"/>
      <x:c r="AM91" s="27"/>
      <x:c r="AN91" s="27"/>
      <x:c r="AO91" s="27"/>
      <x:c r="AP91" s="27"/>
      <x:c r="AQ91" s="27"/>
      <x:c r="AR91" s="27" t="str">
        <x:f>IF(C91="","",SUM(H91,N91,T91,Z91,AF91,AL91))</x:f>
      </x:c>
      <x:c r="AS91" s="27" t="str">
        <x:f>IF(C91="","",SUM(I91,O91,U91,AA91,AG91,AM91))</x:f>
      </x:c>
      <x:c r="AT91" s="27" t="str">
        <x:f>IF(C91="","",SUM(J91,P91,V91,AB91,AH91,AN91))</x:f>
      </x:c>
      <x:c r="AU91" s="27" t="str">
        <x:f>IF(C91="","",SUM(K91,Q91,W91,AC91,AI91,AO91))</x:f>
      </x:c>
      <x:c r="AV91" s="27" t="str">
        <x:f>IF(C91="","",SUM(L91,R91,X91,AD91,AJ91,AP91))</x:f>
      </x:c>
      <x:c r="AW91" s="27" t="str">
        <x:f>IF(C91="","",SUM(M91,S91,Y91,AE91,AK91,AQ91))</x:f>
      </x:c>
      <x:c r="AX91" s="27" t="str">
        <x:f>IF(C91="","",CONCAT(IF(AR91&gt;=LARGE(AR91:AW91,3),"R",""),IF(AS91&gt;=LARGE(AR91:AW91,3),"I",""),IF(AT91&gt;=LARGE(AR91:AW91,3),"A",""),IF(AU91&gt;=LARGE(AR91:AW91,3),"S",""),IF(AV91&gt;=LARGE(AR91:AW91,3),"E",""),IF(AW91&gt;=LARGE(AR91:AW91,3),"C","")))</x:f>
      </x:c>
      <x:c r="AY91" s="27" t="str">
        <x:f>IF(C91="","",IF(AR91=MAX(AR91:AW91),"นักปฏิบัติ",IF(AS91=MAX(AR91:AW91),"นักคิดวิเคราะห์",IF(AT91=MAX(AR91:AW91),"นักสร้างสรรค์",IF(AU91=MAX(AR91:AW91),"ผู้เข้าใจผู้คน",IF(AV91=MAX(AR91:AW91),"ผู้นำการเปลี่ยนแปลง","ผู้จัดระบบ"))))))</x:f>
      </x:c>
    </x:row>
    <x:row r="92">
      <x:c r="A92" s="27"/>
      <x:c r="B92" s="28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  <x:c r="AC92" s="27"/>
      <x:c r="AD92" s="27"/>
      <x:c r="AE92" s="27"/>
      <x:c r="AF92" s="27"/>
      <x:c r="AG92" s="27"/>
      <x:c r="AH92" s="27"/>
      <x:c r="AI92" s="27"/>
      <x:c r="AJ92" s="27"/>
      <x:c r="AK92" s="27"/>
      <x:c r="AL92" s="27"/>
      <x:c r="AM92" s="27"/>
      <x:c r="AN92" s="27"/>
      <x:c r="AO92" s="27"/>
      <x:c r="AP92" s="27"/>
      <x:c r="AQ92" s="27"/>
      <x:c r="AR92" s="27" t="str">
        <x:f>IF(C92="","",SUM(H92,N92,T92,Z92,AF92,AL92))</x:f>
      </x:c>
      <x:c r="AS92" s="27" t="str">
        <x:f>IF(C92="","",SUM(I92,O92,U92,AA92,AG92,AM92))</x:f>
      </x:c>
      <x:c r="AT92" s="27" t="str">
        <x:f>IF(C92="","",SUM(J92,P92,V92,AB92,AH92,AN92))</x:f>
      </x:c>
      <x:c r="AU92" s="27" t="str">
        <x:f>IF(C92="","",SUM(K92,Q92,W92,AC92,AI92,AO92))</x:f>
      </x:c>
      <x:c r="AV92" s="27" t="str">
        <x:f>IF(C92="","",SUM(L92,R92,X92,AD92,AJ92,AP92))</x:f>
      </x:c>
      <x:c r="AW92" s="27" t="str">
        <x:f>IF(C92="","",SUM(M92,S92,Y92,AE92,AK92,AQ92))</x:f>
      </x:c>
      <x:c r="AX92" s="27" t="str">
        <x:f>IF(C92="","",CONCAT(IF(AR92&gt;=LARGE(AR92:AW92,3),"R",""),IF(AS92&gt;=LARGE(AR92:AW92,3),"I",""),IF(AT92&gt;=LARGE(AR92:AW92,3),"A",""),IF(AU92&gt;=LARGE(AR92:AW92,3),"S",""),IF(AV92&gt;=LARGE(AR92:AW92,3),"E",""),IF(AW92&gt;=LARGE(AR92:AW92,3),"C","")))</x:f>
      </x:c>
      <x:c r="AY92" s="27" t="str">
        <x:f>IF(C92="","",IF(AR92=MAX(AR92:AW92),"นักปฏิบัติ",IF(AS92=MAX(AR92:AW92),"นักคิดวิเคราะห์",IF(AT92=MAX(AR92:AW92),"นักสร้างสรรค์",IF(AU92=MAX(AR92:AW92),"ผู้เข้าใจผู้คน",IF(AV92=MAX(AR92:AW92),"ผู้นำการเปลี่ยนแปลง","ผู้จัดระบบ"))))))</x:f>
      </x:c>
    </x:row>
    <x:row r="93">
      <x:c r="A93" s="27"/>
      <x:c r="B93" s="28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  <x:c r="AC93" s="27"/>
      <x:c r="AD93" s="27"/>
      <x:c r="AE93" s="27"/>
      <x:c r="AF93" s="27"/>
      <x:c r="AG93" s="27"/>
      <x:c r="AH93" s="27"/>
      <x:c r="AI93" s="27"/>
      <x:c r="AJ93" s="27"/>
      <x:c r="AK93" s="27"/>
      <x:c r="AL93" s="27"/>
      <x:c r="AM93" s="27"/>
      <x:c r="AN93" s="27"/>
      <x:c r="AO93" s="27"/>
      <x:c r="AP93" s="27"/>
      <x:c r="AQ93" s="27"/>
      <x:c r="AR93" s="27" t="str">
        <x:f>IF(C93="","",SUM(H93,N93,T93,Z93,AF93,AL93))</x:f>
      </x:c>
      <x:c r="AS93" s="27" t="str">
        <x:f>IF(C93="","",SUM(I93,O93,U93,AA93,AG93,AM93))</x:f>
      </x:c>
      <x:c r="AT93" s="27" t="str">
        <x:f>IF(C93="","",SUM(J93,P93,V93,AB93,AH93,AN93))</x:f>
      </x:c>
      <x:c r="AU93" s="27" t="str">
        <x:f>IF(C93="","",SUM(K93,Q93,W93,AC93,AI93,AO93))</x:f>
      </x:c>
      <x:c r="AV93" s="27" t="str">
        <x:f>IF(C93="","",SUM(L93,R93,X93,AD93,AJ93,AP93))</x:f>
      </x:c>
      <x:c r="AW93" s="27" t="str">
        <x:f>IF(C93="","",SUM(M93,S93,Y93,AE93,AK93,AQ93))</x:f>
      </x:c>
      <x:c r="AX93" s="27" t="str">
        <x:f>IF(C93="","",CONCAT(IF(AR93&gt;=LARGE(AR93:AW93,3),"R",""),IF(AS93&gt;=LARGE(AR93:AW93,3),"I",""),IF(AT93&gt;=LARGE(AR93:AW93,3),"A",""),IF(AU93&gt;=LARGE(AR93:AW93,3),"S",""),IF(AV93&gt;=LARGE(AR93:AW93,3),"E",""),IF(AW93&gt;=LARGE(AR93:AW93,3),"C","")))</x:f>
      </x:c>
      <x:c r="AY93" s="27" t="str">
        <x:f>IF(C93="","",IF(AR93=MAX(AR93:AW93),"นักปฏิบัติ",IF(AS93=MAX(AR93:AW93),"นักคิดวิเคราะห์",IF(AT93=MAX(AR93:AW93),"นักสร้างสรรค์",IF(AU93=MAX(AR93:AW93),"ผู้เข้าใจผู้คน",IF(AV93=MAX(AR93:AW93),"ผู้นำการเปลี่ยนแปลง","ผู้จัดระบบ"))))))</x:f>
      </x:c>
    </x:row>
    <x:row r="94">
      <x:c r="A94" s="27"/>
      <x:c r="B94" s="28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  <x:c r="AC94" s="27"/>
      <x:c r="AD94" s="27"/>
      <x:c r="AE94" s="27"/>
      <x:c r="AF94" s="27"/>
      <x:c r="AG94" s="27"/>
      <x:c r="AH94" s="27"/>
      <x:c r="AI94" s="27"/>
      <x:c r="AJ94" s="27"/>
      <x:c r="AK94" s="27"/>
      <x:c r="AL94" s="27"/>
      <x:c r="AM94" s="27"/>
      <x:c r="AN94" s="27"/>
      <x:c r="AO94" s="27"/>
      <x:c r="AP94" s="27"/>
      <x:c r="AQ94" s="27"/>
      <x:c r="AR94" s="27" t="str">
        <x:f>IF(C94="","",SUM(H94,N94,T94,Z94,AF94,AL94))</x:f>
      </x:c>
      <x:c r="AS94" s="27" t="str">
        <x:f>IF(C94="","",SUM(I94,O94,U94,AA94,AG94,AM94))</x:f>
      </x:c>
      <x:c r="AT94" s="27" t="str">
        <x:f>IF(C94="","",SUM(J94,P94,V94,AB94,AH94,AN94))</x:f>
      </x:c>
      <x:c r="AU94" s="27" t="str">
        <x:f>IF(C94="","",SUM(K94,Q94,W94,AC94,AI94,AO94))</x:f>
      </x:c>
      <x:c r="AV94" s="27" t="str">
        <x:f>IF(C94="","",SUM(L94,R94,X94,AD94,AJ94,AP94))</x:f>
      </x:c>
      <x:c r="AW94" s="27" t="str">
        <x:f>IF(C94="","",SUM(M94,S94,Y94,AE94,AK94,AQ94))</x:f>
      </x:c>
      <x:c r="AX94" s="27" t="str">
        <x:f>IF(C94="","",CONCAT(IF(AR94&gt;=LARGE(AR94:AW94,3),"R",""),IF(AS94&gt;=LARGE(AR94:AW94,3),"I",""),IF(AT94&gt;=LARGE(AR94:AW94,3),"A",""),IF(AU94&gt;=LARGE(AR94:AW94,3),"S",""),IF(AV94&gt;=LARGE(AR94:AW94,3),"E",""),IF(AW94&gt;=LARGE(AR94:AW94,3),"C","")))</x:f>
      </x:c>
      <x:c r="AY94" s="27" t="str">
        <x:f>IF(C94="","",IF(AR94=MAX(AR94:AW94),"นักปฏิบัติ",IF(AS94=MAX(AR94:AW94),"นักคิดวิเคราะห์",IF(AT94=MAX(AR94:AW94),"นักสร้างสรรค์",IF(AU94=MAX(AR94:AW94),"ผู้เข้าใจผู้คน",IF(AV94=MAX(AR94:AW94),"ผู้นำการเปลี่ยนแปลง","ผู้จัดระบบ"))))))</x:f>
      </x:c>
    </x:row>
    <x:row r="95">
      <x:c r="A95" s="27"/>
      <x:c r="B95" s="28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  <x:c r="AC95" s="27"/>
      <x:c r="AD95" s="27"/>
      <x:c r="AE95" s="27"/>
      <x:c r="AF95" s="27"/>
      <x:c r="AG95" s="27"/>
      <x:c r="AH95" s="27"/>
      <x:c r="AI95" s="27"/>
      <x:c r="AJ95" s="27"/>
      <x:c r="AK95" s="27"/>
      <x:c r="AL95" s="27"/>
      <x:c r="AM95" s="27"/>
      <x:c r="AN95" s="27"/>
      <x:c r="AO95" s="27"/>
      <x:c r="AP95" s="27"/>
      <x:c r="AQ95" s="27"/>
      <x:c r="AR95" s="27" t="str">
        <x:f>IF(C95="","",SUM(H95,N95,T95,Z95,AF95,AL95))</x:f>
      </x:c>
      <x:c r="AS95" s="27" t="str">
        <x:f>IF(C95="","",SUM(I95,O95,U95,AA95,AG95,AM95))</x:f>
      </x:c>
      <x:c r="AT95" s="27" t="str">
        <x:f>IF(C95="","",SUM(J95,P95,V95,AB95,AH95,AN95))</x:f>
      </x:c>
      <x:c r="AU95" s="27" t="str">
        <x:f>IF(C95="","",SUM(K95,Q95,W95,AC95,AI95,AO95))</x:f>
      </x:c>
      <x:c r="AV95" s="27" t="str">
        <x:f>IF(C95="","",SUM(L95,R95,X95,AD95,AJ95,AP95))</x:f>
      </x:c>
      <x:c r="AW95" s="27" t="str">
        <x:f>IF(C95="","",SUM(M95,S95,Y95,AE95,AK95,AQ95))</x:f>
      </x:c>
      <x:c r="AX95" s="27" t="str">
        <x:f>IF(C95="","",CONCAT(IF(AR95&gt;=LARGE(AR95:AW95,3),"R",""),IF(AS95&gt;=LARGE(AR95:AW95,3),"I",""),IF(AT95&gt;=LARGE(AR95:AW95,3),"A",""),IF(AU95&gt;=LARGE(AR95:AW95,3),"S",""),IF(AV95&gt;=LARGE(AR95:AW95,3),"E",""),IF(AW95&gt;=LARGE(AR95:AW95,3),"C","")))</x:f>
      </x:c>
      <x:c r="AY95" s="27" t="str">
        <x:f>IF(C95="","",IF(AR95=MAX(AR95:AW95),"นักปฏิบัติ",IF(AS95=MAX(AR95:AW95),"นักคิดวิเคราะห์",IF(AT95=MAX(AR95:AW95),"นักสร้างสรรค์",IF(AU95=MAX(AR95:AW95),"ผู้เข้าใจผู้คน",IF(AV95=MAX(AR95:AW95),"ผู้นำการเปลี่ยนแปลง","ผู้จัดระบบ"))))))</x:f>
      </x:c>
    </x:row>
    <x:row r="96">
      <x:c r="A96" s="27"/>
      <x:c r="B96" s="28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  <x:c r="AC96" s="27"/>
      <x:c r="AD96" s="27"/>
      <x:c r="AE96" s="27"/>
      <x:c r="AF96" s="27"/>
      <x:c r="AG96" s="27"/>
      <x:c r="AH96" s="27"/>
      <x:c r="AI96" s="27"/>
      <x:c r="AJ96" s="27"/>
      <x:c r="AK96" s="27"/>
      <x:c r="AL96" s="27"/>
      <x:c r="AM96" s="27"/>
      <x:c r="AN96" s="27"/>
      <x:c r="AO96" s="27"/>
      <x:c r="AP96" s="27"/>
      <x:c r="AQ96" s="27"/>
      <x:c r="AR96" s="27" t="str">
        <x:f>IF(C96="","",SUM(H96,N96,T96,Z96,AF96,AL96))</x:f>
      </x:c>
      <x:c r="AS96" s="27" t="str">
        <x:f>IF(C96="","",SUM(I96,O96,U96,AA96,AG96,AM96))</x:f>
      </x:c>
      <x:c r="AT96" s="27" t="str">
        <x:f>IF(C96="","",SUM(J96,P96,V96,AB96,AH96,AN96))</x:f>
      </x:c>
      <x:c r="AU96" s="27" t="str">
        <x:f>IF(C96="","",SUM(K96,Q96,W96,AC96,AI96,AO96))</x:f>
      </x:c>
      <x:c r="AV96" s="27" t="str">
        <x:f>IF(C96="","",SUM(L96,R96,X96,AD96,AJ96,AP96))</x:f>
      </x:c>
      <x:c r="AW96" s="27" t="str">
        <x:f>IF(C96="","",SUM(M96,S96,Y96,AE96,AK96,AQ96))</x:f>
      </x:c>
      <x:c r="AX96" s="27" t="str">
        <x:f>IF(C96="","",CONCAT(IF(AR96&gt;=LARGE(AR96:AW96,3),"R",""),IF(AS96&gt;=LARGE(AR96:AW96,3),"I",""),IF(AT96&gt;=LARGE(AR96:AW96,3),"A",""),IF(AU96&gt;=LARGE(AR96:AW96,3),"S",""),IF(AV96&gt;=LARGE(AR96:AW96,3),"E",""),IF(AW96&gt;=LARGE(AR96:AW96,3),"C","")))</x:f>
      </x:c>
      <x:c r="AY96" s="27" t="str">
        <x:f>IF(C96="","",IF(AR96=MAX(AR96:AW96),"นักปฏิบัติ",IF(AS96=MAX(AR96:AW96),"นักคิดวิเคราะห์",IF(AT96=MAX(AR96:AW96),"นักสร้างสรรค์",IF(AU96=MAX(AR96:AW96),"ผู้เข้าใจผู้คน",IF(AV96=MAX(AR96:AW96),"ผู้นำการเปลี่ยนแปลง","ผู้จัดระบบ"))))))</x:f>
      </x:c>
    </x:row>
    <x:row r="97">
      <x:c r="A97" s="27"/>
      <x:c r="B97" s="28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  <x:c r="AC97" s="27"/>
      <x:c r="AD97" s="27"/>
      <x:c r="AE97" s="27"/>
      <x:c r="AF97" s="27"/>
      <x:c r="AG97" s="27"/>
      <x:c r="AH97" s="27"/>
      <x:c r="AI97" s="27"/>
      <x:c r="AJ97" s="27"/>
      <x:c r="AK97" s="27"/>
      <x:c r="AL97" s="27"/>
      <x:c r="AM97" s="27"/>
      <x:c r="AN97" s="27"/>
      <x:c r="AO97" s="27"/>
      <x:c r="AP97" s="27"/>
      <x:c r="AQ97" s="27"/>
      <x:c r="AR97" s="27" t="str">
        <x:f>IF(C97="","",SUM(H97,N97,T97,Z97,AF97,AL97))</x:f>
      </x:c>
      <x:c r="AS97" s="27" t="str">
        <x:f>IF(C97="","",SUM(I97,O97,U97,AA97,AG97,AM97))</x:f>
      </x:c>
      <x:c r="AT97" s="27" t="str">
        <x:f>IF(C97="","",SUM(J97,P97,V97,AB97,AH97,AN97))</x:f>
      </x:c>
      <x:c r="AU97" s="27" t="str">
        <x:f>IF(C97="","",SUM(K97,Q97,W97,AC97,AI97,AO97))</x:f>
      </x:c>
      <x:c r="AV97" s="27" t="str">
        <x:f>IF(C97="","",SUM(L97,R97,X97,AD97,AJ97,AP97))</x:f>
      </x:c>
      <x:c r="AW97" s="27" t="str">
        <x:f>IF(C97="","",SUM(M97,S97,Y97,AE97,AK97,AQ97))</x:f>
      </x:c>
      <x:c r="AX97" s="27" t="str">
        <x:f>IF(C97="","",CONCAT(IF(AR97&gt;=LARGE(AR97:AW97,3),"R",""),IF(AS97&gt;=LARGE(AR97:AW97,3),"I",""),IF(AT97&gt;=LARGE(AR97:AW97,3),"A",""),IF(AU97&gt;=LARGE(AR97:AW97,3),"S",""),IF(AV97&gt;=LARGE(AR97:AW97,3),"E",""),IF(AW97&gt;=LARGE(AR97:AW97,3),"C","")))</x:f>
      </x:c>
      <x:c r="AY97" s="27" t="str">
        <x:f>IF(C97="","",IF(AR97=MAX(AR97:AW97),"นักปฏิบัติ",IF(AS97=MAX(AR97:AW97),"นักคิดวิเคราะห์",IF(AT97=MAX(AR97:AW97),"นักสร้างสรรค์",IF(AU97=MAX(AR97:AW97),"ผู้เข้าใจผู้คน",IF(AV97=MAX(AR97:AW97),"ผู้นำการเปลี่ยนแปลง","ผู้จัดระบบ"))))))</x:f>
      </x:c>
    </x:row>
    <x:row r="98">
      <x:c r="A98" s="27"/>
      <x:c r="B98" s="28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  <x:c r="AC98" s="27"/>
      <x:c r="AD98" s="27"/>
      <x:c r="AE98" s="27"/>
      <x:c r="AF98" s="27"/>
      <x:c r="AG98" s="27"/>
      <x:c r="AH98" s="27"/>
      <x:c r="AI98" s="27"/>
      <x:c r="AJ98" s="27"/>
      <x:c r="AK98" s="27"/>
      <x:c r="AL98" s="27"/>
      <x:c r="AM98" s="27"/>
      <x:c r="AN98" s="27"/>
      <x:c r="AO98" s="27"/>
      <x:c r="AP98" s="27"/>
      <x:c r="AQ98" s="27"/>
      <x:c r="AR98" s="27" t="str">
        <x:f>IF(C98="","",SUM(H98,N98,T98,Z98,AF98,AL98))</x:f>
      </x:c>
      <x:c r="AS98" s="27" t="str">
        <x:f>IF(C98="","",SUM(I98,O98,U98,AA98,AG98,AM98))</x:f>
      </x:c>
      <x:c r="AT98" s="27" t="str">
        <x:f>IF(C98="","",SUM(J98,P98,V98,AB98,AH98,AN98))</x:f>
      </x:c>
      <x:c r="AU98" s="27" t="str">
        <x:f>IF(C98="","",SUM(K98,Q98,W98,AC98,AI98,AO98))</x:f>
      </x:c>
      <x:c r="AV98" s="27" t="str">
        <x:f>IF(C98="","",SUM(L98,R98,X98,AD98,AJ98,AP98))</x:f>
      </x:c>
      <x:c r="AW98" s="27" t="str">
        <x:f>IF(C98="","",SUM(M98,S98,Y98,AE98,AK98,AQ98))</x:f>
      </x:c>
      <x:c r="AX98" s="27" t="str">
        <x:f>IF(C98="","",CONCAT(IF(AR98&gt;=LARGE(AR98:AW98,3),"R",""),IF(AS98&gt;=LARGE(AR98:AW98,3),"I",""),IF(AT98&gt;=LARGE(AR98:AW98,3),"A",""),IF(AU98&gt;=LARGE(AR98:AW98,3),"S",""),IF(AV98&gt;=LARGE(AR98:AW98,3),"E",""),IF(AW98&gt;=LARGE(AR98:AW98,3),"C","")))</x:f>
      </x:c>
      <x:c r="AY98" s="27" t="str">
        <x:f>IF(C98="","",IF(AR98=MAX(AR98:AW98),"นักปฏิบัติ",IF(AS98=MAX(AR98:AW98),"นักคิดวิเคราะห์",IF(AT98=MAX(AR98:AW98),"นักสร้างสรรค์",IF(AU98=MAX(AR98:AW98),"ผู้เข้าใจผู้คน",IF(AV98=MAX(AR98:AW98),"ผู้นำการเปลี่ยนแปลง","ผู้จัดระบบ"))))))</x:f>
      </x:c>
    </x:row>
    <x:row r="99">
      <x:c r="A99" s="27"/>
      <x:c r="B99" s="28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  <x:c r="AC99" s="27"/>
      <x:c r="AD99" s="27"/>
      <x:c r="AE99" s="27"/>
      <x:c r="AF99" s="27"/>
      <x:c r="AG99" s="27"/>
      <x:c r="AH99" s="27"/>
      <x:c r="AI99" s="27"/>
      <x:c r="AJ99" s="27"/>
      <x:c r="AK99" s="27"/>
      <x:c r="AL99" s="27"/>
      <x:c r="AM99" s="27"/>
      <x:c r="AN99" s="27"/>
      <x:c r="AO99" s="27"/>
      <x:c r="AP99" s="27"/>
      <x:c r="AQ99" s="27"/>
      <x:c r="AR99" s="27" t="str">
        <x:f>IF(C99="","",SUM(H99,N99,T99,Z99,AF99,AL99))</x:f>
      </x:c>
      <x:c r="AS99" s="27" t="str">
        <x:f>IF(C99="","",SUM(I99,O99,U99,AA99,AG99,AM99))</x:f>
      </x:c>
      <x:c r="AT99" s="27" t="str">
        <x:f>IF(C99="","",SUM(J99,P99,V99,AB99,AH99,AN99))</x:f>
      </x:c>
      <x:c r="AU99" s="27" t="str">
        <x:f>IF(C99="","",SUM(K99,Q99,W99,AC99,AI99,AO99))</x:f>
      </x:c>
      <x:c r="AV99" s="27" t="str">
        <x:f>IF(C99="","",SUM(L99,R99,X99,AD99,AJ99,AP99))</x:f>
      </x:c>
      <x:c r="AW99" s="27" t="str">
        <x:f>IF(C99="","",SUM(M99,S99,Y99,AE99,AK99,AQ99))</x:f>
      </x:c>
      <x:c r="AX99" s="27" t="str">
        <x:f>IF(C99="","",CONCAT(IF(AR99&gt;=LARGE(AR99:AW99,3),"R",""),IF(AS99&gt;=LARGE(AR99:AW99,3),"I",""),IF(AT99&gt;=LARGE(AR99:AW99,3),"A",""),IF(AU99&gt;=LARGE(AR99:AW99,3),"S",""),IF(AV99&gt;=LARGE(AR99:AW99,3),"E",""),IF(AW99&gt;=LARGE(AR99:AW99,3),"C","")))</x:f>
      </x:c>
      <x:c r="AY99" s="27" t="str">
        <x:f>IF(C99="","",IF(AR99=MAX(AR99:AW99),"นักปฏิบัติ",IF(AS99=MAX(AR99:AW99),"นักคิดวิเคราะห์",IF(AT99=MAX(AR99:AW99),"นักสร้างสรรค์",IF(AU99=MAX(AR99:AW99),"ผู้เข้าใจผู้คน",IF(AV99=MAX(AR99:AW99),"ผู้นำการเปลี่ยนแปลง","ผู้จัดระบบ"))))))</x:f>
      </x:c>
    </x:row>
    <x:row r="100">
      <x:c r="A100" s="27"/>
      <x:c r="B100" s="28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  <x:c r="AC100" s="27"/>
      <x:c r="AD100" s="27"/>
      <x:c r="AE100" s="27"/>
      <x:c r="AF100" s="27"/>
      <x:c r="AG100" s="27"/>
      <x:c r="AH100" s="27"/>
      <x:c r="AI100" s="27"/>
      <x:c r="AJ100" s="27"/>
      <x:c r="AK100" s="27"/>
      <x:c r="AL100" s="27"/>
      <x:c r="AM100" s="27"/>
      <x:c r="AN100" s="27"/>
      <x:c r="AO100" s="27"/>
      <x:c r="AP100" s="27"/>
      <x:c r="AQ100" s="27"/>
      <x:c r="AR100" s="27" t="str">
        <x:f>IF(C100="","",SUM(H100,N100,T100,Z100,AF100,AL100))</x:f>
      </x:c>
      <x:c r="AS100" s="27" t="str">
        <x:f>IF(C100="","",SUM(I100,O100,U100,AA100,AG100,AM100))</x:f>
      </x:c>
      <x:c r="AT100" s="27" t="str">
        <x:f>IF(C100="","",SUM(J100,P100,V100,AB100,AH100,AN100))</x:f>
      </x:c>
      <x:c r="AU100" s="27" t="str">
        <x:f>IF(C100="","",SUM(K100,Q100,W100,AC100,AI100,AO100))</x:f>
      </x:c>
      <x:c r="AV100" s="27" t="str">
        <x:f>IF(C100="","",SUM(L100,R100,X100,AD100,AJ100,AP100))</x:f>
      </x:c>
      <x:c r="AW100" s="27" t="str">
        <x:f>IF(C100="","",SUM(M100,S100,Y100,AE100,AK100,AQ100))</x:f>
      </x:c>
      <x:c r="AX100" s="27" t="str">
        <x:f>IF(C100="","",CONCAT(IF(AR100&gt;=LARGE(AR100:AW100,3),"R",""),IF(AS100&gt;=LARGE(AR100:AW100,3),"I",""),IF(AT100&gt;=LARGE(AR100:AW100,3),"A",""),IF(AU100&gt;=LARGE(AR100:AW100,3),"S",""),IF(AV100&gt;=LARGE(AR100:AW100,3),"E",""),IF(AW100&gt;=LARGE(AR100:AW100,3),"C","")))</x:f>
      </x:c>
      <x:c r="AY100" s="27" t="str">
        <x:f>IF(C100="","",IF(AR100=MAX(AR100:AW100),"นักปฏิบัติ",IF(AS100=MAX(AR100:AW100),"นักคิดวิเคราะห์",IF(AT100=MAX(AR100:AW100),"นักสร้างสรรค์",IF(AU100=MAX(AR100:AW100),"ผู้เข้าใจผู้คน",IF(AV100=MAX(AR100:AW100),"ผู้นำการเปลี่ยนแปลง","ผู้จัดระบบ"))))))</x:f>
      </x:c>
    </x:row>
    <x:row r="101">
      <x:c r="A101" s="27"/>
      <x:c r="B101" s="28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  <x:c r="AC101" s="27"/>
      <x:c r="AD101" s="27"/>
      <x:c r="AE101" s="27"/>
      <x:c r="AF101" s="27"/>
      <x:c r="AG101" s="27"/>
      <x:c r="AH101" s="27"/>
      <x:c r="AI101" s="27"/>
      <x:c r="AJ101" s="27"/>
      <x:c r="AK101" s="27"/>
      <x:c r="AL101" s="27"/>
      <x:c r="AM101" s="27"/>
      <x:c r="AN101" s="27"/>
      <x:c r="AO101" s="27"/>
      <x:c r="AP101" s="27"/>
      <x:c r="AQ101" s="27"/>
      <x:c r="AR101" s="27" t="str">
        <x:f>IF(C101="","",SUM(H101,N101,T101,Z101,AF101,AL101))</x:f>
      </x:c>
      <x:c r="AS101" s="27" t="str">
        <x:f>IF(C101="","",SUM(I101,O101,U101,AA101,AG101,AM101))</x:f>
      </x:c>
      <x:c r="AT101" s="27" t="str">
        <x:f>IF(C101="","",SUM(J101,P101,V101,AB101,AH101,AN101))</x:f>
      </x:c>
      <x:c r="AU101" s="27" t="str">
        <x:f>IF(C101="","",SUM(K101,Q101,W101,AC101,AI101,AO101))</x:f>
      </x:c>
      <x:c r="AV101" s="27" t="str">
        <x:f>IF(C101="","",SUM(L101,R101,X101,AD101,AJ101,AP101))</x:f>
      </x:c>
      <x:c r="AW101" s="27" t="str">
        <x:f>IF(C101="","",SUM(M101,S101,Y101,AE101,AK101,AQ101))</x:f>
      </x:c>
      <x:c r="AX101" s="27" t="str">
        <x:f>IF(C101="","",CONCAT(IF(AR101&gt;=LARGE(AR101:AW101,3),"R",""),IF(AS101&gt;=LARGE(AR101:AW101,3),"I",""),IF(AT101&gt;=LARGE(AR101:AW101,3),"A",""),IF(AU101&gt;=LARGE(AR101:AW101,3),"S",""),IF(AV101&gt;=LARGE(AR101:AW101,3),"E",""),IF(AW101&gt;=LARGE(AR101:AW101,3),"C","")))</x:f>
      </x:c>
      <x:c r="AY101" s="27" t="str">
        <x:f>IF(C101="","",IF(AR101=MAX(AR101:AW101),"นักปฏิบัติ",IF(AS101=MAX(AR101:AW101),"นักคิดวิเคราะห์",IF(AT101=MAX(AR101:AW101),"นักสร้างสรรค์",IF(AU101=MAX(AR101:AW101),"ผู้เข้าใจผู้คน",IF(AV101=MAX(AR101:AW101),"ผู้นำการเปลี่ยนแปลง","ผู้จัดระบบ"))))))</x:f>
      </x:c>
    </x:row>
    <x:row r="102">
      <x:c r="A102" s="27"/>
      <x:c r="B102" s="28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  <x:c r="AC102" s="27"/>
      <x:c r="AD102" s="27"/>
      <x:c r="AE102" s="27"/>
      <x:c r="AF102" s="27"/>
      <x:c r="AG102" s="27"/>
      <x:c r="AH102" s="27"/>
      <x:c r="AI102" s="27"/>
      <x:c r="AJ102" s="27"/>
      <x:c r="AK102" s="27"/>
      <x:c r="AL102" s="27"/>
      <x:c r="AM102" s="27"/>
      <x:c r="AN102" s="27"/>
      <x:c r="AO102" s="27"/>
      <x:c r="AP102" s="27"/>
      <x:c r="AQ102" s="27"/>
      <x:c r="AR102" s="27" t="str">
        <x:f>IF(C102="","",SUM(H102,N102,T102,Z102,AF102,AL102))</x:f>
      </x:c>
      <x:c r="AS102" s="27" t="str">
        <x:f>IF(C102="","",SUM(I102,O102,U102,AA102,AG102,AM102))</x:f>
      </x:c>
      <x:c r="AT102" s="27" t="str">
        <x:f>IF(C102="","",SUM(J102,P102,V102,AB102,AH102,AN102))</x:f>
      </x:c>
      <x:c r="AU102" s="27" t="str">
        <x:f>IF(C102="","",SUM(K102,Q102,W102,AC102,AI102,AO102))</x:f>
      </x:c>
      <x:c r="AV102" s="27" t="str">
        <x:f>IF(C102="","",SUM(L102,R102,X102,AD102,AJ102,AP102))</x:f>
      </x:c>
      <x:c r="AW102" s="27" t="str">
        <x:f>IF(C102="","",SUM(M102,S102,Y102,AE102,AK102,AQ102))</x:f>
      </x:c>
      <x:c r="AX102" s="27" t="str">
        <x:f>IF(C102="","",CONCAT(IF(AR102&gt;=LARGE(AR102:AW102,3),"R",""),IF(AS102&gt;=LARGE(AR102:AW102,3),"I",""),IF(AT102&gt;=LARGE(AR102:AW102,3),"A",""),IF(AU102&gt;=LARGE(AR102:AW102,3),"S",""),IF(AV102&gt;=LARGE(AR102:AW102,3),"E",""),IF(AW102&gt;=LARGE(AR102:AW102,3),"C","")))</x:f>
      </x:c>
      <x:c r="AY102" s="27" t="str">
        <x:f>IF(C102="","",IF(AR102=MAX(AR102:AW102),"นักปฏิบัติ",IF(AS102=MAX(AR102:AW102),"นักคิดวิเคราะห์",IF(AT102=MAX(AR102:AW102),"นักสร้างสรรค์",IF(AU102=MAX(AR102:AW102),"ผู้เข้าใจผู้คน",IF(AV102=MAX(AR102:AW102),"ผู้นำการเปลี่ยนแปลง","ผู้จัดระบบ"))))))</x:f>
      </x:c>
    </x:row>
    <x:row r="103">
      <x:c r="A103" s="27"/>
      <x:c r="B103" s="28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  <x:c r="AC103" s="27"/>
      <x:c r="AD103" s="27"/>
      <x:c r="AE103" s="27"/>
      <x:c r="AF103" s="27"/>
      <x:c r="AG103" s="27"/>
      <x:c r="AH103" s="27"/>
      <x:c r="AI103" s="27"/>
      <x:c r="AJ103" s="27"/>
      <x:c r="AK103" s="27"/>
      <x:c r="AL103" s="27"/>
      <x:c r="AM103" s="27"/>
      <x:c r="AN103" s="27"/>
      <x:c r="AO103" s="27"/>
      <x:c r="AP103" s="27"/>
      <x:c r="AQ103" s="27"/>
      <x:c r="AR103" s="27" t="str">
        <x:f>IF(C103="","",SUM(H103,N103,T103,Z103,AF103,AL103))</x:f>
      </x:c>
      <x:c r="AS103" s="27" t="str">
        <x:f>IF(C103="","",SUM(I103,O103,U103,AA103,AG103,AM103))</x:f>
      </x:c>
      <x:c r="AT103" s="27" t="str">
        <x:f>IF(C103="","",SUM(J103,P103,V103,AB103,AH103,AN103))</x:f>
      </x:c>
      <x:c r="AU103" s="27" t="str">
        <x:f>IF(C103="","",SUM(K103,Q103,W103,AC103,AI103,AO103))</x:f>
      </x:c>
      <x:c r="AV103" s="27" t="str">
        <x:f>IF(C103="","",SUM(L103,R103,X103,AD103,AJ103,AP103))</x:f>
      </x:c>
      <x:c r="AW103" s="27" t="str">
        <x:f>IF(C103="","",SUM(M103,S103,Y103,AE103,AK103,AQ103))</x:f>
      </x:c>
      <x:c r="AX103" s="27" t="str">
        <x:f>IF(C103="","",CONCAT(IF(AR103&gt;=LARGE(AR103:AW103,3),"R",""),IF(AS103&gt;=LARGE(AR103:AW103,3),"I",""),IF(AT103&gt;=LARGE(AR103:AW103,3),"A",""),IF(AU103&gt;=LARGE(AR103:AW103,3),"S",""),IF(AV103&gt;=LARGE(AR103:AW103,3),"E",""),IF(AW103&gt;=LARGE(AR103:AW103,3),"C","")))</x:f>
      </x:c>
      <x:c r="AY103" s="27" t="str">
        <x:f>IF(C103="","",IF(AR103=MAX(AR103:AW103),"นักปฏิบัติ",IF(AS103=MAX(AR103:AW103),"นักคิดวิเคราะห์",IF(AT103=MAX(AR103:AW103),"นักสร้างสรรค์",IF(AU103=MAX(AR103:AW103),"ผู้เข้าใจผู้คน",IF(AV103=MAX(AR103:AW103),"ผู้นำการเปลี่ยนแปลง","ผู้จัดระบบ"))))))</x:f>
      </x:c>
    </x:row>
    <x:row r="104">
      <x:c r="A104" s="27"/>
      <x:c r="B104" s="28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  <x:c r="AC104" s="27"/>
      <x:c r="AD104" s="27"/>
      <x:c r="AE104" s="27"/>
      <x:c r="AF104" s="27"/>
      <x:c r="AG104" s="27"/>
      <x:c r="AH104" s="27"/>
      <x:c r="AI104" s="27"/>
      <x:c r="AJ104" s="27"/>
      <x:c r="AK104" s="27"/>
      <x:c r="AL104" s="27"/>
      <x:c r="AM104" s="27"/>
      <x:c r="AN104" s="27"/>
      <x:c r="AO104" s="27"/>
      <x:c r="AP104" s="27"/>
      <x:c r="AQ104" s="27"/>
      <x:c r="AR104" s="27" t="str">
        <x:f>IF(C104="","",SUM(H104,N104,T104,Z104,AF104,AL104))</x:f>
      </x:c>
      <x:c r="AS104" s="27" t="str">
        <x:f>IF(C104="","",SUM(I104,O104,U104,AA104,AG104,AM104))</x:f>
      </x:c>
      <x:c r="AT104" s="27" t="str">
        <x:f>IF(C104="","",SUM(J104,P104,V104,AB104,AH104,AN104))</x:f>
      </x:c>
      <x:c r="AU104" s="27" t="str">
        <x:f>IF(C104="","",SUM(K104,Q104,W104,AC104,AI104,AO104))</x:f>
      </x:c>
      <x:c r="AV104" s="27" t="str">
        <x:f>IF(C104="","",SUM(L104,R104,X104,AD104,AJ104,AP104))</x:f>
      </x:c>
      <x:c r="AW104" s="27" t="str">
        <x:f>IF(C104="","",SUM(M104,S104,Y104,AE104,AK104,AQ104))</x:f>
      </x:c>
      <x:c r="AX104" s="27" t="str">
        <x:f>IF(C104="","",CONCAT(IF(AR104&gt;=LARGE(AR104:AW104,3),"R",""),IF(AS104&gt;=LARGE(AR104:AW104,3),"I",""),IF(AT104&gt;=LARGE(AR104:AW104,3),"A",""),IF(AU104&gt;=LARGE(AR104:AW104,3),"S",""),IF(AV104&gt;=LARGE(AR104:AW104,3),"E",""),IF(AW104&gt;=LARGE(AR104:AW104,3),"C","")))</x:f>
      </x:c>
      <x:c r="AY104" s="27" t="str">
        <x:f>IF(C104="","",IF(AR104=MAX(AR104:AW104),"นักปฏิบัติ",IF(AS104=MAX(AR104:AW104),"นักคิดวิเคราะห์",IF(AT104=MAX(AR104:AW104),"นักสร้างสรรค์",IF(AU104=MAX(AR104:AW104),"ผู้เข้าใจผู้คน",IF(AV104=MAX(AR104:AW104),"ผู้นำการเปลี่ยนแปลง","ผู้จัดระบบ"))))))</x:f>
      </x:c>
    </x:row>
    <x:row r="105">
      <x:c r="A105" s="27"/>
      <x:c r="B105" s="28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  <x:c r="AC105" s="27"/>
      <x:c r="AD105" s="27"/>
      <x:c r="AE105" s="27"/>
      <x:c r="AF105" s="27"/>
      <x:c r="AG105" s="27"/>
      <x:c r="AH105" s="27"/>
      <x:c r="AI105" s="27"/>
      <x:c r="AJ105" s="27"/>
      <x:c r="AK105" s="27"/>
      <x:c r="AL105" s="27"/>
      <x:c r="AM105" s="27"/>
      <x:c r="AN105" s="27"/>
      <x:c r="AO105" s="27"/>
      <x:c r="AP105" s="27"/>
      <x:c r="AQ105" s="27"/>
      <x:c r="AR105" s="27" t="str">
        <x:f>IF(C105="","",SUM(H105,N105,T105,Z105,AF105,AL105))</x:f>
      </x:c>
      <x:c r="AS105" s="27" t="str">
        <x:f>IF(C105="","",SUM(I105,O105,U105,AA105,AG105,AM105))</x:f>
      </x:c>
      <x:c r="AT105" s="27" t="str">
        <x:f>IF(C105="","",SUM(J105,P105,V105,AB105,AH105,AN105))</x:f>
      </x:c>
      <x:c r="AU105" s="27" t="str">
        <x:f>IF(C105="","",SUM(K105,Q105,W105,AC105,AI105,AO105))</x:f>
      </x:c>
      <x:c r="AV105" s="27" t="str">
        <x:f>IF(C105="","",SUM(L105,R105,X105,AD105,AJ105,AP105))</x:f>
      </x:c>
      <x:c r="AW105" s="27" t="str">
        <x:f>IF(C105="","",SUM(M105,S105,Y105,AE105,AK105,AQ105))</x:f>
      </x:c>
      <x:c r="AX105" s="27" t="str">
        <x:f>IF(C105="","",CONCAT(IF(AR105&gt;=LARGE(AR105:AW105,3),"R",""),IF(AS105&gt;=LARGE(AR105:AW105,3),"I",""),IF(AT105&gt;=LARGE(AR105:AW105,3),"A",""),IF(AU105&gt;=LARGE(AR105:AW105,3),"S",""),IF(AV105&gt;=LARGE(AR105:AW105,3),"E",""),IF(AW105&gt;=LARGE(AR105:AW105,3),"C","")))</x:f>
      </x:c>
      <x:c r="AY105" s="27" t="str">
        <x:f>IF(C105="","",IF(AR105=MAX(AR105:AW105),"นักปฏิบัติ",IF(AS105=MAX(AR105:AW105),"นักคิดวิเคราะห์",IF(AT105=MAX(AR105:AW105),"นักสร้างสรรค์",IF(AU105=MAX(AR105:AW105),"ผู้เข้าใจผู้คน",IF(AV105=MAX(AR105:AW105),"ผู้นำการเปลี่ยนแปลง","ผู้จัดระบบ"))))))</x:f>
      </x:c>
    </x:row>
    <x:row r="106">
      <x:c r="A106" s="27"/>
      <x:c r="B106" s="28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  <x:c r="AC106" s="27"/>
      <x:c r="AD106" s="27"/>
      <x:c r="AE106" s="27"/>
      <x:c r="AF106" s="27"/>
      <x:c r="AG106" s="27"/>
      <x:c r="AH106" s="27"/>
      <x:c r="AI106" s="27"/>
      <x:c r="AJ106" s="27"/>
      <x:c r="AK106" s="27"/>
      <x:c r="AL106" s="27"/>
      <x:c r="AM106" s="27"/>
      <x:c r="AN106" s="27"/>
      <x:c r="AO106" s="27"/>
      <x:c r="AP106" s="27"/>
      <x:c r="AQ106" s="27"/>
      <x:c r="AR106" s="27" t="str">
        <x:f>IF(C106="","",SUM(H106,N106,T106,Z106,AF106,AL106))</x:f>
      </x:c>
      <x:c r="AS106" s="27" t="str">
        <x:f>IF(C106="","",SUM(I106,O106,U106,AA106,AG106,AM106))</x:f>
      </x:c>
      <x:c r="AT106" s="27" t="str">
        <x:f>IF(C106="","",SUM(J106,P106,V106,AB106,AH106,AN106))</x:f>
      </x:c>
      <x:c r="AU106" s="27" t="str">
        <x:f>IF(C106="","",SUM(K106,Q106,W106,AC106,AI106,AO106))</x:f>
      </x:c>
      <x:c r="AV106" s="27" t="str">
        <x:f>IF(C106="","",SUM(L106,R106,X106,AD106,AJ106,AP106))</x:f>
      </x:c>
      <x:c r="AW106" s="27" t="str">
        <x:f>IF(C106="","",SUM(M106,S106,Y106,AE106,AK106,AQ106))</x:f>
      </x:c>
      <x:c r="AX106" s="27" t="str">
        <x:f>IF(C106="","",CONCAT(IF(AR106&gt;=LARGE(AR106:AW106,3),"R",""),IF(AS106&gt;=LARGE(AR106:AW106,3),"I",""),IF(AT106&gt;=LARGE(AR106:AW106,3),"A",""),IF(AU106&gt;=LARGE(AR106:AW106,3),"S",""),IF(AV106&gt;=LARGE(AR106:AW106,3),"E",""),IF(AW106&gt;=LARGE(AR106:AW106,3),"C","")))</x:f>
      </x:c>
      <x:c r="AY106" s="27" t="str">
        <x:f>IF(C106="","",IF(AR106=MAX(AR106:AW106),"นักปฏิบัติ",IF(AS106=MAX(AR106:AW106),"นักคิดวิเคราะห์",IF(AT106=MAX(AR106:AW106),"นักสร้างสรรค์",IF(AU106=MAX(AR106:AW106),"ผู้เข้าใจผู้คน",IF(AV106=MAX(AR106:AW106),"ผู้นำการเปลี่ยนแปลง","ผู้จัดระบบ"))))))</x:f>
      </x:c>
    </x:row>
    <x:row r="107">
      <x:c r="A107" s="27"/>
      <x:c r="B107" s="28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  <x:c r="AC107" s="27"/>
      <x:c r="AD107" s="27"/>
      <x:c r="AE107" s="27"/>
      <x:c r="AF107" s="27"/>
      <x:c r="AG107" s="27"/>
      <x:c r="AH107" s="27"/>
      <x:c r="AI107" s="27"/>
      <x:c r="AJ107" s="27"/>
      <x:c r="AK107" s="27"/>
      <x:c r="AL107" s="27"/>
      <x:c r="AM107" s="27"/>
      <x:c r="AN107" s="27"/>
      <x:c r="AO107" s="27"/>
      <x:c r="AP107" s="27"/>
      <x:c r="AQ107" s="27"/>
      <x:c r="AR107" s="27" t="str">
        <x:f>IF(C107="","",SUM(H107,N107,T107,Z107,AF107,AL107))</x:f>
      </x:c>
      <x:c r="AS107" s="27" t="str">
        <x:f>IF(C107="","",SUM(I107,O107,U107,AA107,AG107,AM107))</x:f>
      </x:c>
      <x:c r="AT107" s="27" t="str">
        <x:f>IF(C107="","",SUM(J107,P107,V107,AB107,AH107,AN107))</x:f>
      </x:c>
      <x:c r="AU107" s="27" t="str">
        <x:f>IF(C107="","",SUM(K107,Q107,W107,AC107,AI107,AO107))</x:f>
      </x:c>
      <x:c r="AV107" s="27" t="str">
        <x:f>IF(C107="","",SUM(L107,R107,X107,AD107,AJ107,AP107))</x:f>
      </x:c>
      <x:c r="AW107" s="27" t="str">
        <x:f>IF(C107="","",SUM(M107,S107,Y107,AE107,AK107,AQ107))</x:f>
      </x:c>
      <x:c r="AX107" s="27" t="str">
        <x:f>IF(C107="","",CONCAT(IF(AR107&gt;=LARGE(AR107:AW107,3),"R",""),IF(AS107&gt;=LARGE(AR107:AW107,3),"I",""),IF(AT107&gt;=LARGE(AR107:AW107,3),"A",""),IF(AU107&gt;=LARGE(AR107:AW107,3),"S",""),IF(AV107&gt;=LARGE(AR107:AW107,3),"E",""),IF(AW107&gt;=LARGE(AR107:AW107,3),"C","")))</x:f>
      </x:c>
      <x:c r="AY107" s="27" t="str">
        <x:f>IF(C107="","",IF(AR107=MAX(AR107:AW107),"นักปฏิบัติ",IF(AS107=MAX(AR107:AW107),"นักคิดวิเคราะห์",IF(AT107=MAX(AR107:AW107),"นักสร้างสรรค์",IF(AU107=MAX(AR107:AW107),"ผู้เข้าใจผู้คน",IF(AV107=MAX(AR107:AW107),"ผู้นำการเปลี่ยนแปลง","ผู้จัดระบบ"))))))</x:f>
      </x:c>
    </x:row>
    <x:row r="108">
      <x:c r="A108" s="27"/>
      <x:c r="B108" s="28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  <x:c r="AC108" s="27"/>
      <x:c r="AD108" s="27"/>
      <x:c r="AE108" s="27"/>
      <x:c r="AF108" s="27"/>
      <x:c r="AG108" s="27"/>
      <x:c r="AH108" s="27"/>
      <x:c r="AI108" s="27"/>
      <x:c r="AJ108" s="27"/>
      <x:c r="AK108" s="27"/>
      <x:c r="AL108" s="27"/>
      <x:c r="AM108" s="27"/>
      <x:c r="AN108" s="27"/>
      <x:c r="AO108" s="27"/>
      <x:c r="AP108" s="27"/>
      <x:c r="AQ108" s="27"/>
      <x:c r="AR108" s="27" t="str">
        <x:f>IF(C108="","",SUM(H108,N108,T108,Z108,AF108,AL108))</x:f>
      </x:c>
      <x:c r="AS108" s="27" t="str">
        <x:f>IF(C108="","",SUM(I108,O108,U108,AA108,AG108,AM108))</x:f>
      </x:c>
      <x:c r="AT108" s="27" t="str">
        <x:f>IF(C108="","",SUM(J108,P108,V108,AB108,AH108,AN108))</x:f>
      </x:c>
      <x:c r="AU108" s="27" t="str">
        <x:f>IF(C108="","",SUM(K108,Q108,W108,AC108,AI108,AO108))</x:f>
      </x:c>
      <x:c r="AV108" s="27" t="str">
        <x:f>IF(C108="","",SUM(L108,R108,X108,AD108,AJ108,AP108))</x:f>
      </x:c>
      <x:c r="AW108" s="27" t="str">
        <x:f>IF(C108="","",SUM(M108,S108,Y108,AE108,AK108,AQ108))</x:f>
      </x:c>
      <x:c r="AX108" s="27" t="str">
        <x:f>IF(C108="","",CONCAT(IF(AR108&gt;=LARGE(AR108:AW108,3),"R",""),IF(AS108&gt;=LARGE(AR108:AW108,3),"I",""),IF(AT108&gt;=LARGE(AR108:AW108,3),"A",""),IF(AU108&gt;=LARGE(AR108:AW108,3),"S",""),IF(AV108&gt;=LARGE(AR108:AW108,3),"E",""),IF(AW108&gt;=LARGE(AR108:AW108,3),"C","")))</x:f>
      </x:c>
      <x:c r="AY108" s="27" t="str">
        <x:f>IF(C108="","",IF(AR108=MAX(AR108:AW108),"นักปฏิบัติ",IF(AS108=MAX(AR108:AW108),"นักคิดวิเคราะห์",IF(AT108=MAX(AR108:AW108),"นักสร้างสรรค์",IF(AU108=MAX(AR108:AW108),"ผู้เข้าใจผู้คน",IF(AV108=MAX(AR108:AW108),"ผู้นำการเปลี่ยนแปลง","ผู้จัดระบบ"))))))</x:f>
      </x:c>
    </x:row>
    <x:row r="109">
      <x:c r="A109" s="27"/>
      <x:c r="B109" s="28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  <x:c r="AC109" s="27"/>
      <x:c r="AD109" s="27"/>
      <x:c r="AE109" s="27"/>
      <x:c r="AF109" s="27"/>
      <x:c r="AG109" s="27"/>
      <x:c r="AH109" s="27"/>
      <x:c r="AI109" s="27"/>
      <x:c r="AJ109" s="27"/>
      <x:c r="AK109" s="27"/>
      <x:c r="AL109" s="27"/>
      <x:c r="AM109" s="27"/>
      <x:c r="AN109" s="27"/>
      <x:c r="AO109" s="27"/>
      <x:c r="AP109" s="27"/>
      <x:c r="AQ109" s="27"/>
      <x:c r="AR109" s="27" t="str">
        <x:f>IF(C109="","",SUM(H109,N109,T109,Z109,AF109,AL109))</x:f>
      </x:c>
      <x:c r="AS109" s="27" t="str">
        <x:f>IF(C109="","",SUM(I109,O109,U109,AA109,AG109,AM109))</x:f>
      </x:c>
      <x:c r="AT109" s="27" t="str">
        <x:f>IF(C109="","",SUM(J109,P109,V109,AB109,AH109,AN109))</x:f>
      </x:c>
      <x:c r="AU109" s="27" t="str">
        <x:f>IF(C109="","",SUM(K109,Q109,W109,AC109,AI109,AO109))</x:f>
      </x:c>
      <x:c r="AV109" s="27" t="str">
        <x:f>IF(C109="","",SUM(L109,R109,X109,AD109,AJ109,AP109))</x:f>
      </x:c>
      <x:c r="AW109" s="27" t="str">
        <x:f>IF(C109="","",SUM(M109,S109,Y109,AE109,AK109,AQ109))</x:f>
      </x:c>
      <x:c r="AX109" s="27" t="str">
        <x:f>IF(C109="","",CONCAT(IF(AR109&gt;=LARGE(AR109:AW109,3),"R",""),IF(AS109&gt;=LARGE(AR109:AW109,3),"I",""),IF(AT109&gt;=LARGE(AR109:AW109,3),"A",""),IF(AU109&gt;=LARGE(AR109:AW109,3),"S",""),IF(AV109&gt;=LARGE(AR109:AW109,3),"E",""),IF(AW109&gt;=LARGE(AR109:AW109,3),"C","")))</x:f>
      </x:c>
      <x:c r="AY109" s="27" t="str">
        <x:f>IF(C109="","",IF(AR109=MAX(AR109:AW109),"นักปฏิบัติ",IF(AS109=MAX(AR109:AW109),"นักคิดวิเคราะห์",IF(AT109=MAX(AR109:AW109),"นักสร้างสรรค์",IF(AU109=MAX(AR109:AW109),"ผู้เข้าใจผู้คน",IF(AV109=MAX(AR109:AW109),"ผู้นำการเปลี่ยนแปลง","ผู้จัดระบบ"))))))</x:f>
      </x:c>
    </x:row>
    <x:row r="110">
      <x:c r="A110" s="27"/>
      <x:c r="B110" s="28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  <x:c r="AC110" s="27"/>
      <x:c r="AD110" s="27"/>
      <x:c r="AE110" s="27"/>
      <x:c r="AF110" s="27"/>
      <x:c r="AG110" s="27"/>
      <x:c r="AH110" s="27"/>
      <x:c r="AI110" s="27"/>
      <x:c r="AJ110" s="27"/>
      <x:c r="AK110" s="27"/>
      <x:c r="AL110" s="27"/>
      <x:c r="AM110" s="27"/>
      <x:c r="AN110" s="27"/>
      <x:c r="AO110" s="27"/>
      <x:c r="AP110" s="27"/>
      <x:c r="AQ110" s="27"/>
      <x:c r="AR110" s="27" t="str">
        <x:f>IF(C110="","",SUM(H110,N110,T110,Z110,AF110,AL110))</x:f>
      </x:c>
      <x:c r="AS110" s="27" t="str">
        <x:f>IF(C110="","",SUM(I110,O110,U110,AA110,AG110,AM110))</x:f>
      </x:c>
      <x:c r="AT110" s="27" t="str">
        <x:f>IF(C110="","",SUM(J110,P110,V110,AB110,AH110,AN110))</x:f>
      </x:c>
      <x:c r="AU110" s="27" t="str">
        <x:f>IF(C110="","",SUM(K110,Q110,W110,AC110,AI110,AO110))</x:f>
      </x:c>
      <x:c r="AV110" s="27" t="str">
        <x:f>IF(C110="","",SUM(L110,R110,X110,AD110,AJ110,AP110))</x:f>
      </x:c>
      <x:c r="AW110" s="27" t="str">
        <x:f>IF(C110="","",SUM(M110,S110,Y110,AE110,AK110,AQ110))</x:f>
      </x:c>
      <x:c r="AX110" s="27" t="str">
        <x:f>IF(C110="","",CONCAT(IF(AR110&gt;=LARGE(AR110:AW110,3),"R",""),IF(AS110&gt;=LARGE(AR110:AW110,3),"I",""),IF(AT110&gt;=LARGE(AR110:AW110,3),"A",""),IF(AU110&gt;=LARGE(AR110:AW110,3),"S",""),IF(AV110&gt;=LARGE(AR110:AW110,3),"E",""),IF(AW110&gt;=LARGE(AR110:AW110,3),"C","")))</x:f>
      </x:c>
      <x:c r="AY110" s="27" t="str">
        <x:f>IF(C110="","",IF(AR110=MAX(AR110:AW110),"นักปฏิบัติ",IF(AS110=MAX(AR110:AW110),"นักคิดวิเคราะห์",IF(AT110=MAX(AR110:AW110),"นักสร้างสรรค์",IF(AU110=MAX(AR110:AW110),"ผู้เข้าใจผู้คน",IF(AV110=MAX(AR110:AW110),"ผู้นำการเปลี่ยนแปลง","ผู้จัดระบบ"))))))</x:f>
      </x:c>
    </x:row>
    <x:row r="111">
      <x:c r="A111" s="27"/>
      <x:c r="B111" s="28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  <x:c r="AC111" s="27"/>
      <x:c r="AD111" s="27"/>
      <x:c r="AE111" s="27"/>
      <x:c r="AF111" s="27"/>
      <x:c r="AG111" s="27"/>
      <x:c r="AH111" s="27"/>
      <x:c r="AI111" s="27"/>
      <x:c r="AJ111" s="27"/>
      <x:c r="AK111" s="27"/>
      <x:c r="AL111" s="27"/>
      <x:c r="AM111" s="27"/>
      <x:c r="AN111" s="27"/>
      <x:c r="AO111" s="27"/>
      <x:c r="AP111" s="27"/>
      <x:c r="AQ111" s="27"/>
      <x:c r="AR111" s="27" t="str">
        <x:f>IF(C111="","",SUM(H111,N111,T111,Z111,AF111,AL111))</x:f>
      </x:c>
      <x:c r="AS111" s="27" t="str">
        <x:f>IF(C111="","",SUM(I111,O111,U111,AA111,AG111,AM111))</x:f>
      </x:c>
      <x:c r="AT111" s="27" t="str">
        <x:f>IF(C111="","",SUM(J111,P111,V111,AB111,AH111,AN111))</x:f>
      </x:c>
      <x:c r="AU111" s="27" t="str">
        <x:f>IF(C111="","",SUM(K111,Q111,W111,AC111,AI111,AO111))</x:f>
      </x:c>
      <x:c r="AV111" s="27" t="str">
        <x:f>IF(C111="","",SUM(L111,R111,X111,AD111,AJ111,AP111))</x:f>
      </x:c>
      <x:c r="AW111" s="27" t="str">
        <x:f>IF(C111="","",SUM(M111,S111,Y111,AE111,AK111,AQ111))</x:f>
      </x:c>
      <x:c r="AX111" s="27" t="str">
        <x:f>IF(C111="","",CONCAT(IF(AR111&gt;=LARGE(AR111:AW111,3),"R",""),IF(AS111&gt;=LARGE(AR111:AW111,3),"I",""),IF(AT111&gt;=LARGE(AR111:AW111,3),"A",""),IF(AU111&gt;=LARGE(AR111:AW111,3),"S",""),IF(AV111&gt;=LARGE(AR111:AW111,3),"E",""),IF(AW111&gt;=LARGE(AR111:AW111,3),"C","")))</x:f>
      </x:c>
      <x:c r="AY111" s="27" t="str">
        <x:f>IF(C111="","",IF(AR111=MAX(AR111:AW111),"นักปฏิบัติ",IF(AS111=MAX(AR111:AW111),"นักคิดวิเคราะห์",IF(AT111=MAX(AR111:AW111),"นักสร้างสรรค์",IF(AU111=MAX(AR111:AW111),"ผู้เข้าใจผู้คน",IF(AV111=MAX(AR111:AW111),"ผู้นำการเปลี่ยนแปลง","ผู้จัดระบบ"))))))</x:f>
      </x:c>
    </x:row>
    <x:row r="112">
      <x:c r="A112" s="27"/>
      <x:c r="B112" s="28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  <x:c r="AC112" s="27"/>
      <x:c r="AD112" s="27"/>
      <x:c r="AE112" s="27"/>
      <x:c r="AF112" s="27"/>
      <x:c r="AG112" s="27"/>
      <x:c r="AH112" s="27"/>
      <x:c r="AI112" s="27"/>
      <x:c r="AJ112" s="27"/>
      <x:c r="AK112" s="27"/>
      <x:c r="AL112" s="27"/>
      <x:c r="AM112" s="27"/>
      <x:c r="AN112" s="27"/>
      <x:c r="AO112" s="27"/>
      <x:c r="AP112" s="27"/>
      <x:c r="AQ112" s="27"/>
      <x:c r="AR112" s="27" t="str">
        <x:f>IF(C112="","",SUM(H112,N112,T112,Z112,AF112,AL112))</x:f>
      </x:c>
      <x:c r="AS112" s="27" t="str">
        <x:f>IF(C112="","",SUM(I112,O112,U112,AA112,AG112,AM112))</x:f>
      </x:c>
      <x:c r="AT112" s="27" t="str">
        <x:f>IF(C112="","",SUM(J112,P112,V112,AB112,AH112,AN112))</x:f>
      </x:c>
      <x:c r="AU112" s="27" t="str">
        <x:f>IF(C112="","",SUM(K112,Q112,W112,AC112,AI112,AO112))</x:f>
      </x:c>
      <x:c r="AV112" s="27" t="str">
        <x:f>IF(C112="","",SUM(L112,R112,X112,AD112,AJ112,AP112))</x:f>
      </x:c>
      <x:c r="AW112" s="27" t="str">
        <x:f>IF(C112="","",SUM(M112,S112,Y112,AE112,AK112,AQ112))</x:f>
      </x:c>
      <x:c r="AX112" s="27" t="str">
        <x:f>IF(C112="","",CONCAT(IF(AR112&gt;=LARGE(AR112:AW112,3),"R",""),IF(AS112&gt;=LARGE(AR112:AW112,3),"I",""),IF(AT112&gt;=LARGE(AR112:AW112,3),"A",""),IF(AU112&gt;=LARGE(AR112:AW112,3),"S",""),IF(AV112&gt;=LARGE(AR112:AW112,3),"E",""),IF(AW112&gt;=LARGE(AR112:AW112,3),"C","")))</x:f>
      </x:c>
      <x:c r="AY112" s="27" t="str">
        <x:f>IF(C112="","",IF(AR112=MAX(AR112:AW112),"นักปฏิบัติ",IF(AS112=MAX(AR112:AW112),"นักคิดวิเคราะห์",IF(AT112=MAX(AR112:AW112),"นักสร้างสรรค์",IF(AU112=MAX(AR112:AW112),"ผู้เข้าใจผู้คน",IF(AV112=MAX(AR112:AW112),"ผู้นำการเปลี่ยนแปลง","ผู้จัดระบบ"))))))</x:f>
      </x:c>
    </x:row>
    <x:row r="113">
      <x:c r="A113" s="27"/>
      <x:c r="B113" s="28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  <x:c r="AC113" s="27"/>
      <x:c r="AD113" s="27"/>
      <x:c r="AE113" s="27"/>
      <x:c r="AF113" s="27"/>
      <x:c r="AG113" s="27"/>
      <x:c r="AH113" s="27"/>
      <x:c r="AI113" s="27"/>
      <x:c r="AJ113" s="27"/>
      <x:c r="AK113" s="27"/>
      <x:c r="AL113" s="27"/>
      <x:c r="AM113" s="27"/>
      <x:c r="AN113" s="27"/>
      <x:c r="AO113" s="27"/>
      <x:c r="AP113" s="27"/>
      <x:c r="AQ113" s="27"/>
      <x:c r="AR113" s="27" t="str">
        <x:f>IF(C113="","",SUM(H113,N113,T113,Z113,AF113,AL113))</x:f>
      </x:c>
      <x:c r="AS113" s="27" t="str">
        <x:f>IF(C113="","",SUM(I113,O113,U113,AA113,AG113,AM113))</x:f>
      </x:c>
      <x:c r="AT113" s="27" t="str">
        <x:f>IF(C113="","",SUM(J113,P113,V113,AB113,AH113,AN113))</x:f>
      </x:c>
      <x:c r="AU113" s="27" t="str">
        <x:f>IF(C113="","",SUM(K113,Q113,W113,AC113,AI113,AO113))</x:f>
      </x:c>
      <x:c r="AV113" s="27" t="str">
        <x:f>IF(C113="","",SUM(L113,R113,X113,AD113,AJ113,AP113))</x:f>
      </x:c>
      <x:c r="AW113" s="27" t="str">
        <x:f>IF(C113="","",SUM(M113,S113,Y113,AE113,AK113,AQ113))</x:f>
      </x:c>
      <x:c r="AX113" s="27" t="str">
        <x:f>IF(C113="","",CONCAT(IF(AR113&gt;=LARGE(AR113:AW113,3),"R",""),IF(AS113&gt;=LARGE(AR113:AW113,3),"I",""),IF(AT113&gt;=LARGE(AR113:AW113,3),"A",""),IF(AU113&gt;=LARGE(AR113:AW113,3),"S",""),IF(AV113&gt;=LARGE(AR113:AW113,3),"E",""),IF(AW113&gt;=LARGE(AR113:AW113,3),"C","")))</x:f>
      </x:c>
      <x:c r="AY113" s="27" t="str">
        <x:f>IF(C113="","",IF(AR113=MAX(AR113:AW113),"นักปฏิบัติ",IF(AS113=MAX(AR113:AW113),"นักคิดวิเคราะห์",IF(AT113=MAX(AR113:AW113),"นักสร้างสรรค์",IF(AU113=MAX(AR113:AW113),"ผู้เข้าใจผู้คน",IF(AV113=MAX(AR113:AW113),"ผู้นำการเปลี่ยนแปลง","ผู้จัดระบบ"))))))</x:f>
      </x:c>
    </x:row>
    <x:row r="114">
      <x:c r="A114" s="27"/>
      <x:c r="B114" s="28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  <x:c r="AC114" s="27"/>
      <x:c r="AD114" s="27"/>
      <x:c r="AE114" s="27"/>
      <x:c r="AF114" s="27"/>
      <x:c r="AG114" s="27"/>
      <x:c r="AH114" s="27"/>
      <x:c r="AI114" s="27"/>
      <x:c r="AJ114" s="27"/>
      <x:c r="AK114" s="27"/>
      <x:c r="AL114" s="27"/>
      <x:c r="AM114" s="27"/>
      <x:c r="AN114" s="27"/>
      <x:c r="AO114" s="27"/>
      <x:c r="AP114" s="27"/>
      <x:c r="AQ114" s="27"/>
      <x:c r="AR114" s="27" t="str">
        <x:f>IF(C114="","",SUM(H114,N114,T114,Z114,AF114,AL114))</x:f>
      </x:c>
      <x:c r="AS114" s="27" t="str">
        <x:f>IF(C114="","",SUM(I114,O114,U114,AA114,AG114,AM114))</x:f>
      </x:c>
      <x:c r="AT114" s="27" t="str">
        <x:f>IF(C114="","",SUM(J114,P114,V114,AB114,AH114,AN114))</x:f>
      </x:c>
      <x:c r="AU114" s="27" t="str">
        <x:f>IF(C114="","",SUM(K114,Q114,W114,AC114,AI114,AO114))</x:f>
      </x:c>
      <x:c r="AV114" s="27" t="str">
        <x:f>IF(C114="","",SUM(L114,R114,X114,AD114,AJ114,AP114))</x:f>
      </x:c>
      <x:c r="AW114" s="27" t="str">
        <x:f>IF(C114="","",SUM(M114,S114,Y114,AE114,AK114,AQ114))</x:f>
      </x:c>
      <x:c r="AX114" s="27" t="str">
        <x:f>IF(C114="","",CONCAT(IF(AR114&gt;=LARGE(AR114:AW114,3),"R",""),IF(AS114&gt;=LARGE(AR114:AW114,3),"I",""),IF(AT114&gt;=LARGE(AR114:AW114,3),"A",""),IF(AU114&gt;=LARGE(AR114:AW114,3),"S",""),IF(AV114&gt;=LARGE(AR114:AW114,3),"E",""),IF(AW114&gt;=LARGE(AR114:AW114,3),"C","")))</x:f>
      </x:c>
      <x:c r="AY114" s="27" t="str">
        <x:f>IF(C114="","",IF(AR114=MAX(AR114:AW114),"นักปฏิบัติ",IF(AS114=MAX(AR114:AW114),"นักคิดวิเคราะห์",IF(AT114=MAX(AR114:AW114),"นักสร้างสรรค์",IF(AU114=MAX(AR114:AW114),"ผู้เข้าใจผู้คน",IF(AV114=MAX(AR114:AW114),"ผู้นำการเปลี่ยนแปลง","ผู้จัดระบบ"))))))</x:f>
      </x:c>
    </x:row>
    <x:row r="115">
      <x:c r="A115" s="27"/>
      <x:c r="B115" s="28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  <x:c r="AC115" s="27"/>
      <x:c r="AD115" s="27"/>
      <x:c r="AE115" s="27"/>
      <x:c r="AF115" s="27"/>
      <x:c r="AG115" s="27"/>
      <x:c r="AH115" s="27"/>
      <x:c r="AI115" s="27"/>
      <x:c r="AJ115" s="27"/>
      <x:c r="AK115" s="27"/>
      <x:c r="AL115" s="27"/>
      <x:c r="AM115" s="27"/>
      <x:c r="AN115" s="27"/>
      <x:c r="AO115" s="27"/>
      <x:c r="AP115" s="27"/>
      <x:c r="AQ115" s="27"/>
      <x:c r="AR115" s="27" t="str">
        <x:f>IF(C115="","",SUM(H115,N115,T115,Z115,AF115,AL115))</x:f>
      </x:c>
      <x:c r="AS115" s="27" t="str">
        <x:f>IF(C115="","",SUM(I115,O115,U115,AA115,AG115,AM115))</x:f>
      </x:c>
      <x:c r="AT115" s="27" t="str">
        <x:f>IF(C115="","",SUM(J115,P115,V115,AB115,AH115,AN115))</x:f>
      </x:c>
      <x:c r="AU115" s="27" t="str">
        <x:f>IF(C115="","",SUM(K115,Q115,W115,AC115,AI115,AO115))</x:f>
      </x:c>
      <x:c r="AV115" s="27" t="str">
        <x:f>IF(C115="","",SUM(L115,R115,X115,AD115,AJ115,AP115))</x:f>
      </x:c>
      <x:c r="AW115" s="27" t="str">
        <x:f>IF(C115="","",SUM(M115,S115,Y115,AE115,AK115,AQ115))</x:f>
      </x:c>
      <x:c r="AX115" s="27" t="str">
        <x:f>IF(C115="","",CONCAT(IF(AR115&gt;=LARGE(AR115:AW115,3),"R",""),IF(AS115&gt;=LARGE(AR115:AW115,3),"I",""),IF(AT115&gt;=LARGE(AR115:AW115,3),"A",""),IF(AU115&gt;=LARGE(AR115:AW115,3),"S",""),IF(AV115&gt;=LARGE(AR115:AW115,3),"E",""),IF(AW115&gt;=LARGE(AR115:AW115,3),"C","")))</x:f>
      </x:c>
      <x:c r="AY115" s="27" t="str">
        <x:f>IF(C115="","",IF(AR115=MAX(AR115:AW115),"นักปฏิบัติ",IF(AS115=MAX(AR115:AW115),"นักคิดวิเคราะห์",IF(AT115=MAX(AR115:AW115),"นักสร้างสรรค์",IF(AU115=MAX(AR115:AW115),"ผู้เข้าใจผู้คน",IF(AV115=MAX(AR115:AW115),"ผู้นำการเปลี่ยนแปลง","ผู้จัดระบบ"))))))</x:f>
      </x:c>
    </x:row>
    <x:row r="116">
      <x:c r="A116" s="27"/>
      <x:c r="B116" s="28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  <x:c r="AC116" s="27"/>
      <x:c r="AD116" s="27"/>
      <x:c r="AE116" s="27"/>
      <x:c r="AF116" s="27"/>
      <x:c r="AG116" s="27"/>
      <x:c r="AH116" s="27"/>
      <x:c r="AI116" s="27"/>
      <x:c r="AJ116" s="27"/>
      <x:c r="AK116" s="27"/>
      <x:c r="AL116" s="27"/>
      <x:c r="AM116" s="27"/>
      <x:c r="AN116" s="27"/>
      <x:c r="AO116" s="27"/>
      <x:c r="AP116" s="27"/>
      <x:c r="AQ116" s="27"/>
      <x:c r="AR116" s="27" t="str">
        <x:f>IF(C116="","",SUM(H116,N116,T116,Z116,AF116,AL116))</x:f>
      </x:c>
      <x:c r="AS116" s="27" t="str">
        <x:f>IF(C116="","",SUM(I116,O116,U116,AA116,AG116,AM116))</x:f>
      </x:c>
      <x:c r="AT116" s="27" t="str">
        <x:f>IF(C116="","",SUM(J116,P116,V116,AB116,AH116,AN116))</x:f>
      </x:c>
      <x:c r="AU116" s="27" t="str">
        <x:f>IF(C116="","",SUM(K116,Q116,W116,AC116,AI116,AO116))</x:f>
      </x:c>
      <x:c r="AV116" s="27" t="str">
        <x:f>IF(C116="","",SUM(L116,R116,X116,AD116,AJ116,AP116))</x:f>
      </x:c>
      <x:c r="AW116" s="27" t="str">
        <x:f>IF(C116="","",SUM(M116,S116,Y116,AE116,AK116,AQ116))</x:f>
      </x:c>
      <x:c r="AX116" s="27" t="str">
        <x:f>IF(C116="","",CONCAT(IF(AR116&gt;=LARGE(AR116:AW116,3),"R",""),IF(AS116&gt;=LARGE(AR116:AW116,3),"I",""),IF(AT116&gt;=LARGE(AR116:AW116,3),"A",""),IF(AU116&gt;=LARGE(AR116:AW116,3),"S",""),IF(AV116&gt;=LARGE(AR116:AW116,3),"E",""),IF(AW116&gt;=LARGE(AR116:AW116,3),"C","")))</x:f>
      </x:c>
      <x:c r="AY116" s="27" t="str">
        <x:f>IF(C116="","",IF(AR116=MAX(AR116:AW116),"นักปฏิบัติ",IF(AS116=MAX(AR116:AW116),"นักคิดวิเคราะห์",IF(AT116=MAX(AR116:AW116),"นักสร้างสรรค์",IF(AU116=MAX(AR116:AW116),"ผู้เข้าใจผู้คน",IF(AV116=MAX(AR116:AW116),"ผู้นำการเปลี่ยนแปลง","ผู้จัดระบบ"))))))</x:f>
      </x:c>
    </x:row>
    <x:row r="117">
      <x:c r="A117" s="27"/>
      <x:c r="B117" s="28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  <x:c r="AC117" s="27"/>
      <x:c r="AD117" s="27"/>
      <x:c r="AE117" s="27"/>
      <x:c r="AF117" s="27"/>
      <x:c r="AG117" s="27"/>
      <x:c r="AH117" s="27"/>
      <x:c r="AI117" s="27"/>
      <x:c r="AJ117" s="27"/>
      <x:c r="AK117" s="27"/>
      <x:c r="AL117" s="27"/>
      <x:c r="AM117" s="27"/>
      <x:c r="AN117" s="27"/>
      <x:c r="AO117" s="27"/>
      <x:c r="AP117" s="27"/>
      <x:c r="AQ117" s="27"/>
      <x:c r="AR117" s="27" t="str">
        <x:f>IF(C117="","",SUM(H117,N117,T117,Z117,AF117,AL117))</x:f>
      </x:c>
      <x:c r="AS117" s="27" t="str">
        <x:f>IF(C117="","",SUM(I117,O117,U117,AA117,AG117,AM117))</x:f>
      </x:c>
      <x:c r="AT117" s="27" t="str">
        <x:f>IF(C117="","",SUM(J117,P117,V117,AB117,AH117,AN117))</x:f>
      </x:c>
      <x:c r="AU117" s="27" t="str">
        <x:f>IF(C117="","",SUM(K117,Q117,W117,AC117,AI117,AO117))</x:f>
      </x:c>
      <x:c r="AV117" s="27" t="str">
        <x:f>IF(C117="","",SUM(L117,R117,X117,AD117,AJ117,AP117))</x:f>
      </x:c>
      <x:c r="AW117" s="27" t="str">
        <x:f>IF(C117="","",SUM(M117,S117,Y117,AE117,AK117,AQ117))</x:f>
      </x:c>
      <x:c r="AX117" s="27" t="str">
        <x:f>IF(C117="","",CONCAT(IF(AR117&gt;=LARGE(AR117:AW117,3),"R",""),IF(AS117&gt;=LARGE(AR117:AW117,3),"I",""),IF(AT117&gt;=LARGE(AR117:AW117,3),"A",""),IF(AU117&gt;=LARGE(AR117:AW117,3),"S",""),IF(AV117&gt;=LARGE(AR117:AW117,3),"E",""),IF(AW117&gt;=LARGE(AR117:AW117,3),"C","")))</x:f>
      </x:c>
      <x:c r="AY117" s="27" t="str">
        <x:f>IF(C117="","",IF(AR117=MAX(AR117:AW117),"นักปฏิบัติ",IF(AS117=MAX(AR117:AW117),"นักคิดวิเคราะห์",IF(AT117=MAX(AR117:AW117),"นักสร้างสรรค์",IF(AU117=MAX(AR117:AW117),"ผู้เข้าใจผู้คน",IF(AV117=MAX(AR117:AW117),"ผู้นำการเปลี่ยนแปลง","ผู้จัดระบบ"))))))</x:f>
      </x:c>
    </x:row>
    <x:row r="118">
      <x:c r="A118" s="27"/>
      <x:c r="B118" s="28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  <x:c r="AC118" s="27"/>
      <x:c r="AD118" s="27"/>
      <x:c r="AE118" s="27"/>
      <x:c r="AF118" s="27"/>
      <x:c r="AG118" s="27"/>
      <x:c r="AH118" s="27"/>
      <x:c r="AI118" s="27"/>
      <x:c r="AJ118" s="27"/>
      <x:c r="AK118" s="27"/>
      <x:c r="AL118" s="27"/>
      <x:c r="AM118" s="27"/>
      <x:c r="AN118" s="27"/>
      <x:c r="AO118" s="27"/>
      <x:c r="AP118" s="27"/>
      <x:c r="AQ118" s="27"/>
      <x:c r="AR118" s="27" t="str">
        <x:f>IF(C118="","",SUM(H118,N118,T118,Z118,AF118,AL118))</x:f>
      </x:c>
      <x:c r="AS118" s="27" t="str">
        <x:f>IF(C118="","",SUM(I118,O118,U118,AA118,AG118,AM118))</x:f>
      </x:c>
      <x:c r="AT118" s="27" t="str">
        <x:f>IF(C118="","",SUM(J118,P118,V118,AB118,AH118,AN118))</x:f>
      </x:c>
      <x:c r="AU118" s="27" t="str">
        <x:f>IF(C118="","",SUM(K118,Q118,W118,AC118,AI118,AO118))</x:f>
      </x:c>
      <x:c r="AV118" s="27" t="str">
        <x:f>IF(C118="","",SUM(L118,R118,X118,AD118,AJ118,AP118))</x:f>
      </x:c>
      <x:c r="AW118" s="27" t="str">
        <x:f>IF(C118="","",SUM(M118,S118,Y118,AE118,AK118,AQ118))</x:f>
      </x:c>
      <x:c r="AX118" s="27" t="str">
        <x:f>IF(C118="","",CONCAT(IF(AR118&gt;=LARGE(AR118:AW118,3),"R",""),IF(AS118&gt;=LARGE(AR118:AW118,3),"I",""),IF(AT118&gt;=LARGE(AR118:AW118,3),"A",""),IF(AU118&gt;=LARGE(AR118:AW118,3),"S",""),IF(AV118&gt;=LARGE(AR118:AW118,3),"E",""),IF(AW118&gt;=LARGE(AR118:AW118,3),"C","")))</x:f>
      </x:c>
      <x:c r="AY118" s="27" t="str">
        <x:f>IF(C118="","",IF(AR118=MAX(AR118:AW118),"นักปฏิบัติ",IF(AS118=MAX(AR118:AW118),"นักคิดวิเคราะห์",IF(AT118=MAX(AR118:AW118),"นักสร้างสรรค์",IF(AU118=MAX(AR118:AW118),"ผู้เข้าใจผู้คน",IF(AV118=MAX(AR118:AW118),"ผู้นำการเปลี่ยนแปลง","ผู้จัดระบบ"))))))</x:f>
      </x:c>
    </x:row>
    <x:row r="119">
      <x:c r="A119" s="27"/>
      <x:c r="B119" s="28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  <x:c r="AC119" s="27"/>
      <x:c r="AD119" s="27"/>
      <x:c r="AE119" s="27"/>
      <x:c r="AF119" s="27"/>
      <x:c r="AG119" s="27"/>
      <x:c r="AH119" s="27"/>
      <x:c r="AI119" s="27"/>
      <x:c r="AJ119" s="27"/>
      <x:c r="AK119" s="27"/>
      <x:c r="AL119" s="27"/>
      <x:c r="AM119" s="27"/>
      <x:c r="AN119" s="27"/>
      <x:c r="AO119" s="27"/>
      <x:c r="AP119" s="27"/>
      <x:c r="AQ119" s="27"/>
      <x:c r="AR119" s="27" t="str">
        <x:f>IF(C119="","",SUM(H119,N119,T119,Z119,AF119,AL119))</x:f>
      </x:c>
      <x:c r="AS119" s="27" t="str">
        <x:f>IF(C119="","",SUM(I119,O119,U119,AA119,AG119,AM119))</x:f>
      </x:c>
      <x:c r="AT119" s="27" t="str">
        <x:f>IF(C119="","",SUM(J119,P119,V119,AB119,AH119,AN119))</x:f>
      </x:c>
      <x:c r="AU119" s="27" t="str">
        <x:f>IF(C119="","",SUM(K119,Q119,W119,AC119,AI119,AO119))</x:f>
      </x:c>
      <x:c r="AV119" s="27" t="str">
        <x:f>IF(C119="","",SUM(L119,R119,X119,AD119,AJ119,AP119))</x:f>
      </x:c>
      <x:c r="AW119" s="27" t="str">
        <x:f>IF(C119="","",SUM(M119,S119,Y119,AE119,AK119,AQ119))</x:f>
      </x:c>
      <x:c r="AX119" s="27" t="str">
        <x:f>IF(C119="","",CONCAT(IF(AR119&gt;=LARGE(AR119:AW119,3),"R",""),IF(AS119&gt;=LARGE(AR119:AW119,3),"I",""),IF(AT119&gt;=LARGE(AR119:AW119,3),"A",""),IF(AU119&gt;=LARGE(AR119:AW119,3),"S",""),IF(AV119&gt;=LARGE(AR119:AW119,3),"E",""),IF(AW119&gt;=LARGE(AR119:AW119,3),"C","")))</x:f>
      </x:c>
      <x:c r="AY119" s="27" t="str">
        <x:f>IF(C119="","",IF(AR119=MAX(AR119:AW119),"นักปฏิบัติ",IF(AS119=MAX(AR119:AW119),"นักคิดวิเคราะห์",IF(AT119=MAX(AR119:AW119),"นักสร้างสรรค์",IF(AU119=MAX(AR119:AW119),"ผู้เข้าใจผู้คน",IF(AV119=MAX(AR119:AW119),"ผู้นำการเปลี่ยนแปลง","ผู้จัดระบบ"))))))</x:f>
      </x:c>
    </x:row>
    <x:row r="120">
      <x:c r="A120" s="27"/>
      <x:c r="B120" s="28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  <x:c r="AC120" s="27"/>
      <x:c r="AD120" s="27"/>
      <x:c r="AE120" s="27"/>
      <x:c r="AF120" s="27"/>
      <x:c r="AG120" s="27"/>
      <x:c r="AH120" s="27"/>
      <x:c r="AI120" s="27"/>
      <x:c r="AJ120" s="27"/>
      <x:c r="AK120" s="27"/>
      <x:c r="AL120" s="27"/>
      <x:c r="AM120" s="27"/>
      <x:c r="AN120" s="27"/>
      <x:c r="AO120" s="27"/>
      <x:c r="AP120" s="27"/>
      <x:c r="AQ120" s="27"/>
      <x:c r="AR120" s="27" t="str">
        <x:f>IF(C120="","",SUM(H120,N120,T120,Z120,AF120,AL120))</x:f>
      </x:c>
      <x:c r="AS120" s="27" t="str">
        <x:f>IF(C120="","",SUM(I120,O120,U120,AA120,AG120,AM120))</x:f>
      </x:c>
      <x:c r="AT120" s="27" t="str">
        <x:f>IF(C120="","",SUM(J120,P120,V120,AB120,AH120,AN120))</x:f>
      </x:c>
      <x:c r="AU120" s="27" t="str">
        <x:f>IF(C120="","",SUM(K120,Q120,W120,AC120,AI120,AO120))</x:f>
      </x:c>
      <x:c r="AV120" s="27" t="str">
        <x:f>IF(C120="","",SUM(L120,R120,X120,AD120,AJ120,AP120))</x:f>
      </x:c>
      <x:c r="AW120" s="27" t="str">
        <x:f>IF(C120="","",SUM(M120,S120,Y120,AE120,AK120,AQ120))</x:f>
      </x:c>
      <x:c r="AX120" s="27" t="str">
        <x:f>IF(C120="","",CONCAT(IF(AR120&gt;=LARGE(AR120:AW120,3),"R",""),IF(AS120&gt;=LARGE(AR120:AW120,3),"I",""),IF(AT120&gt;=LARGE(AR120:AW120,3),"A",""),IF(AU120&gt;=LARGE(AR120:AW120,3),"S",""),IF(AV120&gt;=LARGE(AR120:AW120,3),"E",""),IF(AW120&gt;=LARGE(AR120:AW120,3),"C","")))</x:f>
      </x:c>
      <x:c r="AY120" s="27" t="str">
        <x:f>IF(C120="","",IF(AR120=MAX(AR120:AW120),"นักปฏิบัติ",IF(AS120=MAX(AR120:AW120),"นักคิดวิเคราะห์",IF(AT120=MAX(AR120:AW120),"นักสร้างสรรค์",IF(AU120=MAX(AR120:AW120),"ผู้เข้าใจผู้คน",IF(AV120=MAX(AR120:AW120),"ผู้นำการเปลี่ยนแปลง","ผู้จัดระบบ"))))))</x:f>
      </x:c>
    </x:row>
    <x:row r="121">
      <x:c r="A121" s="27"/>
      <x:c r="B121" s="28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  <x:c r="AC121" s="27"/>
      <x:c r="AD121" s="27"/>
      <x:c r="AE121" s="27"/>
      <x:c r="AF121" s="27"/>
      <x:c r="AG121" s="27"/>
      <x:c r="AH121" s="27"/>
      <x:c r="AI121" s="27"/>
      <x:c r="AJ121" s="27"/>
      <x:c r="AK121" s="27"/>
      <x:c r="AL121" s="27"/>
      <x:c r="AM121" s="27"/>
      <x:c r="AN121" s="27"/>
      <x:c r="AO121" s="27"/>
      <x:c r="AP121" s="27"/>
      <x:c r="AQ121" s="27"/>
      <x:c r="AR121" s="27" t="str">
        <x:f>IF(C121="","",SUM(H121,N121,T121,Z121,AF121,AL121))</x:f>
      </x:c>
      <x:c r="AS121" s="27" t="str">
        <x:f>IF(C121="","",SUM(I121,O121,U121,AA121,AG121,AM121))</x:f>
      </x:c>
      <x:c r="AT121" s="27" t="str">
        <x:f>IF(C121="","",SUM(J121,P121,V121,AB121,AH121,AN121))</x:f>
      </x:c>
      <x:c r="AU121" s="27" t="str">
        <x:f>IF(C121="","",SUM(K121,Q121,W121,AC121,AI121,AO121))</x:f>
      </x:c>
      <x:c r="AV121" s="27" t="str">
        <x:f>IF(C121="","",SUM(L121,R121,X121,AD121,AJ121,AP121))</x:f>
      </x:c>
      <x:c r="AW121" s="27" t="str">
        <x:f>IF(C121="","",SUM(M121,S121,Y121,AE121,AK121,AQ121))</x:f>
      </x:c>
      <x:c r="AX121" s="27" t="str">
        <x:f>IF(C121="","",CONCAT(IF(AR121&gt;=LARGE(AR121:AW121,3),"R",""),IF(AS121&gt;=LARGE(AR121:AW121,3),"I",""),IF(AT121&gt;=LARGE(AR121:AW121,3),"A",""),IF(AU121&gt;=LARGE(AR121:AW121,3),"S",""),IF(AV121&gt;=LARGE(AR121:AW121,3),"E",""),IF(AW121&gt;=LARGE(AR121:AW121,3),"C","")))</x:f>
      </x:c>
      <x:c r="AY121" s="27" t="str">
        <x:f>IF(C121="","",IF(AR121=MAX(AR121:AW121),"นักปฏิบัติ",IF(AS121=MAX(AR121:AW121),"นักคิดวิเคราะห์",IF(AT121=MAX(AR121:AW121),"นักสร้างสรรค์",IF(AU121=MAX(AR121:AW121),"ผู้เข้าใจผู้คน",IF(AV121=MAX(AR121:AW121),"ผู้นำการเปลี่ยนแปลง","ผู้จัดระบบ"))))))</x:f>
      </x:c>
    </x:row>
    <x:row r="122">
      <x:c r="A122" s="27"/>
      <x:c r="B122" s="28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  <x:c r="AC122" s="27"/>
      <x:c r="AD122" s="27"/>
      <x:c r="AE122" s="27"/>
      <x:c r="AF122" s="27"/>
      <x:c r="AG122" s="27"/>
      <x:c r="AH122" s="27"/>
      <x:c r="AI122" s="27"/>
      <x:c r="AJ122" s="27"/>
      <x:c r="AK122" s="27"/>
      <x:c r="AL122" s="27"/>
      <x:c r="AM122" s="27"/>
      <x:c r="AN122" s="27"/>
      <x:c r="AO122" s="27"/>
      <x:c r="AP122" s="27"/>
      <x:c r="AQ122" s="27"/>
      <x:c r="AR122" s="27" t="str">
        <x:f>IF(C122="","",SUM(H122,N122,T122,Z122,AF122,AL122))</x:f>
      </x:c>
      <x:c r="AS122" s="27" t="str">
        <x:f>IF(C122="","",SUM(I122,O122,U122,AA122,AG122,AM122))</x:f>
      </x:c>
      <x:c r="AT122" s="27" t="str">
        <x:f>IF(C122="","",SUM(J122,P122,V122,AB122,AH122,AN122))</x:f>
      </x:c>
      <x:c r="AU122" s="27" t="str">
        <x:f>IF(C122="","",SUM(K122,Q122,W122,AC122,AI122,AO122))</x:f>
      </x:c>
      <x:c r="AV122" s="27" t="str">
        <x:f>IF(C122="","",SUM(L122,R122,X122,AD122,AJ122,AP122))</x:f>
      </x:c>
      <x:c r="AW122" s="27" t="str">
        <x:f>IF(C122="","",SUM(M122,S122,Y122,AE122,AK122,AQ122))</x:f>
      </x:c>
      <x:c r="AX122" s="27" t="str">
        <x:f>IF(C122="","",CONCAT(IF(AR122&gt;=LARGE(AR122:AW122,3),"R",""),IF(AS122&gt;=LARGE(AR122:AW122,3),"I",""),IF(AT122&gt;=LARGE(AR122:AW122,3),"A",""),IF(AU122&gt;=LARGE(AR122:AW122,3),"S",""),IF(AV122&gt;=LARGE(AR122:AW122,3),"E",""),IF(AW122&gt;=LARGE(AR122:AW122,3),"C","")))</x:f>
      </x:c>
      <x:c r="AY122" s="27" t="str">
        <x:f>IF(C122="","",IF(AR122=MAX(AR122:AW122),"นักปฏิบัติ",IF(AS122=MAX(AR122:AW122),"นักคิดวิเคราะห์",IF(AT122=MAX(AR122:AW122),"นักสร้างสรรค์",IF(AU122=MAX(AR122:AW122),"ผู้เข้าใจผู้คน",IF(AV122=MAX(AR122:AW122),"ผู้นำการเปลี่ยนแปลง","ผู้จัดระบบ"))))))</x:f>
      </x:c>
    </x:row>
    <x:row r="123">
      <x:c r="A123" s="27"/>
      <x:c r="B123" s="28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  <x:c r="AC123" s="27"/>
      <x:c r="AD123" s="27"/>
      <x:c r="AE123" s="27"/>
      <x:c r="AF123" s="27"/>
      <x:c r="AG123" s="27"/>
      <x:c r="AH123" s="27"/>
      <x:c r="AI123" s="27"/>
      <x:c r="AJ123" s="27"/>
      <x:c r="AK123" s="27"/>
      <x:c r="AL123" s="27"/>
      <x:c r="AM123" s="27"/>
      <x:c r="AN123" s="27"/>
      <x:c r="AO123" s="27"/>
      <x:c r="AP123" s="27"/>
      <x:c r="AQ123" s="27"/>
      <x:c r="AR123" s="27" t="str">
        <x:f>IF(C123="","",SUM(H123,N123,T123,Z123,AF123,AL123))</x:f>
      </x:c>
      <x:c r="AS123" s="27" t="str">
        <x:f>IF(C123="","",SUM(I123,O123,U123,AA123,AG123,AM123))</x:f>
      </x:c>
      <x:c r="AT123" s="27" t="str">
        <x:f>IF(C123="","",SUM(J123,P123,V123,AB123,AH123,AN123))</x:f>
      </x:c>
      <x:c r="AU123" s="27" t="str">
        <x:f>IF(C123="","",SUM(K123,Q123,W123,AC123,AI123,AO123))</x:f>
      </x:c>
      <x:c r="AV123" s="27" t="str">
        <x:f>IF(C123="","",SUM(L123,R123,X123,AD123,AJ123,AP123))</x:f>
      </x:c>
      <x:c r="AW123" s="27" t="str">
        <x:f>IF(C123="","",SUM(M123,S123,Y123,AE123,AK123,AQ123))</x:f>
      </x:c>
      <x:c r="AX123" s="27" t="str">
        <x:f>IF(C123="","",CONCAT(IF(AR123&gt;=LARGE(AR123:AW123,3),"R",""),IF(AS123&gt;=LARGE(AR123:AW123,3),"I",""),IF(AT123&gt;=LARGE(AR123:AW123,3),"A",""),IF(AU123&gt;=LARGE(AR123:AW123,3),"S",""),IF(AV123&gt;=LARGE(AR123:AW123,3),"E",""),IF(AW123&gt;=LARGE(AR123:AW123,3),"C","")))</x:f>
      </x:c>
      <x:c r="AY123" s="27" t="str">
        <x:f>IF(C123="","",IF(AR123=MAX(AR123:AW123),"นักปฏิบัติ",IF(AS123=MAX(AR123:AW123),"นักคิดวิเคราะห์",IF(AT123=MAX(AR123:AW123),"นักสร้างสรรค์",IF(AU123=MAX(AR123:AW123),"ผู้เข้าใจผู้คน",IF(AV123=MAX(AR123:AW123),"ผู้นำการเปลี่ยนแปลง","ผู้จัดระบบ"))))))</x:f>
      </x:c>
    </x:row>
    <x:row r="124">
      <x:c r="A124" s="27"/>
      <x:c r="B124" s="28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  <x:c r="AC124" s="27"/>
      <x:c r="AD124" s="27"/>
      <x:c r="AE124" s="27"/>
      <x:c r="AF124" s="27"/>
      <x:c r="AG124" s="27"/>
      <x:c r="AH124" s="27"/>
      <x:c r="AI124" s="27"/>
      <x:c r="AJ124" s="27"/>
      <x:c r="AK124" s="27"/>
      <x:c r="AL124" s="27"/>
      <x:c r="AM124" s="27"/>
      <x:c r="AN124" s="27"/>
      <x:c r="AO124" s="27"/>
      <x:c r="AP124" s="27"/>
      <x:c r="AQ124" s="27"/>
      <x:c r="AR124" s="27" t="str">
        <x:f>IF(C124="","",SUM(H124,N124,T124,Z124,AF124,AL124))</x:f>
      </x:c>
      <x:c r="AS124" s="27" t="str">
        <x:f>IF(C124="","",SUM(I124,O124,U124,AA124,AG124,AM124))</x:f>
      </x:c>
      <x:c r="AT124" s="27" t="str">
        <x:f>IF(C124="","",SUM(J124,P124,V124,AB124,AH124,AN124))</x:f>
      </x:c>
      <x:c r="AU124" s="27" t="str">
        <x:f>IF(C124="","",SUM(K124,Q124,W124,AC124,AI124,AO124))</x:f>
      </x:c>
      <x:c r="AV124" s="27" t="str">
        <x:f>IF(C124="","",SUM(L124,R124,X124,AD124,AJ124,AP124))</x:f>
      </x:c>
      <x:c r="AW124" s="27" t="str">
        <x:f>IF(C124="","",SUM(M124,S124,Y124,AE124,AK124,AQ124))</x:f>
      </x:c>
      <x:c r="AX124" s="27" t="str">
        <x:f>IF(C124="","",CONCAT(IF(AR124&gt;=LARGE(AR124:AW124,3),"R",""),IF(AS124&gt;=LARGE(AR124:AW124,3),"I",""),IF(AT124&gt;=LARGE(AR124:AW124,3),"A",""),IF(AU124&gt;=LARGE(AR124:AW124,3),"S",""),IF(AV124&gt;=LARGE(AR124:AW124,3),"E",""),IF(AW124&gt;=LARGE(AR124:AW124,3),"C","")))</x:f>
      </x:c>
      <x:c r="AY124" s="27" t="str">
        <x:f>IF(C124="","",IF(AR124=MAX(AR124:AW124),"นักปฏิบัติ",IF(AS124=MAX(AR124:AW124),"นักคิดวิเคราะห์",IF(AT124=MAX(AR124:AW124),"นักสร้างสรรค์",IF(AU124=MAX(AR124:AW124),"ผู้เข้าใจผู้คน",IF(AV124=MAX(AR124:AW124),"ผู้นำการเปลี่ยนแปลง","ผู้จัดระบบ"))))))</x:f>
      </x:c>
    </x:row>
    <x:row r="125">
      <x:c r="A125" s="27"/>
      <x:c r="B125" s="28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  <x:c r="AC125" s="27"/>
      <x:c r="AD125" s="27"/>
      <x:c r="AE125" s="27"/>
      <x:c r="AF125" s="27"/>
      <x:c r="AG125" s="27"/>
      <x:c r="AH125" s="27"/>
      <x:c r="AI125" s="27"/>
      <x:c r="AJ125" s="27"/>
      <x:c r="AK125" s="27"/>
      <x:c r="AL125" s="27"/>
      <x:c r="AM125" s="27"/>
      <x:c r="AN125" s="27"/>
      <x:c r="AO125" s="27"/>
      <x:c r="AP125" s="27"/>
      <x:c r="AQ125" s="27"/>
      <x:c r="AR125" s="27" t="str">
        <x:f>IF(C125="","",SUM(H125,N125,T125,Z125,AF125,AL125))</x:f>
      </x:c>
      <x:c r="AS125" s="27" t="str">
        <x:f>IF(C125="","",SUM(I125,O125,U125,AA125,AG125,AM125))</x:f>
      </x:c>
      <x:c r="AT125" s="27" t="str">
        <x:f>IF(C125="","",SUM(J125,P125,V125,AB125,AH125,AN125))</x:f>
      </x:c>
      <x:c r="AU125" s="27" t="str">
        <x:f>IF(C125="","",SUM(K125,Q125,W125,AC125,AI125,AO125))</x:f>
      </x:c>
      <x:c r="AV125" s="27" t="str">
        <x:f>IF(C125="","",SUM(L125,R125,X125,AD125,AJ125,AP125))</x:f>
      </x:c>
      <x:c r="AW125" s="27" t="str">
        <x:f>IF(C125="","",SUM(M125,S125,Y125,AE125,AK125,AQ125))</x:f>
      </x:c>
      <x:c r="AX125" s="27" t="str">
        <x:f>IF(C125="","",CONCAT(IF(AR125&gt;=LARGE(AR125:AW125,3),"R",""),IF(AS125&gt;=LARGE(AR125:AW125,3),"I",""),IF(AT125&gt;=LARGE(AR125:AW125,3),"A",""),IF(AU125&gt;=LARGE(AR125:AW125,3),"S",""),IF(AV125&gt;=LARGE(AR125:AW125,3),"E",""),IF(AW125&gt;=LARGE(AR125:AW125,3),"C","")))</x:f>
      </x:c>
      <x:c r="AY125" s="27" t="str">
        <x:f>IF(C125="","",IF(AR125=MAX(AR125:AW125),"นักปฏิบัติ",IF(AS125=MAX(AR125:AW125),"นักคิดวิเคราะห์",IF(AT125=MAX(AR125:AW125),"นักสร้างสรรค์",IF(AU125=MAX(AR125:AW125),"ผู้เข้าใจผู้คน",IF(AV125=MAX(AR125:AW125),"ผู้นำการเปลี่ยนแปลง","ผู้จัดระบบ"))))))</x:f>
      </x:c>
    </x:row>
    <x:row r="126">
      <x:c r="A126" s="27"/>
      <x:c r="B126" s="28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  <x:c r="AC126" s="27"/>
      <x:c r="AD126" s="27"/>
      <x:c r="AE126" s="27"/>
      <x:c r="AF126" s="27"/>
      <x:c r="AG126" s="27"/>
      <x:c r="AH126" s="27"/>
      <x:c r="AI126" s="27"/>
      <x:c r="AJ126" s="27"/>
      <x:c r="AK126" s="27"/>
      <x:c r="AL126" s="27"/>
      <x:c r="AM126" s="27"/>
      <x:c r="AN126" s="27"/>
      <x:c r="AO126" s="27"/>
      <x:c r="AP126" s="27"/>
      <x:c r="AQ126" s="27"/>
      <x:c r="AR126" s="27" t="str">
        <x:f>IF(C126="","",SUM(H126,N126,T126,Z126,AF126,AL126))</x:f>
      </x:c>
      <x:c r="AS126" s="27" t="str">
        <x:f>IF(C126="","",SUM(I126,O126,U126,AA126,AG126,AM126))</x:f>
      </x:c>
      <x:c r="AT126" s="27" t="str">
        <x:f>IF(C126="","",SUM(J126,P126,V126,AB126,AH126,AN126))</x:f>
      </x:c>
      <x:c r="AU126" s="27" t="str">
        <x:f>IF(C126="","",SUM(K126,Q126,W126,AC126,AI126,AO126))</x:f>
      </x:c>
      <x:c r="AV126" s="27" t="str">
        <x:f>IF(C126="","",SUM(L126,R126,X126,AD126,AJ126,AP126))</x:f>
      </x:c>
      <x:c r="AW126" s="27" t="str">
        <x:f>IF(C126="","",SUM(M126,S126,Y126,AE126,AK126,AQ126))</x:f>
      </x:c>
      <x:c r="AX126" s="27" t="str">
        <x:f>IF(C126="","",CONCAT(IF(AR126&gt;=LARGE(AR126:AW126,3),"R",""),IF(AS126&gt;=LARGE(AR126:AW126,3),"I",""),IF(AT126&gt;=LARGE(AR126:AW126,3),"A",""),IF(AU126&gt;=LARGE(AR126:AW126,3),"S",""),IF(AV126&gt;=LARGE(AR126:AW126,3),"E",""),IF(AW126&gt;=LARGE(AR126:AW126,3),"C","")))</x:f>
      </x:c>
      <x:c r="AY126" s="27" t="str">
        <x:f>IF(C126="","",IF(AR126=MAX(AR126:AW126),"นักปฏิบัติ",IF(AS126=MAX(AR126:AW126),"นักคิดวิเคราะห์",IF(AT126=MAX(AR126:AW126),"นักสร้างสรรค์",IF(AU126=MAX(AR126:AW126),"ผู้เข้าใจผู้คน",IF(AV126=MAX(AR126:AW126),"ผู้นำการเปลี่ยนแปลง","ผู้จัดระบบ"))))))</x:f>
      </x:c>
    </x:row>
    <x:row r="127">
      <x:c r="A127" s="27"/>
      <x:c r="B127" s="28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  <x:c r="AC127" s="27"/>
      <x:c r="AD127" s="27"/>
      <x:c r="AE127" s="27"/>
      <x:c r="AF127" s="27"/>
      <x:c r="AG127" s="27"/>
      <x:c r="AH127" s="27"/>
      <x:c r="AI127" s="27"/>
      <x:c r="AJ127" s="27"/>
      <x:c r="AK127" s="27"/>
      <x:c r="AL127" s="27"/>
      <x:c r="AM127" s="27"/>
      <x:c r="AN127" s="27"/>
      <x:c r="AO127" s="27"/>
      <x:c r="AP127" s="27"/>
      <x:c r="AQ127" s="27"/>
      <x:c r="AR127" s="27" t="str">
        <x:f>IF(C127="","",SUM(H127,N127,T127,Z127,AF127,AL127))</x:f>
      </x:c>
      <x:c r="AS127" s="27" t="str">
        <x:f>IF(C127="","",SUM(I127,O127,U127,AA127,AG127,AM127))</x:f>
      </x:c>
      <x:c r="AT127" s="27" t="str">
        <x:f>IF(C127="","",SUM(J127,P127,V127,AB127,AH127,AN127))</x:f>
      </x:c>
      <x:c r="AU127" s="27" t="str">
        <x:f>IF(C127="","",SUM(K127,Q127,W127,AC127,AI127,AO127))</x:f>
      </x:c>
      <x:c r="AV127" s="27" t="str">
        <x:f>IF(C127="","",SUM(L127,R127,X127,AD127,AJ127,AP127))</x:f>
      </x:c>
      <x:c r="AW127" s="27" t="str">
        <x:f>IF(C127="","",SUM(M127,S127,Y127,AE127,AK127,AQ127))</x:f>
      </x:c>
      <x:c r="AX127" s="27" t="str">
        <x:f>IF(C127="","",CONCAT(IF(AR127&gt;=LARGE(AR127:AW127,3),"R",""),IF(AS127&gt;=LARGE(AR127:AW127,3),"I",""),IF(AT127&gt;=LARGE(AR127:AW127,3),"A",""),IF(AU127&gt;=LARGE(AR127:AW127,3),"S",""),IF(AV127&gt;=LARGE(AR127:AW127,3),"E",""),IF(AW127&gt;=LARGE(AR127:AW127,3),"C","")))</x:f>
      </x:c>
      <x:c r="AY127" s="27" t="str">
        <x:f>IF(C127="","",IF(AR127=MAX(AR127:AW127),"นักปฏิบัติ",IF(AS127=MAX(AR127:AW127),"นักคิดวิเคราะห์",IF(AT127=MAX(AR127:AW127),"นักสร้างสรรค์",IF(AU127=MAX(AR127:AW127),"ผู้เข้าใจผู้คน",IF(AV127=MAX(AR127:AW127),"ผู้นำการเปลี่ยนแปลง","ผู้จัดระบบ"))))))</x:f>
      </x:c>
    </x:row>
    <x:row r="128">
      <x:c r="A128" s="27"/>
      <x:c r="B128" s="28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  <x:c r="AC128" s="27"/>
      <x:c r="AD128" s="27"/>
      <x:c r="AE128" s="27"/>
      <x:c r="AF128" s="27"/>
      <x:c r="AG128" s="27"/>
      <x:c r="AH128" s="27"/>
      <x:c r="AI128" s="27"/>
      <x:c r="AJ128" s="27"/>
      <x:c r="AK128" s="27"/>
      <x:c r="AL128" s="27"/>
      <x:c r="AM128" s="27"/>
      <x:c r="AN128" s="27"/>
      <x:c r="AO128" s="27"/>
      <x:c r="AP128" s="27"/>
      <x:c r="AQ128" s="27"/>
      <x:c r="AR128" s="27" t="str">
        <x:f>IF(C128="","",SUM(H128,N128,T128,Z128,AF128,AL128))</x:f>
      </x:c>
      <x:c r="AS128" s="27" t="str">
        <x:f>IF(C128="","",SUM(I128,O128,U128,AA128,AG128,AM128))</x:f>
      </x:c>
      <x:c r="AT128" s="27" t="str">
        <x:f>IF(C128="","",SUM(J128,P128,V128,AB128,AH128,AN128))</x:f>
      </x:c>
      <x:c r="AU128" s="27" t="str">
        <x:f>IF(C128="","",SUM(K128,Q128,W128,AC128,AI128,AO128))</x:f>
      </x:c>
      <x:c r="AV128" s="27" t="str">
        <x:f>IF(C128="","",SUM(L128,R128,X128,AD128,AJ128,AP128))</x:f>
      </x:c>
      <x:c r="AW128" s="27" t="str">
        <x:f>IF(C128="","",SUM(M128,S128,Y128,AE128,AK128,AQ128))</x:f>
      </x:c>
      <x:c r="AX128" s="27" t="str">
        <x:f>IF(C128="","",CONCAT(IF(AR128&gt;=LARGE(AR128:AW128,3),"R",""),IF(AS128&gt;=LARGE(AR128:AW128,3),"I",""),IF(AT128&gt;=LARGE(AR128:AW128,3),"A",""),IF(AU128&gt;=LARGE(AR128:AW128,3),"S",""),IF(AV128&gt;=LARGE(AR128:AW128,3),"E",""),IF(AW128&gt;=LARGE(AR128:AW128,3),"C","")))</x:f>
      </x:c>
      <x:c r="AY128" s="27" t="str">
        <x:f>IF(C128="","",IF(AR128=MAX(AR128:AW128),"นักปฏิบัติ",IF(AS128=MAX(AR128:AW128),"นักคิดวิเคราะห์",IF(AT128=MAX(AR128:AW128),"นักสร้างสรรค์",IF(AU128=MAX(AR128:AW128),"ผู้เข้าใจผู้คน",IF(AV128=MAX(AR128:AW128),"ผู้นำการเปลี่ยนแปลง","ผู้จัดระบบ"))))))</x:f>
      </x:c>
    </x:row>
    <x:row r="129">
      <x:c r="A129" s="27"/>
      <x:c r="B129" s="28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  <x:c r="AC129" s="27"/>
      <x:c r="AD129" s="27"/>
      <x:c r="AE129" s="27"/>
      <x:c r="AF129" s="27"/>
      <x:c r="AG129" s="27"/>
      <x:c r="AH129" s="27"/>
      <x:c r="AI129" s="27"/>
      <x:c r="AJ129" s="27"/>
      <x:c r="AK129" s="27"/>
      <x:c r="AL129" s="27"/>
      <x:c r="AM129" s="27"/>
      <x:c r="AN129" s="27"/>
      <x:c r="AO129" s="27"/>
      <x:c r="AP129" s="27"/>
      <x:c r="AQ129" s="27"/>
      <x:c r="AR129" s="27" t="str">
        <x:f>IF(C129="","",SUM(H129,N129,T129,Z129,AF129,AL129))</x:f>
      </x:c>
      <x:c r="AS129" s="27" t="str">
        <x:f>IF(C129="","",SUM(I129,O129,U129,AA129,AG129,AM129))</x:f>
      </x:c>
      <x:c r="AT129" s="27" t="str">
        <x:f>IF(C129="","",SUM(J129,P129,V129,AB129,AH129,AN129))</x:f>
      </x:c>
      <x:c r="AU129" s="27" t="str">
        <x:f>IF(C129="","",SUM(K129,Q129,W129,AC129,AI129,AO129))</x:f>
      </x:c>
      <x:c r="AV129" s="27" t="str">
        <x:f>IF(C129="","",SUM(L129,R129,X129,AD129,AJ129,AP129))</x:f>
      </x:c>
      <x:c r="AW129" s="27" t="str">
        <x:f>IF(C129="","",SUM(M129,S129,Y129,AE129,AK129,AQ129))</x:f>
      </x:c>
      <x:c r="AX129" s="27" t="str">
        <x:f>IF(C129="","",CONCAT(IF(AR129&gt;=LARGE(AR129:AW129,3),"R",""),IF(AS129&gt;=LARGE(AR129:AW129,3),"I",""),IF(AT129&gt;=LARGE(AR129:AW129,3),"A",""),IF(AU129&gt;=LARGE(AR129:AW129,3),"S",""),IF(AV129&gt;=LARGE(AR129:AW129,3),"E",""),IF(AW129&gt;=LARGE(AR129:AW129,3),"C","")))</x:f>
      </x:c>
      <x:c r="AY129" s="27" t="str">
        <x:f>IF(C129="","",IF(AR129=MAX(AR129:AW129),"นักปฏิบัติ",IF(AS129=MAX(AR129:AW129),"นักคิดวิเคราะห์",IF(AT129=MAX(AR129:AW129),"นักสร้างสรรค์",IF(AU129=MAX(AR129:AW129),"ผู้เข้าใจผู้คน",IF(AV129=MAX(AR129:AW129),"ผู้นำการเปลี่ยนแปลง","ผู้จัดระบบ"))))))</x:f>
      </x:c>
    </x:row>
    <x:row r="130">
      <x:c r="A130" s="27"/>
      <x:c r="B130" s="28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  <x:c r="AC130" s="27"/>
      <x:c r="AD130" s="27"/>
      <x:c r="AE130" s="27"/>
      <x:c r="AF130" s="27"/>
      <x:c r="AG130" s="27"/>
      <x:c r="AH130" s="27"/>
      <x:c r="AI130" s="27"/>
      <x:c r="AJ130" s="27"/>
      <x:c r="AK130" s="27"/>
      <x:c r="AL130" s="27"/>
      <x:c r="AM130" s="27"/>
      <x:c r="AN130" s="27"/>
      <x:c r="AO130" s="27"/>
      <x:c r="AP130" s="27"/>
      <x:c r="AQ130" s="27"/>
      <x:c r="AR130" s="27" t="str">
        <x:f>IF(C130="","",SUM(H130,N130,T130,Z130,AF130,AL130))</x:f>
      </x:c>
      <x:c r="AS130" s="27" t="str">
        <x:f>IF(C130="","",SUM(I130,O130,U130,AA130,AG130,AM130))</x:f>
      </x:c>
      <x:c r="AT130" s="27" t="str">
        <x:f>IF(C130="","",SUM(J130,P130,V130,AB130,AH130,AN130))</x:f>
      </x:c>
      <x:c r="AU130" s="27" t="str">
        <x:f>IF(C130="","",SUM(K130,Q130,W130,AC130,AI130,AO130))</x:f>
      </x:c>
      <x:c r="AV130" s="27" t="str">
        <x:f>IF(C130="","",SUM(L130,R130,X130,AD130,AJ130,AP130))</x:f>
      </x:c>
      <x:c r="AW130" s="27" t="str">
        <x:f>IF(C130="","",SUM(M130,S130,Y130,AE130,AK130,AQ130))</x:f>
      </x:c>
      <x:c r="AX130" s="27" t="str">
        <x:f>IF(C130="","",CONCAT(IF(AR130&gt;=LARGE(AR130:AW130,3),"R",""),IF(AS130&gt;=LARGE(AR130:AW130,3),"I",""),IF(AT130&gt;=LARGE(AR130:AW130,3),"A",""),IF(AU130&gt;=LARGE(AR130:AW130,3),"S",""),IF(AV130&gt;=LARGE(AR130:AW130,3),"E",""),IF(AW130&gt;=LARGE(AR130:AW130,3),"C","")))</x:f>
      </x:c>
      <x:c r="AY130" s="27" t="str">
        <x:f>IF(C130="","",IF(AR130=MAX(AR130:AW130),"นักปฏิบัติ",IF(AS130=MAX(AR130:AW130),"นักคิดวิเคราะห์",IF(AT130=MAX(AR130:AW130),"นักสร้างสรรค์",IF(AU130=MAX(AR130:AW130),"ผู้เข้าใจผู้คน",IF(AV130=MAX(AR130:AW130),"ผู้นำการเปลี่ยนแปลง","ผู้จัดระบบ"))))))</x:f>
      </x:c>
    </x:row>
    <x:row r="131">
      <x:c r="A131" s="27"/>
      <x:c r="B131" s="28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  <x:c r="AC131" s="27"/>
      <x:c r="AD131" s="27"/>
      <x:c r="AE131" s="27"/>
      <x:c r="AF131" s="27"/>
      <x:c r="AG131" s="27"/>
      <x:c r="AH131" s="27"/>
      <x:c r="AI131" s="27"/>
      <x:c r="AJ131" s="27"/>
      <x:c r="AK131" s="27"/>
      <x:c r="AL131" s="27"/>
      <x:c r="AM131" s="27"/>
      <x:c r="AN131" s="27"/>
      <x:c r="AO131" s="27"/>
      <x:c r="AP131" s="27"/>
      <x:c r="AQ131" s="27"/>
      <x:c r="AR131" s="27" t="str">
        <x:f>IF(C131="","",SUM(H131,N131,T131,Z131,AF131,AL131))</x:f>
      </x:c>
      <x:c r="AS131" s="27" t="str">
        <x:f>IF(C131="","",SUM(I131,O131,U131,AA131,AG131,AM131))</x:f>
      </x:c>
      <x:c r="AT131" s="27" t="str">
        <x:f>IF(C131="","",SUM(J131,P131,V131,AB131,AH131,AN131))</x:f>
      </x:c>
      <x:c r="AU131" s="27" t="str">
        <x:f>IF(C131="","",SUM(K131,Q131,W131,AC131,AI131,AO131))</x:f>
      </x:c>
      <x:c r="AV131" s="27" t="str">
        <x:f>IF(C131="","",SUM(L131,R131,X131,AD131,AJ131,AP131))</x:f>
      </x:c>
      <x:c r="AW131" s="27" t="str">
        <x:f>IF(C131="","",SUM(M131,S131,Y131,AE131,AK131,AQ131))</x:f>
      </x:c>
      <x:c r="AX131" s="27" t="str">
        <x:f>IF(C131="","",CONCAT(IF(AR131&gt;=LARGE(AR131:AW131,3),"R",""),IF(AS131&gt;=LARGE(AR131:AW131,3),"I",""),IF(AT131&gt;=LARGE(AR131:AW131,3),"A",""),IF(AU131&gt;=LARGE(AR131:AW131,3),"S",""),IF(AV131&gt;=LARGE(AR131:AW131,3),"E",""),IF(AW131&gt;=LARGE(AR131:AW131,3),"C","")))</x:f>
      </x:c>
      <x:c r="AY131" s="27" t="str">
        <x:f>IF(C131="","",IF(AR131=MAX(AR131:AW131),"นักปฏิบัติ",IF(AS131=MAX(AR131:AW131),"นักคิดวิเคราะห์",IF(AT131=MAX(AR131:AW131),"นักสร้างสรรค์",IF(AU131=MAX(AR131:AW131),"ผู้เข้าใจผู้คน",IF(AV131=MAX(AR131:AW131),"ผู้นำการเปลี่ยนแปลง","ผู้จัดระบบ"))))))</x:f>
      </x:c>
    </x:row>
    <x:row r="132">
      <x:c r="A132" s="27"/>
      <x:c r="B132" s="28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  <x:c r="AC132" s="27"/>
      <x:c r="AD132" s="27"/>
      <x:c r="AE132" s="27"/>
      <x:c r="AF132" s="27"/>
      <x:c r="AG132" s="27"/>
      <x:c r="AH132" s="27"/>
      <x:c r="AI132" s="27"/>
      <x:c r="AJ132" s="27"/>
      <x:c r="AK132" s="27"/>
      <x:c r="AL132" s="27"/>
      <x:c r="AM132" s="27"/>
      <x:c r="AN132" s="27"/>
      <x:c r="AO132" s="27"/>
      <x:c r="AP132" s="27"/>
      <x:c r="AQ132" s="27"/>
      <x:c r="AR132" s="27" t="str">
        <x:f>IF(C132="","",SUM(H132,N132,T132,Z132,AF132,AL132))</x:f>
      </x:c>
      <x:c r="AS132" s="27" t="str">
        <x:f>IF(C132="","",SUM(I132,O132,U132,AA132,AG132,AM132))</x:f>
      </x:c>
      <x:c r="AT132" s="27" t="str">
        <x:f>IF(C132="","",SUM(J132,P132,V132,AB132,AH132,AN132))</x:f>
      </x:c>
      <x:c r="AU132" s="27" t="str">
        <x:f>IF(C132="","",SUM(K132,Q132,W132,AC132,AI132,AO132))</x:f>
      </x:c>
      <x:c r="AV132" s="27" t="str">
        <x:f>IF(C132="","",SUM(L132,R132,X132,AD132,AJ132,AP132))</x:f>
      </x:c>
      <x:c r="AW132" s="27" t="str">
        <x:f>IF(C132="","",SUM(M132,S132,Y132,AE132,AK132,AQ132))</x:f>
      </x:c>
      <x:c r="AX132" s="27" t="str">
        <x:f>IF(C132="","",CONCAT(IF(AR132&gt;=LARGE(AR132:AW132,3),"R",""),IF(AS132&gt;=LARGE(AR132:AW132,3),"I",""),IF(AT132&gt;=LARGE(AR132:AW132,3),"A",""),IF(AU132&gt;=LARGE(AR132:AW132,3),"S",""),IF(AV132&gt;=LARGE(AR132:AW132,3),"E",""),IF(AW132&gt;=LARGE(AR132:AW132,3),"C","")))</x:f>
      </x:c>
      <x:c r="AY132" s="27" t="str">
        <x:f>IF(C132="","",IF(AR132=MAX(AR132:AW132),"นักปฏิบัติ",IF(AS132=MAX(AR132:AW132),"นักคิดวิเคราะห์",IF(AT132=MAX(AR132:AW132),"นักสร้างสรรค์",IF(AU132=MAX(AR132:AW132),"ผู้เข้าใจผู้คน",IF(AV132=MAX(AR132:AW132),"ผู้นำการเปลี่ยนแปลง","ผู้จัดระบบ"))))))</x:f>
      </x:c>
    </x:row>
    <x:row r="133">
      <x:c r="A133" s="27"/>
      <x:c r="B133" s="28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  <x:c r="AC133" s="27"/>
      <x:c r="AD133" s="27"/>
      <x:c r="AE133" s="27"/>
      <x:c r="AF133" s="27"/>
      <x:c r="AG133" s="27"/>
      <x:c r="AH133" s="27"/>
      <x:c r="AI133" s="27"/>
      <x:c r="AJ133" s="27"/>
      <x:c r="AK133" s="27"/>
      <x:c r="AL133" s="27"/>
      <x:c r="AM133" s="27"/>
      <x:c r="AN133" s="27"/>
      <x:c r="AO133" s="27"/>
      <x:c r="AP133" s="27"/>
      <x:c r="AQ133" s="27"/>
      <x:c r="AR133" s="27" t="str">
        <x:f>IF(C133="","",SUM(H133,N133,T133,Z133,AF133,AL133))</x:f>
      </x:c>
      <x:c r="AS133" s="27" t="str">
        <x:f>IF(C133="","",SUM(I133,O133,U133,AA133,AG133,AM133))</x:f>
      </x:c>
      <x:c r="AT133" s="27" t="str">
        <x:f>IF(C133="","",SUM(J133,P133,V133,AB133,AH133,AN133))</x:f>
      </x:c>
      <x:c r="AU133" s="27" t="str">
        <x:f>IF(C133="","",SUM(K133,Q133,W133,AC133,AI133,AO133))</x:f>
      </x:c>
      <x:c r="AV133" s="27" t="str">
        <x:f>IF(C133="","",SUM(L133,R133,X133,AD133,AJ133,AP133))</x:f>
      </x:c>
      <x:c r="AW133" s="27" t="str">
        <x:f>IF(C133="","",SUM(M133,S133,Y133,AE133,AK133,AQ133))</x:f>
      </x:c>
      <x:c r="AX133" s="27" t="str">
        <x:f>IF(C133="","",CONCAT(IF(AR133&gt;=LARGE(AR133:AW133,3),"R",""),IF(AS133&gt;=LARGE(AR133:AW133,3),"I",""),IF(AT133&gt;=LARGE(AR133:AW133,3),"A",""),IF(AU133&gt;=LARGE(AR133:AW133,3),"S",""),IF(AV133&gt;=LARGE(AR133:AW133,3),"E",""),IF(AW133&gt;=LARGE(AR133:AW133,3),"C","")))</x:f>
      </x:c>
      <x:c r="AY133" s="27" t="str">
        <x:f>IF(C133="","",IF(AR133=MAX(AR133:AW133),"นักปฏิบัติ",IF(AS133=MAX(AR133:AW133),"นักคิดวิเคราะห์",IF(AT133=MAX(AR133:AW133),"นักสร้างสรรค์",IF(AU133=MAX(AR133:AW133),"ผู้เข้าใจผู้คน",IF(AV133=MAX(AR133:AW133),"ผู้นำการเปลี่ยนแปลง","ผู้จัดระบบ"))))))</x:f>
      </x:c>
    </x:row>
    <x:row r="134">
      <x:c r="A134" s="27"/>
      <x:c r="B134" s="28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  <x:c r="AC134" s="27"/>
      <x:c r="AD134" s="27"/>
      <x:c r="AE134" s="27"/>
      <x:c r="AF134" s="27"/>
      <x:c r="AG134" s="27"/>
      <x:c r="AH134" s="27"/>
      <x:c r="AI134" s="27"/>
      <x:c r="AJ134" s="27"/>
      <x:c r="AK134" s="27"/>
      <x:c r="AL134" s="27"/>
      <x:c r="AM134" s="27"/>
      <x:c r="AN134" s="27"/>
      <x:c r="AO134" s="27"/>
      <x:c r="AP134" s="27"/>
      <x:c r="AQ134" s="27"/>
      <x:c r="AR134" s="27" t="str">
        <x:f>IF(C134="","",SUM(H134,N134,T134,Z134,AF134,AL134))</x:f>
      </x:c>
      <x:c r="AS134" s="27" t="str">
        <x:f>IF(C134="","",SUM(I134,O134,U134,AA134,AG134,AM134))</x:f>
      </x:c>
      <x:c r="AT134" s="27" t="str">
        <x:f>IF(C134="","",SUM(J134,P134,V134,AB134,AH134,AN134))</x:f>
      </x:c>
      <x:c r="AU134" s="27" t="str">
        <x:f>IF(C134="","",SUM(K134,Q134,W134,AC134,AI134,AO134))</x:f>
      </x:c>
      <x:c r="AV134" s="27" t="str">
        <x:f>IF(C134="","",SUM(L134,R134,X134,AD134,AJ134,AP134))</x:f>
      </x:c>
      <x:c r="AW134" s="27" t="str">
        <x:f>IF(C134="","",SUM(M134,S134,Y134,AE134,AK134,AQ134))</x:f>
      </x:c>
      <x:c r="AX134" s="27" t="str">
        <x:f>IF(C134="","",CONCAT(IF(AR134&gt;=LARGE(AR134:AW134,3),"R",""),IF(AS134&gt;=LARGE(AR134:AW134,3),"I",""),IF(AT134&gt;=LARGE(AR134:AW134,3),"A",""),IF(AU134&gt;=LARGE(AR134:AW134,3),"S",""),IF(AV134&gt;=LARGE(AR134:AW134,3),"E",""),IF(AW134&gt;=LARGE(AR134:AW134,3),"C","")))</x:f>
      </x:c>
      <x:c r="AY134" s="27" t="str">
        <x:f>IF(C134="","",IF(AR134=MAX(AR134:AW134),"นักปฏิบัติ",IF(AS134=MAX(AR134:AW134),"นักคิดวิเคราะห์",IF(AT134=MAX(AR134:AW134),"นักสร้างสรรค์",IF(AU134=MAX(AR134:AW134),"ผู้เข้าใจผู้คน",IF(AV134=MAX(AR134:AW134),"ผู้นำการเปลี่ยนแปลง","ผู้จัดระบบ"))))))</x:f>
      </x:c>
    </x:row>
    <x:row r="135">
      <x:c r="A135" s="27"/>
      <x:c r="B135" s="28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  <x:c r="AC135" s="27"/>
      <x:c r="AD135" s="27"/>
      <x:c r="AE135" s="27"/>
      <x:c r="AF135" s="27"/>
      <x:c r="AG135" s="27"/>
      <x:c r="AH135" s="27"/>
      <x:c r="AI135" s="27"/>
      <x:c r="AJ135" s="27"/>
      <x:c r="AK135" s="27"/>
      <x:c r="AL135" s="27"/>
      <x:c r="AM135" s="27"/>
      <x:c r="AN135" s="27"/>
      <x:c r="AO135" s="27"/>
      <x:c r="AP135" s="27"/>
      <x:c r="AQ135" s="27"/>
      <x:c r="AR135" s="27" t="str">
        <x:f>IF(C135="","",SUM(H135,N135,T135,Z135,AF135,AL135))</x:f>
      </x:c>
      <x:c r="AS135" s="27" t="str">
        <x:f>IF(C135="","",SUM(I135,O135,U135,AA135,AG135,AM135))</x:f>
      </x:c>
      <x:c r="AT135" s="27" t="str">
        <x:f>IF(C135="","",SUM(J135,P135,V135,AB135,AH135,AN135))</x:f>
      </x:c>
      <x:c r="AU135" s="27" t="str">
        <x:f>IF(C135="","",SUM(K135,Q135,W135,AC135,AI135,AO135))</x:f>
      </x:c>
      <x:c r="AV135" s="27" t="str">
        <x:f>IF(C135="","",SUM(L135,R135,X135,AD135,AJ135,AP135))</x:f>
      </x:c>
      <x:c r="AW135" s="27" t="str">
        <x:f>IF(C135="","",SUM(M135,S135,Y135,AE135,AK135,AQ135))</x:f>
      </x:c>
      <x:c r="AX135" s="27" t="str">
        <x:f>IF(C135="","",CONCAT(IF(AR135&gt;=LARGE(AR135:AW135,3),"R",""),IF(AS135&gt;=LARGE(AR135:AW135,3),"I",""),IF(AT135&gt;=LARGE(AR135:AW135,3),"A",""),IF(AU135&gt;=LARGE(AR135:AW135,3),"S",""),IF(AV135&gt;=LARGE(AR135:AW135,3),"E",""),IF(AW135&gt;=LARGE(AR135:AW135,3),"C","")))</x:f>
      </x:c>
      <x:c r="AY135" s="27" t="str">
        <x:f>IF(C135="","",IF(AR135=MAX(AR135:AW135),"นักปฏิบัติ",IF(AS135=MAX(AR135:AW135),"นักคิดวิเคราะห์",IF(AT135=MAX(AR135:AW135),"นักสร้างสรรค์",IF(AU135=MAX(AR135:AW135),"ผู้เข้าใจผู้คน",IF(AV135=MAX(AR135:AW135),"ผู้นำการเปลี่ยนแปลง","ผู้จัดระบบ"))))))</x:f>
      </x:c>
    </x:row>
    <x:row r="136">
      <x:c r="A136" s="27"/>
      <x:c r="B136" s="28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  <x:c r="AC136" s="27"/>
      <x:c r="AD136" s="27"/>
      <x:c r="AE136" s="27"/>
      <x:c r="AF136" s="27"/>
      <x:c r="AG136" s="27"/>
      <x:c r="AH136" s="27"/>
      <x:c r="AI136" s="27"/>
      <x:c r="AJ136" s="27"/>
      <x:c r="AK136" s="27"/>
      <x:c r="AL136" s="27"/>
      <x:c r="AM136" s="27"/>
      <x:c r="AN136" s="27"/>
      <x:c r="AO136" s="27"/>
      <x:c r="AP136" s="27"/>
      <x:c r="AQ136" s="27"/>
      <x:c r="AR136" s="27" t="str">
        <x:f>IF(C136="","",SUM(H136,N136,T136,Z136,AF136,AL136))</x:f>
      </x:c>
      <x:c r="AS136" s="27" t="str">
        <x:f>IF(C136="","",SUM(I136,O136,U136,AA136,AG136,AM136))</x:f>
      </x:c>
      <x:c r="AT136" s="27" t="str">
        <x:f>IF(C136="","",SUM(J136,P136,V136,AB136,AH136,AN136))</x:f>
      </x:c>
      <x:c r="AU136" s="27" t="str">
        <x:f>IF(C136="","",SUM(K136,Q136,W136,AC136,AI136,AO136))</x:f>
      </x:c>
      <x:c r="AV136" s="27" t="str">
        <x:f>IF(C136="","",SUM(L136,R136,X136,AD136,AJ136,AP136))</x:f>
      </x:c>
      <x:c r="AW136" s="27" t="str">
        <x:f>IF(C136="","",SUM(M136,S136,Y136,AE136,AK136,AQ136))</x:f>
      </x:c>
      <x:c r="AX136" s="27" t="str">
        <x:f>IF(C136="","",CONCAT(IF(AR136&gt;=LARGE(AR136:AW136,3),"R",""),IF(AS136&gt;=LARGE(AR136:AW136,3),"I",""),IF(AT136&gt;=LARGE(AR136:AW136,3),"A",""),IF(AU136&gt;=LARGE(AR136:AW136,3),"S",""),IF(AV136&gt;=LARGE(AR136:AW136,3),"E",""),IF(AW136&gt;=LARGE(AR136:AW136,3),"C","")))</x:f>
      </x:c>
      <x:c r="AY136" s="27" t="str">
        <x:f>IF(C136="","",IF(AR136=MAX(AR136:AW136),"นักปฏิบัติ",IF(AS136=MAX(AR136:AW136),"นักคิดวิเคราะห์",IF(AT136=MAX(AR136:AW136),"นักสร้างสรรค์",IF(AU136=MAX(AR136:AW136),"ผู้เข้าใจผู้คน",IF(AV136=MAX(AR136:AW136),"ผู้นำการเปลี่ยนแปลง","ผู้จัดระบบ"))))))</x:f>
      </x:c>
    </x:row>
    <x:row r="137">
      <x:c r="A137" s="27"/>
      <x:c r="B137" s="28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  <x:c r="AC137" s="27"/>
      <x:c r="AD137" s="27"/>
      <x:c r="AE137" s="27"/>
      <x:c r="AF137" s="27"/>
      <x:c r="AG137" s="27"/>
      <x:c r="AH137" s="27"/>
      <x:c r="AI137" s="27"/>
      <x:c r="AJ137" s="27"/>
      <x:c r="AK137" s="27"/>
      <x:c r="AL137" s="27"/>
      <x:c r="AM137" s="27"/>
      <x:c r="AN137" s="27"/>
      <x:c r="AO137" s="27"/>
      <x:c r="AP137" s="27"/>
      <x:c r="AQ137" s="27"/>
      <x:c r="AR137" s="27" t="str">
        <x:f>IF(C137="","",SUM(H137,N137,T137,Z137,AF137,AL137))</x:f>
      </x:c>
      <x:c r="AS137" s="27" t="str">
        <x:f>IF(C137="","",SUM(I137,O137,U137,AA137,AG137,AM137))</x:f>
      </x:c>
      <x:c r="AT137" s="27" t="str">
        <x:f>IF(C137="","",SUM(J137,P137,V137,AB137,AH137,AN137))</x:f>
      </x:c>
      <x:c r="AU137" s="27" t="str">
        <x:f>IF(C137="","",SUM(K137,Q137,W137,AC137,AI137,AO137))</x:f>
      </x:c>
      <x:c r="AV137" s="27" t="str">
        <x:f>IF(C137="","",SUM(L137,R137,X137,AD137,AJ137,AP137))</x:f>
      </x:c>
      <x:c r="AW137" s="27" t="str">
        <x:f>IF(C137="","",SUM(M137,S137,Y137,AE137,AK137,AQ137))</x:f>
      </x:c>
      <x:c r="AX137" s="27" t="str">
        <x:f>IF(C137="","",CONCAT(IF(AR137&gt;=LARGE(AR137:AW137,3),"R",""),IF(AS137&gt;=LARGE(AR137:AW137,3),"I",""),IF(AT137&gt;=LARGE(AR137:AW137,3),"A",""),IF(AU137&gt;=LARGE(AR137:AW137,3),"S",""),IF(AV137&gt;=LARGE(AR137:AW137,3),"E",""),IF(AW137&gt;=LARGE(AR137:AW137,3),"C","")))</x:f>
      </x:c>
      <x:c r="AY137" s="27" t="str">
        <x:f>IF(C137="","",IF(AR137=MAX(AR137:AW137),"นักปฏิบัติ",IF(AS137=MAX(AR137:AW137),"นักคิดวิเคราะห์",IF(AT137=MAX(AR137:AW137),"นักสร้างสรรค์",IF(AU137=MAX(AR137:AW137),"ผู้เข้าใจผู้คน",IF(AV137=MAX(AR137:AW137),"ผู้นำการเปลี่ยนแปลง","ผู้จัดระบบ"))))))</x:f>
      </x:c>
    </x:row>
    <x:row r="138">
      <x:c r="A138" s="27"/>
      <x:c r="B138" s="28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  <x:c r="AC138" s="27"/>
      <x:c r="AD138" s="27"/>
      <x:c r="AE138" s="27"/>
      <x:c r="AF138" s="27"/>
      <x:c r="AG138" s="27"/>
      <x:c r="AH138" s="27"/>
      <x:c r="AI138" s="27"/>
      <x:c r="AJ138" s="27"/>
      <x:c r="AK138" s="27"/>
      <x:c r="AL138" s="27"/>
      <x:c r="AM138" s="27"/>
      <x:c r="AN138" s="27"/>
      <x:c r="AO138" s="27"/>
      <x:c r="AP138" s="27"/>
      <x:c r="AQ138" s="27"/>
      <x:c r="AR138" s="27" t="str">
        <x:f>IF(C138="","",SUM(H138,N138,T138,Z138,AF138,AL138))</x:f>
      </x:c>
      <x:c r="AS138" s="27" t="str">
        <x:f>IF(C138="","",SUM(I138,O138,U138,AA138,AG138,AM138))</x:f>
      </x:c>
      <x:c r="AT138" s="27" t="str">
        <x:f>IF(C138="","",SUM(J138,P138,V138,AB138,AH138,AN138))</x:f>
      </x:c>
      <x:c r="AU138" s="27" t="str">
        <x:f>IF(C138="","",SUM(K138,Q138,W138,AC138,AI138,AO138))</x:f>
      </x:c>
      <x:c r="AV138" s="27" t="str">
        <x:f>IF(C138="","",SUM(L138,R138,X138,AD138,AJ138,AP138))</x:f>
      </x:c>
      <x:c r="AW138" s="27" t="str">
        <x:f>IF(C138="","",SUM(M138,S138,Y138,AE138,AK138,AQ138))</x:f>
      </x:c>
      <x:c r="AX138" s="27" t="str">
        <x:f>IF(C138="","",CONCAT(IF(AR138&gt;=LARGE(AR138:AW138,3),"R",""),IF(AS138&gt;=LARGE(AR138:AW138,3),"I",""),IF(AT138&gt;=LARGE(AR138:AW138,3),"A",""),IF(AU138&gt;=LARGE(AR138:AW138,3),"S",""),IF(AV138&gt;=LARGE(AR138:AW138,3),"E",""),IF(AW138&gt;=LARGE(AR138:AW138,3),"C","")))</x:f>
      </x:c>
      <x:c r="AY138" s="27" t="str">
        <x:f>IF(C138="","",IF(AR138=MAX(AR138:AW138),"นักปฏิบัติ",IF(AS138=MAX(AR138:AW138),"นักคิดวิเคราะห์",IF(AT138=MAX(AR138:AW138),"นักสร้างสรรค์",IF(AU138=MAX(AR138:AW138),"ผู้เข้าใจผู้คน",IF(AV138=MAX(AR138:AW138),"ผู้นำการเปลี่ยนแปลง","ผู้จัดระบบ"))))))</x:f>
      </x:c>
    </x:row>
    <x:row r="139">
      <x:c r="A139" s="27"/>
      <x:c r="B139" s="28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  <x:c r="AC139" s="27"/>
      <x:c r="AD139" s="27"/>
      <x:c r="AE139" s="27"/>
      <x:c r="AF139" s="27"/>
      <x:c r="AG139" s="27"/>
      <x:c r="AH139" s="27"/>
      <x:c r="AI139" s="27"/>
      <x:c r="AJ139" s="27"/>
      <x:c r="AK139" s="27"/>
      <x:c r="AL139" s="27"/>
      <x:c r="AM139" s="27"/>
      <x:c r="AN139" s="27"/>
      <x:c r="AO139" s="27"/>
      <x:c r="AP139" s="27"/>
      <x:c r="AQ139" s="27"/>
      <x:c r="AR139" s="27" t="str">
        <x:f>IF(C139="","",SUM(H139,N139,T139,Z139,AF139,AL139))</x:f>
      </x:c>
      <x:c r="AS139" s="27" t="str">
        <x:f>IF(C139="","",SUM(I139,O139,U139,AA139,AG139,AM139))</x:f>
      </x:c>
      <x:c r="AT139" s="27" t="str">
        <x:f>IF(C139="","",SUM(J139,P139,V139,AB139,AH139,AN139))</x:f>
      </x:c>
      <x:c r="AU139" s="27" t="str">
        <x:f>IF(C139="","",SUM(K139,Q139,W139,AC139,AI139,AO139))</x:f>
      </x:c>
      <x:c r="AV139" s="27" t="str">
        <x:f>IF(C139="","",SUM(L139,R139,X139,AD139,AJ139,AP139))</x:f>
      </x:c>
      <x:c r="AW139" s="27" t="str">
        <x:f>IF(C139="","",SUM(M139,S139,Y139,AE139,AK139,AQ139))</x:f>
      </x:c>
      <x:c r="AX139" s="27" t="str">
        <x:f>IF(C139="","",CONCAT(IF(AR139&gt;=LARGE(AR139:AW139,3),"R",""),IF(AS139&gt;=LARGE(AR139:AW139,3),"I",""),IF(AT139&gt;=LARGE(AR139:AW139,3),"A",""),IF(AU139&gt;=LARGE(AR139:AW139,3),"S",""),IF(AV139&gt;=LARGE(AR139:AW139,3),"E",""),IF(AW139&gt;=LARGE(AR139:AW139,3),"C","")))</x:f>
      </x:c>
      <x:c r="AY139" s="27" t="str">
        <x:f>IF(C139="","",IF(AR139=MAX(AR139:AW139),"นักปฏิบัติ",IF(AS139=MAX(AR139:AW139),"นักคิดวิเคราะห์",IF(AT139=MAX(AR139:AW139),"นักสร้างสรรค์",IF(AU139=MAX(AR139:AW139),"ผู้เข้าใจผู้คน",IF(AV139=MAX(AR139:AW139),"ผู้นำการเปลี่ยนแปลง","ผู้จัดระบบ"))))))</x:f>
      </x:c>
    </x:row>
    <x:row r="140">
      <x:c r="A140" s="27"/>
      <x:c r="B140" s="28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  <x:c r="AC140" s="27"/>
      <x:c r="AD140" s="27"/>
      <x:c r="AE140" s="27"/>
      <x:c r="AF140" s="27"/>
      <x:c r="AG140" s="27"/>
      <x:c r="AH140" s="27"/>
      <x:c r="AI140" s="27"/>
      <x:c r="AJ140" s="27"/>
      <x:c r="AK140" s="27"/>
      <x:c r="AL140" s="27"/>
      <x:c r="AM140" s="27"/>
      <x:c r="AN140" s="27"/>
      <x:c r="AO140" s="27"/>
      <x:c r="AP140" s="27"/>
      <x:c r="AQ140" s="27"/>
      <x:c r="AR140" s="27" t="str">
        <x:f>IF(C140="","",SUM(H140,N140,T140,Z140,AF140,AL140))</x:f>
      </x:c>
      <x:c r="AS140" s="27" t="str">
        <x:f>IF(C140="","",SUM(I140,O140,U140,AA140,AG140,AM140))</x:f>
      </x:c>
      <x:c r="AT140" s="27" t="str">
        <x:f>IF(C140="","",SUM(J140,P140,V140,AB140,AH140,AN140))</x:f>
      </x:c>
      <x:c r="AU140" s="27" t="str">
        <x:f>IF(C140="","",SUM(K140,Q140,W140,AC140,AI140,AO140))</x:f>
      </x:c>
      <x:c r="AV140" s="27" t="str">
        <x:f>IF(C140="","",SUM(L140,R140,X140,AD140,AJ140,AP140))</x:f>
      </x:c>
      <x:c r="AW140" s="27" t="str">
        <x:f>IF(C140="","",SUM(M140,S140,Y140,AE140,AK140,AQ140))</x:f>
      </x:c>
      <x:c r="AX140" s="27" t="str">
        <x:f>IF(C140="","",CONCAT(IF(AR140&gt;=LARGE(AR140:AW140,3),"R",""),IF(AS140&gt;=LARGE(AR140:AW140,3),"I",""),IF(AT140&gt;=LARGE(AR140:AW140,3),"A",""),IF(AU140&gt;=LARGE(AR140:AW140,3),"S",""),IF(AV140&gt;=LARGE(AR140:AW140,3),"E",""),IF(AW140&gt;=LARGE(AR140:AW140,3),"C","")))</x:f>
      </x:c>
      <x:c r="AY140" s="27" t="str">
        <x:f>IF(C140="","",IF(AR140=MAX(AR140:AW140),"นักปฏิบัติ",IF(AS140=MAX(AR140:AW140),"นักคิดวิเคราะห์",IF(AT140=MAX(AR140:AW140),"นักสร้างสรรค์",IF(AU140=MAX(AR140:AW140),"ผู้เข้าใจผู้คน",IF(AV140=MAX(AR140:AW140),"ผู้นำการเปลี่ยนแปลง","ผู้จัดระบบ"))))))</x:f>
      </x:c>
    </x:row>
    <x:row r="141">
      <x:c r="A141" s="27"/>
      <x:c r="B141" s="28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  <x:c r="AC141" s="27"/>
      <x:c r="AD141" s="27"/>
      <x:c r="AE141" s="27"/>
      <x:c r="AF141" s="27"/>
      <x:c r="AG141" s="27"/>
      <x:c r="AH141" s="27"/>
      <x:c r="AI141" s="27"/>
      <x:c r="AJ141" s="27"/>
      <x:c r="AK141" s="27"/>
      <x:c r="AL141" s="27"/>
      <x:c r="AM141" s="27"/>
      <x:c r="AN141" s="27"/>
      <x:c r="AO141" s="27"/>
      <x:c r="AP141" s="27"/>
      <x:c r="AQ141" s="27"/>
      <x:c r="AR141" s="27" t="str">
        <x:f>IF(C141="","",SUM(H141,N141,T141,Z141,AF141,AL141))</x:f>
      </x:c>
      <x:c r="AS141" s="27" t="str">
        <x:f>IF(C141="","",SUM(I141,O141,U141,AA141,AG141,AM141))</x:f>
      </x:c>
      <x:c r="AT141" s="27" t="str">
        <x:f>IF(C141="","",SUM(J141,P141,V141,AB141,AH141,AN141))</x:f>
      </x:c>
      <x:c r="AU141" s="27" t="str">
        <x:f>IF(C141="","",SUM(K141,Q141,W141,AC141,AI141,AO141))</x:f>
      </x:c>
      <x:c r="AV141" s="27" t="str">
        <x:f>IF(C141="","",SUM(L141,R141,X141,AD141,AJ141,AP141))</x:f>
      </x:c>
      <x:c r="AW141" s="27" t="str">
        <x:f>IF(C141="","",SUM(M141,S141,Y141,AE141,AK141,AQ141))</x:f>
      </x:c>
      <x:c r="AX141" s="27" t="str">
        <x:f>IF(C141="","",CONCAT(IF(AR141&gt;=LARGE(AR141:AW141,3),"R",""),IF(AS141&gt;=LARGE(AR141:AW141,3),"I",""),IF(AT141&gt;=LARGE(AR141:AW141,3),"A",""),IF(AU141&gt;=LARGE(AR141:AW141,3),"S",""),IF(AV141&gt;=LARGE(AR141:AW141,3),"E",""),IF(AW141&gt;=LARGE(AR141:AW141,3),"C","")))</x:f>
      </x:c>
      <x:c r="AY141" s="27" t="str">
        <x:f>IF(C141="","",IF(AR141=MAX(AR141:AW141),"นักปฏิบัติ",IF(AS141=MAX(AR141:AW141),"นักคิดวิเคราะห์",IF(AT141=MAX(AR141:AW141),"นักสร้างสรรค์",IF(AU141=MAX(AR141:AW141),"ผู้เข้าใจผู้คน",IF(AV141=MAX(AR141:AW141),"ผู้นำการเปลี่ยนแปลง","ผู้จัดระบบ"))))))</x:f>
      </x:c>
    </x:row>
    <x:row r="142">
      <x:c r="A142" s="27"/>
      <x:c r="B142" s="28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  <x:c r="AC142" s="27"/>
      <x:c r="AD142" s="27"/>
      <x:c r="AE142" s="27"/>
      <x:c r="AF142" s="27"/>
      <x:c r="AG142" s="27"/>
      <x:c r="AH142" s="27"/>
      <x:c r="AI142" s="27"/>
      <x:c r="AJ142" s="27"/>
      <x:c r="AK142" s="27"/>
      <x:c r="AL142" s="27"/>
      <x:c r="AM142" s="27"/>
      <x:c r="AN142" s="27"/>
      <x:c r="AO142" s="27"/>
      <x:c r="AP142" s="27"/>
      <x:c r="AQ142" s="27"/>
      <x:c r="AR142" s="27" t="str">
        <x:f>IF(C142="","",SUM(H142,N142,T142,Z142,AF142,AL142))</x:f>
      </x:c>
      <x:c r="AS142" s="27" t="str">
        <x:f>IF(C142="","",SUM(I142,O142,U142,AA142,AG142,AM142))</x:f>
      </x:c>
      <x:c r="AT142" s="27" t="str">
        <x:f>IF(C142="","",SUM(J142,P142,V142,AB142,AH142,AN142))</x:f>
      </x:c>
      <x:c r="AU142" s="27" t="str">
        <x:f>IF(C142="","",SUM(K142,Q142,W142,AC142,AI142,AO142))</x:f>
      </x:c>
      <x:c r="AV142" s="27" t="str">
        <x:f>IF(C142="","",SUM(L142,R142,X142,AD142,AJ142,AP142))</x:f>
      </x:c>
      <x:c r="AW142" s="27" t="str">
        <x:f>IF(C142="","",SUM(M142,S142,Y142,AE142,AK142,AQ142))</x:f>
      </x:c>
      <x:c r="AX142" s="27" t="str">
        <x:f>IF(C142="","",CONCAT(IF(AR142&gt;=LARGE(AR142:AW142,3),"R",""),IF(AS142&gt;=LARGE(AR142:AW142,3),"I",""),IF(AT142&gt;=LARGE(AR142:AW142,3),"A",""),IF(AU142&gt;=LARGE(AR142:AW142,3),"S",""),IF(AV142&gt;=LARGE(AR142:AW142,3),"E",""),IF(AW142&gt;=LARGE(AR142:AW142,3),"C","")))</x:f>
      </x:c>
      <x:c r="AY142" s="27" t="str">
        <x:f>IF(C142="","",IF(AR142=MAX(AR142:AW142),"นักปฏิบัติ",IF(AS142=MAX(AR142:AW142),"นักคิดวิเคราะห์",IF(AT142=MAX(AR142:AW142),"นักสร้างสรรค์",IF(AU142=MAX(AR142:AW142),"ผู้เข้าใจผู้คน",IF(AV142=MAX(AR142:AW142),"ผู้นำการเปลี่ยนแปลง","ผู้จัดระบบ"))))))</x:f>
      </x:c>
    </x:row>
    <x:row r="143">
      <x:c r="A143" s="27"/>
      <x:c r="B143" s="28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  <x:c r="AC143" s="27"/>
      <x:c r="AD143" s="27"/>
      <x:c r="AE143" s="27"/>
      <x:c r="AF143" s="27"/>
      <x:c r="AG143" s="27"/>
      <x:c r="AH143" s="27"/>
      <x:c r="AI143" s="27"/>
      <x:c r="AJ143" s="27"/>
      <x:c r="AK143" s="27"/>
      <x:c r="AL143" s="27"/>
      <x:c r="AM143" s="27"/>
      <x:c r="AN143" s="27"/>
      <x:c r="AO143" s="27"/>
      <x:c r="AP143" s="27"/>
      <x:c r="AQ143" s="27"/>
      <x:c r="AR143" s="27" t="str">
        <x:f>IF(C143="","",SUM(H143,N143,T143,Z143,AF143,AL143))</x:f>
      </x:c>
      <x:c r="AS143" s="27" t="str">
        <x:f>IF(C143="","",SUM(I143,O143,U143,AA143,AG143,AM143))</x:f>
      </x:c>
      <x:c r="AT143" s="27" t="str">
        <x:f>IF(C143="","",SUM(J143,P143,V143,AB143,AH143,AN143))</x:f>
      </x:c>
      <x:c r="AU143" s="27" t="str">
        <x:f>IF(C143="","",SUM(K143,Q143,W143,AC143,AI143,AO143))</x:f>
      </x:c>
      <x:c r="AV143" s="27" t="str">
        <x:f>IF(C143="","",SUM(L143,R143,X143,AD143,AJ143,AP143))</x:f>
      </x:c>
      <x:c r="AW143" s="27" t="str">
        <x:f>IF(C143="","",SUM(M143,S143,Y143,AE143,AK143,AQ143))</x:f>
      </x:c>
      <x:c r="AX143" s="27" t="str">
        <x:f>IF(C143="","",CONCAT(IF(AR143&gt;=LARGE(AR143:AW143,3),"R",""),IF(AS143&gt;=LARGE(AR143:AW143,3),"I",""),IF(AT143&gt;=LARGE(AR143:AW143,3),"A",""),IF(AU143&gt;=LARGE(AR143:AW143,3),"S",""),IF(AV143&gt;=LARGE(AR143:AW143,3),"E",""),IF(AW143&gt;=LARGE(AR143:AW143,3),"C","")))</x:f>
      </x:c>
      <x:c r="AY143" s="27" t="str">
        <x:f>IF(C143="","",IF(AR143=MAX(AR143:AW143),"นักปฏิบัติ",IF(AS143=MAX(AR143:AW143),"นักคิดวิเคราะห์",IF(AT143=MAX(AR143:AW143),"นักสร้างสรรค์",IF(AU143=MAX(AR143:AW143),"ผู้เข้าใจผู้คน",IF(AV143=MAX(AR143:AW143),"ผู้นำการเปลี่ยนแปลง","ผู้จัดระบบ"))))))</x:f>
      </x:c>
    </x:row>
    <x:row r="144">
      <x:c r="A144" s="27"/>
      <x:c r="B144" s="28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  <x:c r="AC144" s="27"/>
      <x:c r="AD144" s="27"/>
      <x:c r="AE144" s="27"/>
      <x:c r="AF144" s="27"/>
      <x:c r="AG144" s="27"/>
      <x:c r="AH144" s="27"/>
      <x:c r="AI144" s="27"/>
      <x:c r="AJ144" s="27"/>
      <x:c r="AK144" s="27"/>
      <x:c r="AL144" s="27"/>
      <x:c r="AM144" s="27"/>
      <x:c r="AN144" s="27"/>
      <x:c r="AO144" s="27"/>
      <x:c r="AP144" s="27"/>
      <x:c r="AQ144" s="27"/>
      <x:c r="AR144" s="27" t="str">
        <x:f>IF(C144="","",SUM(H144,N144,T144,Z144,AF144,AL144))</x:f>
      </x:c>
      <x:c r="AS144" s="27" t="str">
        <x:f>IF(C144="","",SUM(I144,O144,U144,AA144,AG144,AM144))</x:f>
      </x:c>
      <x:c r="AT144" s="27" t="str">
        <x:f>IF(C144="","",SUM(J144,P144,V144,AB144,AH144,AN144))</x:f>
      </x:c>
      <x:c r="AU144" s="27" t="str">
        <x:f>IF(C144="","",SUM(K144,Q144,W144,AC144,AI144,AO144))</x:f>
      </x:c>
      <x:c r="AV144" s="27" t="str">
        <x:f>IF(C144="","",SUM(L144,R144,X144,AD144,AJ144,AP144))</x:f>
      </x:c>
      <x:c r="AW144" s="27" t="str">
        <x:f>IF(C144="","",SUM(M144,S144,Y144,AE144,AK144,AQ144))</x:f>
      </x:c>
      <x:c r="AX144" s="27" t="str">
        <x:f>IF(C144="","",CONCAT(IF(AR144&gt;=LARGE(AR144:AW144,3),"R",""),IF(AS144&gt;=LARGE(AR144:AW144,3),"I",""),IF(AT144&gt;=LARGE(AR144:AW144,3),"A",""),IF(AU144&gt;=LARGE(AR144:AW144,3),"S",""),IF(AV144&gt;=LARGE(AR144:AW144,3),"E",""),IF(AW144&gt;=LARGE(AR144:AW144,3),"C","")))</x:f>
      </x:c>
      <x:c r="AY144" s="27" t="str">
        <x:f>IF(C144="","",IF(AR144=MAX(AR144:AW144),"นักปฏิบัติ",IF(AS144=MAX(AR144:AW144),"นักคิดวิเคราะห์",IF(AT144=MAX(AR144:AW144),"นักสร้างสรรค์",IF(AU144=MAX(AR144:AW144),"ผู้เข้าใจผู้คน",IF(AV144=MAX(AR144:AW144),"ผู้นำการเปลี่ยนแปลง","ผู้จัดระบบ"))))))</x:f>
      </x:c>
    </x:row>
    <x:row r="145">
      <x:c r="A145" s="27"/>
      <x:c r="B145" s="28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  <x:c r="AC145" s="27"/>
      <x:c r="AD145" s="27"/>
      <x:c r="AE145" s="27"/>
      <x:c r="AF145" s="27"/>
      <x:c r="AG145" s="27"/>
      <x:c r="AH145" s="27"/>
      <x:c r="AI145" s="27"/>
      <x:c r="AJ145" s="27"/>
      <x:c r="AK145" s="27"/>
      <x:c r="AL145" s="27"/>
      <x:c r="AM145" s="27"/>
      <x:c r="AN145" s="27"/>
      <x:c r="AO145" s="27"/>
      <x:c r="AP145" s="27"/>
      <x:c r="AQ145" s="27"/>
      <x:c r="AR145" s="27" t="str">
        <x:f>IF(C145="","",SUM(H145,N145,T145,Z145,AF145,AL145))</x:f>
      </x:c>
      <x:c r="AS145" s="27" t="str">
        <x:f>IF(C145="","",SUM(I145,O145,U145,AA145,AG145,AM145))</x:f>
      </x:c>
      <x:c r="AT145" s="27" t="str">
        <x:f>IF(C145="","",SUM(J145,P145,V145,AB145,AH145,AN145))</x:f>
      </x:c>
      <x:c r="AU145" s="27" t="str">
        <x:f>IF(C145="","",SUM(K145,Q145,W145,AC145,AI145,AO145))</x:f>
      </x:c>
      <x:c r="AV145" s="27" t="str">
        <x:f>IF(C145="","",SUM(L145,R145,X145,AD145,AJ145,AP145))</x:f>
      </x:c>
      <x:c r="AW145" s="27" t="str">
        <x:f>IF(C145="","",SUM(M145,S145,Y145,AE145,AK145,AQ145))</x:f>
      </x:c>
      <x:c r="AX145" s="27" t="str">
        <x:f>IF(C145="","",CONCAT(IF(AR145&gt;=LARGE(AR145:AW145,3),"R",""),IF(AS145&gt;=LARGE(AR145:AW145,3),"I",""),IF(AT145&gt;=LARGE(AR145:AW145,3),"A",""),IF(AU145&gt;=LARGE(AR145:AW145,3),"S",""),IF(AV145&gt;=LARGE(AR145:AW145,3),"E",""),IF(AW145&gt;=LARGE(AR145:AW145,3),"C","")))</x:f>
      </x:c>
      <x:c r="AY145" s="27" t="str">
        <x:f>IF(C145="","",IF(AR145=MAX(AR145:AW145),"นักปฏิบัติ",IF(AS145=MAX(AR145:AW145),"นักคิดวิเคราะห์",IF(AT145=MAX(AR145:AW145),"นักสร้างสรรค์",IF(AU145=MAX(AR145:AW145),"ผู้เข้าใจผู้คน",IF(AV145=MAX(AR145:AW145),"ผู้นำการเปลี่ยนแปลง","ผู้จัดระบบ"))))))</x:f>
      </x:c>
    </x:row>
    <x:row r="146">
      <x:c r="A146" s="27"/>
      <x:c r="B146" s="28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  <x:c r="AC146" s="27"/>
      <x:c r="AD146" s="27"/>
      <x:c r="AE146" s="27"/>
      <x:c r="AF146" s="27"/>
      <x:c r="AG146" s="27"/>
      <x:c r="AH146" s="27"/>
      <x:c r="AI146" s="27"/>
      <x:c r="AJ146" s="27"/>
      <x:c r="AK146" s="27"/>
      <x:c r="AL146" s="27"/>
      <x:c r="AM146" s="27"/>
      <x:c r="AN146" s="27"/>
      <x:c r="AO146" s="27"/>
      <x:c r="AP146" s="27"/>
      <x:c r="AQ146" s="27"/>
      <x:c r="AR146" s="27" t="str">
        <x:f>IF(C146="","",SUM(H146,N146,T146,Z146,AF146,AL146))</x:f>
      </x:c>
      <x:c r="AS146" s="27" t="str">
        <x:f>IF(C146="","",SUM(I146,O146,U146,AA146,AG146,AM146))</x:f>
      </x:c>
      <x:c r="AT146" s="27" t="str">
        <x:f>IF(C146="","",SUM(J146,P146,V146,AB146,AH146,AN146))</x:f>
      </x:c>
      <x:c r="AU146" s="27" t="str">
        <x:f>IF(C146="","",SUM(K146,Q146,W146,AC146,AI146,AO146))</x:f>
      </x:c>
      <x:c r="AV146" s="27" t="str">
        <x:f>IF(C146="","",SUM(L146,R146,X146,AD146,AJ146,AP146))</x:f>
      </x:c>
      <x:c r="AW146" s="27" t="str">
        <x:f>IF(C146="","",SUM(M146,S146,Y146,AE146,AK146,AQ146))</x:f>
      </x:c>
      <x:c r="AX146" s="27" t="str">
        <x:f>IF(C146="","",CONCAT(IF(AR146&gt;=LARGE(AR146:AW146,3),"R",""),IF(AS146&gt;=LARGE(AR146:AW146,3),"I",""),IF(AT146&gt;=LARGE(AR146:AW146,3),"A",""),IF(AU146&gt;=LARGE(AR146:AW146,3),"S",""),IF(AV146&gt;=LARGE(AR146:AW146,3),"E",""),IF(AW146&gt;=LARGE(AR146:AW146,3),"C","")))</x:f>
      </x:c>
      <x:c r="AY146" s="27" t="str">
        <x:f>IF(C146="","",IF(AR146=MAX(AR146:AW146),"นักปฏิบัติ",IF(AS146=MAX(AR146:AW146),"นักคิดวิเคราะห์",IF(AT146=MAX(AR146:AW146),"นักสร้างสรรค์",IF(AU146=MAX(AR146:AW146),"ผู้เข้าใจผู้คน",IF(AV146=MAX(AR146:AW146),"ผู้นำการเปลี่ยนแปลง","ผู้จัดระบบ"))))))</x:f>
      </x:c>
    </x:row>
    <x:row r="147">
      <x:c r="A147" s="27"/>
      <x:c r="B147" s="28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  <x:c r="AC147" s="27"/>
      <x:c r="AD147" s="27"/>
      <x:c r="AE147" s="27"/>
      <x:c r="AF147" s="27"/>
      <x:c r="AG147" s="27"/>
      <x:c r="AH147" s="27"/>
      <x:c r="AI147" s="27"/>
      <x:c r="AJ147" s="27"/>
      <x:c r="AK147" s="27"/>
      <x:c r="AL147" s="27"/>
      <x:c r="AM147" s="27"/>
      <x:c r="AN147" s="27"/>
      <x:c r="AO147" s="27"/>
      <x:c r="AP147" s="27"/>
      <x:c r="AQ147" s="27"/>
      <x:c r="AR147" s="27" t="str">
        <x:f>IF(C147="","",SUM(H147,N147,T147,Z147,AF147,AL147))</x:f>
      </x:c>
      <x:c r="AS147" s="27" t="str">
        <x:f>IF(C147="","",SUM(I147,O147,U147,AA147,AG147,AM147))</x:f>
      </x:c>
      <x:c r="AT147" s="27" t="str">
        <x:f>IF(C147="","",SUM(J147,P147,V147,AB147,AH147,AN147))</x:f>
      </x:c>
      <x:c r="AU147" s="27" t="str">
        <x:f>IF(C147="","",SUM(K147,Q147,W147,AC147,AI147,AO147))</x:f>
      </x:c>
      <x:c r="AV147" s="27" t="str">
        <x:f>IF(C147="","",SUM(L147,R147,X147,AD147,AJ147,AP147))</x:f>
      </x:c>
      <x:c r="AW147" s="27" t="str">
        <x:f>IF(C147="","",SUM(M147,S147,Y147,AE147,AK147,AQ147))</x:f>
      </x:c>
      <x:c r="AX147" s="27" t="str">
        <x:f>IF(C147="","",CONCAT(IF(AR147&gt;=LARGE(AR147:AW147,3),"R",""),IF(AS147&gt;=LARGE(AR147:AW147,3),"I",""),IF(AT147&gt;=LARGE(AR147:AW147,3),"A",""),IF(AU147&gt;=LARGE(AR147:AW147,3),"S",""),IF(AV147&gt;=LARGE(AR147:AW147,3),"E",""),IF(AW147&gt;=LARGE(AR147:AW147,3),"C","")))</x:f>
      </x:c>
      <x:c r="AY147" s="27" t="str">
        <x:f>IF(C147="","",IF(AR147=MAX(AR147:AW147),"นักปฏิบัติ",IF(AS147=MAX(AR147:AW147),"นักคิดวิเคราะห์",IF(AT147=MAX(AR147:AW147),"นักสร้างสรรค์",IF(AU147=MAX(AR147:AW147),"ผู้เข้าใจผู้คน",IF(AV147=MAX(AR147:AW147),"ผู้นำการเปลี่ยนแปลง","ผู้จัดระบบ"))))))</x:f>
      </x:c>
    </x:row>
    <x:row r="148">
      <x:c r="A148" s="27"/>
      <x:c r="B148" s="28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  <x:c r="AC148" s="27"/>
      <x:c r="AD148" s="27"/>
      <x:c r="AE148" s="27"/>
      <x:c r="AF148" s="27"/>
      <x:c r="AG148" s="27"/>
      <x:c r="AH148" s="27"/>
      <x:c r="AI148" s="27"/>
      <x:c r="AJ148" s="27"/>
      <x:c r="AK148" s="27"/>
      <x:c r="AL148" s="27"/>
      <x:c r="AM148" s="27"/>
      <x:c r="AN148" s="27"/>
      <x:c r="AO148" s="27"/>
      <x:c r="AP148" s="27"/>
      <x:c r="AQ148" s="27"/>
      <x:c r="AR148" s="27" t="str">
        <x:f>IF(C148="","",SUM(H148,N148,T148,Z148,AF148,AL148))</x:f>
      </x:c>
      <x:c r="AS148" s="27" t="str">
        <x:f>IF(C148="","",SUM(I148,O148,U148,AA148,AG148,AM148))</x:f>
      </x:c>
      <x:c r="AT148" s="27" t="str">
        <x:f>IF(C148="","",SUM(J148,P148,V148,AB148,AH148,AN148))</x:f>
      </x:c>
      <x:c r="AU148" s="27" t="str">
        <x:f>IF(C148="","",SUM(K148,Q148,W148,AC148,AI148,AO148))</x:f>
      </x:c>
      <x:c r="AV148" s="27" t="str">
        <x:f>IF(C148="","",SUM(L148,R148,X148,AD148,AJ148,AP148))</x:f>
      </x:c>
      <x:c r="AW148" s="27" t="str">
        <x:f>IF(C148="","",SUM(M148,S148,Y148,AE148,AK148,AQ148))</x:f>
      </x:c>
      <x:c r="AX148" s="27" t="str">
        <x:f>IF(C148="","",CONCAT(IF(AR148&gt;=LARGE(AR148:AW148,3),"R",""),IF(AS148&gt;=LARGE(AR148:AW148,3),"I",""),IF(AT148&gt;=LARGE(AR148:AW148,3),"A",""),IF(AU148&gt;=LARGE(AR148:AW148,3),"S",""),IF(AV148&gt;=LARGE(AR148:AW148,3),"E",""),IF(AW148&gt;=LARGE(AR148:AW148,3),"C","")))</x:f>
      </x:c>
      <x:c r="AY148" s="27" t="str">
        <x:f>IF(C148="","",IF(AR148=MAX(AR148:AW148),"นักปฏิบัติ",IF(AS148=MAX(AR148:AW148),"นักคิดวิเคราะห์",IF(AT148=MAX(AR148:AW148),"นักสร้างสรรค์",IF(AU148=MAX(AR148:AW148),"ผู้เข้าใจผู้คน",IF(AV148=MAX(AR148:AW148),"ผู้นำการเปลี่ยนแปลง","ผู้จัดระบบ"))))))</x:f>
      </x:c>
    </x:row>
    <x:row r="149">
      <x:c r="A149" s="27"/>
      <x:c r="B149" s="28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  <x:c r="AC149" s="27"/>
      <x:c r="AD149" s="27"/>
      <x:c r="AE149" s="27"/>
      <x:c r="AF149" s="27"/>
      <x:c r="AG149" s="27"/>
      <x:c r="AH149" s="27"/>
      <x:c r="AI149" s="27"/>
      <x:c r="AJ149" s="27"/>
      <x:c r="AK149" s="27"/>
      <x:c r="AL149" s="27"/>
      <x:c r="AM149" s="27"/>
      <x:c r="AN149" s="27"/>
      <x:c r="AO149" s="27"/>
      <x:c r="AP149" s="27"/>
      <x:c r="AQ149" s="27"/>
      <x:c r="AR149" s="27" t="str">
        <x:f>IF(C149="","",SUM(H149,N149,T149,Z149,AF149,AL149))</x:f>
      </x:c>
      <x:c r="AS149" s="27" t="str">
        <x:f>IF(C149="","",SUM(I149,O149,U149,AA149,AG149,AM149))</x:f>
      </x:c>
      <x:c r="AT149" s="27" t="str">
        <x:f>IF(C149="","",SUM(J149,P149,V149,AB149,AH149,AN149))</x:f>
      </x:c>
      <x:c r="AU149" s="27" t="str">
        <x:f>IF(C149="","",SUM(K149,Q149,W149,AC149,AI149,AO149))</x:f>
      </x:c>
      <x:c r="AV149" s="27" t="str">
        <x:f>IF(C149="","",SUM(L149,R149,X149,AD149,AJ149,AP149))</x:f>
      </x:c>
      <x:c r="AW149" s="27" t="str">
        <x:f>IF(C149="","",SUM(M149,S149,Y149,AE149,AK149,AQ149))</x:f>
      </x:c>
      <x:c r="AX149" s="27" t="str">
        <x:f>IF(C149="","",CONCAT(IF(AR149&gt;=LARGE(AR149:AW149,3),"R",""),IF(AS149&gt;=LARGE(AR149:AW149,3),"I",""),IF(AT149&gt;=LARGE(AR149:AW149,3),"A",""),IF(AU149&gt;=LARGE(AR149:AW149,3),"S",""),IF(AV149&gt;=LARGE(AR149:AW149,3),"E",""),IF(AW149&gt;=LARGE(AR149:AW149,3),"C","")))</x:f>
      </x:c>
      <x:c r="AY149" s="27" t="str">
        <x:f>IF(C149="","",IF(AR149=MAX(AR149:AW149),"นักปฏิบัติ",IF(AS149=MAX(AR149:AW149),"นักคิดวิเคราะห์",IF(AT149=MAX(AR149:AW149),"นักสร้างสรรค์",IF(AU149=MAX(AR149:AW149),"ผู้เข้าใจผู้คน",IF(AV149=MAX(AR149:AW149),"ผู้นำการเปลี่ยนแปลง","ผู้จัดระบบ"))))))</x:f>
      </x:c>
    </x:row>
    <x:row r="150">
      <x:c r="A150" s="27"/>
      <x:c r="B150" s="28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  <x:c r="AC150" s="27"/>
      <x:c r="AD150" s="27"/>
      <x:c r="AE150" s="27"/>
      <x:c r="AF150" s="27"/>
      <x:c r="AG150" s="27"/>
      <x:c r="AH150" s="27"/>
      <x:c r="AI150" s="27"/>
      <x:c r="AJ150" s="27"/>
      <x:c r="AK150" s="27"/>
      <x:c r="AL150" s="27"/>
      <x:c r="AM150" s="27"/>
      <x:c r="AN150" s="27"/>
      <x:c r="AO150" s="27"/>
      <x:c r="AP150" s="27"/>
      <x:c r="AQ150" s="27"/>
      <x:c r="AR150" s="27" t="str">
        <x:f>IF(C150="","",SUM(H150,N150,T150,Z150,AF150,AL150))</x:f>
      </x:c>
      <x:c r="AS150" s="27" t="str">
        <x:f>IF(C150="","",SUM(I150,O150,U150,AA150,AG150,AM150))</x:f>
      </x:c>
      <x:c r="AT150" s="27" t="str">
        <x:f>IF(C150="","",SUM(J150,P150,V150,AB150,AH150,AN150))</x:f>
      </x:c>
      <x:c r="AU150" s="27" t="str">
        <x:f>IF(C150="","",SUM(K150,Q150,W150,AC150,AI150,AO150))</x:f>
      </x:c>
      <x:c r="AV150" s="27" t="str">
        <x:f>IF(C150="","",SUM(L150,R150,X150,AD150,AJ150,AP150))</x:f>
      </x:c>
      <x:c r="AW150" s="27" t="str">
        <x:f>IF(C150="","",SUM(M150,S150,Y150,AE150,AK150,AQ150))</x:f>
      </x:c>
      <x:c r="AX150" s="27" t="str">
        <x:f>IF(C150="","",CONCAT(IF(AR150&gt;=LARGE(AR150:AW150,3),"R",""),IF(AS150&gt;=LARGE(AR150:AW150,3),"I",""),IF(AT150&gt;=LARGE(AR150:AW150,3),"A",""),IF(AU150&gt;=LARGE(AR150:AW150,3),"S",""),IF(AV150&gt;=LARGE(AR150:AW150,3),"E",""),IF(AW150&gt;=LARGE(AR150:AW150,3),"C","")))</x:f>
      </x:c>
      <x:c r="AY150" s="27" t="str">
        <x:f>IF(C150="","",IF(AR150=MAX(AR150:AW150),"นักปฏิบัติ",IF(AS150=MAX(AR150:AW150),"นักคิดวิเคราะห์",IF(AT150=MAX(AR150:AW150),"นักสร้างสรรค์",IF(AU150=MAX(AR150:AW150),"ผู้เข้าใจผู้คน",IF(AV150=MAX(AR150:AW150),"ผู้นำการเปลี่ยนแปลง","ผู้จัดระบบ"))))))</x:f>
      </x:c>
    </x:row>
    <x:row r="151">
      <x:c r="A151" s="27"/>
      <x:c r="B151" s="28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  <x:c r="AC151" s="27"/>
      <x:c r="AD151" s="27"/>
      <x:c r="AE151" s="27"/>
      <x:c r="AF151" s="27"/>
      <x:c r="AG151" s="27"/>
      <x:c r="AH151" s="27"/>
      <x:c r="AI151" s="27"/>
      <x:c r="AJ151" s="27"/>
      <x:c r="AK151" s="27"/>
      <x:c r="AL151" s="27"/>
      <x:c r="AM151" s="27"/>
      <x:c r="AN151" s="27"/>
      <x:c r="AO151" s="27"/>
      <x:c r="AP151" s="27"/>
      <x:c r="AQ151" s="27"/>
      <x:c r="AR151" s="27" t="str">
        <x:f>IF(C151="","",SUM(H151,N151,T151,Z151,AF151,AL151))</x:f>
      </x:c>
      <x:c r="AS151" s="27" t="str">
        <x:f>IF(C151="","",SUM(I151,O151,U151,AA151,AG151,AM151))</x:f>
      </x:c>
      <x:c r="AT151" s="27" t="str">
        <x:f>IF(C151="","",SUM(J151,P151,V151,AB151,AH151,AN151))</x:f>
      </x:c>
      <x:c r="AU151" s="27" t="str">
        <x:f>IF(C151="","",SUM(K151,Q151,W151,AC151,AI151,AO151))</x:f>
      </x:c>
      <x:c r="AV151" s="27" t="str">
        <x:f>IF(C151="","",SUM(L151,R151,X151,AD151,AJ151,AP151))</x:f>
      </x:c>
      <x:c r="AW151" s="27" t="str">
        <x:f>IF(C151="","",SUM(M151,S151,Y151,AE151,AK151,AQ151))</x:f>
      </x:c>
      <x:c r="AX151" s="27" t="str">
        <x:f>IF(C151="","",CONCAT(IF(AR151&gt;=LARGE(AR151:AW151,3),"R",""),IF(AS151&gt;=LARGE(AR151:AW151,3),"I",""),IF(AT151&gt;=LARGE(AR151:AW151,3),"A",""),IF(AU151&gt;=LARGE(AR151:AW151,3),"S",""),IF(AV151&gt;=LARGE(AR151:AW151,3),"E",""),IF(AW151&gt;=LARGE(AR151:AW151,3),"C","")))</x:f>
      </x:c>
      <x:c r="AY151" s="27" t="str">
        <x:f>IF(C151="","",IF(AR151=MAX(AR151:AW151),"นักปฏิบัติ",IF(AS151=MAX(AR151:AW151),"นักคิดวิเคราะห์",IF(AT151=MAX(AR151:AW151),"นักสร้างสรรค์",IF(AU151=MAX(AR151:AW151),"ผู้เข้าใจผู้คน",IF(AV151=MAX(AR151:AW151),"ผู้นำการเปลี่ยนแปลง","ผู้จัดระบบ"))))))</x:f>
      </x:c>
    </x:row>
    <x:row r="152">
      <x:c r="A152" s="27"/>
      <x:c r="B152" s="28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  <x:c r="AC152" s="27"/>
      <x:c r="AD152" s="27"/>
      <x:c r="AE152" s="27"/>
      <x:c r="AF152" s="27"/>
      <x:c r="AG152" s="27"/>
      <x:c r="AH152" s="27"/>
      <x:c r="AI152" s="27"/>
      <x:c r="AJ152" s="27"/>
      <x:c r="AK152" s="27"/>
      <x:c r="AL152" s="27"/>
      <x:c r="AM152" s="27"/>
      <x:c r="AN152" s="27"/>
      <x:c r="AO152" s="27"/>
      <x:c r="AP152" s="27"/>
      <x:c r="AQ152" s="27"/>
      <x:c r="AR152" s="27" t="str">
        <x:f>IF(C152="","",SUM(H152,N152,T152,Z152,AF152,AL152))</x:f>
      </x:c>
      <x:c r="AS152" s="27" t="str">
        <x:f>IF(C152="","",SUM(I152,O152,U152,AA152,AG152,AM152))</x:f>
      </x:c>
      <x:c r="AT152" s="27" t="str">
        <x:f>IF(C152="","",SUM(J152,P152,V152,AB152,AH152,AN152))</x:f>
      </x:c>
      <x:c r="AU152" s="27" t="str">
        <x:f>IF(C152="","",SUM(K152,Q152,W152,AC152,AI152,AO152))</x:f>
      </x:c>
      <x:c r="AV152" s="27" t="str">
        <x:f>IF(C152="","",SUM(L152,R152,X152,AD152,AJ152,AP152))</x:f>
      </x:c>
      <x:c r="AW152" s="27" t="str">
        <x:f>IF(C152="","",SUM(M152,S152,Y152,AE152,AK152,AQ152))</x:f>
      </x:c>
      <x:c r="AX152" s="27" t="str">
        <x:f>IF(C152="","",CONCAT(IF(AR152&gt;=LARGE(AR152:AW152,3),"R",""),IF(AS152&gt;=LARGE(AR152:AW152,3),"I",""),IF(AT152&gt;=LARGE(AR152:AW152,3),"A",""),IF(AU152&gt;=LARGE(AR152:AW152,3),"S",""),IF(AV152&gt;=LARGE(AR152:AW152,3),"E",""),IF(AW152&gt;=LARGE(AR152:AW152,3),"C","")))</x:f>
      </x:c>
      <x:c r="AY152" s="27" t="str">
        <x:f>IF(C152="","",IF(AR152=MAX(AR152:AW152),"นักปฏิบัติ",IF(AS152=MAX(AR152:AW152),"นักคิดวิเคราะห์",IF(AT152=MAX(AR152:AW152),"นักสร้างสรรค์",IF(AU152=MAX(AR152:AW152),"ผู้เข้าใจผู้คน",IF(AV152=MAX(AR152:AW152),"ผู้นำการเปลี่ยนแปลง","ผู้จัดระบบ"))))))</x:f>
      </x:c>
    </x:row>
    <x:row r="153">
      <x:c r="A153" s="27"/>
      <x:c r="B153" s="28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  <x:c r="AC153" s="27"/>
      <x:c r="AD153" s="27"/>
      <x:c r="AE153" s="27"/>
      <x:c r="AF153" s="27"/>
      <x:c r="AG153" s="27"/>
      <x:c r="AH153" s="27"/>
      <x:c r="AI153" s="27"/>
      <x:c r="AJ153" s="27"/>
      <x:c r="AK153" s="27"/>
      <x:c r="AL153" s="27"/>
      <x:c r="AM153" s="27"/>
      <x:c r="AN153" s="27"/>
      <x:c r="AO153" s="27"/>
      <x:c r="AP153" s="27"/>
      <x:c r="AQ153" s="27"/>
      <x:c r="AR153" s="27" t="str">
        <x:f>IF(C153="","",SUM(H153,N153,T153,Z153,AF153,AL153))</x:f>
      </x:c>
      <x:c r="AS153" s="27" t="str">
        <x:f>IF(C153="","",SUM(I153,O153,U153,AA153,AG153,AM153))</x:f>
      </x:c>
      <x:c r="AT153" s="27" t="str">
        <x:f>IF(C153="","",SUM(J153,P153,V153,AB153,AH153,AN153))</x:f>
      </x:c>
      <x:c r="AU153" s="27" t="str">
        <x:f>IF(C153="","",SUM(K153,Q153,W153,AC153,AI153,AO153))</x:f>
      </x:c>
      <x:c r="AV153" s="27" t="str">
        <x:f>IF(C153="","",SUM(L153,R153,X153,AD153,AJ153,AP153))</x:f>
      </x:c>
      <x:c r="AW153" s="27" t="str">
        <x:f>IF(C153="","",SUM(M153,S153,Y153,AE153,AK153,AQ153))</x:f>
      </x:c>
      <x:c r="AX153" s="27" t="str">
        <x:f>IF(C153="","",CONCAT(IF(AR153&gt;=LARGE(AR153:AW153,3),"R",""),IF(AS153&gt;=LARGE(AR153:AW153,3),"I",""),IF(AT153&gt;=LARGE(AR153:AW153,3),"A",""),IF(AU153&gt;=LARGE(AR153:AW153,3),"S",""),IF(AV153&gt;=LARGE(AR153:AW153,3),"E",""),IF(AW153&gt;=LARGE(AR153:AW153,3),"C","")))</x:f>
      </x:c>
      <x:c r="AY153" s="27" t="str">
        <x:f>IF(C153="","",IF(AR153=MAX(AR153:AW153),"นักปฏิบัติ",IF(AS153=MAX(AR153:AW153),"นักคิดวิเคราะห์",IF(AT153=MAX(AR153:AW153),"นักสร้างสรรค์",IF(AU153=MAX(AR153:AW153),"ผู้เข้าใจผู้คน",IF(AV153=MAX(AR153:AW153),"ผู้นำการเปลี่ยนแปลง","ผู้จัดระบบ"))))))</x:f>
      </x:c>
    </x:row>
    <x:row r="154">
      <x:c r="A154" s="27"/>
      <x:c r="B154" s="28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  <x:c r="AC154" s="27"/>
      <x:c r="AD154" s="27"/>
      <x:c r="AE154" s="27"/>
      <x:c r="AF154" s="27"/>
      <x:c r="AG154" s="27"/>
      <x:c r="AH154" s="27"/>
      <x:c r="AI154" s="27"/>
      <x:c r="AJ154" s="27"/>
      <x:c r="AK154" s="27"/>
      <x:c r="AL154" s="27"/>
      <x:c r="AM154" s="27"/>
      <x:c r="AN154" s="27"/>
      <x:c r="AO154" s="27"/>
      <x:c r="AP154" s="27"/>
      <x:c r="AQ154" s="27"/>
      <x:c r="AR154" s="27" t="str">
        <x:f>IF(C154="","",SUM(H154,N154,T154,Z154,AF154,AL154))</x:f>
      </x:c>
      <x:c r="AS154" s="27" t="str">
        <x:f>IF(C154="","",SUM(I154,O154,U154,AA154,AG154,AM154))</x:f>
      </x:c>
      <x:c r="AT154" s="27" t="str">
        <x:f>IF(C154="","",SUM(J154,P154,V154,AB154,AH154,AN154))</x:f>
      </x:c>
      <x:c r="AU154" s="27" t="str">
        <x:f>IF(C154="","",SUM(K154,Q154,W154,AC154,AI154,AO154))</x:f>
      </x:c>
      <x:c r="AV154" s="27" t="str">
        <x:f>IF(C154="","",SUM(L154,R154,X154,AD154,AJ154,AP154))</x:f>
      </x:c>
      <x:c r="AW154" s="27" t="str">
        <x:f>IF(C154="","",SUM(M154,S154,Y154,AE154,AK154,AQ154))</x:f>
      </x:c>
      <x:c r="AX154" s="27" t="str">
        <x:f>IF(C154="","",CONCAT(IF(AR154&gt;=LARGE(AR154:AW154,3),"R",""),IF(AS154&gt;=LARGE(AR154:AW154,3),"I",""),IF(AT154&gt;=LARGE(AR154:AW154,3),"A",""),IF(AU154&gt;=LARGE(AR154:AW154,3),"S",""),IF(AV154&gt;=LARGE(AR154:AW154,3),"E",""),IF(AW154&gt;=LARGE(AR154:AW154,3),"C","")))</x:f>
      </x:c>
      <x:c r="AY154" s="27" t="str">
        <x:f>IF(C154="","",IF(AR154=MAX(AR154:AW154),"นักปฏิบัติ",IF(AS154=MAX(AR154:AW154),"นักคิดวิเคราะห์",IF(AT154=MAX(AR154:AW154),"นักสร้างสรรค์",IF(AU154=MAX(AR154:AW154),"ผู้เข้าใจผู้คน",IF(AV154=MAX(AR154:AW154),"ผู้นำการเปลี่ยนแปลง","ผู้จัดระบบ"))))))</x:f>
      </x:c>
    </x:row>
    <x:row r="155">
      <x:c r="A155" s="27"/>
      <x:c r="B155" s="28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  <x:c r="AC155" s="27"/>
      <x:c r="AD155" s="27"/>
      <x:c r="AE155" s="27"/>
      <x:c r="AF155" s="27"/>
      <x:c r="AG155" s="27"/>
      <x:c r="AH155" s="27"/>
      <x:c r="AI155" s="27"/>
      <x:c r="AJ155" s="27"/>
      <x:c r="AK155" s="27"/>
      <x:c r="AL155" s="27"/>
      <x:c r="AM155" s="27"/>
      <x:c r="AN155" s="27"/>
      <x:c r="AO155" s="27"/>
      <x:c r="AP155" s="27"/>
      <x:c r="AQ155" s="27"/>
      <x:c r="AR155" s="27" t="str">
        <x:f>IF(C155="","",SUM(H155,N155,T155,Z155,AF155,AL155))</x:f>
      </x:c>
      <x:c r="AS155" s="27" t="str">
        <x:f>IF(C155="","",SUM(I155,O155,U155,AA155,AG155,AM155))</x:f>
      </x:c>
      <x:c r="AT155" s="27" t="str">
        <x:f>IF(C155="","",SUM(J155,P155,V155,AB155,AH155,AN155))</x:f>
      </x:c>
      <x:c r="AU155" s="27" t="str">
        <x:f>IF(C155="","",SUM(K155,Q155,W155,AC155,AI155,AO155))</x:f>
      </x:c>
      <x:c r="AV155" s="27" t="str">
        <x:f>IF(C155="","",SUM(L155,R155,X155,AD155,AJ155,AP155))</x:f>
      </x:c>
      <x:c r="AW155" s="27" t="str">
        <x:f>IF(C155="","",SUM(M155,S155,Y155,AE155,AK155,AQ155))</x:f>
      </x:c>
      <x:c r="AX155" s="27" t="str">
        <x:f>IF(C155="","",CONCAT(IF(AR155&gt;=LARGE(AR155:AW155,3),"R",""),IF(AS155&gt;=LARGE(AR155:AW155,3),"I",""),IF(AT155&gt;=LARGE(AR155:AW155,3),"A",""),IF(AU155&gt;=LARGE(AR155:AW155,3),"S",""),IF(AV155&gt;=LARGE(AR155:AW155,3),"E",""),IF(AW155&gt;=LARGE(AR155:AW155,3),"C","")))</x:f>
      </x:c>
      <x:c r="AY155" s="27" t="str">
        <x:f>IF(C155="","",IF(AR155=MAX(AR155:AW155),"นักปฏิบัติ",IF(AS155=MAX(AR155:AW155),"นักคิดวิเคราะห์",IF(AT155=MAX(AR155:AW155),"นักสร้างสรรค์",IF(AU155=MAX(AR155:AW155),"ผู้เข้าใจผู้คน",IF(AV155=MAX(AR155:AW155),"ผู้นำการเปลี่ยนแปลง","ผู้จัดระบบ"))))))</x:f>
      </x:c>
    </x:row>
    <x:row r="156">
      <x:c r="A156" s="27"/>
      <x:c r="B156" s="28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  <x:c r="AC156" s="27"/>
      <x:c r="AD156" s="27"/>
      <x:c r="AE156" s="27"/>
      <x:c r="AF156" s="27"/>
      <x:c r="AG156" s="27"/>
      <x:c r="AH156" s="27"/>
      <x:c r="AI156" s="27"/>
      <x:c r="AJ156" s="27"/>
      <x:c r="AK156" s="27"/>
      <x:c r="AL156" s="27"/>
      <x:c r="AM156" s="27"/>
      <x:c r="AN156" s="27"/>
      <x:c r="AO156" s="27"/>
      <x:c r="AP156" s="27"/>
      <x:c r="AQ156" s="27"/>
      <x:c r="AR156" s="27" t="str">
        <x:f>IF(C156="","",SUM(H156,N156,T156,Z156,AF156,AL156))</x:f>
      </x:c>
      <x:c r="AS156" s="27" t="str">
        <x:f>IF(C156="","",SUM(I156,O156,U156,AA156,AG156,AM156))</x:f>
      </x:c>
      <x:c r="AT156" s="27" t="str">
        <x:f>IF(C156="","",SUM(J156,P156,V156,AB156,AH156,AN156))</x:f>
      </x:c>
      <x:c r="AU156" s="27" t="str">
        <x:f>IF(C156="","",SUM(K156,Q156,W156,AC156,AI156,AO156))</x:f>
      </x:c>
      <x:c r="AV156" s="27" t="str">
        <x:f>IF(C156="","",SUM(L156,R156,X156,AD156,AJ156,AP156))</x:f>
      </x:c>
      <x:c r="AW156" s="27" t="str">
        <x:f>IF(C156="","",SUM(M156,S156,Y156,AE156,AK156,AQ156))</x:f>
      </x:c>
      <x:c r="AX156" s="27" t="str">
        <x:f>IF(C156="","",CONCAT(IF(AR156&gt;=LARGE(AR156:AW156,3),"R",""),IF(AS156&gt;=LARGE(AR156:AW156,3),"I",""),IF(AT156&gt;=LARGE(AR156:AW156,3),"A",""),IF(AU156&gt;=LARGE(AR156:AW156,3),"S",""),IF(AV156&gt;=LARGE(AR156:AW156,3),"E",""),IF(AW156&gt;=LARGE(AR156:AW156,3),"C","")))</x:f>
      </x:c>
      <x:c r="AY156" s="27" t="str">
        <x:f>IF(C156="","",IF(AR156=MAX(AR156:AW156),"นักปฏิบัติ",IF(AS156=MAX(AR156:AW156),"นักคิดวิเคราะห์",IF(AT156=MAX(AR156:AW156),"นักสร้างสรรค์",IF(AU156=MAX(AR156:AW156),"ผู้เข้าใจผู้คน",IF(AV156=MAX(AR156:AW156),"ผู้นำการเปลี่ยนแปลง","ผู้จัดระบบ"))))))</x:f>
      </x:c>
    </x:row>
    <x:row r="157">
      <x:c r="A157" s="27"/>
      <x:c r="B157" s="28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  <x:c r="AC157" s="27"/>
      <x:c r="AD157" s="27"/>
      <x:c r="AE157" s="27"/>
      <x:c r="AF157" s="27"/>
      <x:c r="AG157" s="27"/>
      <x:c r="AH157" s="27"/>
      <x:c r="AI157" s="27"/>
      <x:c r="AJ157" s="27"/>
      <x:c r="AK157" s="27"/>
      <x:c r="AL157" s="27"/>
      <x:c r="AM157" s="27"/>
      <x:c r="AN157" s="27"/>
      <x:c r="AO157" s="27"/>
      <x:c r="AP157" s="27"/>
      <x:c r="AQ157" s="27"/>
      <x:c r="AR157" s="27" t="str">
        <x:f>IF(C157="","",SUM(H157,N157,T157,Z157,AF157,AL157))</x:f>
      </x:c>
      <x:c r="AS157" s="27" t="str">
        <x:f>IF(C157="","",SUM(I157,O157,U157,AA157,AG157,AM157))</x:f>
      </x:c>
      <x:c r="AT157" s="27" t="str">
        <x:f>IF(C157="","",SUM(J157,P157,V157,AB157,AH157,AN157))</x:f>
      </x:c>
      <x:c r="AU157" s="27" t="str">
        <x:f>IF(C157="","",SUM(K157,Q157,W157,AC157,AI157,AO157))</x:f>
      </x:c>
      <x:c r="AV157" s="27" t="str">
        <x:f>IF(C157="","",SUM(L157,R157,X157,AD157,AJ157,AP157))</x:f>
      </x:c>
      <x:c r="AW157" s="27" t="str">
        <x:f>IF(C157="","",SUM(M157,S157,Y157,AE157,AK157,AQ157))</x:f>
      </x:c>
      <x:c r="AX157" s="27" t="str">
        <x:f>IF(C157="","",CONCAT(IF(AR157&gt;=LARGE(AR157:AW157,3),"R",""),IF(AS157&gt;=LARGE(AR157:AW157,3),"I",""),IF(AT157&gt;=LARGE(AR157:AW157,3),"A",""),IF(AU157&gt;=LARGE(AR157:AW157,3),"S",""),IF(AV157&gt;=LARGE(AR157:AW157,3),"E",""),IF(AW157&gt;=LARGE(AR157:AW157,3),"C","")))</x:f>
      </x:c>
      <x:c r="AY157" s="27" t="str">
        <x:f>IF(C157="","",IF(AR157=MAX(AR157:AW157),"นักปฏิบัติ",IF(AS157=MAX(AR157:AW157),"นักคิดวิเคราะห์",IF(AT157=MAX(AR157:AW157),"นักสร้างสรรค์",IF(AU157=MAX(AR157:AW157),"ผู้เข้าใจผู้คน",IF(AV157=MAX(AR157:AW157),"ผู้นำการเปลี่ยนแปลง","ผู้จัดระบบ"))))))</x:f>
      </x:c>
    </x:row>
    <x:row r="158">
      <x:c r="A158" s="27"/>
      <x:c r="B158" s="28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  <x:c r="AC158" s="27"/>
      <x:c r="AD158" s="27"/>
      <x:c r="AE158" s="27"/>
      <x:c r="AF158" s="27"/>
      <x:c r="AG158" s="27"/>
      <x:c r="AH158" s="27"/>
      <x:c r="AI158" s="27"/>
      <x:c r="AJ158" s="27"/>
      <x:c r="AK158" s="27"/>
      <x:c r="AL158" s="27"/>
      <x:c r="AM158" s="27"/>
      <x:c r="AN158" s="27"/>
      <x:c r="AO158" s="27"/>
      <x:c r="AP158" s="27"/>
      <x:c r="AQ158" s="27"/>
      <x:c r="AR158" s="27" t="str">
        <x:f>IF(C158="","",SUM(H158,N158,T158,Z158,AF158,AL158))</x:f>
      </x:c>
      <x:c r="AS158" s="27" t="str">
        <x:f>IF(C158="","",SUM(I158,O158,U158,AA158,AG158,AM158))</x:f>
      </x:c>
      <x:c r="AT158" s="27" t="str">
        <x:f>IF(C158="","",SUM(J158,P158,V158,AB158,AH158,AN158))</x:f>
      </x:c>
      <x:c r="AU158" s="27" t="str">
        <x:f>IF(C158="","",SUM(K158,Q158,W158,AC158,AI158,AO158))</x:f>
      </x:c>
      <x:c r="AV158" s="27" t="str">
        <x:f>IF(C158="","",SUM(L158,R158,X158,AD158,AJ158,AP158))</x:f>
      </x:c>
      <x:c r="AW158" s="27" t="str">
        <x:f>IF(C158="","",SUM(M158,S158,Y158,AE158,AK158,AQ158))</x:f>
      </x:c>
      <x:c r="AX158" s="27" t="str">
        <x:f>IF(C158="","",CONCAT(IF(AR158&gt;=LARGE(AR158:AW158,3),"R",""),IF(AS158&gt;=LARGE(AR158:AW158,3),"I",""),IF(AT158&gt;=LARGE(AR158:AW158,3),"A",""),IF(AU158&gt;=LARGE(AR158:AW158,3),"S",""),IF(AV158&gt;=LARGE(AR158:AW158,3),"E",""),IF(AW158&gt;=LARGE(AR158:AW158,3),"C","")))</x:f>
      </x:c>
      <x:c r="AY158" s="27" t="str">
        <x:f>IF(C158="","",IF(AR158=MAX(AR158:AW158),"นักปฏิบัติ",IF(AS158=MAX(AR158:AW158),"นักคิดวิเคราะห์",IF(AT158=MAX(AR158:AW158),"นักสร้างสรรค์",IF(AU158=MAX(AR158:AW158),"ผู้เข้าใจผู้คน",IF(AV158=MAX(AR158:AW158),"ผู้นำการเปลี่ยนแปลง","ผู้จัดระบบ"))))))</x:f>
      </x:c>
    </x:row>
    <x:row r="159">
      <x:c r="A159" s="27"/>
      <x:c r="B159" s="28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  <x:c r="AC159" s="27"/>
      <x:c r="AD159" s="27"/>
      <x:c r="AE159" s="27"/>
      <x:c r="AF159" s="27"/>
      <x:c r="AG159" s="27"/>
      <x:c r="AH159" s="27"/>
      <x:c r="AI159" s="27"/>
      <x:c r="AJ159" s="27"/>
      <x:c r="AK159" s="27"/>
      <x:c r="AL159" s="27"/>
      <x:c r="AM159" s="27"/>
      <x:c r="AN159" s="27"/>
      <x:c r="AO159" s="27"/>
      <x:c r="AP159" s="27"/>
      <x:c r="AQ159" s="27"/>
      <x:c r="AR159" s="27" t="str">
        <x:f>IF(C159="","",SUM(H159,N159,T159,Z159,AF159,AL159))</x:f>
      </x:c>
      <x:c r="AS159" s="27" t="str">
        <x:f>IF(C159="","",SUM(I159,O159,U159,AA159,AG159,AM159))</x:f>
      </x:c>
      <x:c r="AT159" s="27" t="str">
        <x:f>IF(C159="","",SUM(J159,P159,V159,AB159,AH159,AN159))</x:f>
      </x:c>
      <x:c r="AU159" s="27" t="str">
        <x:f>IF(C159="","",SUM(K159,Q159,W159,AC159,AI159,AO159))</x:f>
      </x:c>
      <x:c r="AV159" s="27" t="str">
        <x:f>IF(C159="","",SUM(L159,R159,X159,AD159,AJ159,AP159))</x:f>
      </x:c>
      <x:c r="AW159" s="27" t="str">
        <x:f>IF(C159="","",SUM(M159,S159,Y159,AE159,AK159,AQ159))</x:f>
      </x:c>
      <x:c r="AX159" s="27" t="str">
        <x:f>IF(C159="","",CONCAT(IF(AR159&gt;=LARGE(AR159:AW159,3),"R",""),IF(AS159&gt;=LARGE(AR159:AW159,3),"I",""),IF(AT159&gt;=LARGE(AR159:AW159,3),"A",""),IF(AU159&gt;=LARGE(AR159:AW159,3),"S",""),IF(AV159&gt;=LARGE(AR159:AW159,3),"E",""),IF(AW159&gt;=LARGE(AR159:AW159,3),"C","")))</x:f>
      </x:c>
      <x:c r="AY159" s="27" t="str">
        <x:f>IF(C159="","",IF(AR159=MAX(AR159:AW159),"นักปฏิบัติ",IF(AS159=MAX(AR159:AW159),"นักคิดวิเคราะห์",IF(AT159=MAX(AR159:AW159),"นักสร้างสรรค์",IF(AU159=MAX(AR159:AW159),"ผู้เข้าใจผู้คน",IF(AV159=MAX(AR159:AW159),"ผู้นำการเปลี่ยนแปลง","ผู้จัดระบบ"))))))</x:f>
      </x:c>
    </x:row>
    <x:row r="160">
      <x:c r="A160" s="27"/>
      <x:c r="B160" s="28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  <x:c r="AC160" s="27"/>
      <x:c r="AD160" s="27"/>
      <x:c r="AE160" s="27"/>
      <x:c r="AF160" s="27"/>
      <x:c r="AG160" s="27"/>
      <x:c r="AH160" s="27"/>
      <x:c r="AI160" s="27"/>
      <x:c r="AJ160" s="27"/>
      <x:c r="AK160" s="27"/>
      <x:c r="AL160" s="27"/>
      <x:c r="AM160" s="27"/>
      <x:c r="AN160" s="27"/>
      <x:c r="AO160" s="27"/>
      <x:c r="AP160" s="27"/>
      <x:c r="AQ160" s="27"/>
      <x:c r="AR160" s="27" t="str">
        <x:f>IF(C160="","",SUM(H160,N160,T160,Z160,AF160,AL160))</x:f>
      </x:c>
      <x:c r="AS160" s="27" t="str">
        <x:f>IF(C160="","",SUM(I160,O160,U160,AA160,AG160,AM160))</x:f>
      </x:c>
      <x:c r="AT160" s="27" t="str">
        <x:f>IF(C160="","",SUM(J160,P160,V160,AB160,AH160,AN160))</x:f>
      </x:c>
      <x:c r="AU160" s="27" t="str">
        <x:f>IF(C160="","",SUM(K160,Q160,W160,AC160,AI160,AO160))</x:f>
      </x:c>
      <x:c r="AV160" s="27" t="str">
        <x:f>IF(C160="","",SUM(L160,R160,X160,AD160,AJ160,AP160))</x:f>
      </x:c>
      <x:c r="AW160" s="27" t="str">
        <x:f>IF(C160="","",SUM(M160,S160,Y160,AE160,AK160,AQ160))</x:f>
      </x:c>
      <x:c r="AX160" s="27" t="str">
        <x:f>IF(C160="","",CONCAT(IF(AR160&gt;=LARGE(AR160:AW160,3),"R",""),IF(AS160&gt;=LARGE(AR160:AW160,3),"I",""),IF(AT160&gt;=LARGE(AR160:AW160,3),"A",""),IF(AU160&gt;=LARGE(AR160:AW160,3),"S",""),IF(AV160&gt;=LARGE(AR160:AW160,3),"E",""),IF(AW160&gt;=LARGE(AR160:AW160,3),"C","")))</x:f>
      </x:c>
      <x:c r="AY160" s="27" t="str">
        <x:f>IF(C160="","",IF(AR160=MAX(AR160:AW160),"นักปฏิบัติ",IF(AS160=MAX(AR160:AW160),"นักคิดวิเคราะห์",IF(AT160=MAX(AR160:AW160),"นักสร้างสรรค์",IF(AU160=MAX(AR160:AW160),"ผู้เข้าใจผู้คน",IF(AV160=MAX(AR160:AW160),"ผู้นำการเปลี่ยนแปลง","ผู้จัดระบบ"))))))</x:f>
      </x:c>
    </x:row>
    <x:row r="161">
      <x:c r="A161" s="27"/>
      <x:c r="B161" s="28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  <x:c r="AC161" s="27"/>
      <x:c r="AD161" s="27"/>
      <x:c r="AE161" s="27"/>
      <x:c r="AF161" s="27"/>
      <x:c r="AG161" s="27"/>
      <x:c r="AH161" s="27"/>
      <x:c r="AI161" s="27"/>
      <x:c r="AJ161" s="27"/>
      <x:c r="AK161" s="27"/>
      <x:c r="AL161" s="27"/>
      <x:c r="AM161" s="27"/>
      <x:c r="AN161" s="27"/>
      <x:c r="AO161" s="27"/>
      <x:c r="AP161" s="27"/>
      <x:c r="AQ161" s="27"/>
      <x:c r="AR161" s="27" t="str">
        <x:f>IF(C161="","",SUM(H161,N161,T161,Z161,AF161,AL161))</x:f>
      </x:c>
      <x:c r="AS161" s="27" t="str">
        <x:f>IF(C161="","",SUM(I161,O161,U161,AA161,AG161,AM161))</x:f>
      </x:c>
      <x:c r="AT161" s="27" t="str">
        <x:f>IF(C161="","",SUM(J161,P161,V161,AB161,AH161,AN161))</x:f>
      </x:c>
      <x:c r="AU161" s="27" t="str">
        <x:f>IF(C161="","",SUM(K161,Q161,W161,AC161,AI161,AO161))</x:f>
      </x:c>
      <x:c r="AV161" s="27" t="str">
        <x:f>IF(C161="","",SUM(L161,R161,X161,AD161,AJ161,AP161))</x:f>
      </x:c>
      <x:c r="AW161" s="27" t="str">
        <x:f>IF(C161="","",SUM(M161,S161,Y161,AE161,AK161,AQ161))</x:f>
      </x:c>
      <x:c r="AX161" s="27" t="str">
        <x:f>IF(C161="","",CONCAT(IF(AR161&gt;=LARGE(AR161:AW161,3),"R",""),IF(AS161&gt;=LARGE(AR161:AW161,3),"I",""),IF(AT161&gt;=LARGE(AR161:AW161,3),"A",""),IF(AU161&gt;=LARGE(AR161:AW161,3),"S",""),IF(AV161&gt;=LARGE(AR161:AW161,3),"E",""),IF(AW161&gt;=LARGE(AR161:AW161,3),"C","")))</x:f>
      </x:c>
      <x:c r="AY161" s="27" t="str">
        <x:f>IF(C161="","",IF(AR161=MAX(AR161:AW161),"นักปฏิบัติ",IF(AS161=MAX(AR161:AW161),"นักคิดวิเคราะห์",IF(AT161=MAX(AR161:AW161),"นักสร้างสรรค์",IF(AU161=MAX(AR161:AW161),"ผู้เข้าใจผู้คน",IF(AV161=MAX(AR161:AW161),"ผู้นำการเปลี่ยนแปลง","ผู้จัดระบบ"))))))</x:f>
      </x:c>
    </x:row>
    <x:row r="162">
      <x:c r="A162" s="27"/>
      <x:c r="B162" s="28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  <x:c r="AC162" s="27"/>
      <x:c r="AD162" s="27"/>
      <x:c r="AE162" s="27"/>
      <x:c r="AF162" s="27"/>
      <x:c r="AG162" s="27"/>
      <x:c r="AH162" s="27"/>
      <x:c r="AI162" s="27"/>
      <x:c r="AJ162" s="27"/>
      <x:c r="AK162" s="27"/>
      <x:c r="AL162" s="27"/>
      <x:c r="AM162" s="27"/>
      <x:c r="AN162" s="27"/>
      <x:c r="AO162" s="27"/>
      <x:c r="AP162" s="27"/>
      <x:c r="AQ162" s="27"/>
      <x:c r="AR162" s="27" t="str">
        <x:f>IF(C162="","",SUM(H162,N162,T162,Z162,AF162,AL162))</x:f>
      </x:c>
      <x:c r="AS162" s="27" t="str">
        <x:f>IF(C162="","",SUM(I162,O162,U162,AA162,AG162,AM162))</x:f>
      </x:c>
      <x:c r="AT162" s="27" t="str">
        <x:f>IF(C162="","",SUM(J162,P162,V162,AB162,AH162,AN162))</x:f>
      </x:c>
      <x:c r="AU162" s="27" t="str">
        <x:f>IF(C162="","",SUM(K162,Q162,W162,AC162,AI162,AO162))</x:f>
      </x:c>
      <x:c r="AV162" s="27" t="str">
        <x:f>IF(C162="","",SUM(L162,R162,X162,AD162,AJ162,AP162))</x:f>
      </x:c>
      <x:c r="AW162" s="27" t="str">
        <x:f>IF(C162="","",SUM(M162,S162,Y162,AE162,AK162,AQ162))</x:f>
      </x:c>
      <x:c r="AX162" s="27" t="str">
        <x:f>IF(C162="","",CONCAT(IF(AR162&gt;=LARGE(AR162:AW162,3),"R",""),IF(AS162&gt;=LARGE(AR162:AW162,3),"I",""),IF(AT162&gt;=LARGE(AR162:AW162,3),"A",""),IF(AU162&gt;=LARGE(AR162:AW162,3),"S",""),IF(AV162&gt;=LARGE(AR162:AW162,3),"E",""),IF(AW162&gt;=LARGE(AR162:AW162,3),"C","")))</x:f>
      </x:c>
      <x:c r="AY162" s="27" t="str">
        <x:f>IF(C162="","",IF(AR162=MAX(AR162:AW162),"นักปฏิบัติ",IF(AS162=MAX(AR162:AW162),"นักคิดวิเคราะห์",IF(AT162=MAX(AR162:AW162),"นักสร้างสรรค์",IF(AU162=MAX(AR162:AW162),"ผู้เข้าใจผู้คน",IF(AV162=MAX(AR162:AW162),"ผู้นำการเปลี่ยนแปลง","ผู้จัดระบบ"))))))</x:f>
      </x:c>
    </x:row>
    <x:row r="163">
      <x:c r="A163" s="27"/>
      <x:c r="B163" s="28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  <x:c r="AC163" s="27"/>
      <x:c r="AD163" s="27"/>
      <x:c r="AE163" s="27"/>
      <x:c r="AF163" s="27"/>
      <x:c r="AG163" s="27"/>
      <x:c r="AH163" s="27"/>
      <x:c r="AI163" s="27"/>
      <x:c r="AJ163" s="27"/>
      <x:c r="AK163" s="27"/>
      <x:c r="AL163" s="27"/>
      <x:c r="AM163" s="27"/>
      <x:c r="AN163" s="27"/>
      <x:c r="AO163" s="27"/>
      <x:c r="AP163" s="27"/>
      <x:c r="AQ163" s="27"/>
      <x:c r="AR163" s="27" t="str">
        <x:f>IF(C163="","",SUM(H163,N163,T163,Z163,AF163,AL163))</x:f>
      </x:c>
      <x:c r="AS163" s="27" t="str">
        <x:f>IF(C163="","",SUM(I163,O163,U163,AA163,AG163,AM163))</x:f>
      </x:c>
      <x:c r="AT163" s="27" t="str">
        <x:f>IF(C163="","",SUM(J163,P163,V163,AB163,AH163,AN163))</x:f>
      </x:c>
      <x:c r="AU163" s="27" t="str">
        <x:f>IF(C163="","",SUM(K163,Q163,W163,AC163,AI163,AO163))</x:f>
      </x:c>
      <x:c r="AV163" s="27" t="str">
        <x:f>IF(C163="","",SUM(L163,R163,X163,AD163,AJ163,AP163))</x:f>
      </x:c>
      <x:c r="AW163" s="27" t="str">
        <x:f>IF(C163="","",SUM(M163,S163,Y163,AE163,AK163,AQ163))</x:f>
      </x:c>
      <x:c r="AX163" s="27" t="str">
        <x:f>IF(C163="","",CONCAT(IF(AR163&gt;=LARGE(AR163:AW163,3),"R",""),IF(AS163&gt;=LARGE(AR163:AW163,3),"I",""),IF(AT163&gt;=LARGE(AR163:AW163,3),"A",""),IF(AU163&gt;=LARGE(AR163:AW163,3),"S",""),IF(AV163&gt;=LARGE(AR163:AW163,3),"E",""),IF(AW163&gt;=LARGE(AR163:AW163,3),"C","")))</x:f>
      </x:c>
      <x:c r="AY163" s="27" t="str">
        <x:f>IF(C163="","",IF(AR163=MAX(AR163:AW163),"นักปฏิบัติ",IF(AS163=MAX(AR163:AW163),"นักคิดวิเคราะห์",IF(AT163=MAX(AR163:AW163),"นักสร้างสรรค์",IF(AU163=MAX(AR163:AW163),"ผู้เข้าใจผู้คน",IF(AV163=MAX(AR163:AW163),"ผู้นำการเปลี่ยนแปลง","ผู้จัดระบบ"))))))</x:f>
      </x:c>
    </x:row>
    <x:row r="164">
      <x:c r="A164" s="27"/>
      <x:c r="B164" s="28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  <x:c r="AC164" s="27"/>
      <x:c r="AD164" s="27"/>
      <x:c r="AE164" s="27"/>
      <x:c r="AF164" s="27"/>
      <x:c r="AG164" s="27"/>
      <x:c r="AH164" s="27"/>
      <x:c r="AI164" s="27"/>
      <x:c r="AJ164" s="27"/>
      <x:c r="AK164" s="27"/>
      <x:c r="AL164" s="27"/>
      <x:c r="AM164" s="27"/>
      <x:c r="AN164" s="27"/>
      <x:c r="AO164" s="27"/>
      <x:c r="AP164" s="27"/>
      <x:c r="AQ164" s="27"/>
      <x:c r="AR164" s="27" t="str">
        <x:f>IF(C164="","",SUM(H164,N164,T164,Z164,AF164,AL164))</x:f>
      </x:c>
      <x:c r="AS164" s="27" t="str">
        <x:f>IF(C164="","",SUM(I164,O164,U164,AA164,AG164,AM164))</x:f>
      </x:c>
      <x:c r="AT164" s="27" t="str">
        <x:f>IF(C164="","",SUM(J164,P164,V164,AB164,AH164,AN164))</x:f>
      </x:c>
      <x:c r="AU164" s="27" t="str">
        <x:f>IF(C164="","",SUM(K164,Q164,W164,AC164,AI164,AO164))</x:f>
      </x:c>
      <x:c r="AV164" s="27" t="str">
        <x:f>IF(C164="","",SUM(L164,R164,X164,AD164,AJ164,AP164))</x:f>
      </x:c>
      <x:c r="AW164" s="27" t="str">
        <x:f>IF(C164="","",SUM(M164,S164,Y164,AE164,AK164,AQ164))</x:f>
      </x:c>
      <x:c r="AX164" s="27" t="str">
        <x:f>IF(C164="","",CONCAT(IF(AR164&gt;=LARGE(AR164:AW164,3),"R",""),IF(AS164&gt;=LARGE(AR164:AW164,3),"I",""),IF(AT164&gt;=LARGE(AR164:AW164,3),"A",""),IF(AU164&gt;=LARGE(AR164:AW164,3),"S",""),IF(AV164&gt;=LARGE(AR164:AW164,3),"E",""),IF(AW164&gt;=LARGE(AR164:AW164,3),"C","")))</x:f>
      </x:c>
      <x:c r="AY164" s="27" t="str">
        <x:f>IF(C164="","",IF(AR164=MAX(AR164:AW164),"นักปฏิบัติ",IF(AS164=MAX(AR164:AW164),"นักคิดวิเคราะห์",IF(AT164=MAX(AR164:AW164),"นักสร้างสรรค์",IF(AU164=MAX(AR164:AW164),"ผู้เข้าใจผู้คน",IF(AV164=MAX(AR164:AW164),"ผู้นำการเปลี่ยนแปลง","ผู้จัดระบบ"))))))</x:f>
      </x:c>
    </x:row>
    <x:row r="165">
      <x:c r="A165" s="27"/>
      <x:c r="B165" s="28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  <x:c r="AC165" s="27"/>
      <x:c r="AD165" s="27"/>
      <x:c r="AE165" s="27"/>
      <x:c r="AF165" s="27"/>
      <x:c r="AG165" s="27"/>
      <x:c r="AH165" s="27"/>
      <x:c r="AI165" s="27"/>
      <x:c r="AJ165" s="27"/>
      <x:c r="AK165" s="27"/>
      <x:c r="AL165" s="27"/>
      <x:c r="AM165" s="27"/>
      <x:c r="AN165" s="27"/>
      <x:c r="AO165" s="27"/>
      <x:c r="AP165" s="27"/>
      <x:c r="AQ165" s="27"/>
      <x:c r="AR165" s="27" t="str">
        <x:f>IF(C165="","",SUM(H165,N165,T165,Z165,AF165,AL165))</x:f>
      </x:c>
      <x:c r="AS165" s="27" t="str">
        <x:f>IF(C165="","",SUM(I165,O165,U165,AA165,AG165,AM165))</x:f>
      </x:c>
      <x:c r="AT165" s="27" t="str">
        <x:f>IF(C165="","",SUM(J165,P165,V165,AB165,AH165,AN165))</x:f>
      </x:c>
      <x:c r="AU165" s="27" t="str">
        <x:f>IF(C165="","",SUM(K165,Q165,W165,AC165,AI165,AO165))</x:f>
      </x:c>
      <x:c r="AV165" s="27" t="str">
        <x:f>IF(C165="","",SUM(L165,R165,X165,AD165,AJ165,AP165))</x:f>
      </x:c>
      <x:c r="AW165" s="27" t="str">
        <x:f>IF(C165="","",SUM(M165,S165,Y165,AE165,AK165,AQ165))</x:f>
      </x:c>
      <x:c r="AX165" s="27" t="str">
        <x:f>IF(C165="","",CONCAT(IF(AR165&gt;=LARGE(AR165:AW165,3),"R",""),IF(AS165&gt;=LARGE(AR165:AW165,3),"I",""),IF(AT165&gt;=LARGE(AR165:AW165,3),"A",""),IF(AU165&gt;=LARGE(AR165:AW165,3),"S",""),IF(AV165&gt;=LARGE(AR165:AW165,3),"E",""),IF(AW165&gt;=LARGE(AR165:AW165,3),"C","")))</x:f>
      </x:c>
      <x:c r="AY165" s="27" t="str">
        <x:f>IF(C165="","",IF(AR165=MAX(AR165:AW165),"นักปฏิบัติ",IF(AS165=MAX(AR165:AW165),"นักคิดวิเคราะห์",IF(AT165=MAX(AR165:AW165),"นักสร้างสรรค์",IF(AU165=MAX(AR165:AW165),"ผู้เข้าใจผู้คน",IF(AV165=MAX(AR165:AW165),"ผู้นำการเปลี่ยนแปลง","ผู้จัดระบบ"))))))</x:f>
      </x:c>
    </x:row>
    <x:row r="166">
      <x:c r="A166" s="27"/>
      <x:c r="B166" s="28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  <x:c r="AC166" s="27"/>
      <x:c r="AD166" s="27"/>
      <x:c r="AE166" s="27"/>
      <x:c r="AF166" s="27"/>
      <x:c r="AG166" s="27"/>
      <x:c r="AH166" s="27"/>
      <x:c r="AI166" s="27"/>
      <x:c r="AJ166" s="27"/>
      <x:c r="AK166" s="27"/>
      <x:c r="AL166" s="27"/>
      <x:c r="AM166" s="27"/>
      <x:c r="AN166" s="27"/>
      <x:c r="AO166" s="27"/>
      <x:c r="AP166" s="27"/>
      <x:c r="AQ166" s="27"/>
      <x:c r="AR166" s="27" t="str">
        <x:f>IF(C166="","",SUM(H166,N166,T166,Z166,AF166,AL166))</x:f>
      </x:c>
      <x:c r="AS166" s="27" t="str">
        <x:f>IF(C166="","",SUM(I166,O166,U166,AA166,AG166,AM166))</x:f>
      </x:c>
      <x:c r="AT166" s="27" t="str">
        <x:f>IF(C166="","",SUM(J166,P166,V166,AB166,AH166,AN166))</x:f>
      </x:c>
      <x:c r="AU166" s="27" t="str">
        <x:f>IF(C166="","",SUM(K166,Q166,W166,AC166,AI166,AO166))</x:f>
      </x:c>
      <x:c r="AV166" s="27" t="str">
        <x:f>IF(C166="","",SUM(L166,R166,X166,AD166,AJ166,AP166))</x:f>
      </x:c>
      <x:c r="AW166" s="27" t="str">
        <x:f>IF(C166="","",SUM(M166,S166,Y166,AE166,AK166,AQ166))</x:f>
      </x:c>
      <x:c r="AX166" s="27" t="str">
        <x:f>IF(C166="","",CONCAT(IF(AR166&gt;=LARGE(AR166:AW166,3),"R",""),IF(AS166&gt;=LARGE(AR166:AW166,3),"I",""),IF(AT166&gt;=LARGE(AR166:AW166,3),"A",""),IF(AU166&gt;=LARGE(AR166:AW166,3),"S",""),IF(AV166&gt;=LARGE(AR166:AW166,3),"E",""),IF(AW166&gt;=LARGE(AR166:AW166,3),"C","")))</x:f>
      </x:c>
      <x:c r="AY166" s="27" t="str">
        <x:f>IF(C166="","",IF(AR166=MAX(AR166:AW166),"นักปฏิบัติ",IF(AS166=MAX(AR166:AW166),"นักคิดวิเคราะห์",IF(AT166=MAX(AR166:AW166),"นักสร้างสรรค์",IF(AU166=MAX(AR166:AW166),"ผู้เข้าใจผู้คน",IF(AV166=MAX(AR166:AW166),"ผู้นำการเปลี่ยนแปลง","ผู้จัดระบบ"))))))</x:f>
      </x:c>
    </x:row>
    <x:row r="167">
      <x:c r="A167" s="27"/>
      <x:c r="B167" s="28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  <x:c r="AC167" s="27"/>
      <x:c r="AD167" s="27"/>
      <x:c r="AE167" s="27"/>
      <x:c r="AF167" s="27"/>
      <x:c r="AG167" s="27"/>
      <x:c r="AH167" s="27"/>
      <x:c r="AI167" s="27"/>
      <x:c r="AJ167" s="27"/>
      <x:c r="AK167" s="27"/>
      <x:c r="AL167" s="27"/>
      <x:c r="AM167" s="27"/>
      <x:c r="AN167" s="27"/>
      <x:c r="AO167" s="27"/>
      <x:c r="AP167" s="27"/>
      <x:c r="AQ167" s="27"/>
      <x:c r="AR167" s="27" t="str">
        <x:f>IF(C167="","",SUM(H167,N167,T167,Z167,AF167,AL167))</x:f>
      </x:c>
      <x:c r="AS167" s="27" t="str">
        <x:f>IF(C167="","",SUM(I167,O167,U167,AA167,AG167,AM167))</x:f>
      </x:c>
      <x:c r="AT167" s="27" t="str">
        <x:f>IF(C167="","",SUM(J167,P167,V167,AB167,AH167,AN167))</x:f>
      </x:c>
      <x:c r="AU167" s="27" t="str">
        <x:f>IF(C167="","",SUM(K167,Q167,W167,AC167,AI167,AO167))</x:f>
      </x:c>
      <x:c r="AV167" s="27" t="str">
        <x:f>IF(C167="","",SUM(L167,R167,X167,AD167,AJ167,AP167))</x:f>
      </x:c>
      <x:c r="AW167" s="27" t="str">
        <x:f>IF(C167="","",SUM(M167,S167,Y167,AE167,AK167,AQ167))</x:f>
      </x:c>
      <x:c r="AX167" s="27" t="str">
        <x:f>IF(C167="","",CONCAT(IF(AR167&gt;=LARGE(AR167:AW167,3),"R",""),IF(AS167&gt;=LARGE(AR167:AW167,3),"I",""),IF(AT167&gt;=LARGE(AR167:AW167,3),"A",""),IF(AU167&gt;=LARGE(AR167:AW167,3),"S",""),IF(AV167&gt;=LARGE(AR167:AW167,3),"E",""),IF(AW167&gt;=LARGE(AR167:AW167,3),"C","")))</x:f>
      </x:c>
      <x:c r="AY167" s="27" t="str">
        <x:f>IF(C167="","",IF(AR167=MAX(AR167:AW167),"นักปฏิบัติ",IF(AS167=MAX(AR167:AW167),"นักคิดวิเคราะห์",IF(AT167=MAX(AR167:AW167),"นักสร้างสรรค์",IF(AU167=MAX(AR167:AW167),"ผู้เข้าใจผู้คน",IF(AV167=MAX(AR167:AW167),"ผู้นำการเปลี่ยนแปลง","ผู้จัดระบบ"))))))</x:f>
      </x:c>
    </x:row>
    <x:row r="168">
      <x:c r="A168" s="27"/>
      <x:c r="B168" s="28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  <x:c r="AC168" s="27"/>
      <x:c r="AD168" s="27"/>
      <x:c r="AE168" s="27"/>
      <x:c r="AF168" s="27"/>
      <x:c r="AG168" s="27"/>
      <x:c r="AH168" s="27"/>
      <x:c r="AI168" s="27"/>
      <x:c r="AJ168" s="27"/>
      <x:c r="AK168" s="27"/>
      <x:c r="AL168" s="27"/>
      <x:c r="AM168" s="27"/>
      <x:c r="AN168" s="27"/>
      <x:c r="AO168" s="27"/>
      <x:c r="AP168" s="27"/>
      <x:c r="AQ168" s="27"/>
      <x:c r="AR168" s="27" t="str">
        <x:f>IF(C168="","",SUM(H168,N168,T168,Z168,AF168,AL168))</x:f>
      </x:c>
      <x:c r="AS168" s="27" t="str">
        <x:f>IF(C168="","",SUM(I168,O168,U168,AA168,AG168,AM168))</x:f>
      </x:c>
      <x:c r="AT168" s="27" t="str">
        <x:f>IF(C168="","",SUM(J168,P168,V168,AB168,AH168,AN168))</x:f>
      </x:c>
      <x:c r="AU168" s="27" t="str">
        <x:f>IF(C168="","",SUM(K168,Q168,W168,AC168,AI168,AO168))</x:f>
      </x:c>
      <x:c r="AV168" s="27" t="str">
        <x:f>IF(C168="","",SUM(L168,R168,X168,AD168,AJ168,AP168))</x:f>
      </x:c>
      <x:c r="AW168" s="27" t="str">
        <x:f>IF(C168="","",SUM(M168,S168,Y168,AE168,AK168,AQ168))</x:f>
      </x:c>
      <x:c r="AX168" s="27" t="str">
        <x:f>IF(C168="","",CONCAT(IF(AR168&gt;=LARGE(AR168:AW168,3),"R",""),IF(AS168&gt;=LARGE(AR168:AW168,3),"I",""),IF(AT168&gt;=LARGE(AR168:AW168,3),"A",""),IF(AU168&gt;=LARGE(AR168:AW168,3),"S",""),IF(AV168&gt;=LARGE(AR168:AW168,3),"E",""),IF(AW168&gt;=LARGE(AR168:AW168,3),"C","")))</x:f>
      </x:c>
      <x:c r="AY168" s="27" t="str">
        <x:f>IF(C168="","",IF(AR168=MAX(AR168:AW168),"นักปฏิบัติ",IF(AS168=MAX(AR168:AW168),"นักคิดวิเคราะห์",IF(AT168=MAX(AR168:AW168),"นักสร้างสรรค์",IF(AU168=MAX(AR168:AW168),"ผู้เข้าใจผู้คน",IF(AV168=MAX(AR168:AW168),"ผู้นำการเปลี่ยนแปลง","ผู้จัดระบบ"))))))</x:f>
      </x:c>
    </x:row>
    <x:row r="169">
      <x:c r="A169" s="27"/>
      <x:c r="B169" s="28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  <x:c r="AC169" s="27"/>
      <x:c r="AD169" s="27"/>
      <x:c r="AE169" s="27"/>
      <x:c r="AF169" s="27"/>
      <x:c r="AG169" s="27"/>
      <x:c r="AH169" s="27"/>
      <x:c r="AI169" s="27"/>
      <x:c r="AJ169" s="27"/>
      <x:c r="AK169" s="27"/>
      <x:c r="AL169" s="27"/>
      <x:c r="AM169" s="27"/>
      <x:c r="AN169" s="27"/>
      <x:c r="AO169" s="27"/>
      <x:c r="AP169" s="27"/>
      <x:c r="AQ169" s="27"/>
      <x:c r="AR169" s="27" t="str">
        <x:f>IF(C169="","",SUM(H169,N169,T169,Z169,AF169,AL169))</x:f>
      </x:c>
      <x:c r="AS169" s="27" t="str">
        <x:f>IF(C169="","",SUM(I169,O169,U169,AA169,AG169,AM169))</x:f>
      </x:c>
      <x:c r="AT169" s="27" t="str">
        <x:f>IF(C169="","",SUM(J169,P169,V169,AB169,AH169,AN169))</x:f>
      </x:c>
      <x:c r="AU169" s="27" t="str">
        <x:f>IF(C169="","",SUM(K169,Q169,W169,AC169,AI169,AO169))</x:f>
      </x:c>
      <x:c r="AV169" s="27" t="str">
        <x:f>IF(C169="","",SUM(L169,R169,X169,AD169,AJ169,AP169))</x:f>
      </x:c>
      <x:c r="AW169" s="27" t="str">
        <x:f>IF(C169="","",SUM(M169,S169,Y169,AE169,AK169,AQ169))</x:f>
      </x:c>
      <x:c r="AX169" s="27" t="str">
        <x:f>IF(C169="","",CONCAT(IF(AR169&gt;=LARGE(AR169:AW169,3),"R",""),IF(AS169&gt;=LARGE(AR169:AW169,3),"I",""),IF(AT169&gt;=LARGE(AR169:AW169,3),"A",""),IF(AU169&gt;=LARGE(AR169:AW169,3),"S",""),IF(AV169&gt;=LARGE(AR169:AW169,3),"E",""),IF(AW169&gt;=LARGE(AR169:AW169,3),"C","")))</x:f>
      </x:c>
      <x:c r="AY169" s="27" t="str">
        <x:f>IF(C169="","",IF(AR169=MAX(AR169:AW169),"นักปฏิบัติ",IF(AS169=MAX(AR169:AW169),"นักคิดวิเคราะห์",IF(AT169=MAX(AR169:AW169),"นักสร้างสรรค์",IF(AU169=MAX(AR169:AW169),"ผู้เข้าใจผู้คน",IF(AV169=MAX(AR169:AW169),"ผู้นำการเปลี่ยนแปลง","ผู้จัดระบบ"))))))</x:f>
      </x:c>
    </x:row>
    <x:row r="170">
      <x:c r="A170" s="27"/>
      <x:c r="B170" s="28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  <x:c r="AC170" s="27"/>
      <x:c r="AD170" s="27"/>
      <x:c r="AE170" s="27"/>
      <x:c r="AF170" s="27"/>
      <x:c r="AG170" s="27"/>
      <x:c r="AH170" s="27"/>
      <x:c r="AI170" s="27"/>
      <x:c r="AJ170" s="27"/>
      <x:c r="AK170" s="27"/>
      <x:c r="AL170" s="27"/>
      <x:c r="AM170" s="27"/>
      <x:c r="AN170" s="27"/>
      <x:c r="AO170" s="27"/>
      <x:c r="AP170" s="27"/>
      <x:c r="AQ170" s="27"/>
      <x:c r="AR170" s="27" t="str">
        <x:f>IF(C170="","",SUM(H170,N170,T170,Z170,AF170,AL170))</x:f>
      </x:c>
      <x:c r="AS170" s="27" t="str">
        <x:f>IF(C170="","",SUM(I170,O170,U170,AA170,AG170,AM170))</x:f>
      </x:c>
      <x:c r="AT170" s="27" t="str">
        <x:f>IF(C170="","",SUM(J170,P170,V170,AB170,AH170,AN170))</x:f>
      </x:c>
      <x:c r="AU170" s="27" t="str">
        <x:f>IF(C170="","",SUM(K170,Q170,W170,AC170,AI170,AO170))</x:f>
      </x:c>
      <x:c r="AV170" s="27" t="str">
        <x:f>IF(C170="","",SUM(L170,R170,X170,AD170,AJ170,AP170))</x:f>
      </x:c>
      <x:c r="AW170" s="27" t="str">
        <x:f>IF(C170="","",SUM(M170,S170,Y170,AE170,AK170,AQ170))</x:f>
      </x:c>
      <x:c r="AX170" s="27" t="str">
        <x:f>IF(C170="","",CONCAT(IF(AR170&gt;=LARGE(AR170:AW170,3),"R",""),IF(AS170&gt;=LARGE(AR170:AW170,3),"I",""),IF(AT170&gt;=LARGE(AR170:AW170,3),"A",""),IF(AU170&gt;=LARGE(AR170:AW170,3),"S",""),IF(AV170&gt;=LARGE(AR170:AW170,3),"E",""),IF(AW170&gt;=LARGE(AR170:AW170,3),"C","")))</x:f>
      </x:c>
      <x:c r="AY170" s="27" t="str">
        <x:f>IF(C170="","",IF(AR170=MAX(AR170:AW170),"นักปฏิบัติ",IF(AS170=MAX(AR170:AW170),"นักคิดวิเคราะห์",IF(AT170=MAX(AR170:AW170),"นักสร้างสรรค์",IF(AU170=MAX(AR170:AW170),"ผู้เข้าใจผู้คน",IF(AV170=MAX(AR170:AW170),"ผู้นำการเปลี่ยนแปลง","ผู้จัดระบบ"))))))</x:f>
      </x:c>
    </x:row>
    <x:row r="171">
      <x:c r="A171" s="27"/>
      <x:c r="B171" s="28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  <x:c r="AC171" s="27"/>
      <x:c r="AD171" s="27"/>
      <x:c r="AE171" s="27"/>
      <x:c r="AF171" s="27"/>
      <x:c r="AG171" s="27"/>
      <x:c r="AH171" s="27"/>
      <x:c r="AI171" s="27"/>
      <x:c r="AJ171" s="27"/>
      <x:c r="AK171" s="27"/>
      <x:c r="AL171" s="27"/>
      <x:c r="AM171" s="27"/>
      <x:c r="AN171" s="27"/>
      <x:c r="AO171" s="27"/>
      <x:c r="AP171" s="27"/>
      <x:c r="AQ171" s="27"/>
      <x:c r="AR171" s="27" t="str">
        <x:f>IF(C171="","",SUM(H171,N171,T171,Z171,AF171,AL171))</x:f>
      </x:c>
      <x:c r="AS171" s="27" t="str">
        <x:f>IF(C171="","",SUM(I171,O171,U171,AA171,AG171,AM171))</x:f>
      </x:c>
      <x:c r="AT171" s="27" t="str">
        <x:f>IF(C171="","",SUM(J171,P171,V171,AB171,AH171,AN171))</x:f>
      </x:c>
      <x:c r="AU171" s="27" t="str">
        <x:f>IF(C171="","",SUM(K171,Q171,W171,AC171,AI171,AO171))</x:f>
      </x:c>
      <x:c r="AV171" s="27" t="str">
        <x:f>IF(C171="","",SUM(L171,R171,X171,AD171,AJ171,AP171))</x:f>
      </x:c>
      <x:c r="AW171" s="27" t="str">
        <x:f>IF(C171="","",SUM(M171,S171,Y171,AE171,AK171,AQ171))</x:f>
      </x:c>
      <x:c r="AX171" s="27" t="str">
        <x:f>IF(C171="","",CONCAT(IF(AR171&gt;=LARGE(AR171:AW171,3),"R",""),IF(AS171&gt;=LARGE(AR171:AW171,3),"I",""),IF(AT171&gt;=LARGE(AR171:AW171,3),"A",""),IF(AU171&gt;=LARGE(AR171:AW171,3),"S",""),IF(AV171&gt;=LARGE(AR171:AW171,3),"E",""),IF(AW171&gt;=LARGE(AR171:AW171,3),"C","")))</x:f>
      </x:c>
      <x:c r="AY171" s="27" t="str">
        <x:f>IF(C171="","",IF(AR171=MAX(AR171:AW171),"นักปฏิบัติ",IF(AS171=MAX(AR171:AW171),"นักคิดวิเคราะห์",IF(AT171=MAX(AR171:AW171),"นักสร้างสรรค์",IF(AU171=MAX(AR171:AW171),"ผู้เข้าใจผู้คน",IF(AV171=MAX(AR171:AW171),"ผู้นำการเปลี่ยนแปลง","ผู้จัดระบบ"))))))</x:f>
      </x:c>
    </x:row>
    <x:row r="172">
      <x:c r="A172" s="27"/>
      <x:c r="B172" s="28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  <x:c r="AC172" s="27"/>
      <x:c r="AD172" s="27"/>
      <x:c r="AE172" s="27"/>
      <x:c r="AF172" s="27"/>
      <x:c r="AG172" s="27"/>
      <x:c r="AH172" s="27"/>
      <x:c r="AI172" s="27"/>
      <x:c r="AJ172" s="27"/>
      <x:c r="AK172" s="27"/>
      <x:c r="AL172" s="27"/>
      <x:c r="AM172" s="27"/>
      <x:c r="AN172" s="27"/>
      <x:c r="AO172" s="27"/>
      <x:c r="AP172" s="27"/>
      <x:c r="AQ172" s="27"/>
      <x:c r="AR172" s="27" t="str">
        <x:f>IF(C172="","",SUM(H172,N172,T172,Z172,AF172,AL172))</x:f>
      </x:c>
      <x:c r="AS172" s="27" t="str">
        <x:f>IF(C172="","",SUM(I172,O172,U172,AA172,AG172,AM172))</x:f>
      </x:c>
      <x:c r="AT172" s="27" t="str">
        <x:f>IF(C172="","",SUM(J172,P172,V172,AB172,AH172,AN172))</x:f>
      </x:c>
      <x:c r="AU172" s="27" t="str">
        <x:f>IF(C172="","",SUM(K172,Q172,W172,AC172,AI172,AO172))</x:f>
      </x:c>
      <x:c r="AV172" s="27" t="str">
        <x:f>IF(C172="","",SUM(L172,R172,X172,AD172,AJ172,AP172))</x:f>
      </x:c>
      <x:c r="AW172" s="27" t="str">
        <x:f>IF(C172="","",SUM(M172,S172,Y172,AE172,AK172,AQ172))</x:f>
      </x:c>
      <x:c r="AX172" s="27" t="str">
        <x:f>IF(C172="","",CONCAT(IF(AR172&gt;=LARGE(AR172:AW172,3),"R",""),IF(AS172&gt;=LARGE(AR172:AW172,3),"I",""),IF(AT172&gt;=LARGE(AR172:AW172,3),"A",""),IF(AU172&gt;=LARGE(AR172:AW172,3),"S",""),IF(AV172&gt;=LARGE(AR172:AW172,3),"E",""),IF(AW172&gt;=LARGE(AR172:AW172,3),"C","")))</x:f>
      </x:c>
      <x:c r="AY172" s="27" t="str">
        <x:f>IF(C172="","",IF(AR172=MAX(AR172:AW172),"นักปฏิบัติ",IF(AS172=MAX(AR172:AW172),"นักคิดวิเคราะห์",IF(AT172=MAX(AR172:AW172),"นักสร้างสรรค์",IF(AU172=MAX(AR172:AW172),"ผู้เข้าใจผู้คน",IF(AV172=MAX(AR172:AW172),"ผู้นำการเปลี่ยนแปลง","ผู้จัดระบบ"))))))</x:f>
      </x:c>
    </x:row>
    <x:row r="173">
      <x:c r="A173" s="27"/>
      <x:c r="B173" s="28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  <x:c r="AC173" s="27"/>
      <x:c r="AD173" s="27"/>
      <x:c r="AE173" s="27"/>
      <x:c r="AF173" s="27"/>
      <x:c r="AG173" s="27"/>
      <x:c r="AH173" s="27"/>
      <x:c r="AI173" s="27"/>
      <x:c r="AJ173" s="27"/>
      <x:c r="AK173" s="27"/>
      <x:c r="AL173" s="27"/>
      <x:c r="AM173" s="27"/>
      <x:c r="AN173" s="27"/>
      <x:c r="AO173" s="27"/>
      <x:c r="AP173" s="27"/>
      <x:c r="AQ173" s="27"/>
      <x:c r="AR173" s="27" t="str">
        <x:f>IF(C173="","",SUM(H173,N173,T173,Z173,AF173,AL173))</x:f>
      </x:c>
      <x:c r="AS173" s="27" t="str">
        <x:f>IF(C173="","",SUM(I173,O173,U173,AA173,AG173,AM173))</x:f>
      </x:c>
      <x:c r="AT173" s="27" t="str">
        <x:f>IF(C173="","",SUM(J173,P173,V173,AB173,AH173,AN173))</x:f>
      </x:c>
      <x:c r="AU173" s="27" t="str">
        <x:f>IF(C173="","",SUM(K173,Q173,W173,AC173,AI173,AO173))</x:f>
      </x:c>
      <x:c r="AV173" s="27" t="str">
        <x:f>IF(C173="","",SUM(L173,R173,X173,AD173,AJ173,AP173))</x:f>
      </x:c>
      <x:c r="AW173" s="27" t="str">
        <x:f>IF(C173="","",SUM(M173,S173,Y173,AE173,AK173,AQ173))</x:f>
      </x:c>
      <x:c r="AX173" s="27" t="str">
        <x:f>IF(C173="","",CONCAT(IF(AR173&gt;=LARGE(AR173:AW173,3),"R",""),IF(AS173&gt;=LARGE(AR173:AW173,3),"I",""),IF(AT173&gt;=LARGE(AR173:AW173,3),"A",""),IF(AU173&gt;=LARGE(AR173:AW173,3),"S",""),IF(AV173&gt;=LARGE(AR173:AW173,3),"E",""),IF(AW173&gt;=LARGE(AR173:AW173,3),"C","")))</x:f>
      </x:c>
      <x:c r="AY173" s="27" t="str">
        <x:f>IF(C173="","",IF(AR173=MAX(AR173:AW173),"นักปฏิบัติ",IF(AS173=MAX(AR173:AW173),"นักคิดวิเคราะห์",IF(AT173=MAX(AR173:AW173),"นักสร้างสรรค์",IF(AU173=MAX(AR173:AW173),"ผู้เข้าใจผู้คน",IF(AV173=MAX(AR173:AW173),"ผู้นำการเปลี่ยนแปลง","ผู้จัดระบบ"))))))</x:f>
      </x:c>
    </x:row>
    <x:row r="174">
      <x:c r="A174" s="27"/>
      <x:c r="B174" s="28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  <x:c r="AC174" s="27"/>
      <x:c r="AD174" s="27"/>
      <x:c r="AE174" s="27"/>
      <x:c r="AF174" s="27"/>
      <x:c r="AG174" s="27"/>
      <x:c r="AH174" s="27"/>
      <x:c r="AI174" s="27"/>
      <x:c r="AJ174" s="27"/>
      <x:c r="AK174" s="27"/>
      <x:c r="AL174" s="27"/>
      <x:c r="AM174" s="27"/>
      <x:c r="AN174" s="27"/>
      <x:c r="AO174" s="27"/>
      <x:c r="AP174" s="27"/>
      <x:c r="AQ174" s="27"/>
      <x:c r="AR174" s="27" t="str">
        <x:f>IF(C174="","",SUM(H174,N174,T174,Z174,AF174,AL174))</x:f>
      </x:c>
      <x:c r="AS174" s="27" t="str">
        <x:f>IF(C174="","",SUM(I174,O174,U174,AA174,AG174,AM174))</x:f>
      </x:c>
      <x:c r="AT174" s="27" t="str">
        <x:f>IF(C174="","",SUM(J174,P174,V174,AB174,AH174,AN174))</x:f>
      </x:c>
      <x:c r="AU174" s="27" t="str">
        <x:f>IF(C174="","",SUM(K174,Q174,W174,AC174,AI174,AO174))</x:f>
      </x:c>
      <x:c r="AV174" s="27" t="str">
        <x:f>IF(C174="","",SUM(L174,R174,X174,AD174,AJ174,AP174))</x:f>
      </x:c>
      <x:c r="AW174" s="27" t="str">
        <x:f>IF(C174="","",SUM(M174,S174,Y174,AE174,AK174,AQ174))</x:f>
      </x:c>
      <x:c r="AX174" s="27" t="str">
        <x:f>IF(C174="","",CONCAT(IF(AR174&gt;=LARGE(AR174:AW174,3),"R",""),IF(AS174&gt;=LARGE(AR174:AW174,3),"I",""),IF(AT174&gt;=LARGE(AR174:AW174,3),"A",""),IF(AU174&gt;=LARGE(AR174:AW174,3),"S",""),IF(AV174&gt;=LARGE(AR174:AW174,3),"E",""),IF(AW174&gt;=LARGE(AR174:AW174,3),"C","")))</x:f>
      </x:c>
      <x:c r="AY174" s="27" t="str">
        <x:f>IF(C174="","",IF(AR174=MAX(AR174:AW174),"นักปฏิบัติ",IF(AS174=MAX(AR174:AW174),"นักคิดวิเคราะห์",IF(AT174=MAX(AR174:AW174),"นักสร้างสรรค์",IF(AU174=MAX(AR174:AW174),"ผู้เข้าใจผู้คน",IF(AV174=MAX(AR174:AW174),"ผู้นำการเปลี่ยนแปลง","ผู้จัดระบบ"))))))</x:f>
      </x:c>
    </x:row>
    <x:row r="175">
      <x:c r="A175" s="27"/>
      <x:c r="B175" s="28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  <x:c r="AC175" s="27"/>
      <x:c r="AD175" s="27"/>
      <x:c r="AE175" s="27"/>
      <x:c r="AF175" s="27"/>
      <x:c r="AG175" s="27"/>
      <x:c r="AH175" s="27"/>
      <x:c r="AI175" s="27"/>
      <x:c r="AJ175" s="27"/>
      <x:c r="AK175" s="27"/>
      <x:c r="AL175" s="27"/>
      <x:c r="AM175" s="27"/>
      <x:c r="AN175" s="27"/>
      <x:c r="AO175" s="27"/>
      <x:c r="AP175" s="27"/>
      <x:c r="AQ175" s="27"/>
      <x:c r="AR175" s="27" t="str">
        <x:f>IF(C175="","",SUM(H175,N175,T175,Z175,AF175,AL175))</x:f>
      </x:c>
      <x:c r="AS175" s="27" t="str">
        <x:f>IF(C175="","",SUM(I175,O175,U175,AA175,AG175,AM175))</x:f>
      </x:c>
      <x:c r="AT175" s="27" t="str">
        <x:f>IF(C175="","",SUM(J175,P175,V175,AB175,AH175,AN175))</x:f>
      </x:c>
      <x:c r="AU175" s="27" t="str">
        <x:f>IF(C175="","",SUM(K175,Q175,W175,AC175,AI175,AO175))</x:f>
      </x:c>
      <x:c r="AV175" s="27" t="str">
        <x:f>IF(C175="","",SUM(L175,R175,X175,AD175,AJ175,AP175))</x:f>
      </x:c>
      <x:c r="AW175" s="27" t="str">
        <x:f>IF(C175="","",SUM(M175,S175,Y175,AE175,AK175,AQ175))</x:f>
      </x:c>
      <x:c r="AX175" s="27" t="str">
        <x:f>IF(C175="","",CONCAT(IF(AR175&gt;=LARGE(AR175:AW175,3),"R",""),IF(AS175&gt;=LARGE(AR175:AW175,3),"I",""),IF(AT175&gt;=LARGE(AR175:AW175,3),"A",""),IF(AU175&gt;=LARGE(AR175:AW175,3),"S",""),IF(AV175&gt;=LARGE(AR175:AW175,3),"E",""),IF(AW175&gt;=LARGE(AR175:AW175,3),"C","")))</x:f>
      </x:c>
      <x:c r="AY175" s="27" t="str">
        <x:f>IF(C175="","",IF(AR175=MAX(AR175:AW175),"นักปฏิบัติ",IF(AS175=MAX(AR175:AW175),"นักคิดวิเคราะห์",IF(AT175=MAX(AR175:AW175),"นักสร้างสรรค์",IF(AU175=MAX(AR175:AW175),"ผู้เข้าใจผู้คน",IF(AV175=MAX(AR175:AW175),"ผู้นำการเปลี่ยนแปลง","ผู้จัดระบบ"))))))</x:f>
      </x:c>
    </x:row>
    <x:row r="176">
      <x:c r="A176" s="27"/>
      <x:c r="B176" s="28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  <x:c r="AC176" s="27"/>
      <x:c r="AD176" s="27"/>
      <x:c r="AE176" s="27"/>
      <x:c r="AF176" s="27"/>
      <x:c r="AG176" s="27"/>
      <x:c r="AH176" s="27"/>
      <x:c r="AI176" s="27"/>
      <x:c r="AJ176" s="27"/>
      <x:c r="AK176" s="27"/>
      <x:c r="AL176" s="27"/>
      <x:c r="AM176" s="27"/>
      <x:c r="AN176" s="27"/>
      <x:c r="AO176" s="27"/>
      <x:c r="AP176" s="27"/>
      <x:c r="AQ176" s="27"/>
      <x:c r="AR176" s="27" t="str">
        <x:f>IF(C176="","",SUM(H176,N176,T176,Z176,AF176,AL176))</x:f>
      </x:c>
      <x:c r="AS176" s="27" t="str">
        <x:f>IF(C176="","",SUM(I176,O176,U176,AA176,AG176,AM176))</x:f>
      </x:c>
      <x:c r="AT176" s="27" t="str">
        <x:f>IF(C176="","",SUM(J176,P176,V176,AB176,AH176,AN176))</x:f>
      </x:c>
      <x:c r="AU176" s="27" t="str">
        <x:f>IF(C176="","",SUM(K176,Q176,W176,AC176,AI176,AO176))</x:f>
      </x:c>
      <x:c r="AV176" s="27" t="str">
        <x:f>IF(C176="","",SUM(L176,R176,X176,AD176,AJ176,AP176))</x:f>
      </x:c>
      <x:c r="AW176" s="27" t="str">
        <x:f>IF(C176="","",SUM(M176,S176,Y176,AE176,AK176,AQ176))</x:f>
      </x:c>
      <x:c r="AX176" s="27" t="str">
        <x:f>IF(C176="","",CONCAT(IF(AR176&gt;=LARGE(AR176:AW176,3),"R",""),IF(AS176&gt;=LARGE(AR176:AW176,3),"I",""),IF(AT176&gt;=LARGE(AR176:AW176,3),"A",""),IF(AU176&gt;=LARGE(AR176:AW176,3),"S",""),IF(AV176&gt;=LARGE(AR176:AW176,3),"E",""),IF(AW176&gt;=LARGE(AR176:AW176,3),"C","")))</x:f>
      </x:c>
      <x:c r="AY176" s="27" t="str">
        <x:f>IF(C176="","",IF(AR176=MAX(AR176:AW176),"นักปฏิบัติ",IF(AS176=MAX(AR176:AW176),"นักคิดวิเคราะห์",IF(AT176=MAX(AR176:AW176),"นักสร้างสรรค์",IF(AU176=MAX(AR176:AW176),"ผู้เข้าใจผู้คน",IF(AV176=MAX(AR176:AW176),"ผู้นำการเปลี่ยนแปลง","ผู้จัดระบบ"))))))</x:f>
      </x:c>
    </x:row>
    <x:row r="177">
      <x:c r="A177" s="27"/>
      <x:c r="B177" s="28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  <x:c r="AC177" s="27"/>
      <x:c r="AD177" s="27"/>
      <x:c r="AE177" s="27"/>
      <x:c r="AF177" s="27"/>
      <x:c r="AG177" s="27"/>
      <x:c r="AH177" s="27"/>
      <x:c r="AI177" s="27"/>
      <x:c r="AJ177" s="27"/>
      <x:c r="AK177" s="27"/>
      <x:c r="AL177" s="27"/>
      <x:c r="AM177" s="27"/>
      <x:c r="AN177" s="27"/>
      <x:c r="AO177" s="27"/>
      <x:c r="AP177" s="27"/>
      <x:c r="AQ177" s="27"/>
      <x:c r="AR177" s="27" t="str">
        <x:f>IF(C177="","",SUM(H177,N177,T177,Z177,AF177,AL177))</x:f>
      </x:c>
      <x:c r="AS177" s="27" t="str">
        <x:f>IF(C177="","",SUM(I177,O177,U177,AA177,AG177,AM177))</x:f>
      </x:c>
      <x:c r="AT177" s="27" t="str">
        <x:f>IF(C177="","",SUM(J177,P177,V177,AB177,AH177,AN177))</x:f>
      </x:c>
      <x:c r="AU177" s="27" t="str">
        <x:f>IF(C177="","",SUM(K177,Q177,W177,AC177,AI177,AO177))</x:f>
      </x:c>
      <x:c r="AV177" s="27" t="str">
        <x:f>IF(C177="","",SUM(L177,R177,X177,AD177,AJ177,AP177))</x:f>
      </x:c>
      <x:c r="AW177" s="27" t="str">
        <x:f>IF(C177="","",SUM(M177,S177,Y177,AE177,AK177,AQ177))</x:f>
      </x:c>
      <x:c r="AX177" s="27" t="str">
        <x:f>IF(C177="","",CONCAT(IF(AR177&gt;=LARGE(AR177:AW177,3),"R",""),IF(AS177&gt;=LARGE(AR177:AW177,3),"I",""),IF(AT177&gt;=LARGE(AR177:AW177,3),"A",""),IF(AU177&gt;=LARGE(AR177:AW177,3),"S",""),IF(AV177&gt;=LARGE(AR177:AW177,3),"E",""),IF(AW177&gt;=LARGE(AR177:AW177,3),"C","")))</x:f>
      </x:c>
      <x:c r="AY177" s="27" t="str">
        <x:f>IF(C177="","",IF(AR177=MAX(AR177:AW177),"นักปฏิบัติ",IF(AS177=MAX(AR177:AW177),"นักคิดวิเคราะห์",IF(AT177=MAX(AR177:AW177),"นักสร้างสรรค์",IF(AU177=MAX(AR177:AW177),"ผู้เข้าใจผู้คน",IF(AV177=MAX(AR177:AW177),"ผู้นำการเปลี่ยนแปลง","ผู้จัดระบบ"))))))</x:f>
      </x:c>
    </x:row>
    <x:row r="178">
      <x:c r="A178" s="27"/>
      <x:c r="B178" s="28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  <x:c r="AC178" s="27"/>
      <x:c r="AD178" s="27"/>
      <x:c r="AE178" s="27"/>
      <x:c r="AF178" s="27"/>
      <x:c r="AG178" s="27"/>
      <x:c r="AH178" s="27"/>
      <x:c r="AI178" s="27"/>
      <x:c r="AJ178" s="27"/>
      <x:c r="AK178" s="27"/>
      <x:c r="AL178" s="27"/>
      <x:c r="AM178" s="27"/>
      <x:c r="AN178" s="27"/>
      <x:c r="AO178" s="27"/>
      <x:c r="AP178" s="27"/>
      <x:c r="AQ178" s="27"/>
      <x:c r="AR178" s="27" t="str">
        <x:f>IF(C178="","",SUM(H178,N178,T178,Z178,AF178,AL178))</x:f>
      </x:c>
      <x:c r="AS178" s="27" t="str">
        <x:f>IF(C178="","",SUM(I178,O178,U178,AA178,AG178,AM178))</x:f>
      </x:c>
      <x:c r="AT178" s="27" t="str">
        <x:f>IF(C178="","",SUM(J178,P178,V178,AB178,AH178,AN178))</x:f>
      </x:c>
      <x:c r="AU178" s="27" t="str">
        <x:f>IF(C178="","",SUM(K178,Q178,W178,AC178,AI178,AO178))</x:f>
      </x:c>
      <x:c r="AV178" s="27" t="str">
        <x:f>IF(C178="","",SUM(L178,R178,X178,AD178,AJ178,AP178))</x:f>
      </x:c>
      <x:c r="AW178" s="27" t="str">
        <x:f>IF(C178="","",SUM(M178,S178,Y178,AE178,AK178,AQ178))</x:f>
      </x:c>
      <x:c r="AX178" s="27" t="str">
        <x:f>IF(C178="","",CONCAT(IF(AR178&gt;=LARGE(AR178:AW178,3),"R",""),IF(AS178&gt;=LARGE(AR178:AW178,3),"I",""),IF(AT178&gt;=LARGE(AR178:AW178,3),"A",""),IF(AU178&gt;=LARGE(AR178:AW178,3),"S",""),IF(AV178&gt;=LARGE(AR178:AW178,3),"E",""),IF(AW178&gt;=LARGE(AR178:AW178,3),"C","")))</x:f>
      </x:c>
      <x:c r="AY178" s="27" t="str">
        <x:f>IF(C178="","",IF(AR178=MAX(AR178:AW178),"นักปฏิบัติ",IF(AS178=MAX(AR178:AW178),"นักคิดวิเคราะห์",IF(AT178=MAX(AR178:AW178),"นักสร้างสรรค์",IF(AU178=MAX(AR178:AW178),"ผู้เข้าใจผู้คน",IF(AV178=MAX(AR178:AW178),"ผู้นำการเปลี่ยนแปลง","ผู้จัดระบบ"))))))</x:f>
      </x:c>
    </x:row>
    <x:row r="179">
      <x:c r="A179" s="27"/>
      <x:c r="B179" s="28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  <x:c r="AC179" s="27"/>
      <x:c r="AD179" s="27"/>
      <x:c r="AE179" s="27"/>
      <x:c r="AF179" s="27"/>
      <x:c r="AG179" s="27"/>
      <x:c r="AH179" s="27"/>
      <x:c r="AI179" s="27"/>
      <x:c r="AJ179" s="27"/>
      <x:c r="AK179" s="27"/>
      <x:c r="AL179" s="27"/>
      <x:c r="AM179" s="27"/>
      <x:c r="AN179" s="27"/>
      <x:c r="AO179" s="27"/>
      <x:c r="AP179" s="27"/>
      <x:c r="AQ179" s="27"/>
      <x:c r="AR179" s="27" t="str">
        <x:f>IF(C179="","",SUM(H179,N179,T179,Z179,AF179,AL179))</x:f>
      </x:c>
      <x:c r="AS179" s="27" t="str">
        <x:f>IF(C179="","",SUM(I179,O179,U179,AA179,AG179,AM179))</x:f>
      </x:c>
      <x:c r="AT179" s="27" t="str">
        <x:f>IF(C179="","",SUM(J179,P179,V179,AB179,AH179,AN179))</x:f>
      </x:c>
      <x:c r="AU179" s="27" t="str">
        <x:f>IF(C179="","",SUM(K179,Q179,W179,AC179,AI179,AO179))</x:f>
      </x:c>
      <x:c r="AV179" s="27" t="str">
        <x:f>IF(C179="","",SUM(L179,R179,X179,AD179,AJ179,AP179))</x:f>
      </x:c>
      <x:c r="AW179" s="27" t="str">
        <x:f>IF(C179="","",SUM(M179,S179,Y179,AE179,AK179,AQ179))</x:f>
      </x:c>
      <x:c r="AX179" s="27" t="str">
        <x:f>IF(C179="","",CONCAT(IF(AR179&gt;=LARGE(AR179:AW179,3),"R",""),IF(AS179&gt;=LARGE(AR179:AW179,3),"I",""),IF(AT179&gt;=LARGE(AR179:AW179,3),"A",""),IF(AU179&gt;=LARGE(AR179:AW179,3),"S",""),IF(AV179&gt;=LARGE(AR179:AW179,3),"E",""),IF(AW179&gt;=LARGE(AR179:AW179,3),"C","")))</x:f>
      </x:c>
      <x:c r="AY179" s="27" t="str">
        <x:f>IF(C179="","",IF(AR179=MAX(AR179:AW179),"นักปฏิบัติ",IF(AS179=MAX(AR179:AW179),"นักคิดวิเคราะห์",IF(AT179=MAX(AR179:AW179),"นักสร้างสรรค์",IF(AU179=MAX(AR179:AW179),"ผู้เข้าใจผู้คน",IF(AV179=MAX(AR179:AW179),"ผู้นำการเปลี่ยนแปลง","ผู้จัดระบบ"))))))</x:f>
      </x:c>
    </x:row>
    <x:row r="180">
      <x:c r="A180" s="27"/>
      <x:c r="B180" s="28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  <x:c r="AC180" s="27"/>
      <x:c r="AD180" s="27"/>
      <x:c r="AE180" s="27"/>
      <x:c r="AF180" s="27"/>
      <x:c r="AG180" s="27"/>
      <x:c r="AH180" s="27"/>
      <x:c r="AI180" s="27"/>
      <x:c r="AJ180" s="27"/>
      <x:c r="AK180" s="27"/>
      <x:c r="AL180" s="27"/>
      <x:c r="AM180" s="27"/>
      <x:c r="AN180" s="27"/>
      <x:c r="AO180" s="27"/>
      <x:c r="AP180" s="27"/>
      <x:c r="AQ180" s="27"/>
      <x:c r="AR180" s="27" t="str">
        <x:f>IF(C180="","",SUM(H180,N180,T180,Z180,AF180,AL180))</x:f>
      </x:c>
      <x:c r="AS180" s="27" t="str">
        <x:f>IF(C180="","",SUM(I180,O180,U180,AA180,AG180,AM180))</x:f>
      </x:c>
      <x:c r="AT180" s="27" t="str">
        <x:f>IF(C180="","",SUM(J180,P180,V180,AB180,AH180,AN180))</x:f>
      </x:c>
      <x:c r="AU180" s="27" t="str">
        <x:f>IF(C180="","",SUM(K180,Q180,W180,AC180,AI180,AO180))</x:f>
      </x:c>
      <x:c r="AV180" s="27" t="str">
        <x:f>IF(C180="","",SUM(L180,R180,X180,AD180,AJ180,AP180))</x:f>
      </x:c>
      <x:c r="AW180" s="27" t="str">
        <x:f>IF(C180="","",SUM(M180,S180,Y180,AE180,AK180,AQ180))</x:f>
      </x:c>
      <x:c r="AX180" s="27" t="str">
        <x:f>IF(C180="","",CONCAT(IF(AR180&gt;=LARGE(AR180:AW180,3),"R",""),IF(AS180&gt;=LARGE(AR180:AW180,3),"I",""),IF(AT180&gt;=LARGE(AR180:AW180,3),"A",""),IF(AU180&gt;=LARGE(AR180:AW180,3),"S",""),IF(AV180&gt;=LARGE(AR180:AW180,3),"E",""),IF(AW180&gt;=LARGE(AR180:AW180,3),"C","")))</x:f>
      </x:c>
      <x:c r="AY180" s="27" t="str">
        <x:f>IF(C180="","",IF(AR180=MAX(AR180:AW180),"นักปฏิบัติ",IF(AS180=MAX(AR180:AW180),"นักคิดวิเคราะห์",IF(AT180=MAX(AR180:AW180),"นักสร้างสรรค์",IF(AU180=MAX(AR180:AW180),"ผู้เข้าใจผู้คน",IF(AV180=MAX(AR180:AW180),"ผู้นำการเปลี่ยนแปลง","ผู้จัดระบบ"))))))</x:f>
      </x:c>
    </x:row>
    <x:row r="181">
      <x:c r="A181" s="27"/>
      <x:c r="B181" s="28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  <x:c r="AC181" s="27"/>
      <x:c r="AD181" s="27"/>
      <x:c r="AE181" s="27"/>
      <x:c r="AF181" s="27"/>
      <x:c r="AG181" s="27"/>
      <x:c r="AH181" s="27"/>
      <x:c r="AI181" s="27"/>
      <x:c r="AJ181" s="27"/>
      <x:c r="AK181" s="27"/>
      <x:c r="AL181" s="27"/>
      <x:c r="AM181" s="27"/>
      <x:c r="AN181" s="27"/>
      <x:c r="AO181" s="27"/>
      <x:c r="AP181" s="27"/>
      <x:c r="AQ181" s="27"/>
      <x:c r="AR181" s="27" t="str">
        <x:f>IF(C181="","",SUM(H181,N181,T181,Z181,AF181,AL181))</x:f>
      </x:c>
      <x:c r="AS181" s="27" t="str">
        <x:f>IF(C181="","",SUM(I181,O181,U181,AA181,AG181,AM181))</x:f>
      </x:c>
      <x:c r="AT181" s="27" t="str">
        <x:f>IF(C181="","",SUM(J181,P181,V181,AB181,AH181,AN181))</x:f>
      </x:c>
      <x:c r="AU181" s="27" t="str">
        <x:f>IF(C181="","",SUM(K181,Q181,W181,AC181,AI181,AO181))</x:f>
      </x:c>
      <x:c r="AV181" s="27" t="str">
        <x:f>IF(C181="","",SUM(L181,R181,X181,AD181,AJ181,AP181))</x:f>
      </x:c>
      <x:c r="AW181" s="27" t="str">
        <x:f>IF(C181="","",SUM(M181,S181,Y181,AE181,AK181,AQ181))</x:f>
      </x:c>
      <x:c r="AX181" s="27" t="str">
        <x:f>IF(C181="","",CONCAT(IF(AR181&gt;=LARGE(AR181:AW181,3),"R",""),IF(AS181&gt;=LARGE(AR181:AW181,3),"I",""),IF(AT181&gt;=LARGE(AR181:AW181,3),"A",""),IF(AU181&gt;=LARGE(AR181:AW181,3),"S",""),IF(AV181&gt;=LARGE(AR181:AW181,3),"E",""),IF(AW181&gt;=LARGE(AR181:AW181,3),"C","")))</x:f>
      </x:c>
      <x:c r="AY181" s="27" t="str">
        <x:f>IF(C181="","",IF(AR181=MAX(AR181:AW181),"นักปฏิบัติ",IF(AS181=MAX(AR181:AW181),"นักคิดวิเคราะห์",IF(AT181=MAX(AR181:AW181),"นักสร้างสรรค์",IF(AU181=MAX(AR181:AW181),"ผู้เข้าใจผู้คน",IF(AV181=MAX(AR181:AW181),"ผู้นำการเปลี่ยนแปลง","ผู้จัดระบบ"))))))</x:f>
      </x:c>
    </x:row>
    <x:row r="182">
      <x:c r="A182" s="27"/>
      <x:c r="B182" s="28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  <x:c r="AC182" s="27"/>
      <x:c r="AD182" s="27"/>
      <x:c r="AE182" s="27"/>
      <x:c r="AF182" s="27"/>
      <x:c r="AG182" s="27"/>
      <x:c r="AH182" s="27"/>
      <x:c r="AI182" s="27"/>
      <x:c r="AJ182" s="27"/>
      <x:c r="AK182" s="27"/>
      <x:c r="AL182" s="27"/>
      <x:c r="AM182" s="27"/>
      <x:c r="AN182" s="27"/>
      <x:c r="AO182" s="27"/>
      <x:c r="AP182" s="27"/>
      <x:c r="AQ182" s="27"/>
      <x:c r="AR182" s="27" t="str">
        <x:f>IF(C182="","",SUM(H182,N182,T182,Z182,AF182,AL182))</x:f>
      </x:c>
      <x:c r="AS182" s="27" t="str">
        <x:f>IF(C182="","",SUM(I182,O182,U182,AA182,AG182,AM182))</x:f>
      </x:c>
      <x:c r="AT182" s="27" t="str">
        <x:f>IF(C182="","",SUM(J182,P182,V182,AB182,AH182,AN182))</x:f>
      </x:c>
      <x:c r="AU182" s="27" t="str">
        <x:f>IF(C182="","",SUM(K182,Q182,W182,AC182,AI182,AO182))</x:f>
      </x:c>
      <x:c r="AV182" s="27" t="str">
        <x:f>IF(C182="","",SUM(L182,R182,X182,AD182,AJ182,AP182))</x:f>
      </x:c>
      <x:c r="AW182" s="27" t="str">
        <x:f>IF(C182="","",SUM(M182,S182,Y182,AE182,AK182,AQ182))</x:f>
      </x:c>
      <x:c r="AX182" s="27" t="str">
        <x:f>IF(C182="","",CONCAT(IF(AR182&gt;=LARGE(AR182:AW182,3),"R",""),IF(AS182&gt;=LARGE(AR182:AW182,3),"I",""),IF(AT182&gt;=LARGE(AR182:AW182,3),"A",""),IF(AU182&gt;=LARGE(AR182:AW182,3),"S",""),IF(AV182&gt;=LARGE(AR182:AW182,3),"E",""),IF(AW182&gt;=LARGE(AR182:AW182,3),"C","")))</x:f>
      </x:c>
      <x:c r="AY182" s="27" t="str">
        <x:f>IF(C182="","",IF(AR182=MAX(AR182:AW182),"นักปฏิบัติ",IF(AS182=MAX(AR182:AW182),"นักคิดวิเคราะห์",IF(AT182=MAX(AR182:AW182),"นักสร้างสรรค์",IF(AU182=MAX(AR182:AW182),"ผู้เข้าใจผู้คน",IF(AV182=MAX(AR182:AW182),"ผู้นำการเปลี่ยนแปลง","ผู้จัดระบบ"))))))</x:f>
      </x:c>
    </x:row>
    <x:row r="183">
      <x:c r="A183" s="27"/>
      <x:c r="B183" s="28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  <x:c r="AC183" s="27"/>
      <x:c r="AD183" s="27"/>
      <x:c r="AE183" s="27"/>
      <x:c r="AF183" s="27"/>
      <x:c r="AG183" s="27"/>
      <x:c r="AH183" s="27"/>
      <x:c r="AI183" s="27"/>
      <x:c r="AJ183" s="27"/>
      <x:c r="AK183" s="27"/>
      <x:c r="AL183" s="27"/>
      <x:c r="AM183" s="27"/>
      <x:c r="AN183" s="27"/>
      <x:c r="AO183" s="27"/>
      <x:c r="AP183" s="27"/>
      <x:c r="AQ183" s="27"/>
      <x:c r="AR183" s="27" t="str">
        <x:f>IF(C183="","",SUM(H183,N183,T183,Z183,AF183,AL183))</x:f>
      </x:c>
      <x:c r="AS183" s="27" t="str">
        <x:f>IF(C183="","",SUM(I183,O183,U183,AA183,AG183,AM183))</x:f>
      </x:c>
      <x:c r="AT183" s="27" t="str">
        <x:f>IF(C183="","",SUM(J183,P183,V183,AB183,AH183,AN183))</x:f>
      </x:c>
      <x:c r="AU183" s="27" t="str">
        <x:f>IF(C183="","",SUM(K183,Q183,W183,AC183,AI183,AO183))</x:f>
      </x:c>
      <x:c r="AV183" s="27" t="str">
        <x:f>IF(C183="","",SUM(L183,R183,X183,AD183,AJ183,AP183))</x:f>
      </x:c>
      <x:c r="AW183" s="27" t="str">
        <x:f>IF(C183="","",SUM(M183,S183,Y183,AE183,AK183,AQ183))</x:f>
      </x:c>
      <x:c r="AX183" s="27" t="str">
        <x:f>IF(C183="","",CONCAT(IF(AR183&gt;=LARGE(AR183:AW183,3),"R",""),IF(AS183&gt;=LARGE(AR183:AW183,3),"I",""),IF(AT183&gt;=LARGE(AR183:AW183,3),"A",""),IF(AU183&gt;=LARGE(AR183:AW183,3),"S",""),IF(AV183&gt;=LARGE(AR183:AW183,3),"E",""),IF(AW183&gt;=LARGE(AR183:AW183,3),"C","")))</x:f>
      </x:c>
      <x:c r="AY183" s="27" t="str">
        <x:f>IF(C183="","",IF(AR183=MAX(AR183:AW183),"นักปฏิบัติ",IF(AS183=MAX(AR183:AW183),"นักคิดวิเคราะห์",IF(AT183=MAX(AR183:AW183),"นักสร้างสรรค์",IF(AU183=MAX(AR183:AW183),"ผู้เข้าใจผู้คน",IF(AV183=MAX(AR183:AW183),"ผู้นำการเปลี่ยนแปลง","ผู้จัดระบบ"))))))</x:f>
      </x:c>
    </x:row>
    <x:row r="184">
      <x:c r="A184" s="27"/>
      <x:c r="B184" s="28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  <x:c r="AC184" s="27"/>
      <x:c r="AD184" s="27"/>
      <x:c r="AE184" s="27"/>
      <x:c r="AF184" s="27"/>
      <x:c r="AG184" s="27"/>
      <x:c r="AH184" s="27"/>
      <x:c r="AI184" s="27"/>
      <x:c r="AJ184" s="27"/>
      <x:c r="AK184" s="27"/>
      <x:c r="AL184" s="27"/>
      <x:c r="AM184" s="27"/>
      <x:c r="AN184" s="27"/>
      <x:c r="AO184" s="27"/>
      <x:c r="AP184" s="27"/>
      <x:c r="AQ184" s="27"/>
      <x:c r="AR184" s="27" t="str">
        <x:f>IF(C184="","",SUM(H184,N184,T184,Z184,AF184,AL184))</x:f>
      </x:c>
      <x:c r="AS184" s="27" t="str">
        <x:f>IF(C184="","",SUM(I184,O184,U184,AA184,AG184,AM184))</x:f>
      </x:c>
      <x:c r="AT184" s="27" t="str">
        <x:f>IF(C184="","",SUM(J184,P184,V184,AB184,AH184,AN184))</x:f>
      </x:c>
      <x:c r="AU184" s="27" t="str">
        <x:f>IF(C184="","",SUM(K184,Q184,W184,AC184,AI184,AO184))</x:f>
      </x:c>
      <x:c r="AV184" s="27" t="str">
        <x:f>IF(C184="","",SUM(L184,R184,X184,AD184,AJ184,AP184))</x:f>
      </x:c>
      <x:c r="AW184" s="27" t="str">
        <x:f>IF(C184="","",SUM(M184,S184,Y184,AE184,AK184,AQ184))</x:f>
      </x:c>
      <x:c r="AX184" s="27" t="str">
        <x:f>IF(C184="","",CONCAT(IF(AR184&gt;=LARGE(AR184:AW184,3),"R",""),IF(AS184&gt;=LARGE(AR184:AW184,3),"I",""),IF(AT184&gt;=LARGE(AR184:AW184,3),"A",""),IF(AU184&gt;=LARGE(AR184:AW184,3),"S",""),IF(AV184&gt;=LARGE(AR184:AW184,3),"E",""),IF(AW184&gt;=LARGE(AR184:AW184,3),"C","")))</x:f>
      </x:c>
      <x:c r="AY184" s="27" t="str">
        <x:f>IF(C184="","",IF(AR184=MAX(AR184:AW184),"นักปฏิบัติ",IF(AS184=MAX(AR184:AW184),"นักคิดวิเคราะห์",IF(AT184=MAX(AR184:AW184),"นักสร้างสรรค์",IF(AU184=MAX(AR184:AW184),"ผู้เข้าใจผู้คน",IF(AV184=MAX(AR184:AW184),"ผู้นำการเปลี่ยนแปลง","ผู้จัดระบบ"))))))</x:f>
      </x:c>
    </x:row>
    <x:row r="185">
      <x:c r="A185" s="27"/>
      <x:c r="B185" s="28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  <x:c r="AC185" s="27"/>
      <x:c r="AD185" s="27"/>
      <x:c r="AE185" s="27"/>
      <x:c r="AF185" s="27"/>
      <x:c r="AG185" s="27"/>
      <x:c r="AH185" s="27"/>
      <x:c r="AI185" s="27"/>
      <x:c r="AJ185" s="27"/>
      <x:c r="AK185" s="27"/>
      <x:c r="AL185" s="27"/>
      <x:c r="AM185" s="27"/>
      <x:c r="AN185" s="27"/>
      <x:c r="AO185" s="27"/>
      <x:c r="AP185" s="27"/>
      <x:c r="AQ185" s="27"/>
      <x:c r="AR185" s="27" t="str">
        <x:f>IF(C185="","",SUM(H185,N185,T185,Z185,AF185,AL185))</x:f>
      </x:c>
      <x:c r="AS185" s="27" t="str">
        <x:f>IF(C185="","",SUM(I185,O185,U185,AA185,AG185,AM185))</x:f>
      </x:c>
      <x:c r="AT185" s="27" t="str">
        <x:f>IF(C185="","",SUM(J185,P185,V185,AB185,AH185,AN185))</x:f>
      </x:c>
      <x:c r="AU185" s="27" t="str">
        <x:f>IF(C185="","",SUM(K185,Q185,W185,AC185,AI185,AO185))</x:f>
      </x:c>
      <x:c r="AV185" s="27" t="str">
        <x:f>IF(C185="","",SUM(L185,R185,X185,AD185,AJ185,AP185))</x:f>
      </x:c>
      <x:c r="AW185" s="27" t="str">
        <x:f>IF(C185="","",SUM(M185,S185,Y185,AE185,AK185,AQ185))</x:f>
      </x:c>
      <x:c r="AX185" s="27" t="str">
        <x:f>IF(C185="","",CONCAT(IF(AR185&gt;=LARGE(AR185:AW185,3),"R",""),IF(AS185&gt;=LARGE(AR185:AW185,3),"I",""),IF(AT185&gt;=LARGE(AR185:AW185,3),"A",""),IF(AU185&gt;=LARGE(AR185:AW185,3),"S",""),IF(AV185&gt;=LARGE(AR185:AW185,3),"E",""),IF(AW185&gt;=LARGE(AR185:AW185,3),"C","")))</x:f>
      </x:c>
      <x:c r="AY185" s="27" t="str">
        <x:f>IF(C185="","",IF(AR185=MAX(AR185:AW185),"นักปฏิบัติ",IF(AS185=MAX(AR185:AW185),"นักคิดวิเคราะห์",IF(AT185=MAX(AR185:AW185),"นักสร้างสรรค์",IF(AU185=MAX(AR185:AW185),"ผู้เข้าใจผู้คน",IF(AV185=MAX(AR185:AW185),"ผู้นำการเปลี่ยนแปลง","ผู้จัดระบบ"))))))</x:f>
      </x:c>
    </x:row>
    <x:row r="186">
      <x:c r="A186" s="27"/>
      <x:c r="B186" s="28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  <x:c r="AC186" s="27"/>
      <x:c r="AD186" s="27"/>
      <x:c r="AE186" s="27"/>
      <x:c r="AF186" s="27"/>
      <x:c r="AG186" s="27"/>
      <x:c r="AH186" s="27"/>
      <x:c r="AI186" s="27"/>
      <x:c r="AJ186" s="27"/>
      <x:c r="AK186" s="27"/>
      <x:c r="AL186" s="27"/>
      <x:c r="AM186" s="27"/>
      <x:c r="AN186" s="27"/>
      <x:c r="AO186" s="27"/>
      <x:c r="AP186" s="27"/>
      <x:c r="AQ186" s="27"/>
      <x:c r="AR186" s="27" t="str">
        <x:f>IF(C186="","",SUM(H186,N186,T186,Z186,AF186,AL186))</x:f>
      </x:c>
      <x:c r="AS186" s="27" t="str">
        <x:f>IF(C186="","",SUM(I186,O186,U186,AA186,AG186,AM186))</x:f>
      </x:c>
      <x:c r="AT186" s="27" t="str">
        <x:f>IF(C186="","",SUM(J186,P186,V186,AB186,AH186,AN186))</x:f>
      </x:c>
      <x:c r="AU186" s="27" t="str">
        <x:f>IF(C186="","",SUM(K186,Q186,W186,AC186,AI186,AO186))</x:f>
      </x:c>
      <x:c r="AV186" s="27" t="str">
        <x:f>IF(C186="","",SUM(L186,R186,X186,AD186,AJ186,AP186))</x:f>
      </x:c>
      <x:c r="AW186" s="27" t="str">
        <x:f>IF(C186="","",SUM(M186,S186,Y186,AE186,AK186,AQ186))</x:f>
      </x:c>
      <x:c r="AX186" s="27" t="str">
        <x:f>IF(C186="","",CONCAT(IF(AR186&gt;=LARGE(AR186:AW186,3),"R",""),IF(AS186&gt;=LARGE(AR186:AW186,3),"I",""),IF(AT186&gt;=LARGE(AR186:AW186,3),"A",""),IF(AU186&gt;=LARGE(AR186:AW186,3),"S",""),IF(AV186&gt;=LARGE(AR186:AW186,3),"E",""),IF(AW186&gt;=LARGE(AR186:AW186,3),"C","")))</x:f>
      </x:c>
      <x:c r="AY186" s="27" t="str">
        <x:f>IF(C186="","",IF(AR186=MAX(AR186:AW186),"นักปฏิบัติ",IF(AS186=MAX(AR186:AW186),"นักคิดวิเคราะห์",IF(AT186=MAX(AR186:AW186),"นักสร้างสรรค์",IF(AU186=MAX(AR186:AW186),"ผู้เข้าใจผู้คน",IF(AV186=MAX(AR186:AW186),"ผู้นำการเปลี่ยนแปลง","ผู้จัดระบบ"))))))</x:f>
      </x:c>
    </x:row>
    <x:row r="187">
      <x:c r="A187" s="27"/>
      <x:c r="B187" s="28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  <x:c r="AC187" s="27"/>
      <x:c r="AD187" s="27"/>
      <x:c r="AE187" s="27"/>
      <x:c r="AF187" s="27"/>
      <x:c r="AG187" s="27"/>
      <x:c r="AH187" s="27"/>
      <x:c r="AI187" s="27"/>
      <x:c r="AJ187" s="27"/>
      <x:c r="AK187" s="27"/>
      <x:c r="AL187" s="27"/>
      <x:c r="AM187" s="27"/>
      <x:c r="AN187" s="27"/>
      <x:c r="AO187" s="27"/>
      <x:c r="AP187" s="27"/>
      <x:c r="AQ187" s="27"/>
      <x:c r="AR187" s="27" t="str">
        <x:f>IF(C187="","",SUM(H187,N187,T187,Z187,AF187,AL187))</x:f>
      </x:c>
      <x:c r="AS187" s="27" t="str">
        <x:f>IF(C187="","",SUM(I187,O187,U187,AA187,AG187,AM187))</x:f>
      </x:c>
      <x:c r="AT187" s="27" t="str">
        <x:f>IF(C187="","",SUM(J187,P187,V187,AB187,AH187,AN187))</x:f>
      </x:c>
      <x:c r="AU187" s="27" t="str">
        <x:f>IF(C187="","",SUM(K187,Q187,W187,AC187,AI187,AO187))</x:f>
      </x:c>
      <x:c r="AV187" s="27" t="str">
        <x:f>IF(C187="","",SUM(L187,R187,X187,AD187,AJ187,AP187))</x:f>
      </x:c>
      <x:c r="AW187" s="27" t="str">
        <x:f>IF(C187="","",SUM(M187,S187,Y187,AE187,AK187,AQ187))</x:f>
      </x:c>
      <x:c r="AX187" s="27" t="str">
        <x:f>IF(C187="","",CONCAT(IF(AR187&gt;=LARGE(AR187:AW187,3),"R",""),IF(AS187&gt;=LARGE(AR187:AW187,3),"I",""),IF(AT187&gt;=LARGE(AR187:AW187,3),"A",""),IF(AU187&gt;=LARGE(AR187:AW187,3),"S",""),IF(AV187&gt;=LARGE(AR187:AW187,3),"E",""),IF(AW187&gt;=LARGE(AR187:AW187,3),"C","")))</x:f>
      </x:c>
      <x:c r="AY187" s="27" t="str">
        <x:f>IF(C187="","",IF(AR187=MAX(AR187:AW187),"นักปฏิบัติ",IF(AS187=MAX(AR187:AW187),"นักคิดวิเคราะห์",IF(AT187=MAX(AR187:AW187),"นักสร้างสรรค์",IF(AU187=MAX(AR187:AW187),"ผู้เข้าใจผู้คน",IF(AV187=MAX(AR187:AW187),"ผู้นำการเปลี่ยนแปลง","ผู้จัดระบบ"))))))</x:f>
      </x:c>
    </x:row>
    <x:row r="188">
      <x:c r="A188" s="27"/>
      <x:c r="B188" s="28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  <x:c r="AC188" s="27"/>
      <x:c r="AD188" s="27"/>
      <x:c r="AE188" s="27"/>
      <x:c r="AF188" s="27"/>
      <x:c r="AG188" s="27"/>
      <x:c r="AH188" s="27"/>
      <x:c r="AI188" s="27"/>
      <x:c r="AJ188" s="27"/>
      <x:c r="AK188" s="27"/>
      <x:c r="AL188" s="27"/>
      <x:c r="AM188" s="27"/>
      <x:c r="AN188" s="27"/>
      <x:c r="AO188" s="27"/>
      <x:c r="AP188" s="27"/>
      <x:c r="AQ188" s="27"/>
      <x:c r="AR188" s="27" t="str">
        <x:f>IF(C188="","",SUM(H188,N188,T188,Z188,AF188,AL188))</x:f>
      </x:c>
      <x:c r="AS188" s="27" t="str">
        <x:f>IF(C188="","",SUM(I188,O188,U188,AA188,AG188,AM188))</x:f>
      </x:c>
      <x:c r="AT188" s="27" t="str">
        <x:f>IF(C188="","",SUM(J188,P188,V188,AB188,AH188,AN188))</x:f>
      </x:c>
      <x:c r="AU188" s="27" t="str">
        <x:f>IF(C188="","",SUM(K188,Q188,W188,AC188,AI188,AO188))</x:f>
      </x:c>
      <x:c r="AV188" s="27" t="str">
        <x:f>IF(C188="","",SUM(L188,R188,X188,AD188,AJ188,AP188))</x:f>
      </x:c>
      <x:c r="AW188" s="27" t="str">
        <x:f>IF(C188="","",SUM(M188,S188,Y188,AE188,AK188,AQ188))</x:f>
      </x:c>
      <x:c r="AX188" s="27" t="str">
        <x:f>IF(C188="","",CONCAT(IF(AR188&gt;=LARGE(AR188:AW188,3),"R",""),IF(AS188&gt;=LARGE(AR188:AW188,3),"I",""),IF(AT188&gt;=LARGE(AR188:AW188,3),"A",""),IF(AU188&gt;=LARGE(AR188:AW188,3),"S",""),IF(AV188&gt;=LARGE(AR188:AW188,3),"E",""),IF(AW188&gt;=LARGE(AR188:AW188,3),"C","")))</x:f>
      </x:c>
      <x:c r="AY188" s="27" t="str">
        <x:f>IF(C188="","",IF(AR188=MAX(AR188:AW188),"นักปฏิบัติ",IF(AS188=MAX(AR188:AW188),"นักคิดวิเคราะห์",IF(AT188=MAX(AR188:AW188),"นักสร้างสรรค์",IF(AU188=MAX(AR188:AW188),"ผู้เข้าใจผู้คน",IF(AV188=MAX(AR188:AW188),"ผู้นำการเปลี่ยนแปลง","ผู้จัดระบบ"))))))</x:f>
      </x:c>
    </x:row>
    <x:row r="189">
      <x:c r="A189" s="27"/>
      <x:c r="B189" s="28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  <x:c r="AC189" s="27"/>
      <x:c r="AD189" s="27"/>
      <x:c r="AE189" s="27"/>
      <x:c r="AF189" s="27"/>
      <x:c r="AG189" s="27"/>
      <x:c r="AH189" s="27"/>
      <x:c r="AI189" s="27"/>
      <x:c r="AJ189" s="27"/>
      <x:c r="AK189" s="27"/>
      <x:c r="AL189" s="27"/>
      <x:c r="AM189" s="27"/>
      <x:c r="AN189" s="27"/>
      <x:c r="AO189" s="27"/>
      <x:c r="AP189" s="27"/>
      <x:c r="AQ189" s="27"/>
      <x:c r="AR189" s="27" t="str">
        <x:f>IF(C189="","",SUM(H189,N189,T189,Z189,AF189,AL189))</x:f>
      </x:c>
      <x:c r="AS189" s="27" t="str">
        <x:f>IF(C189="","",SUM(I189,O189,U189,AA189,AG189,AM189))</x:f>
      </x:c>
      <x:c r="AT189" s="27" t="str">
        <x:f>IF(C189="","",SUM(J189,P189,V189,AB189,AH189,AN189))</x:f>
      </x:c>
      <x:c r="AU189" s="27" t="str">
        <x:f>IF(C189="","",SUM(K189,Q189,W189,AC189,AI189,AO189))</x:f>
      </x:c>
      <x:c r="AV189" s="27" t="str">
        <x:f>IF(C189="","",SUM(L189,R189,X189,AD189,AJ189,AP189))</x:f>
      </x:c>
      <x:c r="AW189" s="27" t="str">
        <x:f>IF(C189="","",SUM(M189,S189,Y189,AE189,AK189,AQ189))</x:f>
      </x:c>
      <x:c r="AX189" s="27" t="str">
        <x:f>IF(C189="","",CONCAT(IF(AR189&gt;=LARGE(AR189:AW189,3),"R",""),IF(AS189&gt;=LARGE(AR189:AW189,3),"I",""),IF(AT189&gt;=LARGE(AR189:AW189,3),"A",""),IF(AU189&gt;=LARGE(AR189:AW189,3),"S",""),IF(AV189&gt;=LARGE(AR189:AW189,3),"E",""),IF(AW189&gt;=LARGE(AR189:AW189,3),"C","")))</x:f>
      </x:c>
      <x:c r="AY189" s="27" t="str">
        <x:f>IF(C189="","",IF(AR189=MAX(AR189:AW189),"นักปฏิบัติ",IF(AS189=MAX(AR189:AW189),"นักคิดวิเคราะห์",IF(AT189=MAX(AR189:AW189),"นักสร้างสรรค์",IF(AU189=MAX(AR189:AW189),"ผู้เข้าใจผู้คน",IF(AV189=MAX(AR189:AW189),"ผู้นำการเปลี่ยนแปลง","ผู้จัดระบบ"))))))</x:f>
      </x:c>
    </x:row>
    <x:row r="190">
      <x:c r="A190" s="27"/>
      <x:c r="B190" s="28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  <x:c r="AC190" s="27"/>
      <x:c r="AD190" s="27"/>
      <x:c r="AE190" s="27"/>
      <x:c r="AF190" s="27"/>
      <x:c r="AG190" s="27"/>
      <x:c r="AH190" s="27"/>
      <x:c r="AI190" s="27"/>
      <x:c r="AJ190" s="27"/>
      <x:c r="AK190" s="27"/>
      <x:c r="AL190" s="27"/>
      <x:c r="AM190" s="27"/>
      <x:c r="AN190" s="27"/>
      <x:c r="AO190" s="27"/>
      <x:c r="AP190" s="27"/>
      <x:c r="AQ190" s="27"/>
      <x:c r="AR190" s="27" t="str">
        <x:f>IF(C190="","",SUM(H190,N190,T190,Z190,AF190,AL190))</x:f>
      </x:c>
      <x:c r="AS190" s="27" t="str">
        <x:f>IF(C190="","",SUM(I190,O190,U190,AA190,AG190,AM190))</x:f>
      </x:c>
      <x:c r="AT190" s="27" t="str">
        <x:f>IF(C190="","",SUM(J190,P190,V190,AB190,AH190,AN190))</x:f>
      </x:c>
      <x:c r="AU190" s="27" t="str">
        <x:f>IF(C190="","",SUM(K190,Q190,W190,AC190,AI190,AO190))</x:f>
      </x:c>
      <x:c r="AV190" s="27" t="str">
        <x:f>IF(C190="","",SUM(L190,R190,X190,AD190,AJ190,AP190))</x:f>
      </x:c>
      <x:c r="AW190" s="27" t="str">
        <x:f>IF(C190="","",SUM(M190,S190,Y190,AE190,AK190,AQ190))</x:f>
      </x:c>
      <x:c r="AX190" s="27" t="str">
        <x:f>IF(C190="","",CONCAT(IF(AR190&gt;=LARGE(AR190:AW190,3),"R",""),IF(AS190&gt;=LARGE(AR190:AW190,3),"I",""),IF(AT190&gt;=LARGE(AR190:AW190,3),"A",""),IF(AU190&gt;=LARGE(AR190:AW190,3),"S",""),IF(AV190&gt;=LARGE(AR190:AW190,3),"E",""),IF(AW190&gt;=LARGE(AR190:AW190,3),"C","")))</x:f>
      </x:c>
      <x:c r="AY190" s="27" t="str">
        <x:f>IF(C190="","",IF(AR190=MAX(AR190:AW190),"นักปฏิบัติ",IF(AS190=MAX(AR190:AW190),"นักคิดวิเคราะห์",IF(AT190=MAX(AR190:AW190),"นักสร้างสรรค์",IF(AU190=MAX(AR190:AW190),"ผู้เข้าใจผู้คน",IF(AV190=MAX(AR190:AW190),"ผู้นำการเปลี่ยนแปลง","ผู้จัดระบบ"))))))</x:f>
      </x:c>
    </x:row>
    <x:row r="191">
      <x:c r="A191" s="27"/>
      <x:c r="B191" s="28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  <x:c r="AC191" s="27"/>
      <x:c r="AD191" s="27"/>
      <x:c r="AE191" s="27"/>
      <x:c r="AF191" s="27"/>
      <x:c r="AG191" s="27"/>
      <x:c r="AH191" s="27"/>
      <x:c r="AI191" s="27"/>
      <x:c r="AJ191" s="27"/>
      <x:c r="AK191" s="27"/>
      <x:c r="AL191" s="27"/>
      <x:c r="AM191" s="27"/>
      <x:c r="AN191" s="27"/>
      <x:c r="AO191" s="27"/>
      <x:c r="AP191" s="27"/>
      <x:c r="AQ191" s="27"/>
      <x:c r="AR191" s="27" t="str">
        <x:f>IF(C191="","",SUM(H191,N191,T191,Z191,AF191,AL191))</x:f>
      </x:c>
      <x:c r="AS191" s="27" t="str">
        <x:f>IF(C191="","",SUM(I191,O191,U191,AA191,AG191,AM191))</x:f>
      </x:c>
      <x:c r="AT191" s="27" t="str">
        <x:f>IF(C191="","",SUM(J191,P191,V191,AB191,AH191,AN191))</x:f>
      </x:c>
      <x:c r="AU191" s="27" t="str">
        <x:f>IF(C191="","",SUM(K191,Q191,W191,AC191,AI191,AO191))</x:f>
      </x:c>
      <x:c r="AV191" s="27" t="str">
        <x:f>IF(C191="","",SUM(L191,R191,X191,AD191,AJ191,AP191))</x:f>
      </x:c>
      <x:c r="AW191" s="27" t="str">
        <x:f>IF(C191="","",SUM(M191,S191,Y191,AE191,AK191,AQ191))</x:f>
      </x:c>
      <x:c r="AX191" s="27" t="str">
        <x:f>IF(C191="","",CONCAT(IF(AR191&gt;=LARGE(AR191:AW191,3),"R",""),IF(AS191&gt;=LARGE(AR191:AW191,3),"I",""),IF(AT191&gt;=LARGE(AR191:AW191,3),"A",""),IF(AU191&gt;=LARGE(AR191:AW191,3),"S",""),IF(AV191&gt;=LARGE(AR191:AW191,3),"E",""),IF(AW191&gt;=LARGE(AR191:AW191,3),"C","")))</x:f>
      </x:c>
      <x:c r="AY191" s="27" t="str">
        <x:f>IF(C191="","",IF(AR191=MAX(AR191:AW191),"นักปฏิบัติ",IF(AS191=MAX(AR191:AW191),"นักคิดวิเคราะห์",IF(AT191=MAX(AR191:AW191),"นักสร้างสรรค์",IF(AU191=MAX(AR191:AW191),"ผู้เข้าใจผู้คน",IF(AV191=MAX(AR191:AW191),"ผู้นำการเปลี่ยนแปลง","ผู้จัดระบบ"))))))</x:f>
      </x:c>
    </x:row>
    <x:row r="192">
      <x:c r="A192" s="27"/>
      <x:c r="B192" s="28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  <x:c r="AC192" s="27"/>
      <x:c r="AD192" s="27"/>
      <x:c r="AE192" s="27"/>
      <x:c r="AF192" s="27"/>
      <x:c r="AG192" s="27"/>
      <x:c r="AH192" s="27"/>
      <x:c r="AI192" s="27"/>
      <x:c r="AJ192" s="27"/>
      <x:c r="AK192" s="27"/>
      <x:c r="AL192" s="27"/>
      <x:c r="AM192" s="27"/>
      <x:c r="AN192" s="27"/>
      <x:c r="AO192" s="27"/>
      <x:c r="AP192" s="27"/>
      <x:c r="AQ192" s="27"/>
      <x:c r="AR192" s="27" t="str">
        <x:f>IF(C192="","",SUM(H192,N192,T192,Z192,AF192,AL192))</x:f>
      </x:c>
      <x:c r="AS192" s="27" t="str">
        <x:f>IF(C192="","",SUM(I192,O192,U192,AA192,AG192,AM192))</x:f>
      </x:c>
      <x:c r="AT192" s="27" t="str">
        <x:f>IF(C192="","",SUM(J192,P192,V192,AB192,AH192,AN192))</x:f>
      </x:c>
      <x:c r="AU192" s="27" t="str">
        <x:f>IF(C192="","",SUM(K192,Q192,W192,AC192,AI192,AO192))</x:f>
      </x:c>
      <x:c r="AV192" s="27" t="str">
        <x:f>IF(C192="","",SUM(L192,R192,X192,AD192,AJ192,AP192))</x:f>
      </x:c>
      <x:c r="AW192" s="27" t="str">
        <x:f>IF(C192="","",SUM(M192,S192,Y192,AE192,AK192,AQ192))</x:f>
      </x:c>
      <x:c r="AX192" s="27" t="str">
        <x:f>IF(C192="","",CONCAT(IF(AR192&gt;=LARGE(AR192:AW192,3),"R",""),IF(AS192&gt;=LARGE(AR192:AW192,3),"I",""),IF(AT192&gt;=LARGE(AR192:AW192,3),"A",""),IF(AU192&gt;=LARGE(AR192:AW192,3),"S",""),IF(AV192&gt;=LARGE(AR192:AW192,3),"E",""),IF(AW192&gt;=LARGE(AR192:AW192,3),"C","")))</x:f>
      </x:c>
      <x:c r="AY192" s="27" t="str">
        <x:f>IF(C192="","",IF(AR192=MAX(AR192:AW192),"นักปฏิบัติ",IF(AS192=MAX(AR192:AW192),"นักคิดวิเคราะห์",IF(AT192=MAX(AR192:AW192),"นักสร้างสรรค์",IF(AU192=MAX(AR192:AW192),"ผู้เข้าใจผู้คน",IF(AV192=MAX(AR192:AW192),"ผู้นำการเปลี่ยนแปลง","ผู้จัดระบบ"))))))</x:f>
      </x:c>
    </x:row>
    <x:row r="193">
      <x:c r="A193" s="27"/>
      <x:c r="B193" s="28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  <x:c r="AC193" s="27"/>
      <x:c r="AD193" s="27"/>
      <x:c r="AE193" s="27"/>
      <x:c r="AF193" s="27"/>
      <x:c r="AG193" s="27"/>
      <x:c r="AH193" s="27"/>
      <x:c r="AI193" s="27"/>
      <x:c r="AJ193" s="27"/>
      <x:c r="AK193" s="27"/>
      <x:c r="AL193" s="27"/>
      <x:c r="AM193" s="27"/>
      <x:c r="AN193" s="27"/>
      <x:c r="AO193" s="27"/>
      <x:c r="AP193" s="27"/>
      <x:c r="AQ193" s="27"/>
      <x:c r="AR193" s="27" t="str">
        <x:f>IF(C193="","",SUM(H193,N193,T193,Z193,AF193,AL193))</x:f>
      </x:c>
      <x:c r="AS193" s="27" t="str">
        <x:f>IF(C193="","",SUM(I193,O193,U193,AA193,AG193,AM193))</x:f>
      </x:c>
      <x:c r="AT193" s="27" t="str">
        <x:f>IF(C193="","",SUM(J193,P193,V193,AB193,AH193,AN193))</x:f>
      </x:c>
      <x:c r="AU193" s="27" t="str">
        <x:f>IF(C193="","",SUM(K193,Q193,W193,AC193,AI193,AO193))</x:f>
      </x:c>
      <x:c r="AV193" s="27" t="str">
        <x:f>IF(C193="","",SUM(L193,R193,X193,AD193,AJ193,AP193))</x:f>
      </x:c>
      <x:c r="AW193" s="27" t="str">
        <x:f>IF(C193="","",SUM(M193,S193,Y193,AE193,AK193,AQ193))</x:f>
      </x:c>
      <x:c r="AX193" s="27" t="str">
        <x:f>IF(C193="","",CONCAT(IF(AR193&gt;=LARGE(AR193:AW193,3),"R",""),IF(AS193&gt;=LARGE(AR193:AW193,3),"I",""),IF(AT193&gt;=LARGE(AR193:AW193,3),"A",""),IF(AU193&gt;=LARGE(AR193:AW193,3),"S",""),IF(AV193&gt;=LARGE(AR193:AW193,3),"E",""),IF(AW193&gt;=LARGE(AR193:AW193,3),"C","")))</x:f>
      </x:c>
      <x:c r="AY193" s="27" t="str">
        <x:f>IF(C193="","",IF(AR193=MAX(AR193:AW193),"นักปฏิบัติ",IF(AS193=MAX(AR193:AW193),"นักคิดวิเคราะห์",IF(AT193=MAX(AR193:AW193),"นักสร้างสรรค์",IF(AU193=MAX(AR193:AW193),"ผู้เข้าใจผู้คน",IF(AV193=MAX(AR193:AW193),"ผู้นำการเปลี่ยนแปลง","ผู้จัดระบบ"))))))</x:f>
      </x:c>
    </x:row>
    <x:row r="194">
      <x:c r="A194" s="27"/>
      <x:c r="B194" s="28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  <x:c r="AC194" s="27"/>
      <x:c r="AD194" s="27"/>
      <x:c r="AE194" s="27"/>
      <x:c r="AF194" s="27"/>
      <x:c r="AG194" s="27"/>
      <x:c r="AH194" s="27"/>
      <x:c r="AI194" s="27"/>
      <x:c r="AJ194" s="27"/>
      <x:c r="AK194" s="27"/>
      <x:c r="AL194" s="27"/>
      <x:c r="AM194" s="27"/>
      <x:c r="AN194" s="27"/>
      <x:c r="AO194" s="27"/>
      <x:c r="AP194" s="27"/>
      <x:c r="AQ194" s="27"/>
      <x:c r="AR194" s="27" t="str">
        <x:f>IF(C194="","",SUM(H194,N194,T194,Z194,AF194,AL194))</x:f>
      </x:c>
      <x:c r="AS194" s="27" t="str">
        <x:f>IF(C194="","",SUM(I194,O194,U194,AA194,AG194,AM194))</x:f>
      </x:c>
      <x:c r="AT194" s="27" t="str">
        <x:f>IF(C194="","",SUM(J194,P194,V194,AB194,AH194,AN194))</x:f>
      </x:c>
      <x:c r="AU194" s="27" t="str">
        <x:f>IF(C194="","",SUM(K194,Q194,W194,AC194,AI194,AO194))</x:f>
      </x:c>
      <x:c r="AV194" s="27" t="str">
        <x:f>IF(C194="","",SUM(L194,R194,X194,AD194,AJ194,AP194))</x:f>
      </x:c>
      <x:c r="AW194" s="27" t="str">
        <x:f>IF(C194="","",SUM(M194,S194,Y194,AE194,AK194,AQ194))</x:f>
      </x:c>
      <x:c r="AX194" s="27" t="str">
        <x:f>IF(C194="","",CONCAT(IF(AR194&gt;=LARGE(AR194:AW194,3),"R",""),IF(AS194&gt;=LARGE(AR194:AW194,3),"I",""),IF(AT194&gt;=LARGE(AR194:AW194,3),"A",""),IF(AU194&gt;=LARGE(AR194:AW194,3),"S",""),IF(AV194&gt;=LARGE(AR194:AW194,3),"E",""),IF(AW194&gt;=LARGE(AR194:AW194,3),"C","")))</x:f>
      </x:c>
      <x:c r="AY194" s="27" t="str">
        <x:f>IF(C194="","",IF(AR194=MAX(AR194:AW194),"นักปฏิบัติ",IF(AS194=MAX(AR194:AW194),"นักคิดวิเคราะห์",IF(AT194=MAX(AR194:AW194),"นักสร้างสรรค์",IF(AU194=MAX(AR194:AW194),"ผู้เข้าใจผู้คน",IF(AV194=MAX(AR194:AW194),"ผู้นำการเปลี่ยนแปลง","ผู้จัดระบบ"))))))</x:f>
      </x:c>
    </x:row>
    <x:row r="195">
      <x:c r="A195" s="27"/>
      <x:c r="B195" s="28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  <x:c r="AC195" s="27"/>
      <x:c r="AD195" s="27"/>
      <x:c r="AE195" s="27"/>
      <x:c r="AF195" s="27"/>
      <x:c r="AG195" s="27"/>
      <x:c r="AH195" s="27"/>
      <x:c r="AI195" s="27"/>
      <x:c r="AJ195" s="27"/>
      <x:c r="AK195" s="27"/>
      <x:c r="AL195" s="27"/>
      <x:c r="AM195" s="27"/>
      <x:c r="AN195" s="27"/>
      <x:c r="AO195" s="27"/>
      <x:c r="AP195" s="27"/>
      <x:c r="AQ195" s="27"/>
      <x:c r="AR195" s="27" t="str">
        <x:f>IF(C195="","",SUM(H195,N195,T195,Z195,AF195,AL195))</x:f>
      </x:c>
      <x:c r="AS195" s="27" t="str">
        <x:f>IF(C195="","",SUM(I195,O195,U195,AA195,AG195,AM195))</x:f>
      </x:c>
      <x:c r="AT195" s="27" t="str">
        <x:f>IF(C195="","",SUM(J195,P195,V195,AB195,AH195,AN195))</x:f>
      </x:c>
      <x:c r="AU195" s="27" t="str">
        <x:f>IF(C195="","",SUM(K195,Q195,W195,AC195,AI195,AO195))</x:f>
      </x:c>
      <x:c r="AV195" s="27" t="str">
        <x:f>IF(C195="","",SUM(L195,R195,X195,AD195,AJ195,AP195))</x:f>
      </x:c>
      <x:c r="AW195" s="27" t="str">
        <x:f>IF(C195="","",SUM(M195,S195,Y195,AE195,AK195,AQ195))</x:f>
      </x:c>
      <x:c r="AX195" s="27" t="str">
        <x:f>IF(C195="","",CONCAT(IF(AR195&gt;=LARGE(AR195:AW195,3),"R",""),IF(AS195&gt;=LARGE(AR195:AW195,3),"I",""),IF(AT195&gt;=LARGE(AR195:AW195,3),"A",""),IF(AU195&gt;=LARGE(AR195:AW195,3),"S",""),IF(AV195&gt;=LARGE(AR195:AW195,3),"E",""),IF(AW195&gt;=LARGE(AR195:AW195,3),"C","")))</x:f>
      </x:c>
      <x:c r="AY195" s="27" t="str">
        <x:f>IF(C195="","",IF(AR195=MAX(AR195:AW195),"นักปฏิบัติ",IF(AS195=MAX(AR195:AW195),"นักคิดวิเคราะห์",IF(AT195=MAX(AR195:AW195),"นักสร้างสรรค์",IF(AU195=MAX(AR195:AW195),"ผู้เข้าใจผู้คน",IF(AV195=MAX(AR195:AW195),"ผู้นำการเปลี่ยนแปลง","ผู้จัดระบบ"))))))</x:f>
      </x:c>
    </x:row>
    <x:row r="196">
      <x:c r="A196" s="27"/>
      <x:c r="B196" s="28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  <x:c r="AC196" s="27"/>
      <x:c r="AD196" s="27"/>
      <x:c r="AE196" s="27"/>
      <x:c r="AF196" s="27"/>
      <x:c r="AG196" s="27"/>
      <x:c r="AH196" s="27"/>
      <x:c r="AI196" s="27"/>
      <x:c r="AJ196" s="27"/>
      <x:c r="AK196" s="27"/>
      <x:c r="AL196" s="27"/>
      <x:c r="AM196" s="27"/>
      <x:c r="AN196" s="27"/>
      <x:c r="AO196" s="27"/>
      <x:c r="AP196" s="27"/>
      <x:c r="AQ196" s="27"/>
      <x:c r="AR196" s="27" t="str">
        <x:f>IF(C196="","",SUM(H196,N196,T196,Z196,AF196,AL196))</x:f>
      </x:c>
      <x:c r="AS196" s="27" t="str">
        <x:f>IF(C196="","",SUM(I196,O196,U196,AA196,AG196,AM196))</x:f>
      </x:c>
      <x:c r="AT196" s="27" t="str">
        <x:f>IF(C196="","",SUM(J196,P196,V196,AB196,AH196,AN196))</x:f>
      </x:c>
      <x:c r="AU196" s="27" t="str">
        <x:f>IF(C196="","",SUM(K196,Q196,W196,AC196,AI196,AO196))</x:f>
      </x:c>
      <x:c r="AV196" s="27" t="str">
        <x:f>IF(C196="","",SUM(L196,R196,X196,AD196,AJ196,AP196))</x:f>
      </x:c>
      <x:c r="AW196" s="27" t="str">
        <x:f>IF(C196="","",SUM(M196,S196,Y196,AE196,AK196,AQ196))</x:f>
      </x:c>
      <x:c r="AX196" s="27" t="str">
        <x:f>IF(C196="","",CONCAT(IF(AR196&gt;=LARGE(AR196:AW196,3),"R",""),IF(AS196&gt;=LARGE(AR196:AW196,3),"I",""),IF(AT196&gt;=LARGE(AR196:AW196,3),"A",""),IF(AU196&gt;=LARGE(AR196:AW196,3),"S",""),IF(AV196&gt;=LARGE(AR196:AW196,3),"E",""),IF(AW196&gt;=LARGE(AR196:AW196,3),"C","")))</x:f>
      </x:c>
      <x:c r="AY196" s="27" t="str">
        <x:f>IF(C196="","",IF(AR196=MAX(AR196:AW196),"นักปฏิบัติ",IF(AS196=MAX(AR196:AW196),"นักคิดวิเคราะห์",IF(AT196=MAX(AR196:AW196),"นักสร้างสรรค์",IF(AU196=MAX(AR196:AW196),"ผู้เข้าใจผู้คน",IF(AV196=MAX(AR196:AW196),"ผู้นำการเปลี่ยนแปลง","ผู้จัดระบบ"))))))</x:f>
      </x:c>
    </x:row>
    <x:row r="197">
      <x:c r="A197" s="27"/>
      <x:c r="B197" s="28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  <x:c r="AC197" s="27"/>
      <x:c r="AD197" s="27"/>
      <x:c r="AE197" s="27"/>
      <x:c r="AF197" s="27"/>
      <x:c r="AG197" s="27"/>
      <x:c r="AH197" s="27"/>
      <x:c r="AI197" s="27"/>
      <x:c r="AJ197" s="27"/>
      <x:c r="AK197" s="27"/>
      <x:c r="AL197" s="27"/>
      <x:c r="AM197" s="27"/>
      <x:c r="AN197" s="27"/>
      <x:c r="AO197" s="27"/>
      <x:c r="AP197" s="27"/>
      <x:c r="AQ197" s="27"/>
      <x:c r="AR197" s="27" t="str">
        <x:f>IF(C197="","",SUM(H197,N197,T197,Z197,AF197,AL197))</x:f>
      </x:c>
      <x:c r="AS197" s="27" t="str">
        <x:f>IF(C197="","",SUM(I197,O197,U197,AA197,AG197,AM197))</x:f>
      </x:c>
      <x:c r="AT197" s="27" t="str">
        <x:f>IF(C197="","",SUM(J197,P197,V197,AB197,AH197,AN197))</x:f>
      </x:c>
      <x:c r="AU197" s="27" t="str">
        <x:f>IF(C197="","",SUM(K197,Q197,W197,AC197,AI197,AO197))</x:f>
      </x:c>
      <x:c r="AV197" s="27" t="str">
        <x:f>IF(C197="","",SUM(L197,R197,X197,AD197,AJ197,AP197))</x:f>
      </x:c>
      <x:c r="AW197" s="27" t="str">
        <x:f>IF(C197="","",SUM(M197,S197,Y197,AE197,AK197,AQ197))</x:f>
      </x:c>
      <x:c r="AX197" s="27" t="str">
        <x:f>IF(C197="","",CONCAT(IF(AR197&gt;=LARGE(AR197:AW197,3),"R",""),IF(AS197&gt;=LARGE(AR197:AW197,3),"I",""),IF(AT197&gt;=LARGE(AR197:AW197,3),"A",""),IF(AU197&gt;=LARGE(AR197:AW197,3),"S",""),IF(AV197&gt;=LARGE(AR197:AW197,3),"E",""),IF(AW197&gt;=LARGE(AR197:AW197,3),"C","")))</x:f>
      </x:c>
      <x:c r="AY197" s="27" t="str">
        <x:f>IF(C197="","",IF(AR197=MAX(AR197:AW197),"นักปฏิบัติ",IF(AS197=MAX(AR197:AW197),"นักคิดวิเคราะห์",IF(AT197=MAX(AR197:AW197),"นักสร้างสรรค์",IF(AU197=MAX(AR197:AW197),"ผู้เข้าใจผู้คน",IF(AV197=MAX(AR197:AW197),"ผู้นำการเปลี่ยนแปลง","ผู้จัดระบบ"))))))</x:f>
      </x:c>
    </x:row>
    <x:row r="198">
      <x:c r="A198" s="27"/>
      <x:c r="B198" s="28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  <x:c r="AC198" s="27"/>
      <x:c r="AD198" s="27"/>
      <x:c r="AE198" s="27"/>
      <x:c r="AF198" s="27"/>
      <x:c r="AG198" s="27"/>
      <x:c r="AH198" s="27"/>
      <x:c r="AI198" s="27"/>
      <x:c r="AJ198" s="27"/>
      <x:c r="AK198" s="27"/>
      <x:c r="AL198" s="27"/>
      <x:c r="AM198" s="27"/>
      <x:c r="AN198" s="27"/>
      <x:c r="AO198" s="27"/>
      <x:c r="AP198" s="27"/>
      <x:c r="AQ198" s="27"/>
      <x:c r="AR198" s="27" t="str">
        <x:f>IF(C198="","",SUM(H198,N198,T198,Z198,AF198,AL198))</x:f>
      </x:c>
      <x:c r="AS198" s="27" t="str">
        <x:f>IF(C198="","",SUM(I198,O198,U198,AA198,AG198,AM198))</x:f>
      </x:c>
      <x:c r="AT198" s="27" t="str">
        <x:f>IF(C198="","",SUM(J198,P198,V198,AB198,AH198,AN198))</x:f>
      </x:c>
      <x:c r="AU198" s="27" t="str">
        <x:f>IF(C198="","",SUM(K198,Q198,W198,AC198,AI198,AO198))</x:f>
      </x:c>
      <x:c r="AV198" s="27" t="str">
        <x:f>IF(C198="","",SUM(L198,R198,X198,AD198,AJ198,AP198))</x:f>
      </x:c>
      <x:c r="AW198" s="27" t="str">
        <x:f>IF(C198="","",SUM(M198,S198,Y198,AE198,AK198,AQ198))</x:f>
      </x:c>
      <x:c r="AX198" s="27" t="str">
        <x:f>IF(C198="","",CONCAT(IF(AR198&gt;=LARGE(AR198:AW198,3),"R",""),IF(AS198&gt;=LARGE(AR198:AW198,3),"I",""),IF(AT198&gt;=LARGE(AR198:AW198,3),"A",""),IF(AU198&gt;=LARGE(AR198:AW198,3),"S",""),IF(AV198&gt;=LARGE(AR198:AW198,3),"E",""),IF(AW198&gt;=LARGE(AR198:AW198,3),"C","")))</x:f>
      </x:c>
      <x:c r="AY198" s="27" t="str">
        <x:f>IF(C198="","",IF(AR198=MAX(AR198:AW198),"นักปฏิบัติ",IF(AS198=MAX(AR198:AW198),"นักคิดวิเคราะห์",IF(AT198=MAX(AR198:AW198),"นักสร้างสรรค์",IF(AU198=MAX(AR198:AW198),"ผู้เข้าใจผู้คน",IF(AV198=MAX(AR198:AW198),"ผู้นำการเปลี่ยนแปลง","ผู้จัดระบบ"))))))</x:f>
      </x:c>
    </x:row>
    <x:row r="199">
      <x:c r="A199" s="27"/>
      <x:c r="B199" s="28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  <x:c r="AC199" s="27"/>
      <x:c r="AD199" s="27"/>
      <x:c r="AE199" s="27"/>
      <x:c r="AF199" s="27"/>
      <x:c r="AG199" s="27"/>
      <x:c r="AH199" s="27"/>
      <x:c r="AI199" s="27"/>
      <x:c r="AJ199" s="27"/>
      <x:c r="AK199" s="27"/>
      <x:c r="AL199" s="27"/>
      <x:c r="AM199" s="27"/>
      <x:c r="AN199" s="27"/>
      <x:c r="AO199" s="27"/>
      <x:c r="AP199" s="27"/>
      <x:c r="AQ199" s="27"/>
      <x:c r="AR199" s="27" t="str">
        <x:f>IF(C199="","",SUM(H199,N199,T199,Z199,AF199,AL199))</x:f>
      </x:c>
      <x:c r="AS199" s="27" t="str">
        <x:f>IF(C199="","",SUM(I199,O199,U199,AA199,AG199,AM199))</x:f>
      </x:c>
      <x:c r="AT199" s="27" t="str">
        <x:f>IF(C199="","",SUM(J199,P199,V199,AB199,AH199,AN199))</x:f>
      </x:c>
      <x:c r="AU199" s="27" t="str">
        <x:f>IF(C199="","",SUM(K199,Q199,W199,AC199,AI199,AO199))</x:f>
      </x:c>
      <x:c r="AV199" s="27" t="str">
        <x:f>IF(C199="","",SUM(L199,R199,X199,AD199,AJ199,AP199))</x:f>
      </x:c>
      <x:c r="AW199" s="27" t="str">
        <x:f>IF(C199="","",SUM(M199,S199,Y199,AE199,AK199,AQ199))</x:f>
      </x:c>
      <x:c r="AX199" s="27" t="str">
        <x:f>IF(C199="","",CONCAT(IF(AR199&gt;=LARGE(AR199:AW199,3),"R",""),IF(AS199&gt;=LARGE(AR199:AW199,3),"I",""),IF(AT199&gt;=LARGE(AR199:AW199,3),"A",""),IF(AU199&gt;=LARGE(AR199:AW199,3),"S",""),IF(AV199&gt;=LARGE(AR199:AW199,3),"E",""),IF(AW199&gt;=LARGE(AR199:AW199,3),"C","")))</x:f>
      </x:c>
      <x:c r="AY199" s="27" t="str">
        <x:f>IF(C199="","",IF(AR199=MAX(AR199:AW199),"นักปฏิบัติ",IF(AS199=MAX(AR199:AW199),"นักคิดวิเคราะห์",IF(AT199=MAX(AR199:AW199),"นักสร้างสรรค์",IF(AU199=MAX(AR199:AW199),"ผู้เข้าใจผู้คน",IF(AV199=MAX(AR199:AW199),"ผู้นำการเปลี่ยนแปลง","ผู้จัดระบบ"))))))</x:f>
      </x:c>
    </x:row>
    <x:row r="200">
      <x:c r="A200" s="27"/>
      <x:c r="B200" s="28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  <x:c r="AC200" s="27"/>
      <x:c r="AD200" s="27"/>
      <x:c r="AE200" s="27"/>
      <x:c r="AF200" s="27"/>
      <x:c r="AG200" s="27"/>
      <x:c r="AH200" s="27"/>
      <x:c r="AI200" s="27"/>
      <x:c r="AJ200" s="27"/>
      <x:c r="AK200" s="27"/>
      <x:c r="AL200" s="27"/>
      <x:c r="AM200" s="27"/>
      <x:c r="AN200" s="27"/>
      <x:c r="AO200" s="27"/>
      <x:c r="AP200" s="27"/>
      <x:c r="AQ200" s="27"/>
      <x:c r="AR200" s="27" t="str">
        <x:f>IF(C200="","",SUM(H200,N200,T200,Z200,AF200,AL200))</x:f>
      </x:c>
      <x:c r="AS200" s="27" t="str">
        <x:f>IF(C200="","",SUM(I200,O200,U200,AA200,AG200,AM200))</x:f>
      </x:c>
      <x:c r="AT200" s="27" t="str">
        <x:f>IF(C200="","",SUM(J200,P200,V200,AB200,AH200,AN200))</x:f>
      </x:c>
      <x:c r="AU200" s="27" t="str">
        <x:f>IF(C200="","",SUM(K200,Q200,W200,AC200,AI200,AO200))</x:f>
      </x:c>
      <x:c r="AV200" s="27" t="str">
        <x:f>IF(C200="","",SUM(L200,R200,X200,AD200,AJ200,AP200))</x:f>
      </x:c>
      <x:c r="AW200" s="27" t="str">
        <x:f>IF(C200="","",SUM(M200,S200,Y200,AE200,AK200,AQ200))</x:f>
      </x:c>
      <x:c r="AX200" s="27" t="str">
        <x:f>IF(C200="","",CONCAT(IF(AR200&gt;=LARGE(AR200:AW200,3),"R",""),IF(AS200&gt;=LARGE(AR200:AW200,3),"I",""),IF(AT200&gt;=LARGE(AR200:AW200,3),"A",""),IF(AU200&gt;=LARGE(AR200:AW200,3),"S",""),IF(AV200&gt;=LARGE(AR200:AW200,3),"E",""),IF(AW200&gt;=LARGE(AR200:AW200,3),"C","")))</x:f>
      </x:c>
      <x:c r="AY200" s="27" t="str">
        <x:f>IF(C200="","",IF(AR200=MAX(AR200:AW200),"นักปฏิบัติ",IF(AS200=MAX(AR200:AW200),"นักคิดวิเคราะห์",IF(AT200=MAX(AR200:AW200),"นักสร้างสรรค์",IF(AU200=MAX(AR200:AW200),"ผู้เข้าใจผู้คน",IF(AV200=MAX(AR200:AW200),"ผู้นำการเปลี่ยนแปลง","ผู้จัดระบบ"))))))</x:f>
      </x:c>
    </x:row>
    <x:row r="201">
      <x:c r="A201" s="27"/>
      <x:c r="B201" s="28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  <x:c r="AC201" s="27"/>
      <x:c r="AD201" s="27"/>
      <x:c r="AE201" s="27"/>
      <x:c r="AF201" s="27"/>
      <x:c r="AG201" s="27"/>
      <x:c r="AH201" s="27"/>
      <x:c r="AI201" s="27"/>
      <x:c r="AJ201" s="27"/>
      <x:c r="AK201" s="27"/>
      <x:c r="AL201" s="27"/>
      <x:c r="AM201" s="27"/>
      <x:c r="AN201" s="27"/>
      <x:c r="AO201" s="27"/>
      <x:c r="AP201" s="27"/>
      <x:c r="AQ201" s="27"/>
      <x:c r="AR201" s="27" t="str">
        <x:f>IF(C201="","",SUM(H201,N201,T201,Z201,AF201,AL201))</x:f>
      </x:c>
      <x:c r="AS201" s="27" t="str">
        <x:f>IF(C201="","",SUM(I201,O201,U201,AA201,AG201,AM201))</x:f>
      </x:c>
      <x:c r="AT201" s="27" t="str">
        <x:f>IF(C201="","",SUM(J201,P201,V201,AB201,AH201,AN201))</x:f>
      </x:c>
      <x:c r="AU201" s="27" t="str">
        <x:f>IF(C201="","",SUM(K201,Q201,W201,AC201,AI201,AO201))</x:f>
      </x:c>
      <x:c r="AV201" s="27" t="str">
        <x:f>IF(C201="","",SUM(L201,R201,X201,AD201,AJ201,AP201))</x:f>
      </x:c>
      <x:c r="AW201" s="27" t="str">
        <x:f>IF(C201="","",SUM(M201,S201,Y201,AE201,AK201,AQ201))</x:f>
      </x:c>
      <x:c r="AX201" s="27" t="str">
        <x:f>IF(C201="","",CONCAT(IF(AR201&gt;=LARGE(AR201:AW201,3),"R",""),IF(AS201&gt;=LARGE(AR201:AW201,3),"I",""),IF(AT201&gt;=LARGE(AR201:AW201,3),"A",""),IF(AU201&gt;=LARGE(AR201:AW201,3),"S",""),IF(AV201&gt;=LARGE(AR201:AW201,3),"E",""),IF(AW201&gt;=LARGE(AR201:AW201,3),"C","")))</x:f>
      </x:c>
      <x:c r="AY201" s="27" t="str">
        <x:f>IF(C201="","",IF(AR201=MAX(AR201:AW201),"นักปฏิบัติ",IF(AS201=MAX(AR201:AW201),"นักคิดวิเคราะห์",IF(AT201=MAX(AR201:AW201),"นักสร้างสรรค์",IF(AU201=MAX(AR201:AW201),"ผู้เข้าใจผู้คน",IF(AV201=MAX(AR201:AW201),"ผู้นำการเปลี่ยนแปลง","ผู้จัดระบบ"))))))</x:f>
      </x:c>
    </x:row>
    <x:row r="202">
      <x:c r="A202" s="27"/>
      <x:c r="B202" s="28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  <x:c r="AC202" s="27"/>
      <x:c r="AD202" s="27"/>
      <x:c r="AE202" s="27"/>
      <x:c r="AF202" s="27"/>
      <x:c r="AG202" s="27"/>
      <x:c r="AH202" s="27"/>
      <x:c r="AI202" s="27"/>
      <x:c r="AJ202" s="27"/>
      <x:c r="AK202" s="27"/>
      <x:c r="AL202" s="27"/>
      <x:c r="AM202" s="27"/>
      <x:c r="AN202" s="27"/>
      <x:c r="AO202" s="27"/>
      <x:c r="AP202" s="27"/>
      <x:c r="AQ202" s="27"/>
      <x:c r="AR202" s="27" t="str">
        <x:f>IF(C202="","",SUM(H202,N202,T202,Z202,AF202,AL202))</x:f>
      </x:c>
      <x:c r="AS202" s="27" t="str">
        <x:f>IF(C202="","",SUM(I202,O202,U202,AA202,AG202,AM202))</x:f>
      </x:c>
      <x:c r="AT202" s="27" t="str">
        <x:f>IF(C202="","",SUM(J202,P202,V202,AB202,AH202,AN202))</x:f>
      </x:c>
      <x:c r="AU202" s="27" t="str">
        <x:f>IF(C202="","",SUM(K202,Q202,W202,AC202,AI202,AO202))</x:f>
      </x:c>
      <x:c r="AV202" s="27" t="str">
        <x:f>IF(C202="","",SUM(L202,R202,X202,AD202,AJ202,AP202))</x:f>
      </x:c>
      <x:c r="AW202" s="27" t="str">
        <x:f>IF(C202="","",SUM(M202,S202,Y202,AE202,AK202,AQ202))</x:f>
      </x:c>
      <x:c r="AX202" s="27" t="str">
        <x:f>IF(C202="","",CONCAT(IF(AR202&gt;=LARGE(AR202:AW202,3),"R",""),IF(AS202&gt;=LARGE(AR202:AW202,3),"I",""),IF(AT202&gt;=LARGE(AR202:AW202,3),"A",""),IF(AU202&gt;=LARGE(AR202:AW202,3),"S",""),IF(AV202&gt;=LARGE(AR202:AW202,3),"E",""),IF(AW202&gt;=LARGE(AR202:AW202,3),"C","")))</x:f>
      </x:c>
      <x:c r="AY202" s="27" t="str">
        <x:f>IF(C202="","",IF(AR202=MAX(AR202:AW202),"นักปฏิบัติ",IF(AS202=MAX(AR202:AW202),"นักคิดวิเคราะห์",IF(AT202=MAX(AR202:AW202),"นักสร้างสรรค์",IF(AU202=MAX(AR202:AW202),"ผู้เข้าใจผู้คน",IF(AV202=MAX(AR202:AW202),"ผู้นำการเปลี่ยนแปลง","ผู้จัดระบบ"))))))</x:f>
      </x:c>
    </x:row>
    <x:row r="203">
      <x:c r="A203" s="27"/>
      <x:c r="B203" s="28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  <x:c r="AA203" s="27"/>
      <x:c r="AB203" s="27"/>
      <x:c r="AC203" s="27"/>
      <x:c r="AD203" s="27"/>
      <x:c r="AE203" s="27"/>
      <x:c r="AF203" s="27"/>
      <x:c r="AG203" s="27"/>
      <x:c r="AH203" s="27"/>
      <x:c r="AI203" s="27"/>
      <x:c r="AJ203" s="27"/>
      <x:c r="AK203" s="27"/>
      <x:c r="AL203" s="27"/>
      <x:c r="AM203" s="27"/>
      <x:c r="AN203" s="27"/>
      <x:c r="AO203" s="27"/>
      <x:c r="AP203" s="27"/>
      <x:c r="AQ203" s="27"/>
      <x:c r="AR203" s="27" t="str">
        <x:f>IF(C203="","",SUM(H203,N203,T203,Z203,AF203,AL203))</x:f>
      </x:c>
      <x:c r="AS203" s="27" t="str">
        <x:f>IF(C203="","",SUM(I203,O203,U203,AA203,AG203,AM203))</x:f>
      </x:c>
      <x:c r="AT203" s="27" t="str">
        <x:f>IF(C203="","",SUM(J203,P203,V203,AB203,AH203,AN203))</x:f>
      </x:c>
      <x:c r="AU203" s="27" t="str">
        <x:f>IF(C203="","",SUM(K203,Q203,W203,AC203,AI203,AO203))</x:f>
      </x:c>
      <x:c r="AV203" s="27" t="str">
        <x:f>IF(C203="","",SUM(L203,R203,X203,AD203,AJ203,AP203))</x:f>
      </x:c>
      <x:c r="AW203" s="27" t="str">
        <x:f>IF(C203="","",SUM(M203,S203,Y203,AE203,AK203,AQ203))</x:f>
      </x:c>
      <x:c r="AX203" s="27" t="str">
        <x:f>IF(C203="","",CONCAT(IF(AR203&gt;=LARGE(AR203:AW203,3),"R",""),IF(AS203&gt;=LARGE(AR203:AW203,3),"I",""),IF(AT203&gt;=LARGE(AR203:AW203,3),"A",""),IF(AU203&gt;=LARGE(AR203:AW203,3),"S",""),IF(AV203&gt;=LARGE(AR203:AW203,3),"E",""),IF(AW203&gt;=LARGE(AR203:AW203,3),"C","")))</x:f>
      </x:c>
      <x:c r="AY203" s="27" t="str">
        <x:f>IF(C203="","",IF(AR203=MAX(AR203:AW203),"นักปฏิบัติ",IF(AS203=MAX(AR203:AW203),"นักคิดวิเคราะห์",IF(AT203=MAX(AR203:AW203),"นักสร้างสรรค์",IF(AU203=MAX(AR203:AW203),"ผู้เข้าใจผู้คน",IF(AV203=MAX(AR203:AW203),"ผู้นำการเปลี่ยนแปลง","ผู้จัดระบบ"))))))</x:f>
      </x:c>
    </x:row>
    <x:row r="204">
      <x:c r="A204" s="27"/>
      <x:c r="B204" s="28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  <x:c r="AA204" s="27"/>
      <x:c r="AB204" s="27"/>
      <x:c r="AC204" s="27"/>
      <x:c r="AD204" s="27"/>
      <x:c r="AE204" s="27"/>
      <x:c r="AF204" s="27"/>
      <x:c r="AG204" s="27"/>
      <x:c r="AH204" s="27"/>
      <x:c r="AI204" s="27"/>
      <x:c r="AJ204" s="27"/>
      <x:c r="AK204" s="27"/>
      <x:c r="AL204" s="27"/>
      <x:c r="AM204" s="27"/>
      <x:c r="AN204" s="27"/>
      <x:c r="AO204" s="27"/>
      <x:c r="AP204" s="27"/>
      <x:c r="AQ204" s="27"/>
      <x:c r="AR204" s="27" t="str">
        <x:f>IF(C204="","",SUM(H204,N204,T204,Z204,AF204,AL204))</x:f>
      </x:c>
      <x:c r="AS204" s="27" t="str">
        <x:f>IF(C204="","",SUM(I204,O204,U204,AA204,AG204,AM204))</x:f>
      </x:c>
      <x:c r="AT204" s="27" t="str">
        <x:f>IF(C204="","",SUM(J204,P204,V204,AB204,AH204,AN204))</x:f>
      </x:c>
      <x:c r="AU204" s="27" t="str">
        <x:f>IF(C204="","",SUM(K204,Q204,W204,AC204,AI204,AO204))</x:f>
      </x:c>
      <x:c r="AV204" s="27" t="str">
        <x:f>IF(C204="","",SUM(L204,R204,X204,AD204,AJ204,AP204))</x:f>
      </x:c>
      <x:c r="AW204" s="27" t="str">
        <x:f>IF(C204="","",SUM(M204,S204,Y204,AE204,AK204,AQ204))</x:f>
      </x:c>
      <x:c r="AX204" s="27" t="str">
        <x:f>IF(C204="","",CONCAT(IF(AR204&gt;=LARGE(AR204:AW204,3),"R",""),IF(AS204&gt;=LARGE(AR204:AW204,3),"I",""),IF(AT204&gt;=LARGE(AR204:AW204,3),"A",""),IF(AU204&gt;=LARGE(AR204:AW204,3),"S",""),IF(AV204&gt;=LARGE(AR204:AW204,3),"E",""),IF(AW204&gt;=LARGE(AR204:AW204,3),"C","")))</x:f>
      </x:c>
      <x:c r="AY204" s="27" t="str">
        <x:f>IF(C204="","",IF(AR204=MAX(AR204:AW204),"นักปฏิบัติ",IF(AS204=MAX(AR204:AW204),"นักคิดวิเคราะห์",IF(AT204=MAX(AR204:AW204),"นักสร้างสรรค์",IF(AU204=MAX(AR204:AW204),"ผู้เข้าใจผู้คน",IF(AV204=MAX(AR204:AW204),"ผู้นำการเปลี่ยนแปลง","ผู้จัดระบบ"))))))</x:f>
      </x:c>
    </x:row>
    <x:row r="205">
      <x:c r="A205" s="27"/>
      <x:c r="B205" s="28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  <x:c r="AA205" s="27"/>
      <x:c r="AB205" s="27"/>
      <x:c r="AC205" s="27"/>
      <x:c r="AD205" s="27"/>
      <x:c r="AE205" s="27"/>
      <x:c r="AF205" s="27"/>
      <x:c r="AG205" s="27"/>
      <x:c r="AH205" s="27"/>
      <x:c r="AI205" s="27"/>
      <x:c r="AJ205" s="27"/>
      <x:c r="AK205" s="27"/>
      <x:c r="AL205" s="27"/>
      <x:c r="AM205" s="27"/>
      <x:c r="AN205" s="27"/>
      <x:c r="AO205" s="27"/>
      <x:c r="AP205" s="27"/>
      <x:c r="AQ205" s="27"/>
      <x:c r="AR205" s="27" t="str">
        <x:f>IF(C205="","",SUM(H205,N205,T205,Z205,AF205,AL205))</x:f>
      </x:c>
      <x:c r="AS205" s="27" t="str">
        <x:f>IF(C205="","",SUM(I205,O205,U205,AA205,AG205,AM205))</x:f>
      </x:c>
      <x:c r="AT205" s="27" t="str">
        <x:f>IF(C205="","",SUM(J205,P205,V205,AB205,AH205,AN205))</x:f>
      </x:c>
      <x:c r="AU205" s="27" t="str">
        <x:f>IF(C205="","",SUM(K205,Q205,W205,AC205,AI205,AO205))</x:f>
      </x:c>
      <x:c r="AV205" s="27" t="str">
        <x:f>IF(C205="","",SUM(L205,R205,X205,AD205,AJ205,AP205))</x:f>
      </x:c>
      <x:c r="AW205" s="27" t="str">
        <x:f>IF(C205="","",SUM(M205,S205,Y205,AE205,AK205,AQ205))</x:f>
      </x:c>
      <x:c r="AX205" s="27" t="str">
        <x:f>IF(C205="","",CONCAT(IF(AR205&gt;=LARGE(AR205:AW205,3),"R",""),IF(AS205&gt;=LARGE(AR205:AW205,3),"I",""),IF(AT205&gt;=LARGE(AR205:AW205,3),"A",""),IF(AU205&gt;=LARGE(AR205:AW205,3),"S",""),IF(AV205&gt;=LARGE(AR205:AW205,3),"E",""),IF(AW205&gt;=LARGE(AR205:AW205,3),"C","")))</x:f>
      </x:c>
      <x:c r="AY205" s="27" t="str">
        <x:f>IF(C205="","",IF(AR205=MAX(AR205:AW205),"นักปฏิบัติ",IF(AS205=MAX(AR205:AW205),"นักคิดวิเคราะห์",IF(AT205=MAX(AR205:AW205),"นักสร้างสรรค์",IF(AU205=MAX(AR205:AW205),"ผู้เข้าใจผู้คน",IF(AV205=MAX(AR205:AW205),"ผู้นำการเปลี่ยนแปลง","ผู้จัดระบบ"))))))</x:f>
      </x:c>
    </x:row>
  </x:sheetData>
  <x:mergeCells>
    <x:mergeCell ref="A1:A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62" hidden="0" customWidth="1"/>
    <x:col min="5" max="5" width="12" hidden="0" customWidth="1"/>
    <x:col min="6" max="6" width="12" hidden="0" customWidth="1"/>
  </x:cols>
  <x:sheetData>
    <x:row r="1">
      <x:c r="A1" s="4" t="str">
        <x:v>คำถาม RIASEC</x:v>
      </x:c>
      <x:c r="B1" s="4"/>
      <x:c r="C1" s="4"/>
      <x:c r="D1" s="4"/>
      <x:c r="E1" s="4"/>
      <x:c r="F1" s="4"/>
    </x:row>
    <x:row r="2">
      <x:c r="A2" s="5" t="str">
        <x:v>แก้ไขข้อความได้ตามบริบทโรงเรียน แต่คงรหัส R/I/A/S/E/C และค่าคำตอบไว้เพื่อสูตรคะแนน</x:v>
      </x:c>
    </x:row>
    <x:row r="4">
      <x:c r="A4" s="23" t="str">
        <x:v>รหัสคำถาม</x:v>
      </x:c>
      <x:c r="B4" s="24" t="str">
        <x:v>มิติ S.D.S.</x:v>
      </x:c>
      <x:c r="C4" s="24" t="str">
        <x:v>รหัส RIASEC</x:v>
      </x:c>
      <x:c r="D4" s="24" t="str">
        <x:v>ข้อความคำถาม</x:v>
      </x:c>
      <x:c r="E4" s="24" t="str">
        <x:v>ใช่/สนใจ</x:v>
      </x:c>
      <x:c r="F4" s="25" t="str">
        <x:v>ไม่ใช่</x:v>
      </x:c>
    </x:row>
    <x:row r="5">
      <x:c r="A5" s="9" t="str">
        <x:v>01</x:v>
      </x:c>
      <x:c r="B5" s="9" t="str">
        <x:v>กิจกรรม</x:v>
      </x:c>
      <x:c r="C5" s="9" t="str">
        <x:v>R</x:v>
      </x:c>
      <x:c r="D5" s="9" t="str">
        <x:v>ประกอบหรือซ่อมสิ่งของที่มีชิ้นส่วน</x:v>
      </x:c>
      <x:c r="E5" s="9" t="n">
        <x:v>1</x:v>
      </x:c>
      <x:c r="F5" s="9" t="n">
        <x:v>0</x:v>
      </x:c>
    </x:row>
    <x:row r="6">
      <x:c r="A6" s="9" t="str">
        <x:v>02</x:v>
      </x:c>
      <x:c r="B6" s="9" t="str">
        <x:v>กิจกรรม</x:v>
      </x:c>
      <x:c r="C6" s="9" t="str">
        <x:v>I</x:v>
      </x:c>
      <x:c r="D6" s="9" t="str">
        <x:v>ทดลอง ค้นคว้า หรือหาคำตอบจากข้อมูล</x:v>
      </x:c>
      <x:c r="E6" s="9" t="n">
        <x:v>1</x:v>
      </x:c>
      <x:c r="F6" s="9" t="n">
        <x:v>0</x:v>
      </x:c>
    </x:row>
    <x:row r="7">
      <x:c r="A7" s="9" t="str">
        <x:v>03</x:v>
      </x:c>
      <x:c r="B7" s="9" t="str">
        <x:v>กิจกรรม</x:v>
      </x:c>
      <x:c r="C7" s="9" t="str">
        <x:v>A</x:v>
      </x:c>
      <x:c r="D7" s="9" t="str">
        <x:v>วาดภาพ ออกแบบ หรือสร้างผลงาน</x:v>
      </x:c>
      <x:c r="E7" s="9" t="n">
        <x:v>1</x:v>
      </x:c>
      <x:c r="F7" s="9" t="n">
        <x:v>0</x:v>
      </x:c>
    </x:row>
    <x:row r="8">
      <x:c r="A8" s="9" t="str">
        <x:v>04</x:v>
      </x:c>
      <x:c r="B8" s="9" t="str">
        <x:v>กิจกรรม</x:v>
      </x:c>
      <x:c r="C8" s="9" t="str">
        <x:v>S</x:v>
      </x:c>
      <x:c r="D8" s="9" t="str">
        <x:v>สอน อธิบาย หรือช่วยคนแก้ปัญหา</x:v>
      </x:c>
      <x:c r="E8" s="9" t="n">
        <x:v>1</x:v>
      </x:c>
      <x:c r="F8" s="9" t="n">
        <x:v>0</x:v>
      </x:c>
    </x:row>
    <x:row r="9">
      <x:c r="A9" s="9" t="str">
        <x:v>05</x:v>
      </x:c>
      <x:c r="B9" s="9" t="str">
        <x:v>กิจกรรม</x:v>
      </x:c>
      <x:c r="C9" s="9" t="str">
        <x:v>E</x:v>
      </x:c>
      <x:c r="D9" s="9" t="str">
        <x:v>ชวนคนเห็นด้วยกับไอเดียของคุณ</x:v>
      </x:c>
      <x:c r="E9" s="9" t="n">
        <x:v>1</x:v>
      </x:c>
      <x:c r="F9" s="9" t="n">
        <x:v>0</x:v>
      </x:c>
    </x:row>
    <x:row r="10">
      <x:c r="A10" s="9" t="str">
        <x:v>06</x:v>
      </x:c>
      <x:c r="B10" s="9" t="str">
        <x:v>กิจกรรม</x:v>
      </x:c>
      <x:c r="C10" s="9" t="str">
        <x:v>C</x:v>
      </x:c>
      <x:c r="D10" s="9" t="str">
        <x:v>จัดแฟ้ม ข้อมูล หรือรายการให้เป็นระเบียบ</x:v>
      </x:c>
      <x:c r="E10" s="9" t="n">
        <x:v>1</x:v>
      </x:c>
      <x:c r="F10" s="9" t="n">
        <x:v>0</x:v>
      </x:c>
    </x:row>
    <x:row r="11">
      <x:c r="A11" s="9" t="str">
        <x:v>07</x:v>
      </x:c>
      <x:c r="B11" s="9" t="str">
        <x:v>ความสามารถ</x:v>
      </x:c>
      <x:c r="C11" s="9" t="str">
        <x:v>R</x:v>
      </x:c>
      <x:c r="D11" s="9" t="str">
        <x:v>ใช้เครื่องมือหรืออุปกรณ์ได้อย่างคล่องแคล่ว</x:v>
      </x:c>
      <x:c r="E11" s="9" t="n">
        <x:v>1</x:v>
      </x:c>
      <x:c r="F11" s="9" t="n">
        <x:v>0</x:v>
      </x:c>
    </x:row>
    <x:row r="12">
      <x:c r="A12" s="9" t="str">
        <x:v>08</x:v>
      </x:c>
      <x:c r="B12" s="9" t="str">
        <x:v>ความสามารถ</x:v>
      </x:c>
      <x:c r="C12" s="9" t="str">
        <x:v>I</x:v>
      </x:c>
      <x:c r="D12" s="9" t="str">
        <x:v>วิเคราะห์โจทย์ที่มีเหตุผลหลายขั้นตอน</x:v>
      </x:c>
      <x:c r="E12" s="9" t="n">
        <x:v>1</x:v>
      </x:c>
      <x:c r="F12" s="9" t="n">
        <x:v>0</x:v>
      </x:c>
    </x:row>
    <x:row r="13">
      <x:c r="A13" s="9" t="str">
        <x:v>09</x:v>
      </x:c>
      <x:c r="B13" s="9" t="str">
        <x:v>ความสามารถ</x:v>
      </x:c>
      <x:c r="C13" s="9" t="str">
        <x:v>A</x:v>
      </x:c>
      <x:c r="D13" s="9" t="str">
        <x:v>คิดไอเดียหรือวิธีนำเสนอแปลกใหม่</x:v>
      </x:c>
      <x:c r="E13" s="9" t="n">
        <x:v>1</x:v>
      </x:c>
      <x:c r="F13" s="9" t="n">
        <x:v>0</x:v>
      </x:c>
    </x:row>
    <x:row r="14">
      <x:c r="A14" s="9" t="str">
        <x:v>10</x:v>
      </x:c>
      <x:c r="B14" s="9" t="str">
        <x:v>ความสามารถ</x:v>
      </x:c>
      <x:c r="C14" s="9" t="str">
        <x:v>S</x:v>
      </x:c>
      <x:c r="D14" s="9" t="str">
        <x:v>รับฟังความรู้สึกและสื่อสารกับคนอื่น</x:v>
      </x:c>
      <x:c r="E14" s="9" t="n">
        <x:v>1</x:v>
      </x:c>
      <x:c r="F14" s="9" t="n">
        <x:v>0</x:v>
      </x:c>
    </x:row>
    <x:row r="15">
      <x:c r="A15" s="9" t="str">
        <x:v>11</x:v>
      </x:c>
      <x:c r="B15" s="9" t="str">
        <x:v>ความสามารถ</x:v>
      </x:c>
      <x:c r="C15" s="9" t="str">
        <x:v>E</x:v>
      </x:c>
      <x:c r="D15" s="9" t="str">
        <x:v>วางเป้าหมายและพาคนอื่นทำงานให้สำเร็จ</x:v>
      </x:c>
      <x:c r="E15" s="9" t="n">
        <x:v>1</x:v>
      </x:c>
      <x:c r="F15" s="9" t="n">
        <x:v>0</x:v>
      </x:c>
    </x:row>
    <x:row r="16">
      <x:c r="A16" s="9" t="str">
        <x:v>12</x:v>
      </x:c>
      <x:c r="B16" s="9" t="str">
        <x:v>ความสามารถ</x:v>
      </x:c>
      <x:c r="C16" s="9" t="str">
        <x:v>C</x:v>
      </x:c>
      <x:c r="D16" s="9" t="str">
        <x:v>ตรวจรายละเอียด ตัวเลข หรือเอกสารได้รอบคอบ</x:v>
      </x:c>
      <x:c r="E16" s="9" t="n">
        <x:v>1</x:v>
      </x:c>
      <x:c r="F16" s="9" t="n">
        <x:v>0</x:v>
      </x:c>
    </x:row>
    <x:row r="17">
      <x:c r="A17" s="9" t="str">
        <x:v>13</x:v>
      </x:c>
      <x:c r="B17" s="9" t="str">
        <x:v>อาชีพ</x:v>
      </x:c>
      <x:c r="C17" s="9" t="str">
        <x:v>R</x:v>
      </x:c>
      <x:c r="D17" s="9" t="str">
        <x:v>สนใจอาชีพที่ได้ทำงานกับเครื่องมือ เทคโนโลยี หรือภาคสนาม</x:v>
      </x:c>
      <x:c r="E17" s="9" t="n">
        <x:v>1</x:v>
      </x:c>
      <x:c r="F17" s="9" t="n">
        <x:v>0</x:v>
      </x:c>
    </x:row>
    <x:row r="18">
      <x:c r="A18" s="9" t="str">
        <x:v>14</x:v>
      </x:c>
      <x:c r="B18" s="9" t="str">
        <x:v>อาชีพ</x:v>
      </x:c>
      <x:c r="C18" s="9" t="str">
        <x:v>I</x:v>
      </x:c>
      <x:c r="D18" s="9" t="str">
        <x:v>สนใจอาชีพนักวิทยาศาสตร์ นักวิจัย หรือผู้เชี่ยวชาญ</x:v>
      </x:c>
      <x:c r="E18" s="9" t="n">
        <x:v>1</x:v>
      </x:c>
      <x:c r="F18" s="9" t="n">
        <x:v>0</x:v>
      </x:c>
    </x:row>
    <x:row r="19">
      <x:c r="A19" s="9" t="str">
        <x:v>15</x:v>
      </x:c>
      <x:c r="B19" s="9" t="str">
        <x:v>อาชีพ</x:v>
      </x:c>
      <x:c r="C19" s="9" t="str">
        <x:v>A</x:v>
      </x:c>
      <x:c r="D19" s="9" t="str">
        <x:v>สนใจอาชีพนักออกแบบ นักเขียน หรือผู้สร้างสื่อ</x:v>
      </x:c>
      <x:c r="E19" s="9" t="n">
        <x:v>1</x:v>
      </x:c>
      <x:c r="F19" s="9" t="n">
        <x:v>0</x:v>
      </x:c>
    </x:row>
    <x:row r="20">
      <x:c r="A20" s="9" t="str">
        <x:v>16</x:v>
      </x:c>
      <x:c r="B20" s="9" t="str">
        <x:v>อาชีพ</x:v>
      </x:c>
      <x:c r="C20" s="9" t="str">
        <x:v>S</x:v>
      </x:c>
      <x:c r="D20" s="9" t="str">
        <x:v>สนใจอาชีพครู บุคลากรสุขภาพ หรือผู้ให้คำปรึกษา</x:v>
      </x:c>
      <x:c r="E20" s="9" t="n">
        <x:v>1</x:v>
      </x:c>
      <x:c r="F20" s="9" t="n">
        <x:v>0</x:v>
      </x:c>
    </x:row>
    <x:row r="21">
      <x:c r="A21" s="9" t="str">
        <x:v>17</x:v>
      </x:c>
      <x:c r="B21" s="9" t="str">
        <x:v>อาชีพ</x:v>
      </x:c>
      <x:c r="C21" s="9" t="str">
        <x:v>E</x:v>
      </x:c>
      <x:c r="D21" s="9" t="str">
        <x:v>สนใจอาชีพนักธุรกิจ นักการตลาด หรือผู้นำโครงการ</x:v>
      </x:c>
      <x:c r="E21" s="9" t="n">
        <x:v>1</x:v>
      </x:c>
      <x:c r="F21" s="9" t="n">
        <x:v>0</x:v>
      </x:c>
    </x:row>
    <x:row r="22">
      <x:c r="A22" s="9" t="str">
        <x:v>18</x:v>
      </x:c>
      <x:c r="B22" s="9" t="str">
        <x:v>อาชีพ</x:v>
      </x:c>
      <x:c r="C22" s="9" t="str">
        <x:v>C</x:v>
      </x:c>
      <x:c r="D22" s="9" t="str">
        <x:v>สนใจอาชีพบัญชี การเงิน ธุรการ หรือวางระบบข้อมูล</x:v>
      </x:c>
      <x:c r="E22" s="9" t="n">
        <x:v>1</x:v>
      </x:c>
      <x:c r="F22" s="9" t="n">
        <x:v>0</x:v>
      </x:c>
    </x:row>
    <x:row r="23">
      <x:c r="A23" s="9" t="str">
        <x:v>19</x:v>
      </x:c>
      <x:c r="B23" s="9" t="str">
        <x:v>กิจกรรม</x:v>
      </x:c>
      <x:c r="C23" s="9" t="str">
        <x:v>R</x:v>
      </x:c>
      <x:c r="D23" s="9" t="str">
        <x:v>ประกอบหรือซ่อมสิ่งของที่มีชิ้นส่วน</x:v>
      </x:c>
      <x:c r="E23" s="9" t="n">
        <x:v>1</x:v>
      </x:c>
      <x:c r="F23" s="9" t="n">
        <x:v>0</x:v>
      </x:c>
    </x:row>
    <x:row r="24">
      <x:c r="A24" s="9" t="str">
        <x:v>20</x:v>
      </x:c>
      <x:c r="B24" s="9" t="str">
        <x:v>กิจกรรม</x:v>
      </x:c>
      <x:c r="C24" s="9" t="str">
        <x:v>I</x:v>
      </x:c>
      <x:c r="D24" s="9" t="str">
        <x:v>ทดลอง ค้นคว้า หรือหาคำตอบจากข้อมูล</x:v>
      </x:c>
      <x:c r="E24" s="9" t="n">
        <x:v>1</x:v>
      </x:c>
      <x:c r="F24" s="9" t="n">
        <x:v>0</x:v>
      </x:c>
    </x:row>
    <x:row r="25">
      <x:c r="A25" s="9" t="str">
        <x:v>21</x:v>
      </x:c>
      <x:c r="B25" s="9" t="str">
        <x:v>กิจกรรม</x:v>
      </x:c>
      <x:c r="C25" s="9" t="str">
        <x:v>A</x:v>
      </x:c>
      <x:c r="D25" s="9" t="str">
        <x:v>วาดภาพ ออกแบบ หรือสร้างผลงาน</x:v>
      </x:c>
      <x:c r="E25" s="9" t="n">
        <x:v>1</x:v>
      </x:c>
      <x:c r="F25" s="9" t="n">
        <x:v>0</x:v>
      </x:c>
    </x:row>
    <x:row r="26">
      <x:c r="A26" s="9" t="str">
        <x:v>22</x:v>
      </x:c>
      <x:c r="B26" s="9" t="str">
        <x:v>กิจกรรม</x:v>
      </x:c>
      <x:c r="C26" s="9" t="str">
        <x:v>S</x:v>
      </x:c>
      <x:c r="D26" s="9" t="str">
        <x:v>สอน อธิบาย หรือช่วยคนแก้ปัญหา</x:v>
      </x:c>
      <x:c r="E26" s="9" t="n">
        <x:v>1</x:v>
      </x:c>
      <x:c r="F26" s="9" t="n">
        <x:v>0</x:v>
      </x:c>
    </x:row>
    <x:row r="27">
      <x:c r="A27" s="9" t="str">
        <x:v>23</x:v>
      </x:c>
      <x:c r="B27" s="9" t="str">
        <x:v>กิจกรรม</x:v>
      </x:c>
      <x:c r="C27" s="9" t="str">
        <x:v>E</x:v>
      </x:c>
      <x:c r="D27" s="9" t="str">
        <x:v>ชวนคนเห็นด้วยกับไอเดียของคุณ</x:v>
      </x:c>
      <x:c r="E27" s="9" t="n">
        <x:v>1</x:v>
      </x:c>
      <x:c r="F27" s="9" t="n">
        <x:v>0</x:v>
      </x:c>
    </x:row>
    <x:row r="28">
      <x:c r="A28" s="9" t="str">
        <x:v>24</x:v>
      </x:c>
      <x:c r="B28" s="9" t="str">
        <x:v>กิจกรรม</x:v>
      </x:c>
      <x:c r="C28" s="9" t="str">
        <x:v>C</x:v>
      </x:c>
      <x:c r="D28" s="9" t="str">
        <x:v>จัดแฟ้ม ข้อมูล หรือรายการให้เป็นระเบียบ</x:v>
      </x:c>
      <x:c r="E28" s="9" t="n">
        <x:v>1</x:v>
      </x:c>
      <x:c r="F28" s="9" t="n">
        <x:v>0</x:v>
      </x:c>
    </x:row>
    <x:row r="29">
      <x:c r="A29" s="9" t="str">
        <x:v>25</x:v>
      </x:c>
      <x:c r="B29" s="9" t="str">
        <x:v>ความสามารถ</x:v>
      </x:c>
      <x:c r="C29" s="9" t="str">
        <x:v>R</x:v>
      </x:c>
      <x:c r="D29" s="9" t="str">
        <x:v>ใช้เครื่องมือหรืออุปกรณ์ได้อย่างคล่องแคล่ว</x:v>
      </x:c>
      <x:c r="E29" s="9" t="n">
        <x:v>1</x:v>
      </x:c>
      <x:c r="F29" s="9" t="n">
        <x:v>0</x:v>
      </x:c>
    </x:row>
    <x:row r="30">
      <x:c r="A30" s="9" t="str">
        <x:v>26</x:v>
      </x:c>
      <x:c r="B30" s="9" t="str">
        <x:v>ความสามารถ</x:v>
      </x:c>
      <x:c r="C30" s="9" t="str">
        <x:v>I</x:v>
      </x:c>
      <x:c r="D30" s="9" t="str">
        <x:v>วิเคราะห์โจทย์ที่มีเหตุผลหลายขั้นตอน</x:v>
      </x:c>
      <x:c r="E30" s="9" t="n">
        <x:v>1</x:v>
      </x:c>
      <x:c r="F30" s="9" t="n">
        <x:v>0</x:v>
      </x:c>
    </x:row>
    <x:row r="31">
      <x:c r="A31" s="9" t="str">
        <x:v>27</x:v>
      </x:c>
      <x:c r="B31" s="9" t="str">
        <x:v>ความสามารถ</x:v>
      </x:c>
      <x:c r="C31" s="9" t="str">
        <x:v>A</x:v>
      </x:c>
      <x:c r="D31" s="9" t="str">
        <x:v>คิดไอเดียหรือวิธีนำเสนอแปลกใหม่</x:v>
      </x:c>
      <x:c r="E31" s="9" t="n">
        <x:v>1</x:v>
      </x:c>
      <x:c r="F31" s="9" t="n">
        <x:v>0</x:v>
      </x:c>
    </x:row>
    <x:row r="32">
      <x:c r="A32" s="9" t="str">
        <x:v>28</x:v>
      </x:c>
      <x:c r="B32" s="9" t="str">
        <x:v>ความสามารถ</x:v>
      </x:c>
      <x:c r="C32" s="9" t="str">
        <x:v>S</x:v>
      </x:c>
      <x:c r="D32" s="9" t="str">
        <x:v>รับฟังความรู้สึกและสื่อสารกับคนอื่น</x:v>
      </x:c>
      <x:c r="E32" s="9" t="n">
        <x:v>1</x:v>
      </x:c>
      <x:c r="F32" s="9" t="n">
        <x:v>0</x:v>
      </x:c>
    </x:row>
    <x:row r="33">
      <x:c r="A33" s="9" t="str">
        <x:v>29</x:v>
      </x:c>
      <x:c r="B33" s="9" t="str">
        <x:v>ความสามารถ</x:v>
      </x:c>
      <x:c r="C33" s="9" t="str">
        <x:v>E</x:v>
      </x:c>
      <x:c r="D33" s="9" t="str">
        <x:v>วางเป้าหมายและพาคนอื่นทำงานให้สำเร็จ</x:v>
      </x:c>
      <x:c r="E33" s="9" t="n">
        <x:v>1</x:v>
      </x:c>
      <x:c r="F33" s="9" t="n">
        <x:v>0</x:v>
      </x:c>
    </x:row>
    <x:row r="34">
      <x:c r="A34" s="9" t="str">
        <x:v>30</x:v>
      </x:c>
      <x:c r="B34" s="9" t="str">
        <x:v>ความสามารถ</x:v>
      </x:c>
      <x:c r="C34" s="9" t="str">
        <x:v>C</x:v>
      </x:c>
      <x:c r="D34" s="9" t="str">
        <x:v>ตรวจรายละเอียด ตัวเลข หรือเอกสารได้รอบคอบ</x:v>
      </x:c>
      <x:c r="E34" s="9" t="n">
        <x:v>1</x:v>
      </x:c>
      <x:c r="F34" s="9" t="n">
        <x:v>0</x:v>
      </x:c>
    </x:row>
    <x:row r="35">
      <x:c r="A35" s="9" t="str">
        <x:v>31</x:v>
      </x:c>
      <x:c r="B35" s="9" t="str">
        <x:v>อาชีพ</x:v>
      </x:c>
      <x:c r="C35" s="9" t="str">
        <x:v>R</x:v>
      </x:c>
      <x:c r="D35" s="9" t="str">
        <x:v>สนใจอาชีพที่ได้ทำงานกับเครื่องมือ เทคโนโลยี หรือภาคสนาม</x:v>
      </x:c>
      <x:c r="E35" s="9" t="n">
        <x:v>1</x:v>
      </x:c>
      <x:c r="F35" s="9" t="n">
        <x:v>0</x:v>
      </x:c>
    </x:row>
    <x:row r="36">
      <x:c r="A36" s="9" t="str">
        <x:v>32</x:v>
      </x:c>
      <x:c r="B36" s="9" t="str">
        <x:v>อาชีพ</x:v>
      </x:c>
      <x:c r="C36" s="9" t="str">
        <x:v>I</x:v>
      </x:c>
      <x:c r="D36" s="9" t="str">
        <x:v>สนใจอาชีพนักวิทยาศาสตร์ นักวิจัย หรือผู้เชี่ยวชาญ</x:v>
      </x:c>
      <x:c r="E36" s="9" t="n">
        <x:v>1</x:v>
      </x:c>
      <x:c r="F36" s="9" t="n">
        <x:v>0</x:v>
      </x:c>
    </x:row>
    <x:row r="37">
      <x:c r="A37" s="9" t="str">
        <x:v>33</x:v>
      </x:c>
      <x:c r="B37" s="9" t="str">
        <x:v>อาชีพ</x:v>
      </x:c>
      <x:c r="C37" s="9" t="str">
        <x:v>A</x:v>
      </x:c>
      <x:c r="D37" s="9" t="str">
        <x:v>สนใจอาชีพนักออกแบบ นักเขียน หรือผู้สร้างสื่อ</x:v>
      </x:c>
      <x:c r="E37" s="9" t="n">
        <x:v>1</x:v>
      </x:c>
      <x:c r="F37" s="9" t="n">
        <x:v>0</x:v>
      </x:c>
    </x:row>
    <x:row r="38">
      <x:c r="A38" s="9" t="str">
        <x:v>34</x:v>
      </x:c>
      <x:c r="B38" s="9" t="str">
        <x:v>อาชีพ</x:v>
      </x:c>
      <x:c r="C38" s="9" t="str">
        <x:v>S</x:v>
      </x:c>
      <x:c r="D38" s="9" t="str">
        <x:v>สนใจอาชีพครู บุคลากรสุขภาพ หรือผู้ให้คำปรึกษา</x:v>
      </x:c>
      <x:c r="E38" s="9" t="n">
        <x:v>1</x:v>
      </x:c>
      <x:c r="F38" s="9" t="n">
        <x:v>0</x:v>
      </x:c>
    </x:row>
    <x:row r="39">
      <x:c r="A39" s="9" t="str">
        <x:v>35</x:v>
      </x:c>
      <x:c r="B39" s="9" t="str">
        <x:v>อาชีพ</x:v>
      </x:c>
      <x:c r="C39" s="9" t="str">
        <x:v>E</x:v>
      </x:c>
      <x:c r="D39" s="9" t="str">
        <x:v>สนใจอาชีพนักธุรกิจ นักการตลาด หรือผู้นำโครงการ</x:v>
      </x:c>
      <x:c r="E39" s="9" t="n">
        <x:v>1</x:v>
      </x:c>
      <x:c r="F39" s="9" t="n">
        <x:v>0</x:v>
      </x:c>
    </x:row>
    <x:row r="40">
      <x:c r="A40" s="9" t="str">
        <x:v>36</x:v>
      </x:c>
      <x:c r="B40" s="9" t="str">
        <x:v>อาชีพ</x:v>
      </x:c>
      <x:c r="C40" s="9" t="str">
        <x:v>C</x:v>
      </x:c>
      <x:c r="D40" s="9" t="str">
        <x:v>สนใจอาชีพบัญชี การเงิน ธุรการ หรือวางระบบข้อมูล</x:v>
      </x:c>
      <x:c r="E40" s="9" t="n">
        <x:v>1</x:v>
      </x:c>
      <x:c r="F40" s="9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38" hidden="0" customWidth="1"/>
    <x:col min="5" max="5" width="28" hidden="0" customWidth="1"/>
  </x:cols>
  <x:sheetData>
    <x:row r="1">
      <x:c r="A1" s="4" t="str">
        <x:v>อาชีพและคณะ</x:v>
      </x:c>
      <x:c r="B1" s="4"/>
      <x:c r="C1" s="4"/>
      <x:c r="D1" s="4"/>
      <x:c r="E1" s="4"/>
    </x:row>
    <x:row r="2">
      <x:c r="A2" s="5" t="str">
        <x:v>ตารางอ้างอิงสำหรับหน้า Career Explorer ใน Glide</x:v>
      </x:c>
    </x:row>
    <x:row r="4">
      <x:c r="A4" s="23" t="str">
        <x:v>อาชีพ</x:v>
      </x:c>
      <x:c r="B4" s="24" t="str">
        <x:v>รหัส RIASEC</x:v>
      </x:c>
      <x:c r="C4" s="24" t="str">
        <x:v>ภาพรวมงาน</x:v>
      </x:c>
      <x:c r="D4" s="24" t="str">
        <x:v>คณะ/สาขาในไทย</x:v>
      </x:c>
      <x:c r="E4" s="25" t="str">
        <x:v>ลิงก์ค้นหาหลักสูตร</x:v>
      </x:c>
    </x:row>
    <x:row r="5">
      <x:c r="A5" s="9" t="str">
        <x:v>วิศวกรหุ่นยนต์</x:v>
      </x:c>
      <x:c r="B5" s="9" t="str">
        <x:v>RI</x:v>
      </x:c>
      <x:c r="C5" s="9" t="str">
        <x:v>ออกแบบระบบอัตโนมัติ</x:v>
      </x:c>
      <x:c r="D5" s="9" t="str">
        <x:v>วิศวกรรมเมคคาทรอนิกส์ / หุ่นยนต์</x:v>
      </x:c>
      <x:c r="E5" s="9" t="str">
        <x:v>https://course.mytcas.com/</x:v>
      </x:c>
    </x:row>
    <x:row r="6">
      <x:c r="A6" s="9" t="str">
        <x:v>นักพัฒนาซอฟต์แวร์</x:v>
      </x:c>
      <x:c r="B6" s="9" t="str">
        <x:v>IC</x:v>
      </x:c>
      <x:c r="C6" s="9" t="str">
        <x:v>สร้างระบบและแอป</x:v>
      </x:c>
      <x:c r="D6" s="9" t="str">
        <x:v>วิทยาการคอมพิวเตอร์ / IT</x:v>
      </x:c>
      <x:c r="E6" s="9" t="str">
        <x:v>https://course.mytcas.com/</x:v>
      </x:c>
    </x:row>
    <x:row r="7">
      <x:c r="A7" s="9" t="str">
        <x:v>นักวิเคราะห์ข้อมูล</x:v>
      </x:c>
      <x:c r="B7" s="9" t="str">
        <x:v>IC</x:v>
      </x:c>
      <x:c r="C7" s="9" t="str">
        <x:v>แปลข้อมูลเป็นข้อค้นพบ</x:v>
      </x:c>
      <x:c r="D7" s="9" t="str">
        <x:v>สถิติ / Data Science</x:v>
      </x:c>
      <x:c r="E7" s="9" t="str">
        <x:v>https://course.mytcas.com/</x:v>
      </x:c>
    </x:row>
    <x:row r="8">
      <x:c r="A8" s="9" t="str">
        <x:v>นักออกแบบ UX/UI</x:v>
      </x:c>
      <x:c r="B8" s="9" t="str">
        <x:v>AI</x:v>
      </x:c>
      <x:c r="C8" s="9" t="str">
        <x:v>ออกแบบประสบการณ์ดิจิทัล</x:v>
      </x:c>
      <x:c r="D8" s="9" t="str">
        <x:v>ออกแบบนิเทศศิลป์ / IT</x:v>
      </x:c>
      <x:c r="E8" s="9" t="str">
        <x:v>https://course.mytcas.com/</x:v>
      </x:c>
    </x:row>
    <x:row r="9">
      <x:c r="A9" s="9" t="str">
        <x:v>ครู</x:v>
      </x:c>
      <x:c r="B9" s="9" t="str">
        <x:v>SA</x:v>
      </x:c>
      <x:c r="C9" s="9" t="str">
        <x:v>ออกแบบการเรียนรู้</x:v>
      </x:c>
      <x:c r="D9" s="9" t="str">
        <x:v>ครุศาสตร์ / ศึกษาศาสตร์</x:v>
      </x:c>
      <x:c r="E9" s="9" t="str">
        <x:v>https://course.mytcas.com/</x:v>
      </x:c>
    </x:row>
    <x:row r="10">
      <x:c r="A10" s="9" t="str">
        <x:v>นักจิตวิทยา</x:v>
      </x:c>
      <x:c r="B10" s="9" t="str">
        <x:v>SI</x:v>
      </x:c>
      <x:c r="C10" s="9" t="str">
        <x:v>ส่งเสริมสุขภาวะทางใจ</x:v>
      </x:c>
      <x:c r="D10" s="9" t="str">
        <x:v>จิตวิทยา</x:v>
      </x:c>
      <x:c r="E10" s="9" t="str">
        <x:v>https://course.mytcas.com/</x:v>
      </x:c>
    </x:row>
    <x:row r="11">
      <x:c r="A11" s="9" t="str">
        <x:v>พยาบาลวิชาชีพ</x:v>
      </x:c>
      <x:c r="B11" s="9" t="str">
        <x:v>SI</x:v>
      </x:c>
      <x:c r="C11" s="9" t="str">
        <x:v>ดูแลสุขภาพด้วยความรู้และหัวใจ</x:v>
      </x:c>
      <x:c r="D11" s="9" t="str">
        <x:v>พยาบาลศาสตร์</x:v>
      </x:c>
      <x:c r="E11" s="9" t="str">
        <x:v>https://course.mytcas.com/</x:v>
      </x:c>
    </x:row>
    <x:row r="12">
      <x:c r="A12" s="9" t="str">
        <x:v>ผู้ประกอบการ</x:v>
      </x:c>
      <x:c r="B12" s="9" t="str">
        <x:v>ER</x:v>
      </x:c>
      <x:c r="C12" s="9" t="str">
        <x:v>เปลี่ยนปัญหาเป็นโอกาส</x:v>
      </x:c>
      <x:c r="D12" s="9" t="str">
        <x:v>บริหารธุรกิจ / ผู้ประกอบการ</x:v>
      </x:c>
      <x:c r="E12" s="9" t="str">
        <x:v>https://course.mytcas.com/</x:v>
      </x:c>
    </x:row>
    <x:row r="13">
      <x:c r="A13" s="9" t="str">
        <x:v>นักการตลาดดิจิทัล</x:v>
      </x:c>
      <x:c r="B13" s="9" t="str">
        <x:v>EA</x:v>
      </x:c>
      <x:c r="C13" s="9" t="str">
        <x:v>เข้าใจลูกค้าและแบรนด์</x:v>
      </x:c>
      <x:c r="D13" s="9" t="str">
        <x:v>การตลาด / นิเทศศาสตร์</x:v>
      </x:c>
      <x:c r="E13" s="9" t="str">
        <x:v>https://course.mytcas.com/</x:v>
      </x:c>
    </x:row>
    <x:row r="14">
      <x:c r="A14" s="9" t="str">
        <x:v>นักบัญชี</x:v>
      </x:c>
      <x:c r="B14" s="9" t="str">
        <x:v>CE</x:v>
      </x:c>
      <x:c r="C14" s="9" t="str">
        <x:v>จัดการข้อมูลการเงิน</x:v>
      </x:c>
      <x:c r="D14" s="9" t="str">
        <x:v>บัญชี</x:v>
      </x:c>
      <x:c r="E14" s="9" t="str">
        <x:v>https://course.mytcas.com/</x:v>
      </x:c>
    </x:row>
    <x:row r="15">
      <x:c r="A15" s="9" t="str">
        <x:v>นักโลจิสติกส์</x:v>
      </x:c>
      <x:c r="B15" s="9" t="str">
        <x:v>CR</x:v>
      </x:c>
      <x:c r="C15" s="9" t="str">
        <x:v>จัดระบบการเคลื่อนย้ายสินค้า</x:v>
      </x:c>
      <x:c r="D15" s="9" t="str">
        <x:v>โลจิสติกส์ / วิศวกรรมอุตสาหการ</x:v>
      </x:c>
      <x:c r="E15" s="9" t="str">
        <x:v>https://course.mytcas.com/</x:v>
      </x:c>
    </x:row>
    <x:row r="16">
      <x:c r="A16" s="9" t="str">
        <x:v>เกษตรกรอัจฉริยะ</x:v>
      </x:c>
      <x:c r="B16" s="9" t="str">
        <x:v>RI</x:v>
      </x:c>
      <x:c r="C16" s="9" t="str">
        <x:v>ใช้ข้อมูลยกระดับการเกษตร</x:v>
      </x:c>
      <x:c r="D16" s="9" t="str">
        <x:v>เกษตรศาสตร์ / เกษตรดิจิทัล</x:v>
      </x:c>
      <x:c r="E16" s="9" t="str">
        <x:v>https://course.mytcas.com/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42" hidden="0" customWidth="1"/>
    <x:col min="4" max="4" width="50" hidden="0" customWidth="1"/>
    <x:col min="5" max="5" width="32" hidden="0" customWidth="1"/>
  </x:cols>
  <x:sheetData>
    <x:row r="1">
      <x:c r="A1" s="4" t="str">
        <x:v>มหาวิทยาลัย 5 ตัวเลือกต่อสาขา</x:v>
      </x:c>
      <x:c r="B1" s="4"/>
      <x:c r="C1" s="4"/>
      <x:c r="D1" s="4"/>
      <x:c r="E1" s="4"/>
    </x:row>
    <x:row r="2">
      <x:c r="A2" s="5" t="str">
        <x:v>รายการแนะนำเพื่อเริ่มค้นหา ไม่ใช่อันดับทางการ; ตรวจสอบหลักสูตรและรอบ TCAS ปัจจุบันจาก MyTCAS ก่อนตัดสินใจ</x:v>
      </x:c>
    </x:row>
    <x:row r="4">
      <x:c r="A4" s="23" t="str">
        <x:v>สาขา/หลักสูตร</x:v>
      </x:c>
      <x:c r="B4" s="24" t="str">
        <x:v>ลำดับแนะนำ</x:v>
      </x:c>
      <x:c r="C4" s="24" t="str">
        <x:v>มหาวิทยาลัย</x:v>
      </x:c>
      <x:c r="D4" s="24" t="str">
        <x:v>คำแนะนำก่อนสมัคร</x:v>
      </x:c>
      <x:c r="E4" s="25" t="str">
        <x:v>ลิงก์ค้นหาหลักสูตร</x:v>
      </x:c>
    </x:row>
    <x:row r="5">
      <x:c r="A5" s="9" t="str">
        <x:v>วิศวกรรมเมคคาทรอนิกส์ / หุ่นยนต์</x:v>
      </x:c>
      <x:c r="B5" s="9" t="n">
        <x:v>1</x:v>
      </x:c>
      <x:c r="C5" s="9" t="str">
        <x:v>จุฬาลงกรณ์มหาวิทยาลัย</x:v>
      </x:c>
      <x:c r="D5" s="9" t="str">
        <x:v>ตรวจสอบชื่อคณะ/หลักสูตรและรอบรับสมัครล่าสุดใน MyTCAS</x:v>
      </x:c>
      <x:c r="E5" s="9" t="str">
        <x:v>https://course.mytcas.com/</x:v>
      </x:c>
    </x:row>
    <x:row r="6">
      <x:c r="A6" s="9" t="str">
        <x:v>วิศวกรรมเมคคาทรอนิกส์ / หุ่นยนต์</x:v>
      </x:c>
      <x:c r="B6" s="9" t="n">
        <x:v>2</x:v>
      </x:c>
      <x:c r="C6" s="9" t="str">
        <x:v>มหาวิทยาลัยเทคโนโลยีพระจอมเกล้าธนบุรี</x:v>
      </x:c>
      <x:c r="D6" s="9" t="str">
        <x:v>ตรวจสอบชื่อคณะ/หลักสูตรและรอบรับสมัครล่าสุดใน MyTCAS</x:v>
      </x:c>
      <x:c r="E6" s="9" t="str">
        <x:v>https://course.mytcas.com/</x:v>
      </x:c>
    </x:row>
    <x:row r="7">
      <x:c r="A7" s="9" t="str">
        <x:v>วิศวกรรมเมคคาทรอนิกส์ / หุ่นยนต์</x:v>
      </x:c>
      <x:c r="B7" s="9" t="n">
        <x:v>3</x:v>
      </x:c>
      <x:c r="C7" s="9" t="str">
        <x:v>สถาบันเทคโนโลยีพระจอมเกล้าเจ้าคุณทหารลาดกระบัง</x:v>
      </x:c>
      <x:c r="D7" s="9" t="str">
        <x:v>ตรวจสอบชื่อคณะ/หลักสูตรและรอบรับสมัครล่าสุดใน MyTCAS</x:v>
      </x:c>
      <x:c r="E7" s="9" t="str">
        <x:v>https://course.mytcas.com/</x:v>
      </x:c>
    </x:row>
    <x:row r="8">
      <x:c r="A8" s="9" t="str">
        <x:v>วิศวกรรมเมคคาทรอนิกส์ / หุ่นยนต์</x:v>
      </x:c>
      <x:c r="B8" s="9" t="n">
        <x:v>4</x:v>
      </x:c>
      <x:c r="C8" s="9" t="str">
        <x:v>มหาวิทยาลัยเกษตรศาสตร์</x:v>
      </x:c>
      <x:c r="D8" s="9" t="str">
        <x:v>ตรวจสอบชื่อคณะ/หลักสูตรและรอบรับสมัครล่าสุดใน MyTCAS</x:v>
      </x:c>
      <x:c r="E8" s="9" t="str">
        <x:v>https://course.mytcas.com/</x:v>
      </x:c>
    </x:row>
    <x:row r="9">
      <x:c r="A9" s="9" t="str">
        <x:v>วิศวกรรมเมคคาทรอนิกส์ / หุ่นยนต์</x:v>
      </x:c>
      <x:c r="B9" s="9" t="n">
        <x:v>5</x:v>
      </x:c>
      <x:c r="C9" s="9" t="str">
        <x:v>มหาวิทยาลัยเทคโนโลยีสุรนารี</x:v>
      </x:c>
      <x:c r="D9" s="9" t="str">
        <x:v>ตรวจสอบชื่อคณะ/หลักสูตรและรอบรับสมัครล่าสุดใน MyTCAS</x:v>
      </x:c>
      <x:c r="E9" s="9" t="str">
        <x:v>https://course.mytcas.com/</x:v>
      </x:c>
    </x:row>
    <x:row r="10">
      <x:c r="A10" s="9" t="str">
        <x:v>วิทยาการคอมพิวเตอร์ / IT</x:v>
      </x:c>
      <x:c r="B10" s="9" t="n">
        <x:v>1</x:v>
      </x:c>
      <x:c r="C10" s="9" t="str">
        <x:v>จุฬาลงกรณ์มหาวิทยาลัย</x:v>
      </x:c>
      <x:c r="D10" s="9" t="str">
        <x:v>ตรวจสอบชื่อคณะ/หลักสูตรและรอบรับสมัครล่าสุดใน MyTCAS</x:v>
      </x:c>
      <x:c r="E10" s="9" t="str">
        <x:v>https://course.mytcas.com/</x:v>
      </x:c>
    </x:row>
    <x:row r="11">
      <x:c r="A11" s="9" t="str">
        <x:v>วิทยาการคอมพิวเตอร์ / IT</x:v>
      </x:c>
      <x:c r="B11" s="9" t="n">
        <x:v>2</x:v>
      </x:c>
      <x:c r="C11" s="9" t="str">
        <x:v>มหาวิทยาลัยเทคโนโลยีพระจอมเกล้าธนบุรี</x:v>
      </x:c>
      <x:c r="D11" s="9" t="str">
        <x:v>ตรวจสอบชื่อคณะ/หลักสูตรและรอบรับสมัครล่าสุดใน MyTCAS</x:v>
      </x:c>
      <x:c r="E11" s="9" t="str">
        <x:v>https://course.mytcas.com/</x:v>
      </x:c>
    </x:row>
    <x:row r="12">
      <x:c r="A12" s="9" t="str">
        <x:v>วิทยาการคอมพิวเตอร์ / IT</x:v>
      </x:c>
      <x:c r="B12" s="9" t="n">
        <x:v>3</x:v>
      </x:c>
      <x:c r="C12" s="9" t="str">
        <x:v>สถาบันเทคโนโลยีพระจอมเกล้าเจ้าคุณทหารลาดกระบัง</x:v>
      </x:c>
      <x:c r="D12" s="9" t="str">
        <x:v>ตรวจสอบชื่อคณะ/หลักสูตรและรอบรับสมัครล่าสุดใน MyTCAS</x:v>
      </x:c>
      <x:c r="E12" s="9" t="str">
        <x:v>https://course.mytcas.com/</x:v>
      </x:c>
    </x:row>
    <x:row r="13">
      <x:c r="A13" s="9" t="str">
        <x:v>วิทยาการคอมพิวเตอร์ / IT</x:v>
      </x:c>
      <x:c r="B13" s="9" t="n">
        <x:v>4</x:v>
      </x:c>
      <x:c r="C13" s="9" t="str">
        <x:v>มหาวิทยาลัยเกษตรศาสตร์</x:v>
      </x:c>
      <x:c r="D13" s="9" t="str">
        <x:v>ตรวจสอบชื่อคณะ/หลักสูตรและรอบรับสมัครล่าสุดใน MyTCAS</x:v>
      </x:c>
      <x:c r="E13" s="9" t="str">
        <x:v>https://course.mytcas.com/</x:v>
      </x:c>
    </x:row>
    <x:row r="14">
      <x:c r="A14" s="9" t="str">
        <x:v>วิทยาการคอมพิวเตอร์ / IT</x:v>
      </x:c>
      <x:c r="B14" s="9" t="n">
        <x:v>5</x:v>
      </x:c>
      <x:c r="C14" s="9" t="str">
        <x:v>มหาวิทยาลัยมหิดล</x:v>
      </x:c>
      <x:c r="D14" s="9" t="str">
        <x:v>ตรวจสอบชื่อคณะ/หลักสูตรและรอบรับสมัครล่าสุดใน MyTCAS</x:v>
      </x:c>
      <x:c r="E14" s="9" t="str">
        <x:v>https://course.mytcas.com/</x:v>
      </x:c>
    </x:row>
    <x:row r="15">
      <x:c r="A15" s="9" t="str">
        <x:v>สถิติ / Data Science</x:v>
      </x:c>
      <x:c r="B15" s="9" t="n">
        <x:v>1</x:v>
      </x:c>
      <x:c r="C15" s="9" t="str">
        <x:v>จุฬาลงกรณ์มหาวิทยาลัย</x:v>
      </x:c>
      <x:c r="D15" s="9" t="str">
        <x:v>ตรวจสอบชื่อคณะ/หลักสูตรและรอบรับสมัครล่าสุดใน MyTCAS</x:v>
      </x:c>
      <x:c r="E15" s="9" t="str">
        <x:v>https://course.mytcas.com/</x:v>
      </x:c>
    </x:row>
    <x:row r="16">
      <x:c r="A16" s="9" t="str">
        <x:v>สถิติ / Data Science</x:v>
      </x:c>
      <x:c r="B16" s="9" t="n">
        <x:v>2</x:v>
      </x:c>
      <x:c r="C16" s="9" t="str">
        <x:v>มหาวิทยาลัยธรรมศาสตร์</x:v>
      </x:c>
      <x:c r="D16" s="9" t="str">
        <x:v>ตรวจสอบชื่อคณะ/หลักสูตรและรอบรับสมัครล่าสุดใน MyTCAS</x:v>
      </x:c>
      <x:c r="E16" s="9" t="str">
        <x:v>https://course.mytcas.com/</x:v>
      </x:c>
    </x:row>
    <x:row r="17">
      <x:c r="A17" s="9" t="str">
        <x:v>สถิติ / Data Science</x:v>
      </x:c>
      <x:c r="B17" s="9" t="n">
        <x:v>3</x:v>
      </x:c>
      <x:c r="C17" s="9" t="str">
        <x:v>มหาวิทยาลัยมหิดล</x:v>
      </x:c>
      <x:c r="D17" s="9" t="str">
        <x:v>ตรวจสอบชื่อคณะ/หลักสูตรและรอบรับสมัครล่าสุดใน MyTCAS</x:v>
      </x:c>
      <x:c r="E17" s="9" t="str">
        <x:v>https://course.mytcas.com/</x:v>
      </x:c>
    </x:row>
    <x:row r="18">
      <x:c r="A18" s="9" t="str">
        <x:v>สถิติ / Data Science</x:v>
      </x:c>
      <x:c r="B18" s="9" t="n">
        <x:v>4</x:v>
      </x:c>
      <x:c r="C18" s="9" t="str">
        <x:v>มหาวิทยาลัยเกษตรศาสตร์</x:v>
      </x:c>
      <x:c r="D18" s="9" t="str">
        <x:v>ตรวจสอบชื่อคณะ/หลักสูตรและรอบรับสมัครล่าสุดใน MyTCAS</x:v>
      </x:c>
      <x:c r="E18" s="9" t="str">
        <x:v>https://course.mytcas.com/</x:v>
      </x:c>
    </x:row>
    <x:row r="19">
      <x:c r="A19" s="9" t="str">
        <x:v>สถิติ / Data Science</x:v>
      </x:c>
      <x:c r="B19" s="9" t="n">
        <x:v>5</x:v>
      </x:c>
      <x:c r="C19" s="9" t="str">
        <x:v>มหาวิทยาลัยเชียงใหม่</x:v>
      </x:c>
      <x:c r="D19" s="9" t="str">
        <x:v>ตรวจสอบชื่อคณะ/หลักสูตรและรอบรับสมัครล่าสุดใน MyTCAS</x:v>
      </x:c>
      <x:c r="E19" s="9" t="str">
        <x:v>https://course.mytcas.com/</x:v>
      </x:c>
    </x:row>
    <x:row r="20">
      <x:c r="A20" s="9" t="str">
        <x:v>ออกแบบนิเทศศิลป์ / IT</x:v>
      </x:c>
      <x:c r="B20" s="9" t="n">
        <x:v>1</x:v>
      </x:c>
      <x:c r="C20" s="9" t="str">
        <x:v>จุฬาลงกรณ์มหาวิทยาลัย</x:v>
      </x:c>
      <x:c r="D20" s="9" t="str">
        <x:v>ตรวจสอบชื่อคณะ/หลักสูตรและรอบรับสมัครล่าสุดใน MyTCAS</x:v>
      </x:c>
      <x:c r="E20" s="9" t="str">
        <x:v>https://course.mytcas.com/</x:v>
      </x:c>
    </x:row>
    <x:row r="21">
      <x:c r="A21" s="9" t="str">
        <x:v>ออกแบบนิเทศศิลป์ / IT</x:v>
      </x:c>
      <x:c r="B21" s="9" t="n">
        <x:v>2</x:v>
      </x:c>
      <x:c r="C21" s="9" t="str">
        <x:v>มหาวิทยาลัยเทคโนโลยีพระจอมเกล้าธนบุรี</x:v>
      </x:c>
      <x:c r="D21" s="9" t="str">
        <x:v>ตรวจสอบชื่อคณะ/หลักสูตรและรอบรับสมัครล่าสุดใน MyTCAS</x:v>
      </x:c>
      <x:c r="E21" s="9" t="str">
        <x:v>https://course.mytcas.com/</x:v>
      </x:c>
    </x:row>
    <x:row r="22">
      <x:c r="A22" s="9" t="str">
        <x:v>ออกแบบนิเทศศิลป์ / IT</x:v>
      </x:c>
      <x:c r="B22" s="9" t="n">
        <x:v>3</x:v>
      </x:c>
      <x:c r="C22" s="9" t="str">
        <x:v>สถาบันเทคโนโลยีพระจอมเกล้าเจ้าคุณทหารลาดกระบัง</x:v>
      </x:c>
      <x:c r="D22" s="9" t="str">
        <x:v>ตรวจสอบชื่อคณะ/หลักสูตรและรอบรับสมัครล่าสุดใน MyTCAS</x:v>
      </x:c>
      <x:c r="E22" s="9" t="str">
        <x:v>https://course.mytcas.com/</x:v>
      </x:c>
    </x:row>
    <x:row r="23">
      <x:c r="A23" s="9" t="str">
        <x:v>ออกแบบนิเทศศิลป์ / IT</x:v>
      </x:c>
      <x:c r="B23" s="9" t="n">
        <x:v>4</x:v>
      </x:c>
      <x:c r="C23" s="9" t="str">
        <x:v>มหาวิทยาลัยศิลปากร</x:v>
      </x:c>
      <x:c r="D23" s="9" t="str">
        <x:v>ตรวจสอบชื่อคณะ/หลักสูตรและรอบรับสมัครล่าสุดใน MyTCAS</x:v>
      </x:c>
      <x:c r="E23" s="9" t="str">
        <x:v>https://course.mytcas.com/</x:v>
      </x:c>
    </x:row>
    <x:row r="24">
      <x:c r="A24" s="9" t="str">
        <x:v>ออกแบบนิเทศศิลป์ / IT</x:v>
      </x:c>
      <x:c r="B24" s="9" t="n">
        <x:v>5</x:v>
      </x:c>
      <x:c r="C24" s="9" t="str">
        <x:v>มหาวิทยาลัยกรุงเทพ</x:v>
      </x:c>
      <x:c r="D24" s="9" t="str">
        <x:v>ตรวจสอบชื่อคณะ/หลักสูตรและรอบรับสมัครล่าสุดใน MyTCAS</x:v>
      </x:c>
      <x:c r="E24" s="9" t="str">
        <x:v>https://course.mytcas.com/</x:v>
      </x:c>
    </x:row>
    <x:row r="25">
      <x:c r="A25" s="9" t="str">
        <x:v>ครุศาสตร์ / ศึกษาศาสตร์</x:v>
      </x:c>
      <x:c r="B25" s="9" t="n">
        <x:v>1</x:v>
      </x:c>
      <x:c r="C25" s="9" t="str">
        <x:v>จุฬาลงกรณ์มหาวิทยาลัย</x:v>
      </x:c>
      <x:c r="D25" s="9" t="str">
        <x:v>ตรวจสอบชื่อคณะ/หลักสูตรและรอบรับสมัครล่าสุดใน MyTCAS</x:v>
      </x:c>
      <x:c r="E25" s="9" t="str">
        <x:v>https://course.mytcas.com/</x:v>
      </x:c>
    </x:row>
    <x:row r="26">
      <x:c r="A26" s="9" t="str">
        <x:v>ครุศาสตร์ / ศึกษาศาสตร์</x:v>
      </x:c>
      <x:c r="B26" s="9" t="n">
        <x:v>2</x:v>
      </x:c>
      <x:c r="C26" s="9" t="str">
        <x:v>มหาวิทยาลัยเกษตรศาสตร์</x:v>
      </x:c>
      <x:c r="D26" s="9" t="str">
        <x:v>ตรวจสอบชื่อคณะ/หลักสูตรและรอบรับสมัครล่าสุดใน MyTCAS</x:v>
      </x:c>
      <x:c r="E26" s="9" t="str">
        <x:v>https://course.mytcas.com/</x:v>
      </x:c>
    </x:row>
    <x:row r="27">
      <x:c r="A27" s="9" t="str">
        <x:v>ครุศาสตร์ / ศึกษาศาสตร์</x:v>
      </x:c>
      <x:c r="B27" s="9" t="n">
        <x:v>3</x:v>
      </x:c>
      <x:c r="C27" s="9" t="str">
        <x:v>มหาวิทยาลัยเชียงใหม่</x:v>
      </x:c>
      <x:c r="D27" s="9" t="str">
        <x:v>ตรวจสอบชื่อคณะ/หลักสูตรและรอบรับสมัครล่าสุดใน MyTCAS</x:v>
      </x:c>
      <x:c r="E27" s="9" t="str">
        <x:v>https://course.mytcas.com/</x:v>
      </x:c>
    </x:row>
    <x:row r="28">
      <x:c r="A28" s="9" t="str">
        <x:v>ครุศาสตร์ / ศึกษาศาสตร์</x:v>
      </x:c>
      <x:c r="B28" s="9" t="n">
        <x:v>4</x:v>
      </x:c>
      <x:c r="C28" s="9" t="str">
        <x:v>มหาวิทยาลัยขอนแก่น</x:v>
      </x:c>
      <x:c r="D28" s="9" t="str">
        <x:v>ตรวจสอบชื่อคณะ/หลักสูตรและรอบรับสมัครล่าสุดใน MyTCAS</x:v>
      </x:c>
      <x:c r="E28" s="9" t="str">
        <x:v>https://course.mytcas.com/</x:v>
      </x:c>
    </x:row>
    <x:row r="29">
      <x:c r="A29" s="9" t="str">
        <x:v>ครุศาสตร์ / ศึกษาศาสตร์</x:v>
      </x:c>
      <x:c r="B29" s="9" t="n">
        <x:v>5</x:v>
      </x:c>
      <x:c r="C29" s="9" t="str">
        <x:v>มหาวิทยาลัยศรีนครินทรวิโรฒ</x:v>
      </x:c>
      <x:c r="D29" s="9" t="str">
        <x:v>ตรวจสอบชื่อคณะ/หลักสูตรและรอบรับสมัครล่าสุดใน MyTCAS</x:v>
      </x:c>
      <x:c r="E29" s="9" t="str">
        <x:v>https://course.mytcas.com/</x:v>
      </x:c>
    </x:row>
    <x:row r="30">
      <x:c r="A30" s="9" t="str">
        <x:v>จิตวิทยา</x:v>
      </x:c>
      <x:c r="B30" s="9" t="n">
        <x:v>1</x:v>
      </x:c>
      <x:c r="C30" s="9" t="str">
        <x:v>จุฬาลงกรณ์มหาวิทยาลัย</x:v>
      </x:c>
      <x:c r="D30" s="9" t="str">
        <x:v>ตรวจสอบชื่อคณะ/หลักสูตรและรอบรับสมัครล่าสุดใน MyTCAS</x:v>
      </x:c>
      <x:c r="E30" s="9" t="str">
        <x:v>https://course.mytcas.com/</x:v>
      </x:c>
    </x:row>
    <x:row r="31">
      <x:c r="A31" s="9" t="str">
        <x:v>จิตวิทยา</x:v>
      </x:c>
      <x:c r="B31" s="9" t="n">
        <x:v>2</x:v>
      </x:c>
      <x:c r="C31" s="9" t="str">
        <x:v>มหาวิทยาลัยธรรมศาสตร์</x:v>
      </x:c>
      <x:c r="D31" s="9" t="str">
        <x:v>ตรวจสอบชื่อคณะ/หลักสูตรและรอบรับสมัครล่าสุดใน MyTCAS</x:v>
      </x:c>
      <x:c r="E31" s="9" t="str">
        <x:v>https://course.mytcas.com/</x:v>
      </x:c>
    </x:row>
    <x:row r="32">
      <x:c r="A32" s="9" t="str">
        <x:v>จิตวิทยา</x:v>
      </x:c>
      <x:c r="B32" s="9" t="n">
        <x:v>3</x:v>
      </x:c>
      <x:c r="C32" s="9" t="str">
        <x:v>มหาวิทยาลัยเกษตรศาสตร์</x:v>
      </x:c>
      <x:c r="D32" s="9" t="str">
        <x:v>ตรวจสอบชื่อคณะ/หลักสูตรและรอบรับสมัครล่าสุดใน MyTCAS</x:v>
      </x:c>
      <x:c r="E32" s="9" t="str">
        <x:v>https://course.mytcas.com/</x:v>
      </x:c>
    </x:row>
    <x:row r="33">
      <x:c r="A33" s="9" t="str">
        <x:v>จิตวิทยา</x:v>
      </x:c>
      <x:c r="B33" s="9" t="n">
        <x:v>4</x:v>
      </x:c>
      <x:c r="C33" s="9" t="str">
        <x:v>มหาวิทยาลัยเชียงใหม่</x:v>
      </x:c>
      <x:c r="D33" s="9" t="str">
        <x:v>ตรวจสอบชื่อคณะ/หลักสูตรและรอบรับสมัครล่าสุดใน MyTCAS</x:v>
      </x:c>
      <x:c r="E33" s="9" t="str">
        <x:v>https://course.mytcas.com/</x:v>
      </x:c>
    </x:row>
    <x:row r="34">
      <x:c r="A34" s="9" t="str">
        <x:v>จิตวิทยา</x:v>
      </x:c>
      <x:c r="B34" s="9" t="n">
        <x:v>5</x:v>
      </x:c>
      <x:c r="C34" s="9" t="str">
        <x:v>มหาวิทยาลัยศรีนครินทรวิโรฒ</x:v>
      </x:c>
      <x:c r="D34" s="9" t="str">
        <x:v>ตรวจสอบชื่อคณะ/หลักสูตรและรอบรับสมัครล่าสุดใน MyTCAS</x:v>
      </x:c>
      <x:c r="E34" s="9" t="str">
        <x:v>https://course.mytcas.com/</x:v>
      </x:c>
    </x:row>
    <x:row r="35">
      <x:c r="A35" s="9" t="str">
        <x:v>พยาบาลศาสตร์</x:v>
      </x:c>
      <x:c r="B35" s="9" t="n">
        <x:v>1</x:v>
      </x:c>
      <x:c r="C35" s="9" t="str">
        <x:v>มหาวิทยาลัยมหิดล</x:v>
      </x:c>
      <x:c r="D35" s="9" t="str">
        <x:v>ตรวจสอบชื่อคณะ/หลักสูตรและรอบรับสมัครล่าสุดใน MyTCAS</x:v>
      </x:c>
      <x:c r="E35" s="9" t="str">
        <x:v>https://course.mytcas.com/</x:v>
      </x:c>
    </x:row>
    <x:row r="36">
      <x:c r="A36" s="9" t="str">
        <x:v>พยาบาลศาสตร์</x:v>
      </x:c>
      <x:c r="B36" s="9" t="n">
        <x:v>2</x:v>
      </x:c>
      <x:c r="C36" s="9" t="str">
        <x:v>จุฬาลงกรณ์มหาวิทยาลัย</x:v>
      </x:c>
      <x:c r="D36" s="9" t="str">
        <x:v>ตรวจสอบชื่อคณะ/หลักสูตรและรอบรับสมัครล่าสุดใน MyTCAS</x:v>
      </x:c>
      <x:c r="E36" s="9" t="str">
        <x:v>https://course.mytcas.com/</x:v>
      </x:c>
    </x:row>
    <x:row r="37">
      <x:c r="A37" s="9" t="str">
        <x:v>พยาบาลศาสตร์</x:v>
      </x:c>
      <x:c r="B37" s="9" t="n">
        <x:v>3</x:v>
      </x:c>
      <x:c r="C37" s="9" t="str">
        <x:v>มหาวิทยาลัยเชียงใหม่</x:v>
      </x:c>
      <x:c r="D37" s="9" t="str">
        <x:v>ตรวจสอบชื่อคณะ/หลักสูตรและรอบรับสมัครล่าสุดใน MyTCAS</x:v>
      </x:c>
      <x:c r="E37" s="9" t="str">
        <x:v>https://course.mytcas.com/</x:v>
      </x:c>
    </x:row>
    <x:row r="38">
      <x:c r="A38" s="9" t="str">
        <x:v>พยาบาลศาสตร์</x:v>
      </x:c>
      <x:c r="B38" s="9" t="n">
        <x:v>4</x:v>
      </x:c>
      <x:c r="C38" s="9" t="str">
        <x:v>มหาวิทยาลัยขอนแก่น</x:v>
      </x:c>
      <x:c r="D38" s="9" t="str">
        <x:v>ตรวจสอบชื่อคณะ/หลักสูตรและรอบรับสมัครล่าสุดใน MyTCAS</x:v>
      </x:c>
      <x:c r="E38" s="9" t="str">
        <x:v>https://course.mytcas.com/</x:v>
      </x:c>
    </x:row>
    <x:row r="39">
      <x:c r="A39" s="9" t="str">
        <x:v>พยาบาลศาสตร์</x:v>
      </x:c>
      <x:c r="B39" s="9" t="n">
        <x:v>5</x:v>
      </x:c>
      <x:c r="C39" s="9" t="str">
        <x:v>มหาวิทยาลัยสงขลานครินทร์</x:v>
      </x:c>
      <x:c r="D39" s="9" t="str">
        <x:v>ตรวจสอบชื่อคณะ/หลักสูตรและรอบรับสมัครล่าสุดใน MyTCAS</x:v>
      </x:c>
      <x:c r="E39" s="9" t="str">
        <x:v>https://course.mytcas.com/</x:v>
      </x:c>
    </x:row>
    <x:row r="40">
      <x:c r="A40" s="9" t="str">
        <x:v>บริหารธุรกิจ / ผู้ประกอบการ</x:v>
      </x:c>
      <x:c r="B40" s="9" t="n">
        <x:v>1</x:v>
      </x:c>
      <x:c r="C40" s="9" t="str">
        <x:v>จุฬาลงกรณ์มหาวิทยาลัย</x:v>
      </x:c>
      <x:c r="D40" s="9" t="str">
        <x:v>ตรวจสอบชื่อคณะ/หลักสูตรและรอบรับสมัครล่าสุดใน MyTCAS</x:v>
      </x:c>
      <x:c r="E40" s="9" t="str">
        <x:v>https://course.mytcas.com/</x:v>
      </x:c>
    </x:row>
    <x:row r="41">
      <x:c r="A41" s="9" t="str">
        <x:v>บริหารธุรกิจ / ผู้ประกอบการ</x:v>
      </x:c>
      <x:c r="B41" s="9" t="n">
        <x:v>2</x:v>
      </x:c>
      <x:c r="C41" s="9" t="str">
        <x:v>มหาวิทยาลัยธรรมศาสตร์</x:v>
      </x:c>
      <x:c r="D41" s="9" t="str">
        <x:v>ตรวจสอบชื่อคณะ/หลักสูตรและรอบรับสมัครล่าสุดใน MyTCAS</x:v>
      </x:c>
      <x:c r="E41" s="9" t="str">
        <x:v>https://course.mytcas.com/</x:v>
      </x:c>
    </x:row>
    <x:row r="42">
      <x:c r="A42" s="9" t="str">
        <x:v>บริหารธุรกิจ / ผู้ประกอบการ</x:v>
      </x:c>
      <x:c r="B42" s="9" t="n">
        <x:v>3</x:v>
      </x:c>
      <x:c r="C42" s="9" t="str">
        <x:v>มหาวิทยาลัยมหิดล</x:v>
      </x:c>
      <x:c r="D42" s="9" t="str">
        <x:v>ตรวจสอบชื่อคณะ/หลักสูตรและรอบรับสมัครล่าสุดใน MyTCAS</x:v>
      </x:c>
      <x:c r="E42" s="9" t="str">
        <x:v>https://course.mytcas.com/</x:v>
      </x:c>
    </x:row>
    <x:row r="43">
      <x:c r="A43" s="9" t="str">
        <x:v>บริหารธุรกิจ / ผู้ประกอบการ</x:v>
      </x:c>
      <x:c r="B43" s="9" t="n">
        <x:v>4</x:v>
      </x:c>
      <x:c r="C43" s="9" t="str">
        <x:v>มหาวิทยาลัยเกษตรศาสตร์</x:v>
      </x:c>
      <x:c r="D43" s="9" t="str">
        <x:v>ตรวจสอบชื่อคณะ/หลักสูตรและรอบรับสมัครล่าสุดใน MyTCAS</x:v>
      </x:c>
      <x:c r="E43" s="9" t="str">
        <x:v>https://course.mytcas.com/</x:v>
      </x:c>
    </x:row>
    <x:row r="44">
      <x:c r="A44" s="9" t="str">
        <x:v>บริหารธุรกิจ / ผู้ประกอบการ</x:v>
      </x:c>
      <x:c r="B44" s="9" t="n">
        <x:v>5</x:v>
      </x:c>
      <x:c r="C44" s="9" t="str">
        <x:v>มหาวิทยาลัยเชียงใหม่</x:v>
      </x:c>
      <x:c r="D44" s="9" t="str">
        <x:v>ตรวจสอบชื่อคณะ/หลักสูตรและรอบรับสมัครล่าสุดใน MyTCAS</x:v>
      </x:c>
      <x:c r="E44" s="9" t="str">
        <x:v>https://course.mytcas.com/</x:v>
      </x:c>
    </x:row>
    <x:row r="45">
      <x:c r="A45" s="9" t="str">
        <x:v>การตลาด / นิเทศศาสตร์</x:v>
      </x:c>
      <x:c r="B45" s="9" t="n">
        <x:v>1</x:v>
      </x:c>
      <x:c r="C45" s="9" t="str">
        <x:v>จุฬาลงกรณ์มหาวิทยาลัย</x:v>
      </x:c>
      <x:c r="D45" s="9" t="str">
        <x:v>ตรวจสอบชื่อคณะ/หลักสูตรและรอบรับสมัครล่าสุดใน MyTCAS</x:v>
      </x:c>
      <x:c r="E45" s="9" t="str">
        <x:v>https://course.mytcas.com/</x:v>
      </x:c>
    </x:row>
    <x:row r="46">
      <x:c r="A46" s="9" t="str">
        <x:v>การตลาด / นิเทศศาสตร์</x:v>
      </x:c>
      <x:c r="B46" s="9" t="n">
        <x:v>2</x:v>
      </x:c>
      <x:c r="C46" s="9" t="str">
        <x:v>มหาวิทยาลัยธรรมศาสตร์</x:v>
      </x:c>
      <x:c r="D46" s="9" t="str">
        <x:v>ตรวจสอบชื่อคณะ/หลักสูตรและรอบรับสมัครล่าสุดใน MyTCAS</x:v>
      </x:c>
      <x:c r="E46" s="9" t="str">
        <x:v>https://course.mytcas.com/</x:v>
      </x:c>
    </x:row>
    <x:row r="47">
      <x:c r="A47" s="9" t="str">
        <x:v>การตลาด / นิเทศศาสตร์</x:v>
      </x:c>
      <x:c r="B47" s="9" t="n">
        <x:v>3</x:v>
      </x:c>
      <x:c r="C47" s="9" t="str">
        <x:v>มหาวิทยาลัยมหิดล</x:v>
      </x:c>
      <x:c r="D47" s="9" t="str">
        <x:v>ตรวจสอบชื่อคณะ/หลักสูตรและรอบรับสมัครล่าสุดใน MyTCAS</x:v>
      </x:c>
      <x:c r="E47" s="9" t="str">
        <x:v>https://course.mytcas.com/</x:v>
      </x:c>
    </x:row>
    <x:row r="48">
      <x:c r="A48" s="9" t="str">
        <x:v>การตลาด / นิเทศศาสตร์</x:v>
      </x:c>
      <x:c r="B48" s="9" t="n">
        <x:v>4</x:v>
      </x:c>
      <x:c r="C48" s="9" t="str">
        <x:v>มหาวิทยาลัยเกษตรศาสตร์</x:v>
      </x:c>
      <x:c r="D48" s="9" t="str">
        <x:v>ตรวจสอบชื่อคณะ/หลักสูตรและรอบรับสมัครล่าสุดใน MyTCAS</x:v>
      </x:c>
      <x:c r="E48" s="9" t="str">
        <x:v>https://course.mytcas.com/</x:v>
      </x:c>
    </x:row>
    <x:row r="49">
      <x:c r="A49" s="9" t="str">
        <x:v>การตลาด / นิเทศศาสตร์</x:v>
      </x:c>
      <x:c r="B49" s="9" t="n">
        <x:v>5</x:v>
      </x:c>
      <x:c r="C49" s="9" t="str">
        <x:v>มหาวิทยาลัยเชียงใหม่</x:v>
      </x:c>
      <x:c r="D49" s="9" t="str">
        <x:v>ตรวจสอบชื่อคณะ/หลักสูตรและรอบรับสมัครล่าสุดใน MyTCAS</x:v>
      </x:c>
      <x:c r="E49" s="9" t="str">
        <x:v>https://course.mytcas.com/</x:v>
      </x:c>
    </x:row>
    <x:row r="50">
      <x:c r="A50" s="9" t="str">
        <x:v>บัญชี</x:v>
      </x:c>
      <x:c r="B50" s="9" t="n">
        <x:v>1</x:v>
      </x:c>
      <x:c r="C50" s="9" t="str">
        <x:v>จุฬาลงกรณ์มหาวิทยาลัย</x:v>
      </x:c>
      <x:c r="D50" s="9" t="str">
        <x:v>ตรวจสอบชื่อคณะ/หลักสูตรและรอบรับสมัครล่าสุดใน MyTCAS</x:v>
      </x:c>
      <x:c r="E50" s="9" t="str">
        <x:v>https://course.mytcas.com/</x:v>
      </x:c>
    </x:row>
    <x:row r="51">
      <x:c r="A51" s="9" t="str">
        <x:v>บัญชี</x:v>
      </x:c>
      <x:c r="B51" s="9" t="n">
        <x:v>2</x:v>
      </x:c>
      <x:c r="C51" s="9" t="str">
        <x:v>มหาวิทยาลัยธรรมศาสตร์</x:v>
      </x:c>
      <x:c r="D51" s="9" t="str">
        <x:v>ตรวจสอบชื่อคณะ/หลักสูตรและรอบรับสมัครล่าสุดใน MyTCAS</x:v>
      </x:c>
      <x:c r="E51" s="9" t="str">
        <x:v>https://course.mytcas.com/</x:v>
      </x:c>
    </x:row>
    <x:row r="52">
      <x:c r="A52" s="9" t="str">
        <x:v>บัญชี</x:v>
      </x:c>
      <x:c r="B52" s="9" t="n">
        <x:v>3</x:v>
      </x:c>
      <x:c r="C52" s="9" t="str">
        <x:v>มหาวิทยาลัยเกษตรศาสตร์</x:v>
      </x:c>
      <x:c r="D52" s="9" t="str">
        <x:v>ตรวจสอบชื่อคณะ/หลักสูตรและรอบรับสมัครล่าสุดใน MyTCAS</x:v>
      </x:c>
      <x:c r="E52" s="9" t="str">
        <x:v>https://course.mytcas.com/</x:v>
      </x:c>
    </x:row>
    <x:row r="53">
      <x:c r="A53" s="9" t="str">
        <x:v>บัญชี</x:v>
      </x:c>
      <x:c r="B53" s="9" t="n">
        <x:v>4</x:v>
      </x:c>
      <x:c r="C53" s="9" t="str">
        <x:v>มหาวิทยาลัยมหิดล</x:v>
      </x:c>
      <x:c r="D53" s="9" t="str">
        <x:v>ตรวจสอบชื่อคณะ/หลักสูตรและรอบรับสมัครล่าสุดใน MyTCAS</x:v>
      </x:c>
      <x:c r="E53" s="9" t="str">
        <x:v>https://course.mytcas.com/</x:v>
      </x:c>
    </x:row>
    <x:row r="54">
      <x:c r="A54" s="9" t="str">
        <x:v>บัญชี</x:v>
      </x:c>
      <x:c r="B54" s="9" t="n">
        <x:v>5</x:v>
      </x:c>
      <x:c r="C54" s="9" t="str">
        <x:v>มหาวิทยาลัยเชียงใหม่</x:v>
      </x:c>
      <x:c r="D54" s="9" t="str">
        <x:v>ตรวจสอบชื่อคณะ/หลักสูตรและรอบรับสมัครล่าสุดใน MyTCAS</x:v>
      </x:c>
      <x:c r="E54" s="9" t="str">
        <x:v>https://course.mytcas.com/</x:v>
      </x:c>
    </x:row>
    <x:row r="55">
      <x:c r="A55" s="9" t="str">
        <x:v>โลจิสติกส์ / วิศวกรรมอุตสาหการ</x:v>
      </x:c>
      <x:c r="B55" s="9" t="n">
        <x:v>1</x:v>
      </x:c>
      <x:c r="C55" s="9" t="str">
        <x:v>มหาวิทยาลัยบูรพา</x:v>
      </x:c>
      <x:c r="D55" s="9" t="str">
        <x:v>ตรวจสอบชื่อคณะ/หลักสูตรและรอบรับสมัครล่าสุดใน MyTCAS</x:v>
      </x:c>
      <x:c r="E55" s="9" t="str">
        <x:v>https://course.mytcas.com/</x:v>
      </x:c>
    </x:row>
    <x:row r="56">
      <x:c r="A56" s="9" t="str">
        <x:v>โลจิสติกส์ / วิศวกรรมอุตสาหการ</x:v>
      </x:c>
      <x:c r="B56" s="9" t="n">
        <x:v>2</x:v>
      </x:c>
      <x:c r="C56" s="9" t="str">
        <x:v>มหาวิทยาลัยเกษตรศาสตร์</x:v>
      </x:c>
      <x:c r="D56" s="9" t="str">
        <x:v>ตรวจสอบชื่อคณะ/หลักสูตรและรอบรับสมัครล่าสุดใน MyTCAS</x:v>
      </x:c>
      <x:c r="E56" s="9" t="str">
        <x:v>https://course.mytcas.com/</x:v>
      </x:c>
    </x:row>
    <x:row r="57">
      <x:c r="A57" s="9" t="str">
        <x:v>โลจิสติกส์ / วิศวกรรมอุตสาหการ</x:v>
      </x:c>
      <x:c r="B57" s="9" t="n">
        <x:v>3</x:v>
      </x:c>
      <x:c r="C57" s="9" t="str">
        <x:v>มหาวิทยาลัยเทคโนโลยีพระจอมเกล้าธนบุรี</x:v>
      </x:c>
      <x:c r="D57" s="9" t="str">
        <x:v>ตรวจสอบชื่อคณะ/หลักสูตรและรอบรับสมัครล่าสุดใน MyTCAS</x:v>
      </x:c>
      <x:c r="E57" s="9" t="str">
        <x:v>https://course.mytcas.com/</x:v>
      </x:c>
    </x:row>
    <x:row r="58">
      <x:c r="A58" s="9" t="str">
        <x:v>โลจิสติกส์ / วิศวกรรมอุตสาหการ</x:v>
      </x:c>
      <x:c r="B58" s="9" t="n">
        <x:v>4</x:v>
      </x:c>
      <x:c r="C58" s="9" t="str">
        <x:v>สถาบันเทคโนโลยีพระจอมเกล้าเจ้าคุณทหารลาดกระบัง</x:v>
      </x:c>
      <x:c r="D58" s="9" t="str">
        <x:v>ตรวจสอบชื่อคณะ/หลักสูตรและรอบรับสมัครล่าสุดใน MyTCAS</x:v>
      </x:c>
      <x:c r="E58" s="9" t="str">
        <x:v>https://course.mytcas.com/</x:v>
      </x:c>
    </x:row>
    <x:row r="59">
      <x:c r="A59" s="9" t="str">
        <x:v>โลจิสติกส์ / วิศวกรรมอุตสาหการ</x:v>
      </x:c>
      <x:c r="B59" s="9" t="n">
        <x:v>5</x:v>
      </x:c>
      <x:c r="C59" s="9" t="str">
        <x:v>มหาวิทยาลัยนเรศวร</x:v>
      </x:c>
      <x:c r="D59" s="9" t="str">
        <x:v>ตรวจสอบชื่อคณะ/หลักสูตรและรอบรับสมัครล่าสุดใน MyTCAS</x:v>
      </x:c>
      <x:c r="E59" s="9" t="str">
        <x:v>https://course.mytcas.com/</x:v>
      </x:c>
    </x:row>
    <x:row r="60">
      <x:c r="A60" s="9" t="str">
        <x:v>เกษตรศาสตร์ / เกษตรดิจิทัล</x:v>
      </x:c>
      <x:c r="B60" s="9" t="n">
        <x:v>1</x:v>
      </x:c>
      <x:c r="C60" s="9" t="str">
        <x:v>มหาวิทยาลัยเกษตรศาสตร์</x:v>
      </x:c>
      <x:c r="D60" s="9" t="str">
        <x:v>ตรวจสอบชื่อคณะ/หลักสูตรและรอบรับสมัครล่าสุดใน MyTCAS</x:v>
      </x:c>
      <x:c r="E60" s="9" t="str">
        <x:v>https://course.mytcas.com/</x:v>
      </x:c>
    </x:row>
    <x:row r="61">
      <x:c r="A61" s="9" t="str">
        <x:v>เกษตรศาสตร์ / เกษตรดิจิทัล</x:v>
      </x:c>
      <x:c r="B61" s="9" t="n">
        <x:v>2</x:v>
      </x:c>
      <x:c r="C61" s="9" t="str">
        <x:v>มหาวิทยาลัยแม่โจ้</x:v>
      </x:c>
      <x:c r="D61" s="9" t="str">
        <x:v>ตรวจสอบชื่อคณะ/หลักสูตรและรอบรับสมัครล่าสุดใน MyTCAS</x:v>
      </x:c>
      <x:c r="E61" s="9" t="str">
        <x:v>https://course.mytcas.com/</x:v>
      </x:c>
    </x:row>
    <x:row r="62">
      <x:c r="A62" s="9" t="str">
        <x:v>เกษตรศาสตร์ / เกษตรดิจิทัล</x:v>
      </x:c>
      <x:c r="B62" s="9" t="n">
        <x:v>3</x:v>
      </x:c>
      <x:c r="C62" s="9" t="str">
        <x:v>มหาวิทยาลัยขอนแก่น</x:v>
      </x:c>
      <x:c r="D62" s="9" t="str">
        <x:v>ตรวจสอบชื่อคณะ/หลักสูตรและรอบรับสมัครล่าสุดใน MyTCAS</x:v>
      </x:c>
      <x:c r="E62" s="9" t="str">
        <x:v>https://course.mytcas.com/</x:v>
      </x:c>
    </x:row>
    <x:row r="63">
      <x:c r="A63" s="9" t="str">
        <x:v>เกษตรศาสตร์ / เกษตรดิจิทัล</x:v>
      </x:c>
      <x:c r="B63" s="9" t="n">
        <x:v>4</x:v>
      </x:c>
      <x:c r="C63" s="9" t="str">
        <x:v>มหาวิทยาลัยเชียงใหม่</x:v>
      </x:c>
      <x:c r="D63" s="9" t="str">
        <x:v>ตรวจสอบชื่อคณะ/หลักสูตรและรอบรับสมัครล่าสุดใน MyTCAS</x:v>
      </x:c>
      <x:c r="E63" s="9" t="str">
        <x:v>https://course.mytcas.com/</x:v>
      </x:c>
    </x:row>
    <x:row r="64">
      <x:c r="A64" s="9" t="str">
        <x:v>เกษตรศาสตร์ / เกษตรดิจิทัล</x:v>
      </x:c>
      <x:c r="B64" s="9" t="n">
        <x:v>5</x:v>
      </x:c>
      <x:c r="C64" s="9" t="str">
        <x:v>มหาวิทยาลัยสงขลานครินทร์</x:v>
      </x:c>
      <x:c r="D64" s="9" t="str">
        <x:v>ตรวจสอบชื่อคณะ/หลักสูตรและรอบรับสมัครล่าสุดใน MyTCAS</x:v>
      </x:c>
      <x:c r="E64" s="9" t="str">
        <x:v>https://course.mytcas.com/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34" hidden="0" customWidth="1"/>
  </x:cols>
  <x:sheetData>
    <x:row r="1">
      <x:c r="A1" s="4" t="str">
        <x:v>ลิงก์ไทย</x:v>
      </x:c>
      <x:c r="B1" s="4"/>
      <x:c r="C1" s="4"/>
    </x:row>
    <x:row r="2">
      <x:c r="A2" s="5" t="str">
        <x:v>ใช้ในหน้าทรัพยากรและการศึกษาต่อของ Glide</x:v>
      </x:c>
    </x:row>
    <x:row r="4">
      <x:c r="A4" s="23" t="str">
        <x:v>แหล่งข้อมูล</x:v>
      </x:c>
      <x:c r="B4" s="24" t="str">
        <x:v>การใช้งาน</x:v>
      </x:c>
      <x:c r="C4" s="25" t="str">
        <x:v>URL</x:v>
      </x:c>
    </x:row>
    <x:row r="5">
      <x:c r="A5" s="9" t="str">
        <x:v>MyTCAS · ค้นหาหลักสูตร</x:v>
      </x:c>
      <x:c r="B5" s="9" t="str">
        <x:v>ค้นหาคณะ มหาวิทยาลัย และหลักสูตร</x:v>
      </x:c>
      <x:c r="C5" s="9" t="str">
        <x:v>https://course.mytcas.com/</x:v>
      </x:c>
    </x:row>
    <x:row r="6">
      <x:c r="A6" s="9" t="str">
        <x:v>MyTCAS · ระบบ TCAS</x:v>
      </x:c>
      <x:c r="B6" s="9" t="str">
        <x:v>ข้อมูลการรับสมัครระดับอุดมศึกษา</x:v>
      </x:c>
      <x:c r="C6" s="9" t="str">
        <x:v>https://www.mytcas.com/</x:v>
      </x:c>
    </x:row>
    <x:row r="7">
      <x:c r="A7" s="9" t="str">
        <x:v>กระทรวงแรงงาน</x:v>
      </x:c>
      <x:c r="B7" s="9" t="str">
        <x:v>ข่าวและข้อมูลด้านแรงงานไทย</x:v>
      </x:c>
      <x:c r="C7" s="9" t="str">
        <x:v>https://www.mol.go.th/</x:v>
      </x:c>
    </x:row>
    <x:row r="8">
      <x:c r="A8" s="9" t="str">
        <x:v>กรมการจัดหางาน</x:v>
      </x:c>
      <x:c r="B8" s="9" t="str">
        <x:v>บริการหางานและข้อมูลตลาดแรงงาน</x:v>
      </x:c>
      <x:c r="C8" s="9" t="str">
        <x:v>https://www.doe.go.th/</x:v>
      </x:c>
    </x:row>
    <x:row r="9">
      <x:c r="A9" s="9" t="str">
        <x:v>JobThai</x:v>
      </x:c>
      <x:c r="B9" s="9" t="str">
        <x:v>ค้นหางานและฝึกงานในไทย</x:v>
      </x:c>
      <x:c r="C9" s="9" t="str">
        <x:v>https://www.jobthai.com/</x:v>
      </x:c>
    </x:row>
    <x:row r="10">
      <x:c r="A10" s="9" t="str">
        <x:v>JobsDB Thailand</x:v>
      </x:c>
      <x:c r="B10" s="9" t="str">
        <x:v>งานและคำแนะนำอาชีพ</x:v>
      </x:c>
      <x:c r="C10" s="9" t="str">
        <x:v>https://th.jobsdb.com/</x:v>
      </x:c>
    </x:row>
    <x:row r="11">
      <x:c r="A11" s="9" t="str">
        <x:v>JOBBKK</x:v>
      </x:c>
      <x:c r="B11" s="9" t="str">
        <x:v>ค้นหางานและสร้างเรซูเม่</x:v>
      </x:c>
      <x:c r="C11" s="9" t="str">
        <x:v>https://www.jobbkk.com/</x:v>
      </x:c>
    </x:row>
    <x:row r="12">
      <x:c r="A12" s="9" t="str">
        <x:v>JobTH</x:v>
      </x:c>
      <x:c r="B12" s="9" t="str">
        <x:v>ตำแหน่งงานทั่วประเทศไทย</x:v>
      </x:c>
      <x:c r="C12" s="9" t="str">
        <x:v>https://www.jobth.com/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4" max="4" width="27" hidden="0" customWidth="1"/>
    <x:col min="5" max="5" width="46" hidden="0" customWidth="1"/>
  </x:cols>
  <x:sheetData>
    <x:row r="1">
      <x:c r="A1" s="4" t="str">
        <x:v>สรุปผลห้อง</x:v>
      </x:c>
      <x:c r="B1" s="4"/>
      <x:c r="C1" s="4"/>
      <x:c r="D1" s="4"/>
      <x:c r="E1" s="4"/>
      <x:c r="F1" s="4"/>
      <x:c r="G1" s="4"/>
      <x:c r="H1" s="4"/>
    </x:row>
    <x:row r="2">
      <x:c r="A2" s="5" t="str">
        <x:v>หน้า Dashboard สำหรับครูแนะแนว: สูตรจะนับจากตารางคำตอบนักเรียนอัตโนมัติ</x:v>
      </x:c>
    </x:row>
    <x:row r="4">
      <x:c r="A4" s="31" t="str">
        <x:v>นักเรียนที่ส่งคำตอบ</x:v>
      </x:c>
      <x:c r="B4" s="29" t="n">
        <x:f>COUNTIF('คำตอบนักเรียน'!C5:C205,"&lt;&gt;")</x:f>
        <x:v>1</x:v>
      </x:c>
      <x:c r="D4" s="31" t="str">
        <x:v>คะแนน E เฉลี่ย</x:v>
      </x:c>
      <x:c r="E4" s="29" t="n">
        <x:f>AVERAGEIF('คำตอบนักเรียน'!AV5:AV205,"&gt;=0")</x:f>
        <x:v>5</x:v>
      </x:c>
    </x:row>
    <x:row r="5">
      <x:c r="A5" s="31" t="str">
        <x:v>คะแนน R เฉลี่ย</x:v>
      </x:c>
      <x:c r="B5" s="29" t="n">
        <x:f>AVERAGEIF('คำตอบนักเรียน'!AR5:AR205,"&gt;=0")</x:f>
        <x:v>5</x:v>
      </x:c>
      <x:c r="D5" s="31" t="str">
        <x:v>คะแนน C เฉลี่ย</x:v>
      </x:c>
      <x:c r="E5" s="29" t="n">
        <x:f>AVERAGEIF('คำตอบนักเรียน'!AW5:AW205,"&gt;=0")</x:f>
        <x:v>6</x:v>
      </x:c>
    </x:row>
    <x:row r="6">
      <x:c r="A6" s="31" t="str">
        <x:v>คะแนน I เฉลี่ย</x:v>
      </x:c>
      <x:c r="B6" s="29" t="n">
        <x:f>AVERAGEIF('คำตอบนักเรียน'!AS5:AS205,"&gt;=0")</x:f>
        <x:v>5</x:v>
      </x:c>
      <x:c r="D6" s="31" t="str">
        <x:v>หมายเหตุ</x:v>
      </x:c>
      <x:c r="E6" s="29" t="str">
        <x:v>เพิ่มแถวในคำตอบนักเรียนได้ถึงแถว 205</x:v>
      </x:c>
    </x:row>
    <x:row r="7">
      <x:c r="A7" s="31" t="str">
        <x:v>คะแนน A เฉลี่ย</x:v>
      </x:c>
      <x:c r="B7" s="29" t="n">
        <x:f>AVERAGEIF('คำตอบนักเรียน'!AT5:AT205,"&gt;=0")</x:f>
        <x:v>6</x:v>
      </x:c>
      <x:c r="D7" s="31" t="str">
        <x:v>ข้อควรใช้</x:v>
      </x:c>
      <x:c r="E7" s="29" t="str">
        <x:v>ใช้เพื่อแนะแนว ไม่ใช่ตัดสินอนาคต</x:v>
      </x:c>
    </x:row>
    <x:row r="8">
      <x:c r="A8" s="31" t="str">
        <x:v>คะแนน S เฉลี่ย</x:v>
      </x:c>
      <x:c r="B8" s="29" t="n">
        <x:f>AVERAGEIF('คำตอบนักเรียน'!AU5:AU205,"&gt;=0")</x:f>
        <x:v>6</x:v>
      </x:c>
      <x:c r="D8" s="31" t="str">
        <x:v>แหล่งหลักสูตร</x:v>
      </x:c>
      <x:c r="E8" s="29" t="str">
        <x:v>https://course.mytcas.com/</x:v>
      </x:c>
    </x:row>
  </x:sheetData>
  <x:mergeCells>
    <x:mergeCell ref="A1:H1"/>
  </x:mergeCells>
  <x:pageMargins left="0.7" right="0.7" top="0.75" bottom="0.75" header="0.3" footer="0.3"/>
</x:worksheet>
</file>
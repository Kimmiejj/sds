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fa5fef12734c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เริ่มต้น" sheetId="1" r:id="R1eb22771f47a4454"/>
    <x:sheet xmlns:r="http://schemas.openxmlformats.org/officeDocument/2006/relationships" name="คำตอบนักเรียน" sheetId="2" r:id="Rdfbea94bf14e4ffb"/>
    <x:sheet xmlns:r="http://schemas.openxmlformats.org/officeDocument/2006/relationships" name="คำถาม RIASEC" sheetId="3" r:id="R339c7555eb5b4e85"/>
    <x:sheet xmlns:r="http://schemas.openxmlformats.org/officeDocument/2006/relationships" name="อาชีพและคณะ" sheetId="4" r:id="R1c9af6eaeefa47dd"/>
    <x:sheet xmlns:r="http://schemas.openxmlformats.org/officeDocument/2006/relationships" name="มหาวิทยาลัย 5 ตัวเลือก" sheetId="5" r:id="Re1138258ac274aef"/>
    <x:sheet xmlns:r="http://schemas.openxmlformats.org/officeDocument/2006/relationships" name="ลิงก์ไทย" sheetId="6" r:id="R59d6b129e6084339"/>
    <x:sheet xmlns:r="http://schemas.openxmlformats.org/officeDocument/2006/relationships" name="สรุปผลห้อง" sheetId="7" r:id="R17153762384f40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0756F"/>
      <x:name val="Carlito"/>
    </x:font>
    <x:font>
      <x:b/>
      <x:sz val="11"/>
      <x:color rgb="FF193D3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93D3A"/>
      </x:patternFill>
    </x:fill>
    <x:fill>
      <x:patternFill patternType="solid">
        <x:fgColor rgb="FFE8F3EE"/>
      </x:patternFill>
    </x:fill>
    <x:fill>
      <x:patternFill patternType="solid">
        <x:fgColor rgb="FFDCEBE5"/>
      </x:patternFill>
    </x:fill>
  </x:fills>
  <x:borders count="5">
    <x:border/>
    <x:border>
      <x:left style="thin">
        <x:color rgb="FFD8E0DC"/>
      </x:left>
      <x:right style="thin">
        <x:color rgb="FFD8E0DC"/>
      </x:right>
      <x:top style="thin">
        <x:color rgb="FFD8E0DC"/>
      </x:top>
      <x:bottom style="thin">
        <x:color rgb="FFD8E0DC"/>
      </x:bottom>
    </x:border>
    <x:border>
      <x:left style="thin">
        <x:color rgb="FFD8E0DC"/>
      </x:left>
      <x:top style="thin">
        <x:color rgb="FFD8E0DC"/>
      </x:top>
      <x:bottom style="thin">
        <x:color rgb="FFD8E0DC"/>
      </x:bottom>
    </x:border>
    <x:border>
      <x:top style="thin">
        <x:color rgb="FFD8E0DC"/>
      </x:top>
      <x:bottom style="thin">
        <x:color rgb="FFD8E0DC"/>
      </x:bottom>
    </x:border>
    <x:border>
      <x:right style="thin">
        <x:color rgb="FFD8E0DC"/>
      </x:right>
      <x:top style="thin">
        <x:color rgb="FFD8E0DC"/>
      </x:top>
      <x:bottom style="thin">
        <x:color rgb="FFD8E0DC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ab4b31af1a4d28" /><Relationship Type="http://schemas.openxmlformats.org/officeDocument/2006/relationships/theme" Target="/xl/theme/theme1.xml" Id="R88834f70646b440d" /><Relationship Type="http://schemas.openxmlformats.org/officeDocument/2006/relationships/sharedStrings" Target="/xl/sharedStrings.xml" Id="R177a4d919a204c98" /><Relationship Type="http://schemas.openxmlformats.org/officeDocument/2006/relationships/worksheet" Target="/xl/worksheets/sheet1.xml" Id="R1eb22771f47a4454" /><Relationship Type="http://schemas.openxmlformats.org/officeDocument/2006/relationships/worksheet" Target="/xl/worksheets/sheet2.xml" Id="Rdfbea94bf14e4ffb" /><Relationship Type="http://schemas.openxmlformats.org/officeDocument/2006/relationships/worksheet" Target="/xl/worksheets/sheet3.xml" Id="R339c7555eb5b4e85" /><Relationship Type="http://schemas.openxmlformats.org/officeDocument/2006/relationships/worksheet" Target="/xl/worksheets/sheet4.xml" Id="R1c9af6eaeefa47dd" /><Relationship Type="http://schemas.openxmlformats.org/officeDocument/2006/relationships/worksheet" Target="/xl/worksheets/sheet5.xml" Id="Re1138258ac274aef" /><Relationship Type="http://schemas.openxmlformats.org/officeDocument/2006/relationships/worksheet" Target="/xl/worksheets/sheet6.xml" Id="R59d6b129e6084339" /><Relationship Type="http://schemas.openxmlformats.org/officeDocument/2006/relationships/worksheet" Target="/xl/worksheets/sheet7.xml" Id="R17153762384f40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75" hidden="0" customWidth="1"/>
  </x:cols>
  <x:sheetData>
    <x:row r="1">
      <x:c r="A1" s="4" t="str">
        <x:v>เข็มทิศอาชีพ · RIASEC Thailand</x:v>
      </x:c>
      <x:c r="B1" s="4"/>
      <x:c r="C1" s="4"/>
      <x:c r="D1" s="4"/>
      <x:c r="E1" s="4"/>
      <x:c r="F1" s="4"/>
      <x:c r="G1" s="4"/>
      <x:c r="H1" s="4"/>
    </x:row>
    <x:row r="2">
      <x:c r="A2" s="5" t="str">
        <x:v>เวิร์กบุ๊กสำหรับ Google Sheets + Glide: รับคำตอบนักเรียน คำนวณผล และสรุปภาพรวมของห้อง</x:v>
      </x:c>
    </x:row>
    <x:row r="4" ht="44" customHeight="1">
      <x:c r="A4" s="10" t="str">
        <x:v>1. อัปโหลดไฟล์นี้เข้า Google Drive</x:v>
      </x:c>
      <x:c r="B4" s="11" t="str">
        <x:v>เลือก New &gt; File upload แล้วเปิดด้วย Google Sheets เพื่อใช้เป็นฐานข้อมูลออนไลน์</x:v>
      </x:c>
    </x:row>
    <x:row r="5" ht="44" customHeight="1">
      <x:c r="A5" s="10" t="str">
        <x:v>2. สร้างแอปใน Glide</x:v>
      </x:c>
      <x:c r="B5" s="11" t="str">
        <x:v>เลือกฐานข้อมูล Google Sheets นี้ แล้วใช้ตาราง “คำตอบนักเรียน” เป็นตารางหลัก</x:v>
      </x:c>
    </x:row>
    <x:row r="6" ht="44" customHeight="1">
      <x:c r="A6" s="10" t="str">
        <x:v>3. สร้างแบบฟอร์ม</x:v>
      </x:c>
      <x:c r="B6" s="11" t="str">
        <x:v>รับข้อมูลชื่อ ห้อง เลขที่ และ Q01–Q36 (กำหนดค่า 1 = ใช่/สนใจ, 0 = ไม่ใช่)</x:v>
      </x:c>
    </x:row>
    <x:row r="7" ht="44" customHeight="1">
      <x:c r="A7" s="10" t="str">
        <x:v>4. ตั้งค่าให้ผู้เรียนส่งคำตอบ</x:v>
      </x:c>
      <x:c r="B7" s="11" t="str">
        <x:v>ให้ Glide เพิ่มหนึ่งแถวใน “คำตอบนักเรียน”; คอลัมน์คะแนนและ Holland Code จะคำนวณอัตโนมัติ</x:v>
      </x:c>
    </x:row>
    <x:row r="8" ht="44" customHeight="1">
      <x:c r="A8" s="10" t="str">
        <x:v>5. ทำ QR Code</x:v>
      </x:c>
      <x:c r="B8" s="11" t="str">
        <x:v>คัดลอก Public app link จาก Glide แล้วสร้าง QR ใน Glide หรือเครื่องมือ QR ที่โรงเรียนใช้อยู่</x:v>
      </x:c>
    </x:row>
    <x:row r="9" ht="44" customHeight="1">
      <x:c r="A9" s="10" t="str">
        <x:v>ความเป็นส่วนตัว</x:v>
      </x:c>
      <x:c r="B9" s="11" t="str">
        <x:v>แนะนำเปิดเฉพาะผู้มีลิงก์/อีเมลโรงเรียน และเก็บข้อมูลเท่าที่จำเป็นตามนโยบายโรงเรียน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9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  <x:col min="25" max="25" width="8" hidden="0" customWidth="1"/>
    <x:col min="26" max="26" width="8" hidden="0" customWidth="1"/>
    <x:col min="27" max="27" width="8" hidden="0" customWidth="1"/>
    <x:col min="28" max="28" width="8" hidden="0" customWidth="1"/>
    <x:col min="29" max="29" width="8" hidden="0" customWidth="1"/>
    <x:col min="30" max="30" width="8" hidden="0" customWidth="1"/>
    <x:col min="31" max="31" width="8" hidden="0" customWidth="1"/>
    <x:col min="32" max="32" width="8" hidden="0" customWidth="1"/>
    <x:col min="33" max="33" width="8" hidden="0" customWidth="1"/>
    <x:col min="34" max="34" width="8" hidden="0" customWidth="1"/>
    <x:col min="35" max="35" width="8" hidden="0" customWidth="1"/>
    <x:col min="36" max="36" width="8" hidden="0" customWidth="1"/>
    <x:col min="37" max="37" width="8" hidden="0" customWidth="1"/>
    <x:col min="38" max="38" width="8" hidden="0" customWidth="1"/>
    <x:col min="39" max="39" width="8" hidden="0" customWidth="1"/>
    <x:col min="40" max="40" width="8" hidden="0" customWidth="1"/>
    <x:col min="41" max="41" width="8" hidden="0" customWidth="1"/>
    <x:col min="42" max="42" width="8" hidden="0" customWidth="1"/>
    <x:col min="43" max="43" width="8" hidden="0" customWidth="1"/>
    <x:col min="44" max="44" width="8" hidden="0" customWidth="1"/>
    <x:col min="45" max="45" width="8" hidden="0" customWidth="1"/>
    <x:col min="46" max="46" width="8" hidden="0" customWidth="1"/>
    <x:col min="47" max="47" width="8" hidden="0" customWidth="1"/>
    <x:col min="48" max="48" width="8" hidden="0" customWidth="1"/>
    <x:col min="49" max="49" width="8" hidden="0" customWidth="1"/>
    <x:col min="50" max="50" width="8" hidden="0" customWidth="1"/>
    <x:col min="51" max="51" width="8" hidden="0" customWidth="1"/>
    <x:col min="52" max="52" width="8" hidden="0" customWidth="1"/>
    <x:col min="53" max="53" width="8" hidden="0" customWidth="1"/>
    <x:col min="54" max="54" width="8" hidden="0" customWidth="1"/>
    <x:col min="55" max="55" width="8" hidden="0" customWidth="1"/>
    <x:col min="56" max="56" width="8" hidden="0" customWidth="1"/>
    <x:col min="57" max="57" width="8" hidden="0" customWidth="1"/>
    <x:col min="58" max="58" width="8" hidden="0" customWidth="1"/>
    <x:col min="59" max="59" width="8" hidden="0" customWidth="1"/>
    <x:col min="60" max="60" width="8" hidden="0" customWidth="1"/>
    <x:col min="61" max="61" width="8" hidden="0" customWidth="1"/>
    <x:col min="62" max="62" width="8" hidden="0" customWidth="1"/>
    <x:col min="63" max="63" width="8" hidden="0" customWidth="1"/>
    <x:col min="64" max="64" width="8" hidden="0" customWidth="1"/>
    <x:col min="65" max="65" width="8" hidden="0" customWidth="1"/>
    <x:col min="66" max="66" width="8" hidden="0" customWidth="1"/>
    <x:col min="67" max="67" width="8" hidden="0" customWidth="1"/>
    <x:col min="68" max="68" width="8" hidden="0" customWidth="1"/>
    <x:col min="69" max="69" width="8" hidden="0" customWidth="1"/>
    <x:col min="70" max="70" width="8" hidden="0" customWidth="1"/>
    <x:col min="71" max="71" width="8" hidden="0" customWidth="1"/>
    <x:col min="72" max="72" width="8" hidden="0" customWidth="1"/>
    <x:col min="73" max="73" width="8" hidden="0" customWidth="1"/>
    <x:col min="74" max="74" width="8" hidden="0" customWidth="1"/>
    <x:col min="75" max="75" width="8" hidden="0" customWidth="1"/>
    <x:col min="76" max="76" width="8" hidden="0" customWidth="1"/>
    <x:col min="77" max="77" width="8" hidden="0" customWidth="1"/>
    <x:col min="78" max="78" width="8" hidden="0" customWidth="1"/>
    <x:col min="79" max="79" width="8" hidden="0" customWidth="1"/>
    <x:col min="80" max="80" width="8" hidden="0" customWidth="1"/>
    <x:col min="81" max="81" width="8" hidden="0" customWidth="1"/>
    <x:col min="82" max="82" width="8" hidden="0" customWidth="1"/>
    <x:col min="83" max="83" width="8" hidden="0" customWidth="1"/>
    <x:col min="84" max="84" width="8" hidden="0" customWidth="1"/>
    <x:col min="85" max="85" width="8" hidden="0" customWidth="1"/>
    <x:col min="86" max="86" width="8" hidden="0" customWidth="1"/>
    <x:col min="87" max="87" width="8" hidden="0" customWidth="1"/>
    <x:col min="88" max="88" width="8" hidden="0" customWidth="1"/>
    <x:col min="89" max="89" width="8" hidden="0" customWidth="1"/>
    <x:col min="90" max="90" width="8" hidden="0" customWidth="1"/>
    <x:col min="91" max="91" width="8" hidden="0" customWidth="1"/>
    <x:col min="92" max="92" width="8" hidden="0" customWidth="1"/>
    <x:col min="93" max="93" width="8" hidden="0" customWidth="1"/>
    <x:col min="94" max="94" width="8" hidden="0" customWidth="1"/>
    <x:col min="95" max="95" width="8" hidden="0" customWidth="1"/>
    <x:col min="96" max="96" width="8" hidden="0" customWidth="1"/>
    <x:col min="97" max="97" width="8" hidden="0" customWidth="1"/>
    <x:col min="98" max="98" width="8" hidden="0" customWidth="1"/>
    <x:col min="99" max="99" width="8" hidden="0" customWidth="1"/>
    <x:col min="100" max="100" width="8" hidden="0" customWidth="1"/>
    <x:col min="101" max="101" width="8" hidden="0" customWidth="1"/>
    <x:col min="102" max="102" width="8" hidden="0" customWidth="1"/>
    <x:col min="103" max="103" width="8" hidden="0" customWidth="1"/>
    <x:col min="104" max="104" width="8" hidden="0" customWidth="1"/>
    <x:col min="105" max="105" width="8" hidden="0" customWidth="1"/>
    <x:col min="106" max="106" width="8" hidden="0" customWidth="1"/>
    <x:col min="107" max="107" width="8" hidden="0" customWidth="1"/>
    <x:col min="108" max="108" width="8" hidden="0" customWidth="1"/>
    <x:col min="109" max="109" width="8" hidden="0" customWidth="1"/>
    <x:col min="110" max="110" width="8" hidden="0" customWidth="1"/>
    <x:col min="111" max="111" width="8" hidden="0" customWidth="1"/>
    <x:col min="112" max="112" width="8" hidden="0" customWidth="1"/>
    <x:col min="113" max="113" width="8" hidden="0" customWidth="1"/>
    <x:col min="114" max="114" width="8" hidden="0" customWidth="1"/>
    <x:col min="115" max="115" width="8" hidden="0" customWidth="1"/>
    <x:col min="116" max="116" width="8" hidden="0" customWidth="1"/>
    <x:col min="117" max="117" width="8" hidden="0" customWidth="1"/>
    <x:col min="118" max="118" width="8" hidden="0" customWidth="1"/>
    <x:col min="119" max="119" width="8" hidden="0" customWidth="1"/>
    <x:col min="120" max="120" width="8" hidden="0" customWidth="1"/>
    <x:col min="121" max="121" width="8" hidden="0" customWidth="1"/>
    <x:col min="122" max="122" width="8" hidden="0" customWidth="1"/>
    <x:col min="123" max="123" width="8" hidden="0" customWidth="1"/>
    <x:col min="124" max="124" width="8" hidden="0" customWidth="1"/>
    <x:col min="125" max="125" width="8" hidden="0" customWidth="1"/>
    <x:col min="126" max="126" width="8" hidden="0" customWidth="1"/>
    <x:col min="127" max="127" width="8" hidden="0" customWidth="1"/>
    <x:col min="128" max="128" width="8" hidden="0" customWidth="1"/>
    <x:col min="129" max="129" width="8" hidden="0" customWidth="1"/>
    <x:col min="130" max="130" width="8" hidden="0" customWidth="1"/>
    <x:col min="131" max="131" width="8" hidden="0" customWidth="1"/>
    <x:col min="132" max="132" width="8" hidden="0" customWidth="1"/>
    <x:col min="133" max="133" width="8" hidden="0" customWidth="1"/>
    <x:col min="134" max="134" width="8" hidden="0" customWidth="1"/>
    <x:col min="135" max="135" width="8" hidden="0" customWidth="1"/>
    <x:col min="136" max="136" width="8" hidden="0" customWidth="1"/>
    <x:col min="137" max="137" width="8" hidden="0" customWidth="1"/>
    <x:col min="138" max="138" width="8" hidden="0" customWidth="1"/>
    <x:col min="139" max="139" width="8" hidden="0" customWidth="1"/>
    <x:col min="140" max="140" width="8" hidden="0" customWidth="1"/>
    <x:col min="141" max="141" width="8" hidden="0" customWidth="1"/>
    <x:col min="142" max="142" width="8" hidden="0" customWidth="1"/>
    <x:col min="143" max="143" width="8" hidden="0" customWidth="1"/>
    <x:col min="144" max="144" width="8" hidden="0" customWidth="1"/>
    <x:col min="145" max="145" width="8" hidden="0" customWidth="1"/>
    <x:col min="146" max="146" width="8" hidden="0" customWidth="1"/>
    <x:col min="147" max="147" width="8" hidden="0" customWidth="1"/>
    <x:col min="148" max="148" width="8" hidden="0" customWidth="1"/>
    <x:col min="149" max="149" width="8" hidden="0" customWidth="1"/>
    <x:col min="150" max="150" width="8" hidden="0" customWidth="1"/>
    <x:col min="151" max="151" width="8" hidden="0" customWidth="1"/>
    <x:col min="152" max="152" width="8" hidden="0" customWidth="1"/>
    <x:col min="153" max="153" width="8" hidden="0" customWidth="1"/>
    <x:col min="154" max="154" width="8" hidden="0" customWidth="1"/>
    <x:col min="155" max="155" width="8" hidden="0" customWidth="1"/>
    <x:col min="156" max="156" width="8" hidden="0" customWidth="1"/>
    <x:col min="157" max="157" width="8" hidden="0" customWidth="1"/>
    <x:col min="158" max="158" width="8" hidden="0" customWidth="1"/>
    <x:col min="159" max="159" width="8" hidden="0" customWidth="1"/>
    <x:col min="160" max="160" width="8" hidden="0" customWidth="1"/>
    <x:col min="161" max="161" width="8" hidden="0" customWidth="1"/>
    <x:col min="162" max="162" width="8" hidden="0" customWidth="1"/>
    <x:col min="163" max="163" width="8" hidden="0" customWidth="1"/>
    <x:col min="164" max="164" width="8" hidden="0" customWidth="1"/>
    <x:col min="165" max="165" width="8" hidden="0" customWidth="1"/>
    <x:col min="166" max="166" width="8" hidden="0" customWidth="1"/>
    <x:col min="167" max="167" width="8" hidden="0" customWidth="1"/>
    <x:col min="168" max="168" width="8" hidden="0" customWidth="1"/>
    <x:col min="169" max="169" width="8" hidden="0" customWidth="1"/>
    <x:col min="170" max="170" width="8" hidden="0" customWidth="1"/>
    <x:col min="171" max="171" width="8" hidden="0" customWidth="1"/>
    <x:col min="172" max="172" width="8" hidden="0" customWidth="1"/>
    <x:col min="173" max="173" width="8" hidden="0" customWidth="1"/>
    <x:col min="174" max="174" width="8" hidden="0" customWidth="1"/>
    <x:col min="175" max="175" width="8" hidden="0" customWidth="1"/>
    <x:col min="176" max="176" width="8" hidden="0" customWidth="1"/>
    <x:col min="177" max="177" width="8" hidden="0" customWidth="1"/>
    <x:col min="178" max="178" width="8" hidden="0" customWidth="1"/>
    <x:col min="179" max="179" width="8" hidden="0" customWidth="1"/>
    <x:col min="180" max="180" width="8" hidden="0" customWidth="1"/>
    <x:col min="181" max="181" width="8" hidden="0" customWidth="1"/>
    <x:col min="182" max="182" width="8" hidden="0" customWidth="1"/>
    <x:col min="183" max="183" width="8" hidden="0" customWidth="1"/>
    <x:col min="184" max="184" width="8" hidden="0" customWidth="1"/>
    <x:col min="185" max="185" width="8" hidden="0" customWidth="1"/>
    <x:col min="186" max="186" width="8" hidden="0" customWidth="1"/>
    <x:col min="187" max="187" width="8" hidden="0" customWidth="1"/>
    <x:col min="188" max="188" width="8" hidden="0" customWidth="1"/>
    <x:col min="189" max="189" width="8" hidden="0" customWidth="1"/>
    <x:col min="190" max="190" width="8" hidden="0" customWidth="1"/>
    <x:col min="191" max="191" width="8" hidden="0" customWidth="1"/>
    <x:col min="192" max="192" width="8" hidden="0" customWidth="1"/>
    <x:col min="193" max="193" width="8" hidden="0" customWidth="1"/>
    <x:col min="194" max="194" width="8" hidden="0" customWidth="1"/>
    <x:col min="195" max="195" width="8" hidden="0" customWidth="1"/>
    <x:col min="196" max="196" width="8" hidden="0" customWidth="1"/>
    <x:col min="197" max="197" width="8" hidden="0" customWidth="1"/>
    <x:col min="198" max="198" width="8" hidden="0" customWidth="1"/>
    <x:col min="199" max="199" width="8" hidden="0" customWidth="1"/>
    <x:col min="200" max="200" width="8" hidden="0" customWidth="1"/>
    <x:col min="201" max="201" width="8" hidden="0" customWidth="1"/>
    <x:col min="202" max="202" width="8" hidden="0" customWidth="1"/>
    <x:col min="203" max="203" width="8" hidden="0" customWidth="1"/>
    <x:col min="204" max="204" width="8" hidden="0" customWidth="1"/>
    <x:col min="205" max="205" width="8" hidden="0" customWidth="1"/>
    <x:col min="206" max="206" width="8" hidden="0" customWidth="1"/>
    <x:col min="207" max="207" width="8" hidden="0" customWidth="1"/>
    <x:col min="208" max="208" width="8" hidden="0" customWidth="1"/>
    <x:col min="209" max="209" width="8" hidden="0" customWidth="1"/>
    <x:col min="210" max="210" width="8" hidden="0" customWidth="1"/>
    <x:col min="211" max="211" width="8" hidden="0" customWidth="1"/>
    <x:col min="212" max="212" width="8" hidden="0" customWidth="1"/>
    <x:col min="213" max="213" width="8" hidden="0" customWidth="1"/>
    <x:col min="214" max="214" width="8" hidden="0" customWidth="1"/>
    <x:col min="215" max="215" width="8" hidden="0" customWidth="1"/>
    <x:col min="216" max="216" width="8" hidden="0" customWidth="1"/>
    <x:col min="217" max="217" width="8" hidden="0" customWidth="1"/>
    <x:col min="218" max="218" width="8" hidden="0" customWidth="1"/>
    <x:col min="219" max="219" width="8" hidden="0" customWidth="1"/>
    <x:col min="220" max="220" width="8" hidden="0" customWidth="1"/>
    <x:col min="221" max="221" width="8" hidden="0" customWidth="1"/>
    <x:col min="222" max="222" width="8" hidden="0" customWidth="1"/>
    <x:col min="223" max="223" width="8" hidden="0" customWidth="1"/>
    <x:col min="224" max="224" width="15" hidden="0" customWidth="1"/>
    <x:col min="225" max="225" width="15" hidden="0" customWidth="1"/>
    <x:col min="226" max="226" width="15" hidden="0" customWidth="1"/>
    <x:col min="227" max="227" width="15" hidden="0" customWidth="1"/>
    <x:col min="228" max="228" width="15" hidden="0" customWidth="1"/>
    <x:col min="229" max="229" width="15" hidden="0" customWidth="1"/>
    <x:col min="230" max="230" width="15" hidden="0" customWidth="1"/>
    <x:col min="231" max="231" width="15" hidden="0" customWidth="1"/>
    <x:col min="232" max="232" width="15" hidden="0" customWidth="1"/>
    <x:col min="233" max="233" width="15" hidden="0" customWidth="1"/>
    <x:col min="234" max="234" width="15" hidden="0" customWidth="1"/>
    <x:col min="235" max="235" width="15" hidden="0" customWidth="1"/>
    <x:col min="236" max="236" width="15" hidden="0" customWidth="1"/>
    <x:col min="237" max="237" width="15" hidden="0" customWidth="1"/>
    <x:col min="238" max="238" width="15" hidden="0" customWidth="1"/>
    <x:col min="239" max="239" width="15" hidden="0" customWidth="1"/>
    <x:col min="240" max="240" width="15" hidden="0" customWidth="1"/>
    <x:col min="241" max="241" width="15" hidden="0" customWidth="1"/>
    <x:col min="242" max="242" width="15" hidden="0" customWidth="1"/>
    <x:col min="243" max="243" width="15" hidden="0" customWidth="1"/>
    <x:col min="244" max="244" width="15" hidden="0" customWidth="1"/>
    <x:col min="245" max="245" width="15" hidden="0" customWidth="1"/>
    <x:col min="246" max="246" width="15" hidden="0" customWidth="1"/>
    <x:col min="247" max="247" width="15" hidden="0" customWidth="1"/>
    <x:col min="248" max="248" width="15" hidden="0" customWidth="1"/>
    <x:col min="249" max="249" width="15" hidden="0" customWidth="1"/>
    <x:col min="250" max="250" width="15" hidden="0" customWidth="1"/>
    <x:col min="251" max="251" width="15" hidden="0" customWidth="1"/>
    <x:col min="252" max="252" width="15" hidden="0" customWidth="1"/>
    <x:col min="253" max="253" width="15" hidden="0" customWidth="1"/>
    <x:col min="254" max="254" width="15" hidden="0" customWidth="1"/>
    <x:col min="255" max="255" width="15" hidden="0" customWidth="1"/>
    <x:col min="256" max="256" width="15" hidden="0" customWidth="1"/>
    <x:col min="257" max="257" width="15" hidden="0" customWidth="1"/>
    <x:col min="258" max="258" width="15" hidden="0" customWidth="1"/>
    <x:col min="259" max="259" width="15" hidden="0" customWidth="1"/>
    <x:col min="260" max="260" width="15" hidden="0" customWidth="1"/>
    <x:col min="261" max="261" width="15" hidden="0" customWidth="1"/>
    <x:col min="262" max="262" width="15" hidden="0" customWidth="1"/>
    <x:col min="263" max="263" width="15" hidden="0" customWidth="1"/>
    <x:col min="264" max="264" width="15" hidden="0" customWidth="1"/>
    <x:col min="265" max="265" width="15" hidden="0" customWidth="1"/>
    <x:col min="266" max="266" width="15" hidden="0" customWidth="1"/>
    <x:col min="267" max="267" width="15" hidden="0" customWidth="1"/>
    <x:col min="268" max="268" width="15" hidden="0" customWidth="1"/>
    <x:col min="269" max="269" width="15" hidden="0" customWidth="1"/>
    <x:col min="270" max="270" width="15" hidden="0" customWidth="1"/>
    <x:col min="271" max="271" width="15" hidden="0" customWidth="1"/>
    <x:col min="272" max="272" width="15" hidden="0" customWidth="1"/>
    <x:col min="273" max="273" width="15" hidden="0" customWidth="1"/>
    <x:col min="274" max="274" width="15" hidden="0" customWidth="1"/>
  </x:cols>
  <x:sheetData>
    <x:row r="1">
      <x:c r="A1" s="4" t="str">
        <x:v>คำตอบนักเรียน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  <x:c r="BA1" s="4"/>
      <x:c r="BB1" s="4"/>
      <x:c r="BC1" s="4"/>
      <x:c r="BD1" s="4"/>
      <x:c r="BE1" s="4"/>
      <x:c r="BF1" s="4"/>
      <x:c r="BG1" s="4"/>
      <x:c r="BH1" s="4"/>
      <x:c r="BI1" s="4"/>
      <x:c r="BJ1" s="4"/>
      <x:c r="BK1" s="4"/>
      <x:c r="BL1" s="4"/>
      <x:c r="BM1" s="4"/>
      <x:c r="BN1" s="4"/>
      <x:c r="BO1" s="4"/>
      <x:c r="BP1" s="4"/>
      <x:c r="BQ1" s="4"/>
      <x:c r="BR1" s="4"/>
      <x:c r="BS1" s="4"/>
      <x:c r="BT1" s="4"/>
      <x:c r="BU1" s="4"/>
      <x:c r="BV1" s="4"/>
      <x:c r="BW1" s="4"/>
      <x:c r="BX1" s="4"/>
      <x:c r="BY1" s="4"/>
      <x:c r="BZ1" s="4"/>
      <x:c r="CA1" s="4"/>
      <x:c r="CB1" s="4"/>
      <x:c r="CC1" s="4"/>
      <x:c r="CD1" s="4"/>
      <x:c r="CE1" s="4"/>
      <x:c r="CF1" s="4"/>
      <x:c r="CG1" s="4"/>
      <x:c r="CH1" s="4"/>
      <x:c r="CI1" s="4"/>
      <x:c r="CJ1" s="4"/>
      <x:c r="CK1" s="4"/>
      <x:c r="CL1" s="4"/>
      <x:c r="CM1" s="4"/>
      <x:c r="CN1" s="4"/>
      <x:c r="CO1" s="4"/>
      <x:c r="CP1" s="4"/>
      <x:c r="CQ1" s="4"/>
      <x:c r="CR1" s="4"/>
      <x:c r="CS1" s="4"/>
      <x:c r="CT1" s="4"/>
      <x:c r="CU1" s="4"/>
      <x:c r="CV1" s="4"/>
      <x:c r="CW1" s="4"/>
      <x:c r="CX1" s="4"/>
      <x:c r="CY1" s="4"/>
      <x:c r="CZ1" s="4"/>
      <x:c r="DA1" s="4"/>
      <x:c r="DB1" s="4"/>
      <x:c r="DC1" s="4"/>
      <x:c r="DD1" s="4"/>
      <x:c r="DE1" s="4"/>
      <x:c r="DF1" s="4"/>
      <x:c r="DG1" s="4"/>
      <x:c r="DH1" s="4"/>
      <x:c r="DI1" s="4"/>
      <x:c r="DJ1" s="4"/>
      <x:c r="DK1" s="4"/>
      <x:c r="DL1" s="4"/>
      <x:c r="DM1" s="4"/>
      <x:c r="DN1" s="4"/>
      <x:c r="DO1" s="4"/>
      <x:c r="DP1" s="4"/>
      <x:c r="DQ1" s="4"/>
      <x:c r="DR1" s="4"/>
      <x:c r="DS1" s="4"/>
      <x:c r="DT1" s="4"/>
      <x:c r="DU1" s="4"/>
      <x:c r="DV1" s="4"/>
      <x:c r="DW1" s="4"/>
      <x:c r="DX1" s="4"/>
      <x:c r="DY1" s="4"/>
      <x:c r="DZ1" s="4"/>
      <x:c r="EA1" s="4"/>
      <x:c r="EB1" s="4"/>
      <x:c r="EC1" s="4"/>
      <x:c r="ED1" s="4"/>
      <x:c r="EE1" s="4"/>
      <x:c r="EF1" s="4"/>
      <x:c r="EG1" s="4"/>
      <x:c r="EH1" s="4"/>
      <x:c r="EI1" s="4"/>
      <x:c r="EJ1" s="4"/>
      <x:c r="EK1" s="4"/>
      <x:c r="EL1" s="4"/>
      <x:c r="EM1" s="4"/>
      <x:c r="EN1" s="4"/>
      <x:c r="EO1" s="4"/>
      <x:c r="EP1" s="4"/>
      <x:c r="EQ1" s="4"/>
      <x:c r="ER1" s="4"/>
      <x:c r="ES1" s="4"/>
      <x:c r="ET1" s="4"/>
      <x:c r="EU1" s="4"/>
      <x:c r="EV1" s="4"/>
      <x:c r="EW1" s="4"/>
      <x:c r="EX1" s="4"/>
      <x:c r="EY1" s="4"/>
      <x:c r="EZ1" s="4"/>
      <x:c r="FA1" s="4"/>
      <x:c r="FB1" s="4"/>
      <x:c r="FC1" s="4"/>
      <x:c r="FD1" s="4"/>
      <x:c r="FE1" s="4"/>
      <x:c r="FF1" s="4"/>
      <x:c r="FG1" s="4"/>
      <x:c r="FH1" s="4"/>
      <x:c r="FI1" s="4"/>
      <x:c r="FJ1" s="4"/>
      <x:c r="FK1" s="4"/>
      <x:c r="FL1" s="4"/>
      <x:c r="FM1" s="4"/>
      <x:c r="FN1" s="4"/>
      <x:c r="FO1" s="4"/>
      <x:c r="FP1" s="4"/>
      <x:c r="FQ1" s="4"/>
      <x:c r="FR1" s="4"/>
      <x:c r="FS1" s="4"/>
      <x:c r="FT1" s="4"/>
      <x:c r="FU1" s="4"/>
      <x:c r="FV1" s="4"/>
      <x:c r="FW1" s="4"/>
      <x:c r="FX1" s="4"/>
      <x:c r="FY1" s="4"/>
      <x:c r="FZ1" s="4"/>
      <x:c r="GA1" s="4"/>
      <x:c r="GB1" s="4"/>
      <x:c r="GC1" s="4"/>
      <x:c r="GD1" s="4"/>
      <x:c r="GE1" s="4"/>
      <x:c r="GF1" s="4"/>
      <x:c r="GG1" s="4"/>
      <x:c r="GH1" s="4"/>
      <x:c r="GI1" s="4"/>
      <x:c r="GJ1" s="4"/>
      <x:c r="GK1" s="4"/>
      <x:c r="GL1" s="4"/>
      <x:c r="GM1" s="4"/>
      <x:c r="GN1" s="4"/>
      <x:c r="GO1" s="4"/>
      <x:c r="GP1" s="4"/>
      <x:c r="GQ1" s="4"/>
      <x:c r="GR1" s="4"/>
      <x:c r="GS1" s="4"/>
      <x:c r="GT1" s="4"/>
      <x:c r="GU1" s="4"/>
      <x:c r="GV1" s="4"/>
      <x:c r="GW1" s="4"/>
      <x:c r="GX1" s="4"/>
      <x:c r="GY1" s="4"/>
      <x:c r="GZ1" s="4"/>
      <x:c r="HA1" s="4"/>
      <x:c r="HB1" s="4"/>
      <x:c r="HC1" s="4"/>
      <x:c r="HD1" s="4"/>
      <x:c r="HE1" s="4"/>
      <x:c r="HF1" s="4"/>
      <x:c r="HG1" s="4"/>
      <x:c r="HH1" s="4"/>
      <x:c r="HI1" s="4"/>
      <x:c r="HJ1" s="4"/>
      <x:c r="HK1" s="4"/>
      <x:c r="HL1" s="4"/>
      <x:c r="HM1" s="4"/>
      <x:c r="HN1" s="4"/>
      <x:c r="HO1" s="4"/>
      <x:c r="HP1" s="4"/>
      <x:c r="HQ1" s="4"/>
      <x:c r="HR1" s="4"/>
      <x:c r="HS1" s="4"/>
      <x:c r="HT1" s="4"/>
      <x:c r="HU1" s="4"/>
      <x:c r="HV1" s="4"/>
      <x:c r="HW1" s="4"/>
      <x:c r="HX1" s="4"/>
      <x:c r="HY1" s="4"/>
      <x:c r="HZ1" s="4"/>
      <x:c r="IA1" s="4"/>
      <x:c r="IB1" s="4"/>
      <x:c r="IC1" s="4"/>
      <x:c r="ID1" s="4"/>
      <x:c r="IE1" s="4"/>
      <x:c r="IF1" s="4"/>
      <x:c r="IG1" s="4"/>
      <x:c r="IH1" s="4"/>
      <x:c r="II1" s="4"/>
      <x:c r="IJ1" s="4"/>
      <x:c r="IK1" s="4"/>
      <x:c r="IL1" s="4"/>
      <x:c r="IM1" s="4"/>
      <x:c r="IN1" s="4"/>
      <x:c r="IO1" s="4"/>
      <x:c r="IP1" s="4"/>
      <x:c r="IQ1" s="4"/>
      <x:c r="IR1" s="4"/>
      <x:c r="IS1" s="4"/>
      <x:c r="IT1" s="4"/>
      <x:c r="IU1" s="4"/>
      <x:c r="IV1" s="4"/>
      <x:c r="IW1" s="4"/>
      <x:c r="IX1" s="4"/>
      <x:c r="IY1" s="4"/>
      <x:c r="IZ1" s="4"/>
      <x:c r="JA1" s="4"/>
      <x:c r="JB1" s="4"/>
      <x:c r="JC1" s="4"/>
      <x:c r="JD1" s="4"/>
      <x:c r="JE1" s="4"/>
      <x:c r="JF1" s="4"/>
      <x:c r="JG1" s="4"/>
      <x:c r="JH1" s="4"/>
      <x:c r="JI1" s="4"/>
      <x:c r="JJ1" s="4"/>
      <x:c r="JK1" s="4"/>
      <x:c r="JL1" s="4"/>
      <x:c r="JM1" s="4"/>
      <x:c r="JN1" s="4"/>
    </x:row>
    <x:row r="2">
      <x:c r="A2" s="5" t="str">
        <x:v>Glide ต้องเพิ่มข้อมูล 1 แถวต่อผู้เรียน: รวมคะแนน RIASEC จาก 66 กิจกรรม + 66 ความสามารถ + 84 อาชีพ และใช้คะแนนย่อยตัดสินเมื่อคะแนนรวมเสมอกัน</x:v>
      </x:c>
    </x:row>
    <x:row r="4">
      <x:c r="A4" s="23" t="str">
        <x:v>รหัสรายการ</x:v>
      </x:c>
      <x:c r="B4" s="24" t="str">
        <x:v>วันเวลา</x:v>
      </x:c>
      <x:c r="C4" s="24" t="str">
        <x:v>ชื่อ-นามสกุล</x:v>
      </x:c>
      <x:c r="D4" s="24" t="str">
        <x:v>ชื่อเล่น</x:v>
      </x:c>
      <x:c r="E4" s="24" t="str">
        <x:v>ห้อง</x:v>
      </x:c>
      <x:c r="F4" s="24" t="str">
        <x:v>เลขที่</x:v>
      </x:c>
      <x:c r="G4" s="24" t="str">
        <x:v>ยินยอมให้ใช้ข้อมูล</x:v>
      </x:c>
      <x:c r="H4" s="24" t="str">
        <x:v>Q01</x:v>
      </x:c>
      <x:c r="I4" s="24" t="str">
        <x:v>Q02</x:v>
      </x:c>
      <x:c r="J4" s="24" t="str">
        <x:v>Q03</x:v>
      </x:c>
      <x:c r="K4" s="24" t="str">
        <x:v>Q04</x:v>
      </x:c>
      <x:c r="L4" s="24" t="str">
        <x:v>Q05</x:v>
      </x:c>
      <x:c r="M4" s="24" t="str">
        <x:v>Q06</x:v>
      </x:c>
      <x:c r="N4" s="24" t="str">
        <x:v>Q07</x:v>
      </x:c>
      <x:c r="O4" s="24" t="str">
        <x:v>Q08</x:v>
      </x:c>
      <x:c r="P4" s="24" t="str">
        <x:v>Q09</x:v>
      </x:c>
      <x:c r="Q4" s="24" t="str">
        <x:v>Q10</x:v>
      </x:c>
      <x:c r="R4" s="24" t="str">
        <x:v>Q11</x:v>
      </x:c>
      <x:c r="S4" s="24" t="str">
        <x:v>Q12</x:v>
      </x:c>
      <x:c r="T4" s="24" t="str">
        <x:v>Q13</x:v>
      </x:c>
      <x:c r="U4" s="24" t="str">
        <x:v>Q14</x:v>
      </x:c>
      <x:c r="V4" s="24" t="str">
        <x:v>Q15</x:v>
      </x:c>
      <x:c r="W4" s="24" t="str">
        <x:v>Q16</x:v>
      </x:c>
      <x:c r="X4" s="24" t="str">
        <x:v>Q17</x:v>
      </x:c>
      <x:c r="Y4" s="24" t="str">
        <x:v>Q18</x:v>
      </x:c>
      <x:c r="Z4" s="24" t="str">
        <x:v>Q19</x:v>
      </x:c>
      <x:c r="AA4" s="24" t="str">
        <x:v>Q20</x:v>
      </x:c>
      <x:c r="AB4" s="24" t="str">
        <x:v>Q21</x:v>
      </x:c>
      <x:c r="AC4" s="24" t="str">
        <x:v>Q22</x:v>
      </x:c>
      <x:c r="AD4" s="24" t="str">
        <x:v>Q23</x:v>
      </x:c>
      <x:c r="AE4" s="24" t="str">
        <x:v>Q24</x:v>
      </x:c>
      <x:c r="AF4" s="24" t="str">
        <x:v>Q25</x:v>
      </x:c>
      <x:c r="AG4" s="24" t="str">
        <x:v>Q26</x:v>
      </x:c>
      <x:c r="AH4" s="24" t="str">
        <x:v>Q27</x:v>
      </x:c>
      <x:c r="AI4" s="24" t="str">
        <x:v>Q28</x:v>
      </x:c>
      <x:c r="AJ4" s="24" t="str">
        <x:v>Q29</x:v>
      </x:c>
      <x:c r="AK4" s="24" t="str">
        <x:v>Q30</x:v>
      </x:c>
      <x:c r="AL4" s="24" t="str">
        <x:v>Q31</x:v>
      </x:c>
      <x:c r="AM4" s="24" t="str">
        <x:v>Q32</x:v>
      </x:c>
      <x:c r="AN4" s="24" t="str">
        <x:v>Q33</x:v>
      </x:c>
      <x:c r="AO4" s="24" t="str">
        <x:v>Q34</x:v>
      </x:c>
      <x:c r="AP4" s="24" t="str">
        <x:v>Q35</x:v>
      </x:c>
      <x:c r="AQ4" s="24" t="str">
        <x:v>Q36</x:v>
      </x:c>
      <x:c r="AR4" s="24" t="str">
        <x:v>Q37</x:v>
      </x:c>
      <x:c r="AS4" s="24" t="str">
        <x:v>Q38</x:v>
      </x:c>
      <x:c r="AT4" s="24" t="str">
        <x:v>Q39</x:v>
      </x:c>
      <x:c r="AU4" s="24" t="str">
        <x:v>Q40</x:v>
      </x:c>
      <x:c r="AV4" s="24" t="str">
        <x:v>Q41</x:v>
      </x:c>
      <x:c r="AW4" s="24" t="str">
        <x:v>Q42</x:v>
      </x:c>
      <x:c r="AX4" s="24" t="str">
        <x:v>Q43</x:v>
      </x:c>
      <x:c r="AY4" s="24" t="str">
        <x:v>Q44</x:v>
      </x:c>
      <x:c r="AZ4" s="24" t="str">
        <x:v>Q45</x:v>
      </x:c>
      <x:c r="BA4" s="24" t="str">
        <x:v>Q46</x:v>
      </x:c>
      <x:c r="BB4" s="24" t="str">
        <x:v>Q47</x:v>
      </x:c>
      <x:c r="BC4" s="24" t="str">
        <x:v>Q48</x:v>
      </x:c>
      <x:c r="BD4" s="24" t="str">
        <x:v>Q49</x:v>
      </x:c>
      <x:c r="BE4" s="24" t="str">
        <x:v>Q50</x:v>
      </x:c>
      <x:c r="BF4" s="24" t="str">
        <x:v>Q51</x:v>
      </x:c>
      <x:c r="BG4" s="24" t="str">
        <x:v>Q52</x:v>
      </x:c>
      <x:c r="BH4" s="24" t="str">
        <x:v>Q53</x:v>
      </x:c>
      <x:c r="BI4" s="24" t="str">
        <x:v>Q54</x:v>
      </x:c>
      <x:c r="BJ4" s="24" t="str">
        <x:v>Q55</x:v>
      </x:c>
      <x:c r="BK4" s="24" t="str">
        <x:v>Q56</x:v>
      </x:c>
      <x:c r="BL4" s="24" t="str">
        <x:v>Q57</x:v>
      </x:c>
      <x:c r="BM4" s="24" t="str">
        <x:v>Q58</x:v>
      </x:c>
      <x:c r="BN4" s="24" t="str">
        <x:v>Q59</x:v>
      </x:c>
      <x:c r="BO4" s="24" t="str">
        <x:v>Q60</x:v>
      </x:c>
      <x:c r="BP4" s="24" t="str">
        <x:v>Q61</x:v>
      </x:c>
      <x:c r="BQ4" s="24" t="str">
        <x:v>Q62</x:v>
      </x:c>
      <x:c r="BR4" s="24" t="str">
        <x:v>Q63</x:v>
      </x:c>
      <x:c r="BS4" s="24" t="str">
        <x:v>Q64</x:v>
      </x:c>
      <x:c r="BT4" s="24" t="str">
        <x:v>Q65</x:v>
      </x:c>
      <x:c r="BU4" s="24" t="str">
        <x:v>Q66</x:v>
      </x:c>
      <x:c r="BV4" s="24" t="str">
        <x:v>Q67</x:v>
      </x:c>
      <x:c r="BW4" s="24" t="str">
        <x:v>Q68</x:v>
      </x:c>
      <x:c r="BX4" s="24" t="str">
        <x:v>Q69</x:v>
      </x:c>
      <x:c r="BY4" s="24" t="str">
        <x:v>Q70</x:v>
      </x:c>
      <x:c r="BZ4" s="24" t="str">
        <x:v>Q71</x:v>
      </x:c>
      <x:c r="CA4" s="24" t="str">
        <x:v>Q72</x:v>
      </x:c>
      <x:c r="CB4" s="24" t="str">
        <x:v>Q73</x:v>
      </x:c>
      <x:c r="CC4" s="24" t="str">
        <x:v>Q74</x:v>
      </x:c>
      <x:c r="CD4" s="24" t="str">
        <x:v>Q75</x:v>
      </x:c>
      <x:c r="CE4" s="24" t="str">
        <x:v>Q76</x:v>
      </x:c>
      <x:c r="CF4" s="24" t="str">
        <x:v>Q77</x:v>
      </x:c>
      <x:c r="CG4" s="24" t="str">
        <x:v>Q78</x:v>
      </x:c>
      <x:c r="CH4" s="24" t="str">
        <x:v>Q79</x:v>
      </x:c>
      <x:c r="CI4" s="24" t="str">
        <x:v>Q80</x:v>
      </x:c>
      <x:c r="CJ4" s="24" t="str">
        <x:v>Q81</x:v>
      </x:c>
      <x:c r="CK4" s="24" t="str">
        <x:v>Q82</x:v>
      </x:c>
      <x:c r="CL4" s="24" t="str">
        <x:v>Q83</x:v>
      </x:c>
      <x:c r="CM4" s="24" t="str">
        <x:v>Q84</x:v>
      </x:c>
      <x:c r="CN4" s="24" t="str">
        <x:v>Q85</x:v>
      </x:c>
      <x:c r="CO4" s="24" t="str">
        <x:v>Q86</x:v>
      </x:c>
      <x:c r="CP4" s="24" t="str">
        <x:v>Q87</x:v>
      </x:c>
      <x:c r="CQ4" s="24" t="str">
        <x:v>Q88</x:v>
      </x:c>
      <x:c r="CR4" s="24" t="str">
        <x:v>Q89</x:v>
      </x:c>
      <x:c r="CS4" s="24" t="str">
        <x:v>Q90</x:v>
      </x:c>
      <x:c r="CT4" s="24" t="str">
        <x:v>Q91</x:v>
      </x:c>
      <x:c r="CU4" s="24" t="str">
        <x:v>Q92</x:v>
      </x:c>
      <x:c r="CV4" s="24" t="str">
        <x:v>Q93</x:v>
      </x:c>
      <x:c r="CW4" s="24" t="str">
        <x:v>Q94</x:v>
      </x:c>
      <x:c r="CX4" s="24" t="str">
        <x:v>Q95</x:v>
      </x:c>
      <x:c r="CY4" s="24" t="str">
        <x:v>Q96</x:v>
      </x:c>
      <x:c r="CZ4" s="24" t="str">
        <x:v>Q97</x:v>
      </x:c>
      <x:c r="DA4" s="24" t="str">
        <x:v>Q98</x:v>
      </x:c>
      <x:c r="DB4" s="24" t="str">
        <x:v>Q99</x:v>
      </x:c>
      <x:c r="DC4" s="24" t="str">
        <x:v>Q100</x:v>
      </x:c>
      <x:c r="DD4" s="24" t="str">
        <x:v>Q101</x:v>
      </x:c>
      <x:c r="DE4" s="24" t="str">
        <x:v>Q102</x:v>
      </x:c>
      <x:c r="DF4" s="24" t="str">
        <x:v>Q103</x:v>
      </x:c>
      <x:c r="DG4" s="24" t="str">
        <x:v>Q104</x:v>
      </x:c>
      <x:c r="DH4" s="24" t="str">
        <x:v>Q105</x:v>
      </x:c>
      <x:c r="DI4" s="24" t="str">
        <x:v>Q106</x:v>
      </x:c>
      <x:c r="DJ4" s="24" t="str">
        <x:v>Q107</x:v>
      </x:c>
      <x:c r="DK4" s="24" t="str">
        <x:v>Q108</x:v>
      </x:c>
      <x:c r="DL4" s="24" t="str">
        <x:v>Q109</x:v>
      </x:c>
      <x:c r="DM4" s="24" t="str">
        <x:v>Q110</x:v>
      </x:c>
      <x:c r="DN4" s="24" t="str">
        <x:v>Q111</x:v>
      </x:c>
      <x:c r="DO4" s="24" t="str">
        <x:v>Q112</x:v>
      </x:c>
      <x:c r="DP4" s="24" t="str">
        <x:v>Q113</x:v>
      </x:c>
      <x:c r="DQ4" s="24" t="str">
        <x:v>Q114</x:v>
      </x:c>
      <x:c r="DR4" s="24" t="str">
        <x:v>Q115</x:v>
      </x:c>
      <x:c r="DS4" s="24" t="str">
        <x:v>Q116</x:v>
      </x:c>
      <x:c r="DT4" s="24" t="str">
        <x:v>Q117</x:v>
      </x:c>
      <x:c r="DU4" s="24" t="str">
        <x:v>Q118</x:v>
      </x:c>
      <x:c r="DV4" s="24" t="str">
        <x:v>Q119</x:v>
      </x:c>
      <x:c r="DW4" s="24" t="str">
        <x:v>Q120</x:v>
      </x:c>
      <x:c r="DX4" s="24" t="str">
        <x:v>Q121</x:v>
      </x:c>
      <x:c r="DY4" s="24" t="str">
        <x:v>Q122</x:v>
      </x:c>
      <x:c r="DZ4" s="24" t="str">
        <x:v>Q123</x:v>
      </x:c>
      <x:c r="EA4" s="24" t="str">
        <x:v>Q124</x:v>
      </x:c>
      <x:c r="EB4" s="24" t="str">
        <x:v>Q125</x:v>
      </x:c>
      <x:c r="EC4" s="24" t="str">
        <x:v>Q126</x:v>
      </x:c>
      <x:c r="ED4" s="24" t="str">
        <x:v>Q127</x:v>
      </x:c>
      <x:c r="EE4" s="24" t="str">
        <x:v>Q128</x:v>
      </x:c>
      <x:c r="EF4" s="24" t="str">
        <x:v>Q129</x:v>
      </x:c>
      <x:c r="EG4" s="24" t="str">
        <x:v>Q130</x:v>
      </x:c>
      <x:c r="EH4" s="24" t="str">
        <x:v>Q131</x:v>
      </x:c>
      <x:c r="EI4" s="24" t="str">
        <x:v>Q132</x:v>
      </x:c>
      <x:c r="EJ4" s="24" t="str">
        <x:v>Q133</x:v>
      </x:c>
      <x:c r="EK4" s="24" t="str">
        <x:v>Q134</x:v>
      </x:c>
      <x:c r="EL4" s="24" t="str">
        <x:v>Q135</x:v>
      </x:c>
      <x:c r="EM4" s="24" t="str">
        <x:v>Q136</x:v>
      </x:c>
      <x:c r="EN4" s="24" t="str">
        <x:v>Q137</x:v>
      </x:c>
      <x:c r="EO4" s="24" t="str">
        <x:v>Q138</x:v>
      </x:c>
      <x:c r="EP4" s="24" t="str">
        <x:v>Q139</x:v>
      </x:c>
      <x:c r="EQ4" s="24" t="str">
        <x:v>Q140</x:v>
      </x:c>
      <x:c r="ER4" s="24" t="str">
        <x:v>Q141</x:v>
      </x:c>
      <x:c r="ES4" s="24" t="str">
        <x:v>Q142</x:v>
      </x:c>
      <x:c r="ET4" s="24" t="str">
        <x:v>Q143</x:v>
      </x:c>
      <x:c r="EU4" s="24" t="str">
        <x:v>Q144</x:v>
      </x:c>
      <x:c r="EV4" s="24" t="str">
        <x:v>Q145</x:v>
      </x:c>
      <x:c r="EW4" s="24" t="str">
        <x:v>Q146</x:v>
      </x:c>
      <x:c r="EX4" s="24" t="str">
        <x:v>Q147</x:v>
      </x:c>
      <x:c r="EY4" s="24" t="str">
        <x:v>Q148</x:v>
      </x:c>
      <x:c r="EZ4" s="24" t="str">
        <x:v>Q149</x:v>
      </x:c>
      <x:c r="FA4" s="24" t="str">
        <x:v>Q150</x:v>
      </x:c>
      <x:c r="FB4" s="24" t="str">
        <x:v>Q151</x:v>
      </x:c>
      <x:c r="FC4" s="24" t="str">
        <x:v>Q152</x:v>
      </x:c>
      <x:c r="FD4" s="24" t="str">
        <x:v>Q153</x:v>
      </x:c>
      <x:c r="FE4" s="24" t="str">
        <x:v>Q154</x:v>
      </x:c>
      <x:c r="FF4" s="24" t="str">
        <x:v>Q155</x:v>
      </x:c>
      <x:c r="FG4" s="24" t="str">
        <x:v>Q156</x:v>
      </x:c>
      <x:c r="FH4" s="24" t="str">
        <x:v>Q157</x:v>
      </x:c>
      <x:c r="FI4" s="24" t="str">
        <x:v>Q158</x:v>
      </x:c>
      <x:c r="FJ4" s="24" t="str">
        <x:v>Q159</x:v>
      </x:c>
      <x:c r="FK4" s="24" t="str">
        <x:v>Q160</x:v>
      </x:c>
      <x:c r="FL4" s="24" t="str">
        <x:v>Q161</x:v>
      </x:c>
      <x:c r="FM4" s="24" t="str">
        <x:v>Q162</x:v>
      </x:c>
      <x:c r="FN4" s="24" t="str">
        <x:v>Q163</x:v>
      </x:c>
      <x:c r="FO4" s="24" t="str">
        <x:v>Q164</x:v>
      </x:c>
      <x:c r="FP4" s="24" t="str">
        <x:v>Q165</x:v>
      </x:c>
      <x:c r="FQ4" s="24" t="str">
        <x:v>Q166</x:v>
      </x:c>
      <x:c r="FR4" s="24" t="str">
        <x:v>Q167</x:v>
      </x:c>
      <x:c r="FS4" s="24" t="str">
        <x:v>Q168</x:v>
      </x:c>
      <x:c r="FT4" s="24" t="str">
        <x:v>Q169</x:v>
      </x:c>
      <x:c r="FU4" s="24" t="str">
        <x:v>Q170</x:v>
      </x:c>
      <x:c r="FV4" s="24" t="str">
        <x:v>Q171</x:v>
      </x:c>
      <x:c r="FW4" s="24" t="str">
        <x:v>Q172</x:v>
      </x:c>
      <x:c r="FX4" s="24" t="str">
        <x:v>Q173</x:v>
      </x:c>
      <x:c r="FY4" s="24" t="str">
        <x:v>Q174</x:v>
      </x:c>
      <x:c r="FZ4" s="24" t="str">
        <x:v>Q175</x:v>
      </x:c>
      <x:c r="GA4" s="24" t="str">
        <x:v>Q176</x:v>
      </x:c>
      <x:c r="GB4" s="24" t="str">
        <x:v>Q177</x:v>
      </x:c>
      <x:c r="GC4" s="24" t="str">
        <x:v>Q178</x:v>
      </x:c>
      <x:c r="GD4" s="24" t="str">
        <x:v>Q179</x:v>
      </x:c>
      <x:c r="GE4" s="24" t="str">
        <x:v>Q180</x:v>
      </x:c>
      <x:c r="GF4" s="24" t="str">
        <x:v>Q181</x:v>
      </x:c>
      <x:c r="GG4" s="24" t="str">
        <x:v>Q182</x:v>
      </x:c>
      <x:c r="GH4" s="24" t="str">
        <x:v>Q183</x:v>
      </x:c>
      <x:c r="GI4" s="24" t="str">
        <x:v>Q184</x:v>
      </x:c>
      <x:c r="GJ4" s="24" t="str">
        <x:v>Q185</x:v>
      </x:c>
      <x:c r="GK4" s="24" t="str">
        <x:v>Q186</x:v>
      </x:c>
      <x:c r="GL4" s="24" t="str">
        <x:v>Q187</x:v>
      </x:c>
      <x:c r="GM4" s="24" t="str">
        <x:v>Q188</x:v>
      </x:c>
      <x:c r="GN4" s="24" t="str">
        <x:v>Q189</x:v>
      </x:c>
      <x:c r="GO4" s="24" t="str">
        <x:v>Q190</x:v>
      </x:c>
      <x:c r="GP4" s="24" t="str">
        <x:v>Q191</x:v>
      </x:c>
      <x:c r="GQ4" s="24" t="str">
        <x:v>Q192</x:v>
      </x:c>
      <x:c r="GR4" s="24" t="str">
        <x:v>Q193</x:v>
      </x:c>
      <x:c r="GS4" s="24" t="str">
        <x:v>Q194</x:v>
      </x:c>
      <x:c r="GT4" s="24" t="str">
        <x:v>Q195</x:v>
      </x:c>
      <x:c r="GU4" s="24" t="str">
        <x:v>Q196</x:v>
      </x:c>
      <x:c r="GV4" s="24" t="str">
        <x:v>Q197</x:v>
      </x:c>
      <x:c r="GW4" s="24" t="str">
        <x:v>Q198</x:v>
      </x:c>
      <x:c r="GX4" s="24" t="str">
        <x:v>Q199</x:v>
      </x:c>
      <x:c r="GY4" s="24" t="str">
        <x:v>Q200</x:v>
      </x:c>
      <x:c r="GZ4" s="24" t="str">
        <x:v>Q201</x:v>
      </x:c>
      <x:c r="HA4" s="24" t="str">
        <x:v>Q202</x:v>
      </x:c>
      <x:c r="HB4" s="24" t="str">
        <x:v>Q203</x:v>
      </x:c>
      <x:c r="HC4" s="24" t="str">
        <x:v>Q204</x:v>
      </x:c>
      <x:c r="HD4" s="24" t="str">
        <x:v>Q205</x:v>
      </x:c>
      <x:c r="HE4" s="24" t="str">
        <x:v>Q206</x:v>
      </x:c>
      <x:c r="HF4" s="24" t="str">
        <x:v>Q207</x:v>
      </x:c>
      <x:c r="HG4" s="24" t="str">
        <x:v>Q208</x:v>
      </x:c>
      <x:c r="HH4" s="24" t="str">
        <x:v>Q209</x:v>
      </x:c>
      <x:c r="HI4" s="24" t="str">
        <x:v>Q210</x:v>
      </x:c>
      <x:c r="HJ4" s="24" t="str">
        <x:v>Q211</x:v>
      </x:c>
      <x:c r="HK4" s="24" t="str">
        <x:v>Q212</x:v>
      </x:c>
      <x:c r="HL4" s="24" t="str">
        <x:v>Q213</x:v>
      </x:c>
      <x:c r="HM4" s="24" t="str">
        <x:v>Q214</x:v>
      </x:c>
      <x:c r="HN4" s="24" t="str">
        <x:v>Q215</x:v>
      </x:c>
      <x:c r="HO4" s="24" t="str">
        <x:v>Q216</x:v>
      </x:c>
      <x:c r="HP4" s="24" t="str">
        <x:v>R</x:v>
      </x:c>
      <x:c r="HQ4" s="24" t="str">
        <x:v>I</x:v>
      </x:c>
      <x:c r="HR4" s="24" t="str">
        <x:v>A</x:v>
      </x:c>
      <x:c r="HS4" s="24" t="str">
        <x:v>S</x:v>
      </x:c>
      <x:c r="HT4" s="24" t="str">
        <x:v>E</x:v>
      </x:c>
      <x:c r="HU4" s="24" t="str">
        <x:v>C</x:v>
      </x:c>
      <x:c r="HV4" s="24" t="str">
        <x:v>Holland Code</x:v>
      </x:c>
      <x:c r="HW4" s="24" t="str">
        <x:v>บุคลิกภาพเด่น</x:v>
      </x:c>
      <x:c r="HX4" s="24" t="str">
        <x:v>ชื่อจริง</x:v>
      </x:c>
      <x:c r="HY4" s="24" t="str">
        <x:v>นามสกุล</x:v>
      </x:c>
      <x:c r="HZ4" s="24" t="str">
        <x:v>ยินยอม</x:v>
      </x:c>
      <x:c r="IA4" s="24" t="str">
        <x:v>อาชีพที่ 1 (ล่าสุด)</x:v>
      </x:c>
      <x:c r="IB4" s="24" t="str">
        <x:v>อาชีพที่ 2</x:v>
      </x:c>
      <x:c r="IC4" s="24" t="str">
        <x:v>อาชีพที่ 3</x:v>
      </x:c>
      <x:c r="ID4" s="24" t="str">
        <x:v>อาชีพที่ 4</x:v>
      </x:c>
      <x:c r="IE4" s="24" t="str">
        <x:v>อาชีพที่ 5 (เก่าที่สุด)</x:v>
      </x:c>
      <x:c r="IF4" s="24" t="str">
        <x:v>อาชีพที่ 1 พบอาชีพในระบบ</x:v>
      </x:c>
      <x:c r="IG4" s="24" t="str">
        <x:v>อาชีพที่ 2 พบอาชีพในระบบ</x:v>
      </x:c>
      <x:c r="IH4" s="24" t="str">
        <x:v>อาชีพที่ 3 พบอาชีพในระบบ</x:v>
      </x:c>
      <x:c r="II4" s="24" t="str">
        <x:v>อาชีพที่ 4 พบอาชีพในระบบ</x:v>
      </x:c>
      <x:c r="IJ4" s="24" t="str">
        <x:v>อาชีพที่ 5 พบอาชีพในระบบ</x:v>
      </x:c>
      <x:c r="IK4" s="24" t="str">
        <x:v>กิจกรรม R</x:v>
      </x:c>
      <x:c r="IL4" s="24" t="str">
        <x:v>กิจกรรม I</x:v>
      </x:c>
      <x:c r="IM4" s="24" t="str">
        <x:v>กิจกรรม A</x:v>
      </x:c>
      <x:c r="IN4" s="24" t="str">
        <x:v>กิจกรรม S</x:v>
      </x:c>
      <x:c r="IO4" s="24" t="str">
        <x:v>กิจกรรม E</x:v>
      </x:c>
      <x:c r="IP4" s="24" t="str">
        <x:v>กิจกรรม C</x:v>
      </x:c>
      <x:c r="IQ4" s="24" t="str">
        <x:v>ความสามารถ R</x:v>
      </x:c>
      <x:c r="IR4" s="24" t="str">
        <x:v>ความสามารถ I</x:v>
      </x:c>
      <x:c r="IS4" s="24" t="str">
        <x:v>ความสามารถ A</x:v>
      </x:c>
      <x:c r="IT4" s="24" t="str">
        <x:v>ความสามารถ S</x:v>
      </x:c>
      <x:c r="IU4" s="24" t="str">
        <x:v>ความสามารถ E</x:v>
      </x:c>
      <x:c r="IV4" s="24" t="str">
        <x:v>ความสามารถ C</x:v>
      </x:c>
      <x:c r="IW4" s="24" t="str">
        <x:v>อาชีพ R</x:v>
      </x:c>
      <x:c r="IX4" s="24" t="str">
        <x:v>อาชีพ I</x:v>
      </x:c>
      <x:c r="IY4" s="24" t="str">
        <x:v>อาชีพ A</x:v>
      </x:c>
      <x:c r="IZ4" s="24" t="str">
        <x:v>อาชีพ S</x:v>
      </x:c>
      <x:c r="JA4" s="24" t="str">
        <x:v>อาชีพ E</x:v>
      </x:c>
      <x:c r="JB4" s="24" t="str">
        <x:v>อาชีพ C</x:v>
      </x:c>
      <x:c r="JC4" s="24" t="str">
        <x:v>ประเมินตนเอง R</x:v>
      </x:c>
      <x:c r="JD4" s="24" t="str">
        <x:v>ประเมินตนเอง I</x:v>
      </x:c>
      <x:c r="JE4" s="24" t="str">
        <x:v>ประเมินตนเอง A</x:v>
      </x:c>
      <x:c r="JF4" s="24" t="str">
        <x:v>ประเมินตนเอง S</x:v>
      </x:c>
      <x:c r="JG4" s="24" t="str">
        <x:v>ประเมินตนเอง E</x:v>
      </x:c>
      <x:c r="JH4" s="24" t="str">
        <x:v>ประเมินตนเอง C</x:v>
      </x:c>
      <x:c r="JI4" s="24" t="str">
        <x:v>Tie key R</x:v>
      </x:c>
      <x:c r="JJ4" s="24" t="str">
        <x:v>Tie key I</x:v>
      </x:c>
      <x:c r="JK4" s="24" t="str">
        <x:v>Tie key A</x:v>
      </x:c>
      <x:c r="JL4" s="24" t="str">
        <x:v>Tie key S</x:v>
      </x:c>
      <x:c r="JM4" s="24" t="str">
        <x:v>Tie key E</x:v>
      </x:c>
      <x:c r="JN4" s="25" t="str">
        <x:v>Tie key C</x:v>
      </x:c>
    </x:row>
    <x:row r="5">
      <x:c r="A5" s="27" t="str">
        <x:v>EXAMPLE-001</x:v>
      </x:c>
      <x:c r="B5" s="28" t="n">
        <x:v>46223.083333333336</x:v>
      </x:c>
      <x:c r="C5" s="27" t="str">
        <x:v>ตัวอย่าง นักเรียน</x:v>
      </x:c>
      <x:c r="D5" s="27" t="str">
        <x:v>น้องตัวอย่าง</x:v>
      </x:c>
      <x:c r="E5" s="27" t="str">
        <x:v>ม.5/1</x:v>
      </x:c>
      <x:c r="F5" s="27" t="n">
        <x:v>1</x:v>
      </x:c>
      <x:c r="G5" s="27" t="str">
        <x:v>ยินยอม</x:v>
      </x:c>
      <x:c r="H5" s="27" t="n">
        <x:v>0</x:v>
      </x:c>
      <x:c r="I5" s="27" t="n">
        <x:v>1</x:v>
      </x:c>
      <x:c r="J5" s="27" t="n">
        <x:v>1</x:v>
      </x:c>
      <x:c r="K5" s="27" t="n">
        <x:v>1</x:v>
      </x:c>
      <x:c r="L5" s="27" t="n">
        <x:v>1</x:v>
      </x:c>
      <x:c r="M5" s="27" t="n">
        <x:v>1</x:v>
      </x:c>
      <x:c r="N5" s="27" t="n">
        <x:v>1</x:v>
      </x:c>
      <x:c r="O5" s="27" t="n">
        <x:v>1</x:v>
      </x:c>
      <x:c r="P5" s="27" t="n">
        <x:v>1</x:v>
      </x:c>
      <x:c r="Q5" s="27" t="n">
        <x:v>1</x:v>
      </x:c>
      <x:c r="R5" s="27" t="n">
        <x:v>1</x:v>
      </x:c>
      <x:c r="S5" s="27" t="n">
        <x:v>1</x:v>
      </x:c>
      <x:c r="T5" s="27" t="n">
        <x:v>1</x:v>
      </x:c>
      <x:c r="U5" s="27" t="n">
        <x:v>1</x:v>
      </x:c>
      <x:c r="V5" s="27" t="n">
        <x:v>1</x:v>
      </x:c>
      <x:c r="W5" s="27" t="n">
        <x:v>1</x:v>
      </x:c>
      <x:c r="X5" s="27" t="n">
        <x:v>1</x:v>
      </x:c>
      <x:c r="Y5" s="27" t="n">
        <x:v>1</x:v>
      </x:c>
      <x:c r="Z5" s="27" t="n">
        <x:v>1</x:v>
      </x:c>
      <x:c r="AA5" s="27" t="n">
        <x:v>0</x:v>
      </x:c>
      <x:c r="AB5" s="27" t="n">
        <x:v>1</x:v>
      </x:c>
      <x:c r="AC5" s="27" t="n">
        <x:v>1</x:v>
      </x:c>
      <x:c r="AD5" s="27" t="n">
        <x:v>1</x:v>
      </x:c>
      <x:c r="AE5" s="27" t="n">
        <x:v>1</x:v>
      </x:c>
      <x:c r="AF5" s="27" t="n">
        <x:v>1</x:v>
      </x:c>
      <x:c r="AG5" s="27" t="n">
        <x:v>1</x:v>
      </x:c>
      <x:c r="AH5" s="27" t="n">
        <x:v>1</x:v>
      </x:c>
      <x:c r="AI5" s="27" t="n">
        <x:v>1</x:v>
      </x:c>
      <x:c r="AJ5" s="27" t="n">
        <x:v>1</x:v>
      </x:c>
      <x:c r="AK5" s="27" t="n">
        <x:v>1</x:v>
      </x:c>
      <x:c r="AL5" s="27" t="n">
        <x:v>1</x:v>
      </x:c>
      <x:c r="AM5" s="27" t="n">
        <x:v>1</x:v>
      </x:c>
      <x:c r="AN5" s="27" t="n">
        <x:v>1</x:v>
      </x:c>
      <x:c r="AO5" s="27" t="n">
        <x:v>1</x:v>
      </x:c>
      <x:c r="AP5" s="27" t="n">
        <x:v>1</x:v>
      </x:c>
      <x:c r="AQ5" s="27" t="n">
        <x:v>1</x:v>
      </x:c>
      <x:c r="AR5" s="27" t="n">
        <x:v>1</x:v>
      </x:c>
      <x:c r="AS5" s="27" t="n">
        <x:v>1</x:v>
      </x:c>
      <x:c r="AT5" s="27" t="n">
        <x:v>0</x:v>
      </x:c>
      <x:c r="AU5" s="27" t="n">
        <x:v>1</x:v>
      </x:c>
      <x:c r="AV5" s="27" t="n">
        <x:v>1</x:v>
      </x:c>
      <x:c r="AW5" s="27" t="n">
        <x:v>1</x:v>
      </x:c>
      <x:c r="AX5" s="27" t="n">
        <x:v>1</x:v>
      </x:c>
      <x:c r="AY5" s="27" t="n">
        <x:v>1</x:v>
      </x:c>
      <x:c r="AZ5" s="27" t="n">
        <x:v>1</x:v>
      </x:c>
      <x:c r="BA5" s="27" t="n">
        <x:v>1</x:v>
      </x:c>
      <x:c r="BB5" s="27" t="n">
        <x:v>1</x:v>
      </x:c>
      <x:c r="BC5" s="27" t="n">
        <x:v>1</x:v>
      </x:c>
      <x:c r="BD5" s="27" t="n">
        <x:v>1</x:v>
      </x:c>
      <x:c r="BE5" s="27" t="n">
        <x:v>1</x:v>
      </x:c>
      <x:c r="BF5" s="27" t="n">
        <x:v>1</x:v>
      </x:c>
      <x:c r="BG5" s="27" t="n">
        <x:v>1</x:v>
      </x:c>
      <x:c r="BH5" s="27" t="n">
        <x:v>1</x:v>
      </x:c>
      <x:c r="BI5" s="27" t="n">
        <x:v>1</x:v>
      </x:c>
      <x:c r="BJ5" s="27" t="n">
        <x:v>1</x:v>
      </x:c>
      <x:c r="BK5" s="27" t="n">
        <x:v>1</x:v>
      </x:c>
      <x:c r="BL5" s="27" t="n">
        <x:v>1</x:v>
      </x:c>
      <x:c r="BM5" s="27" t="n">
        <x:v>0</x:v>
      </x:c>
      <x:c r="BN5" s="27" t="n">
        <x:v>1</x:v>
      </x:c>
      <x:c r="BO5" s="27" t="n">
        <x:v>1</x:v>
      </x:c>
      <x:c r="BP5" s="27" t="n">
        <x:v>1</x:v>
      </x:c>
      <x:c r="BQ5" s="27" t="n">
        <x:v>1</x:v>
      </x:c>
      <x:c r="BR5" s="27" t="n">
        <x:v>1</x:v>
      </x:c>
      <x:c r="BS5" s="27" t="n">
        <x:v>1</x:v>
      </x:c>
      <x:c r="BT5" s="27" t="n">
        <x:v>1</x:v>
      </x:c>
      <x:c r="BU5" s="27" t="n">
        <x:v>1</x:v>
      </x:c>
      <x:c r="BV5" s="27" t="n">
        <x:v>1</x:v>
      </x:c>
      <x:c r="BW5" s="27" t="n">
        <x:v>1</x:v>
      </x:c>
      <x:c r="BX5" s="27" t="n">
        <x:v>1</x:v>
      </x:c>
      <x:c r="BY5" s="27" t="n">
        <x:v>1</x:v>
      </x:c>
      <x:c r="BZ5" s="27" t="n">
        <x:v>1</x:v>
      </x:c>
      <x:c r="CA5" s="27" t="n">
        <x:v>1</x:v>
      </x:c>
      <x:c r="CB5" s="27" t="n">
        <x:v>1</x:v>
      </x:c>
      <x:c r="CC5" s="27" t="n">
        <x:v>1</x:v>
      </x:c>
      <x:c r="CD5" s="27" t="n">
        <x:v>1</x:v>
      </x:c>
      <x:c r="CE5" s="27" t="n">
        <x:v>1</x:v>
      </x:c>
      <x:c r="CF5" s="27" t="n">
        <x:v>0</x:v>
      </x:c>
      <x:c r="CG5" s="27" t="n">
        <x:v>1</x:v>
      </x:c>
      <x:c r="CH5" s="27" t="n">
        <x:v>1</x:v>
      </x:c>
      <x:c r="CI5" s="27" t="n">
        <x:v>1</x:v>
      </x:c>
      <x:c r="CJ5" s="27" t="n">
        <x:v>1</x:v>
      </x:c>
      <x:c r="CK5" s="27" t="n">
        <x:v>1</x:v>
      </x:c>
      <x:c r="CL5" s="27" t="n">
        <x:v>1</x:v>
      </x:c>
      <x:c r="CM5" s="27" t="n">
        <x:v>1</x:v>
      </x:c>
      <x:c r="CN5" s="27" t="n">
        <x:v>1</x:v>
      </x:c>
      <x:c r="CO5" s="27" t="n">
        <x:v>1</x:v>
      </x:c>
      <x:c r="CP5" s="27" t="n">
        <x:v>1</x:v>
      </x:c>
      <x:c r="CQ5" s="27" t="n">
        <x:v>1</x:v>
      </x:c>
      <x:c r="CR5" s="27" t="n">
        <x:v>1</x:v>
      </x:c>
      <x:c r="CS5" s="27" t="n">
        <x:v>1</x:v>
      </x:c>
      <x:c r="CT5" s="27" t="n">
        <x:v>1</x:v>
      </x:c>
      <x:c r="CU5" s="27" t="n">
        <x:v>1</x:v>
      </x:c>
      <x:c r="CV5" s="27" t="n">
        <x:v>1</x:v>
      </x:c>
      <x:c r="CW5" s="27" t="n">
        <x:v>1</x:v>
      </x:c>
      <x:c r="CX5" s="27" t="n">
        <x:v>1</x:v>
      </x:c>
      <x:c r="CY5" s="27" t="n">
        <x:v>0</x:v>
      </x:c>
      <x:c r="CZ5" s="27" t="n">
        <x:v>1</x:v>
      </x:c>
      <x:c r="DA5" s="27" t="n">
        <x:v>1</x:v>
      </x:c>
      <x:c r="DB5" s="27" t="n">
        <x:v>1</x:v>
      </x:c>
      <x:c r="DC5" s="27" t="n">
        <x:v>1</x:v>
      </x:c>
      <x:c r="DD5" s="27" t="n">
        <x:v>1</x:v>
      </x:c>
      <x:c r="DE5" s="27" t="n">
        <x:v>1</x:v>
      </x:c>
      <x:c r="DF5" s="27" t="n">
        <x:v>1</x:v>
      </x:c>
      <x:c r="DG5" s="27" t="n">
        <x:v>1</x:v>
      </x:c>
      <x:c r="DH5" s="27" t="n">
        <x:v>1</x:v>
      </x:c>
      <x:c r="DI5" s="27" t="n">
        <x:v>1</x:v>
      </x:c>
      <x:c r="DJ5" s="27" t="n">
        <x:v>1</x:v>
      </x:c>
      <x:c r="DK5" s="27" t="n">
        <x:v>1</x:v>
      </x:c>
      <x:c r="DL5" s="27" t="n">
        <x:v>1</x:v>
      </x:c>
      <x:c r="DM5" s="27" t="n">
        <x:v>1</x:v>
      </x:c>
      <x:c r="DN5" s="27" t="n">
        <x:v>1</x:v>
      </x:c>
      <x:c r="DO5" s="27" t="n">
        <x:v>1</x:v>
      </x:c>
      <x:c r="DP5" s="27" t="n">
        <x:v>1</x:v>
      </x:c>
      <x:c r="DQ5" s="27" t="n">
        <x:v>1</x:v>
      </x:c>
      <x:c r="DR5" s="27" t="n">
        <x:v>0</x:v>
      </x:c>
      <x:c r="DS5" s="27" t="n">
        <x:v>1</x:v>
      </x:c>
      <x:c r="DT5" s="27" t="n">
        <x:v>1</x:v>
      </x:c>
      <x:c r="DU5" s="27" t="n">
        <x:v>1</x:v>
      </x:c>
      <x:c r="DV5" s="27" t="n">
        <x:v>1</x:v>
      </x:c>
      <x:c r="DW5" s="27" t="n">
        <x:v>1</x:v>
      </x:c>
      <x:c r="DX5" s="27" t="n">
        <x:v>1</x:v>
      </x:c>
      <x:c r="DY5" s="27" t="n">
        <x:v>1</x:v>
      </x:c>
      <x:c r="DZ5" s="27" t="n">
        <x:v>1</x:v>
      </x:c>
      <x:c r="EA5" s="27" t="n">
        <x:v>1</x:v>
      </x:c>
      <x:c r="EB5" s="27" t="n">
        <x:v>1</x:v>
      </x:c>
      <x:c r="EC5" s="27" t="n">
        <x:v>1</x:v>
      </x:c>
      <x:c r="ED5" s="27" t="n">
        <x:v>1</x:v>
      </x:c>
      <x:c r="EE5" s="27" t="n">
        <x:v>1</x:v>
      </x:c>
      <x:c r="EF5" s="27" t="n">
        <x:v>1</x:v>
      </x:c>
      <x:c r="EG5" s="27" t="n">
        <x:v>1</x:v>
      </x:c>
      <x:c r="EH5" s="27" t="n">
        <x:v>1</x:v>
      </x:c>
      <x:c r="EI5" s="27" t="n">
        <x:v>1</x:v>
      </x:c>
      <x:c r="EJ5" s="27" t="n">
        <x:v>1</x:v>
      </x:c>
      <x:c r="EK5" s="27" t="n">
        <x:v>0</x:v>
      </x:c>
      <x:c r="EL5" s="27" t="n">
        <x:v>1</x:v>
      </x:c>
      <x:c r="EM5" s="27" t="n">
        <x:v>1</x:v>
      </x:c>
      <x:c r="EN5" s="27" t="n">
        <x:v>1</x:v>
      </x:c>
      <x:c r="EO5" s="27" t="n">
        <x:v>1</x:v>
      </x:c>
      <x:c r="EP5" s="27" t="n">
        <x:v>1</x:v>
      </x:c>
      <x:c r="EQ5" s="27" t="n">
        <x:v>1</x:v>
      </x:c>
      <x:c r="ER5" s="27" t="n">
        <x:v>1</x:v>
      </x:c>
      <x:c r="ES5" s="27" t="n">
        <x:v>1</x:v>
      </x:c>
      <x:c r="ET5" s="27" t="n">
        <x:v>1</x:v>
      </x:c>
      <x:c r="EU5" s="27" t="n">
        <x:v>1</x:v>
      </x:c>
      <x:c r="EV5" s="27" t="n">
        <x:v>1</x:v>
      </x:c>
      <x:c r="EW5" s="27" t="n">
        <x:v>1</x:v>
      </x:c>
      <x:c r="EX5" s="27" t="n">
        <x:v>1</x:v>
      </x:c>
      <x:c r="EY5" s="27" t="n">
        <x:v>1</x:v>
      </x:c>
      <x:c r="EZ5" s="27" t="n">
        <x:v>1</x:v>
      </x:c>
      <x:c r="FA5" s="27" t="n">
        <x:v>1</x:v>
      </x:c>
      <x:c r="FB5" s="27" t="n">
        <x:v>1</x:v>
      </x:c>
      <x:c r="FC5" s="27" t="n">
        <x:v>1</x:v>
      </x:c>
      <x:c r="FD5" s="27" t="n">
        <x:v>0</x:v>
      </x:c>
      <x:c r="FE5" s="27" t="n">
        <x:v>1</x:v>
      </x:c>
      <x:c r="FF5" s="27" t="n">
        <x:v>1</x:v>
      </x:c>
      <x:c r="FG5" s="27" t="n">
        <x:v>1</x:v>
      </x:c>
      <x:c r="FH5" s="27" t="n">
        <x:v>1</x:v>
      </x:c>
      <x:c r="FI5" s="27" t="n">
        <x:v>1</x:v>
      </x:c>
      <x:c r="FJ5" s="27" t="n">
        <x:v>1</x:v>
      </x:c>
      <x:c r="FK5" s="27" t="n">
        <x:v>1</x:v>
      </x:c>
      <x:c r="FL5" s="27" t="n">
        <x:v>1</x:v>
      </x:c>
      <x:c r="FM5" s="27" t="n">
        <x:v>1</x:v>
      </x:c>
      <x:c r="FN5" s="27" t="n">
        <x:v>1</x:v>
      </x:c>
      <x:c r="FO5" s="27" t="n">
        <x:v>1</x:v>
      </x:c>
      <x:c r="FP5" s="27" t="n">
        <x:v>1</x:v>
      </x:c>
      <x:c r="FQ5" s="27" t="n">
        <x:v>1</x:v>
      </x:c>
      <x:c r="FR5" s="27" t="n">
        <x:v>1</x:v>
      </x:c>
      <x:c r="FS5" s="27" t="n">
        <x:v>1</x:v>
      </x:c>
      <x:c r="FT5" s="27" t="n">
        <x:v>1</x:v>
      </x:c>
      <x:c r="FU5" s="27" t="n">
        <x:v>1</x:v>
      </x:c>
      <x:c r="FV5" s="27" t="n">
        <x:v>1</x:v>
      </x:c>
      <x:c r="FW5" s="27" t="n">
        <x:v>0</x:v>
      </x:c>
      <x:c r="FX5" s="27" t="n">
        <x:v>1</x:v>
      </x:c>
      <x:c r="FY5" s="27" t="n">
        <x:v>1</x:v>
      </x:c>
      <x:c r="FZ5" s="27" t="n">
        <x:v>1</x:v>
      </x:c>
      <x:c r="GA5" s="27" t="n">
        <x:v>1</x:v>
      </x:c>
      <x:c r="GB5" s="27" t="n">
        <x:v>1</x:v>
      </x:c>
      <x:c r="GC5" s="27" t="n">
        <x:v>1</x:v>
      </x:c>
      <x:c r="GD5" s="27" t="n">
        <x:v>1</x:v>
      </x:c>
      <x:c r="GE5" s="27" t="n">
        <x:v>1</x:v>
      </x:c>
      <x:c r="GF5" s="27" t="n">
        <x:v>1</x:v>
      </x:c>
      <x:c r="GG5" s="27" t="n">
        <x:v>1</x:v>
      </x:c>
      <x:c r="GH5" s="27" t="n">
        <x:v>1</x:v>
      </x:c>
      <x:c r="GI5" s="27" t="n">
        <x:v>1</x:v>
      </x:c>
      <x:c r="GJ5" s="27" t="n">
        <x:v>1</x:v>
      </x:c>
      <x:c r="GK5" s="27" t="n">
        <x:v>1</x:v>
      </x:c>
      <x:c r="GL5" s="27" t="n">
        <x:v>1</x:v>
      </x:c>
      <x:c r="GM5" s="27" t="n">
        <x:v>1</x:v>
      </x:c>
      <x:c r="GN5" s="27" t="n">
        <x:v>1</x:v>
      </x:c>
      <x:c r="GO5" s="27" t="n">
        <x:v>1</x:v>
      </x:c>
      <x:c r="GP5" s="27" t="n">
        <x:v>0</x:v>
      </x:c>
      <x:c r="GQ5" s="27" t="n">
        <x:v>1</x:v>
      </x:c>
      <x:c r="GR5" s="27" t="n">
        <x:v>1</x:v>
      </x:c>
      <x:c r="GS5" s="27" t="n">
        <x:v>1</x:v>
      </x:c>
      <x:c r="GT5" s="27" t="n">
        <x:v>1</x:v>
      </x:c>
      <x:c r="GU5" s="27" t="n">
        <x:v>1</x:v>
      </x:c>
      <x:c r="GV5" s="27" t="n">
        <x:v>1</x:v>
      </x:c>
      <x:c r="GW5" s="27" t="n">
        <x:v>1</x:v>
      </x:c>
      <x:c r="GX5" s="27" t="n">
        <x:v>1</x:v>
      </x:c>
      <x:c r="GY5" s="27" t="n">
        <x:v>1</x:v>
      </x:c>
      <x:c r="GZ5" s="27" t="n">
        <x:v>1</x:v>
      </x:c>
      <x:c r="HA5" s="27" t="n">
        <x:v>1</x:v>
      </x:c>
      <x:c r="HB5" s="27" t="n">
        <x:v>1</x:v>
      </x:c>
      <x:c r="HC5" s="27" t="n">
        <x:v>1</x:v>
      </x:c>
      <x:c r="HD5" s="27" t="n">
        <x:v>1</x:v>
      </x:c>
      <x:c r="HE5" s="27" t="n">
        <x:v>1</x:v>
      </x:c>
      <x:c r="HF5" s="27" t="n">
        <x:v>1</x:v>
      </x:c>
      <x:c r="HG5" s="27" t="n">
        <x:v>1</x:v>
      </x:c>
      <x:c r="HH5" s="27" t="n">
        <x:v>1</x:v>
      </x:c>
      <x:c r="HI5" s="27" t="n">
        <x:v>0</x:v>
      </x:c>
      <x:c r="HJ5" s="27" t="n">
        <x:v>1</x:v>
      </x:c>
      <x:c r="HK5" s="27" t="n">
        <x:v>1</x:v>
      </x:c>
      <x:c r="HL5" s="27" t="n">
        <x:v>1</x:v>
      </x:c>
      <x:c r="HM5" s="27" t="n">
        <x:v>1</x:v>
      </x:c>
      <x:c r="HN5" s="27" t="n">
        <x:v>1</x:v>
      </x:c>
      <x:c r="HO5" s="27" t="n">
        <x:v>1</x:v>
      </x:c>
      <x:c r="HP5" s="27" t="n">
        <x:f>IF(C5="","",SUM(H5,N5,T5,Z5,AF5,AL5,AR5,AX5,BD5,BJ5,BP5,BV5,CB5,CH5,CN5,CT5,CZ5,DF5,DL5,DR5,DX5,ED5,EJ5,EP5,EV5,FB5,FH5,FN5,FT5,FZ5,GF5,GL5,GR5,GX5,HD5,HJ5))</x:f>
        <x:v>34</x:v>
      </x:c>
      <x:c r="HQ5" s="27" t="n">
        <x:f>IF(C5="","",SUM(I5,O5,U5,AA5,AG5,AM5,AS5,AY5,BE5,BK5,BQ5,BW5,CC5,CI5,CO5,CU5,DA5,DG5,DM5,DS5,DY5,EE5,EK5,EQ5,EW5,FC5,FI5,FO5,FU5,GA5,GG5,GM5,GS5,GY5,HE5,HK5))</x:f>
        <x:v>34</x:v>
      </x:c>
      <x:c r="HR5" s="27" t="n">
        <x:f>IF(C5="","",SUM(J5,P5,V5,AB5,AH5,AN5,AT5,AZ5,BF5,BL5,BR5,BX5,CD5,CJ5,CP5,CV5,DB5,DH5,DN5,DT5,DZ5,EF5,EL5,ER5,EX5,FD5,FJ5,FP5,FV5,GB5,GH5,GN5,GT5,GZ5,HF5,HL5))</x:f>
        <x:v>34</x:v>
      </x:c>
      <x:c r="HS5" s="27" t="n">
        <x:f>IF(C5="","",SUM(K5,Q5,W5,AC5,AI5,AO5,AU5,BA5,BG5,BM5,BS5,BY5,CE5,CK5,CQ5,CW5,DC5,DI5,DO5,DU5,EA5,EG5,EM5,ES5,EY5,FE5,FK5,FQ5,FW5,GC5,GI5,GO5,GU5,HA5,HG5,HM5))</x:f>
        <x:v>34</x:v>
      </x:c>
      <x:c r="HT5" s="27" t="n">
        <x:f>IF(C5="","",SUM(L5,R5,X5,AD5,AJ5,AP5,AV5,BB5,BH5,BN5,BT5,BZ5,CF5,CL5,CR5,CX5,DD5,DJ5,DP5,DV5,EB5,EH5,EN5,ET5,EZ5,FF5,FL5,FR5,FX5,GD5,GJ5,GP5,GV5,HB5,HH5,HN5))</x:f>
        <x:v>34</x:v>
      </x:c>
      <x:c r="HU5" s="27" t="n">
        <x:f>IF(C5="","",SUM(M5,S5,Y5,AE5,AK5,AQ5,AW5,BC5,BI5,BO5,BU5,CA5,CG5,CM5,CS5,CY5,DE5,DK5,DQ5,DW5,EC5,EI5,EO5,EU5,FA5,FG5,FM5,FS5,FY5,GE5,GK5,GQ5,GW5,HC5,HI5,HO5))</x:f>
        <x:v>34</x:v>
      </x:c>
      <x:c r="HV5" s="27" t="str">
        <x:f>IF(C5="","",IF(JI5=LARGE(JI5:JN5,1),"R",IF(JJ5=LARGE(JI5:JN5,1),"I",IF(JK5=LARGE(JI5:JN5,1),"A",IF(JL5=LARGE(JI5:JN5,1),"S",IF(JM5=LARGE(JI5:JN5,1),"E",IF(JN5=LARGE(JI5:JN5,1),"C",""))))))&amp;IF(JI5=LARGE(JI5:JN5,2),"R",IF(JJ5=LARGE(JI5:JN5,2),"I",IF(JK5=LARGE(JI5:JN5,2),"A",IF(JL5=LARGE(JI5:JN5,2),"S",IF(JM5=LARGE(JI5:JN5,2),"E",IF(JN5=LARGE(JI5:JN5,2),"C",""))))))&amp;IF(JI5=LARGE(JI5:JN5,3),"R",IF(JJ5=LARGE(JI5:JN5,3),"I",IF(JK5=LARGE(JI5:JN5,3),"A",IF(JL5=LARGE(JI5:JN5,3),"S",IF(JM5=LARGE(JI5:JN5,3),"E",IF(JN5=LARGE(JI5:JN5,3),"C","")))))))</x:f>
        <x:v>RIA</x:v>
      </x:c>
      <x:c r="HW5" s="27" t="str">
        <x:f>IF(C5="","",IF(JI5=LARGE(JI5:JN5,1),"นักปฏิบัติ",IF(JJ5=LARGE(JI5:JN5,1),"นักคิดวิเคราะห์",IF(JK5=LARGE(JI5:JN5,1),"นักสร้างสรรค์",IF(JL5=LARGE(JI5:JN5,1),"ผู้เข้าใจผู้คน",IF(JM5=LARGE(JI5:JN5,1),"ผู้นำการเปลี่ยนแปลง",IF(JN5=LARGE(JI5:JN5,1),"ผู้จัดระบบ","ผู้จัดระบบ")))))))</x:f>
        <x:v>นักปฏิบัติ</x:v>
      </x:c>
      <x:c r="HX5" s="27"/>
      <x:c r="HY5" s="27"/>
      <x:c r="HZ5" s="27"/>
      <x:c r="IA5" s="27"/>
      <x:c r="IB5" s="27"/>
      <x:c r="IC5" s="27"/>
      <x:c r="ID5" s="27"/>
      <x:c r="IE5" s="27"/>
      <x:c r="IF5" s="27"/>
      <x:c r="IG5" s="27"/>
      <x:c r="IH5" s="27"/>
      <x:c r="II5" s="27"/>
      <x:c r="IJ5" s="27"/>
      <x:c r="IK5" s="27" t="n">
        <x:f>IF(C5="","",SUM(H5,N5,T5,Z5,AF5,AL5,AR5,AX5,BD5,BJ5,BP5))</x:f>
        <x:v>10</x:v>
      </x:c>
      <x:c r="IL5" s="27" t="n">
        <x:f>IF(C5="","",SUM(I5,O5,U5,AA5,AG5,AM5,AS5,AY5,BE5,BK5,BQ5))</x:f>
        <x:v>10</x:v>
      </x:c>
      <x:c r="IM5" s="27" t="n">
        <x:f>IF(C5="","",SUM(J5,P5,V5,AB5,AH5,AN5,AT5,AZ5,BF5,BL5,BR5))</x:f>
        <x:v>10</x:v>
      </x:c>
      <x:c r="IN5" s="27" t="n">
        <x:f>IF(C5="","",SUM(K5,Q5,W5,AC5,AI5,AO5,AU5,BA5,BG5,BM5,BS5))</x:f>
        <x:v>10</x:v>
      </x:c>
      <x:c r="IO5" s="27" t="n">
        <x:f>IF(C5="","",SUM(L5,R5,X5,AD5,AJ5,AP5,AV5,BB5,BH5,BN5,BT5))</x:f>
        <x:v>11</x:v>
      </x:c>
      <x:c r="IP5" s="27" t="n">
        <x:f>IF(C5="","",SUM(M5,S5,Y5,AE5,AK5,AQ5,AW5,BC5,BI5,BO5,BU5))</x:f>
        <x:v>11</x:v>
      </x:c>
      <x:c r="IQ5" s="27" t="n">
        <x:f>IF(C5="","",SUM(BV5,CB5,CH5,CN5,CT5,CZ5,DF5,DL5,DR5,DX5,ED5))</x:f>
        <x:v>10</x:v>
      </x:c>
      <x:c r="IR5" s="27" t="n">
        <x:f>IF(C5="","",SUM(BW5,CC5,CI5,CO5,CU5,DA5,DG5,DM5,DS5,DY5,EE5))</x:f>
        <x:v>11</x:v>
      </x:c>
      <x:c r="IS5" s="27" t="n">
        <x:f>IF(C5="","",SUM(BX5,CD5,CJ5,CP5,CV5,DB5,DH5,DN5,DT5,DZ5,EF5))</x:f>
        <x:v>11</x:v>
      </x:c>
      <x:c r="IT5" s="27" t="n">
        <x:f>IF(C5="","",SUM(BY5,CE5,CK5,CQ5,CW5,DC5,DI5,DO5,DU5,EA5,EG5))</x:f>
        <x:v>11</x:v>
      </x:c>
      <x:c r="IU5" s="27" t="n">
        <x:f>IF(C5="","",SUM(BZ5,CF5,CL5,CR5,CX5,DD5,DJ5,DP5,DV5,EB5,EH5))</x:f>
        <x:v>10</x:v>
      </x:c>
      <x:c r="IV5" s="27" t="n">
        <x:f>IF(C5="","",SUM(CA5,CG5,CM5,CS5,CY5,DE5,DK5,DQ5,DW5,EC5,EI5))</x:f>
        <x:v>10</x:v>
      </x:c>
      <x:c r="IW5" s="27" t="n">
        <x:f>IF(C5="","",SUM(EJ5,EP5,EV5,FB5,FH5,FN5,FT5,FZ5,GF5,GL5,GR5,GX5,HD5,HJ5))</x:f>
        <x:v>14</x:v>
      </x:c>
      <x:c r="IX5" s="27" t="n">
        <x:f>IF(C5="","",SUM(EK5,EQ5,EW5,FC5,FI5,FO5,FU5,GA5,GG5,GM5,GS5,GY5,HE5,HK5))</x:f>
        <x:v>13</x:v>
      </x:c>
      <x:c r="IY5" s="27" t="n">
        <x:f>IF(C5="","",SUM(EL5,ER5,EX5,FD5,FJ5,FP5,FV5,GB5,GH5,GN5,GT5,GZ5,HF5,HL5))</x:f>
        <x:v>13</x:v>
      </x:c>
      <x:c r="IZ5" s="27" t="n">
        <x:f>IF(C5="","",SUM(EM5,ES5,EY5,FE5,FK5,FQ5,FW5,GC5,GI5,GO5,GU5,HA5,HG5,HM5))</x:f>
        <x:v>13</x:v>
      </x:c>
      <x:c r="JA5" s="27" t="n">
        <x:f>IF(C5="","",SUM(EN5,ET5,EZ5,FF5,FL5,FR5,FX5,GD5,GJ5,GP5,GV5,HB5,HH5,HN5))</x:f>
        <x:v>13</x:v>
      </x:c>
      <x:c r="JB5" s="27" t="n">
        <x:f>IF(C5="","",SUM(EO5,EU5,FA5,FG5,FM5,FS5,FY5,GE5,GK5,GQ5,GW5,HC5,HI5,HO5))</x:f>
        <x:v>13</x:v>
      </x:c>
      <x:c r="JC5" s="27" t="n">
        <x:f>IF(C5="","",0)</x:f>
        <x:v>0</x:v>
      </x:c>
      <x:c r="JD5" s="27" t="n">
        <x:f>IF(C5="","",0)</x:f>
        <x:v>0</x:v>
      </x:c>
      <x:c r="JE5" s="27" t="n">
        <x:f>IF(C5="","",0)</x:f>
        <x:v>0</x:v>
      </x:c>
      <x:c r="JF5" s="27" t="n">
        <x:f>IF(C5="","",0)</x:f>
        <x:v>0</x:v>
      </x:c>
      <x:c r="JG5" s="27" t="n">
        <x:f>IF(C5="","",0)</x:f>
        <x:v>0</x:v>
      </x:c>
      <x:c r="JH5" s="27" t="n">
        <x:f>IF(C5="","",0)</x:f>
        <x:v>0</x:v>
      </x:c>
      <x:c r="JI5" s="27" t="n">
        <x:f>IF(C5="","",HP5*1000000000+IW5*1000000+IQ5*10000+IK5*100+JC5+6/1000)</x:f>
        <x:v>34014101000.006</x:v>
      </x:c>
      <x:c r="JJ5" s="27" t="n">
        <x:f>IF(C5="","",HQ5*1000000000+IX5*1000000+IR5*10000+IL5*100+JD5+5/1000)</x:f>
        <x:v>34013111000.005</x:v>
      </x:c>
      <x:c r="JK5" s="27" t="n">
        <x:f>IF(C5="","",HR5*1000000000+IY5*1000000+IS5*10000+IM5*100+JE5+4/1000)</x:f>
        <x:v>34013111000.004</x:v>
      </x:c>
      <x:c r="JL5" s="27" t="n">
        <x:f>IF(C5="","",HS5*1000000000+IZ5*1000000+IT5*10000+IN5*100+JF5+3/1000)</x:f>
        <x:v>34013111000.003</x:v>
      </x:c>
      <x:c r="JM5" s="27" t="n">
        <x:f>IF(C5="","",HT5*1000000000+JA5*1000000+IU5*10000+IO5*100+JG5+2/1000)</x:f>
        <x:v>34013101100.002</x:v>
      </x:c>
      <x:c r="JN5" s="27" t="n">
        <x:f>IF(C5="","",HU5*1000000000+JB5*1000000+IV5*10000+IP5*100+JH5+1/1000)</x:f>
        <x:v>34013101100.001</x:v>
      </x:c>
    </x:row>
    <x:row r="6">
      <x:c r="A6" s="27"/>
      <x:c r="B6" s="28"/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  <x:c r="O6" s="27"/>
      <x:c r="P6" s="27"/>
      <x:c r="Q6" s="27"/>
      <x:c r="R6" s="27"/>
      <x:c r="S6" s="27"/>
      <x:c r="T6" s="27"/>
      <x:c r="U6" s="27"/>
      <x:c r="V6" s="27"/>
      <x:c r="W6" s="27"/>
      <x:c r="X6" s="27"/>
      <x:c r="Y6" s="27"/>
      <x:c r="Z6" s="27"/>
      <x:c r="AA6" s="27"/>
      <x:c r="AB6" s="27"/>
      <x:c r="AC6" s="27"/>
      <x:c r="AD6" s="27"/>
      <x:c r="AE6" s="27"/>
      <x:c r="AF6" s="27"/>
      <x:c r="AG6" s="27"/>
      <x:c r="AH6" s="27"/>
      <x:c r="AI6" s="27"/>
      <x:c r="AJ6" s="27"/>
      <x:c r="AK6" s="27"/>
      <x:c r="AL6" s="27"/>
      <x:c r="AM6" s="27"/>
      <x:c r="AN6" s="27"/>
      <x:c r="AO6" s="27"/>
      <x:c r="AP6" s="27"/>
      <x:c r="AQ6" s="27"/>
      <x:c r="AR6" s="27"/>
      <x:c r="AS6" s="27"/>
      <x:c r="AT6" s="27"/>
      <x:c r="AU6" s="27"/>
      <x:c r="AV6" s="27"/>
      <x:c r="AW6" s="27"/>
      <x:c r="AX6" s="27"/>
      <x:c r="AY6" s="27"/>
      <x:c r="AZ6" s="27"/>
      <x:c r="BA6" s="27"/>
      <x:c r="BB6" s="27"/>
      <x:c r="BC6" s="27"/>
      <x:c r="BD6" s="27"/>
      <x:c r="BE6" s="27"/>
      <x:c r="BF6" s="27"/>
      <x:c r="BG6" s="27"/>
      <x:c r="BH6" s="27"/>
      <x:c r="BI6" s="27"/>
      <x:c r="BJ6" s="27"/>
      <x:c r="BK6" s="27"/>
      <x:c r="BL6" s="27"/>
      <x:c r="BM6" s="27"/>
      <x:c r="BN6" s="27"/>
      <x:c r="BO6" s="27"/>
      <x:c r="BP6" s="27"/>
      <x:c r="BQ6" s="27"/>
      <x:c r="BR6" s="27"/>
      <x:c r="BS6" s="27"/>
      <x:c r="BT6" s="27"/>
      <x:c r="BU6" s="27"/>
      <x:c r="BV6" s="27"/>
      <x:c r="BW6" s="27"/>
      <x:c r="BX6" s="27"/>
      <x:c r="BY6" s="27"/>
      <x:c r="BZ6" s="27"/>
      <x:c r="CA6" s="27"/>
      <x:c r="CB6" s="27"/>
      <x:c r="CC6" s="27"/>
      <x:c r="CD6" s="27"/>
      <x:c r="CE6" s="27"/>
      <x:c r="CF6" s="27"/>
      <x:c r="CG6" s="27"/>
      <x:c r="CH6" s="27"/>
      <x:c r="CI6" s="27"/>
      <x:c r="CJ6" s="27"/>
      <x:c r="CK6" s="27"/>
      <x:c r="CL6" s="27"/>
      <x:c r="CM6" s="27"/>
      <x:c r="CN6" s="27"/>
      <x:c r="CO6" s="27"/>
      <x:c r="CP6" s="27"/>
      <x:c r="CQ6" s="27"/>
      <x:c r="CR6" s="27"/>
      <x:c r="CS6" s="27"/>
      <x:c r="CT6" s="27"/>
      <x:c r="CU6" s="27"/>
      <x:c r="CV6" s="27"/>
      <x:c r="CW6" s="27"/>
      <x:c r="CX6" s="27"/>
      <x:c r="CY6" s="27"/>
      <x:c r="CZ6" s="27"/>
      <x:c r="DA6" s="27"/>
      <x:c r="DB6" s="27"/>
      <x:c r="DC6" s="27"/>
      <x:c r="DD6" s="27"/>
      <x:c r="DE6" s="27"/>
      <x:c r="DF6" s="27"/>
      <x:c r="DG6" s="27"/>
      <x:c r="DH6" s="27"/>
      <x:c r="DI6" s="27"/>
      <x:c r="DJ6" s="27"/>
      <x:c r="DK6" s="27"/>
      <x:c r="DL6" s="27"/>
      <x:c r="DM6" s="27"/>
      <x:c r="DN6" s="27"/>
      <x:c r="DO6" s="27"/>
      <x:c r="DP6" s="27"/>
      <x:c r="DQ6" s="27"/>
      <x:c r="DR6" s="27"/>
      <x:c r="DS6" s="27"/>
      <x:c r="DT6" s="27"/>
      <x:c r="DU6" s="27"/>
      <x:c r="DV6" s="27"/>
      <x:c r="DW6" s="27"/>
      <x:c r="DX6" s="27"/>
      <x:c r="DY6" s="27"/>
      <x:c r="DZ6" s="27"/>
      <x:c r="EA6" s="27"/>
      <x:c r="EB6" s="27"/>
      <x:c r="EC6" s="27"/>
      <x:c r="ED6" s="27"/>
      <x:c r="EE6" s="27"/>
      <x:c r="EF6" s="27"/>
      <x:c r="EG6" s="27"/>
      <x:c r="EH6" s="27"/>
      <x:c r="EI6" s="27"/>
      <x:c r="EJ6" s="27"/>
      <x:c r="EK6" s="27"/>
      <x:c r="EL6" s="27"/>
      <x:c r="EM6" s="27"/>
      <x:c r="EN6" s="27"/>
      <x:c r="EO6" s="27"/>
      <x:c r="EP6" s="27"/>
      <x:c r="EQ6" s="27"/>
      <x:c r="ER6" s="27"/>
      <x:c r="ES6" s="27"/>
      <x:c r="ET6" s="27"/>
      <x:c r="EU6" s="27"/>
      <x:c r="EV6" s="27"/>
      <x:c r="EW6" s="27"/>
      <x:c r="EX6" s="27"/>
      <x:c r="EY6" s="27"/>
      <x:c r="EZ6" s="27"/>
      <x:c r="FA6" s="27"/>
      <x:c r="FB6" s="27"/>
      <x:c r="FC6" s="27"/>
      <x:c r="FD6" s="27"/>
      <x:c r="FE6" s="27"/>
      <x:c r="FF6" s="27"/>
      <x:c r="FG6" s="27"/>
      <x:c r="FH6" s="27"/>
      <x:c r="FI6" s="27"/>
      <x:c r="FJ6" s="27"/>
      <x:c r="FK6" s="27"/>
      <x:c r="FL6" s="27"/>
      <x:c r="FM6" s="27"/>
      <x:c r="FN6" s="27"/>
      <x:c r="FO6" s="27"/>
      <x:c r="FP6" s="27"/>
      <x:c r="FQ6" s="27"/>
      <x:c r="FR6" s="27"/>
      <x:c r="FS6" s="27"/>
      <x:c r="FT6" s="27"/>
      <x:c r="FU6" s="27"/>
      <x:c r="FV6" s="27"/>
      <x:c r="FW6" s="27"/>
      <x:c r="FX6" s="27"/>
      <x:c r="FY6" s="27"/>
      <x:c r="FZ6" s="27"/>
      <x:c r="GA6" s="27"/>
      <x:c r="GB6" s="27"/>
      <x:c r="GC6" s="27"/>
      <x:c r="GD6" s="27"/>
      <x:c r="GE6" s="27"/>
      <x:c r="GF6" s="27"/>
      <x:c r="GG6" s="27"/>
      <x:c r="GH6" s="27"/>
      <x:c r="GI6" s="27"/>
      <x:c r="GJ6" s="27"/>
      <x:c r="GK6" s="27"/>
      <x:c r="GL6" s="27"/>
      <x:c r="GM6" s="27"/>
      <x:c r="GN6" s="27"/>
      <x:c r="GO6" s="27"/>
      <x:c r="GP6" s="27"/>
      <x:c r="GQ6" s="27"/>
      <x:c r="GR6" s="27"/>
      <x:c r="GS6" s="27"/>
      <x:c r="GT6" s="27"/>
      <x:c r="GU6" s="27"/>
      <x:c r="GV6" s="27"/>
      <x:c r="GW6" s="27"/>
      <x:c r="GX6" s="27"/>
      <x:c r="GY6" s="27"/>
      <x:c r="GZ6" s="27"/>
      <x:c r="HA6" s="27"/>
      <x:c r="HB6" s="27"/>
      <x:c r="HC6" s="27"/>
      <x:c r="HD6" s="27"/>
      <x:c r="HE6" s="27"/>
      <x:c r="HF6" s="27"/>
      <x:c r="HG6" s="27"/>
      <x:c r="HH6" s="27"/>
      <x:c r="HI6" s="27"/>
      <x:c r="HJ6" s="27"/>
      <x:c r="HK6" s="27"/>
      <x:c r="HL6" s="27"/>
      <x:c r="HM6" s="27"/>
      <x:c r="HN6" s="27"/>
      <x:c r="HO6" s="27"/>
      <x:c r="HP6" s="27" t="str">
        <x:f>IF(C6="","",SUM(H6,N6,T6,Z6,AF6,AL6,AR6,AX6,BD6,BJ6,BP6,BV6,CB6,CH6,CN6,CT6,CZ6,DF6,DL6,DR6,DX6,ED6,EJ6,EP6,EV6,FB6,FH6,FN6,FT6,FZ6,GF6,GL6,GR6,GX6,HD6,HJ6))</x:f>
      </x:c>
      <x:c r="HQ6" s="27" t="str">
        <x:f>IF(C6="","",SUM(I6,O6,U6,AA6,AG6,AM6,AS6,AY6,BE6,BK6,BQ6,BW6,CC6,CI6,CO6,CU6,DA6,DG6,DM6,DS6,DY6,EE6,EK6,EQ6,EW6,FC6,FI6,FO6,FU6,GA6,GG6,GM6,GS6,GY6,HE6,HK6))</x:f>
      </x:c>
      <x:c r="HR6" s="27" t="str">
        <x:f>IF(C6="","",SUM(J6,P6,V6,AB6,AH6,AN6,AT6,AZ6,BF6,BL6,BR6,BX6,CD6,CJ6,CP6,CV6,DB6,DH6,DN6,DT6,DZ6,EF6,EL6,ER6,EX6,FD6,FJ6,FP6,FV6,GB6,GH6,GN6,GT6,GZ6,HF6,HL6))</x:f>
      </x:c>
      <x:c r="HS6" s="27" t="str">
        <x:f>IF(C6="","",SUM(K6,Q6,W6,AC6,AI6,AO6,AU6,BA6,BG6,BM6,BS6,BY6,CE6,CK6,CQ6,CW6,DC6,DI6,DO6,DU6,EA6,EG6,EM6,ES6,EY6,FE6,FK6,FQ6,FW6,GC6,GI6,GO6,GU6,HA6,HG6,HM6))</x:f>
      </x:c>
      <x:c r="HT6" s="27" t="str">
        <x:f>IF(C6="","",SUM(L6,R6,X6,AD6,AJ6,AP6,AV6,BB6,BH6,BN6,BT6,BZ6,CF6,CL6,CR6,CX6,DD6,DJ6,DP6,DV6,EB6,EH6,EN6,ET6,EZ6,FF6,FL6,FR6,FX6,GD6,GJ6,GP6,GV6,HB6,HH6,HN6))</x:f>
      </x:c>
      <x:c r="HU6" s="27" t="str">
        <x:f>IF(C6="","",SUM(M6,S6,Y6,AE6,AK6,AQ6,AW6,BC6,BI6,BO6,BU6,CA6,CG6,CM6,CS6,CY6,DE6,DK6,DQ6,DW6,EC6,EI6,EO6,EU6,FA6,FG6,FM6,FS6,FY6,GE6,GK6,GQ6,GW6,HC6,HI6,HO6))</x:f>
      </x:c>
      <x:c r="HV6" s="27" t="str">
        <x:f>IF(C6="","",IF(JI6=LARGE(JI6:JN6,1),"R",IF(JJ6=LARGE(JI6:JN6,1),"I",IF(JK6=LARGE(JI6:JN6,1),"A",IF(JL6=LARGE(JI6:JN6,1),"S",IF(JM6=LARGE(JI6:JN6,1),"E",IF(JN6=LARGE(JI6:JN6,1),"C",""))))))&amp;IF(JI6=LARGE(JI6:JN6,2),"R",IF(JJ6=LARGE(JI6:JN6,2),"I",IF(JK6=LARGE(JI6:JN6,2),"A",IF(JL6=LARGE(JI6:JN6,2),"S",IF(JM6=LARGE(JI6:JN6,2),"E",IF(JN6=LARGE(JI6:JN6,2),"C",""))))))&amp;IF(JI6=LARGE(JI6:JN6,3),"R",IF(JJ6=LARGE(JI6:JN6,3),"I",IF(JK6=LARGE(JI6:JN6,3),"A",IF(JL6=LARGE(JI6:JN6,3),"S",IF(JM6=LARGE(JI6:JN6,3),"E",IF(JN6=LARGE(JI6:JN6,3),"C","")))))))</x:f>
      </x:c>
      <x:c r="HW6" s="27" t="str">
        <x:f>IF(C6="","",IF(JI6=LARGE(JI6:JN6,1),"นักปฏิบัติ",IF(JJ6=LARGE(JI6:JN6,1),"นักคิดวิเคราะห์",IF(JK6=LARGE(JI6:JN6,1),"นักสร้างสรรค์",IF(JL6=LARGE(JI6:JN6,1),"ผู้เข้าใจผู้คน",IF(JM6=LARGE(JI6:JN6,1),"ผู้นำการเปลี่ยนแปลง",IF(JN6=LARGE(JI6:JN6,1),"ผู้จัดระบบ","ผู้จัดระบบ")))))))</x:f>
      </x:c>
      <x:c r="HX6" s="27"/>
      <x:c r="HY6" s="27"/>
      <x:c r="HZ6" s="27"/>
      <x:c r="IA6" s="27"/>
      <x:c r="IB6" s="27"/>
      <x:c r="IC6" s="27"/>
      <x:c r="ID6" s="27"/>
      <x:c r="IE6" s="27"/>
      <x:c r="IF6" s="27"/>
      <x:c r="IG6" s="27"/>
      <x:c r="IH6" s="27"/>
      <x:c r="II6" s="27"/>
      <x:c r="IJ6" s="27"/>
      <x:c r="IK6" s="27" t="str">
        <x:f>IF(C6="","",SUM(H6,N6,T6,Z6,AF6,AL6,AR6,AX6,BD6,BJ6,BP6))</x:f>
      </x:c>
      <x:c r="IL6" s="27" t="str">
        <x:f>IF(C6="","",SUM(I6,O6,U6,AA6,AG6,AM6,AS6,AY6,BE6,BK6,BQ6))</x:f>
      </x:c>
      <x:c r="IM6" s="27" t="str">
        <x:f>IF(C6="","",SUM(J6,P6,V6,AB6,AH6,AN6,AT6,AZ6,BF6,BL6,BR6))</x:f>
      </x:c>
      <x:c r="IN6" s="27" t="str">
        <x:f>IF(C6="","",SUM(K6,Q6,W6,AC6,AI6,AO6,AU6,BA6,BG6,BM6,BS6))</x:f>
      </x:c>
      <x:c r="IO6" s="27" t="str">
        <x:f>IF(C6="","",SUM(L6,R6,X6,AD6,AJ6,AP6,AV6,BB6,BH6,BN6,BT6))</x:f>
      </x:c>
      <x:c r="IP6" s="27" t="str">
        <x:f>IF(C6="","",SUM(M6,S6,Y6,AE6,AK6,AQ6,AW6,BC6,BI6,BO6,BU6))</x:f>
      </x:c>
      <x:c r="IQ6" s="27" t="str">
        <x:f>IF(C6="","",SUM(BV6,CB6,CH6,CN6,CT6,CZ6,DF6,DL6,DR6,DX6,ED6))</x:f>
      </x:c>
      <x:c r="IR6" s="27" t="str">
        <x:f>IF(C6="","",SUM(BW6,CC6,CI6,CO6,CU6,DA6,DG6,DM6,DS6,DY6,EE6))</x:f>
      </x:c>
      <x:c r="IS6" s="27" t="str">
        <x:f>IF(C6="","",SUM(BX6,CD6,CJ6,CP6,CV6,DB6,DH6,DN6,DT6,DZ6,EF6))</x:f>
      </x:c>
      <x:c r="IT6" s="27" t="str">
        <x:f>IF(C6="","",SUM(BY6,CE6,CK6,CQ6,CW6,DC6,DI6,DO6,DU6,EA6,EG6))</x:f>
      </x:c>
      <x:c r="IU6" s="27" t="str">
        <x:f>IF(C6="","",SUM(BZ6,CF6,CL6,CR6,CX6,DD6,DJ6,DP6,DV6,EB6,EH6))</x:f>
      </x:c>
      <x:c r="IV6" s="27" t="str">
        <x:f>IF(C6="","",SUM(CA6,CG6,CM6,CS6,CY6,DE6,DK6,DQ6,DW6,EC6,EI6))</x:f>
      </x:c>
      <x:c r="IW6" s="27" t="str">
        <x:f>IF(C6="","",SUM(EJ6,EP6,EV6,FB6,FH6,FN6,FT6,FZ6,GF6,GL6,GR6,GX6,HD6,HJ6))</x:f>
      </x:c>
      <x:c r="IX6" s="27" t="str">
        <x:f>IF(C6="","",SUM(EK6,EQ6,EW6,FC6,FI6,FO6,FU6,GA6,GG6,GM6,GS6,GY6,HE6,HK6))</x:f>
      </x:c>
      <x:c r="IY6" s="27" t="str">
        <x:f>IF(C6="","",SUM(EL6,ER6,EX6,FD6,FJ6,FP6,FV6,GB6,GH6,GN6,GT6,GZ6,HF6,HL6))</x:f>
      </x:c>
      <x:c r="IZ6" s="27" t="str">
        <x:f>IF(C6="","",SUM(EM6,ES6,EY6,FE6,FK6,FQ6,FW6,GC6,GI6,GO6,GU6,HA6,HG6,HM6))</x:f>
      </x:c>
      <x:c r="JA6" s="27" t="str">
        <x:f>IF(C6="","",SUM(EN6,ET6,EZ6,FF6,FL6,FR6,FX6,GD6,GJ6,GP6,GV6,HB6,HH6,HN6))</x:f>
      </x:c>
      <x:c r="JB6" s="27" t="str">
        <x:f>IF(C6="","",SUM(EO6,EU6,FA6,FG6,FM6,FS6,FY6,GE6,GK6,GQ6,GW6,HC6,HI6,HO6))</x:f>
      </x:c>
      <x:c r="JC6" s="27" t="str">
        <x:f>IF(C6="","",0)</x:f>
      </x:c>
      <x:c r="JD6" s="27" t="str">
        <x:f>IF(C6="","",0)</x:f>
      </x:c>
      <x:c r="JE6" s="27" t="str">
        <x:f>IF(C6="","",0)</x:f>
      </x:c>
      <x:c r="JF6" s="27" t="str">
        <x:f>IF(C6="","",0)</x:f>
      </x:c>
      <x:c r="JG6" s="27" t="str">
        <x:f>IF(C6="","",0)</x:f>
      </x:c>
      <x:c r="JH6" s="27" t="str">
        <x:f>IF(C6="","",0)</x:f>
      </x:c>
      <x:c r="JI6" s="27" t="str">
        <x:f>IF(C6="","",HP6*1000000000+IW6*1000000+IQ6*10000+IK6*100+JC6+6/1000)</x:f>
      </x:c>
      <x:c r="JJ6" s="27" t="str">
        <x:f>IF(C6="","",HQ6*1000000000+IX6*1000000+IR6*10000+IL6*100+JD6+5/1000)</x:f>
      </x:c>
      <x:c r="JK6" s="27" t="str">
        <x:f>IF(C6="","",HR6*1000000000+IY6*1000000+IS6*10000+IM6*100+JE6+4/1000)</x:f>
      </x:c>
      <x:c r="JL6" s="27" t="str">
        <x:f>IF(C6="","",HS6*1000000000+IZ6*1000000+IT6*10000+IN6*100+JF6+3/1000)</x:f>
      </x:c>
      <x:c r="JM6" s="27" t="str">
        <x:f>IF(C6="","",HT6*1000000000+JA6*1000000+IU6*10000+IO6*100+JG6+2/1000)</x:f>
      </x:c>
      <x:c r="JN6" s="27" t="str">
        <x:f>IF(C6="","",HU6*1000000000+JB6*1000000+IV6*10000+IP6*100+JH6+1/1000)</x:f>
      </x:c>
    </x:row>
    <x:row r="7">
      <x:c r="A7" s="27"/>
      <x:c r="B7" s="28"/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  <x:c r="O7" s="27"/>
      <x:c r="P7" s="27"/>
      <x:c r="Q7" s="27"/>
      <x:c r="R7" s="27"/>
      <x:c r="S7" s="27"/>
      <x:c r="T7" s="27"/>
      <x:c r="U7" s="27"/>
      <x:c r="V7" s="27"/>
      <x:c r="W7" s="27"/>
      <x:c r="X7" s="27"/>
      <x:c r="Y7" s="27"/>
      <x:c r="Z7" s="27"/>
      <x:c r="AA7" s="27"/>
      <x:c r="AB7" s="27"/>
      <x:c r="AC7" s="27"/>
      <x:c r="AD7" s="27"/>
      <x:c r="AE7" s="27"/>
      <x:c r="AF7" s="27"/>
      <x:c r="AG7" s="27"/>
      <x:c r="AH7" s="27"/>
      <x:c r="AI7" s="27"/>
      <x:c r="AJ7" s="27"/>
      <x:c r="AK7" s="27"/>
      <x:c r="AL7" s="27"/>
      <x:c r="AM7" s="27"/>
      <x:c r="AN7" s="27"/>
      <x:c r="AO7" s="27"/>
      <x:c r="AP7" s="27"/>
      <x:c r="AQ7" s="27"/>
      <x:c r="AR7" s="27"/>
      <x:c r="AS7" s="27"/>
      <x:c r="AT7" s="27"/>
      <x:c r="AU7" s="27"/>
      <x:c r="AV7" s="27"/>
      <x:c r="AW7" s="27"/>
      <x:c r="AX7" s="27"/>
      <x:c r="AY7" s="27"/>
      <x:c r="AZ7" s="27"/>
      <x:c r="BA7" s="27"/>
      <x:c r="BB7" s="27"/>
      <x:c r="BC7" s="27"/>
      <x:c r="BD7" s="27"/>
      <x:c r="BE7" s="27"/>
      <x:c r="BF7" s="27"/>
      <x:c r="BG7" s="27"/>
      <x:c r="BH7" s="27"/>
      <x:c r="BI7" s="27"/>
      <x:c r="BJ7" s="27"/>
      <x:c r="BK7" s="27"/>
      <x:c r="BL7" s="27"/>
      <x:c r="BM7" s="27"/>
      <x:c r="BN7" s="27"/>
      <x:c r="BO7" s="27"/>
      <x:c r="BP7" s="27"/>
      <x:c r="BQ7" s="27"/>
      <x:c r="BR7" s="27"/>
      <x:c r="BS7" s="27"/>
      <x:c r="BT7" s="27"/>
      <x:c r="BU7" s="27"/>
      <x:c r="BV7" s="27"/>
      <x:c r="BW7" s="27"/>
      <x:c r="BX7" s="27"/>
      <x:c r="BY7" s="27"/>
      <x:c r="BZ7" s="27"/>
      <x:c r="CA7" s="27"/>
      <x:c r="CB7" s="27"/>
      <x:c r="CC7" s="27"/>
      <x:c r="CD7" s="27"/>
      <x:c r="CE7" s="27"/>
      <x:c r="CF7" s="27"/>
      <x:c r="CG7" s="27"/>
      <x:c r="CH7" s="27"/>
      <x:c r="CI7" s="27"/>
      <x:c r="CJ7" s="27"/>
      <x:c r="CK7" s="27"/>
      <x:c r="CL7" s="27"/>
      <x:c r="CM7" s="27"/>
      <x:c r="CN7" s="27"/>
      <x:c r="CO7" s="27"/>
      <x:c r="CP7" s="27"/>
      <x:c r="CQ7" s="27"/>
      <x:c r="CR7" s="27"/>
      <x:c r="CS7" s="27"/>
      <x:c r="CT7" s="27"/>
      <x:c r="CU7" s="27"/>
      <x:c r="CV7" s="27"/>
      <x:c r="CW7" s="27"/>
      <x:c r="CX7" s="27"/>
      <x:c r="CY7" s="27"/>
      <x:c r="CZ7" s="27"/>
      <x:c r="DA7" s="27"/>
      <x:c r="DB7" s="27"/>
      <x:c r="DC7" s="27"/>
      <x:c r="DD7" s="27"/>
      <x:c r="DE7" s="27"/>
      <x:c r="DF7" s="27"/>
      <x:c r="DG7" s="27"/>
      <x:c r="DH7" s="27"/>
      <x:c r="DI7" s="27"/>
      <x:c r="DJ7" s="27"/>
      <x:c r="DK7" s="27"/>
      <x:c r="DL7" s="27"/>
      <x:c r="DM7" s="27"/>
      <x:c r="DN7" s="27"/>
      <x:c r="DO7" s="27"/>
      <x:c r="DP7" s="27"/>
      <x:c r="DQ7" s="27"/>
      <x:c r="DR7" s="27"/>
      <x:c r="DS7" s="27"/>
      <x:c r="DT7" s="27"/>
      <x:c r="DU7" s="27"/>
      <x:c r="DV7" s="27"/>
      <x:c r="DW7" s="27"/>
      <x:c r="DX7" s="27"/>
      <x:c r="DY7" s="27"/>
      <x:c r="DZ7" s="27"/>
      <x:c r="EA7" s="27"/>
      <x:c r="EB7" s="27"/>
      <x:c r="EC7" s="27"/>
      <x:c r="ED7" s="27"/>
      <x:c r="EE7" s="27"/>
      <x:c r="EF7" s="27"/>
      <x:c r="EG7" s="27"/>
      <x:c r="EH7" s="27"/>
      <x:c r="EI7" s="27"/>
      <x:c r="EJ7" s="27"/>
      <x:c r="EK7" s="27"/>
      <x:c r="EL7" s="27"/>
      <x:c r="EM7" s="27"/>
      <x:c r="EN7" s="27"/>
      <x:c r="EO7" s="27"/>
      <x:c r="EP7" s="27"/>
      <x:c r="EQ7" s="27"/>
      <x:c r="ER7" s="27"/>
      <x:c r="ES7" s="27"/>
      <x:c r="ET7" s="27"/>
      <x:c r="EU7" s="27"/>
      <x:c r="EV7" s="27"/>
      <x:c r="EW7" s="27"/>
      <x:c r="EX7" s="27"/>
      <x:c r="EY7" s="27"/>
      <x:c r="EZ7" s="27"/>
      <x:c r="FA7" s="27"/>
      <x:c r="FB7" s="27"/>
      <x:c r="FC7" s="27"/>
      <x:c r="FD7" s="27"/>
      <x:c r="FE7" s="27"/>
      <x:c r="FF7" s="27"/>
      <x:c r="FG7" s="27"/>
      <x:c r="FH7" s="27"/>
      <x:c r="FI7" s="27"/>
      <x:c r="FJ7" s="27"/>
      <x:c r="FK7" s="27"/>
      <x:c r="FL7" s="27"/>
      <x:c r="FM7" s="27"/>
      <x:c r="FN7" s="27"/>
      <x:c r="FO7" s="27"/>
      <x:c r="FP7" s="27"/>
      <x:c r="FQ7" s="27"/>
      <x:c r="FR7" s="27"/>
      <x:c r="FS7" s="27"/>
      <x:c r="FT7" s="27"/>
      <x:c r="FU7" s="27"/>
      <x:c r="FV7" s="27"/>
      <x:c r="FW7" s="27"/>
      <x:c r="FX7" s="27"/>
      <x:c r="FY7" s="27"/>
      <x:c r="FZ7" s="27"/>
      <x:c r="GA7" s="27"/>
      <x:c r="GB7" s="27"/>
      <x:c r="GC7" s="27"/>
      <x:c r="GD7" s="27"/>
      <x:c r="GE7" s="27"/>
      <x:c r="GF7" s="27"/>
      <x:c r="GG7" s="27"/>
      <x:c r="GH7" s="27"/>
      <x:c r="GI7" s="27"/>
      <x:c r="GJ7" s="27"/>
      <x:c r="GK7" s="27"/>
      <x:c r="GL7" s="27"/>
      <x:c r="GM7" s="27"/>
      <x:c r="GN7" s="27"/>
      <x:c r="GO7" s="27"/>
      <x:c r="GP7" s="27"/>
      <x:c r="GQ7" s="27"/>
      <x:c r="GR7" s="27"/>
      <x:c r="GS7" s="27"/>
      <x:c r="GT7" s="27"/>
      <x:c r="GU7" s="27"/>
      <x:c r="GV7" s="27"/>
      <x:c r="GW7" s="27"/>
      <x:c r="GX7" s="27"/>
      <x:c r="GY7" s="27"/>
      <x:c r="GZ7" s="27"/>
      <x:c r="HA7" s="27"/>
      <x:c r="HB7" s="27"/>
      <x:c r="HC7" s="27"/>
      <x:c r="HD7" s="27"/>
      <x:c r="HE7" s="27"/>
      <x:c r="HF7" s="27"/>
      <x:c r="HG7" s="27"/>
      <x:c r="HH7" s="27"/>
      <x:c r="HI7" s="27"/>
      <x:c r="HJ7" s="27"/>
      <x:c r="HK7" s="27"/>
      <x:c r="HL7" s="27"/>
      <x:c r="HM7" s="27"/>
      <x:c r="HN7" s="27"/>
      <x:c r="HO7" s="27"/>
      <x:c r="HP7" s="27" t="str">
        <x:f>IF(C7="","",SUM(H7,N7,T7,Z7,AF7,AL7,AR7,AX7,BD7,BJ7,BP7,BV7,CB7,CH7,CN7,CT7,CZ7,DF7,DL7,DR7,DX7,ED7,EJ7,EP7,EV7,FB7,FH7,FN7,FT7,FZ7,GF7,GL7,GR7,GX7,HD7,HJ7))</x:f>
      </x:c>
      <x:c r="HQ7" s="27" t="str">
        <x:f>IF(C7="","",SUM(I7,O7,U7,AA7,AG7,AM7,AS7,AY7,BE7,BK7,BQ7,BW7,CC7,CI7,CO7,CU7,DA7,DG7,DM7,DS7,DY7,EE7,EK7,EQ7,EW7,FC7,FI7,FO7,FU7,GA7,GG7,GM7,GS7,GY7,HE7,HK7))</x:f>
      </x:c>
      <x:c r="HR7" s="27" t="str">
        <x:f>IF(C7="","",SUM(J7,P7,V7,AB7,AH7,AN7,AT7,AZ7,BF7,BL7,BR7,BX7,CD7,CJ7,CP7,CV7,DB7,DH7,DN7,DT7,DZ7,EF7,EL7,ER7,EX7,FD7,FJ7,FP7,FV7,GB7,GH7,GN7,GT7,GZ7,HF7,HL7))</x:f>
      </x:c>
      <x:c r="HS7" s="27" t="str">
        <x:f>IF(C7="","",SUM(K7,Q7,W7,AC7,AI7,AO7,AU7,BA7,BG7,BM7,BS7,BY7,CE7,CK7,CQ7,CW7,DC7,DI7,DO7,DU7,EA7,EG7,EM7,ES7,EY7,FE7,FK7,FQ7,FW7,GC7,GI7,GO7,GU7,HA7,HG7,HM7))</x:f>
      </x:c>
      <x:c r="HT7" s="27" t="str">
        <x:f>IF(C7="","",SUM(L7,R7,X7,AD7,AJ7,AP7,AV7,BB7,BH7,BN7,BT7,BZ7,CF7,CL7,CR7,CX7,DD7,DJ7,DP7,DV7,EB7,EH7,EN7,ET7,EZ7,FF7,FL7,FR7,FX7,GD7,GJ7,GP7,GV7,HB7,HH7,HN7))</x:f>
      </x:c>
      <x:c r="HU7" s="27" t="str">
        <x:f>IF(C7="","",SUM(M7,S7,Y7,AE7,AK7,AQ7,AW7,BC7,BI7,BO7,BU7,CA7,CG7,CM7,CS7,CY7,DE7,DK7,DQ7,DW7,EC7,EI7,EO7,EU7,FA7,FG7,FM7,FS7,FY7,GE7,GK7,GQ7,GW7,HC7,HI7,HO7))</x:f>
      </x:c>
      <x:c r="HV7" s="27" t="str">
        <x:f>IF(C7="","",IF(JI7=LARGE(JI7:JN7,1),"R",IF(JJ7=LARGE(JI7:JN7,1),"I",IF(JK7=LARGE(JI7:JN7,1),"A",IF(JL7=LARGE(JI7:JN7,1),"S",IF(JM7=LARGE(JI7:JN7,1),"E",IF(JN7=LARGE(JI7:JN7,1),"C",""))))))&amp;IF(JI7=LARGE(JI7:JN7,2),"R",IF(JJ7=LARGE(JI7:JN7,2),"I",IF(JK7=LARGE(JI7:JN7,2),"A",IF(JL7=LARGE(JI7:JN7,2),"S",IF(JM7=LARGE(JI7:JN7,2),"E",IF(JN7=LARGE(JI7:JN7,2),"C",""))))))&amp;IF(JI7=LARGE(JI7:JN7,3),"R",IF(JJ7=LARGE(JI7:JN7,3),"I",IF(JK7=LARGE(JI7:JN7,3),"A",IF(JL7=LARGE(JI7:JN7,3),"S",IF(JM7=LARGE(JI7:JN7,3),"E",IF(JN7=LARGE(JI7:JN7,3),"C","")))))))</x:f>
      </x:c>
      <x:c r="HW7" s="27" t="str">
        <x:f>IF(C7="","",IF(JI7=LARGE(JI7:JN7,1),"นักปฏิบัติ",IF(JJ7=LARGE(JI7:JN7,1),"นักคิดวิเคราะห์",IF(JK7=LARGE(JI7:JN7,1),"นักสร้างสรรค์",IF(JL7=LARGE(JI7:JN7,1),"ผู้เข้าใจผู้คน",IF(JM7=LARGE(JI7:JN7,1),"ผู้นำการเปลี่ยนแปลง",IF(JN7=LARGE(JI7:JN7,1),"ผู้จัดระบบ","ผู้จัดระบบ")))))))</x:f>
      </x:c>
      <x:c r="HX7" s="27"/>
      <x:c r="HY7" s="27"/>
      <x:c r="HZ7" s="27"/>
      <x:c r="IA7" s="27"/>
      <x:c r="IB7" s="27"/>
      <x:c r="IC7" s="27"/>
      <x:c r="ID7" s="27"/>
      <x:c r="IE7" s="27"/>
      <x:c r="IF7" s="27"/>
      <x:c r="IG7" s="27"/>
      <x:c r="IH7" s="27"/>
      <x:c r="II7" s="27"/>
      <x:c r="IJ7" s="27"/>
      <x:c r="IK7" s="27" t="str">
        <x:f>IF(C7="","",SUM(H7,N7,T7,Z7,AF7,AL7,AR7,AX7,BD7,BJ7,BP7))</x:f>
      </x:c>
      <x:c r="IL7" s="27" t="str">
        <x:f>IF(C7="","",SUM(I7,O7,U7,AA7,AG7,AM7,AS7,AY7,BE7,BK7,BQ7))</x:f>
      </x:c>
      <x:c r="IM7" s="27" t="str">
        <x:f>IF(C7="","",SUM(J7,P7,V7,AB7,AH7,AN7,AT7,AZ7,BF7,BL7,BR7))</x:f>
      </x:c>
      <x:c r="IN7" s="27" t="str">
        <x:f>IF(C7="","",SUM(K7,Q7,W7,AC7,AI7,AO7,AU7,BA7,BG7,BM7,BS7))</x:f>
      </x:c>
      <x:c r="IO7" s="27" t="str">
        <x:f>IF(C7="","",SUM(L7,R7,X7,AD7,AJ7,AP7,AV7,BB7,BH7,BN7,BT7))</x:f>
      </x:c>
      <x:c r="IP7" s="27" t="str">
        <x:f>IF(C7="","",SUM(M7,S7,Y7,AE7,AK7,AQ7,AW7,BC7,BI7,BO7,BU7))</x:f>
      </x:c>
      <x:c r="IQ7" s="27" t="str">
        <x:f>IF(C7="","",SUM(BV7,CB7,CH7,CN7,CT7,CZ7,DF7,DL7,DR7,DX7,ED7))</x:f>
      </x:c>
      <x:c r="IR7" s="27" t="str">
        <x:f>IF(C7="","",SUM(BW7,CC7,CI7,CO7,CU7,DA7,DG7,DM7,DS7,DY7,EE7))</x:f>
      </x:c>
      <x:c r="IS7" s="27" t="str">
        <x:f>IF(C7="","",SUM(BX7,CD7,CJ7,CP7,CV7,DB7,DH7,DN7,DT7,DZ7,EF7))</x:f>
      </x:c>
      <x:c r="IT7" s="27" t="str">
        <x:f>IF(C7="","",SUM(BY7,CE7,CK7,CQ7,CW7,DC7,DI7,DO7,DU7,EA7,EG7))</x:f>
      </x:c>
      <x:c r="IU7" s="27" t="str">
        <x:f>IF(C7="","",SUM(BZ7,CF7,CL7,CR7,CX7,DD7,DJ7,DP7,DV7,EB7,EH7))</x:f>
      </x:c>
      <x:c r="IV7" s="27" t="str">
        <x:f>IF(C7="","",SUM(CA7,CG7,CM7,CS7,CY7,DE7,DK7,DQ7,DW7,EC7,EI7))</x:f>
      </x:c>
      <x:c r="IW7" s="27" t="str">
        <x:f>IF(C7="","",SUM(EJ7,EP7,EV7,FB7,FH7,FN7,FT7,FZ7,GF7,GL7,GR7,GX7,HD7,HJ7))</x:f>
      </x:c>
      <x:c r="IX7" s="27" t="str">
        <x:f>IF(C7="","",SUM(EK7,EQ7,EW7,FC7,FI7,FO7,FU7,GA7,GG7,GM7,GS7,GY7,HE7,HK7))</x:f>
      </x:c>
      <x:c r="IY7" s="27" t="str">
        <x:f>IF(C7="","",SUM(EL7,ER7,EX7,FD7,FJ7,FP7,FV7,GB7,GH7,GN7,GT7,GZ7,HF7,HL7))</x:f>
      </x:c>
      <x:c r="IZ7" s="27" t="str">
        <x:f>IF(C7="","",SUM(EM7,ES7,EY7,FE7,FK7,FQ7,FW7,GC7,GI7,GO7,GU7,HA7,HG7,HM7))</x:f>
      </x:c>
      <x:c r="JA7" s="27" t="str">
        <x:f>IF(C7="","",SUM(EN7,ET7,EZ7,FF7,FL7,FR7,FX7,GD7,GJ7,GP7,GV7,HB7,HH7,HN7))</x:f>
      </x:c>
      <x:c r="JB7" s="27" t="str">
        <x:f>IF(C7="","",SUM(EO7,EU7,FA7,FG7,FM7,FS7,FY7,GE7,GK7,GQ7,GW7,HC7,HI7,HO7))</x:f>
      </x:c>
      <x:c r="JC7" s="27" t="str">
        <x:f>IF(C7="","",0)</x:f>
      </x:c>
      <x:c r="JD7" s="27" t="str">
        <x:f>IF(C7="","",0)</x:f>
      </x:c>
      <x:c r="JE7" s="27" t="str">
        <x:f>IF(C7="","",0)</x:f>
      </x:c>
      <x:c r="JF7" s="27" t="str">
        <x:f>IF(C7="","",0)</x:f>
      </x:c>
      <x:c r="JG7" s="27" t="str">
        <x:f>IF(C7="","",0)</x:f>
      </x:c>
      <x:c r="JH7" s="27" t="str">
        <x:f>IF(C7="","",0)</x:f>
      </x:c>
      <x:c r="JI7" s="27" t="str">
        <x:f>IF(C7="","",HP7*1000000000+IW7*1000000+IQ7*10000+IK7*100+JC7+6/1000)</x:f>
      </x:c>
      <x:c r="JJ7" s="27" t="str">
        <x:f>IF(C7="","",HQ7*1000000000+IX7*1000000+IR7*10000+IL7*100+JD7+5/1000)</x:f>
      </x:c>
      <x:c r="JK7" s="27" t="str">
        <x:f>IF(C7="","",HR7*1000000000+IY7*1000000+IS7*10000+IM7*100+JE7+4/1000)</x:f>
      </x:c>
      <x:c r="JL7" s="27" t="str">
        <x:f>IF(C7="","",HS7*1000000000+IZ7*1000000+IT7*10000+IN7*100+JF7+3/1000)</x:f>
      </x:c>
      <x:c r="JM7" s="27" t="str">
        <x:f>IF(C7="","",HT7*1000000000+JA7*1000000+IU7*10000+IO7*100+JG7+2/1000)</x:f>
      </x:c>
      <x:c r="JN7" s="27" t="str">
        <x:f>IF(C7="","",HU7*1000000000+JB7*1000000+IV7*10000+IP7*100+JH7+1/1000)</x:f>
      </x:c>
    </x:row>
    <x:row r="8">
      <x:c r="A8" s="27"/>
      <x:c r="B8" s="28"/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  <x:c r="O8" s="27"/>
      <x:c r="P8" s="27"/>
      <x:c r="Q8" s="27"/>
      <x:c r="R8" s="27"/>
      <x:c r="S8" s="27"/>
      <x:c r="T8" s="27"/>
      <x:c r="U8" s="27"/>
      <x:c r="V8" s="27"/>
      <x:c r="W8" s="27"/>
      <x:c r="X8" s="27"/>
      <x:c r="Y8" s="27"/>
      <x:c r="Z8" s="27"/>
      <x:c r="AA8" s="27"/>
      <x:c r="AB8" s="27"/>
      <x:c r="AC8" s="27"/>
      <x:c r="AD8" s="27"/>
      <x:c r="AE8" s="27"/>
      <x:c r="AF8" s="27"/>
      <x:c r="AG8" s="27"/>
      <x:c r="AH8" s="27"/>
      <x:c r="AI8" s="27"/>
      <x:c r="AJ8" s="27"/>
      <x:c r="AK8" s="27"/>
      <x:c r="AL8" s="27"/>
      <x:c r="AM8" s="27"/>
      <x:c r="AN8" s="27"/>
      <x:c r="AO8" s="27"/>
      <x:c r="AP8" s="27"/>
      <x:c r="AQ8" s="27"/>
      <x:c r="AR8" s="27"/>
      <x:c r="AS8" s="27"/>
      <x:c r="AT8" s="27"/>
      <x:c r="AU8" s="27"/>
      <x:c r="AV8" s="27"/>
      <x:c r="AW8" s="27"/>
      <x:c r="AX8" s="27"/>
      <x:c r="AY8" s="27"/>
      <x:c r="AZ8" s="27"/>
      <x:c r="BA8" s="27"/>
      <x:c r="BB8" s="27"/>
      <x:c r="BC8" s="27"/>
      <x:c r="BD8" s="27"/>
      <x:c r="BE8" s="27"/>
      <x:c r="BF8" s="27"/>
      <x:c r="BG8" s="27"/>
      <x:c r="BH8" s="27"/>
      <x:c r="BI8" s="27"/>
      <x:c r="BJ8" s="27"/>
      <x:c r="BK8" s="27"/>
      <x:c r="BL8" s="27"/>
      <x:c r="BM8" s="27"/>
      <x:c r="BN8" s="27"/>
      <x:c r="BO8" s="27"/>
      <x:c r="BP8" s="27"/>
      <x:c r="BQ8" s="27"/>
      <x:c r="BR8" s="27"/>
      <x:c r="BS8" s="27"/>
      <x:c r="BT8" s="27"/>
      <x:c r="BU8" s="27"/>
      <x:c r="BV8" s="27"/>
      <x:c r="BW8" s="27"/>
      <x:c r="BX8" s="27"/>
      <x:c r="BY8" s="27"/>
      <x:c r="BZ8" s="27"/>
      <x:c r="CA8" s="27"/>
      <x:c r="CB8" s="27"/>
      <x:c r="CC8" s="27"/>
      <x:c r="CD8" s="27"/>
      <x:c r="CE8" s="27"/>
      <x:c r="CF8" s="27"/>
      <x:c r="CG8" s="27"/>
      <x:c r="CH8" s="27"/>
      <x:c r="CI8" s="27"/>
      <x:c r="CJ8" s="27"/>
      <x:c r="CK8" s="27"/>
      <x:c r="CL8" s="27"/>
      <x:c r="CM8" s="27"/>
      <x:c r="CN8" s="27"/>
      <x:c r="CO8" s="27"/>
      <x:c r="CP8" s="27"/>
      <x:c r="CQ8" s="27"/>
      <x:c r="CR8" s="27"/>
      <x:c r="CS8" s="27"/>
      <x:c r="CT8" s="27"/>
      <x:c r="CU8" s="27"/>
      <x:c r="CV8" s="27"/>
      <x:c r="CW8" s="27"/>
      <x:c r="CX8" s="27"/>
      <x:c r="CY8" s="27"/>
      <x:c r="CZ8" s="27"/>
      <x:c r="DA8" s="27"/>
      <x:c r="DB8" s="27"/>
      <x:c r="DC8" s="27"/>
      <x:c r="DD8" s="27"/>
      <x:c r="DE8" s="27"/>
      <x:c r="DF8" s="27"/>
      <x:c r="DG8" s="27"/>
      <x:c r="DH8" s="27"/>
      <x:c r="DI8" s="27"/>
      <x:c r="DJ8" s="27"/>
      <x:c r="DK8" s="27"/>
      <x:c r="DL8" s="27"/>
      <x:c r="DM8" s="27"/>
      <x:c r="DN8" s="27"/>
      <x:c r="DO8" s="27"/>
      <x:c r="DP8" s="27"/>
      <x:c r="DQ8" s="27"/>
      <x:c r="DR8" s="27"/>
      <x:c r="DS8" s="27"/>
      <x:c r="DT8" s="27"/>
      <x:c r="DU8" s="27"/>
      <x:c r="DV8" s="27"/>
      <x:c r="DW8" s="27"/>
      <x:c r="DX8" s="27"/>
      <x:c r="DY8" s="27"/>
      <x:c r="DZ8" s="27"/>
      <x:c r="EA8" s="27"/>
      <x:c r="EB8" s="27"/>
      <x:c r="EC8" s="27"/>
      <x:c r="ED8" s="27"/>
      <x:c r="EE8" s="27"/>
      <x:c r="EF8" s="27"/>
      <x:c r="EG8" s="27"/>
      <x:c r="EH8" s="27"/>
      <x:c r="EI8" s="27"/>
      <x:c r="EJ8" s="27"/>
      <x:c r="EK8" s="27"/>
      <x:c r="EL8" s="27"/>
      <x:c r="EM8" s="27"/>
      <x:c r="EN8" s="27"/>
      <x:c r="EO8" s="27"/>
      <x:c r="EP8" s="27"/>
      <x:c r="EQ8" s="27"/>
      <x:c r="ER8" s="27"/>
      <x:c r="ES8" s="27"/>
      <x:c r="ET8" s="27"/>
      <x:c r="EU8" s="27"/>
      <x:c r="EV8" s="27"/>
      <x:c r="EW8" s="27"/>
      <x:c r="EX8" s="27"/>
      <x:c r="EY8" s="27"/>
      <x:c r="EZ8" s="27"/>
      <x:c r="FA8" s="27"/>
      <x:c r="FB8" s="27"/>
      <x:c r="FC8" s="27"/>
      <x:c r="FD8" s="27"/>
      <x:c r="FE8" s="27"/>
      <x:c r="FF8" s="27"/>
      <x:c r="FG8" s="27"/>
      <x:c r="FH8" s="27"/>
      <x:c r="FI8" s="27"/>
      <x:c r="FJ8" s="27"/>
      <x:c r="FK8" s="27"/>
      <x:c r="FL8" s="27"/>
      <x:c r="FM8" s="27"/>
      <x:c r="FN8" s="27"/>
      <x:c r="FO8" s="27"/>
      <x:c r="FP8" s="27"/>
      <x:c r="FQ8" s="27"/>
      <x:c r="FR8" s="27"/>
      <x:c r="FS8" s="27"/>
      <x:c r="FT8" s="27"/>
      <x:c r="FU8" s="27"/>
      <x:c r="FV8" s="27"/>
      <x:c r="FW8" s="27"/>
      <x:c r="FX8" s="27"/>
      <x:c r="FY8" s="27"/>
      <x:c r="FZ8" s="27"/>
      <x:c r="GA8" s="27"/>
      <x:c r="GB8" s="27"/>
      <x:c r="GC8" s="27"/>
      <x:c r="GD8" s="27"/>
      <x:c r="GE8" s="27"/>
      <x:c r="GF8" s="27"/>
      <x:c r="GG8" s="27"/>
      <x:c r="GH8" s="27"/>
      <x:c r="GI8" s="27"/>
      <x:c r="GJ8" s="27"/>
      <x:c r="GK8" s="27"/>
      <x:c r="GL8" s="27"/>
      <x:c r="GM8" s="27"/>
      <x:c r="GN8" s="27"/>
      <x:c r="GO8" s="27"/>
      <x:c r="GP8" s="27"/>
      <x:c r="GQ8" s="27"/>
      <x:c r="GR8" s="27"/>
      <x:c r="GS8" s="27"/>
      <x:c r="GT8" s="27"/>
      <x:c r="GU8" s="27"/>
      <x:c r="GV8" s="27"/>
      <x:c r="GW8" s="27"/>
      <x:c r="GX8" s="27"/>
      <x:c r="GY8" s="27"/>
      <x:c r="GZ8" s="27"/>
      <x:c r="HA8" s="27"/>
      <x:c r="HB8" s="27"/>
      <x:c r="HC8" s="27"/>
      <x:c r="HD8" s="27"/>
      <x:c r="HE8" s="27"/>
      <x:c r="HF8" s="27"/>
      <x:c r="HG8" s="27"/>
      <x:c r="HH8" s="27"/>
      <x:c r="HI8" s="27"/>
      <x:c r="HJ8" s="27"/>
      <x:c r="HK8" s="27"/>
      <x:c r="HL8" s="27"/>
      <x:c r="HM8" s="27"/>
      <x:c r="HN8" s="27"/>
      <x:c r="HO8" s="27"/>
      <x:c r="HP8" s="27" t="str">
        <x:f>IF(C8="","",SUM(H8,N8,T8,Z8,AF8,AL8,AR8,AX8,BD8,BJ8,BP8,BV8,CB8,CH8,CN8,CT8,CZ8,DF8,DL8,DR8,DX8,ED8,EJ8,EP8,EV8,FB8,FH8,FN8,FT8,FZ8,GF8,GL8,GR8,GX8,HD8,HJ8))</x:f>
      </x:c>
      <x:c r="HQ8" s="27" t="str">
        <x:f>IF(C8="","",SUM(I8,O8,U8,AA8,AG8,AM8,AS8,AY8,BE8,BK8,BQ8,BW8,CC8,CI8,CO8,CU8,DA8,DG8,DM8,DS8,DY8,EE8,EK8,EQ8,EW8,FC8,FI8,FO8,FU8,GA8,GG8,GM8,GS8,GY8,HE8,HK8))</x:f>
      </x:c>
      <x:c r="HR8" s="27" t="str">
        <x:f>IF(C8="","",SUM(J8,P8,V8,AB8,AH8,AN8,AT8,AZ8,BF8,BL8,BR8,BX8,CD8,CJ8,CP8,CV8,DB8,DH8,DN8,DT8,DZ8,EF8,EL8,ER8,EX8,FD8,FJ8,FP8,FV8,GB8,GH8,GN8,GT8,GZ8,HF8,HL8))</x:f>
      </x:c>
      <x:c r="HS8" s="27" t="str">
        <x:f>IF(C8="","",SUM(K8,Q8,W8,AC8,AI8,AO8,AU8,BA8,BG8,BM8,BS8,BY8,CE8,CK8,CQ8,CW8,DC8,DI8,DO8,DU8,EA8,EG8,EM8,ES8,EY8,FE8,FK8,FQ8,FW8,GC8,GI8,GO8,GU8,HA8,HG8,HM8))</x:f>
      </x:c>
      <x:c r="HT8" s="27" t="str">
        <x:f>IF(C8="","",SUM(L8,R8,X8,AD8,AJ8,AP8,AV8,BB8,BH8,BN8,BT8,BZ8,CF8,CL8,CR8,CX8,DD8,DJ8,DP8,DV8,EB8,EH8,EN8,ET8,EZ8,FF8,FL8,FR8,FX8,GD8,GJ8,GP8,GV8,HB8,HH8,HN8))</x:f>
      </x:c>
      <x:c r="HU8" s="27" t="str">
        <x:f>IF(C8="","",SUM(M8,S8,Y8,AE8,AK8,AQ8,AW8,BC8,BI8,BO8,BU8,CA8,CG8,CM8,CS8,CY8,DE8,DK8,DQ8,DW8,EC8,EI8,EO8,EU8,FA8,FG8,FM8,FS8,FY8,GE8,GK8,GQ8,GW8,HC8,HI8,HO8))</x:f>
      </x:c>
      <x:c r="HV8" s="27" t="str">
        <x:f>IF(C8="","",IF(JI8=LARGE(JI8:JN8,1),"R",IF(JJ8=LARGE(JI8:JN8,1),"I",IF(JK8=LARGE(JI8:JN8,1),"A",IF(JL8=LARGE(JI8:JN8,1),"S",IF(JM8=LARGE(JI8:JN8,1),"E",IF(JN8=LARGE(JI8:JN8,1),"C",""))))))&amp;IF(JI8=LARGE(JI8:JN8,2),"R",IF(JJ8=LARGE(JI8:JN8,2),"I",IF(JK8=LARGE(JI8:JN8,2),"A",IF(JL8=LARGE(JI8:JN8,2),"S",IF(JM8=LARGE(JI8:JN8,2),"E",IF(JN8=LARGE(JI8:JN8,2),"C",""))))))&amp;IF(JI8=LARGE(JI8:JN8,3),"R",IF(JJ8=LARGE(JI8:JN8,3),"I",IF(JK8=LARGE(JI8:JN8,3),"A",IF(JL8=LARGE(JI8:JN8,3),"S",IF(JM8=LARGE(JI8:JN8,3),"E",IF(JN8=LARGE(JI8:JN8,3),"C","")))))))</x:f>
      </x:c>
      <x:c r="HW8" s="27" t="str">
        <x:f>IF(C8="","",IF(JI8=LARGE(JI8:JN8,1),"นักปฏิบัติ",IF(JJ8=LARGE(JI8:JN8,1),"นักคิดวิเคราะห์",IF(JK8=LARGE(JI8:JN8,1),"นักสร้างสรรค์",IF(JL8=LARGE(JI8:JN8,1),"ผู้เข้าใจผู้คน",IF(JM8=LARGE(JI8:JN8,1),"ผู้นำการเปลี่ยนแปลง",IF(JN8=LARGE(JI8:JN8,1),"ผู้จัดระบบ","ผู้จัดระบบ")))))))</x:f>
      </x:c>
      <x:c r="HX8" s="27"/>
      <x:c r="HY8" s="27"/>
      <x:c r="HZ8" s="27"/>
      <x:c r="IA8" s="27"/>
      <x:c r="IB8" s="27"/>
      <x:c r="IC8" s="27"/>
      <x:c r="ID8" s="27"/>
      <x:c r="IE8" s="27"/>
      <x:c r="IF8" s="27"/>
      <x:c r="IG8" s="27"/>
      <x:c r="IH8" s="27"/>
      <x:c r="II8" s="27"/>
      <x:c r="IJ8" s="27"/>
      <x:c r="IK8" s="27" t="str">
        <x:f>IF(C8="","",SUM(H8,N8,T8,Z8,AF8,AL8,AR8,AX8,BD8,BJ8,BP8))</x:f>
      </x:c>
      <x:c r="IL8" s="27" t="str">
        <x:f>IF(C8="","",SUM(I8,O8,U8,AA8,AG8,AM8,AS8,AY8,BE8,BK8,BQ8))</x:f>
      </x:c>
      <x:c r="IM8" s="27" t="str">
        <x:f>IF(C8="","",SUM(J8,P8,V8,AB8,AH8,AN8,AT8,AZ8,BF8,BL8,BR8))</x:f>
      </x:c>
      <x:c r="IN8" s="27" t="str">
        <x:f>IF(C8="","",SUM(K8,Q8,W8,AC8,AI8,AO8,AU8,BA8,BG8,BM8,BS8))</x:f>
      </x:c>
      <x:c r="IO8" s="27" t="str">
        <x:f>IF(C8="","",SUM(L8,R8,X8,AD8,AJ8,AP8,AV8,BB8,BH8,BN8,BT8))</x:f>
      </x:c>
      <x:c r="IP8" s="27" t="str">
        <x:f>IF(C8="","",SUM(M8,S8,Y8,AE8,AK8,AQ8,AW8,BC8,BI8,BO8,BU8))</x:f>
      </x:c>
      <x:c r="IQ8" s="27" t="str">
        <x:f>IF(C8="","",SUM(BV8,CB8,CH8,CN8,CT8,CZ8,DF8,DL8,DR8,DX8,ED8))</x:f>
      </x:c>
      <x:c r="IR8" s="27" t="str">
        <x:f>IF(C8="","",SUM(BW8,CC8,CI8,CO8,CU8,DA8,DG8,DM8,DS8,DY8,EE8))</x:f>
      </x:c>
      <x:c r="IS8" s="27" t="str">
        <x:f>IF(C8="","",SUM(BX8,CD8,CJ8,CP8,CV8,DB8,DH8,DN8,DT8,DZ8,EF8))</x:f>
      </x:c>
      <x:c r="IT8" s="27" t="str">
        <x:f>IF(C8="","",SUM(BY8,CE8,CK8,CQ8,CW8,DC8,DI8,DO8,DU8,EA8,EG8))</x:f>
      </x:c>
      <x:c r="IU8" s="27" t="str">
        <x:f>IF(C8="","",SUM(BZ8,CF8,CL8,CR8,CX8,DD8,DJ8,DP8,DV8,EB8,EH8))</x:f>
      </x:c>
      <x:c r="IV8" s="27" t="str">
        <x:f>IF(C8="","",SUM(CA8,CG8,CM8,CS8,CY8,DE8,DK8,DQ8,DW8,EC8,EI8))</x:f>
      </x:c>
      <x:c r="IW8" s="27" t="str">
        <x:f>IF(C8="","",SUM(EJ8,EP8,EV8,FB8,FH8,FN8,FT8,FZ8,GF8,GL8,GR8,GX8,HD8,HJ8))</x:f>
      </x:c>
      <x:c r="IX8" s="27" t="str">
        <x:f>IF(C8="","",SUM(EK8,EQ8,EW8,FC8,FI8,FO8,FU8,GA8,GG8,GM8,GS8,GY8,HE8,HK8))</x:f>
      </x:c>
      <x:c r="IY8" s="27" t="str">
        <x:f>IF(C8="","",SUM(EL8,ER8,EX8,FD8,FJ8,FP8,FV8,GB8,GH8,GN8,GT8,GZ8,HF8,HL8))</x:f>
      </x:c>
      <x:c r="IZ8" s="27" t="str">
        <x:f>IF(C8="","",SUM(EM8,ES8,EY8,FE8,FK8,FQ8,FW8,GC8,GI8,GO8,GU8,HA8,HG8,HM8))</x:f>
      </x:c>
      <x:c r="JA8" s="27" t="str">
        <x:f>IF(C8="","",SUM(EN8,ET8,EZ8,FF8,FL8,FR8,FX8,GD8,GJ8,GP8,GV8,HB8,HH8,HN8))</x:f>
      </x:c>
      <x:c r="JB8" s="27" t="str">
        <x:f>IF(C8="","",SUM(EO8,EU8,FA8,FG8,FM8,FS8,FY8,GE8,GK8,GQ8,GW8,HC8,HI8,HO8))</x:f>
      </x:c>
      <x:c r="JC8" s="27" t="str">
        <x:f>IF(C8="","",0)</x:f>
      </x:c>
      <x:c r="JD8" s="27" t="str">
        <x:f>IF(C8="","",0)</x:f>
      </x:c>
      <x:c r="JE8" s="27" t="str">
        <x:f>IF(C8="","",0)</x:f>
      </x:c>
      <x:c r="JF8" s="27" t="str">
        <x:f>IF(C8="","",0)</x:f>
      </x:c>
      <x:c r="JG8" s="27" t="str">
        <x:f>IF(C8="","",0)</x:f>
      </x:c>
      <x:c r="JH8" s="27" t="str">
        <x:f>IF(C8="","",0)</x:f>
      </x:c>
      <x:c r="JI8" s="27" t="str">
        <x:f>IF(C8="","",HP8*1000000000+IW8*1000000+IQ8*10000+IK8*100+JC8+6/1000)</x:f>
      </x:c>
      <x:c r="JJ8" s="27" t="str">
        <x:f>IF(C8="","",HQ8*1000000000+IX8*1000000+IR8*10000+IL8*100+JD8+5/1000)</x:f>
      </x:c>
      <x:c r="JK8" s="27" t="str">
        <x:f>IF(C8="","",HR8*1000000000+IY8*1000000+IS8*10000+IM8*100+JE8+4/1000)</x:f>
      </x:c>
      <x:c r="JL8" s="27" t="str">
        <x:f>IF(C8="","",HS8*1000000000+IZ8*1000000+IT8*10000+IN8*100+JF8+3/1000)</x:f>
      </x:c>
      <x:c r="JM8" s="27" t="str">
        <x:f>IF(C8="","",HT8*1000000000+JA8*1000000+IU8*10000+IO8*100+JG8+2/1000)</x:f>
      </x:c>
      <x:c r="JN8" s="27" t="str">
        <x:f>IF(C8="","",HU8*1000000000+JB8*1000000+IV8*10000+IP8*100+JH8+1/1000)</x:f>
      </x:c>
    </x:row>
    <x:row r="9">
      <x:c r="A9" s="27"/>
      <x:c r="B9" s="28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  <x:c r="O9" s="27"/>
      <x:c r="P9" s="27"/>
      <x:c r="Q9" s="27"/>
      <x:c r="R9" s="27"/>
      <x:c r="S9" s="27"/>
      <x:c r="T9" s="27"/>
      <x:c r="U9" s="27"/>
      <x:c r="V9" s="27"/>
      <x:c r="W9" s="27"/>
      <x:c r="X9" s="27"/>
      <x:c r="Y9" s="27"/>
      <x:c r="Z9" s="27"/>
      <x:c r="AA9" s="27"/>
      <x:c r="AB9" s="27"/>
      <x:c r="AC9" s="27"/>
      <x:c r="AD9" s="27"/>
      <x:c r="AE9" s="27"/>
      <x:c r="AF9" s="27"/>
      <x:c r="AG9" s="27"/>
      <x:c r="AH9" s="27"/>
      <x:c r="AI9" s="27"/>
      <x:c r="AJ9" s="27"/>
      <x:c r="AK9" s="27"/>
      <x:c r="AL9" s="27"/>
      <x:c r="AM9" s="27"/>
      <x:c r="AN9" s="27"/>
      <x:c r="AO9" s="27"/>
      <x:c r="AP9" s="27"/>
      <x:c r="AQ9" s="27"/>
      <x:c r="AR9" s="27"/>
      <x:c r="AS9" s="27"/>
      <x:c r="AT9" s="27"/>
      <x:c r="AU9" s="27"/>
      <x:c r="AV9" s="27"/>
      <x:c r="AW9" s="27"/>
      <x:c r="AX9" s="27"/>
      <x:c r="AY9" s="27"/>
      <x:c r="AZ9" s="27"/>
      <x:c r="BA9" s="27"/>
      <x:c r="BB9" s="27"/>
      <x:c r="BC9" s="27"/>
      <x:c r="BD9" s="27"/>
      <x:c r="BE9" s="27"/>
      <x:c r="BF9" s="27"/>
      <x:c r="BG9" s="27"/>
      <x:c r="BH9" s="27"/>
      <x:c r="BI9" s="27"/>
      <x:c r="BJ9" s="27"/>
      <x:c r="BK9" s="27"/>
      <x:c r="BL9" s="27"/>
      <x:c r="BM9" s="27"/>
      <x:c r="BN9" s="27"/>
      <x:c r="BO9" s="27"/>
      <x:c r="BP9" s="27"/>
      <x:c r="BQ9" s="27"/>
      <x:c r="BR9" s="27"/>
      <x:c r="BS9" s="27"/>
      <x:c r="BT9" s="27"/>
      <x:c r="BU9" s="27"/>
      <x:c r="BV9" s="27"/>
      <x:c r="BW9" s="27"/>
      <x:c r="BX9" s="27"/>
      <x:c r="BY9" s="27"/>
      <x:c r="BZ9" s="27"/>
      <x:c r="CA9" s="27"/>
      <x:c r="CB9" s="27"/>
      <x:c r="CC9" s="27"/>
      <x:c r="CD9" s="27"/>
      <x:c r="CE9" s="27"/>
      <x:c r="CF9" s="27"/>
      <x:c r="CG9" s="27"/>
      <x:c r="CH9" s="27"/>
      <x:c r="CI9" s="27"/>
      <x:c r="CJ9" s="27"/>
      <x:c r="CK9" s="27"/>
      <x:c r="CL9" s="27"/>
      <x:c r="CM9" s="27"/>
      <x:c r="CN9" s="27"/>
      <x:c r="CO9" s="27"/>
      <x:c r="CP9" s="27"/>
      <x:c r="CQ9" s="27"/>
      <x:c r="CR9" s="27"/>
      <x:c r="CS9" s="27"/>
      <x:c r="CT9" s="27"/>
      <x:c r="CU9" s="27"/>
      <x:c r="CV9" s="27"/>
      <x:c r="CW9" s="27"/>
      <x:c r="CX9" s="27"/>
      <x:c r="CY9" s="27"/>
      <x:c r="CZ9" s="27"/>
      <x:c r="DA9" s="27"/>
      <x:c r="DB9" s="27"/>
      <x:c r="DC9" s="27"/>
      <x:c r="DD9" s="27"/>
      <x:c r="DE9" s="27"/>
      <x:c r="DF9" s="27"/>
      <x:c r="DG9" s="27"/>
      <x:c r="DH9" s="27"/>
      <x:c r="DI9" s="27"/>
      <x:c r="DJ9" s="27"/>
      <x:c r="DK9" s="27"/>
      <x:c r="DL9" s="27"/>
      <x:c r="DM9" s="27"/>
      <x:c r="DN9" s="27"/>
      <x:c r="DO9" s="27"/>
      <x:c r="DP9" s="27"/>
      <x:c r="DQ9" s="27"/>
      <x:c r="DR9" s="27"/>
      <x:c r="DS9" s="27"/>
      <x:c r="DT9" s="27"/>
      <x:c r="DU9" s="27"/>
      <x:c r="DV9" s="27"/>
      <x:c r="DW9" s="27"/>
      <x:c r="DX9" s="27"/>
      <x:c r="DY9" s="27"/>
      <x:c r="DZ9" s="27"/>
      <x:c r="EA9" s="27"/>
      <x:c r="EB9" s="27"/>
      <x:c r="EC9" s="27"/>
      <x:c r="ED9" s="27"/>
      <x:c r="EE9" s="27"/>
      <x:c r="EF9" s="27"/>
      <x:c r="EG9" s="27"/>
      <x:c r="EH9" s="27"/>
      <x:c r="EI9" s="27"/>
      <x:c r="EJ9" s="27"/>
      <x:c r="EK9" s="27"/>
      <x:c r="EL9" s="27"/>
      <x:c r="EM9" s="27"/>
      <x:c r="EN9" s="27"/>
      <x:c r="EO9" s="27"/>
      <x:c r="EP9" s="27"/>
      <x:c r="EQ9" s="27"/>
      <x:c r="ER9" s="27"/>
      <x:c r="ES9" s="27"/>
      <x:c r="ET9" s="27"/>
      <x:c r="EU9" s="27"/>
      <x:c r="EV9" s="27"/>
      <x:c r="EW9" s="27"/>
      <x:c r="EX9" s="27"/>
      <x:c r="EY9" s="27"/>
      <x:c r="EZ9" s="27"/>
      <x:c r="FA9" s="27"/>
      <x:c r="FB9" s="27"/>
      <x:c r="FC9" s="27"/>
      <x:c r="FD9" s="27"/>
      <x:c r="FE9" s="27"/>
      <x:c r="FF9" s="27"/>
      <x:c r="FG9" s="27"/>
      <x:c r="FH9" s="27"/>
      <x:c r="FI9" s="27"/>
      <x:c r="FJ9" s="27"/>
      <x:c r="FK9" s="27"/>
      <x:c r="FL9" s="27"/>
      <x:c r="FM9" s="27"/>
      <x:c r="FN9" s="27"/>
      <x:c r="FO9" s="27"/>
      <x:c r="FP9" s="27"/>
      <x:c r="FQ9" s="27"/>
      <x:c r="FR9" s="27"/>
      <x:c r="FS9" s="27"/>
      <x:c r="FT9" s="27"/>
      <x:c r="FU9" s="27"/>
      <x:c r="FV9" s="27"/>
      <x:c r="FW9" s="27"/>
      <x:c r="FX9" s="27"/>
      <x:c r="FY9" s="27"/>
      <x:c r="FZ9" s="27"/>
      <x:c r="GA9" s="27"/>
      <x:c r="GB9" s="27"/>
      <x:c r="GC9" s="27"/>
      <x:c r="GD9" s="27"/>
      <x:c r="GE9" s="27"/>
      <x:c r="GF9" s="27"/>
      <x:c r="GG9" s="27"/>
      <x:c r="GH9" s="27"/>
      <x:c r="GI9" s="27"/>
      <x:c r="GJ9" s="27"/>
      <x:c r="GK9" s="27"/>
      <x:c r="GL9" s="27"/>
      <x:c r="GM9" s="27"/>
      <x:c r="GN9" s="27"/>
      <x:c r="GO9" s="27"/>
      <x:c r="GP9" s="27"/>
      <x:c r="GQ9" s="27"/>
      <x:c r="GR9" s="27"/>
      <x:c r="GS9" s="27"/>
      <x:c r="GT9" s="27"/>
      <x:c r="GU9" s="27"/>
      <x:c r="GV9" s="27"/>
      <x:c r="GW9" s="27"/>
      <x:c r="GX9" s="27"/>
      <x:c r="GY9" s="27"/>
      <x:c r="GZ9" s="27"/>
      <x:c r="HA9" s="27"/>
      <x:c r="HB9" s="27"/>
      <x:c r="HC9" s="27"/>
      <x:c r="HD9" s="27"/>
      <x:c r="HE9" s="27"/>
      <x:c r="HF9" s="27"/>
      <x:c r="HG9" s="27"/>
      <x:c r="HH9" s="27"/>
      <x:c r="HI9" s="27"/>
      <x:c r="HJ9" s="27"/>
      <x:c r="HK9" s="27"/>
      <x:c r="HL9" s="27"/>
      <x:c r="HM9" s="27"/>
      <x:c r="HN9" s="27"/>
      <x:c r="HO9" s="27"/>
      <x:c r="HP9" s="27" t="str">
        <x:f>IF(C9="","",SUM(H9,N9,T9,Z9,AF9,AL9,AR9,AX9,BD9,BJ9,BP9,BV9,CB9,CH9,CN9,CT9,CZ9,DF9,DL9,DR9,DX9,ED9,EJ9,EP9,EV9,FB9,FH9,FN9,FT9,FZ9,GF9,GL9,GR9,GX9,HD9,HJ9))</x:f>
      </x:c>
      <x:c r="HQ9" s="27" t="str">
        <x:f>IF(C9="","",SUM(I9,O9,U9,AA9,AG9,AM9,AS9,AY9,BE9,BK9,BQ9,BW9,CC9,CI9,CO9,CU9,DA9,DG9,DM9,DS9,DY9,EE9,EK9,EQ9,EW9,FC9,FI9,FO9,FU9,GA9,GG9,GM9,GS9,GY9,HE9,HK9))</x:f>
      </x:c>
      <x:c r="HR9" s="27" t="str">
        <x:f>IF(C9="","",SUM(J9,P9,V9,AB9,AH9,AN9,AT9,AZ9,BF9,BL9,BR9,BX9,CD9,CJ9,CP9,CV9,DB9,DH9,DN9,DT9,DZ9,EF9,EL9,ER9,EX9,FD9,FJ9,FP9,FV9,GB9,GH9,GN9,GT9,GZ9,HF9,HL9))</x:f>
      </x:c>
      <x:c r="HS9" s="27" t="str">
        <x:f>IF(C9="","",SUM(K9,Q9,W9,AC9,AI9,AO9,AU9,BA9,BG9,BM9,BS9,BY9,CE9,CK9,CQ9,CW9,DC9,DI9,DO9,DU9,EA9,EG9,EM9,ES9,EY9,FE9,FK9,FQ9,FW9,GC9,GI9,GO9,GU9,HA9,HG9,HM9))</x:f>
      </x:c>
      <x:c r="HT9" s="27" t="str">
        <x:f>IF(C9="","",SUM(L9,R9,X9,AD9,AJ9,AP9,AV9,BB9,BH9,BN9,BT9,BZ9,CF9,CL9,CR9,CX9,DD9,DJ9,DP9,DV9,EB9,EH9,EN9,ET9,EZ9,FF9,FL9,FR9,FX9,GD9,GJ9,GP9,GV9,HB9,HH9,HN9))</x:f>
      </x:c>
      <x:c r="HU9" s="27" t="str">
        <x:f>IF(C9="","",SUM(M9,S9,Y9,AE9,AK9,AQ9,AW9,BC9,BI9,BO9,BU9,CA9,CG9,CM9,CS9,CY9,DE9,DK9,DQ9,DW9,EC9,EI9,EO9,EU9,FA9,FG9,FM9,FS9,FY9,GE9,GK9,GQ9,GW9,HC9,HI9,HO9))</x:f>
      </x:c>
      <x:c r="HV9" s="27" t="str">
        <x:f>IF(C9="","",IF(JI9=LARGE(JI9:JN9,1),"R",IF(JJ9=LARGE(JI9:JN9,1),"I",IF(JK9=LARGE(JI9:JN9,1),"A",IF(JL9=LARGE(JI9:JN9,1),"S",IF(JM9=LARGE(JI9:JN9,1),"E",IF(JN9=LARGE(JI9:JN9,1),"C",""))))))&amp;IF(JI9=LARGE(JI9:JN9,2),"R",IF(JJ9=LARGE(JI9:JN9,2),"I",IF(JK9=LARGE(JI9:JN9,2),"A",IF(JL9=LARGE(JI9:JN9,2),"S",IF(JM9=LARGE(JI9:JN9,2),"E",IF(JN9=LARGE(JI9:JN9,2),"C",""))))))&amp;IF(JI9=LARGE(JI9:JN9,3),"R",IF(JJ9=LARGE(JI9:JN9,3),"I",IF(JK9=LARGE(JI9:JN9,3),"A",IF(JL9=LARGE(JI9:JN9,3),"S",IF(JM9=LARGE(JI9:JN9,3),"E",IF(JN9=LARGE(JI9:JN9,3),"C","")))))))</x:f>
      </x:c>
      <x:c r="HW9" s="27" t="str">
        <x:f>IF(C9="","",IF(JI9=LARGE(JI9:JN9,1),"นักปฏิบัติ",IF(JJ9=LARGE(JI9:JN9,1),"นักคิดวิเคราะห์",IF(JK9=LARGE(JI9:JN9,1),"นักสร้างสรรค์",IF(JL9=LARGE(JI9:JN9,1),"ผู้เข้าใจผู้คน",IF(JM9=LARGE(JI9:JN9,1),"ผู้นำการเปลี่ยนแปลง",IF(JN9=LARGE(JI9:JN9,1),"ผู้จัดระบบ","ผู้จัดระบบ")))))))</x:f>
      </x:c>
      <x:c r="HX9" s="27"/>
      <x:c r="HY9" s="27"/>
      <x:c r="HZ9" s="27"/>
      <x:c r="IA9" s="27"/>
      <x:c r="IB9" s="27"/>
      <x:c r="IC9" s="27"/>
      <x:c r="ID9" s="27"/>
      <x:c r="IE9" s="27"/>
      <x:c r="IF9" s="27"/>
      <x:c r="IG9" s="27"/>
      <x:c r="IH9" s="27"/>
      <x:c r="II9" s="27"/>
      <x:c r="IJ9" s="27"/>
      <x:c r="IK9" s="27" t="str">
        <x:f>IF(C9="","",SUM(H9,N9,T9,Z9,AF9,AL9,AR9,AX9,BD9,BJ9,BP9))</x:f>
      </x:c>
      <x:c r="IL9" s="27" t="str">
        <x:f>IF(C9="","",SUM(I9,O9,U9,AA9,AG9,AM9,AS9,AY9,BE9,BK9,BQ9))</x:f>
      </x:c>
      <x:c r="IM9" s="27" t="str">
        <x:f>IF(C9="","",SUM(J9,P9,V9,AB9,AH9,AN9,AT9,AZ9,BF9,BL9,BR9))</x:f>
      </x:c>
      <x:c r="IN9" s="27" t="str">
        <x:f>IF(C9="","",SUM(K9,Q9,W9,AC9,AI9,AO9,AU9,BA9,BG9,BM9,BS9))</x:f>
      </x:c>
      <x:c r="IO9" s="27" t="str">
        <x:f>IF(C9="","",SUM(L9,R9,X9,AD9,AJ9,AP9,AV9,BB9,BH9,BN9,BT9))</x:f>
      </x:c>
      <x:c r="IP9" s="27" t="str">
        <x:f>IF(C9="","",SUM(M9,S9,Y9,AE9,AK9,AQ9,AW9,BC9,BI9,BO9,BU9))</x:f>
      </x:c>
      <x:c r="IQ9" s="27" t="str">
        <x:f>IF(C9="","",SUM(BV9,CB9,CH9,CN9,CT9,CZ9,DF9,DL9,DR9,DX9,ED9))</x:f>
      </x:c>
      <x:c r="IR9" s="27" t="str">
        <x:f>IF(C9="","",SUM(BW9,CC9,CI9,CO9,CU9,DA9,DG9,DM9,DS9,DY9,EE9))</x:f>
      </x:c>
      <x:c r="IS9" s="27" t="str">
        <x:f>IF(C9="","",SUM(BX9,CD9,CJ9,CP9,CV9,DB9,DH9,DN9,DT9,DZ9,EF9))</x:f>
      </x:c>
      <x:c r="IT9" s="27" t="str">
        <x:f>IF(C9="","",SUM(BY9,CE9,CK9,CQ9,CW9,DC9,DI9,DO9,DU9,EA9,EG9))</x:f>
      </x:c>
      <x:c r="IU9" s="27" t="str">
        <x:f>IF(C9="","",SUM(BZ9,CF9,CL9,CR9,CX9,DD9,DJ9,DP9,DV9,EB9,EH9))</x:f>
      </x:c>
      <x:c r="IV9" s="27" t="str">
        <x:f>IF(C9="","",SUM(CA9,CG9,CM9,CS9,CY9,DE9,DK9,DQ9,DW9,EC9,EI9))</x:f>
      </x:c>
      <x:c r="IW9" s="27" t="str">
        <x:f>IF(C9="","",SUM(EJ9,EP9,EV9,FB9,FH9,FN9,FT9,FZ9,GF9,GL9,GR9,GX9,HD9,HJ9))</x:f>
      </x:c>
      <x:c r="IX9" s="27" t="str">
        <x:f>IF(C9="","",SUM(EK9,EQ9,EW9,FC9,FI9,FO9,FU9,GA9,GG9,GM9,GS9,GY9,HE9,HK9))</x:f>
      </x:c>
      <x:c r="IY9" s="27" t="str">
        <x:f>IF(C9="","",SUM(EL9,ER9,EX9,FD9,FJ9,FP9,FV9,GB9,GH9,GN9,GT9,GZ9,HF9,HL9))</x:f>
      </x:c>
      <x:c r="IZ9" s="27" t="str">
        <x:f>IF(C9="","",SUM(EM9,ES9,EY9,FE9,FK9,FQ9,FW9,GC9,GI9,GO9,GU9,HA9,HG9,HM9))</x:f>
      </x:c>
      <x:c r="JA9" s="27" t="str">
        <x:f>IF(C9="","",SUM(EN9,ET9,EZ9,FF9,FL9,FR9,FX9,GD9,GJ9,GP9,GV9,HB9,HH9,HN9))</x:f>
      </x:c>
      <x:c r="JB9" s="27" t="str">
        <x:f>IF(C9="","",SUM(EO9,EU9,FA9,FG9,FM9,FS9,FY9,GE9,GK9,GQ9,GW9,HC9,HI9,HO9))</x:f>
      </x:c>
      <x:c r="JC9" s="27" t="str">
        <x:f>IF(C9="","",0)</x:f>
      </x:c>
      <x:c r="JD9" s="27" t="str">
        <x:f>IF(C9="","",0)</x:f>
      </x:c>
      <x:c r="JE9" s="27" t="str">
        <x:f>IF(C9="","",0)</x:f>
      </x:c>
      <x:c r="JF9" s="27" t="str">
        <x:f>IF(C9="","",0)</x:f>
      </x:c>
      <x:c r="JG9" s="27" t="str">
        <x:f>IF(C9="","",0)</x:f>
      </x:c>
      <x:c r="JH9" s="27" t="str">
        <x:f>IF(C9="","",0)</x:f>
      </x:c>
      <x:c r="JI9" s="27" t="str">
        <x:f>IF(C9="","",HP9*1000000000+IW9*1000000+IQ9*10000+IK9*100+JC9+6/1000)</x:f>
      </x:c>
      <x:c r="JJ9" s="27" t="str">
        <x:f>IF(C9="","",HQ9*1000000000+IX9*1000000+IR9*10000+IL9*100+JD9+5/1000)</x:f>
      </x:c>
      <x:c r="JK9" s="27" t="str">
        <x:f>IF(C9="","",HR9*1000000000+IY9*1000000+IS9*10000+IM9*100+JE9+4/1000)</x:f>
      </x:c>
      <x:c r="JL9" s="27" t="str">
        <x:f>IF(C9="","",HS9*1000000000+IZ9*1000000+IT9*10000+IN9*100+JF9+3/1000)</x:f>
      </x:c>
      <x:c r="JM9" s="27" t="str">
        <x:f>IF(C9="","",HT9*1000000000+JA9*1000000+IU9*10000+IO9*100+JG9+2/1000)</x:f>
      </x:c>
      <x:c r="JN9" s="27" t="str">
        <x:f>IF(C9="","",HU9*1000000000+JB9*1000000+IV9*10000+IP9*100+JH9+1/1000)</x:f>
      </x:c>
    </x:row>
    <x:row r="10">
      <x:c r="A10" s="27"/>
      <x:c r="B10" s="28"/>
      <x:c r="C10" s="27"/>
      <x:c r="D10" s="27"/>
      <x:c r="E10" s="27"/>
      <x:c r="F10" s="27"/>
      <x:c r="G10" s="27"/>
      <x:c r="H10" s="27"/>
      <x:c r="I10" s="27"/>
      <x:c r="J10" s="27"/>
      <x:c r="K10" s="27"/>
      <x:c r="L10" s="27"/>
      <x:c r="M10" s="27"/>
      <x:c r="N10" s="27"/>
      <x:c r="O10" s="27"/>
      <x:c r="P10" s="27"/>
      <x:c r="Q10" s="27"/>
      <x:c r="R10" s="27"/>
      <x:c r="S10" s="27"/>
      <x:c r="T10" s="27"/>
      <x:c r="U10" s="27"/>
      <x:c r="V10" s="27"/>
      <x:c r="W10" s="27"/>
      <x:c r="X10" s="27"/>
      <x:c r="Y10" s="27"/>
      <x:c r="Z10" s="27"/>
      <x:c r="AA10" s="27"/>
      <x:c r="AB10" s="27"/>
      <x:c r="AC10" s="27"/>
      <x:c r="AD10" s="27"/>
      <x:c r="AE10" s="27"/>
      <x:c r="AF10" s="27"/>
      <x:c r="AG10" s="27"/>
      <x:c r="AH10" s="27"/>
      <x:c r="AI10" s="27"/>
      <x:c r="AJ10" s="27"/>
      <x:c r="AK10" s="27"/>
      <x:c r="AL10" s="27"/>
      <x:c r="AM10" s="27"/>
      <x:c r="AN10" s="27"/>
      <x:c r="AO10" s="27"/>
      <x:c r="AP10" s="27"/>
      <x:c r="AQ10" s="27"/>
      <x:c r="AR10" s="27"/>
      <x:c r="AS10" s="27"/>
      <x:c r="AT10" s="27"/>
      <x:c r="AU10" s="27"/>
      <x:c r="AV10" s="27"/>
      <x:c r="AW10" s="27"/>
      <x:c r="AX10" s="27"/>
      <x:c r="AY10" s="27"/>
      <x:c r="AZ10" s="27"/>
      <x:c r="BA10" s="27"/>
      <x:c r="BB10" s="27"/>
      <x:c r="BC10" s="27"/>
      <x:c r="BD10" s="27"/>
      <x:c r="BE10" s="27"/>
      <x:c r="BF10" s="27"/>
      <x:c r="BG10" s="27"/>
      <x:c r="BH10" s="27"/>
      <x:c r="BI10" s="27"/>
      <x:c r="BJ10" s="27"/>
      <x:c r="BK10" s="27"/>
      <x:c r="BL10" s="27"/>
      <x:c r="BM10" s="27"/>
      <x:c r="BN10" s="27"/>
      <x:c r="BO10" s="27"/>
      <x:c r="BP10" s="27"/>
      <x:c r="BQ10" s="27"/>
      <x:c r="BR10" s="27"/>
      <x:c r="BS10" s="27"/>
      <x:c r="BT10" s="27"/>
      <x:c r="BU10" s="27"/>
      <x:c r="BV10" s="27"/>
      <x:c r="BW10" s="27"/>
      <x:c r="BX10" s="27"/>
      <x:c r="BY10" s="27"/>
      <x:c r="BZ10" s="27"/>
      <x:c r="CA10" s="27"/>
      <x:c r="CB10" s="27"/>
      <x:c r="CC10" s="27"/>
      <x:c r="CD10" s="27"/>
      <x:c r="CE10" s="27"/>
      <x:c r="CF10" s="27"/>
      <x:c r="CG10" s="27"/>
      <x:c r="CH10" s="27"/>
      <x:c r="CI10" s="27"/>
      <x:c r="CJ10" s="27"/>
      <x:c r="CK10" s="27"/>
      <x:c r="CL10" s="27"/>
      <x:c r="CM10" s="27"/>
      <x:c r="CN10" s="27"/>
      <x:c r="CO10" s="27"/>
      <x:c r="CP10" s="27"/>
      <x:c r="CQ10" s="27"/>
      <x:c r="CR10" s="27"/>
      <x:c r="CS10" s="27"/>
      <x:c r="CT10" s="27"/>
      <x:c r="CU10" s="27"/>
      <x:c r="CV10" s="27"/>
      <x:c r="CW10" s="27"/>
      <x:c r="CX10" s="27"/>
      <x:c r="CY10" s="27"/>
      <x:c r="CZ10" s="27"/>
      <x:c r="DA10" s="27"/>
      <x:c r="DB10" s="27"/>
      <x:c r="DC10" s="27"/>
      <x:c r="DD10" s="27"/>
      <x:c r="DE10" s="27"/>
      <x:c r="DF10" s="27"/>
      <x:c r="DG10" s="27"/>
      <x:c r="DH10" s="27"/>
      <x:c r="DI10" s="27"/>
      <x:c r="DJ10" s="27"/>
      <x:c r="DK10" s="27"/>
      <x:c r="DL10" s="27"/>
      <x:c r="DM10" s="27"/>
      <x:c r="DN10" s="27"/>
      <x:c r="DO10" s="27"/>
      <x:c r="DP10" s="27"/>
      <x:c r="DQ10" s="27"/>
      <x:c r="DR10" s="27"/>
      <x:c r="DS10" s="27"/>
      <x:c r="DT10" s="27"/>
      <x:c r="DU10" s="27"/>
      <x:c r="DV10" s="27"/>
      <x:c r="DW10" s="27"/>
      <x:c r="DX10" s="27"/>
      <x:c r="DY10" s="27"/>
      <x:c r="DZ10" s="27"/>
      <x:c r="EA10" s="27"/>
      <x:c r="EB10" s="27"/>
      <x:c r="EC10" s="27"/>
      <x:c r="ED10" s="27"/>
      <x:c r="EE10" s="27"/>
      <x:c r="EF10" s="27"/>
      <x:c r="EG10" s="27"/>
      <x:c r="EH10" s="27"/>
      <x:c r="EI10" s="27"/>
      <x:c r="EJ10" s="27"/>
      <x:c r="EK10" s="27"/>
      <x:c r="EL10" s="27"/>
      <x:c r="EM10" s="27"/>
      <x:c r="EN10" s="27"/>
      <x:c r="EO10" s="27"/>
      <x:c r="EP10" s="27"/>
      <x:c r="EQ10" s="27"/>
      <x:c r="ER10" s="27"/>
      <x:c r="ES10" s="27"/>
      <x:c r="ET10" s="27"/>
      <x:c r="EU10" s="27"/>
      <x:c r="EV10" s="27"/>
      <x:c r="EW10" s="27"/>
      <x:c r="EX10" s="27"/>
      <x:c r="EY10" s="27"/>
      <x:c r="EZ10" s="27"/>
      <x:c r="FA10" s="27"/>
      <x:c r="FB10" s="27"/>
      <x:c r="FC10" s="27"/>
      <x:c r="FD10" s="27"/>
      <x:c r="FE10" s="27"/>
      <x:c r="FF10" s="27"/>
      <x:c r="FG10" s="27"/>
      <x:c r="FH10" s="27"/>
      <x:c r="FI10" s="27"/>
      <x:c r="FJ10" s="27"/>
      <x:c r="FK10" s="27"/>
      <x:c r="FL10" s="27"/>
      <x:c r="FM10" s="27"/>
      <x:c r="FN10" s="27"/>
      <x:c r="FO10" s="27"/>
      <x:c r="FP10" s="27"/>
      <x:c r="FQ10" s="27"/>
      <x:c r="FR10" s="27"/>
      <x:c r="FS10" s="27"/>
      <x:c r="FT10" s="27"/>
      <x:c r="FU10" s="27"/>
      <x:c r="FV10" s="27"/>
      <x:c r="FW10" s="27"/>
      <x:c r="FX10" s="27"/>
      <x:c r="FY10" s="27"/>
      <x:c r="FZ10" s="27"/>
      <x:c r="GA10" s="27"/>
      <x:c r="GB10" s="27"/>
      <x:c r="GC10" s="27"/>
      <x:c r="GD10" s="27"/>
      <x:c r="GE10" s="27"/>
      <x:c r="GF10" s="27"/>
      <x:c r="GG10" s="27"/>
      <x:c r="GH10" s="27"/>
      <x:c r="GI10" s="27"/>
      <x:c r="GJ10" s="27"/>
      <x:c r="GK10" s="27"/>
      <x:c r="GL10" s="27"/>
      <x:c r="GM10" s="27"/>
      <x:c r="GN10" s="27"/>
      <x:c r="GO10" s="27"/>
      <x:c r="GP10" s="27"/>
      <x:c r="GQ10" s="27"/>
      <x:c r="GR10" s="27"/>
      <x:c r="GS10" s="27"/>
      <x:c r="GT10" s="27"/>
      <x:c r="GU10" s="27"/>
      <x:c r="GV10" s="27"/>
      <x:c r="GW10" s="27"/>
      <x:c r="GX10" s="27"/>
      <x:c r="GY10" s="27"/>
      <x:c r="GZ10" s="27"/>
      <x:c r="HA10" s="27"/>
      <x:c r="HB10" s="27"/>
      <x:c r="HC10" s="27"/>
      <x:c r="HD10" s="27"/>
      <x:c r="HE10" s="27"/>
      <x:c r="HF10" s="27"/>
      <x:c r="HG10" s="27"/>
      <x:c r="HH10" s="27"/>
      <x:c r="HI10" s="27"/>
      <x:c r="HJ10" s="27"/>
      <x:c r="HK10" s="27"/>
      <x:c r="HL10" s="27"/>
      <x:c r="HM10" s="27"/>
      <x:c r="HN10" s="27"/>
      <x:c r="HO10" s="27"/>
      <x:c r="HP10" s="27" t="str">
        <x:f>IF(C10="","",SUM(H10,N10,T10,Z10,AF10,AL10,AR10,AX10,BD10,BJ10,BP10,BV10,CB10,CH10,CN10,CT10,CZ10,DF10,DL10,DR10,DX10,ED10,EJ10,EP10,EV10,FB10,FH10,FN10,FT10,FZ10,GF10,GL10,GR10,GX10,HD10,HJ10))</x:f>
      </x:c>
      <x:c r="HQ10" s="27" t="str">
        <x:f>IF(C10="","",SUM(I10,O10,U10,AA10,AG10,AM10,AS10,AY10,BE10,BK10,BQ10,BW10,CC10,CI10,CO10,CU10,DA10,DG10,DM10,DS10,DY10,EE10,EK10,EQ10,EW10,FC10,FI10,FO10,FU10,GA10,GG10,GM10,GS10,GY10,HE10,HK10))</x:f>
      </x:c>
      <x:c r="HR10" s="27" t="str">
        <x:f>IF(C10="","",SUM(J10,P10,V10,AB10,AH10,AN10,AT10,AZ10,BF10,BL10,BR10,BX10,CD10,CJ10,CP10,CV10,DB10,DH10,DN10,DT10,DZ10,EF10,EL10,ER10,EX10,FD10,FJ10,FP10,FV10,GB10,GH10,GN10,GT10,GZ10,HF10,HL10))</x:f>
      </x:c>
      <x:c r="HS10" s="27" t="str">
        <x:f>IF(C10="","",SUM(K10,Q10,W10,AC10,AI10,AO10,AU10,BA10,BG10,BM10,BS10,BY10,CE10,CK10,CQ10,CW10,DC10,DI10,DO10,DU10,EA10,EG10,EM10,ES10,EY10,FE10,FK10,FQ10,FW10,GC10,GI10,GO10,GU10,HA10,HG10,HM10))</x:f>
      </x:c>
      <x:c r="HT10" s="27" t="str">
        <x:f>IF(C10="","",SUM(L10,R10,X10,AD10,AJ10,AP10,AV10,BB10,BH10,BN10,BT10,BZ10,CF10,CL10,CR10,CX10,DD10,DJ10,DP10,DV10,EB10,EH10,EN10,ET10,EZ10,FF10,FL10,FR10,FX10,GD10,GJ10,GP10,GV10,HB10,HH10,HN10))</x:f>
      </x:c>
      <x:c r="HU10" s="27" t="str">
        <x:f>IF(C10="","",SUM(M10,S10,Y10,AE10,AK10,AQ10,AW10,BC10,BI10,BO10,BU10,CA10,CG10,CM10,CS10,CY10,DE10,DK10,DQ10,DW10,EC10,EI10,EO10,EU10,FA10,FG10,FM10,FS10,FY10,GE10,GK10,GQ10,GW10,HC10,HI10,HO10))</x:f>
      </x:c>
      <x:c r="HV10" s="27" t="str">
        <x:f>IF(C10="","",IF(JI10=LARGE(JI10:JN10,1),"R",IF(JJ10=LARGE(JI10:JN10,1),"I",IF(JK10=LARGE(JI10:JN10,1),"A",IF(JL10=LARGE(JI10:JN10,1),"S",IF(JM10=LARGE(JI10:JN10,1),"E",IF(JN10=LARGE(JI10:JN10,1),"C",""))))))&amp;IF(JI10=LARGE(JI10:JN10,2),"R",IF(JJ10=LARGE(JI10:JN10,2),"I",IF(JK10=LARGE(JI10:JN10,2),"A",IF(JL10=LARGE(JI10:JN10,2),"S",IF(JM10=LARGE(JI10:JN10,2),"E",IF(JN10=LARGE(JI10:JN10,2),"C",""))))))&amp;IF(JI10=LARGE(JI10:JN10,3),"R",IF(JJ10=LARGE(JI10:JN10,3),"I",IF(JK10=LARGE(JI10:JN10,3),"A",IF(JL10=LARGE(JI10:JN10,3),"S",IF(JM10=LARGE(JI10:JN10,3),"E",IF(JN10=LARGE(JI10:JN10,3),"C","")))))))</x:f>
      </x:c>
      <x:c r="HW10" s="27" t="str">
        <x:f>IF(C10="","",IF(JI10=LARGE(JI10:JN10,1),"นักปฏิบัติ",IF(JJ10=LARGE(JI10:JN10,1),"นักคิดวิเคราะห์",IF(JK10=LARGE(JI10:JN10,1),"นักสร้างสรรค์",IF(JL10=LARGE(JI10:JN10,1),"ผู้เข้าใจผู้คน",IF(JM10=LARGE(JI10:JN10,1),"ผู้นำการเปลี่ยนแปลง",IF(JN10=LARGE(JI10:JN10,1),"ผู้จัดระบบ","ผู้จัดระบบ")))))))</x:f>
      </x:c>
      <x:c r="HX10" s="27"/>
      <x:c r="HY10" s="27"/>
      <x:c r="HZ10" s="27"/>
      <x:c r="IA10" s="27"/>
      <x:c r="IB10" s="27"/>
      <x:c r="IC10" s="27"/>
      <x:c r="ID10" s="27"/>
      <x:c r="IE10" s="27"/>
      <x:c r="IF10" s="27"/>
      <x:c r="IG10" s="27"/>
      <x:c r="IH10" s="27"/>
      <x:c r="II10" s="27"/>
      <x:c r="IJ10" s="27"/>
      <x:c r="IK10" s="27" t="str">
        <x:f>IF(C10="","",SUM(H10,N10,T10,Z10,AF10,AL10,AR10,AX10,BD10,BJ10,BP10))</x:f>
      </x:c>
      <x:c r="IL10" s="27" t="str">
        <x:f>IF(C10="","",SUM(I10,O10,U10,AA10,AG10,AM10,AS10,AY10,BE10,BK10,BQ10))</x:f>
      </x:c>
      <x:c r="IM10" s="27" t="str">
        <x:f>IF(C10="","",SUM(J10,P10,V10,AB10,AH10,AN10,AT10,AZ10,BF10,BL10,BR10))</x:f>
      </x:c>
      <x:c r="IN10" s="27" t="str">
        <x:f>IF(C10="","",SUM(K10,Q10,W10,AC10,AI10,AO10,AU10,BA10,BG10,BM10,BS10))</x:f>
      </x:c>
      <x:c r="IO10" s="27" t="str">
        <x:f>IF(C10="","",SUM(L10,R10,X10,AD10,AJ10,AP10,AV10,BB10,BH10,BN10,BT10))</x:f>
      </x:c>
      <x:c r="IP10" s="27" t="str">
        <x:f>IF(C10="","",SUM(M10,S10,Y10,AE10,AK10,AQ10,AW10,BC10,BI10,BO10,BU10))</x:f>
      </x:c>
      <x:c r="IQ10" s="27" t="str">
        <x:f>IF(C10="","",SUM(BV10,CB10,CH10,CN10,CT10,CZ10,DF10,DL10,DR10,DX10,ED10))</x:f>
      </x:c>
      <x:c r="IR10" s="27" t="str">
        <x:f>IF(C10="","",SUM(BW10,CC10,CI10,CO10,CU10,DA10,DG10,DM10,DS10,DY10,EE10))</x:f>
      </x:c>
      <x:c r="IS10" s="27" t="str">
        <x:f>IF(C10="","",SUM(BX10,CD10,CJ10,CP10,CV10,DB10,DH10,DN10,DT10,DZ10,EF10))</x:f>
      </x:c>
      <x:c r="IT10" s="27" t="str">
        <x:f>IF(C10="","",SUM(BY10,CE10,CK10,CQ10,CW10,DC10,DI10,DO10,DU10,EA10,EG10))</x:f>
      </x:c>
      <x:c r="IU10" s="27" t="str">
        <x:f>IF(C10="","",SUM(BZ10,CF10,CL10,CR10,CX10,DD10,DJ10,DP10,DV10,EB10,EH10))</x:f>
      </x:c>
      <x:c r="IV10" s="27" t="str">
        <x:f>IF(C10="","",SUM(CA10,CG10,CM10,CS10,CY10,DE10,DK10,DQ10,DW10,EC10,EI10))</x:f>
      </x:c>
      <x:c r="IW10" s="27" t="str">
        <x:f>IF(C10="","",SUM(EJ10,EP10,EV10,FB10,FH10,FN10,FT10,FZ10,GF10,GL10,GR10,GX10,HD10,HJ10))</x:f>
      </x:c>
      <x:c r="IX10" s="27" t="str">
        <x:f>IF(C10="","",SUM(EK10,EQ10,EW10,FC10,FI10,FO10,FU10,GA10,GG10,GM10,GS10,GY10,HE10,HK10))</x:f>
      </x:c>
      <x:c r="IY10" s="27" t="str">
        <x:f>IF(C10="","",SUM(EL10,ER10,EX10,FD10,FJ10,FP10,FV10,GB10,GH10,GN10,GT10,GZ10,HF10,HL10))</x:f>
      </x:c>
      <x:c r="IZ10" s="27" t="str">
        <x:f>IF(C10="","",SUM(EM10,ES10,EY10,FE10,FK10,FQ10,FW10,GC10,GI10,GO10,GU10,HA10,HG10,HM10))</x:f>
      </x:c>
      <x:c r="JA10" s="27" t="str">
        <x:f>IF(C10="","",SUM(EN10,ET10,EZ10,FF10,FL10,FR10,FX10,GD10,GJ10,GP10,GV10,HB10,HH10,HN10))</x:f>
      </x:c>
      <x:c r="JB10" s="27" t="str">
        <x:f>IF(C10="","",SUM(EO10,EU10,FA10,FG10,FM10,FS10,FY10,GE10,GK10,GQ10,GW10,HC10,HI10,HO10))</x:f>
      </x:c>
      <x:c r="JC10" s="27" t="str">
        <x:f>IF(C10="","",0)</x:f>
      </x:c>
      <x:c r="JD10" s="27" t="str">
        <x:f>IF(C10="","",0)</x:f>
      </x:c>
      <x:c r="JE10" s="27" t="str">
        <x:f>IF(C10="","",0)</x:f>
      </x:c>
      <x:c r="JF10" s="27" t="str">
        <x:f>IF(C10="","",0)</x:f>
      </x:c>
      <x:c r="JG10" s="27" t="str">
        <x:f>IF(C10="","",0)</x:f>
      </x:c>
      <x:c r="JH10" s="27" t="str">
        <x:f>IF(C10="","",0)</x:f>
      </x:c>
      <x:c r="JI10" s="27" t="str">
        <x:f>IF(C10="","",HP10*1000000000+IW10*1000000+IQ10*10000+IK10*100+JC10+6/1000)</x:f>
      </x:c>
      <x:c r="JJ10" s="27" t="str">
        <x:f>IF(C10="","",HQ10*1000000000+IX10*1000000+IR10*10000+IL10*100+JD10+5/1000)</x:f>
      </x:c>
      <x:c r="JK10" s="27" t="str">
        <x:f>IF(C10="","",HR10*1000000000+IY10*1000000+IS10*10000+IM10*100+JE10+4/1000)</x:f>
      </x:c>
      <x:c r="JL10" s="27" t="str">
        <x:f>IF(C10="","",HS10*1000000000+IZ10*1000000+IT10*10000+IN10*100+JF10+3/1000)</x:f>
      </x:c>
      <x:c r="JM10" s="27" t="str">
        <x:f>IF(C10="","",HT10*1000000000+JA10*1000000+IU10*10000+IO10*100+JG10+2/1000)</x:f>
      </x:c>
      <x:c r="JN10" s="27" t="str">
        <x:f>IF(C10="","",HU10*1000000000+JB10*1000000+IV10*10000+IP10*100+JH10+1/1000)</x:f>
      </x:c>
    </x:row>
    <x:row r="11">
      <x:c r="A11" s="27"/>
      <x:c r="B11" s="28"/>
      <x:c r="C11" s="27"/>
      <x:c r="D11" s="27"/>
      <x:c r="E11" s="27"/>
      <x:c r="F11" s="27"/>
      <x:c r="G11" s="27"/>
      <x:c r="H11" s="27"/>
      <x:c r="I11" s="27"/>
      <x:c r="J11" s="27"/>
      <x:c r="K11" s="27"/>
      <x:c r="L11" s="27"/>
      <x:c r="M11" s="27"/>
      <x:c r="N11" s="27"/>
      <x:c r="O11" s="27"/>
      <x:c r="P11" s="27"/>
      <x:c r="Q11" s="27"/>
      <x:c r="R11" s="27"/>
      <x:c r="S11" s="27"/>
      <x:c r="T11" s="27"/>
      <x:c r="U11" s="27"/>
      <x:c r="V11" s="27"/>
      <x:c r="W11" s="27"/>
      <x:c r="X11" s="27"/>
      <x:c r="Y11" s="27"/>
      <x:c r="Z11" s="27"/>
      <x:c r="AA11" s="27"/>
      <x:c r="AB11" s="27"/>
      <x:c r="AC11" s="27"/>
      <x:c r="AD11" s="27"/>
      <x:c r="AE11" s="27"/>
      <x:c r="AF11" s="27"/>
      <x:c r="AG11" s="27"/>
      <x:c r="AH11" s="27"/>
      <x:c r="AI11" s="27"/>
      <x:c r="AJ11" s="27"/>
      <x:c r="AK11" s="27"/>
      <x:c r="AL11" s="27"/>
      <x:c r="AM11" s="27"/>
      <x:c r="AN11" s="27"/>
      <x:c r="AO11" s="27"/>
      <x:c r="AP11" s="27"/>
      <x:c r="AQ11" s="27"/>
      <x:c r="AR11" s="27"/>
      <x:c r="AS11" s="27"/>
      <x:c r="AT11" s="27"/>
      <x:c r="AU11" s="27"/>
      <x:c r="AV11" s="27"/>
      <x:c r="AW11" s="27"/>
      <x:c r="AX11" s="27"/>
      <x:c r="AY11" s="27"/>
      <x:c r="AZ11" s="27"/>
      <x:c r="BA11" s="27"/>
      <x:c r="BB11" s="27"/>
      <x:c r="BC11" s="27"/>
      <x:c r="BD11" s="27"/>
      <x:c r="BE11" s="27"/>
      <x:c r="BF11" s="27"/>
      <x:c r="BG11" s="27"/>
      <x:c r="BH11" s="27"/>
      <x:c r="BI11" s="27"/>
      <x:c r="BJ11" s="27"/>
      <x:c r="BK11" s="27"/>
      <x:c r="BL11" s="27"/>
      <x:c r="BM11" s="27"/>
      <x:c r="BN11" s="27"/>
      <x:c r="BO11" s="27"/>
      <x:c r="BP11" s="27"/>
      <x:c r="BQ11" s="27"/>
      <x:c r="BR11" s="27"/>
      <x:c r="BS11" s="27"/>
      <x:c r="BT11" s="27"/>
      <x:c r="BU11" s="27"/>
      <x:c r="BV11" s="27"/>
      <x:c r="BW11" s="27"/>
      <x:c r="BX11" s="27"/>
      <x:c r="BY11" s="27"/>
      <x:c r="BZ11" s="27"/>
      <x:c r="CA11" s="27"/>
      <x:c r="CB11" s="27"/>
      <x:c r="CC11" s="27"/>
      <x:c r="CD11" s="27"/>
      <x:c r="CE11" s="27"/>
      <x:c r="CF11" s="27"/>
      <x:c r="CG11" s="27"/>
      <x:c r="CH11" s="27"/>
      <x:c r="CI11" s="27"/>
      <x:c r="CJ11" s="27"/>
      <x:c r="CK11" s="27"/>
      <x:c r="CL11" s="27"/>
      <x:c r="CM11" s="27"/>
      <x:c r="CN11" s="27"/>
      <x:c r="CO11" s="27"/>
      <x:c r="CP11" s="27"/>
      <x:c r="CQ11" s="27"/>
      <x:c r="CR11" s="27"/>
      <x:c r="CS11" s="27"/>
      <x:c r="CT11" s="27"/>
      <x:c r="CU11" s="27"/>
      <x:c r="CV11" s="27"/>
      <x:c r="CW11" s="27"/>
      <x:c r="CX11" s="27"/>
      <x:c r="CY11" s="27"/>
      <x:c r="CZ11" s="27"/>
      <x:c r="DA11" s="27"/>
      <x:c r="DB11" s="27"/>
      <x:c r="DC11" s="27"/>
      <x:c r="DD11" s="27"/>
      <x:c r="DE11" s="27"/>
      <x:c r="DF11" s="27"/>
      <x:c r="DG11" s="27"/>
      <x:c r="DH11" s="27"/>
      <x:c r="DI11" s="27"/>
      <x:c r="DJ11" s="27"/>
      <x:c r="DK11" s="27"/>
      <x:c r="DL11" s="27"/>
      <x:c r="DM11" s="27"/>
      <x:c r="DN11" s="27"/>
      <x:c r="DO11" s="27"/>
      <x:c r="DP11" s="27"/>
      <x:c r="DQ11" s="27"/>
      <x:c r="DR11" s="27"/>
      <x:c r="DS11" s="27"/>
      <x:c r="DT11" s="27"/>
      <x:c r="DU11" s="27"/>
      <x:c r="DV11" s="27"/>
      <x:c r="DW11" s="27"/>
      <x:c r="DX11" s="27"/>
      <x:c r="DY11" s="27"/>
      <x:c r="DZ11" s="27"/>
      <x:c r="EA11" s="27"/>
      <x:c r="EB11" s="27"/>
      <x:c r="EC11" s="27"/>
      <x:c r="ED11" s="27"/>
      <x:c r="EE11" s="27"/>
      <x:c r="EF11" s="27"/>
      <x:c r="EG11" s="27"/>
      <x:c r="EH11" s="27"/>
      <x:c r="EI11" s="27"/>
      <x:c r="EJ11" s="27"/>
      <x:c r="EK11" s="27"/>
      <x:c r="EL11" s="27"/>
      <x:c r="EM11" s="27"/>
      <x:c r="EN11" s="27"/>
      <x:c r="EO11" s="27"/>
      <x:c r="EP11" s="27"/>
      <x:c r="EQ11" s="27"/>
      <x:c r="ER11" s="27"/>
      <x:c r="ES11" s="27"/>
      <x:c r="ET11" s="27"/>
      <x:c r="EU11" s="27"/>
      <x:c r="EV11" s="27"/>
      <x:c r="EW11" s="27"/>
      <x:c r="EX11" s="27"/>
      <x:c r="EY11" s="27"/>
      <x:c r="EZ11" s="27"/>
      <x:c r="FA11" s="27"/>
      <x:c r="FB11" s="27"/>
      <x:c r="FC11" s="27"/>
      <x:c r="FD11" s="27"/>
      <x:c r="FE11" s="27"/>
      <x:c r="FF11" s="27"/>
      <x:c r="FG11" s="27"/>
      <x:c r="FH11" s="27"/>
      <x:c r="FI11" s="27"/>
      <x:c r="FJ11" s="27"/>
      <x:c r="FK11" s="27"/>
      <x:c r="FL11" s="27"/>
      <x:c r="FM11" s="27"/>
      <x:c r="FN11" s="27"/>
      <x:c r="FO11" s="27"/>
      <x:c r="FP11" s="27"/>
      <x:c r="FQ11" s="27"/>
      <x:c r="FR11" s="27"/>
      <x:c r="FS11" s="27"/>
      <x:c r="FT11" s="27"/>
      <x:c r="FU11" s="27"/>
      <x:c r="FV11" s="27"/>
      <x:c r="FW11" s="27"/>
      <x:c r="FX11" s="27"/>
      <x:c r="FY11" s="27"/>
      <x:c r="FZ11" s="27"/>
      <x:c r="GA11" s="27"/>
      <x:c r="GB11" s="27"/>
      <x:c r="GC11" s="27"/>
      <x:c r="GD11" s="27"/>
      <x:c r="GE11" s="27"/>
      <x:c r="GF11" s="27"/>
      <x:c r="GG11" s="27"/>
      <x:c r="GH11" s="27"/>
      <x:c r="GI11" s="27"/>
      <x:c r="GJ11" s="27"/>
      <x:c r="GK11" s="27"/>
      <x:c r="GL11" s="27"/>
      <x:c r="GM11" s="27"/>
      <x:c r="GN11" s="27"/>
      <x:c r="GO11" s="27"/>
      <x:c r="GP11" s="27"/>
      <x:c r="GQ11" s="27"/>
      <x:c r="GR11" s="27"/>
      <x:c r="GS11" s="27"/>
      <x:c r="GT11" s="27"/>
      <x:c r="GU11" s="27"/>
      <x:c r="GV11" s="27"/>
      <x:c r="GW11" s="27"/>
      <x:c r="GX11" s="27"/>
      <x:c r="GY11" s="27"/>
      <x:c r="GZ11" s="27"/>
      <x:c r="HA11" s="27"/>
      <x:c r="HB11" s="27"/>
      <x:c r="HC11" s="27"/>
      <x:c r="HD11" s="27"/>
      <x:c r="HE11" s="27"/>
      <x:c r="HF11" s="27"/>
      <x:c r="HG11" s="27"/>
      <x:c r="HH11" s="27"/>
      <x:c r="HI11" s="27"/>
      <x:c r="HJ11" s="27"/>
      <x:c r="HK11" s="27"/>
      <x:c r="HL11" s="27"/>
      <x:c r="HM11" s="27"/>
      <x:c r="HN11" s="27"/>
      <x:c r="HO11" s="27"/>
      <x:c r="HP11" s="27" t="str">
        <x:f>IF(C11="","",SUM(H11,N11,T11,Z11,AF11,AL11,AR11,AX11,BD11,BJ11,BP11,BV11,CB11,CH11,CN11,CT11,CZ11,DF11,DL11,DR11,DX11,ED11,EJ11,EP11,EV11,FB11,FH11,FN11,FT11,FZ11,GF11,GL11,GR11,GX11,HD11,HJ11))</x:f>
      </x:c>
      <x:c r="HQ11" s="27" t="str">
        <x:f>IF(C11="","",SUM(I11,O11,U11,AA11,AG11,AM11,AS11,AY11,BE11,BK11,BQ11,BW11,CC11,CI11,CO11,CU11,DA11,DG11,DM11,DS11,DY11,EE11,EK11,EQ11,EW11,FC11,FI11,FO11,FU11,GA11,GG11,GM11,GS11,GY11,HE11,HK11))</x:f>
      </x:c>
      <x:c r="HR11" s="27" t="str">
        <x:f>IF(C11="","",SUM(J11,P11,V11,AB11,AH11,AN11,AT11,AZ11,BF11,BL11,BR11,BX11,CD11,CJ11,CP11,CV11,DB11,DH11,DN11,DT11,DZ11,EF11,EL11,ER11,EX11,FD11,FJ11,FP11,FV11,GB11,GH11,GN11,GT11,GZ11,HF11,HL11))</x:f>
      </x:c>
      <x:c r="HS11" s="27" t="str">
        <x:f>IF(C11="","",SUM(K11,Q11,W11,AC11,AI11,AO11,AU11,BA11,BG11,BM11,BS11,BY11,CE11,CK11,CQ11,CW11,DC11,DI11,DO11,DU11,EA11,EG11,EM11,ES11,EY11,FE11,FK11,FQ11,FW11,GC11,GI11,GO11,GU11,HA11,HG11,HM11))</x:f>
      </x:c>
      <x:c r="HT11" s="27" t="str">
        <x:f>IF(C11="","",SUM(L11,R11,X11,AD11,AJ11,AP11,AV11,BB11,BH11,BN11,BT11,BZ11,CF11,CL11,CR11,CX11,DD11,DJ11,DP11,DV11,EB11,EH11,EN11,ET11,EZ11,FF11,FL11,FR11,FX11,GD11,GJ11,GP11,GV11,HB11,HH11,HN11))</x:f>
      </x:c>
      <x:c r="HU11" s="27" t="str">
        <x:f>IF(C11="","",SUM(M11,S11,Y11,AE11,AK11,AQ11,AW11,BC11,BI11,BO11,BU11,CA11,CG11,CM11,CS11,CY11,DE11,DK11,DQ11,DW11,EC11,EI11,EO11,EU11,FA11,FG11,FM11,FS11,FY11,GE11,GK11,GQ11,GW11,HC11,HI11,HO11))</x:f>
      </x:c>
      <x:c r="HV11" s="27" t="str">
        <x:f>IF(C11="","",IF(JI11=LARGE(JI11:JN11,1),"R",IF(JJ11=LARGE(JI11:JN11,1),"I",IF(JK11=LARGE(JI11:JN11,1),"A",IF(JL11=LARGE(JI11:JN11,1),"S",IF(JM11=LARGE(JI11:JN11,1),"E",IF(JN11=LARGE(JI11:JN11,1),"C",""))))))&amp;IF(JI11=LARGE(JI11:JN11,2),"R",IF(JJ11=LARGE(JI11:JN11,2),"I",IF(JK11=LARGE(JI11:JN11,2),"A",IF(JL11=LARGE(JI11:JN11,2),"S",IF(JM11=LARGE(JI11:JN11,2),"E",IF(JN11=LARGE(JI11:JN11,2),"C",""))))))&amp;IF(JI11=LARGE(JI11:JN11,3),"R",IF(JJ11=LARGE(JI11:JN11,3),"I",IF(JK11=LARGE(JI11:JN11,3),"A",IF(JL11=LARGE(JI11:JN11,3),"S",IF(JM11=LARGE(JI11:JN11,3),"E",IF(JN11=LARGE(JI11:JN11,3),"C","")))))))</x:f>
      </x:c>
      <x:c r="HW11" s="27" t="str">
        <x:f>IF(C11="","",IF(JI11=LARGE(JI11:JN11,1),"นักปฏิบัติ",IF(JJ11=LARGE(JI11:JN11,1),"นักคิดวิเคราะห์",IF(JK11=LARGE(JI11:JN11,1),"นักสร้างสรรค์",IF(JL11=LARGE(JI11:JN11,1),"ผู้เข้าใจผู้คน",IF(JM11=LARGE(JI11:JN11,1),"ผู้นำการเปลี่ยนแปลง",IF(JN11=LARGE(JI11:JN11,1),"ผู้จัดระบบ","ผู้จัดระบบ")))))))</x:f>
      </x:c>
      <x:c r="HX11" s="27"/>
      <x:c r="HY11" s="27"/>
      <x:c r="HZ11" s="27"/>
      <x:c r="IA11" s="27"/>
      <x:c r="IB11" s="27"/>
      <x:c r="IC11" s="27"/>
      <x:c r="ID11" s="27"/>
      <x:c r="IE11" s="27"/>
      <x:c r="IF11" s="27"/>
      <x:c r="IG11" s="27"/>
      <x:c r="IH11" s="27"/>
      <x:c r="II11" s="27"/>
      <x:c r="IJ11" s="27"/>
      <x:c r="IK11" s="27" t="str">
        <x:f>IF(C11="","",SUM(H11,N11,T11,Z11,AF11,AL11,AR11,AX11,BD11,BJ11,BP11))</x:f>
      </x:c>
      <x:c r="IL11" s="27" t="str">
        <x:f>IF(C11="","",SUM(I11,O11,U11,AA11,AG11,AM11,AS11,AY11,BE11,BK11,BQ11))</x:f>
      </x:c>
      <x:c r="IM11" s="27" t="str">
        <x:f>IF(C11="","",SUM(J11,P11,V11,AB11,AH11,AN11,AT11,AZ11,BF11,BL11,BR11))</x:f>
      </x:c>
      <x:c r="IN11" s="27" t="str">
        <x:f>IF(C11="","",SUM(K11,Q11,W11,AC11,AI11,AO11,AU11,BA11,BG11,BM11,BS11))</x:f>
      </x:c>
      <x:c r="IO11" s="27" t="str">
        <x:f>IF(C11="","",SUM(L11,R11,X11,AD11,AJ11,AP11,AV11,BB11,BH11,BN11,BT11))</x:f>
      </x:c>
      <x:c r="IP11" s="27" t="str">
        <x:f>IF(C11="","",SUM(M11,S11,Y11,AE11,AK11,AQ11,AW11,BC11,BI11,BO11,BU11))</x:f>
      </x:c>
      <x:c r="IQ11" s="27" t="str">
        <x:f>IF(C11="","",SUM(BV11,CB11,CH11,CN11,CT11,CZ11,DF11,DL11,DR11,DX11,ED11))</x:f>
      </x:c>
      <x:c r="IR11" s="27" t="str">
        <x:f>IF(C11="","",SUM(BW11,CC11,CI11,CO11,CU11,DA11,DG11,DM11,DS11,DY11,EE11))</x:f>
      </x:c>
      <x:c r="IS11" s="27" t="str">
        <x:f>IF(C11="","",SUM(BX11,CD11,CJ11,CP11,CV11,DB11,DH11,DN11,DT11,DZ11,EF11))</x:f>
      </x:c>
      <x:c r="IT11" s="27" t="str">
        <x:f>IF(C11="","",SUM(BY11,CE11,CK11,CQ11,CW11,DC11,DI11,DO11,DU11,EA11,EG11))</x:f>
      </x:c>
      <x:c r="IU11" s="27" t="str">
        <x:f>IF(C11="","",SUM(BZ11,CF11,CL11,CR11,CX11,DD11,DJ11,DP11,DV11,EB11,EH11))</x:f>
      </x:c>
      <x:c r="IV11" s="27" t="str">
        <x:f>IF(C11="","",SUM(CA11,CG11,CM11,CS11,CY11,DE11,DK11,DQ11,DW11,EC11,EI11))</x:f>
      </x:c>
      <x:c r="IW11" s="27" t="str">
        <x:f>IF(C11="","",SUM(EJ11,EP11,EV11,FB11,FH11,FN11,FT11,FZ11,GF11,GL11,GR11,GX11,HD11,HJ11))</x:f>
      </x:c>
      <x:c r="IX11" s="27" t="str">
        <x:f>IF(C11="","",SUM(EK11,EQ11,EW11,FC11,FI11,FO11,FU11,GA11,GG11,GM11,GS11,GY11,HE11,HK11))</x:f>
      </x:c>
      <x:c r="IY11" s="27" t="str">
        <x:f>IF(C11="","",SUM(EL11,ER11,EX11,FD11,FJ11,FP11,FV11,GB11,GH11,GN11,GT11,GZ11,HF11,HL11))</x:f>
      </x:c>
      <x:c r="IZ11" s="27" t="str">
        <x:f>IF(C11="","",SUM(EM11,ES11,EY11,FE11,FK11,FQ11,FW11,GC11,GI11,GO11,GU11,HA11,HG11,HM11))</x:f>
      </x:c>
      <x:c r="JA11" s="27" t="str">
        <x:f>IF(C11="","",SUM(EN11,ET11,EZ11,FF11,FL11,FR11,FX11,GD11,GJ11,GP11,GV11,HB11,HH11,HN11))</x:f>
      </x:c>
      <x:c r="JB11" s="27" t="str">
        <x:f>IF(C11="","",SUM(EO11,EU11,FA11,FG11,FM11,FS11,FY11,GE11,GK11,GQ11,GW11,HC11,HI11,HO11))</x:f>
      </x:c>
      <x:c r="JC11" s="27" t="str">
        <x:f>IF(C11="","",0)</x:f>
      </x:c>
      <x:c r="JD11" s="27" t="str">
        <x:f>IF(C11="","",0)</x:f>
      </x:c>
      <x:c r="JE11" s="27" t="str">
        <x:f>IF(C11="","",0)</x:f>
      </x:c>
      <x:c r="JF11" s="27" t="str">
        <x:f>IF(C11="","",0)</x:f>
      </x:c>
      <x:c r="JG11" s="27" t="str">
        <x:f>IF(C11="","",0)</x:f>
      </x:c>
      <x:c r="JH11" s="27" t="str">
        <x:f>IF(C11="","",0)</x:f>
      </x:c>
      <x:c r="JI11" s="27" t="str">
        <x:f>IF(C11="","",HP11*1000000000+IW11*1000000+IQ11*10000+IK11*100+JC11+6/1000)</x:f>
      </x:c>
      <x:c r="JJ11" s="27" t="str">
        <x:f>IF(C11="","",HQ11*1000000000+IX11*1000000+IR11*10000+IL11*100+JD11+5/1000)</x:f>
      </x:c>
      <x:c r="JK11" s="27" t="str">
        <x:f>IF(C11="","",HR11*1000000000+IY11*1000000+IS11*10000+IM11*100+JE11+4/1000)</x:f>
      </x:c>
      <x:c r="JL11" s="27" t="str">
        <x:f>IF(C11="","",HS11*1000000000+IZ11*1000000+IT11*10000+IN11*100+JF11+3/1000)</x:f>
      </x:c>
      <x:c r="JM11" s="27" t="str">
        <x:f>IF(C11="","",HT11*1000000000+JA11*1000000+IU11*10000+IO11*100+JG11+2/1000)</x:f>
      </x:c>
      <x:c r="JN11" s="27" t="str">
        <x:f>IF(C11="","",HU11*1000000000+JB11*1000000+IV11*10000+IP11*100+JH11+1/1000)</x:f>
      </x:c>
    </x:row>
    <x:row r="12">
      <x:c r="A12" s="27"/>
      <x:c r="B12" s="28"/>
      <x:c r="C12" s="27"/>
      <x:c r="D12" s="27"/>
      <x:c r="E12" s="27"/>
      <x:c r="F12" s="27"/>
      <x:c r="G12" s="27"/>
      <x:c r="H12" s="27"/>
      <x:c r="I12" s="27"/>
      <x:c r="J12" s="27"/>
      <x:c r="K12" s="27"/>
      <x:c r="L12" s="27"/>
      <x:c r="M12" s="27"/>
      <x:c r="N12" s="27"/>
      <x:c r="O12" s="27"/>
      <x:c r="P12" s="27"/>
      <x:c r="Q12" s="27"/>
      <x:c r="R12" s="27"/>
      <x:c r="S12" s="27"/>
      <x:c r="T12" s="27"/>
      <x:c r="U12" s="27"/>
      <x:c r="V12" s="27"/>
      <x:c r="W12" s="27"/>
      <x:c r="X12" s="27"/>
      <x:c r="Y12" s="27"/>
      <x:c r="Z12" s="27"/>
      <x:c r="AA12" s="27"/>
      <x:c r="AB12" s="27"/>
      <x:c r="AC12" s="27"/>
      <x:c r="AD12" s="27"/>
      <x:c r="AE12" s="27"/>
      <x:c r="AF12" s="27"/>
      <x:c r="AG12" s="27"/>
      <x:c r="AH12" s="27"/>
      <x:c r="AI12" s="27"/>
      <x:c r="AJ12" s="27"/>
      <x:c r="AK12" s="27"/>
      <x:c r="AL12" s="27"/>
      <x:c r="AM12" s="27"/>
      <x:c r="AN12" s="27"/>
      <x:c r="AO12" s="27"/>
      <x:c r="AP12" s="27"/>
      <x:c r="AQ12" s="27"/>
      <x:c r="AR12" s="27"/>
      <x:c r="AS12" s="27"/>
      <x:c r="AT12" s="27"/>
      <x:c r="AU12" s="27"/>
      <x:c r="AV12" s="27"/>
      <x:c r="AW12" s="27"/>
      <x:c r="AX12" s="27"/>
      <x:c r="AY12" s="27"/>
      <x:c r="AZ12" s="27"/>
      <x:c r="BA12" s="27"/>
      <x:c r="BB12" s="27"/>
      <x:c r="BC12" s="27"/>
      <x:c r="BD12" s="27"/>
      <x:c r="BE12" s="27"/>
      <x:c r="BF12" s="27"/>
      <x:c r="BG12" s="27"/>
      <x:c r="BH12" s="27"/>
      <x:c r="BI12" s="27"/>
      <x:c r="BJ12" s="27"/>
      <x:c r="BK12" s="27"/>
      <x:c r="BL12" s="27"/>
      <x:c r="BM12" s="27"/>
      <x:c r="BN12" s="27"/>
      <x:c r="BO12" s="27"/>
      <x:c r="BP12" s="27"/>
      <x:c r="BQ12" s="27"/>
      <x:c r="BR12" s="27"/>
      <x:c r="BS12" s="27"/>
      <x:c r="BT12" s="27"/>
      <x:c r="BU12" s="27"/>
      <x:c r="BV12" s="27"/>
      <x:c r="BW12" s="27"/>
      <x:c r="BX12" s="27"/>
      <x:c r="BY12" s="27"/>
      <x:c r="BZ12" s="27"/>
      <x:c r="CA12" s="27"/>
      <x:c r="CB12" s="27"/>
      <x:c r="CC12" s="27"/>
      <x:c r="CD12" s="27"/>
      <x:c r="CE12" s="27"/>
      <x:c r="CF12" s="27"/>
      <x:c r="CG12" s="27"/>
      <x:c r="CH12" s="27"/>
      <x:c r="CI12" s="27"/>
      <x:c r="CJ12" s="27"/>
      <x:c r="CK12" s="27"/>
      <x:c r="CL12" s="27"/>
      <x:c r="CM12" s="27"/>
      <x:c r="CN12" s="27"/>
      <x:c r="CO12" s="27"/>
      <x:c r="CP12" s="27"/>
      <x:c r="CQ12" s="27"/>
      <x:c r="CR12" s="27"/>
      <x:c r="CS12" s="27"/>
      <x:c r="CT12" s="27"/>
      <x:c r="CU12" s="27"/>
      <x:c r="CV12" s="27"/>
      <x:c r="CW12" s="27"/>
      <x:c r="CX12" s="27"/>
      <x:c r="CY12" s="27"/>
      <x:c r="CZ12" s="27"/>
      <x:c r="DA12" s="27"/>
      <x:c r="DB12" s="27"/>
      <x:c r="DC12" s="27"/>
      <x:c r="DD12" s="27"/>
      <x:c r="DE12" s="27"/>
      <x:c r="DF12" s="27"/>
      <x:c r="DG12" s="27"/>
      <x:c r="DH12" s="27"/>
      <x:c r="DI12" s="27"/>
      <x:c r="DJ12" s="27"/>
      <x:c r="DK12" s="27"/>
      <x:c r="DL12" s="27"/>
      <x:c r="DM12" s="27"/>
      <x:c r="DN12" s="27"/>
      <x:c r="DO12" s="27"/>
      <x:c r="DP12" s="27"/>
      <x:c r="DQ12" s="27"/>
      <x:c r="DR12" s="27"/>
      <x:c r="DS12" s="27"/>
      <x:c r="DT12" s="27"/>
      <x:c r="DU12" s="27"/>
      <x:c r="DV12" s="27"/>
      <x:c r="DW12" s="27"/>
      <x:c r="DX12" s="27"/>
      <x:c r="DY12" s="27"/>
      <x:c r="DZ12" s="27"/>
      <x:c r="EA12" s="27"/>
      <x:c r="EB12" s="27"/>
      <x:c r="EC12" s="27"/>
      <x:c r="ED12" s="27"/>
      <x:c r="EE12" s="27"/>
      <x:c r="EF12" s="27"/>
      <x:c r="EG12" s="27"/>
      <x:c r="EH12" s="27"/>
      <x:c r="EI12" s="27"/>
      <x:c r="EJ12" s="27"/>
      <x:c r="EK12" s="27"/>
      <x:c r="EL12" s="27"/>
      <x:c r="EM12" s="27"/>
      <x:c r="EN12" s="27"/>
      <x:c r="EO12" s="27"/>
      <x:c r="EP12" s="27"/>
      <x:c r="EQ12" s="27"/>
      <x:c r="ER12" s="27"/>
      <x:c r="ES12" s="27"/>
      <x:c r="ET12" s="27"/>
      <x:c r="EU12" s="27"/>
      <x:c r="EV12" s="27"/>
      <x:c r="EW12" s="27"/>
      <x:c r="EX12" s="27"/>
      <x:c r="EY12" s="27"/>
      <x:c r="EZ12" s="27"/>
      <x:c r="FA12" s="27"/>
      <x:c r="FB12" s="27"/>
      <x:c r="FC12" s="27"/>
      <x:c r="FD12" s="27"/>
      <x:c r="FE12" s="27"/>
      <x:c r="FF12" s="27"/>
      <x:c r="FG12" s="27"/>
      <x:c r="FH12" s="27"/>
      <x:c r="FI12" s="27"/>
      <x:c r="FJ12" s="27"/>
      <x:c r="FK12" s="27"/>
      <x:c r="FL12" s="27"/>
      <x:c r="FM12" s="27"/>
      <x:c r="FN12" s="27"/>
      <x:c r="FO12" s="27"/>
      <x:c r="FP12" s="27"/>
      <x:c r="FQ12" s="27"/>
      <x:c r="FR12" s="27"/>
      <x:c r="FS12" s="27"/>
      <x:c r="FT12" s="27"/>
      <x:c r="FU12" s="27"/>
      <x:c r="FV12" s="27"/>
      <x:c r="FW12" s="27"/>
      <x:c r="FX12" s="27"/>
      <x:c r="FY12" s="27"/>
      <x:c r="FZ12" s="27"/>
      <x:c r="GA12" s="27"/>
      <x:c r="GB12" s="27"/>
      <x:c r="GC12" s="27"/>
      <x:c r="GD12" s="27"/>
      <x:c r="GE12" s="27"/>
      <x:c r="GF12" s="27"/>
      <x:c r="GG12" s="27"/>
      <x:c r="GH12" s="27"/>
      <x:c r="GI12" s="27"/>
      <x:c r="GJ12" s="27"/>
      <x:c r="GK12" s="27"/>
      <x:c r="GL12" s="27"/>
      <x:c r="GM12" s="27"/>
      <x:c r="GN12" s="27"/>
      <x:c r="GO12" s="27"/>
      <x:c r="GP12" s="27"/>
      <x:c r="GQ12" s="27"/>
      <x:c r="GR12" s="27"/>
      <x:c r="GS12" s="27"/>
      <x:c r="GT12" s="27"/>
      <x:c r="GU12" s="27"/>
      <x:c r="GV12" s="27"/>
      <x:c r="GW12" s="27"/>
      <x:c r="GX12" s="27"/>
      <x:c r="GY12" s="27"/>
      <x:c r="GZ12" s="27"/>
      <x:c r="HA12" s="27"/>
      <x:c r="HB12" s="27"/>
      <x:c r="HC12" s="27"/>
      <x:c r="HD12" s="27"/>
      <x:c r="HE12" s="27"/>
      <x:c r="HF12" s="27"/>
      <x:c r="HG12" s="27"/>
      <x:c r="HH12" s="27"/>
      <x:c r="HI12" s="27"/>
      <x:c r="HJ12" s="27"/>
      <x:c r="HK12" s="27"/>
      <x:c r="HL12" s="27"/>
      <x:c r="HM12" s="27"/>
      <x:c r="HN12" s="27"/>
      <x:c r="HO12" s="27"/>
      <x:c r="HP12" s="27" t="str">
        <x:f>IF(C12="","",SUM(H12,N12,T12,Z12,AF12,AL12,AR12,AX12,BD12,BJ12,BP12,BV12,CB12,CH12,CN12,CT12,CZ12,DF12,DL12,DR12,DX12,ED12,EJ12,EP12,EV12,FB12,FH12,FN12,FT12,FZ12,GF12,GL12,GR12,GX12,HD12,HJ12))</x:f>
      </x:c>
      <x:c r="HQ12" s="27" t="str">
        <x:f>IF(C12="","",SUM(I12,O12,U12,AA12,AG12,AM12,AS12,AY12,BE12,BK12,BQ12,BW12,CC12,CI12,CO12,CU12,DA12,DG12,DM12,DS12,DY12,EE12,EK12,EQ12,EW12,FC12,FI12,FO12,FU12,GA12,GG12,GM12,GS12,GY12,HE12,HK12))</x:f>
      </x:c>
      <x:c r="HR12" s="27" t="str">
        <x:f>IF(C12="","",SUM(J12,P12,V12,AB12,AH12,AN12,AT12,AZ12,BF12,BL12,BR12,BX12,CD12,CJ12,CP12,CV12,DB12,DH12,DN12,DT12,DZ12,EF12,EL12,ER12,EX12,FD12,FJ12,FP12,FV12,GB12,GH12,GN12,GT12,GZ12,HF12,HL12))</x:f>
      </x:c>
      <x:c r="HS12" s="27" t="str">
        <x:f>IF(C12="","",SUM(K12,Q12,W12,AC12,AI12,AO12,AU12,BA12,BG12,BM12,BS12,BY12,CE12,CK12,CQ12,CW12,DC12,DI12,DO12,DU12,EA12,EG12,EM12,ES12,EY12,FE12,FK12,FQ12,FW12,GC12,GI12,GO12,GU12,HA12,HG12,HM12))</x:f>
      </x:c>
      <x:c r="HT12" s="27" t="str">
        <x:f>IF(C12="","",SUM(L12,R12,X12,AD12,AJ12,AP12,AV12,BB12,BH12,BN12,BT12,BZ12,CF12,CL12,CR12,CX12,DD12,DJ12,DP12,DV12,EB12,EH12,EN12,ET12,EZ12,FF12,FL12,FR12,FX12,GD12,GJ12,GP12,GV12,HB12,HH12,HN12))</x:f>
      </x:c>
      <x:c r="HU12" s="27" t="str">
        <x:f>IF(C12="","",SUM(M12,S12,Y12,AE12,AK12,AQ12,AW12,BC12,BI12,BO12,BU12,CA12,CG12,CM12,CS12,CY12,DE12,DK12,DQ12,DW12,EC12,EI12,EO12,EU12,FA12,FG12,FM12,FS12,FY12,GE12,GK12,GQ12,GW12,HC12,HI12,HO12))</x:f>
      </x:c>
      <x:c r="HV12" s="27" t="str">
        <x:f>IF(C12="","",IF(JI12=LARGE(JI12:JN12,1),"R",IF(JJ12=LARGE(JI12:JN12,1),"I",IF(JK12=LARGE(JI12:JN12,1),"A",IF(JL12=LARGE(JI12:JN12,1),"S",IF(JM12=LARGE(JI12:JN12,1),"E",IF(JN12=LARGE(JI12:JN12,1),"C",""))))))&amp;IF(JI12=LARGE(JI12:JN12,2),"R",IF(JJ12=LARGE(JI12:JN12,2),"I",IF(JK12=LARGE(JI12:JN12,2),"A",IF(JL12=LARGE(JI12:JN12,2),"S",IF(JM12=LARGE(JI12:JN12,2),"E",IF(JN12=LARGE(JI12:JN12,2),"C",""))))))&amp;IF(JI12=LARGE(JI12:JN12,3),"R",IF(JJ12=LARGE(JI12:JN12,3),"I",IF(JK12=LARGE(JI12:JN12,3),"A",IF(JL12=LARGE(JI12:JN12,3),"S",IF(JM12=LARGE(JI12:JN12,3),"E",IF(JN12=LARGE(JI12:JN12,3),"C","")))))))</x:f>
      </x:c>
      <x:c r="HW12" s="27" t="str">
        <x:f>IF(C12="","",IF(JI12=LARGE(JI12:JN12,1),"นักปฏิบัติ",IF(JJ12=LARGE(JI12:JN12,1),"นักคิดวิเคราะห์",IF(JK12=LARGE(JI12:JN12,1),"นักสร้างสรรค์",IF(JL12=LARGE(JI12:JN12,1),"ผู้เข้าใจผู้คน",IF(JM12=LARGE(JI12:JN12,1),"ผู้นำการเปลี่ยนแปลง",IF(JN12=LARGE(JI12:JN12,1),"ผู้จัดระบบ","ผู้จัดระบบ")))))))</x:f>
      </x:c>
      <x:c r="HX12" s="27"/>
      <x:c r="HY12" s="27"/>
      <x:c r="HZ12" s="27"/>
      <x:c r="IA12" s="27"/>
      <x:c r="IB12" s="27"/>
      <x:c r="IC12" s="27"/>
      <x:c r="ID12" s="27"/>
      <x:c r="IE12" s="27"/>
      <x:c r="IF12" s="27"/>
      <x:c r="IG12" s="27"/>
      <x:c r="IH12" s="27"/>
      <x:c r="II12" s="27"/>
      <x:c r="IJ12" s="27"/>
      <x:c r="IK12" s="27" t="str">
        <x:f>IF(C12="","",SUM(H12,N12,T12,Z12,AF12,AL12,AR12,AX12,BD12,BJ12,BP12))</x:f>
      </x:c>
      <x:c r="IL12" s="27" t="str">
        <x:f>IF(C12="","",SUM(I12,O12,U12,AA12,AG12,AM12,AS12,AY12,BE12,BK12,BQ12))</x:f>
      </x:c>
      <x:c r="IM12" s="27" t="str">
        <x:f>IF(C12="","",SUM(J12,P12,V12,AB12,AH12,AN12,AT12,AZ12,BF12,BL12,BR12))</x:f>
      </x:c>
      <x:c r="IN12" s="27" t="str">
        <x:f>IF(C12="","",SUM(K12,Q12,W12,AC12,AI12,AO12,AU12,BA12,BG12,BM12,BS12))</x:f>
      </x:c>
      <x:c r="IO12" s="27" t="str">
        <x:f>IF(C12="","",SUM(L12,R12,X12,AD12,AJ12,AP12,AV12,BB12,BH12,BN12,BT12))</x:f>
      </x:c>
      <x:c r="IP12" s="27" t="str">
        <x:f>IF(C12="","",SUM(M12,S12,Y12,AE12,AK12,AQ12,AW12,BC12,BI12,BO12,BU12))</x:f>
      </x:c>
      <x:c r="IQ12" s="27" t="str">
        <x:f>IF(C12="","",SUM(BV12,CB12,CH12,CN12,CT12,CZ12,DF12,DL12,DR12,DX12,ED12))</x:f>
      </x:c>
      <x:c r="IR12" s="27" t="str">
        <x:f>IF(C12="","",SUM(BW12,CC12,CI12,CO12,CU12,DA12,DG12,DM12,DS12,DY12,EE12))</x:f>
      </x:c>
      <x:c r="IS12" s="27" t="str">
        <x:f>IF(C12="","",SUM(BX12,CD12,CJ12,CP12,CV12,DB12,DH12,DN12,DT12,DZ12,EF12))</x:f>
      </x:c>
      <x:c r="IT12" s="27" t="str">
        <x:f>IF(C12="","",SUM(BY12,CE12,CK12,CQ12,CW12,DC12,DI12,DO12,DU12,EA12,EG12))</x:f>
      </x:c>
      <x:c r="IU12" s="27" t="str">
        <x:f>IF(C12="","",SUM(BZ12,CF12,CL12,CR12,CX12,DD12,DJ12,DP12,DV12,EB12,EH12))</x:f>
      </x:c>
      <x:c r="IV12" s="27" t="str">
        <x:f>IF(C12="","",SUM(CA12,CG12,CM12,CS12,CY12,DE12,DK12,DQ12,DW12,EC12,EI12))</x:f>
      </x:c>
      <x:c r="IW12" s="27" t="str">
        <x:f>IF(C12="","",SUM(EJ12,EP12,EV12,FB12,FH12,FN12,FT12,FZ12,GF12,GL12,GR12,GX12,HD12,HJ12))</x:f>
      </x:c>
      <x:c r="IX12" s="27" t="str">
        <x:f>IF(C12="","",SUM(EK12,EQ12,EW12,FC12,FI12,FO12,FU12,GA12,GG12,GM12,GS12,GY12,HE12,HK12))</x:f>
      </x:c>
      <x:c r="IY12" s="27" t="str">
        <x:f>IF(C12="","",SUM(EL12,ER12,EX12,FD12,FJ12,FP12,FV12,GB12,GH12,GN12,GT12,GZ12,HF12,HL12))</x:f>
      </x:c>
      <x:c r="IZ12" s="27" t="str">
        <x:f>IF(C12="","",SUM(EM12,ES12,EY12,FE12,FK12,FQ12,FW12,GC12,GI12,GO12,GU12,HA12,HG12,HM12))</x:f>
      </x:c>
      <x:c r="JA12" s="27" t="str">
        <x:f>IF(C12="","",SUM(EN12,ET12,EZ12,FF12,FL12,FR12,FX12,GD12,GJ12,GP12,GV12,HB12,HH12,HN12))</x:f>
      </x:c>
      <x:c r="JB12" s="27" t="str">
        <x:f>IF(C12="","",SUM(EO12,EU12,FA12,FG12,FM12,FS12,FY12,GE12,GK12,GQ12,GW12,HC12,HI12,HO12))</x:f>
      </x:c>
      <x:c r="JC12" s="27" t="str">
        <x:f>IF(C12="","",0)</x:f>
      </x:c>
      <x:c r="JD12" s="27" t="str">
        <x:f>IF(C12="","",0)</x:f>
      </x:c>
      <x:c r="JE12" s="27" t="str">
        <x:f>IF(C12="","",0)</x:f>
      </x:c>
      <x:c r="JF12" s="27" t="str">
        <x:f>IF(C12="","",0)</x:f>
      </x:c>
      <x:c r="JG12" s="27" t="str">
        <x:f>IF(C12="","",0)</x:f>
      </x:c>
      <x:c r="JH12" s="27" t="str">
        <x:f>IF(C12="","",0)</x:f>
      </x:c>
      <x:c r="JI12" s="27" t="str">
        <x:f>IF(C12="","",HP12*1000000000+IW12*1000000+IQ12*10000+IK12*100+JC12+6/1000)</x:f>
      </x:c>
      <x:c r="JJ12" s="27" t="str">
        <x:f>IF(C12="","",HQ12*1000000000+IX12*1000000+IR12*10000+IL12*100+JD12+5/1000)</x:f>
      </x:c>
      <x:c r="JK12" s="27" t="str">
        <x:f>IF(C12="","",HR12*1000000000+IY12*1000000+IS12*10000+IM12*100+JE12+4/1000)</x:f>
      </x:c>
      <x:c r="JL12" s="27" t="str">
        <x:f>IF(C12="","",HS12*1000000000+IZ12*1000000+IT12*10000+IN12*100+JF12+3/1000)</x:f>
      </x:c>
      <x:c r="JM12" s="27" t="str">
        <x:f>IF(C12="","",HT12*1000000000+JA12*1000000+IU12*10000+IO12*100+JG12+2/1000)</x:f>
      </x:c>
      <x:c r="JN12" s="27" t="str">
        <x:f>IF(C12="","",HU12*1000000000+JB12*1000000+IV12*10000+IP12*100+JH12+1/1000)</x:f>
      </x:c>
    </x:row>
    <x:row r="13">
      <x:c r="A13" s="27"/>
      <x:c r="B13" s="28"/>
      <x:c r="C13" s="27"/>
      <x:c r="D13" s="27"/>
      <x:c r="E13" s="27"/>
      <x:c r="F13" s="27"/>
      <x:c r="G13" s="27"/>
      <x:c r="H13" s="27"/>
      <x:c r="I13" s="27"/>
      <x:c r="J13" s="27"/>
      <x:c r="K13" s="27"/>
      <x:c r="L13" s="27"/>
      <x:c r="M13" s="27"/>
      <x:c r="N13" s="27"/>
      <x:c r="O13" s="27"/>
      <x:c r="P13" s="27"/>
      <x:c r="Q13" s="27"/>
      <x:c r="R13" s="27"/>
      <x:c r="S13" s="27"/>
      <x:c r="T13" s="27"/>
      <x:c r="U13" s="27"/>
      <x:c r="V13" s="27"/>
      <x:c r="W13" s="27"/>
      <x:c r="X13" s="27"/>
      <x:c r="Y13" s="27"/>
      <x:c r="Z13" s="27"/>
      <x:c r="AA13" s="27"/>
      <x:c r="AB13" s="27"/>
      <x:c r="AC13" s="27"/>
      <x:c r="AD13" s="27"/>
      <x:c r="AE13" s="27"/>
      <x:c r="AF13" s="27"/>
      <x:c r="AG13" s="27"/>
      <x:c r="AH13" s="27"/>
      <x:c r="AI13" s="27"/>
      <x:c r="AJ13" s="27"/>
      <x:c r="AK13" s="27"/>
      <x:c r="AL13" s="27"/>
      <x:c r="AM13" s="27"/>
      <x:c r="AN13" s="27"/>
      <x:c r="AO13" s="27"/>
      <x:c r="AP13" s="27"/>
      <x:c r="AQ13" s="27"/>
      <x:c r="AR13" s="27"/>
      <x:c r="AS13" s="27"/>
      <x:c r="AT13" s="27"/>
      <x:c r="AU13" s="27"/>
      <x:c r="AV13" s="27"/>
      <x:c r="AW13" s="27"/>
      <x:c r="AX13" s="27"/>
      <x:c r="AY13" s="27"/>
      <x:c r="AZ13" s="27"/>
      <x:c r="BA13" s="27"/>
      <x:c r="BB13" s="27"/>
      <x:c r="BC13" s="27"/>
      <x:c r="BD13" s="27"/>
      <x:c r="BE13" s="27"/>
      <x:c r="BF13" s="27"/>
      <x:c r="BG13" s="27"/>
      <x:c r="BH13" s="27"/>
      <x:c r="BI13" s="27"/>
      <x:c r="BJ13" s="27"/>
      <x:c r="BK13" s="27"/>
      <x:c r="BL13" s="27"/>
      <x:c r="BM13" s="27"/>
      <x:c r="BN13" s="27"/>
      <x:c r="BO13" s="27"/>
      <x:c r="BP13" s="27"/>
      <x:c r="BQ13" s="27"/>
      <x:c r="BR13" s="27"/>
      <x:c r="BS13" s="27"/>
      <x:c r="BT13" s="27"/>
      <x:c r="BU13" s="27"/>
      <x:c r="BV13" s="27"/>
      <x:c r="BW13" s="27"/>
      <x:c r="BX13" s="27"/>
      <x:c r="BY13" s="27"/>
      <x:c r="BZ13" s="27"/>
      <x:c r="CA13" s="27"/>
      <x:c r="CB13" s="27"/>
      <x:c r="CC13" s="27"/>
      <x:c r="CD13" s="27"/>
      <x:c r="CE13" s="27"/>
      <x:c r="CF13" s="27"/>
      <x:c r="CG13" s="27"/>
      <x:c r="CH13" s="27"/>
      <x:c r="CI13" s="27"/>
      <x:c r="CJ13" s="27"/>
      <x:c r="CK13" s="27"/>
      <x:c r="CL13" s="27"/>
      <x:c r="CM13" s="27"/>
      <x:c r="CN13" s="27"/>
      <x:c r="CO13" s="27"/>
      <x:c r="CP13" s="27"/>
      <x:c r="CQ13" s="27"/>
      <x:c r="CR13" s="27"/>
      <x:c r="CS13" s="27"/>
      <x:c r="CT13" s="27"/>
      <x:c r="CU13" s="27"/>
      <x:c r="CV13" s="27"/>
      <x:c r="CW13" s="27"/>
      <x:c r="CX13" s="27"/>
      <x:c r="CY13" s="27"/>
      <x:c r="CZ13" s="27"/>
      <x:c r="DA13" s="27"/>
      <x:c r="DB13" s="27"/>
      <x:c r="DC13" s="27"/>
      <x:c r="DD13" s="27"/>
      <x:c r="DE13" s="27"/>
      <x:c r="DF13" s="27"/>
      <x:c r="DG13" s="27"/>
      <x:c r="DH13" s="27"/>
      <x:c r="DI13" s="27"/>
      <x:c r="DJ13" s="27"/>
      <x:c r="DK13" s="27"/>
      <x:c r="DL13" s="27"/>
      <x:c r="DM13" s="27"/>
      <x:c r="DN13" s="27"/>
      <x:c r="DO13" s="27"/>
      <x:c r="DP13" s="27"/>
      <x:c r="DQ13" s="27"/>
      <x:c r="DR13" s="27"/>
      <x:c r="DS13" s="27"/>
      <x:c r="DT13" s="27"/>
      <x:c r="DU13" s="27"/>
      <x:c r="DV13" s="27"/>
      <x:c r="DW13" s="27"/>
      <x:c r="DX13" s="27"/>
      <x:c r="DY13" s="27"/>
      <x:c r="DZ13" s="27"/>
      <x:c r="EA13" s="27"/>
      <x:c r="EB13" s="27"/>
      <x:c r="EC13" s="27"/>
      <x:c r="ED13" s="27"/>
      <x:c r="EE13" s="27"/>
      <x:c r="EF13" s="27"/>
      <x:c r="EG13" s="27"/>
      <x:c r="EH13" s="27"/>
      <x:c r="EI13" s="27"/>
      <x:c r="EJ13" s="27"/>
      <x:c r="EK13" s="27"/>
      <x:c r="EL13" s="27"/>
      <x:c r="EM13" s="27"/>
      <x:c r="EN13" s="27"/>
      <x:c r="EO13" s="27"/>
      <x:c r="EP13" s="27"/>
      <x:c r="EQ13" s="27"/>
      <x:c r="ER13" s="27"/>
      <x:c r="ES13" s="27"/>
      <x:c r="ET13" s="27"/>
      <x:c r="EU13" s="27"/>
      <x:c r="EV13" s="27"/>
      <x:c r="EW13" s="27"/>
      <x:c r="EX13" s="27"/>
      <x:c r="EY13" s="27"/>
      <x:c r="EZ13" s="27"/>
      <x:c r="FA13" s="27"/>
      <x:c r="FB13" s="27"/>
      <x:c r="FC13" s="27"/>
      <x:c r="FD13" s="27"/>
      <x:c r="FE13" s="27"/>
      <x:c r="FF13" s="27"/>
      <x:c r="FG13" s="27"/>
      <x:c r="FH13" s="27"/>
      <x:c r="FI13" s="27"/>
      <x:c r="FJ13" s="27"/>
      <x:c r="FK13" s="27"/>
      <x:c r="FL13" s="27"/>
      <x:c r="FM13" s="27"/>
      <x:c r="FN13" s="27"/>
      <x:c r="FO13" s="27"/>
      <x:c r="FP13" s="27"/>
      <x:c r="FQ13" s="27"/>
      <x:c r="FR13" s="27"/>
      <x:c r="FS13" s="27"/>
      <x:c r="FT13" s="27"/>
      <x:c r="FU13" s="27"/>
      <x:c r="FV13" s="27"/>
      <x:c r="FW13" s="27"/>
      <x:c r="FX13" s="27"/>
      <x:c r="FY13" s="27"/>
      <x:c r="FZ13" s="27"/>
      <x:c r="GA13" s="27"/>
      <x:c r="GB13" s="27"/>
      <x:c r="GC13" s="27"/>
      <x:c r="GD13" s="27"/>
      <x:c r="GE13" s="27"/>
      <x:c r="GF13" s="27"/>
      <x:c r="GG13" s="27"/>
      <x:c r="GH13" s="27"/>
      <x:c r="GI13" s="27"/>
      <x:c r="GJ13" s="27"/>
      <x:c r="GK13" s="27"/>
      <x:c r="GL13" s="27"/>
      <x:c r="GM13" s="27"/>
      <x:c r="GN13" s="27"/>
      <x:c r="GO13" s="27"/>
      <x:c r="GP13" s="27"/>
      <x:c r="GQ13" s="27"/>
      <x:c r="GR13" s="27"/>
      <x:c r="GS13" s="27"/>
      <x:c r="GT13" s="27"/>
      <x:c r="GU13" s="27"/>
      <x:c r="GV13" s="27"/>
      <x:c r="GW13" s="27"/>
      <x:c r="GX13" s="27"/>
      <x:c r="GY13" s="27"/>
      <x:c r="GZ13" s="27"/>
      <x:c r="HA13" s="27"/>
      <x:c r="HB13" s="27"/>
      <x:c r="HC13" s="27"/>
      <x:c r="HD13" s="27"/>
      <x:c r="HE13" s="27"/>
      <x:c r="HF13" s="27"/>
      <x:c r="HG13" s="27"/>
      <x:c r="HH13" s="27"/>
      <x:c r="HI13" s="27"/>
      <x:c r="HJ13" s="27"/>
      <x:c r="HK13" s="27"/>
      <x:c r="HL13" s="27"/>
      <x:c r="HM13" s="27"/>
      <x:c r="HN13" s="27"/>
      <x:c r="HO13" s="27"/>
      <x:c r="HP13" s="27" t="str">
        <x:f>IF(C13="","",SUM(H13,N13,T13,Z13,AF13,AL13,AR13,AX13,BD13,BJ13,BP13,BV13,CB13,CH13,CN13,CT13,CZ13,DF13,DL13,DR13,DX13,ED13,EJ13,EP13,EV13,FB13,FH13,FN13,FT13,FZ13,GF13,GL13,GR13,GX13,HD13,HJ13))</x:f>
      </x:c>
      <x:c r="HQ13" s="27" t="str">
        <x:f>IF(C13="","",SUM(I13,O13,U13,AA13,AG13,AM13,AS13,AY13,BE13,BK13,BQ13,BW13,CC13,CI13,CO13,CU13,DA13,DG13,DM13,DS13,DY13,EE13,EK13,EQ13,EW13,FC13,FI13,FO13,FU13,GA13,GG13,GM13,GS13,GY13,HE13,HK13))</x:f>
      </x:c>
      <x:c r="HR13" s="27" t="str">
        <x:f>IF(C13="","",SUM(J13,P13,V13,AB13,AH13,AN13,AT13,AZ13,BF13,BL13,BR13,BX13,CD13,CJ13,CP13,CV13,DB13,DH13,DN13,DT13,DZ13,EF13,EL13,ER13,EX13,FD13,FJ13,FP13,FV13,GB13,GH13,GN13,GT13,GZ13,HF13,HL13))</x:f>
      </x:c>
      <x:c r="HS13" s="27" t="str">
        <x:f>IF(C13="","",SUM(K13,Q13,W13,AC13,AI13,AO13,AU13,BA13,BG13,BM13,BS13,BY13,CE13,CK13,CQ13,CW13,DC13,DI13,DO13,DU13,EA13,EG13,EM13,ES13,EY13,FE13,FK13,FQ13,FW13,GC13,GI13,GO13,GU13,HA13,HG13,HM13))</x:f>
      </x:c>
      <x:c r="HT13" s="27" t="str">
        <x:f>IF(C13="","",SUM(L13,R13,X13,AD13,AJ13,AP13,AV13,BB13,BH13,BN13,BT13,BZ13,CF13,CL13,CR13,CX13,DD13,DJ13,DP13,DV13,EB13,EH13,EN13,ET13,EZ13,FF13,FL13,FR13,FX13,GD13,GJ13,GP13,GV13,HB13,HH13,HN13))</x:f>
      </x:c>
      <x:c r="HU13" s="27" t="str">
        <x:f>IF(C13="","",SUM(M13,S13,Y13,AE13,AK13,AQ13,AW13,BC13,BI13,BO13,BU13,CA13,CG13,CM13,CS13,CY13,DE13,DK13,DQ13,DW13,EC13,EI13,EO13,EU13,FA13,FG13,FM13,FS13,FY13,GE13,GK13,GQ13,GW13,HC13,HI13,HO13))</x:f>
      </x:c>
      <x:c r="HV13" s="27" t="str">
        <x:f>IF(C13="","",IF(JI13=LARGE(JI13:JN13,1),"R",IF(JJ13=LARGE(JI13:JN13,1),"I",IF(JK13=LARGE(JI13:JN13,1),"A",IF(JL13=LARGE(JI13:JN13,1),"S",IF(JM13=LARGE(JI13:JN13,1),"E",IF(JN13=LARGE(JI13:JN13,1),"C",""))))))&amp;IF(JI13=LARGE(JI13:JN13,2),"R",IF(JJ13=LARGE(JI13:JN13,2),"I",IF(JK13=LARGE(JI13:JN13,2),"A",IF(JL13=LARGE(JI13:JN13,2),"S",IF(JM13=LARGE(JI13:JN13,2),"E",IF(JN13=LARGE(JI13:JN13,2),"C",""))))))&amp;IF(JI13=LARGE(JI13:JN13,3),"R",IF(JJ13=LARGE(JI13:JN13,3),"I",IF(JK13=LARGE(JI13:JN13,3),"A",IF(JL13=LARGE(JI13:JN13,3),"S",IF(JM13=LARGE(JI13:JN13,3),"E",IF(JN13=LARGE(JI13:JN13,3),"C","")))))))</x:f>
      </x:c>
      <x:c r="HW13" s="27" t="str">
        <x:f>IF(C13="","",IF(JI13=LARGE(JI13:JN13,1),"นักปฏิบัติ",IF(JJ13=LARGE(JI13:JN13,1),"นักคิดวิเคราะห์",IF(JK13=LARGE(JI13:JN13,1),"นักสร้างสรรค์",IF(JL13=LARGE(JI13:JN13,1),"ผู้เข้าใจผู้คน",IF(JM13=LARGE(JI13:JN13,1),"ผู้นำการเปลี่ยนแปลง",IF(JN13=LARGE(JI13:JN13,1),"ผู้จัดระบบ","ผู้จัดระบบ")))))))</x:f>
      </x:c>
      <x:c r="HX13" s="27"/>
      <x:c r="HY13" s="27"/>
      <x:c r="HZ13" s="27"/>
      <x:c r="IA13" s="27"/>
      <x:c r="IB13" s="27"/>
      <x:c r="IC13" s="27"/>
      <x:c r="ID13" s="27"/>
      <x:c r="IE13" s="27"/>
      <x:c r="IF13" s="27"/>
      <x:c r="IG13" s="27"/>
      <x:c r="IH13" s="27"/>
      <x:c r="II13" s="27"/>
      <x:c r="IJ13" s="27"/>
      <x:c r="IK13" s="27" t="str">
        <x:f>IF(C13="","",SUM(H13,N13,T13,Z13,AF13,AL13,AR13,AX13,BD13,BJ13,BP13))</x:f>
      </x:c>
      <x:c r="IL13" s="27" t="str">
        <x:f>IF(C13="","",SUM(I13,O13,U13,AA13,AG13,AM13,AS13,AY13,BE13,BK13,BQ13))</x:f>
      </x:c>
      <x:c r="IM13" s="27" t="str">
        <x:f>IF(C13="","",SUM(J13,P13,V13,AB13,AH13,AN13,AT13,AZ13,BF13,BL13,BR13))</x:f>
      </x:c>
      <x:c r="IN13" s="27" t="str">
        <x:f>IF(C13="","",SUM(K13,Q13,W13,AC13,AI13,AO13,AU13,BA13,BG13,BM13,BS13))</x:f>
      </x:c>
      <x:c r="IO13" s="27" t="str">
        <x:f>IF(C13="","",SUM(L13,R13,X13,AD13,AJ13,AP13,AV13,BB13,BH13,BN13,BT13))</x:f>
      </x:c>
      <x:c r="IP13" s="27" t="str">
        <x:f>IF(C13="","",SUM(M13,S13,Y13,AE13,AK13,AQ13,AW13,BC13,BI13,BO13,BU13))</x:f>
      </x:c>
      <x:c r="IQ13" s="27" t="str">
        <x:f>IF(C13="","",SUM(BV13,CB13,CH13,CN13,CT13,CZ13,DF13,DL13,DR13,DX13,ED13))</x:f>
      </x:c>
      <x:c r="IR13" s="27" t="str">
        <x:f>IF(C13="","",SUM(BW13,CC13,CI13,CO13,CU13,DA13,DG13,DM13,DS13,DY13,EE13))</x:f>
      </x:c>
      <x:c r="IS13" s="27" t="str">
        <x:f>IF(C13="","",SUM(BX13,CD13,CJ13,CP13,CV13,DB13,DH13,DN13,DT13,DZ13,EF13))</x:f>
      </x:c>
      <x:c r="IT13" s="27" t="str">
        <x:f>IF(C13="","",SUM(BY13,CE13,CK13,CQ13,CW13,DC13,DI13,DO13,DU13,EA13,EG13))</x:f>
      </x:c>
      <x:c r="IU13" s="27" t="str">
        <x:f>IF(C13="","",SUM(BZ13,CF13,CL13,CR13,CX13,DD13,DJ13,DP13,DV13,EB13,EH13))</x:f>
      </x:c>
      <x:c r="IV13" s="27" t="str">
        <x:f>IF(C13="","",SUM(CA13,CG13,CM13,CS13,CY13,DE13,DK13,DQ13,DW13,EC13,EI13))</x:f>
      </x:c>
      <x:c r="IW13" s="27" t="str">
        <x:f>IF(C13="","",SUM(EJ13,EP13,EV13,FB13,FH13,FN13,FT13,FZ13,GF13,GL13,GR13,GX13,HD13,HJ13))</x:f>
      </x:c>
      <x:c r="IX13" s="27" t="str">
        <x:f>IF(C13="","",SUM(EK13,EQ13,EW13,FC13,FI13,FO13,FU13,GA13,GG13,GM13,GS13,GY13,HE13,HK13))</x:f>
      </x:c>
      <x:c r="IY13" s="27" t="str">
        <x:f>IF(C13="","",SUM(EL13,ER13,EX13,FD13,FJ13,FP13,FV13,GB13,GH13,GN13,GT13,GZ13,HF13,HL13))</x:f>
      </x:c>
      <x:c r="IZ13" s="27" t="str">
        <x:f>IF(C13="","",SUM(EM13,ES13,EY13,FE13,FK13,FQ13,FW13,GC13,GI13,GO13,GU13,HA13,HG13,HM13))</x:f>
      </x:c>
      <x:c r="JA13" s="27" t="str">
        <x:f>IF(C13="","",SUM(EN13,ET13,EZ13,FF13,FL13,FR13,FX13,GD13,GJ13,GP13,GV13,HB13,HH13,HN13))</x:f>
      </x:c>
      <x:c r="JB13" s="27" t="str">
        <x:f>IF(C13="","",SUM(EO13,EU13,FA13,FG13,FM13,FS13,FY13,GE13,GK13,GQ13,GW13,HC13,HI13,HO13))</x:f>
      </x:c>
      <x:c r="JC13" s="27" t="str">
        <x:f>IF(C13="","",0)</x:f>
      </x:c>
      <x:c r="JD13" s="27" t="str">
        <x:f>IF(C13="","",0)</x:f>
      </x:c>
      <x:c r="JE13" s="27" t="str">
        <x:f>IF(C13="","",0)</x:f>
      </x:c>
      <x:c r="JF13" s="27" t="str">
        <x:f>IF(C13="","",0)</x:f>
      </x:c>
      <x:c r="JG13" s="27" t="str">
        <x:f>IF(C13="","",0)</x:f>
      </x:c>
      <x:c r="JH13" s="27" t="str">
        <x:f>IF(C13="","",0)</x:f>
      </x:c>
      <x:c r="JI13" s="27" t="str">
        <x:f>IF(C13="","",HP13*1000000000+IW13*1000000+IQ13*10000+IK13*100+JC13+6/1000)</x:f>
      </x:c>
      <x:c r="JJ13" s="27" t="str">
        <x:f>IF(C13="","",HQ13*1000000000+IX13*1000000+IR13*10000+IL13*100+JD13+5/1000)</x:f>
      </x:c>
      <x:c r="JK13" s="27" t="str">
        <x:f>IF(C13="","",HR13*1000000000+IY13*1000000+IS13*10000+IM13*100+JE13+4/1000)</x:f>
      </x:c>
      <x:c r="JL13" s="27" t="str">
        <x:f>IF(C13="","",HS13*1000000000+IZ13*1000000+IT13*10000+IN13*100+JF13+3/1000)</x:f>
      </x:c>
      <x:c r="JM13" s="27" t="str">
        <x:f>IF(C13="","",HT13*1000000000+JA13*1000000+IU13*10000+IO13*100+JG13+2/1000)</x:f>
      </x:c>
      <x:c r="JN13" s="27" t="str">
        <x:f>IF(C13="","",HU13*1000000000+JB13*1000000+IV13*10000+IP13*100+JH13+1/1000)</x:f>
      </x:c>
    </x:row>
    <x:row r="14">
      <x:c r="A14" s="27"/>
      <x:c r="B14" s="28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  <x:c r="O14" s="27"/>
      <x:c r="P14" s="27"/>
      <x:c r="Q14" s="27"/>
      <x:c r="R14" s="27"/>
      <x:c r="S14" s="27"/>
      <x:c r="T14" s="27"/>
      <x:c r="U14" s="27"/>
      <x:c r="V14" s="27"/>
      <x:c r="W14" s="27"/>
      <x:c r="X14" s="27"/>
      <x:c r="Y14" s="27"/>
      <x:c r="Z14" s="27"/>
      <x:c r="AA14" s="27"/>
      <x:c r="AB14" s="27"/>
      <x:c r="AC14" s="27"/>
      <x:c r="AD14" s="27"/>
      <x:c r="AE14" s="27"/>
      <x:c r="AF14" s="27"/>
      <x:c r="AG14" s="27"/>
      <x:c r="AH14" s="27"/>
      <x:c r="AI14" s="27"/>
      <x:c r="AJ14" s="27"/>
      <x:c r="AK14" s="27"/>
      <x:c r="AL14" s="27"/>
      <x:c r="AM14" s="27"/>
      <x:c r="AN14" s="27"/>
      <x:c r="AO14" s="27"/>
      <x:c r="AP14" s="27"/>
      <x:c r="AQ14" s="27"/>
      <x:c r="AR14" s="27"/>
      <x:c r="AS14" s="27"/>
      <x:c r="AT14" s="27"/>
      <x:c r="AU14" s="27"/>
      <x:c r="AV14" s="27"/>
      <x:c r="AW14" s="27"/>
      <x:c r="AX14" s="27"/>
      <x:c r="AY14" s="27"/>
      <x:c r="AZ14" s="27"/>
      <x:c r="BA14" s="27"/>
      <x:c r="BB14" s="27"/>
      <x:c r="BC14" s="27"/>
      <x:c r="BD14" s="27"/>
      <x:c r="BE14" s="27"/>
      <x:c r="BF14" s="27"/>
      <x:c r="BG14" s="27"/>
      <x:c r="BH14" s="27"/>
      <x:c r="BI14" s="27"/>
      <x:c r="BJ14" s="27"/>
      <x:c r="BK14" s="27"/>
      <x:c r="BL14" s="27"/>
      <x:c r="BM14" s="27"/>
      <x:c r="BN14" s="27"/>
      <x:c r="BO14" s="27"/>
      <x:c r="BP14" s="27"/>
      <x:c r="BQ14" s="27"/>
      <x:c r="BR14" s="27"/>
      <x:c r="BS14" s="27"/>
      <x:c r="BT14" s="27"/>
      <x:c r="BU14" s="27"/>
      <x:c r="BV14" s="27"/>
      <x:c r="BW14" s="27"/>
      <x:c r="BX14" s="27"/>
      <x:c r="BY14" s="27"/>
      <x:c r="BZ14" s="27"/>
      <x:c r="CA14" s="27"/>
      <x:c r="CB14" s="27"/>
      <x:c r="CC14" s="27"/>
      <x:c r="CD14" s="27"/>
      <x:c r="CE14" s="27"/>
      <x:c r="CF14" s="27"/>
      <x:c r="CG14" s="27"/>
      <x:c r="CH14" s="27"/>
      <x:c r="CI14" s="27"/>
      <x:c r="CJ14" s="27"/>
      <x:c r="CK14" s="27"/>
      <x:c r="CL14" s="27"/>
      <x:c r="CM14" s="27"/>
      <x:c r="CN14" s="27"/>
      <x:c r="CO14" s="27"/>
      <x:c r="CP14" s="27"/>
      <x:c r="CQ14" s="27"/>
      <x:c r="CR14" s="27"/>
      <x:c r="CS14" s="27"/>
      <x:c r="CT14" s="27"/>
      <x:c r="CU14" s="27"/>
      <x:c r="CV14" s="27"/>
      <x:c r="CW14" s="27"/>
      <x:c r="CX14" s="27"/>
      <x:c r="CY14" s="27"/>
      <x:c r="CZ14" s="27"/>
      <x:c r="DA14" s="27"/>
      <x:c r="DB14" s="27"/>
      <x:c r="DC14" s="27"/>
      <x:c r="DD14" s="27"/>
      <x:c r="DE14" s="27"/>
      <x:c r="DF14" s="27"/>
      <x:c r="DG14" s="27"/>
      <x:c r="DH14" s="27"/>
      <x:c r="DI14" s="27"/>
      <x:c r="DJ14" s="27"/>
      <x:c r="DK14" s="27"/>
      <x:c r="DL14" s="27"/>
      <x:c r="DM14" s="27"/>
      <x:c r="DN14" s="27"/>
      <x:c r="DO14" s="27"/>
      <x:c r="DP14" s="27"/>
      <x:c r="DQ14" s="27"/>
      <x:c r="DR14" s="27"/>
      <x:c r="DS14" s="27"/>
      <x:c r="DT14" s="27"/>
      <x:c r="DU14" s="27"/>
      <x:c r="DV14" s="27"/>
      <x:c r="DW14" s="27"/>
      <x:c r="DX14" s="27"/>
      <x:c r="DY14" s="27"/>
      <x:c r="DZ14" s="27"/>
      <x:c r="EA14" s="27"/>
      <x:c r="EB14" s="27"/>
      <x:c r="EC14" s="27"/>
      <x:c r="ED14" s="27"/>
      <x:c r="EE14" s="27"/>
      <x:c r="EF14" s="27"/>
      <x:c r="EG14" s="27"/>
      <x:c r="EH14" s="27"/>
      <x:c r="EI14" s="27"/>
      <x:c r="EJ14" s="27"/>
      <x:c r="EK14" s="27"/>
      <x:c r="EL14" s="27"/>
      <x:c r="EM14" s="27"/>
      <x:c r="EN14" s="27"/>
      <x:c r="EO14" s="27"/>
      <x:c r="EP14" s="27"/>
      <x:c r="EQ14" s="27"/>
      <x:c r="ER14" s="27"/>
      <x:c r="ES14" s="27"/>
      <x:c r="ET14" s="27"/>
      <x:c r="EU14" s="27"/>
      <x:c r="EV14" s="27"/>
      <x:c r="EW14" s="27"/>
      <x:c r="EX14" s="27"/>
      <x:c r="EY14" s="27"/>
      <x:c r="EZ14" s="27"/>
      <x:c r="FA14" s="27"/>
      <x:c r="FB14" s="27"/>
      <x:c r="FC14" s="27"/>
      <x:c r="FD14" s="27"/>
      <x:c r="FE14" s="27"/>
      <x:c r="FF14" s="27"/>
      <x:c r="FG14" s="27"/>
      <x:c r="FH14" s="27"/>
      <x:c r="FI14" s="27"/>
      <x:c r="FJ14" s="27"/>
      <x:c r="FK14" s="27"/>
      <x:c r="FL14" s="27"/>
      <x:c r="FM14" s="27"/>
      <x:c r="FN14" s="27"/>
      <x:c r="FO14" s="27"/>
      <x:c r="FP14" s="27"/>
      <x:c r="FQ14" s="27"/>
      <x:c r="FR14" s="27"/>
      <x:c r="FS14" s="27"/>
      <x:c r="FT14" s="27"/>
      <x:c r="FU14" s="27"/>
      <x:c r="FV14" s="27"/>
      <x:c r="FW14" s="27"/>
      <x:c r="FX14" s="27"/>
      <x:c r="FY14" s="27"/>
      <x:c r="FZ14" s="27"/>
      <x:c r="GA14" s="27"/>
      <x:c r="GB14" s="27"/>
      <x:c r="GC14" s="27"/>
      <x:c r="GD14" s="27"/>
      <x:c r="GE14" s="27"/>
      <x:c r="GF14" s="27"/>
      <x:c r="GG14" s="27"/>
      <x:c r="GH14" s="27"/>
      <x:c r="GI14" s="27"/>
      <x:c r="GJ14" s="27"/>
      <x:c r="GK14" s="27"/>
      <x:c r="GL14" s="27"/>
      <x:c r="GM14" s="27"/>
      <x:c r="GN14" s="27"/>
      <x:c r="GO14" s="27"/>
      <x:c r="GP14" s="27"/>
      <x:c r="GQ14" s="27"/>
      <x:c r="GR14" s="27"/>
      <x:c r="GS14" s="27"/>
      <x:c r="GT14" s="27"/>
      <x:c r="GU14" s="27"/>
      <x:c r="GV14" s="27"/>
      <x:c r="GW14" s="27"/>
      <x:c r="GX14" s="27"/>
      <x:c r="GY14" s="27"/>
      <x:c r="GZ14" s="27"/>
      <x:c r="HA14" s="27"/>
      <x:c r="HB14" s="27"/>
      <x:c r="HC14" s="27"/>
      <x:c r="HD14" s="27"/>
      <x:c r="HE14" s="27"/>
      <x:c r="HF14" s="27"/>
      <x:c r="HG14" s="27"/>
      <x:c r="HH14" s="27"/>
      <x:c r="HI14" s="27"/>
      <x:c r="HJ14" s="27"/>
      <x:c r="HK14" s="27"/>
      <x:c r="HL14" s="27"/>
      <x:c r="HM14" s="27"/>
      <x:c r="HN14" s="27"/>
      <x:c r="HO14" s="27"/>
      <x:c r="HP14" s="27" t="str">
        <x:f>IF(C14="","",SUM(H14,N14,T14,Z14,AF14,AL14,AR14,AX14,BD14,BJ14,BP14,BV14,CB14,CH14,CN14,CT14,CZ14,DF14,DL14,DR14,DX14,ED14,EJ14,EP14,EV14,FB14,FH14,FN14,FT14,FZ14,GF14,GL14,GR14,GX14,HD14,HJ14))</x:f>
      </x:c>
      <x:c r="HQ14" s="27" t="str">
        <x:f>IF(C14="","",SUM(I14,O14,U14,AA14,AG14,AM14,AS14,AY14,BE14,BK14,BQ14,BW14,CC14,CI14,CO14,CU14,DA14,DG14,DM14,DS14,DY14,EE14,EK14,EQ14,EW14,FC14,FI14,FO14,FU14,GA14,GG14,GM14,GS14,GY14,HE14,HK14))</x:f>
      </x:c>
      <x:c r="HR14" s="27" t="str">
        <x:f>IF(C14="","",SUM(J14,P14,V14,AB14,AH14,AN14,AT14,AZ14,BF14,BL14,BR14,BX14,CD14,CJ14,CP14,CV14,DB14,DH14,DN14,DT14,DZ14,EF14,EL14,ER14,EX14,FD14,FJ14,FP14,FV14,GB14,GH14,GN14,GT14,GZ14,HF14,HL14))</x:f>
      </x:c>
      <x:c r="HS14" s="27" t="str">
        <x:f>IF(C14="","",SUM(K14,Q14,W14,AC14,AI14,AO14,AU14,BA14,BG14,BM14,BS14,BY14,CE14,CK14,CQ14,CW14,DC14,DI14,DO14,DU14,EA14,EG14,EM14,ES14,EY14,FE14,FK14,FQ14,FW14,GC14,GI14,GO14,GU14,HA14,HG14,HM14))</x:f>
      </x:c>
      <x:c r="HT14" s="27" t="str">
        <x:f>IF(C14="","",SUM(L14,R14,X14,AD14,AJ14,AP14,AV14,BB14,BH14,BN14,BT14,BZ14,CF14,CL14,CR14,CX14,DD14,DJ14,DP14,DV14,EB14,EH14,EN14,ET14,EZ14,FF14,FL14,FR14,FX14,GD14,GJ14,GP14,GV14,HB14,HH14,HN14))</x:f>
      </x:c>
      <x:c r="HU14" s="27" t="str">
        <x:f>IF(C14="","",SUM(M14,S14,Y14,AE14,AK14,AQ14,AW14,BC14,BI14,BO14,BU14,CA14,CG14,CM14,CS14,CY14,DE14,DK14,DQ14,DW14,EC14,EI14,EO14,EU14,FA14,FG14,FM14,FS14,FY14,GE14,GK14,GQ14,GW14,HC14,HI14,HO14))</x:f>
      </x:c>
      <x:c r="HV14" s="27" t="str">
        <x:f>IF(C14="","",IF(JI14=LARGE(JI14:JN14,1),"R",IF(JJ14=LARGE(JI14:JN14,1),"I",IF(JK14=LARGE(JI14:JN14,1),"A",IF(JL14=LARGE(JI14:JN14,1),"S",IF(JM14=LARGE(JI14:JN14,1),"E",IF(JN14=LARGE(JI14:JN14,1),"C",""))))))&amp;IF(JI14=LARGE(JI14:JN14,2),"R",IF(JJ14=LARGE(JI14:JN14,2),"I",IF(JK14=LARGE(JI14:JN14,2),"A",IF(JL14=LARGE(JI14:JN14,2),"S",IF(JM14=LARGE(JI14:JN14,2),"E",IF(JN14=LARGE(JI14:JN14,2),"C",""))))))&amp;IF(JI14=LARGE(JI14:JN14,3),"R",IF(JJ14=LARGE(JI14:JN14,3),"I",IF(JK14=LARGE(JI14:JN14,3),"A",IF(JL14=LARGE(JI14:JN14,3),"S",IF(JM14=LARGE(JI14:JN14,3),"E",IF(JN14=LARGE(JI14:JN14,3),"C","")))))))</x:f>
      </x:c>
      <x:c r="HW14" s="27" t="str">
        <x:f>IF(C14="","",IF(JI14=LARGE(JI14:JN14,1),"นักปฏิบัติ",IF(JJ14=LARGE(JI14:JN14,1),"นักคิดวิเคราะห์",IF(JK14=LARGE(JI14:JN14,1),"นักสร้างสรรค์",IF(JL14=LARGE(JI14:JN14,1),"ผู้เข้าใจผู้คน",IF(JM14=LARGE(JI14:JN14,1),"ผู้นำการเปลี่ยนแปลง",IF(JN14=LARGE(JI14:JN14,1),"ผู้จัดระบบ","ผู้จัดระบบ")))))))</x:f>
      </x:c>
      <x:c r="HX14" s="27"/>
      <x:c r="HY14" s="27"/>
      <x:c r="HZ14" s="27"/>
      <x:c r="IA14" s="27"/>
      <x:c r="IB14" s="27"/>
      <x:c r="IC14" s="27"/>
      <x:c r="ID14" s="27"/>
      <x:c r="IE14" s="27"/>
      <x:c r="IF14" s="27"/>
      <x:c r="IG14" s="27"/>
      <x:c r="IH14" s="27"/>
      <x:c r="II14" s="27"/>
      <x:c r="IJ14" s="27"/>
      <x:c r="IK14" s="27" t="str">
        <x:f>IF(C14="","",SUM(H14,N14,T14,Z14,AF14,AL14,AR14,AX14,BD14,BJ14,BP14))</x:f>
      </x:c>
      <x:c r="IL14" s="27" t="str">
        <x:f>IF(C14="","",SUM(I14,O14,U14,AA14,AG14,AM14,AS14,AY14,BE14,BK14,BQ14))</x:f>
      </x:c>
      <x:c r="IM14" s="27" t="str">
        <x:f>IF(C14="","",SUM(J14,P14,V14,AB14,AH14,AN14,AT14,AZ14,BF14,BL14,BR14))</x:f>
      </x:c>
      <x:c r="IN14" s="27" t="str">
        <x:f>IF(C14="","",SUM(K14,Q14,W14,AC14,AI14,AO14,AU14,BA14,BG14,BM14,BS14))</x:f>
      </x:c>
      <x:c r="IO14" s="27" t="str">
        <x:f>IF(C14="","",SUM(L14,R14,X14,AD14,AJ14,AP14,AV14,BB14,BH14,BN14,BT14))</x:f>
      </x:c>
      <x:c r="IP14" s="27" t="str">
        <x:f>IF(C14="","",SUM(M14,S14,Y14,AE14,AK14,AQ14,AW14,BC14,BI14,BO14,BU14))</x:f>
      </x:c>
      <x:c r="IQ14" s="27" t="str">
        <x:f>IF(C14="","",SUM(BV14,CB14,CH14,CN14,CT14,CZ14,DF14,DL14,DR14,DX14,ED14))</x:f>
      </x:c>
      <x:c r="IR14" s="27" t="str">
        <x:f>IF(C14="","",SUM(BW14,CC14,CI14,CO14,CU14,DA14,DG14,DM14,DS14,DY14,EE14))</x:f>
      </x:c>
      <x:c r="IS14" s="27" t="str">
        <x:f>IF(C14="","",SUM(BX14,CD14,CJ14,CP14,CV14,DB14,DH14,DN14,DT14,DZ14,EF14))</x:f>
      </x:c>
      <x:c r="IT14" s="27" t="str">
        <x:f>IF(C14="","",SUM(BY14,CE14,CK14,CQ14,CW14,DC14,DI14,DO14,DU14,EA14,EG14))</x:f>
      </x:c>
      <x:c r="IU14" s="27" t="str">
        <x:f>IF(C14="","",SUM(BZ14,CF14,CL14,CR14,CX14,DD14,DJ14,DP14,DV14,EB14,EH14))</x:f>
      </x:c>
      <x:c r="IV14" s="27" t="str">
        <x:f>IF(C14="","",SUM(CA14,CG14,CM14,CS14,CY14,DE14,DK14,DQ14,DW14,EC14,EI14))</x:f>
      </x:c>
      <x:c r="IW14" s="27" t="str">
        <x:f>IF(C14="","",SUM(EJ14,EP14,EV14,FB14,FH14,FN14,FT14,FZ14,GF14,GL14,GR14,GX14,HD14,HJ14))</x:f>
      </x:c>
      <x:c r="IX14" s="27" t="str">
        <x:f>IF(C14="","",SUM(EK14,EQ14,EW14,FC14,FI14,FO14,FU14,GA14,GG14,GM14,GS14,GY14,HE14,HK14))</x:f>
      </x:c>
      <x:c r="IY14" s="27" t="str">
        <x:f>IF(C14="","",SUM(EL14,ER14,EX14,FD14,FJ14,FP14,FV14,GB14,GH14,GN14,GT14,GZ14,HF14,HL14))</x:f>
      </x:c>
      <x:c r="IZ14" s="27" t="str">
        <x:f>IF(C14="","",SUM(EM14,ES14,EY14,FE14,FK14,FQ14,FW14,GC14,GI14,GO14,GU14,HA14,HG14,HM14))</x:f>
      </x:c>
      <x:c r="JA14" s="27" t="str">
        <x:f>IF(C14="","",SUM(EN14,ET14,EZ14,FF14,FL14,FR14,FX14,GD14,GJ14,GP14,GV14,HB14,HH14,HN14))</x:f>
      </x:c>
      <x:c r="JB14" s="27" t="str">
        <x:f>IF(C14="","",SUM(EO14,EU14,FA14,FG14,FM14,FS14,FY14,GE14,GK14,GQ14,GW14,HC14,HI14,HO14))</x:f>
      </x:c>
      <x:c r="JC14" s="27" t="str">
        <x:f>IF(C14="","",0)</x:f>
      </x:c>
      <x:c r="JD14" s="27" t="str">
        <x:f>IF(C14="","",0)</x:f>
      </x:c>
      <x:c r="JE14" s="27" t="str">
        <x:f>IF(C14="","",0)</x:f>
      </x:c>
      <x:c r="JF14" s="27" t="str">
        <x:f>IF(C14="","",0)</x:f>
      </x:c>
      <x:c r="JG14" s="27" t="str">
        <x:f>IF(C14="","",0)</x:f>
      </x:c>
      <x:c r="JH14" s="27" t="str">
        <x:f>IF(C14="","",0)</x:f>
      </x:c>
      <x:c r="JI14" s="27" t="str">
        <x:f>IF(C14="","",HP14*1000000000+IW14*1000000+IQ14*10000+IK14*100+JC14+6/1000)</x:f>
      </x:c>
      <x:c r="JJ14" s="27" t="str">
        <x:f>IF(C14="","",HQ14*1000000000+IX14*1000000+IR14*10000+IL14*100+JD14+5/1000)</x:f>
      </x:c>
      <x:c r="JK14" s="27" t="str">
        <x:f>IF(C14="","",HR14*1000000000+IY14*1000000+IS14*10000+IM14*100+JE14+4/1000)</x:f>
      </x:c>
      <x:c r="JL14" s="27" t="str">
        <x:f>IF(C14="","",HS14*1000000000+IZ14*1000000+IT14*10000+IN14*100+JF14+3/1000)</x:f>
      </x:c>
      <x:c r="JM14" s="27" t="str">
        <x:f>IF(C14="","",HT14*1000000000+JA14*1000000+IU14*10000+IO14*100+JG14+2/1000)</x:f>
      </x:c>
      <x:c r="JN14" s="27" t="str">
        <x:f>IF(C14="","",HU14*1000000000+JB14*1000000+IV14*10000+IP14*100+JH14+1/1000)</x:f>
      </x:c>
    </x:row>
    <x:row r="15">
      <x:c r="A15" s="27"/>
      <x:c r="B15" s="28"/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  <x:c r="O15" s="27"/>
      <x:c r="P15" s="27"/>
      <x:c r="Q15" s="27"/>
      <x:c r="R15" s="27"/>
      <x:c r="S15" s="27"/>
      <x:c r="T15" s="27"/>
      <x:c r="U15" s="27"/>
      <x:c r="V15" s="27"/>
      <x:c r="W15" s="27"/>
      <x:c r="X15" s="27"/>
      <x:c r="Y15" s="27"/>
      <x:c r="Z15" s="27"/>
      <x:c r="AA15" s="27"/>
      <x:c r="AB15" s="27"/>
      <x:c r="AC15" s="27"/>
      <x:c r="AD15" s="27"/>
      <x:c r="AE15" s="27"/>
      <x:c r="AF15" s="27"/>
      <x:c r="AG15" s="27"/>
      <x:c r="AH15" s="27"/>
      <x:c r="AI15" s="27"/>
      <x:c r="AJ15" s="27"/>
      <x:c r="AK15" s="27"/>
      <x:c r="AL15" s="27"/>
      <x:c r="AM15" s="27"/>
      <x:c r="AN15" s="27"/>
      <x:c r="AO15" s="27"/>
      <x:c r="AP15" s="27"/>
      <x:c r="AQ15" s="27"/>
      <x:c r="AR15" s="27"/>
      <x:c r="AS15" s="27"/>
      <x:c r="AT15" s="27"/>
      <x:c r="AU15" s="27"/>
      <x:c r="AV15" s="27"/>
      <x:c r="AW15" s="27"/>
      <x:c r="AX15" s="27"/>
      <x:c r="AY15" s="27"/>
      <x:c r="AZ15" s="27"/>
      <x:c r="BA15" s="27"/>
      <x:c r="BB15" s="27"/>
      <x:c r="BC15" s="27"/>
      <x:c r="BD15" s="27"/>
      <x:c r="BE15" s="27"/>
      <x:c r="BF15" s="27"/>
      <x:c r="BG15" s="27"/>
      <x:c r="BH15" s="27"/>
      <x:c r="BI15" s="27"/>
      <x:c r="BJ15" s="27"/>
      <x:c r="BK15" s="27"/>
      <x:c r="BL15" s="27"/>
      <x:c r="BM15" s="27"/>
      <x:c r="BN15" s="27"/>
      <x:c r="BO15" s="27"/>
      <x:c r="BP15" s="27"/>
      <x:c r="BQ15" s="27"/>
      <x:c r="BR15" s="27"/>
      <x:c r="BS15" s="27"/>
      <x:c r="BT15" s="27"/>
      <x:c r="BU15" s="27"/>
      <x:c r="BV15" s="27"/>
      <x:c r="BW15" s="27"/>
      <x:c r="BX15" s="27"/>
      <x:c r="BY15" s="27"/>
      <x:c r="BZ15" s="27"/>
      <x:c r="CA15" s="27"/>
      <x:c r="CB15" s="27"/>
      <x:c r="CC15" s="27"/>
      <x:c r="CD15" s="27"/>
      <x:c r="CE15" s="27"/>
      <x:c r="CF15" s="27"/>
      <x:c r="CG15" s="27"/>
      <x:c r="CH15" s="27"/>
      <x:c r="CI15" s="27"/>
      <x:c r="CJ15" s="27"/>
      <x:c r="CK15" s="27"/>
      <x:c r="CL15" s="27"/>
      <x:c r="CM15" s="27"/>
      <x:c r="CN15" s="27"/>
      <x:c r="CO15" s="27"/>
      <x:c r="CP15" s="27"/>
      <x:c r="CQ15" s="27"/>
      <x:c r="CR15" s="27"/>
      <x:c r="CS15" s="27"/>
      <x:c r="CT15" s="27"/>
      <x:c r="CU15" s="27"/>
      <x:c r="CV15" s="27"/>
      <x:c r="CW15" s="27"/>
      <x:c r="CX15" s="27"/>
      <x:c r="CY15" s="27"/>
      <x:c r="CZ15" s="27"/>
      <x:c r="DA15" s="27"/>
      <x:c r="DB15" s="27"/>
      <x:c r="DC15" s="27"/>
      <x:c r="DD15" s="27"/>
      <x:c r="DE15" s="27"/>
      <x:c r="DF15" s="27"/>
      <x:c r="DG15" s="27"/>
      <x:c r="DH15" s="27"/>
      <x:c r="DI15" s="27"/>
      <x:c r="DJ15" s="27"/>
      <x:c r="DK15" s="27"/>
      <x:c r="DL15" s="27"/>
      <x:c r="DM15" s="27"/>
      <x:c r="DN15" s="27"/>
      <x:c r="DO15" s="27"/>
      <x:c r="DP15" s="27"/>
      <x:c r="DQ15" s="27"/>
      <x:c r="DR15" s="27"/>
      <x:c r="DS15" s="27"/>
      <x:c r="DT15" s="27"/>
      <x:c r="DU15" s="27"/>
      <x:c r="DV15" s="27"/>
      <x:c r="DW15" s="27"/>
      <x:c r="DX15" s="27"/>
      <x:c r="DY15" s="27"/>
      <x:c r="DZ15" s="27"/>
      <x:c r="EA15" s="27"/>
      <x:c r="EB15" s="27"/>
      <x:c r="EC15" s="27"/>
      <x:c r="ED15" s="27"/>
      <x:c r="EE15" s="27"/>
      <x:c r="EF15" s="27"/>
      <x:c r="EG15" s="27"/>
      <x:c r="EH15" s="27"/>
      <x:c r="EI15" s="27"/>
      <x:c r="EJ15" s="27"/>
      <x:c r="EK15" s="27"/>
      <x:c r="EL15" s="27"/>
      <x:c r="EM15" s="27"/>
      <x:c r="EN15" s="27"/>
      <x:c r="EO15" s="27"/>
      <x:c r="EP15" s="27"/>
      <x:c r="EQ15" s="27"/>
      <x:c r="ER15" s="27"/>
      <x:c r="ES15" s="27"/>
      <x:c r="ET15" s="27"/>
      <x:c r="EU15" s="27"/>
      <x:c r="EV15" s="27"/>
      <x:c r="EW15" s="27"/>
      <x:c r="EX15" s="27"/>
      <x:c r="EY15" s="27"/>
      <x:c r="EZ15" s="27"/>
      <x:c r="FA15" s="27"/>
      <x:c r="FB15" s="27"/>
      <x:c r="FC15" s="27"/>
      <x:c r="FD15" s="27"/>
      <x:c r="FE15" s="27"/>
      <x:c r="FF15" s="27"/>
      <x:c r="FG15" s="27"/>
      <x:c r="FH15" s="27"/>
      <x:c r="FI15" s="27"/>
      <x:c r="FJ15" s="27"/>
      <x:c r="FK15" s="27"/>
      <x:c r="FL15" s="27"/>
      <x:c r="FM15" s="27"/>
      <x:c r="FN15" s="27"/>
      <x:c r="FO15" s="27"/>
      <x:c r="FP15" s="27"/>
      <x:c r="FQ15" s="27"/>
      <x:c r="FR15" s="27"/>
      <x:c r="FS15" s="27"/>
      <x:c r="FT15" s="27"/>
      <x:c r="FU15" s="27"/>
      <x:c r="FV15" s="27"/>
      <x:c r="FW15" s="27"/>
      <x:c r="FX15" s="27"/>
      <x:c r="FY15" s="27"/>
      <x:c r="FZ15" s="27"/>
      <x:c r="GA15" s="27"/>
      <x:c r="GB15" s="27"/>
      <x:c r="GC15" s="27"/>
      <x:c r="GD15" s="27"/>
      <x:c r="GE15" s="27"/>
      <x:c r="GF15" s="27"/>
      <x:c r="GG15" s="27"/>
      <x:c r="GH15" s="27"/>
      <x:c r="GI15" s="27"/>
      <x:c r="GJ15" s="27"/>
      <x:c r="GK15" s="27"/>
      <x:c r="GL15" s="27"/>
      <x:c r="GM15" s="27"/>
      <x:c r="GN15" s="27"/>
      <x:c r="GO15" s="27"/>
      <x:c r="GP15" s="27"/>
      <x:c r="GQ15" s="27"/>
      <x:c r="GR15" s="27"/>
      <x:c r="GS15" s="27"/>
      <x:c r="GT15" s="27"/>
      <x:c r="GU15" s="27"/>
      <x:c r="GV15" s="27"/>
      <x:c r="GW15" s="27"/>
      <x:c r="GX15" s="27"/>
      <x:c r="GY15" s="27"/>
      <x:c r="GZ15" s="27"/>
      <x:c r="HA15" s="27"/>
      <x:c r="HB15" s="27"/>
      <x:c r="HC15" s="27"/>
      <x:c r="HD15" s="27"/>
      <x:c r="HE15" s="27"/>
      <x:c r="HF15" s="27"/>
      <x:c r="HG15" s="27"/>
      <x:c r="HH15" s="27"/>
      <x:c r="HI15" s="27"/>
      <x:c r="HJ15" s="27"/>
      <x:c r="HK15" s="27"/>
      <x:c r="HL15" s="27"/>
      <x:c r="HM15" s="27"/>
      <x:c r="HN15" s="27"/>
      <x:c r="HO15" s="27"/>
      <x:c r="HP15" s="27" t="str">
        <x:f>IF(C15="","",SUM(H15,N15,T15,Z15,AF15,AL15,AR15,AX15,BD15,BJ15,BP15,BV15,CB15,CH15,CN15,CT15,CZ15,DF15,DL15,DR15,DX15,ED15,EJ15,EP15,EV15,FB15,FH15,FN15,FT15,FZ15,GF15,GL15,GR15,GX15,HD15,HJ15))</x:f>
      </x:c>
      <x:c r="HQ15" s="27" t="str">
        <x:f>IF(C15="","",SUM(I15,O15,U15,AA15,AG15,AM15,AS15,AY15,BE15,BK15,BQ15,BW15,CC15,CI15,CO15,CU15,DA15,DG15,DM15,DS15,DY15,EE15,EK15,EQ15,EW15,FC15,FI15,FO15,FU15,GA15,GG15,GM15,GS15,GY15,HE15,HK15))</x:f>
      </x:c>
      <x:c r="HR15" s="27" t="str">
        <x:f>IF(C15="","",SUM(J15,P15,V15,AB15,AH15,AN15,AT15,AZ15,BF15,BL15,BR15,BX15,CD15,CJ15,CP15,CV15,DB15,DH15,DN15,DT15,DZ15,EF15,EL15,ER15,EX15,FD15,FJ15,FP15,FV15,GB15,GH15,GN15,GT15,GZ15,HF15,HL15))</x:f>
      </x:c>
      <x:c r="HS15" s="27" t="str">
        <x:f>IF(C15="","",SUM(K15,Q15,W15,AC15,AI15,AO15,AU15,BA15,BG15,BM15,BS15,BY15,CE15,CK15,CQ15,CW15,DC15,DI15,DO15,DU15,EA15,EG15,EM15,ES15,EY15,FE15,FK15,FQ15,FW15,GC15,GI15,GO15,GU15,HA15,HG15,HM15))</x:f>
      </x:c>
      <x:c r="HT15" s="27" t="str">
        <x:f>IF(C15="","",SUM(L15,R15,X15,AD15,AJ15,AP15,AV15,BB15,BH15,BN15,BT15,BZ15,CF15,CL15,CR15,CX15,DD15,DJ15,DP15,DV15,EB15,EH15,EN15,ET15,EZ15,FF15,FL15,FR15,FX15,GD15,GJ15,GP15,GV15,HB15,HH15,HN15))</x:f>
      </x:c>
      <x:c r="HU15" s="27" t="str">
        <x:f>IF(C15="","",SUM(M15,S15,Y15,AE15,AK15,AQ15,AW15,BC15,BI15,BO15,BU15,CA15,CG15,CM15,CS15,CY15,DE15,DK15,DQ15,DW15,EC15,EI15,EO15,EU15,FA15,FG15,FM15,FS15,FY15,GE15,GK15,GQ15,GW15,HC15,HI15,HO15))</x:f>
      </x:c>
      <x:c r="HV15" s="27" t="str">
        <x:f>IF(C15="","",IF(JI15=LARGE(JI15:JN15,1),"R",IF(JJ15=LARGE(JI15:JN15,1),"I",IF(JK15=LARGE(JI15:JN15,1),"A",IF(JL15=LARGE(JI15:JN15,1),"S",IF(JM15=LARGE(JI15:JN15,1),"E",IF(JN15=LARGE(JI15:JN15,1),"C",""))))))&amp;IF(JI15=LARGE(JI15:JN15,2),"R",IF(JJ15=LARGE(JI15:JN15,2),"I",IF(JK15=LARGE(JI15:JN15,2),"A",IF(JL15=LARGE(JI15:JN15,2),"S",IF(JM15=LARGE(JI15:JN15,2),"E",IF(JN15=LARGE(JI15:JN15,2),"C",""))))))&amp;IF(JI15=LARGE(JI15:JN15,3),"R",IF(JJ15=LARGE(JI15:JN15,3),"I",IF(JK15=LARGE(JI15:JN15,3),"A",IF(JL15=LARGE(JI15:JN15,3),"S",IF(JM15=LARGE(JI15:JN15,3),"E",IF(JN15=LARGE(JI15:JN15,3),"C","")))))))</x:f>
      </x:c>
      <x:c r="HW15" s="27" t="str">
        <x:f>IF(C15="","",IF(JI15=LARGE(JI15:JN15,1),"นักปฏิบัติ",IF(JJ15=LARGE(JI15:JN15,1),"นักคิดวิเคราะห์",IF(JK15=LARGE(JI15:JN15,1),"นักสร้างสรรค์",IF(JL15=LARGE(JI15:JN15,1),"ผู้เข้าใจผู้คน",IF(JM15=LARGE(JI15:JN15,1),"ผู้นำการเปลี่ยนแปลง",IF(JN15=LARGE(JI15:JN15,1),"ผู้จัดระบบ","ผู้จัดระบบ")))))))</x:f>
      </x:c>
      <x:c r="HX15" s="27"/>
      <x:c r="HY15" s="27"/>
      <x:c r="HZ15" s="27"/>
      <x:c r="IA15" s="27"/>
      <x:c r="IB15" s="27"/>
      <x:c r="IC15" s="27"/>
      <x:c r="ID15" s="27"/>
      <x:c r="IE15" s="27"/>
      <x:c r="IF15" s="27"/>
      <x:c r="IG15" s="27"/>
      <x:c r="IH15" s="27"/>
      <x:c r="II15" s="27"/>
      <x:c r="IJ15" s="27"/>
      <x:c r="IK15" s="27" t="str">
        <x:f>IF(C15="","",SUM(H15,N15,T15,Z15,AF15,AL15,AR15,AX15,BD15,BJ15,BP15))</x:f>
      </x:c>
      <x:c r="IL15" s="27" t="str">
        <x:f>IF(C15="","",SUM(I15,O15,U15,AA15,AG15,AM15,AS15,AY15,BE15,BK15,BQ15))</x:f>
      </x:c>
      <x:c r="IM15" s="27" t="str">
        <x:f>IF(C15="","",SUM(J15,P15,V15,AB15,AH15,AN15,AT15,AZ15,BF15,BL15,BR15))</x:f>
      </x:c>
      <x:c r="IN15" s="27" t="str">
        <x:f>IF(C15="","",SUM(K15,Q15,W15,AC15,AI15,AO15,AU15,BA15,BG15,BM15,BS15))</x:f>
      </x:c>
      <x:c r="IO15" s="27" t="str">
        <x:f>IF(C15="","",SUM(L15,R15,X15,AD15,AJ15,AP15,AV15,BB15,BH15,BN15,BT15))</x:f>
      </x:c>
      <x:c r="IP15" s="27" t="str">
        <x:f>IF(C15="","",SUM(M15,S15,Y15,AE15,AK15,AQ15,AW15,BC15,BI15,BO15,BU15))</x:f>
      </x:c>
      <x:c r="IQ15" s="27" t="str">
        <x:f>IF(C15="","",SUM(BV15,CB15,CH15,CN15,CT15,CZ15,DF15,DL15,DR15,DX15,ED15))</x:f>
      </x:c>
      <x:c r="IR15" s="27" t="str">
        <x:f>IF(C15="","",SUM(BW15,CC15,CI15,CO15,CU15,DA15,DG15,DM15,DS15,DY15,EE15))</x:f>
      </x:c>
      <x:c r="IS15" s="27" t="str">
        <x:f>IF(C15="","",SUM(BX15,CD15,CJ15,CP15,CV15,DB15,DH15,DN15,DT15,DZ15,EF15))</x:f>
      </x:c>
      <x:c r="IT15" s="27" t="str">
        <x:f>IF(C15="","",SUM(BY15,CE15,CK15,CQ15,CW15,DC15,DI15,DO15,DU15,EA15,EG15))</x:f>
      </x:c>
      <x:c r="IU15" s="27" t="str">
        <x:f>IF(C15="","",SUM(BZ15,CF15,CL15,CR15,CX15,DD15,DJ15,DP15,DV15,EB15,EH15))</x:f>
      </x:c>
      <x:c r="IV15" s="27" t="str">
        <x:f>IF(C15="","",SUM(CA15,CG15,CM15,CS15,CY15,DE15,DK15,DQ15,DW15,EC15,EI15))</x:f>
      </x:c>
      <x:c r="IW15" s="27" t="str">
        <x:f>IF(C15="","",SUM(EJ15,EP15,EV15,FB15,FH15,FN15,FT15,FZ15,GF15,GL15,GR15,GX15,HD15,HJ15))</x:f>
      </x:c>
      <x:c r="IX15" s="27" t="str">
        <x:f>IF(C15="","",SUM(EK15,EQ15,EW15,FC15,FI15,FO15,FU15,GA15,GG15,GM15,GS15,GY15,HE15,HK15))</x:f>
      </x:c>
      <x:c r="IY15" s="27" t="str">
        <x:f>IF(C15="","",SUM(EL15,ER15,EX15,FD15,FJ15,FP15,FV15,GB15,GH15,GN15,GT15,GZ15,HF15,HL15))</x:f>
      </x:c>
      <x:c r="IZ15" s="27" t="str">
        <x:f>IF(C15="","",SUM(EM15,ES15,EY15,FE15,FK15,FQ15,FW15,GC15,GI15,GO15,GU15,HA15,HG15,HM15))</x:f>
      </x:c>
      <x:c r="JA15" s="27" t="str">
        <x:f>IF(C15="","",SUM(EN15,ET15,EZ15,FF15,FL15,FR15,FX15,GD15,GJ15,GP15,GV15,HB15,HH15,HN15))</x:f>
      </x:c>
      <x:c r="JB15" s="27" t="str">
        <x:f>IF(C15="","",SUM(EO15,EU15,FA15,FG15,FM15,FS15,FY15,GE15,GK15,GQ15,GW15,HC15,HI15,HO15))</x:f>
      </x:c>
      <x:c r="JC15" s="27" t="str">
        <x:f>IF(C15="","",0)</x:f>
      </x:c>
      <x:c r="JD15" s="27" t="str">
        <x:f>IF(C15="","",0)</x:f>
      </x:c>
      <x:c r="JE15" s="27" t="str">
        <x:f>IF(C15="","",0)</x:f>
      </x:c>
      <x:c r="JF15" s="27" t="str">
        <x:f>IF(C15="","",0)</x:f>
      </x:c>
      <x:c r="JG15" s="27" t="str">
        <x:f>IF(C15="","",0)</x:f>
      </x:c>
      <x:c r="JH15" s="27" t="str">
        <x:f>IF(C15="","",0)</x:f>
      </x:c>
      <x:c r="JI15" s="27" t="str">
        <x:f>IF(C15="","",HP15*1000000000+IW15*1000000+IQ15*10000+IK15*100+JC15+6/1000)</x:f>
      </x:c>
      <x:c r="JJ15" s="27" t="str">
        <x:f>IF(C15="","",HQ15*1000000000+IX15*1000000+IR15*10000+IL15*100+JD15+5/1000)</x:f>
      </x:c>
      <x:c r="JK15" s="27" t="str">
        <x:f>IF(C15="","",HR15*1000000000+IY15*1000000+IS15*10000+IM15*100+JE15+4/1000)</x:f>
      </x:c>
      <x:c r="JL15" s="27" t="str">
        <x:f>IF(C15="","",HS15*1000000000+IZ15*1000000+IT15*10000+IN15*100+JF15+3/1000)</x:f>
      </x:c>
      <x:c r="JM15" s="27" t="str">
        <x:f>IF(C15="","",HT15*1000000000+JA15*1000000+IU15*10000+IO15*100+JG15+2/1000)</x:f>
      </x:c>
      <x:c r="JN15" s="27" t="str">
        <x:f>IF(C15="","",HU15*1000000000+JB15*1000000+IV15*10000+IP15*100+JH15+1/1000)</x:f>
      </x:c>
    </x:row>
    <x:row r="16">
      <x:c r="A16" s="27"/>
      <x:c r="B16" s="28"/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  <x:c r="O16" s="27"/>
      <x:c r="P16" s="27"/>
      <x:c r="Q16" s="27"/>
      <x:c r="R16" s="27"/>
      <x:c r="S16" s="27"/>
      <x:c r="T16" s="27"/>
      <x:c r="U16" s="27"/>
      <x:c r="V16" s="27"/>
      <x:c r="W16" s="27"/>
      <x:c r="X16" s="27"/>
      <x:c r="Y16" s="27"/>
      <x:c r="Z16" s="27"/>
      <x:c r="AA16" s="27"/>
      <x:c r="AB16" s="27"/>
      <x:c r="AC16" s="27"/>
      <x:c r="AD16" s="27"/>
      <x:c r="AE16" s="27"/>
      <x:c r="AF16" s="27"/>
      <x:c r="AG16" s="27"/>
      <x:c r="AH16" s="27"/>
      <x:c r="AI16" s="27"/>
      <x:c r="AJ16" s="27"/>
      <x:c r="AK16" s="27"/>
      <x:c r="AL16" s="27"/>
      <x:c r="AM16" s="27"/>
      <x:c r="AN16" s="27"/>
      <x:c r="AO16" s="27"/>
      <x:c r="AP16" s="27"/>
      <x:c r="AQ16" s="27"/>
      <x:c r="AR16" s="27"/>
      <x:c r="AS16" s="27"/>
      <x:c r="AT16" s="27"/>
      <x:c r="AU16" s="27"/>
      <x:c r="AV16" s="27"/>
      <x:c r="AW16" s="27"/>
      <x:c r="AX16" s="27"/>
      <x:c r="AY16" s="27"/>
      <x:c r="AZ16" s="27"/>
      <x:c r="BA16" s="27"/>
      <x:c r="BB16" s="27"/>
      <x:c r="BC16" s="27"/>
      <x:c r="BD16" s="27"/>
      <x:c r="BE16" s="27"/>
      <x:c r="BF16" s="27"/>
      <x:c r="BG16" s="27"/>
      <x:c r="BH16" s="27"/>
      <x:c r="BI16" s="27"/>
      <x:c r="BJ16" s="27"/>
      <x:c r="BK16" s="27"/>
      <x:c r="BL16" s="27"/>
      <x:c r="BM16" s="27"/>
      <x:c r="BN16" s="27"/>
      <x:c r="BO16" s="27"/>
      <x:c r="BP16" s="27"/>
      <x:c r="BQ16" s="27"/>
      <x:c r="BR16" s="27"/>
      <x:c r="BS16" s="27"/>
      <x:c r="BT16" s="27"/>
      <x:c r="BU16" s="27"/>
      <x:c r="BV16" s="27"/>
      <x:c r="BW16" s="27"/>
      <x:c r="BX16" s="27"/>
      <x:c r="BY16" s="27"/>
      <x:c r="BZ16" s="27"/>
      <x:c r="CA16" s="27"/>
      <x:c r="CB16" s="27"/>
      <x:c r="CC16" s="27"/>
      <x:c r="CD16" s="27"/>
      <x:c r="CE16" s="27"/>
      <x:c r="CF16" s="27"/>
      <x:c r="CG16" s="27"/>
      <x:c r="CH16" s="27"/>
      <x:c r="CI16" s="27"/>
      <x:c r="CJ16" s="27"/>
      <x:c r="CK16" s="27"/>
      <x:c r="CL16" s="27"/>
      <x:c r="CM16" s="27"/>
      <x:c r="CN16" s="27"/>
      <x:c r="CO16" s="27"/>
      <x:c r="CP16" s="27"/>
      <x:c r="CQ16" s="27"/>
      <x:c r="CR16" s="27"/>
      <x:c r="CS16" s="27"/>
      <x:c r="CT16" s="27"/>
      <x:c r="CU16" s="27"/>
      <x:c r="CV16" s="27"/>
      <x:c r="CW16" s="27"/>
      <x:c r="CX16" s="27"/>
      <x:c r="CY16" s="27"/>
      <x:c r="CZ16" s="27"/>
      <x:c r="DA16" s="27"/>
      <x:c r="DB16" s="27"/>
      <x:c r="DC16" s="27"/>
      <x:c r="DD16" s="27"/>
      <x:c r="DE16" s="27"/>
      <x:c r="DF16" s="27"/>
      <x:c r="DG16" s="27"/>
      <x:c r="DH16" s="27"/>
      <x:c r="DI16" s="27"/>
      <x:c r="DJ16" s="27"/>
      <x:c r="DK16" s="27"/>
      <x:c r="DL16" s="27"/>
      <x:c r="DM16" s="27"/>
      <x:c r="DN16" s="27"/>
      <x:c r="DO16" s="27"/>
      <x:c r="DP16" s="27"/>
      <x:c r="DQ16" s="27"/>
      <x:c r="DR16" s="27"/>
      <x:c r="DS16" s="27"/>
      <x:c r="DT16" s="27"/>
      <x:c r="DU16" s="27"/>
      <x:c r="DV16" s="27"/>
      <x:c r="DW16" s="27"/>
      <x:c r="DX16" s="27"/>
      <x:c r="DY16" s="27"/>
      <x:c r="DZ16" s="27"/>
      <x:c r="EA16" s="27"/>
      <x:c r="EB16" s="27"/>
      <x:c r="EC16" s="27"/>
      <x:c r="ED16" s="27"/>
      <x:c r="EE16" s="27"/>
      <x:c r="EF16" s="27"/>
      <x:c r="EG16" s="27"/>
      <x:c r="EH16" s="27"/>
      <x:c r="EI16" s="27"/>
      <x:c r="EJ16" s="27"/>
      <x:c r="EK16" s="27"/>
      <x:c r="EL16" s="27"/>
      <x:c r="EM16" s="27"/>
      <x:c r="EN16" s="27"/>
      <x:c r="EO16" s="27"/>
      <x:c r="EP16" s="27"/>
      <x:c r="EQ16" s="27"/>
      <x:c r="ER16" s="27"/>
      <x:c r="ES16" s="27"/>
      <x:c r="ET16" s="27"/>
      <x:c r="EU16" s="27"/>
      <x:c r="EV16" s="27"/>
      <x:c r="EW16" s="27"/>
      <x:c r="EX16" s="27"/>
      <x:c r="EY16" s="27"/>
      <x:c r="EZ16" s="27"/>
      <x:c r="FA16" s="27"/>
      <x:c r="FB16" s="27"/>
      <x:c r="FC16" s="27"/>
      <x:c r="FD16" s="27"/>
      <x:c r="FE16" s="27"/>
      <x:c r="FF16" s="27"/>
      <x:c r="FG16" s="27"/>
      <x:c r="FH16" s="27"/>
      <x:c r="FI16" s="27"/>
      <x:c r="FJ16" s="27"/>
      <x:c r="FK16" s="27"/>
      <x:c r="FL16" s="27"/>
      <x:c r="FM16" s="27"/>
      <x:c r="FN16" s="27"/>
      <x:c r="FO16" s="27"/>
      <x:c r="FP16" s="27"/>
      <x:c r="FQ16" s="27"/>
      <x:c r="FR16" s="27"/>
      <x:c r="FS16" s="27"/>
      <x:c r="FT16" s="27"/>
      <x:c r="FU16" s="27"/>
      <x:c r="FV16" s="27"/>
      <x:c r="FW16" s="27"/>
      <x:c r="FX16" s="27"/>
      <x:c r="FY16" s="27"/>
      <x:c r="FZ16" s="27"/>
      <x:c r="GA16" s="27"/>
      <x:c r="GB16" s="27"/>
      <x:c r="GC16" s="27"/>
      <x:c r="GD16" s="27"/>
      <x:c r="GE16" s="27"/>
      <x:c r="GF16" s="27"/>
      <x:c r="GG16" s="27"/>
      <x:c r="GH16" s="27"/>
      <x:c r="GI16" s="27"/>
      <x:c r="GJ16" s="27"/>
      <x:c r="GK16" s="27"/>
      <x:c r="GL16" s="27"/>
      <x:c r="GM16" s="27"/>
      <x:c r="GN16" s="27"/>
      <x:c r="GO16" s="27"/>
      <x:c r="GP16" s="27"/>
      <x:c r="GQ16" s="27"/>
      <x:c r="GR16" s="27"/>
      <x:c r="GS16" s="27"/>
      <x:c r="GT16" s="27"/>
      <x:c r="GU16" s="27"/>
      <x:c r="GV16" s="27"/>
      <x:c r="GW16" s="27"/>
      <x:c r="GX16" s="27"/>
      <x:c r="GY16" s="27"/>
      <x:c r="GZ16" s="27"/>
      <x:c r="HA16" s="27"/>
      <x:c r="HB16" s="27"/>
      <x:c r="HC16" s="27"/>
      <x:c r="HD16" s="27"/>
      <x:c r="HE16" s="27"/>
      <x:c r="HF16" s="27"/>
      <x:c r="HG16" s="27"/>
      <x:c r="HH16" s="27"/>
      <x:c r="HI16" s="27"/>
      <x:c r="HJ16" s="27"/>
      <x:c r="HK16" s="27"/>
      <x:c r="HL16" s="27"/>
      <x:c r="HM16" s="27"/>
      <x:c r="HN16" s="27"/>
      <x:c r="HO16" s="27"/>
      <x:c r="HP16" s="27" t="str">
        <x:f>IF(C16="","",SUM(H16,N16,T16,Z16,AF16,AL16,AR16,AX16,BD16,BJ16,BP16,BV16,CB16,CH16,CN16,CT16,CZ16,DF16,DL16,DR16,DX16,ED16,EJ16,EP16,EV16,FB16,FH16,FN16,FT16,FZ16,GF16,GL16,GR16,GX16,HD16,HJ16))</x:f>
      </x:c>
      <x:c r="HQ16" s="27" t="str">
        <x:f>IF(C16="","",SUM(I16,O16,U16,AA16,AG16,AM16,AS16,AY16,BE16,BK16,BQ16,BW16,CC16,CI16,CO16,CU16,DA16,DG16,DM16,DS16,DY16,EE16,EK16,EQ16,EW16,FC16,FI16,FO16,FU16,GA16,GG16,GM16,GS16,GY16,HE16,HK16))</x:f>
      </x:c>
      <x:c r="HR16" s="27" t="str">
        <x:f>IF(C16="","",SUM(J16,P16,V16,AB16,AH16,AN16,AT16,AZ16,BF16,BL16,BR16,BX16,CD16,CJ16,CP16,CV16,DB16,DH16,DN16,DT16,DZ16,EF16,EL16,ER16,EX16,FD16,FJ16,FP16,FV16,GB16,GH16,GN16,GT16,GZ16,HF16,HL16))</x:f>
      </x:c>
      <x:c r="HS16" s="27" t="str">
        <x:f>IF(C16="","",SUM(K16,Q16,W16,AC16,AI16,AO16,AU16,BA16,BG16,BM16,BS16,BY16,CE16,CK16,CQ16,CW16,DC16,DI16,DO16,DU16,EA16,EG16,EM16,ES16,EY16,FE16,FK16,FQ16,FW16,GC16,GI16,GO16,GU16,HA16,HG16,HM16))</x:f>
      </x:c>
      <x:c r="HT16" s="27" t="str">
        <x:f>IF(C16="","",SUM(L16,R16,X16,AD16,AJ16,AP16,AV16,BB16,BH16,BN16,BT16,BZ16,CF16,CL16,CR16,CX16,DD16,DJ16,DP16,DV16,EB16,EH16,EN16,ET16,EZ16,FF16,FL16,FR16,FX16,GD16,GJ16,GP16,GV16,HB16,HH16,HN16))</x:f>
      </x:c>
      <x:c r="HU16" s="27" t="str">
        <x:f>IF(C16="","",SUM(M16,S16,Y16,AE16,AK16,AQ16,AW16,BC16,BI16,BO16,BU16,CA16,CG16,CM16,CS16,CY16,DE16,DK16,DQ16,DW16,EC16,EI16,EO16,EU16,FA16,FG16,FM16,FS16,FY16,GE16,GK16,GQ16,GW16,HC16,HI16,HO16))</x:f>
      </x:c>
      <x:c r="HV16" s="27" t="str">
        <x:f>IF(C16="","",IF(JI16=LARGE(JI16:JN16,1),"R",IF(JJ16=LARGE(JI16:JN16,1),"I",IF(JK16=LARGE(JI16:JN16,1),"A",IF(JL16=LARGE(JI16:JN16,1),"S",IF(JM16=LARGE(JI16:JN16,1),"E",IF(JN16=LARGE(JI16:JN16,1),"C",""))))))&amp;IF(JI16=LARGE(JI16:JN16,2),"R",IF(JJ16=LARGE(JI16:JN16,2),"I",IF(JK16=LARGE(JI16:JN16,2),"A",IF(JL16=LARGE(JI16:JN16,2),"S",IF(JM16=LARGE(JI16:JN16,2),"E",IF(JN16=LARGE(JI16:JN16,2),"C",""))))))&amp;IF(JI16=LARGE(JI16:JN16,3),"R",IF(JJ16=LARGE(JI16:JN16,3),"I",IF(JK16=LARGE(JI16:JN16,3),"A",IF(JL16=LARGE(JI16:JN16,3),"S",IF(JM16=LARGE(JI16:JN16,3),"E",IF(JN16=LARGE(JI16:JN16,3),"C","")))))))</x:f>
      </x:c>
      <x:c r="HW16" s="27" t="str">
        <x:f>IF(C16="","",IF(JI16=LARGE(JI16:JN16,1),"นักปฏิบัติ",IF(JJ16=LARGE(JI16:JN16,1),"นักคิดวิเคราะห์",IF(JK16=LARGE(JI16:JN16,1),"นักสร้างสรรค์",IF(JL16=LARGE(JI16:JN16,1),"ผู้เข้าใจผู้คน",IF(JM16=LARGE(JI16:JN16,1),"ผู้นำการเปลี่ยนแปลง",IF(JN16=LARGE(JI16:JN16,1),"ผู้จัดระบบ","ผู้จัดระบบ")))))))</x:f>
      </x:c>
      <x:c r="HX16" s="27"/>
      <x:c r="HY16" s="27"/>
      <x:c r="HZ16" s="27"/>
      <x:c r="IA16" s="27"/>
      <x:c r="IB16" s="27"/>
      <x:c r="IC16" s="27"/>
      <x:c r="ID16" s="27"/>
      <x:c r="IE16" s="27"/>
      <x:c r="IF16" s="27"/>
      <x:c r="IG16" s="27"/>
      <x:c r="IH16" s="27"/>
      <x:c r="II16" s="27"/>
      <x:c r="IJ16" s="27"/>
      <x:c r="IK16" s="27" t="str">
        <x:f>IF(C16="","",SUM(H16,N16,T16,Z16,AF16,AL16,AR16,AX16,BD16,BJ16,BP16))</x:f>
      </x:c>
      <x:c r="IL16" s="27" t="str">
        <x:f>IF(C16="","",SUM(I16,O16,U16,AA16,AG16,AM16,AS16,AY16,BE16,BK16,BQ16))</x:f>
      </x:c>
      <x:c r="IM16" s="27" t="str">
        <x:f>IF(C16="","",SUM(J16,P16,V16,AB16,AH16,AN16,AT16,AZ16,BF16,BL16,BR16))</x:f>
      </x:c>
      <x:c r="IN16" s="27" t="str">
        <x:f>IF(C16="","",SUM(K16,Q16,W16,AC16,AI16,AO16,AU16,BA16,BG16,BM16,BS16))</x:f>
      </x:c>
      <x:c r="IO16" s="27" t="str">
        <x:f>IF(C16="","",SUM(L16,R16,X16,AD16,AJ16,AP16,AV16,BB16,BH16,BN16,BT16))</x:f>
      </x:c>
      <x:c r="IP16" s="27" t="str">
        <x:f>IF(C16="","",SUM(M16,S16,Y16,AE16,AK16,AQ16,AW16,BC16,BI16,BO16,BU16))</x:f>
      </x:c>
      <x:c r="IQ16" s="27" t="str">
        <x:f>IF(C16="","",SUM(BV16,CB16,CH16,CN16,CT16,CZ16,DF16,DL16,DR16,DX16,ED16))</x:f>
      </x:c>
      <x:c r="IR16" s="27" t="str">
        <x:f>IF(C16="","",SUM(BW16,CC16,CI16,CO16,CU16,DA16,DG16,DM16,DS16,DY16,EE16))</x:f>
      </x:c>
      <x:c r="IS16" s="27" t="str">
        <x:f>IF(C16="","",SUM(BX16,CD16,CJ16,CP16,CV16,DB16,DH16,DN16,DT16,DZ16,EF16))</x:f>
      </x:c>
      <x:c r="IT16" s="27" t="str">
        <x:f>IF(C16="","",SUM(BY16,CE16,CK16,CQ16,CW16,DC16,DI16,DO16,DU16,EA16,EG16))</x:f>
      </x:c>
      <x:c r="IU16" s="27" t="str">
        <x:f>IF(C16="","",SUM(BZ16,CF16,CL16,CR16,CX16,DD16,DJ16,DP16,DV16,EB16,EH16))</x:f>
      </x:c>
      <x:c r="IV16" s="27" t="str">
        <x:f>IF(C16="","",SUM(CA16,CG16,CM16,CS16,CY16,DE16,DK16,DQ16,DW16,EC16,EI16))</x:f>
      </x:c>
      <x:c r="IW16" s="27" t="str">
        <x:f>IF(C16="","",SUM(EJ16,EP16,EV16,FB16,FH16,FN16,FT16,FZ16,GF16,GL16,GR16,GX16,HD16,HJ16))</x:f>
      </x:c>
      <x:c r="IX16" s="27" t="str">
        <x:f>IF(C16="","",SUM(EK16,EQ16,EW16,FC16,FI16,FO16,FU16,GA16,GG16,GM16,GS16,GY16,HE16,HK16))</x:f>
      </x:c>
      <x:c r="IY16" s="27" t="str">
        <x:f>IF(C16="","",SUM(EL16,ER16,EX16,FD16,FJ16,FP16,FV16,GB16,GH16,GN16,GT16,GZ16,HF16,HL16))</x:f>
      </x:c>
      <x:c r="IZ16" s="27" t="str">
        <x:f>IF(C16="","",SUM(EM16,ES16,EY16,FE16,FK16,FQ16,FW16,GC16,GI16,GO16,GU16,HA16,HG16,HM16))</x:f>
      </x:c>
      <x:c r="JA16" s="27" t="str">
        <x:f>IF(C16="","",SUM(EN16,ET16,EZ16,FF16,FL16,FR16,FX16,GD16,GJ16,GP16,GV16,HB16,HH16,HN16))</x:f>
      </x:c>
      <x:c r="JB16" s="27" t="str">
        <x:f>IF(C16="","",SUM(EO16,EU16,FA16,FG16,FM16,FS16,FY16,GE16,GK16,GQ16,GW16,HC16,HI16,HO16))</x:f>
      </x:c>
      <x:c r="JC16" s="27" t="str">
        <x:f>IF(C16="","",0)</x:f>
      </x:c>
      <x:c r="JD16" s="27" t="str">
        <x:f>IF(C16="","",0)</x:f>
      </x:c>
      <x:c r="JE16" s="27" t="str">
        <x:f>IF(C16="","",0)</x:f>
      </x:c>
      <x:c r="JF16" s="27" t="str">
        <x:f>IF(C16="","",0)</x:f>
      </x:c>
      <x:c r="JG16" s="27" t="str">
        <x:f>IF(C16="","",0)</x:f>
      </x:c>
      <x:c r="JH16" s="27" t="str">
        <x:f>IF(C16="","",0)</x:f>
      </x:c>
      <x:c r="JI16" s="27" t="str">
        <x:f>IF(C16="","",HP16*1000000000+IW16*1000000+IQ16*10000+IK16*100+JC16+6/1000)</x:f>
      </x:c>
      <x:c r="JJ16" s="27" t="str">
        <x:f>IF(C16="","",HQ16*1000000000+IX16*1000000+IR16*10000+IL16*100+JD16+5/1000)</x:f>
      </x:c>
      <x:c r="JK16" s="27" t="str">
        <x:f>IF(C16="","",HR16*1000000000+IY16*1000000+IS16*10000+IM16*100+JE16+4/1000)</x:f>
      </x:c>
      <x:c r="JL16" s="27" t="str">
        <x:f>IF(C16="","",HS16*1000000000+IZ16*1000000+IT16*10000+IN16*100+JF16+3/1000)</x:f>
      </x:c>
      <x:c r="JM16" s="27" t="str">
        <x:f>IF(C16="","",HT16*1000000000+JA16*1000000+IU16*10000+IO16*100+JG16+2/1000)</x:f>
      </x:c>
      <x:c r="JN16" s="27" t="str">
        <x:f>IF(C16="","",HU16*1000000000+JB16*1000000+IV16*10000+IP16*100+JH16+1/1000)</x:f>
      </x:c>
    </x:row>
    <x:row r="17">
      <x:c r="A17" s="27"/>
      <x:c r="B17" s="28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  <x:c r="O17" s="27"/>
      <x:c r="P17" s="27"/>
      <x:c r="Q17" s="27"/>
      <x:c r="R17" s="27"/>
      <x:c r="S17" s="27"/>
      <x:c r="T17" s="27"/>
      <x:c r="U17" s="27"/>
      <x:c r="V17" s="27"/>
      <x:c r="W17" s="27"/>
      <x:c r="X17" s="27"/>
      <x:c r="Y17" s="27"/>
      <x:c r="Z17" s="27"/>
      <x:c r="AA17" s="27"/>
      <x:c r="AB17" s="27"/>
      <x:c r="AC17" s="27"/>
      <x:c r="AD17" s="27"/>
      <x:c r="AE17" s="27"/>
      <x:c r="AF17" s="27"/>
      <x:c r="AG17" s="27"/>
      <x:c r="AH17" s="27"/>
      <x:c r="AI17" s="27"/>
      <x:c r="AJ17" s="27"/>
      <x:c r="AK17" s="27"/>
      <x:c r="AL17" s="27"/>
      <x:c r="AM17" s="27"/>
      <x:c r="AN17" s="27"/>
      <x:c r="AO17" s="27"/>
      <x:c r="AP17" s="27"/>
      <x:c r="AQ17" s="27"/>
      <x:c r="AR17" s="27"/>
      <x:c r="AS17" s="27"/>
      <x:c r="AT17" s="27"/>
      <x:c r="AU17" s="27"/>
      <x:c r="AV17" s="27"/>
      <x:c r="AW17" s="27"/>
      <x:c r="AX17" s="27"/>
      <x:c r="AY17" s="27"/>
      <x:c r="AZ17" s="27"/>
      <x:c r="BA17" s="27"/>
      <x:c r="BB17" s="27"/>
      <x:c r="BC17" s="27"/>
      <x:c r="BD17" s="27"/>
      <x:c r="BE17" s="27"/>
      <x:c r="BF17" s="27"/>
      <x:c r="BG17" s="27"/>
      <x:c r="BH17" s="27"/>
      <x:c r="BI17" s="27"/>
      <x:c r="BJ17" s="27"/>
      <x:c r="BK17" s="27"/>
      <x:c r="BL17" s="27"/>
      <x:c r="BM17" s="27"/>
      <x:c r="BN17" s="27"/>
      <x:c r="BO17" s="27"/>
      <x:c r="BP17" s="27"/>
      <x:c r="BQ17" s="27"/>
      <x:c r="BR17" s="27"/>
      <x:c r="BS17" s="27"/>
      <x:c r="BT17" s="27"/>
      <x:c r="BU17" s="27"/>
      <x:c r="BV17" s="27"/>
      <x:c r="BW17" s="27"/>
      <x:c r="BX17" s="27"/>
      <x:c r="BY17" s="27"/>
      <x:c r="BZ17" s="27"/>
      <x:c r="CA17" s="27"/>
      <x:c r="CB17" s="27"/>
      <x:c r="CC17" s="27"/>
      <x:c r="CD17" s="27"/>
      <x:c r="CE17" s="27"/>
      <x:c r="CF17" s="27"/>
      <x:c r="CG17" s="27"/>
      <x:c r="CH17" s="27"/>
      <x:c r="CI17" s="27"/>
      <x:c r="CJ17" s="27"/>
      <x:c r="CK17" s="27"/>
      <x:c r="CL17" s="27"/>
      <x:c r="CM17" s="27"/>
      <x:c r="CN17" s="27"/>
      <x:c r="CO17" s="27"/>
      <x:c r="CP17" s="27"/>
      <x:c r="CQ17" s="27"/>
      <x:c r="CR17" s="27"/>
      <x:c r="CS17" s="27"/>
      <x:c r="CT17" s="27"/>
      <x:c r="CU17" s="27"/>
      <x:c r="CV17" s="27"/>
      <x:c r="CW17" s="27"/>
      <x:c r="CX17" s="27"/>
      <x:c r="CY17" s="27"/>
      <x:c r="CZ17" s="27"/>
      <x:c r="DA17" s="27"/>
      <x:c r="DB17" s="27"/>
      <x:c r="DC17" s="27"/>
      <x:c r="DD17" s="27"/>
      <x:c r="DE17" s="27"/>
      <x:c r="DF17" s="27"/>
      <x:c r="DG17" s="27"/>
      <x:c r="DH17" s="27"/>
      <x:c r="DI17" s="27"/>
      <x:c r="DJ17" s="27"/>
      <x:c r="DK17" s="27"/>
      <x:c r="DL17" s="27"/>
      <x:c r="DM17" s="27"/>
      <x:c r="DN17" s="27"/>
      <x:c r="DO17" s="27"/>
      <x:c r="DP17" s="27"/>
      <x:c r="DQ17" s="27"/>
      <x:c r="DR17" s="27"/>
      <x:c r="DS17" s="27"/>
      <x:c r="DT17" s="27"/>
      <x:c r="DU17" s="27"/>
      <x:c r="DV17" s="27"/>
      <x:c r="DW17" s="27"/>
      <x:c r="DX17" s="27"/>
      <x:c r="DY17" s="27"/>
      <x:c r="DZ17" s="27"/>
      <x:c r="EA17" s="27"/>
      <x:c r="EB17" s="27"/>
      <x:c r="EC17" s="27"/>
      <x:c r="ED17" s="27"/>
      <x:c r="EE17" s="27"/>
      <x:c r="EF17" s="27"/>
      <x:c r="EG17" s="27"/>
      <x:c r="EH17" s="27"/>
      <x:c r="EI17" s="27"/>
      <x:c r="EJ17" s="27"/>
      <x:c r="EK17" s="27"/>
      <x:c r="EL17" s="27"/>
      <x:c r="EM17" s="27"/>
      <x:c r="EN17" s="27"/>
      <x:c r="EO17" s="27"/>
      <x:c r="EP17" s="27"/>
      <x:c r="EQ17" s="27"/>
      <x:c r="ER17" s="27"/>
      <x:c r="ES17" s="27"/>
      <x:c r="ET17" s="27"/>
      <x:c r="EU17" s="27"/>
      <x:c r="EV17" s="27"/>
      <x:c r="EW17" s="27"/>
      <x:c r="EX17" s="27"/>
      <x:c r="EY17" s="27"/>
      <x:c r="EZ17" s="27"/>
      <x:c r="FA17" s="27"/>
      <x:c r="FB17" s="27"/>
      <x:c r="FC17" s="27"/>
      <x:c r="FD17" s="27"/>
      <x:c r="FE17" s="27"/>
      <x:c r="FF17" s="27"/>
      <x:c r="FG17" s="27"/>
      <x:c r="FH17" s="27"/>
      <x:c r="FI17" s="27"/>
      <x:c r="FJ17" s="27"/>
      <x:c r="FK17" s="27"/>
      <x:c r="FL17" s="27"/>
      <x:c r="FM17" s="27"/>
      <x:c r="FN17" s="27"/>
      <x:c r="FO17" s="27"/>
      <x:c r="FP17" s="27"/>
      <x:c r="FQ17" s="27"/>
      <x:c r="FR17" s="27"/>
      <x:c r="FS17" s="27"/>
      <x:c r="FT17" s="27"/>
      <x:c r="FU17" s="27"/>
      <x:c r="FV17" s="27"/>
      <x:c r="FW17" s="27"/>
      <x:c r="FX17" s="27"/>
      <x:c r="FY17" s="27"/>
      <x:c r="FZ17" s="27"/>
      <x:c r="GA17" s="27"/>
      <x:c r="GB17" s="27"/>
      <x:c r="GC17" s="27"/>
      <x:c r="GD17" s="27"/>
      <x:c r="GE17" s="27"/>
      <x:c r="GF17" s="27"/>
      <x:c r="GG17" s="27"/>
      <x:c r="GH17" s="27"/>
      <x:c r="GI17" s="27"/>
      <x:c r="GJ17" s="27"/>
      <x:c r="GK17" s="27"/>
      <x:c r="GL17" s="27"/>
      <x:c r="GM17" s="27"/>
      <x:c r="GN17" s="27"/>
      <x:c r="GO17" s="27"/>
      <x:c r="GP17" s="27"/>
      <x:c r="GQ17" s="27"/>
      <x:c r="GR17" s="27"/>
      <x:c r="GS17" s="27"/>
      <x:c r="GT17" s="27"/>
      <x:c r="GU17" s="27"/>
      <x:c r="GV17" s="27"/>
      <x:c r="GW17" s="27"/>
      <x:c r="GX17" s="27"/>
      <x:c r="GY17" s="27"/>
      <x:c r="GZ17" s="27"/>
      <x:c r="HA17" s="27"/>
      <x:c r="HB17" s="27"/>
      <x:c r="HC17" s="27"/>
      <x:c r="HD17" s="27"/>
      <x:c r="HE17" s="27"/>
      <x:c r="HF17" s="27"/>
      <x:c r="HG17" s="27"/>
      <x:c r="HH17" s="27"/>
      <x:c r="HI17" s="27"/>
      <x:c r="HJ17" s="27"/>
      <x:c r="HK17" s="27"/>
      <x:c r="HL17" s="27"/>
      <x:c r="HM17" s="27"/>
      <x:c r="HN17" s="27"/>
      <x:c r="HO17" s="27"/>
      <x:c r="HP17" s="27" t="str">
        <x:f>IF(C17="","",SUM(H17,N17,T17,Z17,AF17,AL17,AR17,AX17,BD17,BJ17,BP17,BV17,CB17,CH17,CN17,CT17,CZ17,DF17,DL17,DR17,DX17,ED17,EJ17,EP17,EV17,FB17,FH17,FN17,FT17,FZ17,GF17,GL17,GR17,GX17,HD17,HJ17))</x:f>
      </x:c>
      <x:c r="HQ17" s="27" t="str">
        <x:f>IF(C17="","",SUM(I17,O17,U17,AA17,AG17,AM17,AS17,AY17,BE17,BK17,BQ17,BW17,CC17,CI17,CO17,CU17,DA17,DG17,DM17,DS17,DY17,EE17,EK17,EQ17,EW17,FC17,FI17,FO17,FU17,GA17,GG17,GM17,GS17,GY17,HE17,HK17))</x:f>
      </x:c>
      <x:c r="HR17" s="27" t="str">
        <x:f>IF(C17="","",SUM(J17,P17,V17,AB17,AH17,AN17,AT17,AZ17,BF17,BL17,BR17,BX17,CD17,CJ17,CP17,CV17,DB17,DH17,DN17,DT17,DZ17,EF17,EL17,ER17,EX17,FD17,FJ17,FP17,FV17,GB17,GH17,GN17,GT17,GZ17,HF17,HL17))</x:f>
      </x:c>
      <x:c r="HS17" s="27" t="str">
        <x:f>IF(C17="","",SUM(K17,Q17,W17,AC17,AI17,AO17,AU17,BA17,BG17,BM17,BS17,BY17,CE17,CK17,CQ17,CW17,DC17,DI17,DO17,DU17,EA17,EG17,EM17,ES17,EY17,FE17,FK17,FQ17,FW17,GC17,GI17,GO17,GU17,HA17,HG17,HM17))</x:f>
      </x:c>
      <x:c r="HT17" s="27" t="str">
        <x:f>IF(C17="","",SUM(L17,R17,X17,AD17,AJ17,AP17,AV17,BB17,BH17,BN17,BT17,BZ17,CF17,CL17,CR17,CX17,DD17,DJ17,DP17,DV17,EB17,EH17,EN17,ET17,EZ17,FF17,FL17,FR17,FX17,GD17,GJ17,GP17,GV17,HB17,HH17,HN17))</x:f>
      </x:c>
      <x:c r="HU17" s="27" t="str">
        <x:f>IF(C17="","",SUM(M17,S17,Y17,AE17,AK17,AQ17,AW17,BC17,BI17,BO17,BU17,CA17,CG17,CM17,CS17,CY17,DE17,DK17,DQ17,DW17,EC17,EI17,EO17,EU17,FA17,FG17,FM17,FS17,FY17,GE17,GK17,GQ17,GW17,HC17,HI17,HO17))</x:f>
      </x:c>
      <x:c r="HV17" s="27" t="str">
        <x:f>IF(C17="","",IF(JI17=LARGE(JI17:JN17,1),"R",IF(JJ17=LARGE(JI17:JN17,1),"I",IF(JK17=LARGE(JI17:JN17,1),"A",IF(JL17=LARGE(JI17:JN17,1),"S",IF(JM17=LARGE(JI17:JN17,1),"E",IF(JN17=LARGE(JI17:JN17,1),"C",""))))))&amp;IF(JI17=LARGE(JI17:JN17,2),"R",IF(JJ17=LARGE(JI17:JN17,2),"I",IF(JK17=LARGE(JI17:JN17,2),"A",IF(JL17=LARGE(JI17:JN17,2),"S",IF(JM17=LARGE(JI17:JN17,2),"E",IF(JN17=LARGE(JI17:JN17,2),"C",""))))))&amp;IF(JI17=LARGE(JI17:JN17,3),"R",IF(JJ17=LARGE(JI17:JN17,3),"I",IF(JK17=LARGE(JI17:JN17,3),"A",IF(JL17=LARGE(JI17:JN17,3),"S",IF(JM17=LARGE(JI17:JN17,3),"E",IF(JN17=LARGE(JI17:JN17,3),"C","")))))))</x:f>
      </x:c>
      <x:c r="HW17" s="27" t="str">
        <x:f>IF(C17="","",IF(JI17=LARGE(JI17:JN17,1),"นักปฏิบัติ",IF(JJ17=LARGE(JI17:JN17,1),"นักคิดวิเคราะห์",IF(JK17=LARGE(JI17:JN17,1),"นักสร้างสรรค์",IF(JL17=LARGE(JI17:JN17,1),"ผู้เข้าใจผู้คน",IF(JM17=LARGE(JI17:JN17,1),"ผู้นำการเปลี่ยนแปลง",IF(JN17=LARGE(JI17:JN17,1),"ผู้จัดระบบ","ผู้จัดระบบ")))))))</x:f>
      </x:c>
      <x:c r="HX17" s="27"/>
      <x:c r="HY17" s="27"/>
      <x:c r="HZ17" s="27"/>
      <x:c r="IA17" s="27"/>
      <x:c r="IB17" s="27"/>
      <x:c r="IC17" s="27"/>
      <x:c r="ID17" s="27"/>
      <x:c r="IE17" s="27"/>
      <x:c r="IF17" s="27"/>
      <x:c r="IG17" s="27"/>
      <x:c r="IH17" s="27"/>
      <x:c r="II17" s="27"/>
      <x:c r="IJ17" s="27"/>
      <x:c r="IK17" s="27" t="str">
        <x:f>IF(C17="","",SUM(H17,N17,T17,Z17,AF17,AL17,AR17,AX17,BD17,BJ17,BP17))</x:f>
      </x:c>
      <x:c r="IL17" s="27" t="str">
        <x:f>IF(C17="","",SUM(I17,O17,U17,AA17,AG17,AM17,AS17,AY17,BE17,BK17,BQ17))</x:f>
      </x:c>
      <x:c r="IM17" s="27" t="str">
        <x:f>IF(C17="","",SUM(J17,P17,V17,AB17,AH17,AN17,AT17,AZ17,BF17,BL17,BR17))</x:f>
      </x:c>
      <x:c r="IN17" s="27" t="str">
        <x:f>IF(C17="","",SUM(K17,Q17,W17,AC17,AI17,AO17,AU17,BA17,BG17,BM17,BS17))</x:f>
      </x:c>
      <x:c r="IO17" s="27" t="str">
        <x:f>IF(C17="","",SUM(L17,R17,X17,AD17,AJ17,AP17,AV17,BB17,BH17,BN17,BT17))</x:f>
      </x:c>
      <x:c r="IP17" s="27" t="str">
        <x:f>IF(C17="","",SUM(M17,S17,Y17,AE17,AK17,AQ17,AW17,BC17,BI17,BO17,BU17))</x:f>
      </x:c>
      <x:c r="IQ17" s="27" t="str">
        <x:f>IF(C17="","",SUM(BV17,CB17,CH17,CN17,CT17,CZ17,DF17,DL17,DR17,DX17,ED17))</x:f>
      </x:c>
      <x:c r="IR17" s="27" t="str">
        <x:f>IF(C17="","",SUM(BW17,CC17,CI17,CO17,CU17,DA17,DG17,DM17,DS17,DY17,EE17))</x:f>
      </x:c>
      <x:c r="IS17" s="27" t="str">
        <x:f>IF(C17="","",SUM(BX17,CD17,CJ17,CP17,CV17,DB17,DH17,DN17,DT17,DZ17,EF17))</x:f>
      </x:c>
      <x:c r="IT17" s="27" t="str">
        <x:f>IF(C17="","",SUM(BY17,CE17,CK17,CQ17,CW17,DC17,DI17,DO17,DU17,EA17,EG17))</x:f>
      </x:c>
      <x:c r="IU17" s="27" t="str">
        <x:f>IF(C17="","",SUM(BZ17,CF17,CL17,CR17,CX17,DD17,DJ17,DP17,DV17,EB17,EH17))</x:f>
      </x:c>
      <x:c r="IV17" s="27" t="str">
        <x:f>IF(C17="","",SUM(CA17,CG17,CM17,CS17,CY17,DE17,DK17,DQ17,DW17,EC17,EI17))</x:f>
      </x:c>
      <x:c r="IW17" s="27" t="str">
        <x:f>IF(C17="","",SUM(EJ17,EP17,EV17,FB17,FH17,FN17,FT17,FZ17,GF17,GL17,GR17,GX17,HD17,HJ17))</x:f>
      </x:c>
      <x:c r="IX17" s="27" t="str">
        <x:f>IF(C17="","",SUM(EK17,EQ17,EW17,FC17,FI17,FO17,FU17,GA17,GG17,GM17,GS17,GY17,HE17,HK17))</x:f>
      </x:c>
      <x:c r="IY17" s="27" t="str">
        <x:f>IF(C17="","",SUM(EL17,ER17,EX17,FD17,FJ17,FP17,FV17,GB17,GH17,GN17,GT17,GZ17,HF17,HL17))</x:f>
      </x:c>
      <x:c r="IZ17" s="27" t="str">
        <x:f>IF(C17="","",SUM(EM17,ES17,EY17,FE17,FK17,FQ17,FW17,GC17,GI17,GO17,GU17,HA17,HG17,HM17))</x:f>
      </x:c>
      <x:c r="JA17" s="27" t="str">
        <x:f>IF(C17="","",SUM(EN17,ET17,EZ17,FF17,FL17,FR17,FX17,GD17,GJ17,GP17,GV17,HB17,HH17,HN17))</x:f>
      </x:c>
      <x:c r="JB17" s="27" t="str">
        <x:f>IF(C17="","",SUM(EO17,EU17,FA17,FG17,FM17,FS17,FY17,GE17,GK17,GQ17,GW17,HC17,HI17,HO17))</x:f>
      </x:c>
      <x:c r="JC17" s="27" t="str">
        <x:f>IF(C17="","",0)</x:f>
      </x:c>
      <x:c r="JD17" s="27" t="str">
        <x:f>IF(C17="","",0)</x:f>
      </x:c>
      <x:c r="JE17" s="27" t="str">
        <x:f>IF(C17="","",0)</x:f>
      </x:c>
      <x:c r="JF17" s="27" t="str">
        <x:f>IF(C17="","",0)</x:f>
      </x:c>
      <x:c r="JG17" s="27" t="str">
        <x:f>IF(C17="","",0)</x:f>
      </x:c>
      <x:c r="JH17" s="27" t="str">
        <x:f>IF(C17="","",0)</x:f>
      </x:c>
      <x:c r="JI17" s="27" t="str">
        <x:f>IF(C17="","",HP17*1000000000+IW17*1000000+IQ17*10000+IK17*100+JC17+6/1000)</x:f>
      </x:c>
      <x:c r="JJ17" s="27" t="str">
        <x:f>IF(C17="","",HQ17*1000000000+IX17*1000000+IR17*10000+IL17*100+JD17+5/1000)</x:f>
      </x:c>
      <x:c r="JK17" s="27" t="str">
        <x:f>IF(C17="","",HR17*1000000000+IY17*1000000+IS17*10000+IM17*100+JE17+4/1000)</x:f>
      </x:c>
      <x:c r="JL17" s="27" t="str">
        <x:f>IF(C17="","",HS17*1000000000+IZ17*1000000+IT17*10000+IN17*100+JF17+3/1000)</x:f>
      </x:c>
      <x:c r="JM17" s="27" t="str">
        <x:f>IF(C17="","",HT17*1000000000+JA17*1000000+IU17*10000+IO17*100+JG17+2/1000)</x:f>
      </x:c>
      <x:c r="JN17" s="27" t="str">
        <x:f>IF(C17="","",HU17*1000000000+JB17*1000000+IV17*10000+IP17*100+JH17+1/1000)</x:f>
      </x:c>
    </x:row>
    <x:row r="18">
      <x:c r="A18" s="27"/>
      <x:c r="B18" s="28"/>
      <x:c r="C18" s="27"/>
      <x:c r="D18" s="27"/>
      <x:c r="E18" s="27"/>
      <x:c r="F18" s="27"/>
      <x:c r="G18" s="27"/>
      <x:c r="H18" s="27"/>
      <x:c r="I18" s="27"/>
      <x:c r="J18" s="27"/>
      <x:c r="K18" s="27"/>
      <x:c r="L18" s="27"/>
      <x:c r="M18" s="27"/>
      <x:c r="N18" s="27"/>
      <x:c r="O18" s="27"/>
      <x:c r="P18" s="27"/>
      <x:c r="Q18" s="27"/>
      <x:c r="R18" s="27"/>
      <x:c r="S18" s="27"/>
      <x:c r="T18" s="27"/>
      <x:c r="U18" s="27"/>
      <x:c r="V18" s="27"/>
      <x:c r="W18" s="27"/>
      <x:c r="X18" s="27"/>
      <x:c r="Y18" s="27"/>
      <x:c r="Z18" s="27"/>
      <x:c r="AA18" s="27"/>
      <x:c r="AB18" s="27"/>
      <x:c r="AC18" s="27"/>
      <x:c r="AD18" s="27"/>
      <x:c r="AE18" s="27"/>
      <x:c r="AF18" s="27"/>
      <x:c r="AG18" s="27"/>
      <x:c r="AH18" s="27"/>
      <x:c r="AI18" s="27"/>
      <x:c r="AJ18" s="27"/>
      <x:c r="AK18" s="27"/>
      <x:c r="AL18" s="27"/>
      <x:c r="AM18" s="27"/>
      <x:c r="AN18" s="27"/>
      <x:c r="AO18" s="27"/>
      <x:c r="AP18" s="27"/>
      <x:c r="AQ18" s="27"/>
      <x:c r="AR18" s="27"/>
      <x:c r="AS18" s="27"/>
      <x:c r="AT18" s="27"/>
      <x:c r="AU18" s="27"/>
      <x:c r="AV18" s="27"/>
      <x:c r="AW18" s="27"/>
      <x:c r="AX18" s="27"/>
      <x:c r="AY18" s="27"/>
      <x:c r="AZ18" s="27"/>
      <x:c r="BA18" s="27"/>
      <x:c r="BB18" s="27"/>
      <x:c r="BC18" s="27"/>
      <x:c r="BD18" s="27"/>
      <x:c r="BE18" s="27"/>
      <x:c r="BF18" s="27"/>
      <x:c r="BG18" s="27"/>
      <x:c r="BH18" s="27"/>
      <x:c r="BI18" s="27"/>
      <x:c r="BJ18" s="27"/>
      <x:c r="BK18" s="27"/>
      <x:c r="BL18" s="27"/>
      <x:c r="BM18" s="27"/>
      <x:c r="BN18" s="27"/>
      <x:c r="BO18" s="27"/>
      <x:c r="BP18" s="27"/>
      <x:c r="BQ18" s="27"/>
      <x:c r="BR18" s="27"/>
      <x:c r="BS18" s="27"/>
      <x:c r="BT18" s="27"/>
      <x:c r="BU18" s="27"/>
      <x:c r="BV18" s="27"/>
      <x:c r="BW18" s="27"/>
      <x:c r="BX18" s="27"/>
      <x:c r="BY18" s="27"/>
      <x:c r="BZ18" s="27"/>
      <x:c r="CA18" s="27"/>
      <x:c r="CB18" s="27"/>
      <x:c r="CC18" s="27"/>
      <x:c r="CD18" s="27"/>
      <x:c r="CE18" s="27"/>
      <x:c r="CF18" s="27"/>
      <x:c r="CG18" s="27"/>
      <x:c r="CH18" s="27"/>
      <x:c r="CI18" s="27"/>
      <x:c r="CJ18" s="27"/>
      <x:c r="CK18" s="27"/>
      <x:c r="CL18" s="27"/>
      <x:c r="CM18" s="27"/>
      <x:c r="CN18" s="27"/>
      <x:c r="CO18" s="27"/>
      <x:c r="CP18" s="27"/>
      <x:c r="CQ18" s="27"/>
      <x:c r="CR18" s="27"/>
      <x:c r="CS18" s="27"/>
      <x:c r="CT18" s="27"/>
      <x:c r="CU18" s="27"/>
      <x:c r="CV18" s="27"/>
      <x:c r="CW18" s="27"/>
      <x:c r="CX18" s="27"/>
      <x:c r="CY18" s="27"/>
      <x:c r="CZ18" s="27"/>
      <x:c r="DA18" s="27"/>
      <x:c r="DB18" s="27"/>
      <x:c r="DC18" s="27"/>
      <x:c r="DD18" s="27"/>
      <x:c r="DE18" s="27"/>
      <x:c r="DF18" s="27"/>
      <x:c r="DG18" s="27"/>
      <x:c r="DH18" s="27"/>
      <x:c r="DI18" s="27"/>
      <x:c r="DJ18" s="27"/>
      <x:c r="DK18" s="27"/>
      <x:c r="DL18" s="27"/>
      <x:c r="DM18" s="27"/>
      <x:c r="DN18" s="27"/>
      <x:c r="DO18" s="27"/>
      <x:c r="DP18" s="27"/>
      <x:c r="DQ18" s="27"/>
      <x:c r="DR18" s="27"/>
      <x:c r="DS18" s="27"/>
      <x:c r="DT18" s="27"/>
      <x:c r="DU18" s="27"/>
      <x:c r="DV18" s="27"/>
      <x:c r="DW18" s="27"/>
      <x:c r="DX18" s="27"/>
      <x:c r="DY18" s="27"/>
      <x:c r="DZ18" s="27"/>
      <x:c r="EA18" s="27"/>
      <x:c r="EB18" s="27"/>
      <x:c r="EC18" s="27"/>
      <x:c r="ED18" s="27"/>
      <x:c r="EE18" s="27"/>
      <x:c r="EF18" s="27"/>
      <x:c r="EG18" s="27"/>
      <x:c r="EH18" s="27"/>
      <x:c r="EI18" s="27"/>
      <x:c r="EJ18" s="27"/>
      <x:c r="EK18" s="27"/>
      <x:c r="EL18" s="27"/>
      <x:c r="EM18" s="27"/>
      <x:c r="EN18" s="27"/>
      <x:c r="EO18" s="27"/>
      <x:c r="EP18" s="27"/>
      <x:c r="EQ18" s="27"/>
      <x:c r="ER18" s="27"/>
      <x:c r="ES18" s="27"/>
      <x:c r="ET18" s="27"/>
      <x:c r="EU18" s="27"/>
      <x:c r="EV18" s="27"/>
      <x:c r="EW18" s="27"/>
      <x:c r="EX18" s="27"/>
      <x:c r="EY18" s="27"/>
      <x:c r="EZ18" s="27"/>
      <x:c r="FA18" s="27"/>
      <x:c r="FB18" s="27"/>
      <x:c r="FC18" s="27"/>
      <x:c r="FD18" s="27"/>
      <x:c r="FE18" s="27"/>
      <x:c r="FF18" s="27"/>
      <x:c r="FG18" s="27"/>
      <x:c r="FH18" s="27"/>
      <x:c r="FI18" s="27"/>
      <x:c r="FJ18" s="27"/>
      <x:c r="FK18" s="27"/>
      <x:c r="FL18" s="27"/>
      <x:c r="FM18" s="27"/>
      <x:c r="FN18" s="27"/>
      <x:c r="FO18" s="27"/>
      <x:c r="FP18" s="27"/>
      <x:c r="FQ18" s="27"/>
      <x:c r="FR18" s="27"/>
      <x:c r="FS18" s="27"/>
      <x:c r="FT18" s="27"/>
      <x:c r="FU18" s="27"/>
      <x:c r="FV18" s="27"/>
      <x:c r="FW18" s="27"/>
      <x:c r="FX18" s="27"/>
      <x:c r="FY18" s="27"/>
      <x:c r="FZ18" s="27"/>
      <x:c r="GA18" s="27"/>
      <x:c r="GB18" s="27"/>
      <x:c r="GC18" s="27"/>
      <x:c r="GD18" s="27"/>
      <x:c r="GE18" s="27"/>
      <x:c r="GF18" s="27"/>
      <x:c r="GG18" s="27"/>
      <x:c r="GH18" s="27"/>
      <x:c r="GI18" s="27"/>
      <x:c r="GJ18" s="27"/>
      <x:c r="GK18" s="27"/>
      <x:c r="GL18" s="27"/>
      <x:c r="GM18" s="27"/>
      <x:c r="GN18" s="27"/>
      <x:c r="GO18" s="27"/>
      <x:c r="GP18" s="27"/>
      <x:c r="GQ18" s="27"/>
      <x:c r="GR18" s="27"/>
      <x:c r="GS18" s="27"/>
      <x:c r="GT18" s="27"/>
      <x:c r="GU18" s="27"/>
      <x:c r="GV18" s="27"/>
      <x:c r="GW18" s="27"/>
      <x:c r="GX18" s="27"/>
      <x:c r="GY18" s="27"/>
      <x:c r="GZ18" s="27"/>
      <x:c r="HA18" s="27"/>
      <x:c r="HB18" s="27"/>
      <x:c r="HC18" s="27"/>
      <x:c r="HD18" s="27"/>
      <x:c r="HE18" s="27"/>
      <x:c r="HF18" s="27"/>
      <x:c r="HG18" s="27"/>
      <x:c r="HH18" s="27"/>
      <x:c r="HI18" s="27"/>
      <x:c r="HJ18" s="27"/>
      <x:c r="HK18" s="27"/>
      <x:c r="HL18" s="27"/>
      <x:c r="HM18" s="27"/>
      <x:c r="HN18" s="27"/>
      <x:c r="HO18" s="27"/>
      <x:c r="HP18" s="27" t="str">
        <x:f>IF(C18="","",SUM(H18,N18,T18,Z18,AF18,AL18,AR18,AX18,BD18,BJ18,BP18,BV18,CB18,CH18,CN18,CT18,CZ18,DF18,DL18,DR18,DX18,ED18,EJ18,EP18,EV18,FB18,FH18,FN18,FT18,FZ18,GF18,GL18,GR18,GX18,HD18,HJ18))</x:f>
      </x:c>
      <x:c r="HQ18" s="27" t="str">
        <x:f>IF(C18="","",SUM(I18,O18,U18,AA18,AG18,AM18,AS18,AY18,BE18,BK18,BQ18,BW18,CC18,CI18,CO18,CU18,DA18,DG18,DM18,DS18,DY18,EE18,EK18,EQ18,EW18,FC18,FI18,FO18,FU18,GA18,GG18,GM18,GS18,GY18,HE18,HK18))</x:f>
      </x:c>
      <x:c r="HR18" s="27" t="str">
        <x:f>IF(C18="","",SUM(J18,P18,V18,AB18,AH18,AN18,AT18,AZ18,BF18,BL18,BR18,BX18,CD18,CJ18,CP18,CV18,DB18,DH18,DN18,DT18,DZ18,EF18,EL18,ER18,EX18,FD18,FJ18,FP18,FV18,GB18,GH18,GN18,GT18,GZ18,HF18,HL18))</x:f>
      </x:c>
      <x:c r="HS18" s="27" t="str">
        <x:f>IF(C18="","",SUM(K18,Q18,W18,AC18,AI18,AO18,AU18,BA18,BG18,BM18,BS18,BY18,CE18,CK18,CQ18,CW18,DC18,DI18,DO18,DU18,EA18,EG18,EM18,ES18,EY18,FE18,FK18,FQ18,FW18,GC18,GI18,GO18,GU18,HA18,HG18,HM18))</x:f>
      </x:c>
      <x:c r="HT18" s="27" t="str">
        <x:f>IF(C18="","",SUM(L18,R18,X18,AD18,AJ18,AP18,AV18,BB18,BH18,BN18,BT18,BZ18,CF18,CL18,CR18,CX18,DD18,DJ18,DP18,DV18,EB18,EH18,EN18,ET18,EZ18,FF18,FL18,FR18,FX18,GD18,GJ18,GP18,GV18,HB18,HH18,HN18))</x:f>
      </x:c>
      <x:c r="HU18" s="27" t="str">
        <x:f>IF(C18="","",SUM(M18,S18,Y18,AE18,AK18,AQ18,AW18,BC18,BI18,BO18,BU18,CA18,CG18,CM18,CS18,CY18,DE18,DK18,DQ18,DW18,EC18,EI18,EO18,EU18,FA18,FG18,FM18,FS18,FY18,GE18,GK18,GQ18,GW18,HC18,HI18,HO18))</x:f>
      </x:c>
      <x:c r="HV18" s="27" t="str">
        <x:f>IF(C18="","",IF(JI18=LARGE(JI18:JN18,1),"R",IF(JJ18=LARGE(JI18:JN18,1),"I",IF(JK18=LARGE(JI18:JN18,1),"A",IF(JL18=LARGE(JI18:JN18,1),"S",IF(JM18=LARGE(JI18:JN18,1),"E",IF(JN18=LARGE(JI18:JN18,1),"C",""))))))&amp;IF(JI18=LARGE(JI18:JN18,2),"R",IF(JJ18=LARGE(JI18:JN18,2),"I",IF(JK18=LARGE(JI18:JN18,2),"A",IF(JL18=LARGE(JI18:JN18,2),"S",IF(JM18=LARGE(JI18:JN18,2),"E",IF(JN18=LARGE(JI18:JN18,2),"C",""))))))&amp;IF(JI18=LARGE(JI18:JN18,3),"R",IF(JJ18=LARGE(JI18:JN18,3),"I",IF(JK18=LARGE(JI18:JN18,3),"A",IF(JL18=LARGE(JI18:JN18,3),"S",IF(JM18=LARGE(JI18:JN18,3),"E",IF(JN18=LARGE(JI18:JN18,3),"C","")))))))</x:f>
      </x:c>
      <x:c r="HW18" s="27" t="str">
        <x:f>IF(C18="","",IF(JI18=LARGE(JI18:JN18,1),"นักปฏิบัติ",IF(JJ18=LARGE(JI18:JN18,1),"นักคิดวิเคราะห์",IF(JK18=LARGE(JI18:JN18,1),"นักสร้างสรรค์",IF(JL18=LARGE(JI18:JN18,1),"ผู้เข้าใจผู้คน",IF(JM18=LARGE(JI18:JN18,1),"ผู้นำการเปลี่ยนแปลง",IF(JN18=LARGE(JI18:JN18,1),"ผู้จัดระบบ","ผู้จัดระบบ")))))))</x:f>
      </x:c>
      <x:c r="HX18" s="27"/>
      <x:c r="HY18" s="27"/>
      <x:c r="HZ18" s="27"/>
      <x:c r="IA18" s="27"/>
      <x:c r="IB18" s="27"/>
      <x:c r="IC18" s="27"/>
      <x:c r="ID18" s="27"/>
      <x:c r="IE18" s="27"/>
      <x:c r="IF18" s="27"/>
      <x:c r="IG18" s="27"/>
      <x:c r="IH18" s="27"/>
      <x:c r="II18" s="27"/>
      <x:c r="IJ18" s="27"/>
      <x:c r="IK18" s="27" t="str">
        <x:f>IF(C18="","",SUM(H18,N18,T18,Z18,AF18,AL18,AR18,AX18,BD18,BJ18,BP18))</x:f>
      </x:c>
      <x:c r="IL18" s="27" t="str">
        <x:f>IF(C18="","",SUM(I18,O18,U18,AA18,AG18,AM18,AS18,AY18,BE18,BK18,BQ18))</x:f>
      </x:c>
      <x:c r="IM18" s="27" t="str">
        <x:f>IF(C18="","",SUM(J18,P18,V18,AB18,AH18,AN18,AT18,AZ18,BF18,BL18,BR18))</x:f>
      </x:c>
      <x:c r="IN18" s="27" t="str">
        <x:f>IF(C18="","",SUM(K18,Q18,W18,AC18,AI18,AO18,AU18,BA18,BG18,BM18,BS18))</x:f>
      </x:c>
      <x:c r="IO18" s="27" t="str">
        <x:f>IF(C18="","",SUM(L18,R18,X18,AD18,AJ18,AP18,AV18,BB18,BH18,BN18,BT18))</x:f>
      </x:c>
      <x:c r="IP18" s="27" t="str">
        <x:f>IF(C18="","",SUM(M18,S18,Y18,AE18,AK18,AQ18,AW18,BC18,BI18,BO18,BU18))</x:f>
      </x:c>
      <x:c r="IQ18" s="27" t="str">
        <x:f>IF(C18="","",SUM(BV18,CB18,CH18,CN18,CT18,CZ18,DF18,DL18,DR18,DX18,ED18))</x:f>
      </x:c>
      <x:c r="IR18" s="27" t="str">
        <x:f>IF(C18="","",SUM(BW18,CC18,CI18,CO18,CU18,DA18,DG18,DM18,DS18,DY18,EE18))</x:f>
      </x:c>
      <x:c r="IS18" s="27" t="str">
        <x:f>IF(C18="","",SUM(BX18,CD18,CJ18,CP18,CV18,DB18,DH18,DN18,DT18,DZ18,EF18))</x:f>
      </x:c>
      <x:c r="IT18" s="27" t="str">
        <x:f>IF(C18="","",SUM(BY18,CE18,CK18,CQ18,CW18,DC18,DI18,DO18,DU18,EA18,EG18))</x:f>
      </x:c>
      <x:c r="IU18" s="27" t="str">
        <x:f>IF(C18="","",SUM(BZ18,CF18,CL18,CR18,CX18,DD18,DJ18,DP18,DV18,EB18,EH18))</x:f>
      </x:c>
      <x:c r="IV18" s="27" t="str">
        <x:f>IF(C18="","",SUM(CA18,CG18,CM18,CS18,CY18,DE18,DK18,DQ18,DW18,EC18,EI18))</x:f>
      </x:c>
      <x:c r="IW18" s="27" t="str">
        <x:f>IF(C18="","",SUM(EJ18,EP18,EV18,FB18,FH18,FN18,FT18,FZ18,GF18,GL18,GR18,GX18,HD18,HJ18))</x:f>
      </x:c>
      <x:c r="IX18" s="27" t="str">
        <x:f>IF(C18="","",SUM(EK18,EQ18,EW18,FC18,FI18,FO18,FU18,GA18,GG18,GM18,GS18,GY18,HE18,HK18))</x:f>
      </x:c>
      <x:c r="IY18" s="27" t="str">
        <x:f>IF(C18="","",SUM(EL18,ER18,EX18,FD18,FJ18,FP18,FV18,GB18,GH18,GN18,GT18,GZ18,HF18,HL18))</x:f>
      </x:c>
      <x:c r="IZ18" s="27" t="str">
        <x:f>IF(C18="","",SUM(EM18,ES18,EY18,FE18,FK18,FQ18,FW18,GC18,GI18,GO18,GU18,HA18,HG18,HM18))</x:f>
      </x:c>
      <x:c r="JA18" s="27" t="str">
        <x:f>IF(C18="","",SUM(EN18,ET18,EZ18,FF18,FL18,FR18,FX18,GD18,GJ18,GP18,GV18,HB18,HH18,HN18))</x:f>
      </x:c>
      <x:c r="JB18" s="27" t="str">
        <x:f>IF(C18="","",SUM(EO18,EU18,FA18,FG18,FM18,FS18,FY18,GE18,GK18,GQ18,GW18,HC18,HI18,HO18))</x:f>
      </x:c>
      <x:c r="JC18" s="27" t="str">
        <x:f>IF(C18="","",0)</x:f>
      </x:c>
      <x:c r="JD18" s="27" t="str">
        <x:f>IF(C18="","",0)</x:f>
      </x:c>
      <x:c r="JE18" s="27" t="str">
        <x:f>IF(C18="","",0)</x:f>
      </x:c>
      <x:c r="JF18" s="27" t="str">
        <x:f>IF(C18="","",0)</x:f>
      </x:c>
      <x:c r="JG18" s="27" t="str">
        <x:f>IF(C18="","",0)</x:f>
      </x:c>
      <x:c r="JH18" s="27" t="str">
        <x:f>IF(C18="","",0)</x:f>
      </x:c>
      <x:c r="JI18" s="27" t="str">
        <x:f>IF(C18="","",HP18*1000000000+IW18*1000000+IQ18*10000+IK18*100+JC18+6/1000)</x:f>
      </x:c>
      <x:c r="JJ18" s="27" t="str">
        <x:f>IF(C18="","",HQ18*1000000000+IX18*1000000+IR18*10000+IL18*100+JD18+5/1000)</x:f>
      </x:c>
      <x:c r="JK18" s="27" t="str">
        <x:f>IF(C18="","",HR18*1000000000+IY18*1000000+IS18*10000+IM18*100+JE18+4/1000)</x:f>
      </x:c>
      <x:c r="JL18" s="27" t="str">
        <x:f>IF(C18="","",HS18*1000000000+IZ18*1000000+IT18*10000+IN18*100+JF18+3/1000)</x:f>
      </x:c>
      <x:c r="JM18" s="27" t="str">
        <x:f>IF(C18="","",HT18*1000000000+JA18*1000000+IU18*10000+IO18*100+JG18+2/1000)</x:f>
      </x:c>
      <x:c r="JN18" s="27" t="str">
        <x:f>IF(C18="","",HU18*1000000000+JB18*1000000+IV18*10000+IP18*100+JH18+1/1000)</x:f>
      </x:c>
    </x:row>
    <x:row r="19">
      <x:c r="A19" s="27"/>
      <x:c r="B19" s="28"/>
      <x:c r="C19" s="27"/>
      <x:c r="D19" s="27"/>
      <x:c r="E19" s="27"/>
      <x:c r="F19" s="27"/>
      <x:c r="G19" s="27"/>
      <x:c r="H19" s="27"/>
      <x:c r="I19" s="27"/>
      <x:c r="J19" s="27"/>
      <x:c r="K19" s="27"/>
      <x:c r="L19" s="27"/>
      <x:c r="M19" s="27"/>
      <x:c r="N19" s="27"/>
      <x:c r="O19" s="27"/>
      <x:c r="P19" s="27"/>
      <x:c r="Q19" s="27"/>
      <x:c r="R19" s="27"/>
      <x:c r="S19" s="27"/>
      <x:c r="T19" s="27"/>
      <x:c r="U19" s="27"/>
      <x:c r="V19" s="27"/>
      <x:c r="W19" s="27"/>
      <x:c r="X19" s="27"/>
      <x:c r="Y19" s="27"/>
      <x:c r="Z19" s="27"/>
      <x:c r="AA19" s="27"/>
      <x:c r="AB19" s="27"/>
      <x:c r="AC19" s="27"/>
      <x:c r="AD19" s="27"/>
      <x:c r="AE19" s="27"/>
      <x:c r="AF19" s="27"/>
      <x:c r="AG19" s="27"/>
      <x:c r="AH19" s="27"/>
      <x:c r="AI19" s="27"/>
      <x:c r="AJ19" s="27"/>
      <x:c r="AK19" s="27"/>
      <x:c r="AL19" s="27"/>
      <x:c r="AM19" s="27"/>
      <x:c r="AN19" s="27"/>
      <x:c r="AO19" s="27"/>
      <x:c r="AP19" s="27"/>
      <x:c r="AQ19" s="27"/>
      <x:c r="AR19" s="27"/>
      <x:c r="AS19" s="27"/>
      <x:c r="AT19" s="27"/>
      <x:c r="AU19" s="27"/>
      <x:c r="AV19" s="27"/>
      <x:c r="AW19" s="27"/>
      <x:c r="AX19" s="27"/>
      <x:c r="AY19" s="27"/>
      <x:c r="AZ19" s="27"/>
      <x:c r="BA19" s="27"/>
      <x:c r="BB19" s="27"/>
      <x:c r="BC19" s="27"/>
      <x:c r="BD19" s="27"/>
      <x:c r="BE19" s="27"/>
      <x:c r="BF19" s="27"/>
      <x:c r="BG19" s="27"/>
      <x:c r="BH19" s="27"/>
      <x:c r="BI19" s="27"/>
      <x:c r="BJ19" s="27"/>
      <x:c r="BK19" s="27"/>
      <x:c r="BL19" s="27"/>
      <x:c r="BM19" s="27"/>
      <x:c r="BN19" s="27"/>
      <x:c r="BO19" s="27"/>
      <x:c r="BP19" s="27"/>
      <x:c r="BQ19" s="27"/>
      <x:c r="BR19" s="27"/>
      <x:c r="BS19" s="27"/>
      <x:c r="BT19" s="27"/>
      <x:c r="BU19" s="27"/>
      <x:c r="BV19" s="27"/>
      <x:c r="BW19" s="27"/>
      <x:c r="BX19" s="27"/>
      <x:c r="BY19" s="27"/>
      <x:c r="BZ19" s="27"/>
      <x:c r="CA19" s="27"/>
      <x:c r="CB19" s="27"/>
      <x:c r="CC19" s="27"/>
      <x:c r="CD19" s="27"/>
      <x:c r="CE19" s="27"/>
      <x:c r="CF19" s="27"/>
      <x:c r="CG19" s="27"/>
      <x:c r="CH19" s="27"/>
      <x:c r="CI19" s="27"/>
      <x:c r="CJ19" s="27"/>
      <x:c r="CK19" s="27"/>
      <x:c r="CL19" s="27"/>
      <x:c r="CM19" s="27"/>
      <x:c r="CN19" s="27"/>
      <x:c r="CO19" s="27"/>
      <x:c r="CP19" s="27"/>
      <x:c r="CQ19" s="27"/>
      <x:c r="CR19" s="27"/>
      <x:c r="CS19" s="27"/>
      <x:c r="CT19" s="27"/>
      <x:c r="CU19" s="27"/>
      <x:c r="CV19" s="27"/>
      <x:c r="CW19" s="27"/>
      <x:c r="CX19" s="27"/>
      <x:c r="CY19" s="27"/>
      <x:c r="CZ19" s="27"/>
      <x:c r="DA19" s="27"/>
      <x:c r="DB19" s="27"/>
      <x:c r="DC19" s="27"/>
      <x:c r="DD19" s="27"/>
      <x:c r="DE19" s="27"/>
      <x:c r="DF19" s="27"/>
      <x:c r="DG19" s="27"/>
      <x:c r="DH19" s="27"/>
      <x:c r="DI19" s="27"/>
      <x:c r="DJ19" s="27"/>
      <x:c r="DK19" s="27"/>
      <x:c r="DL19" s="27"/>
      <x:c r="DM19" s="27"/>
      <x:c r="DN19" s="27"/>
      <x:c r="DO19" s="27"/>
      <x:c r="DP19" s="27"/>
      <x:c r="DQ19" s="27"/>
      <x:c r="DR19" s="27"/>
      <x:c r="DS19" s="27"/>
      <x:c r="DT19" s="27"/>
      <x:c r="DU19" s="27"/>
      <x:c r="DV19" s="27"/>
      <x:c r="DW19" s="27"/>
      <x:c r="DX19" s="27"/>
      <x:c r="DY19" s="27"/>
      <x:c r="DZ19" s="27"/>
      <x:c r="EA19" s="27"/>
      <x:c r="EB19" s="27"/>
      <x:c r="EC19" s="27"/>
      <x:c r="ED19" s="27"/>
      <x:c r="EE19" s="27"/>
      <x:c r="EF19" s="27"/>
      <x:c r="EG19" s="27"/>
      <x:c r="EH19" s="27"/>
      <x:c r="EI19" s="27"/>
      <x:c r="EJ19" s="27"/>
      <x:c r="EK19" s="27"/>
      <x:c r="EL19" s="27"/>
      <x:c r="EM19" s="27"/>
      <x:c r="EN19" s="27"/>
      <x:c r="EO19" s="27"/>
      <x:c r="EP19" s="27"/>
      <x:c r="EQ19" s="27"/>
      <x:c r="ER19" s="27"/>
      <x:c r="ES19" s="27"/>
      <x:c r="ET19" s="27"/>
      <x:c r="EU19" s="27"/>
      <x:c r="EV19" s="27"/>
      <x:c r="EW19" s="27"/>
      <x:c r="EX19" s="27"/>
      <x:c r="EY19" s="27"/>
      <x:c r="EZ19" s="27"/>
      <x:c r="FA19" s="27"/>
      <x:c r="FB19" s="27"/>
      <x:c r="FC19" s="27"/>
      <x:c r="FD19" s="27"/>
      <x:c r="FE19" s="27"/>
      <x:c r="FF19" s="27"/>
      <x:c r="FG19" s="27"/>
      <x:c r="FH19" s="27"/>
      <x:c r="FI19" s="27"/>
      <x:c r="FJ19" s="27"/>
      <x:c r="FK19" s="27"/>
      <x:c r="FL19" s="27"/>
      <x:c r="FM19" s="27"/>
      <x:c r="FN19" s="27"/>
      <x:c r="FO19" s="27"/>
      <x:c r="FP19" s="27"/>
      <x:c r="FQ19" s="27"/>
      <x:c r="FR19" s="27"/>
      <x:c r="FS19" s="27"/>
      <x:c r="FT19" s="27"/>
      <x:c r="FU19" s="27"/>
      <x:c r="FV19" s="27"/>
      <x:c r="FW19" s="27"/>
      <x:c r="FX19" s="27"/>
      <x:c r="FY19" s="27"/>
      <x:c r="FZ19" s="27"/>
      <x:c r="GA19" s="27"/>
      <x:c r="GB19" s="27"/>
      <x:c r="GC19" s="27"/>
      <x:c r="GD19" s="27"/>
      <x:c r="GE19" s="27"/>
      <x:c r="GF19" s="27"/>
      <x:c r="GG19" s="27"/>
      <x:c r="GH19" s="27"/>
      <x:c r="GI19" s="27"/>
      <x:c r="GJ19" s="27"/>
      <x:c r="GK19" s="27"/>
      <x:c r="GL19" s="27"/>
      <x:c r="GM19" s="27"/>
      <x:c r="GN19" s="27"/>
      <x:c r="GO19" s="27"/>
      <x:c r="GP19" s="27"/>
      <x:c r="GQ19" s="27"/>
      <x:c r="GR19" s="27"/>
      <x:c r="GS19" s="27"/>
      <x:c r="GT19" s="27"/>
      <x:c r="GU19" s="27"/>
      <x:c r="GV19" s="27"/>
      <x:c r="GW19" s="27"/>
      <x:c r="GX19" s="27"/>
      <x:c r="GY19" s="27"/>
      <x:c r="GZ19" s="27"/>
      <x:c r="HA19" s="27"/>
      <x:c r="HB19" s="27"/>
      <x:c r="HC19" s="27"/>
      <x:c r="HD19" s="27"/>
      <x:c r="HE19" s="27"/>
      <x:c r="HF19" s="27"/>
      <x:c r="HG19" s="27"/>
      <x:c r="HH19" s="27"/>
      <x:c r="HI19" s="27"/>
      <x:c r="HJ19" s="27"/>
      <x:c r="HK19" s="27"/>
      <x:c r="HL19" s="27"/>
      <x:c r="HM19" s="27"/>
      <x:c r="HN19" s="27"/>
      <x:c r="HO19" s="27"/>
      <x:c r="HP19" s="27" t="str">
        <x:f>IF(C19="","",SUM(H19,N19,T19,Z19,AF19,AL19,AR19,AX19,BD19,BJ19,BP19,BV19,CB19,CH19,CN19,CT19,CZ19,DF19,DL19,DR19,DX19,ED19,EJ19,EP19,EV19,FB19,FH19,FN19,FT19,FZ19,GF19,GL19,GR19,GX19,HD19,HJ19))</x:f>
      </x:c>
      <x:c r="HQ19" s="27" t="str">
        <x:f>IF(C19="","",SUM(I19,O19,U19,AA19,AG19,AM19,AS19,AY19,BE19,BK19,BQ19,BW19,CC19,CI19,CO19,CU19,DA19,DG19,DM19,DS19,DY19,EE19,EK19,EQ19,EW19,FC19,FI19,FO19,FU19,GA19,GG19,GM19,GS19,GY19,HE19,HK19))</x:f>
      </x:c>
      <x:c r="HR19" s="27" t="str">
        <x:f>IF(C19="","",SUM(J19,P19,V19,AB19,AH19,AN19,AT19,AZ19,BF19,BL19,BR19,BX19,CD19,CJ19,CP19,CV19,DB19,DH19,DN19,DT19,DZ19,EF19,EL19,ER19,EX19,FD19,FJ19,FP19,FV19,GB19,GH19,GN19,GT19,GZ19,HF19,HL19))</x:f>
      </x:c>
      <x:c r="HS19" s="27" t="str">
        <x:f>IF(C19="","",SUM(K19,Q19,W19,AC19,AI19,AO19,AU19,BA19,BG19,BM19,BS19,BY19,CE19,CK19,CQ19,CW19,DC19,DI19,DO19,DU19,EA19,EG19,EM19,ES19,EY19,FE19,FK19,FQ19,FW19,GC19,GI19,GO19,GU19,HA19,HG19,HM19))</x:f>
      </x:c>
      <x:c r="HT19" s="27" t="str">
        <x:f>IF(C19="","",SUM(L19,R19,X19,AD19,AJ19,AP19,AV19,BB19,BH19,BN19,BT19,BZ19,CF19,CL19,CR19,CX19,DD19,DJ19,DP19,DV19,EB19,EH19,EN19,ET19,EZ19,FF19,FL19,FR19,FX19,GD19,GJ19,GP19,GV19,HB19,HH19,HN19))</x:f>
      </x:c>
      <x:c r="HU19" s="27" t="str">
        <x:f>IF(C19="","",SUM(M19,S19,Y19,AE19,AK19,AQ19,AW19,BC19,BI19,BO19,BU19,CA19,CG19,CM19,CS19,CY19,DE19,DK19,DQ19,DW19,EC19,EI19,EO19,EU19,FA19,FG19,FM19,FS19,FY19,GE19,GK19,GQ19,GW19,HC19,HI19,HO19))</x:f>
      </x:c>
      <x:c r="HV19" s="27" t="str">
        <x:f>IF(C19="","",IF(JI19=LARGE(JI19:JN19,1),"R",IF(JJ19=LARGE(JI19:JN19,1),"I",IF(JK19=LARGE(JI19:JN19,1),"A",IF(JL19=LARGE(JI19:JN19,1),"S",IF(JM19=LARGE(JI19:JN19,1),"E",IF(JN19=LARGE(JI19:JN19,1),"C",""))))))&amp;IF(JI19=LARGE(JI19:JN19,2),"R",IF(JJ19=LARGE(JI19:JN19,2),"I",IF(JK19=LARGE(JI19:JN19,2),"A",IF(JL19=LARGE(JI19:JN19,2),"S",IF(JM19=LARGE(JI19:JN19,2),"E",IF(JN19=LARGE(JI19:JN19,2),"C",""))))))&amp;IF(JI19=LARGE(JI19:JN19,3),"R",IF(JJ19=LARGE(JI19:JN19,3),"I",IF(JK19=LARGE(JI19:JN19,3),"A",IF(JL19=LARGE(JI19:JN19,3),"S",IF(JM19=LARGE(JI19:JN19,3),"E",IF(JN19=LARGE(JI19:JN19,3),"C","")))))))</x:f>
      </x:c>
      <x:c r="HW19" s="27" t="str">
        <x:f>IF(C19="","",IF(JI19=LARGE(JI19:JN19,1),"นักปฏิบัติ",IF(JJ19=LARGE(JI19:JN19,1),"นักคิดวิเคราะห์",IF(JK19=LARGE(JI19:JN19,1),"นักสร้างสรรค์",IF(JL19=LARGE(JI19:JN19,1),"ผู้เข้าใจผู้คน",IF(JM19=LARGE(JI19:JN19,1),"ผู้นำการเปลี่ยนแปลง",IF(JN19=LARGE(JI19:JN19,1),"ผู้จัดระบบ","ผู้จัดระบบ")))))))</x:f>
      </x:c>
      <x:c r="HX19" s="27"/>
      <x:c r="HY19" s="27"/>
      <x:c r="HZ19" s="27"/>
      <x:c r="IA19" s="27"/>
      <x:c r="IB19" s="27"/>
      <x:c r="IC19" s="27"/>
      <x:c r="ID19" s="27"/>
      <x:c r="IE19" s="27"/>
      <x:c r="IF19" s="27"/>
      <x:c r="IG19" s="27"/>
      <x:c r="IH19" s="27"/>
      <x:c r="II19" s="27"/>
      <x:c r="IJ19" s="27"/>
      <x:c r="IK19" s="27" t="str">
        <x:f>IF(C19="","",SUM(H19,N19,T19,Z19,AF19,AL19,AR19,AX19,BD19,BJ19,BP19))</x:f>
      </x:c>
      <x:c r="IL19" s="27" t="str">
        <x:f>IF(C19="","",SUM(I19,O19,U19,AA19,AG19,AM19,AS19,AY19,BE19,BK19,BQ19))</x:f>
      </x:c>
      <x:c r="IM19" s="27" t="str">
        <x:f>IF(C19="","",SUM(J19,P19,V19,AB19,AH19,AN19,AT19,AZ19,BF19,BL19,BR19))</x:f>
      </x:c>
      <x:c r="IN19" s="27" t="str">
        <x:f>IF(C19="","",SUM(K19,Q19,W19,AC19,AI19,AO19,AU19,BA19,BG19,BM19,BS19))</x:f>
      </x:c>
      <x:c r="IO19" s="27" t="str">
        <x:f>IF(C19="","",SUM(L19,R19,X19,AD19,AJ19,AP19,AV19,BB19,BH19,BN19,BT19))</x:f>
      </x:c>
      <x:c r="IP19" s="27" t="str">
        <x:f>IF(C19="","",SUM(M19,S19,Y19,AE19,AK19,AQ19,AW19,BC19,BI19,BO19,BU19))</x:f>
      </x:c>
      <x:c r="IQ19" s="27" t="str">
        <x:f>IF(C19="","",SUM(BV19,CB19,CH19,CN19,CT19,CZ19,DF19,DL19,DR19,DX19,ED19))</x:f>
      </x:c>
      <x:c r="IR19" s="27" t="str">
        <x:f>IF(C19="","",SUM(BW19,CC19,CI19,CO19,CU19,DA19,DG19,DM19,DS19,DY19,EE19))</x:f>
      </x:c>
      <x:c r="IS19" s="27" t="str">
        <x:f>IF(C19="","",SUM(BX19,CD19,CJ19,CP19,CV19,DB19,DH19,DN19,DT19,DZ19,EF19))</x:f>
      </x:c>
      <x:c r="IT19" s="27" t="str">
        <x:f>IF(C19="","",SUM(BY19,CE19,CK19,CQ19,CW19,DC19,DI19,DO19,DU19,EA19,EG19))</x:f>
      </x:c>
      <x:c r="IU19" s="27" t="str">
        <x:f>IF(C19="","",SUM(BZ19,CF19,CL19,CR19,CX19,DD19,DJ19,DP19,DV19,EB19,EH19))</x:f>
      </x:c>
      <x:c r="IV19" s="27" t="str">
        <x:f>IF(C19="","",SUM(CA19,CG19,CM19,CS19,CY19,DE19,DK19,DQ19,DW19,EC19,EI19))</x:f>
      </x:c>
      <x:c r="IW19" s="27" t="str">
        <x:f>IF(C19="","",SUM(EJ19,EP19,EV19,FB19,FH19,FN19,FT19,FZ19,GF19,GL19,GR19,GX19,HD19,HJ19))</x:f>
      </x:c>
      <x:c r="IX19" s="27" t="str">
        <x:f>IF(C19="","",SUM(EK19,EQ19,EW19,FC19,FI19,FO19,FU19,GA19,GG19,GM19,GS19,GY19,HE19,HK19))</x:f>
      </x:c>
      <x:c r="IY19" s="27" t="str">
        <x:f>IF(C19="","",SUM(EL19,ER19,EX19,FD19,FJ19,FP19,FV19,GB19,GH19,GN19,GT19,GZ19,HF19,HL19))</x:f>
      </x:c>
      <x:c r="IZ19" s="27" t="str">
        <x:f>IF(C19="","",SUM(EM19,ES19,EY19,FE19,FK19,FQ19,FW19,GC19,GI19,GO19,GU19,HA19,HG19,HM19))</x:f>
      </x:c>
      <x:c r="JA19" s="27" t="str">
        <x:f>IF(C19="","",SUM(EN19,ET19,EZ19,FF19,FL19,FR19,FX19,GD19,GJ19,GP19,GV19,HB19,HH19,HN19))</x:f>
      </x:c>
      <x:c r="JB19" s="27" t="str">
        <x:f>IF(C19="","",SUM(EO19,EU19,FA19,FG19,FM19,FS19,FY19,GE19,GK19,GQ19,GW19,HC19,HI19,HO19))</x:f>
      </x:c>
      <x:c r="JC19" s="27" t="str">
        <x:f>IF(C19="","",0)</x:f>
      </x:c>
      <x:c r="JD19" s="27" t="str">
        <x:f>IF(C19="","",0)</x:f>
      </x:c>
      <x:c r="JE19" s="27" t="str">
        <x:f>IF(C19="","",0)</x:f>
      </x:c>
      <x:c r="JF19" s="27" t="str">
        <x:f>IF(C19="","",0)</x:f>
      </x:c>
      <x:c r="JG19" s="27" t="str">
        <x:f>IF(C19="","",0)</x:f>
      </x:c>
      <x:c r="JH19" s="27" t="str">
        <x:f>IF(C19="","",0)</x:f>
      </x:c>
      <x:c r="JI19" s="27" t="str">
        <x:f>IF(C19="","",HP19*1000000000+IW19*1000000+IQ19*10000+IK19*100+JC19+6/1000)</x:f>
      </x:c>
      <x:c r="JJ19" s="27" t="str">
        <x:f>IF(C19="","",HQ19*1000000000+IX19*1000000+IR19*10000+IL19*100+JD19+5/1000)</x:f>
      </x:c>
      <x:c r="JK19" s="27" t="str">
        <x:f>IF(C19="","",HR19*1000000000+IY19*1000000+IS19*10000+IM19*100+JE19+4/1000)</x:f>
      </x:c>
      <x:c r="JL19" s="27" t="str">
        <x:f>IF(C19="","",HS19*1000000000+IZ19*1000000+IT19*10000+IN19*100+JF19+3/1000)</x:f>
      </x:c>
      <x:c r="JM19" s="27" t="str">
        <x:f>IF(C19="","",HT19*1000000000+JA19*1000000+IU19*10000+IO19*100+JG19+2/1000)</x:f>
      </x:c>
      <x:c r="JN19" s="27" t="str">
        <x:f>IF(C19="","",HU19*1000000000+JB19*1000000+IV19*10000+IP19*100+JH19+1/1000)</x:f>
      </x:c>
    </x:row>
    <x:row r="20">
      <x:c r="A20" s="27"/>
      <x:c r="B20" s="28"/>
      <x:c r="C20" s="27"/>
      <x:c r="D20" s="27"/>
      <x:c r="E20" s="27"/>
      <x:c r="F20" s="27"/>
      <x:c r="G20" s="27"/>
      <x:c r="H20" s="27"/>
      <x:c r="I20" s="27"/>
      <x:c r="J20" s="27"/>
      <x:c r="K20" s="27"/>
      <x:c r="L20" s="27"/>
      <x:c r="M20" s="27"/>
      <x:c r="N20" s="27"/>
      <x:c r="O20" s="27"/>
      <x:c r="P20" s="27"/>
      <x:c r="Q20" s="27"/>
      <x:c r="R20" s="27"/>
      <x:c r="S20" s="27"/>
      <x:c r="T20" s="27"/>
      <x:c r="U20" s="27"/>
      <x:c r="V20" s="27"/>
      <x:c r="W20" s="27"/>
      <x:c r="X20" s="27"/>
      <x:c r="Y20" s="27"/>
      <x:c r="Z20" s="27"/>
      <x:c r="AA20" s="27"/>
      <x:c r="AB20" s="27"/>
      <x:c r="AC20" s="27"/>
      <x:c r="AD20" s="27"/>
      <x:c r="AE20" s="27"/>
      <x:c r="AF20" s="27"/>
      <x:c r="AG20" s="27"/>
      <x:c r="AH20" s="27"/>
      <x:c r="AI20" s="27"/>
      <x:c r="AJ20" s="27"/>
      <x:c r="AK20" s="27"/>
      <x:c r="AL20" s="27"/>
      <x:c r="AM20" s="27"/>
      <x:c r="AN20" s="27"/>
      <x:c r="AO20" s="27"/>
      <x:c r="AP20" s="27"/>
      <x:c r="AQ20" s="27"/>
      <x:c r="AR20" s="27"/>
      <x:c r="AS20" s="27"/>
      <x:c r="AT20" s="27"/>
      <x:c r="AU20" s="27"/>
      <x:c r="AV20" s="27"/>
      <x:c r="AW20" s="27"/>
      <x:c r="AX20" s="27"/>
      <x:c r="AY20" s="27"/>
      <x:c r="AZ20" s="27"/>
      <x:c r="BA20" s="27"/>
      <x:c r="BB20" s="27"/>
      <x:c r="BC20" s="27"/>
      <x:c r="BD20" s="27"/>
      <x:c r="BE20" s="27"/>
      <x:c r="BF20" s="27"/>
      <x:c r="BG20" s="27"/>
      <x:c r="BH20" s="27"/>
      <x:c r="BI20" s="27"/>
      <x:c r="BJ20" s="27"/>
      <x:c r="BK20" s="27"/>
      <x:c r="BL20" s="27"/>
      <x:c r="BM20" s="27"/>
      <x:c r="BN20" s="27"/>
      <x:c r="BO20" s="27"/>
      <x:c r="BP20" s="27"/>
      <x:c r="BQ20" s="27"/>
      <x:c r="BR20" s="27"/>
      <x:c r="BS20" s="27"/>
      <x:c r="BT20" s="27"/>
      <x:c r="BU20" s="27"/>
      <x:c r="BV20" s="27"/>
      <x:c r="BW20" s="27"/>
      <x:c r="BX20" s="27"/>
      <x:c r="BY20" s="27"/>
      <x:c r="BZ20" s="27"/>
      <x:c r="CA20" s="27"/>
      <x:c r="CB20" s="27"/>
      <x:c r="CC20" s="27"/>
      <x:c r="CD20" s="27"/>
      <x:c r="CE20" s="27"/>
      <x:c r="CF20" s="27"/>
      <x:c r="CG20" s="27"/>
      <x:c r="CH20" s="27"/>
      <x:c r="CI20" s="27"/>
      <x:c r="CJ20" s="27"/>
      <x:c r="CK20" s="27"/>
      <x:c r="CL20" s="27"/>
      <x:c r="CM20" s="27"/>
      <x:c r="CN20" s="27"/>
      <x:c r="CO20" s="27"/>
      <x:c r="CP20" s="27"/>
      <x:c r="CQ20" s="27"/>
      <x:c r="CR20" s="27"/>
      <x:c r="CS20" s="27"/>
      <x:c r="CT20" s="27"/>
      <x:c r="CU20" s="27"/>
      <x:c r="CV20" s="27"/>
      <x:c r="CW20" s="27"/>
      <x:c r="CX20" s="27"/>
      <x:c r="CY20" s="27"/>
      <x:c r="CZ20" s="27"/>
      <x:c r="DA20" s="27"/>
      <x:c r="DB20" s="27"/>
      <x:c r="DC20" s="27"/>
      <x:c r="DD20" s="27"/>
      <x:c r="DE20" s="27"/>
      <x:c r="DF20" s="27"/>
      <x:c r="DG20" s="27"/>
      <x:c r="DH20" s="27"/>
      <x:c r="DI20" s="27"/>
      <x:c r="DJ20" s="27"/>
      <x:c r="DK20" s="27"/>
      <x:c r="DL20" s="27"/>
      <x:c r="DM20" s="27"/>
      <x:c r="DN20" s="27"/>
      <x:c r="DO20" s="27"/>
      <x:c r="DP20" s="27"/>
      <x:c r="DQ20" s="27"/>
      <x:c r="DR20" s="27"/>
      <x:c r="DS20" s="27"/>
      <x:c r="DT20" s="27"/>
      <x:c r="DU20" s="27"/>
      <x:c r="DV20" s="27"/>
      <x:c r="DW20" s="27"/>
      <x:c r="DX20" s="27"/>
      <x:c r="DY20" s="27"/>
      <x:c r="DZ20" s="27"/>
      <x:c r="EA20" s="27"/>
      <x:c r="EB20" s="27"/>
      <x:c r="EC20" s="27"/>
      <x:c r="ED20" s="27"/>
      <x:c r="EE20" s="27"/>
      <x:c r="EF20" s="27"/>
      <x:c r="EG20" s="27"/>
      <x:c r="EH20" s="27"/>
      <x:c r="EI20" s="27"/>
      <x:c r="EJ20" s="27"/>
      <x:c r="EK20" s="27"/>
      <x:c r="EL20" s="27"/>
      <x:c r="EM20" s="27"/>
      <x:c r="EN20" s="27"/>
      <x:c r="EO20" s="27"/>
      <x:c r="EP20" s="27"/>
      <x:c r="EQ20" s="27"/>
      <x:c r="ER20" s="27"/>
      <x:c r="ES20" s="27"/>
      <x:c r="ET20" s="27"/>
      <x:c r="EU20" s="27"/>
      <x:c r="EV20" s="27"/>
      <x:c r="EW20" s="27"/>
      <x:c r="EX20" s="27"/>
      <x:c r="EY20" s="27"/>
      <x:c r="EZ20" s="27"/>
      <x:c r="FA20" s="27"/>
      <x:c r="FB20" s="27"/>
      <x:c r="FC20" s="27"/>
      <x:c r="FD20" s="27"/>
      <x:c r="FE20" s="27"/>
      <x:c r="FF20" s="27"/>
      <x:c r="FG20" s="27"/>
      <x:c r="FH20" s="27"/>
      <x:c r="FI20" s="27"/>
      <x:c r="FJ20" s="27"/>
      <x:c r="FK20" s="27"/>
      <x:c r="FL20" s="27"/>
      <x:c r="FM20" s="27"/>
      <x:c r="FN20" s="27"/>
      <x:c r="FO20" s="27"/>
      <x:c r="FP20" s="27"/>
      <x:c r="FQ20" s="27"/>
      <x:c r="FR20" s="27"/>
      <x:c r="FS20" s="27"/>
      <x:c r="FT20" s="27"/>
      <x:c r="FU20" s="27"/>
      <x:c r="FV20" s="27"/>
      <x:c r="FW20" s="27"/>
      <x:c r="FX20" s="27"/>
      <x:c r="FY20" s="27"/>
      <x:c r="FZ20" s="27"/>
      <x:c r="GA20" s="27"/>
      <x:c r="GB20" s="27"/>
      <x:c r="GC20" s="27"/>
      <x:c r="GD20" s="27"/>
      <x:c r="GE20" s="27"/>
      <x:c r="GF20" s="27"/>
      <x:c r="GG20" s="27"/>
      <x:c r="GH20" s="27"/>
      <x:c r="GI20" s="27"/>
      <x:c r="GJ20" s="27"/>
      <x:c r="GK20" s="27"/>
      <x:c r="GL20" s="27"/>
      <x:c r="GM20" s="27"/>
      <x:c r="GN20" s="27"/>
      <x:c r="GO20" s="27"/>
      <x:c r="GP20" s="27"/>
      <x:c r="GQ20" s="27"/>
      <x:c r="GR20" s="27"/>
      <x:c r="GS20" s="27"/>
      <x:c r="GT20" s="27"/>
      <x:c r="GU20" s="27"/>
      <x:c r="GV20" s="27"/>
      <x:c r="GW20" s="27"/>
      <x:c r="GX20" s="27"/>
      <x:c r="GY20" s="27"/>
      <x:c r="GZ20" s="27"/>
      <x:c r="HA20" s="27"/>
      <x:c r="HB20" s="27"/>
      <x:c r="HC20" s="27"/>
      <x:c r="HD20" s="27"/>
      <x:c r="HE20" s="27"/>
      <x:c r="HF20" s="27"/>
      <x:c r="HG20" s="27"/>
      <x:c r="HH20" s="27"/>
      <x:c r="HI20" s="27"/>
      <x:c r="HJ20" s="27"/>
      <x:c r="HK20" s="27"/>
      <x:c r="HL20" s="27"/>
      <x:c r="HM20" s="27"/>
      <x:c r="HN20" s="27"/>
      <x:c r="HO20" s="27"/>
      <x:c r="HP20" s="27" t="str">
        <x:f>IF(C20="","",SUM(H20,N20,T20,Z20,AF20,AL20,AR20,AX20,BD20,BJ20,BP20,BV20,CB20,CH20,CN20,CT20,CZ20,DF20,DL20,DR20,DX20,ED20,EJ20,EP20,EV20,FB20,FH20,FN20,FT20,FZ20,GF20,GL20,GR20,GX20,HD20,HJ20))</x:f>
      </x:c>
      <x:c r="HQ20" s="27" t="str">
        <x:f>IF(C20="","",SUM(I20,O20,U20,AA20,AG20,AM20,AS20,AY20,BE20,BK20,BQ20,BW20,CC20,CI20,CO20,CU20,DA20,DG20,DM20,DS20,DY20,EE20,EK20,EQ20,EW20,FC20,FI20,FO20,FU20,GA20,GG20,GM20,GS20,GY20,HE20,HK20))</x:f>
      </x:c>
      <x:c r="HR20" s="27" t="str">
        <x:f>IF(C20="","",SUM(J20,P20,V20,AB20,AH20,AN20,AT20,AZ20,BF20,BL20,BR20,BX20,CD20,CJ20,CP20,CV20,DB20,DH20,DN20,DT20,DZ20,EF20,EL20,ER20,EX20,FD20,FJ20,FP20,FV20,GB20,GH20,GN20,GT20,GZ20,HF20,HL20))</x:f>
      </x:c>
      <x:c r="HS20" s="27" t="str">
        <x:f>IF(C20="","",SUM(K20,Q20,W20,AC20,AI20,AO20,AU20,BA20,BG20,BM20,BS20,BY20,CE20,CK20,CQ20,CW20,DC20,DI20,DO20,DU20,EA20,EG20,EM20,ES20,EY20,FE20,FK20,FQ20,FW20,GC20,GI20,GO20,GU20,HA20,HG20,HM20))</x:f>
      </x:c>
      <x:c r="HT20" s="27" t="str">
        <x:f>IF(C20="","",SUM(L20,R20,X20,AD20,AJ20,AP20,AV20,BB20,BH20,BN20,BT20,BZ20,CF20,CL20,CR20,CX20,DD20,DJ20,DP20,DV20,EB20,EH20,EN20,ET20,EZ20,FF20,FL20,FR20,FX20,GD20,GJ20,GP20,GV20,HB20,HH20,HN20))</x:f>
      </x:c>
      <x:c r="HU20" s="27" t="str">
        <x:f>IF(C20="","",SUM(M20,S20,Y20,AE20,AK20,AQ20,AW20,BC20,BI20,BO20,BU20,CA20,CG20,CM20,CS20,CY20,DE20,DK20,DQ20,DW20,EC20,EI20,EO20,EU20,FA20,FG20,FM20,FS20,FY20,GE20,GK20,GQ20,GW20,HC20,HI20,HO20))</x:f>
      </x:c>
      <x:c r="HV20" s="27" t="str">
        <x:f>IF(C20="","",IF(JI20=LARGE(JI20:JN20,1),"R",IF(JJ20=LARGE(JI20:JN20,1),"I",IF(JK20=LARGE(JI20:JN20,1),"A",IF(JL20=LARGE(JI20:JN20,1),"S",IF(JM20=LARGE(JI20:JN20,1),"E",IF(JN20=LARGE(JI20:JN20,1),"C",""))))))&amp;IF(JI20=LARGE(JI20:JN20,2),"R",IF(JJ20=LARGE(JI20:JN20,2),"I",IF(JK20=LARGE(JI20:JN20,2),"A",IF(JL20=LARGE(JI20:JN20,2),"S",IF(JM20=LARGE(JI20:JN20,2),"E",IF(JN20=LARGE(JI20:JN20,2),"C",""))))))&amp;IF(JI20=LARGE(JI20:JN20,3),"R",IF(JJ20=LARGE(JI20:JN20,3),"I",IF(JK20=LARGE(JI20:JN20,3),"A",IF(JL20=LARGE(JI20:JN20,3),"S",IF(JM20=LARGE(JI20:JN20,3),"E",IF(JN20=LARGE(JI20:JN20,3),"C","")))))))</x:f>
      </x:c>
      <x:c r="HW20" s="27" t="str">
        <x:f>IF(C20="","",IF(JI20=LARGE(JI20:JN20,1),"นักปฏิบัติ",IF(JJ20=LARGE(JI20:JN20,1),"นักคิดวิเคราะห์",IF(JK20=LARGE(JI20:JN20,1),"นักสร้างสรรค์",IF(JL20=LARGE(JI20:JN20,1),"ผู้เข้าใจผู้คน",IF(JM20=LARGE(JI20:JN20,1),"ผู้นำการเปลี่ยนแปลง",IF(JN20=LARGE(JI20:JN20,1),"ผู้จัดระบบ","ผู้จัดระบบ")))))))</x:f>
      </x:c>
      <x:c r="HX20" s="27"/>
      <x:c r="HY20" s="27"/>
      <x:c r="HZ20" s="27"/>
      <x:c r="IA20" s="27"/>
      <x:c r="IB20" s="27"/>
      <x:c r="IC20" s="27"/>
      <x:c r="ID20" s="27"/>
      <x:c r="IE20" s="27"/>
      <x:c r="IF20" s="27"/>
      <x:c r="IG20" s="27"/>
      <x:c r="IH20" s="27"/>
      <x:c r="II20" s="27"/>
      <x:c r="IJ20" s="27"/>
      <x:c r="IK20" s="27" t="str">
        <x:f>IF(C20="","",SUM(H20,N20,T20,Z20,AF20,AL20,AR20,AX20,BD20,BJ20,BP20))</x:f>
      </x:c>
      <x:c r="IL20" s="27" t="str">
        <x:f>IF(C20="","",SUM(I20,O20,U20,AA20,AG20,AM20,AS20,AY20,BE20,BK20,BQ20))</x:f>
      </x:c>
      <x:c r="IM20" s="27" t="str">
        <x:f>IF(C20="","",SUM(J20,P20,V20,AB20,AH20,AN20,AT20,AZ20,BF20,BL20,BR20))</x:f>
      </x:c>
      <x:c r="IN20" s="27" t="str">
        <x:f>IF(C20="","",SUM(K20,Q20,W20,AC20,AI20,AO20,AU20,BA20,BG20,BM20,BS20))</x:f>
      </x:c>
      <x:c r="IO20" s="27" t="str">
        <x:f>IF(C20="","",SUM(L20,R20,X20,AD20,AJ20,AP20,AV20,BB20,BH20,BN20,BT20))</x:f>
      </x:c>
      <x:c r="IP20" s="27" t="str">
        <x:f>IF(C20="","",SUM(M20,S20,Y20,AE20,AK20,AQ20,AW20,BC20,BI20,BO20,BU20))</x:f>
      </x:c>
      <x:c r="IQ20" s="27" t="str">
        <x:f>IF(C20="","",SUM(BV20,CB20,CH20,CN20,CT20,CZ20,DF20,DL20,DR20,DX20,ED20))</x:f>
      </x:c>
      <x:c r="IR20" s="27" t="str">
        <x:f>IF(C20="","",SUM(BW20,CC20,CI20,CO20,CU20,DA20,DG20,DM20,DS20,DY20,EE20))</x:f>
      </x:c>
      <x:c r="IS20" s="27" t="str">
        <x:f>IF(C20="","",SUM(BX20,CD20,CJ20,CP20,CV20,DB20,DH20,DN20,DT20,DZ20,EF20))</x:f>
      </x:c>
      <x:c r="IT20" s="27" t="str">
        <x:f>IF(C20="","",SUM(BY20,CE20,CK20,CQ20,CW20,DC20,DI20,DO20,DU20,EA20,EG20))</x:f>
      </x:c>
      <x:c r="IU20" s="27" t="str">
        <x:f>IF(C20="","",SUM(BZ20,CF20,CL20,CR20,CX20,DD20,DJ20,DP20,DV20,EB20,EH20))</x:f>
      </x:c>
      <x:c r="IV20" s="27" t="str">
        <x:f>IF(C20="","",SUM(CA20,CG20,CM20,CS20,CY20,DE20,DK20,DQ20,DW20,EC20,EI20))</x:f>
      </x:c>
      <x:c r="IW20" s="27" t="str">
        <x:f>IF(C20="","",SUM(EJ20,EP20,EV20,FB20,FH20,FN20,FT20,FZ20,GF20,GL20,GR20,GX20,HD20,HJ20))</x:f>
      </x:c>
      <x:c r="IX20" s="27" t="str">
        <x:f>IF(C20="","",SUM(EK20,EQ20,EW20,FC20,FI20,FO20,FU20,GA20,GG20,GM20,GS20,GY20,HE20,HK20))</x:f>
      </x:c>
      <x:c r="IY20" s="27" t="str">
        <x:f>IF(C20="","",SUM(EL20,ER20,EX20,FD20,FJ20,FP20,FV20,GB20,GH20,GN20,GT20,GZ20,HF20,HL20))</x:f>
      </x:c>
      <x:c r="IZ20" s="27" t="str">
        <x:f>IF(C20="","",SUM(EM20,ES20,EY20,FE20,FK20,FQ20,FW20,GC20,GI20,GO20,GU20,HA20,HG20,HM20))</x:f>
      </x:c>
      <x:c r="JA20" s="27" t="str">
        <x:f>IF(C20="","",SUM(EN20,ET20,EZ20,FF20,FL20,FR20,FX20,GD20,GJ20,GP20,GV20,HB20,HH20,HN20))</x:f>
      </x:c>
      <x:c r="JB20" s="27" t="str">
        <x:f>IF(C20="","",SUM(EO20,EU20,FA20,FG20,FM20,FS20,FY20,GE20,GK20,GQ20,GW20,HC20,HI20,HO20))</x:f>
      </x:c>
      <x:c r="JC20" s="27" t="str">
        <x:f>IF(C20="","",0)</x:f>
      </x:c>
      <x:c r="JD20" s="27" t="str">
        <x:f>IF(C20="","",0)</x:f>
      </x:c>
      <x:c r="JE20" s="27" t="str">
        <x:f>IF(C20="","",0)</x:f>
      </x:c>
      <x:c r="JF20" s="27" t="str">
        <x:f>IF(C20="","",0)</x:f>
      </x:c>
      <x:c r="JG20" s="27" t="str">
        <x:f>IF(C20="","",0)</x:f>
      </x:c>
      <x:c r="JH20" s="27" t="str">
        <x:f>IF(C20="","",0)</x:f>
      </x:c>
      <x:c r="JI20" s="27" t="str">
        <x:f>IF(C20="","",HP20*1000000000+IW20*1000000+IQ20*10000+IK20*100+JC20+6/1000)</x:f>
      </x:c>
      <x:c r="JJ20" s="27" t="str">
        <x:f>IF(C20="","",HQ20*1000000000+IX20*1000000+IR20*10000+IL20*100+JD20+5/1000)</x:f>
      </x:c>
      <x:c r="JK20" s="27" t="str">
        <x:f>IF(C20="","",HR20*1000000000+IY20*1000000+IS20*10000+IM20*100+JE20+4/1000)</x:f>
      </x:c>
      <x:c r="JL20" s="27" t="str">
        <x:f>IF(C20="","",HS20*1000000000+IZ20*1000000+IT20*10000+IN20*100+JF20+3/1000)</x:f>
      </x:c>
      <x:c r="JM20" s="27" t="str">
        <x:f>IF(C20="","",HT20*1000000000+JA20*1000000+IU20*10000+IO20*100+JG20+2/1000)</x:f>
      </x:c>
      <x:c r="JN20" s="27" t="str">
        <x:f>IF(C20="","",HU20*1000000000+JB20*1000000+IV20*10000+IP20*100+JH20+1/1000)</x:f>
      </x:c>
    </x:row>
    <x:row r="21">
      <x:c r="A21" s="27"/>
      <x:c r="B21" s="28"/>
      <x:c r="C21" s="27"/>
      <x:c r="D21" s="27"/>
      <x:c r="E21" s="27"/>
      <x:c r="F21" s="27"/>
      <x:c r="G21" s="27"/>
      <x:c r="H21" s="27"/>
      <x:c r="I21" s="27"/>
      <x:c r="J21" s="27"/>
      <x:c r="K21" s="27"/>
      <x:c r="L21" s="27"/>
      <x:c r="M21" s="27"/>
      <x:c r="N21" s="27"/>
      <x:c r="O21" s="27"/>
      <x:c r="P21" s="27"/>
      <x:c r="Q21" s="27"/>
      <x:c r="R21" s="27"/>
      <x:c r="S21" s="27"/>
      <x:c r="T21" s="27"/>
      <x:c r="U21" s="27"/>
      <x:c r="V21" s="27"/>
      <x:c r="W21" s="27"/>
      <x:c r="X21" s="27"/>
      <x:c r="Y21" s="27"/>
      <x:c r="Z21" s="27"/>
      <x:c r="AA21" s="27"/>
      <x:c r="AB21" s="27"/>
      <x:c r="AC21" s="27"/>
      <x:c r="AD21" s="27"/>
      <x:c r="AE21" s="27"/>
      <x:c r="AF21" s="27"/>
      <x:c r="AG21" s="27"/>
      <x:c r="AH21" s="27"/>
      <x:c r="AI21" s="27"/>
      <x:c r="AJ21" s="27"/>
      <x:c r="AK21" s="27"/>
      <x:c r="AL21" s="27"/>
      <x:c r="AM21" s="27"/>
      <x:c r="AN21" s="27"/>
      <x:c r="AO21" s="27"/>
      <x:c r="AP21" s="27"/>
      <x:c r="AQ21" s="27"/>
      <x:c r="AR21" s="27"/>
      <x:c r="AS21" s="27"/>
      <x:c r="AT21" s="27"/>
      <x:c r="AU21" s="27"/>
      <x:c r="AV21" s="27"/>
      <x:c r="AW21" s="27"/>
      <x:c r="AX21" s="27"/>
      <x:c r="AY21" s="27"/>
      <x:c r="AZ21" s="27"/>
      <x:c r="BA21" s="27"/>
      <x:c r="BB21" s="27"/>
      <x:c r="BC21" s="27"/>
      <x:c r="BD21" s="27"/>
      <x:c r="BE21" s="27"/>
      <x:c r="BF21" s="27"/>
      <x:c r="BG21" s="27"/>
      <x:c r="BH21" s="27"/>
      <x:c r="BI21" s="27"/>
      <x:c r="BJ21" s="27"/>
      <x:c r="BK21" s="27"/>
      <x:c r="BL21" s="27"/>
      <x:c r="BM21" s="27"/>
      <x:c r="BN21" s="27"/>
      <x:c r="BO21" s="27"/>
      <x:c r="BP21" s="27"/>
      <x:c r="BQ21" s="27"/>
      <x:c r="BR21" s="27"/>
      <x:c r="BS21" s="27"/>
      <x:c r="BT21" s="27"/>
      <x:c r="BU21" s="27"/>
      <x:c r="BV21" s="27"/>
      <x:c r="BW21" s="27"/>
      <x:c r="BX21" s="27"/>
      <x:c r="BY21" s="27"/>
      <x:c r="BZ21" s="27"/>
      <x:c r="CA21" s="27"/>
      <x:c r="CB21" s="27"/>
      <x:c r="CC21" s="27"/>
      <x:c r="CD21" s="27"/>
      <x:c r="CE21" s="27"/>
      <x:c r="CF21" s="27"/>
      <x:c r="CG21" s="27"/>
      <x:c r="CH21" s="27"/>
      <x:c r="CI21" s="27"/>
      <x:c r="CJ21" s="27"/>
      <x:c r="CK21" s="27"/>
      <x:c r="CL21" s="27"/>
      <x:c r="CM21" s="27"/>
      <x:c r="CN21" s="27"/>
      <x:c r="CO21" s="27"/>
      <x:c r="CP21" s="27"/>
      <x:c r="CQ21" s="27"/>
      <x:c r="CR21" s="27"/>
      <x:c r="CS21" s="27"/>
      <x:c r="CT21" s="27"/>
      <x:c r="CU21" s="27"/>
      <x:c r="CV21" s="27"/>
      <x:c r="CW21" s="27"/>
      <x:c r="CX21" s="27"/>
      <x:c r="CY21" s="27"/>
      <x:c r="CZ21" s="27"/>
      <x:c r="DA21" s="27"/>
      <x:c r="DB21" s="27"/>
      <x:c r="DC21" s="27"/>
      <x:c r="DD21" s="27"/>
      <x:c r="DE21" s="27"/>
      <x:c r="DF21" s="27"/>
      <x:c r="DG21" s="27"/>
      <x:c r="DH21" s="27"/>
      <x:c r="DI21" s="27"/>
      <x:c r="DJ21" s="27"/>
      <x:c r="DK21" s="27"/>
      <x:c r="DL21" s="27"/>
      <x:c r="DM21" s="27"/>
      <x:c r="DN21" s="27"/>
      <x:c r="DO21" s="27"/>
      <x:c r="DP21" s="27"/>
      <x:c r="DQ21" s="27"/>
      <x:c r="DR21" s="27"/>
      <x:c r="DS21" s="27"/>
      <x:c r="DT21" s="27"/>
      <x:c r="DU21" s="27"/>
      <x:c r="DV21" s="27"/>
      <x:c r="DW21" s="27"/>
      <x:c r="DX21" s="27"/>
      <x:c r="DY21" s="27"/>
      <x:c r="DZ21" s="27"/>
      <x:c r="EA21" s="27"/>
      <x:c r="EB21" s="27"/>
      <x:c r="EC21" s="27"/>
      <x:c r="ED21" s="27"/>
      <x:c r="EE21" s="27"/>
      <x:c r="EF21" s="27"/>
      <x:c r="EG21" s="27"/>
      <x:c r="EH21" s="27"/>
      <x:c r="EI21" s="27"/>
      <x:c r="EJ21" s="27"/>
      <x:c r="EK21" s="27"/>
      <x:c r="EL21" s="27"/>
      <x:c r="EM21" s="27"/>
      <x:c r="EN21" s="27"/>
      <x:c r="EO21" s="27"/>
      <x:c r="EP21" s="27"/>
      <x:c r="EQ21" s="27"/>
      <x:c r="ER21" s="27"/>
      <x:c r="ES21" s="27"/>
      <x:c r="ET21" s="27"/>
      <x:c r="EU21" s="27"/>
      <x:c r="EV21" s="27"/>
      <x:c r="EW21" s="27"/>
      <x:c r="EX21" s="27"/>
      <x:c r="EY21" s="27"/>
      <x:c r="EZ21" s="27"/>
      <x:c r="FA21" s="27"/>
      <x:c r="FB21" s="27"/>
      <x:c r="FC21" s="27"/>
      <x:c r="FD21" s="27"/>
      <x:c r="FE21" s="27"/>
      <x:c r="FF21" s="27"/>
      <x:c r="FG21" s="27"/>
      <x:c r="FH21" s="27"/>
      <x:c r="FI21" s="27"/>
      <x:c r="FJ21" s="27"/>
      <x:c r="FK21" s="27"/>
      <x:c r="FL21" s="27"/>
      <x:c r="FM21" s="27"/>
      <x:c r="FN21" s="27"/>
      <x:c r="FO21" s="27"/>
      <x:c r="FP21" s="27"/>
      <x:c r="FQ21" s="27"/>
      <x:c r="FR21" s="27"/>
      <x:c r="FS21" s="27"/>
      <x:c r="FT21" s="27"/>
      <x:c r="FU21" s="27"/>
      <x:c r="FV21" s="27"/>
      <x:c r="FW21" s="27"/>
      <x:c r="FX21" s="27"/>
      <x:c r="FY21" s="27"/>
      <x:c r="FZ21" s="27"/>
      <x:c r="GA21" s="27"/>
      <x:c r="GB21" s="27"/>
      <x:c r="GC21" s="27"/>
      <x:c r="GD21" s="27"/>
      <x:c r="GE21" s="27"/>
      <x:c r="GF21" s="27"/>
      <x:c r="GG21" s="27"/>
      <x:c r="GH21" s="27"/>
      <x:c r="GI21" s="27"/>
      <x:c r="GJ21" s="27"/>
      <x:c r="GK21" s="27"/>
      <x:c r="GL21" s="27"/>
      <x:c r="GM21" s="27"/>
      <x:c r="GN21" s="27"/>
      <x:c r="GO21" s="27"/>
      <x:c r="GP21" s="27"/>
      <x:c r="GQ21" s="27"/>
      <x:c r="GR21" s="27"/>
      <x:c r="GS21" s="27"/>
      <x:c r="GT21" s="27"/>
      <x:c r="GU21" s="27"/>
      <x:c r="GV21" s="27"/>
      <x:c r="GW21" s="27"/>
      <x:c r="GX21" s="27"/>
      <x:c r="GY21" s="27"/>
      <x:c r="GZ21" s="27"/>
      <x:c r="HA21" s="27"/>
      <x:c r="HB21" s="27"/>
      <x:c r="HC21" s="27"/>
      <x:c r="HD21" s="27"/>
      <x:c r="HE21" s="27"/>
      <x:c r="HF21" s="27"/>
      <x:c r="HG21" s="27"/>
      <x:c r="HH21" s="27"/>
      <x:c r="HI21" s="27"/>
      <x:c r="HJ21" s="27"/>
      <x:c r="HK21" s="27"/>
      <x:c r="HL21" s="27"/>
      <x:c r="HM21" s="27"/>
      <x:c r="HN21" s="27"/>
      <x:c r="HO21" s="27"/>
      <x:c r="HP21" s="27" t="str">
        <x:f>IF(C21="","",SUM(H21,N21,T21,Z21,AF21,AL21,AR21,AX21,BD21,BJ21,BP21,BV21,CB21,CH21,CN21,CT21,CZ21,DF21,DL21,DR21,DX21,ED21,EJ21,EP21,EV21,FB21,FH21,FN21,FT21,FZ21,GF21,GL21,GR21,GX21,HD21,HJ21))</x:f>
      </x:c>
      <x:c r="HQ21" s="27" t="str">
        <x:f>IF(C21="","",SUM(I21,O21,U21,AA21,AG21,AM21,AS21,AY21,BE21,BK21,BQ21,BW21,CC21,CI21,CO21,CU21,DA21,DG21,DM21,DS21,DY21,EE21,EK21,EQ21,EW21,FC21,FI21,FO21,FU21,GA21,GG21,GM21,GS21,GY21,HE21,HK21))</x:f>
      </x:c>
      <x:c r="HR21" s="27" t="str">
        <x:f>IF(C21="","",SUM(J21,P21,V21,AB21,AH21,AN21,AT21,AZ21,BF21,BL21,BR21,BX21,CD21,CJ21,CP21,CV21,DB21,DH21,DN21,DT21,DZ21,EF21,EL21,ER21,EX21,FD21,FJ21,FP21,FV21,GB21,GH21,GN21,GT21,GZ21,HF21,HL21))</x:f>
      </x:c>
      <x:c r="HS21" s="27" t="str">
        <x:f>IF(C21="","",SUM(K21,Q21,W21,AC21,AI21,AO21,AU21,BA21,BG21,BM21,BS21,BY21,CE21,CK21,CQ21,CW21,DC21,DI21,DO21,DU21,EA21,EG21,EM21,ES21,EY21,FE21,FK21,FQ21,FW21,GC21,GI21,GO21,GU21,HA21,HG21,HM21))</x:f>
      </x:c>
      <x:c r="HT21" s="27" t="str">
        <x:f>IF(C21="","",SUM(L21,R21,X21,AD21,AJ21,AP21,AV21,BB21,BH21,BN21,BT21,BZ21,CF21,CL21,CR21,CX21,DD21,DJ21,DP21,DV21,EB21,EH21,EN21,ET21,EZ21,FF21,FL21,FR21,FX21,GD21,GJ21,GP21,GV21,HB21,HH21,HN21))</x:f>
      </x:c>
      <x:c r="HU21" s="27" t="str">
        <x:f>IF(C21="","",SUM(M21,S21,Y21,AE21,AK21,AQ21,AW21,BC21,BI21,BO21,BU21,CA21,CG21,CM21,CS21,CY21,DE21,DK21,DQ21,DW21,EC21,EI21,EO21,EU21,FA21,FG21,FM21,FS21,FY21,GE21,GK21,GQ21,GW21,HC21,HI21,HO21))</x:f>
      </x:c>
      <x:c r="HV21" s="27" t="str">
        <x:f>IF(C21="","",IF(JI21=LARGE(JI21:JN21,1),"R",IF(JJ21=LARGE(JI21:JN21,1),"I",IF(JK21=LARGE(JI21:JN21,1),"A",IF(JL21=LARGE(JI21:JN21,1),"S",IF(JM21=LARGE(JI21:JN21,1),"E",IF(JN21=LARGE(JI21:JN21,1),"C",""))))))&amp;IF(JI21=LARGE(JI21:JN21,2),"R",IF(JJ21=LARGE(JI21:JN21,2),"I",IF(JK21=LARGE(JI21:JN21,2),"A",IF(JL21=LARGE(JI21:JN21,2),"S",IF(JM21=LARGE(JI21:JN21,2),"E",IF(JN21=LARGE(JI21:JN21,2),"C",""))))))&amp;IF(JI21=LARGE(JI21:JN21,3),"R",IF(JJ21=LARGE(JI21:JN21,3),"I",IF(JK21=LARGE(JI21:JN21,3),"A",IF(JL21=LARGE(JI21:JN21,3),"S",IF(JM21=LARGE(JI21:JN21,3),"E",IF(JN21=LARGE(JI21:JN21,3),"C","")))))))</x:f>
      </x:c>
      <x:c r="HW21" s="27" t="str">
        <x:f>IF(C21="","",IF(JI21=LARGE(JI21:JN21,1),"นักปฏิบัติ",IF(JJ21=LARGE(JI21:JN21,1),"นักคิดวิเคราะห์",IF(JK21=LARGE(JI21:JN21,1),"นักสร้างสรรค์",IF(JL21=LARGE(JI21:JN21,1),"ผู้เข้าใจผู้คน",IF(JM21=LARGE(JI21:JN21,1),"ผู้นำการเปลี่ยนแปลง",IF(JN21=LARGE(JI21:JN21,1),"ผู้จัดระบบ","ผู้จัดระบบ")))))))</x:f>
      </x:c>
      <x:c r="HX21" s="27"/>
      <x:c r="HY21" s="27"/>
      <x:c r="HZ21" s="27"/>
      <x:c r="IA21" s="27"/>
      <x:c r="IB21" s="27"/>
      <x:c r="IC21" s="27"/>
      <x:c r="ID21" s="27"/>
      <x:c r="IE21" s="27"/>
      <x:c r="IF21" s="27"/>
      <x:c r="IG21" s="27"/>
      <x:c r="IH21" s="27"/>
      <x:c r="II21" s="27"/>
      <x:c r="IJ21" s="27"/>
      <x:c r="IK21" s="27" t="str">
        <x:f>IF(C21="","",SUM(H21,N21,T21,Z21,AF21,AL21,AR21,AX21,BD21,BJ21,BP21))</x:f>
      </x:c>
      <x:c r="IL21" s="27" t="str">
        <x:f>IF(C21="","",SUM(I21,O21,U21,AA21,AG21,AM21,AS21,AY21,BE21,BK21,BQ21))</x:f>
      </x:c>
      <x:c r="IM21" s="27" t="str">
        <x:f>IF(C21="","",SUM(J21,P21,V21,AB21,AH21,AN21,AT21,AZ21,BF21,BL21,BR21))</x:f>
      </x:c>
      <x:c r="IN21" s="27" t="str">
        <x:f>IF(C21="","",SUM(K21,Q21,W21,AC21,AI21,AO21,AU21,BA21,BG21,BM21,BS21))</x:f>
      </x:c>
      <x:c r="IO21" s="27" t="str">
        <x:f>IF(C21="","",SUM(L21,R21,X21,AD21,AJ21,AP21,AV21,BB21,BH21,BN21,BT21))</x:f>
      </x:c>
      <x:c r="IP21" s="27" t="str">
        <x:f>IF(C21="","",SUM(M21,S21,Y21,AE21,AK21,AQ21,AW21,BC21,BI21,BO21,BU21))</x:f>
      </x:c>
      <x:c r="IQ21" s="27" t="str">
        <x:f>IF(C21="","",SUM(BV21,CB21,CH21,CN21,CT21,CZ21,DF21,DL21,DR21,DX21,ED21))</x:f>
      </x:c>
      <x:c r="IR21" s="27" t="str">
        <x:f>IF(C21="","",SUM(BW21,CC21,CI21,CO21,CU21,DA21,DG21,DM21,DS21,DY21,EE21))</x:f>
      </x:c>
      <x:c r="IS21" s="27" t="str">
        <x:f>IF(C21="","",SUM(BX21,CD21,CJ21,CP21,CV21,DB21,DH21,DN21,DT21,DZ21,EF21))</x:f>
      </x:c>
      <x:c r="IT21" s="27" t="str">
        <x:f>IF(C21="","",SUM(BY21,CE21,CK21,CQ21,CW21,DC21,DI21,DO21,DU21,EA21,EG21))</x:f>
      </x:c>
      <x:c r="IU21" s="27" t="str">
        <x:f>IF(C21="","",SUM(BZ21,CF21,CL21,CR21,CX21,DD21,DJ21,DP21,DV21,EB21,EH21))</x:f>
      </x:c>
      <x:c r="IV21" s="27" t="str">
        <x:f>IF(C21="","",SUM(CA21,CG21,CM21,CS21,CY21,DE21,DK21,DQ21,DW21,EC21,EI21))</x:f>
      </x:c>
      <x:c r="IW21" s="27" t="str">
        <x:f>IF(C21="","",SUM(EJ21,EP21,EV21,FB21,FH21,FN21,FT21,FZ21,GF21,GL21,GR21,GX21,HD21,HJ21))</x:f>
      </x:c>
      <x:c r="IX21" s="27" t="str">
        <x:f>IF(C21="","",SUM(EK21,EQ21,EW21,FC21,FI21,FO21,FU21,GA21,GG21,GM21,GS21,GY21,HE21,HK21))</x:f>
      </x:c>
      <x:c r="IY21" s="27" t="str">
        <x:f>IF(C21="","",SUM(EL21,ER21,EX21,FD21,FJ21,FP21,FV21,GB21,GH21,GN21,GT21,GZ21,HF21,HL21))</x:f>
      </x:c>
      <x:c r="IZ21" s="27" t="str">
        <x:f>IF(C21="","",SUM(EM21,ES21,EY21,FE21,FK21,FQ21,FW21,GC21,GI21,GO21,GU21,HA21,HG21,HM21))</x:f>
      </x:c>
      <x:c r="JA21" s="27" t="str">
        <x:f>IF(C21="","",SUM(EN21,ET21,EZ21,FF21,FL21,FR21,FX21,GD21,GJ21,GP21,GV21,HB21,HH21,HN21))</x:f>
      </x:c>
      <x:c r="JB21" s="27" t="str">
        <x:f>IF(C21="","",SUM(EO21,EU21,FA21,FG21,FM21,FS21,FY21,GE21,GK21,GQ21,GW21,HC21,HI21,HO21))</x:f>
      </x:c>
      <x:c r="JC21" s="27" t="str">
        <x:f>IF(C21="","",0)</x:f>
      </x:c>
      <x:c r="JD21" s="27" t="str">
        <x:f>IF(C21="","",0)</x:f>
      </x:c>
      <x:c r="JE21" s="27" t="str">
        <x:f>IF(C21="","",0)</x:f>
      </x:c>
      <x:c r="JF21" s="27" t="str">
        <x:f>IF(C21="","",0)</x:f>
      </x:c>
      <x:c r="JG21" s="27" t="str">
        <x:f>IF(C21="","",0)</x:f>
      </x:c>
      <x:c r="JH21" s="27" t="str">
        <x:f>IF(C21="","",0)</x:f>
      </x:c>
      <x:c r="JI21" s="27" t="str">
        <x:f>IF(C21="","",HP21*1000000000+IW21*1000000+IQ21*10000+IK21*100+JC21+6/1000)</x:f>
      </x:c>
      <x:c r="JJ21" s="27" t="str">
        <x:f>IF(C21="","",HQ21*1000000000+IX21*1000000+IR21*10000+IL21*100+JD21+5/1000)</x:f>
      </x:c>
      <x:c r="JK21" s="27" t="str">
        <x:f>IF(C21="","",HR21*1000000000+IY21*1000000+IS21*10000+IM21*100+JE21+4/1000)</x:f>
      </x:c>
      <x:c r="JL21" s="27" t="str">
        <x:f>IF(C21="","",HS21*1000000000+IZ21*1000000+IT21*10000+IN21*100+JF21+3/1000)</x:f>
      </x:c>
      <x:c r="JM21" s="27" t="str">
        <x:f>IF(C21="","",HT21*1000000000+JA21*1000000+IU21*10000+IO21*100+JG21+2/1000)</x:f>
      </x:c>
      <x:c r="JN21" s="27" t="str">
        <x:f>IF(C21="","",HU21*1000000000+JB21*1000000+IV21*10000+IP21*100+JH21+1/1000)</x:f>
      </x:c>
    </x:row>
    <x:row r="22">
      <x:c r="A22" s="27"/>
      <x:c r="B22" s="28"/>
      <x:c r="C22" s="27"/>
      <x:c r="D22" s="27"/>
      <x:c r="E22" s="27"/>
      <x:c r="F22" s="27"/>
      <x:c r="G22" s="27"/>
      <x:c r="H22" s="27"/>
      <x:c r="I22" s="27"/>
      <x:c r="J22" s="27"/>
      <x:c r="K22" s="27"/>
      <x:c r="L22" s="27"/>
      <x:c r="M22" s="27"/>
      <x:c r="N22" s="27"/>
      <x:c r="O22" s="27"/>
      <x:c r="P22" s="27"/>
      <x:c r="Q22" s="27"/>
      <x:c r="R22" s="27"/>
      <x:c r="S22" s="27"/>
      <x:c r="T22" s="27"/>
      <x:c r="U22" s="27"/>
      <x:c r="V22" s="27"/>
      <x:c r="W22" s="27"/>
      <x:c r="X22" s="27"/>
      <x:c r="Y22" s="27"/>
      <x:c r="Z22" s="27"/>
      <x:c r="AA22" s="27"/>
      <x:c r="AB22" s="27"/>
      <x:c r="AC22" s="27"/>
      <x:c r="AD22" s="27"/>
      <x:c r="AE22" s="27"/>
      <x:c r="AF22" s="27"/>
      <x:c r="AG22" s="27"/>
      <x:c r="AH22" s="27"/>
      <x:c r="AI22" s="27"/>
      <x:c r="AJ22" s="27"/>
      <x:c r="AK22" s="27"/>
      <x:c r="AL22" s="27"/>
      <x:c r="AM22" s="27"/>
      <x:c r="AN22" s="27"/>
      <x:c r="AO22" s="27"/>
      <x:c r="AP22" s="27"/>
      <x:c r="AQ22" s="27"/>
      <x:c r="AR22" s="27"/>
      <x:c r="AS22" s="27"/>
      <x:c r="AT22" s="27"/>
      <x:c r="AU22" s="27"/>
      <x:c r="AV22" s="27"/>
      <x:c r="AW22" s="27"/>
      <x:c r="AX22" s="27"/>
      <x:c r="AY22" s="27"/>
      <x:c r="AZ22" s="27"/>
      <x:c r="BA22" s="27"/>
      <x:c r="BB22" s="27"/>
      <x:c r="BC22" s="27"/>
      <x:c r="BD22" s="27"/>
      <x:c r="BE22" s="27"/>
      <x:c r="BF22" s="27"/>
      <x:c r="BG22" s="27"/>
      <x:c r="BH22" s="27"/>
      <x:c r="BI22" s="27"/>
      <x:c r="BJ22" s="27"/>
      <x:c r="BK22" s="27"/>
      <x:c r="BL22" s="27"/>
      <x:c r="BM22" s="27"/>
      <x:c r="BN22" s="27"/>
      <x:c r="BO22" s="27"/>
      <x:c r="BP22" s="27"/>
      <x:c r="BQ22" s="27"/>
      <x:c r="BR22" s="27"/>
      <x:c r="BS22" s="27"/>
      <x:c r="BT22" s="27"/>
      <x:c r="BU22" s="27"/>
      <x:c r="BV22" s="27"/>
      <x:c r="BW22" s="27"/>
      <x:c r="BX22" s="27"/>
      <x:c r="BY22" s="27"/>
      <x:c r="BZ22" s="27"/>
      <x:c r="CA22" s="27"/>
      <x:c r="CB22" s="27"/>
      <x:c r="CC22" s="27"/>
      <x:c r="CD22" s="27"/>
      <x:c r="CE22" s="27"/>
      <x:c r="CF22" s="27"/>
      <x:c r="CG22" s="27"/>
      <x:c r="CH22" s="27"/>
      <x:c r="CI22" s="27"/>
      <x:c r="CJ22" s="27"/>
      <x:c r="CK22" s="27"/>
      <x:c r="CL22" s="27"/>
      <x:c r="CM22" s="27"/>
      <x:c r="CN22" s="27"/>
      <x:c r="CO22" s="27"/>
      <x:c r="CP22" s="27"/>
      <x:c r="CQ22" s="27"/>
      <x:c r="CR22" s="27"/>
      <x:c r="CS22" s="27"/>
      <x:c r="CT22" s="27"/>
      <x:c r="CU22" s="27"/>
      <x:c r="CV22" s="27"/>
      <x:c r="CW22" s="27"/>
      <x:c r="CX22" s="27"/>
      <x:c r="CY22" s="27"/>
      <x:c r="CZ22" s="27"/>
      <x:c r="DA22" s="27"/>
      <x:c r="DB22" s="27"/>
      <x:c r="DC22" s="27"/>
      <x:c r="DD22" s="27"/>
      <x:c r="DE22" s="27"/>
      <x:c r="DF22" s="27"/>
      <x:c r="DG22" s="27"/>
      <x:c r="DH22" s="27"/>
      <x:c r="DI22" s="27"/>
      <x:c r="DJ22" s="27"/>
      <x:c r="DK22" s="27"/>
      <x:c r="DL22" s="27"/>
      <x:c r="DM22" s="27"/>
      <x:c r="DN22" s="27"/>
      <x:c r="DO22" s="27"/>
      <x:c r="DP22" s="27"/>
      <x:c r="DQ22" s="27"/>
      <x:c r="DR22" s="27"/>
      <x:c r="DS22" s="27"/>
      <x:c r="DT22" s="27"/>
      <x:c r="DU22" s="27"/>
      <x:c r="DV22" s="27"/>
      <x:c r="DW22" s="27"/>
      <x:c r="DX22" s="27"/>
      <x:c r="DY22" s="27"/>
      <x:c r="DZ22" s="27"/>
      <x:c r="EA22" s="27"/>
      <x:c r="EB22" s="27"/>
      <x:c r="EC22" s="27"/>
      <x:c r="ED22" s="27"/>
      <x:c r="EE22" s="27"/>
      <x:c r="EF22" s="27"/>
      <x:c r="EG22" s="27"/>
      <x:c r="EH22" s="27"/>
      <x:c r="EI22" s="27"/>
      <x:c r="EJ22" s="27"/>
      <x:c r="EK22" s="27"/>
      <x:c r="EL22" s="27"/>
      <x:c r="EM22" s="27"/>
      <x:c r="EN22" s="27"/>
      <x:c r="EO22" s="27"/>
      <x:c r="EP22" s="27"/>
      <x:c r="EQ22" s="27"/>
      <x:c r="ER22" s="27"/>
      <x:c r="ES22" s="27"/>
      <x:c r="ET22" s="27"/>
      <x:c r="EU22" s="27"/>
      <x:c r="EV22" s="27"/>
      <x:c r="EW22" s="27"/>
      <x:c r="EX22" s="27"/>
      <x:c r="EY22" s="27"/>
      <x:c r="EZ22" s="27"/>
      <x:c r="FA22" s="27"/>
      <x:c r="FB22" s="27"/>
      <x:c r="FC22" s="27"/>
      <x:c r="FD22" s="27"/>
      <x:c r="FE22" s="27"/>
      <x:c r="FF22" s="27"/>
      <x:c r="FG22" s="27"/>
      <x:c r="FH22" s="27"/>
      <x:c r="FI22" s="27"/>
      <x:c r="FJ22" s="27"/>
      <x:c r="FK22" s="27"/>
      <x:c r="FL22" s="27"/>
      <x:c r="FM22" s="27"/>
      <x:c r="FN22" s="27"/>
      <x:c r="FO22" s="27"/>
      <x:c r="FP22" s="27"/>
      <x:c r="FQ22" s="27"/>
      <x:c r="FR22" s="27"/>
      <x:c r="FS22" s="27"/>
      <x:c r="FT22" s="27"/>
      <x:c r="FU22" s="27"/>
      <x:c r="FV22" s="27"/>
      <x:c r="FW22" s="27"/>
      <x:c r="FX22" s="27"/>
      <x:c r="FY22" s="27"/>
      <x:c r="FZ22" s="27"/>
      <x:c r="GA22" s="27"/>
      <x:c r="GB22" s="27"/>
      <x:c r="GC22" s="27"/>
      <x:c r="GD22" s="27"/>
      <x:c r="GE22" s="27"/>
      <x:c r="GF22" s="27"/>
      <x:c r="GG22" s="27"/>
      <x:c r="GH22" s="27"/>
      <x:c r="GI22" s="27"/>
      <x:c r="GJ22" s="27"/>
      <x:c r="GK22" s="27"/>
      <x:c r="GL22" s="27"/>
      <x:c r="GM22" s="27"/>
      <x:c r="GN22" s="27"/>
      <x:c r="GO22" s="27"/>
      <x:c r="GP22" s="27"/>
      <x:c r="GQ22" s="27"/>
      <x:c r="GR22" s="27"/>
      <x:c r="GS22" s="27"/>
      <x:c r="GT22" s="27"/>
      <x:c r="GU22" s="27"/>
      <x:c r="GV22" s="27"/>
      <x:c r="GW22" s="27"/>
      <x:c r="GX22" s="27"/>
      <x:c r="GY22" s="27"/>
      <x:c r="GZ22" s="27"/>
      <x:c r="HA22" s="27"/>
      <x:c r="HB22" s="27"/>
      <x:c r="HC22" s="27"/>
      <x:c r="HD22" s="27"/>
      <x:c r="HE22" s="27"/>
      <x:c r="HF22" s="27"/>
      <x:c r="HG22" s="27"/>
      <x:c r="HH22" s="27"/>
      <x:c r="HI22" s="27"/>
      <x:c r="HJ22" s="27"/>
      <x:c r="HK22" s="27"/>
      <x:c r="HL22" s="27"/>
      <x:c r="HM22" s="27"/>
      <x:c r="HN22" s="27"/>
      <x:c r="HO22" s="27"/>
      <x:c r="HP22" s="27" t="str">
        <x:f>IF(C22="","",SUM(H22,N22,T22,Z22,AF22,AL22,AR22,AX22,BD22,BJ22,BP22,BV22,CB22,CH22,CN22,CT22,CZ22,DF22,DL22,DR22,DX22,ED22,EJ22,EP22,EV22,FB22,FH22,FN22,FT22,FZ22,GF22,GL22,GR22,GX22,HD22,HJ22))</x:f>
      </x:c>
      <x:c r="HQ22" s="27" t="str">
        <x:f>IF(C22="","",SUM(I22,O22,U22,AA22,AG22,AM22,AS22,AY22,BE22,BK22,BQ22,BW22,CC22,CI22,CO22,CU22,DA22,DG22,DM22,DS22,DY22,EE22,EK22,EQ22,EW22,FC22,FI22,FO22,FU22,GA22,GG22,GM22,GS22,GY22,HE22,HK22))</x:f>
      </x:c>
      <x:c r="HR22" s="27" t="str">
        <x:f>IF(C22="","",SUM(J22,P22,V22,AB22,AH22,AN22,AT22,AZ22,BF22,BL22,BR22,BX22,CD22,CJ22,CP22,CV22,DB22,DH22,DN22,DT22,DZ22,EF22,EL22,ER22,EX22,FD22,FJ22,FP22,FV22,GB22,GH22,GN22,GT22,GZ22,HF22,HL22))</x:f>
      </x:c>
      <x:c r="HS22" s="27" t="str">
        <x:f>IF(C22="","",SUM(K22,Q22,W22,AC22,AI22,AO22,AU22,BA22,BG22,BM22,BS22,BY22,CE22,CK22,CQ22,CW22,DC22,DI22,DO22,DU22,EA22,EG22,EM22,ES22,EY22,FE22,FK22,FQ22,FW22,GC22,GI22,GO22,GU22,HA22,HG22,HM22))</x:f>
      </x:c>
      <x:c r="HT22" s="27" t="str">
        <x:f>IF(C22="","",SUM(L22,R22,X22,AD22,AJ22,AP22,AV22,BB22,BH22,BN22,BT22,BZ22,CF22,CL22,CR22,CX22,DD22,DJ22,DP22,DV22,EB22,EH22,EN22,ET22,EZ22,FF22,FL22,FR22,FX22,GD22,GJ22,GP22,GV22,HB22,HH22,HN22))</x:f>
      </x:c>
      <x:c r="HU22" s="27" t="str">
        <x:f>IF(C22="","",SUM(M22,S22,Y22,AE22,AK22,AQ22,AW22,BC22,BI22,BO22,BU22,CA22,CG22,CM22,CS22,CY22,DE22,DK22,DQ22,DW22,EC22,EI22,EO22,EU22,FA22,FG22,FM22,FS22,FY22,GE22,GK22,GQ22,GW22,HC22,HI22,HO22))</x:f>
      </x:c>
      <x:c r="HV22" s="27" t="str">
        <x:f>IF(C22="","",IF(JI22=LARGE(JI22:JN22,1),"R",IF(JJ22=LARGE(JI22:JN22,1),"I",IF(JK22=LARGE(JI22:JN22,1),"A",IF(JL22=LARGE(JI22:JN22,1),"S",IF(JM22=LARGE(JI22:JN22,1),"E",IF(JN22=LARGE(JI22:JN22,1),"C",""))))))&amp;IF(JI22=LARGE(JI22:JN22,2),"R",IF(JJ22=LARGE(JI22:JN22,2),"I",IF(JK22=LARGE(JI22:JN22,2),"A",IF(JL22=LARGE(JI22:JN22,2),"S",IF(JM22=LARGE(JI22:JN22,2),"E",IF(JN22=LARGE(JI22:JN22,2),"C",""))))))&amp;IF(JI22=LARGE(JI22:JN22,3),"R",IF(JJ22=LARGE(JI22:JN22,3),"I",IF(JK22=LARGE(JI22:JN22,3),"A",IF(JL22=LARGE(JI22:JN22,3),"S",IF(JM22=LARGE(JI22:JN22,3),"E",IF(JN22=LARGE(JI22:JN22,3),"C","")))))))</x:f>
      </x:c>
      <x:c r="HW22" s="27" t="str">
        <x:f>IF(C22="","",IF(JI22=LARGE(JI22:JN22,1),"นักปฏิบัติ",IF(JJ22=LARGE(JI22:JN22,1),"นักคิดวิเคราะห์",IF(JK22=LARGE(JI22:JN22,1),"นักสร้างสรรค์",IF(JL22=LARGE(JI22:JN22,1),"ผู้เข้าใจผู้คน",IF(JM22=LARGE(JI22:JN22,1),"ผู้นำการเปลี่ยนแปลง",IF(JN22=LARGE(JI22:JN22,1),"ผู้จัดระบบ","ผู้จัดระบบ")))))))</x:f>
      </x:c>
      <x:c r="HX22" s="27"/>
      <x:c r="HY22" s="27"/>
      <x:c r="HZ22" s="27"/>
      <x:c r="IA22" s="27"/>
      <x:c r="IB22" s="27"/>
      <x:c r="IC22" s="27"/>
      <x:c r="ID22" s="27"/>
      <x:c r="IE22" s="27"/>
      <x:c r="IF22" s="27"/>
      <x:c r="IG22" s="27"/>
      <x:c r="IH22" s="27"/>
      <x:c r="II22" s="27"/>
      <x:c r="IJ22" s="27"/>
      <x:c r="IK22" s="27" t="str">
        <x:f>IF(C22="","",SUM(H22,N22,T22,Z22,AF22,AL22,AR22,AX22,BD22,BJ22,BP22))</x:f>
      </x:c>
      <x:c r="IL22" s="27" t="str">
        <x:f>IF(C22="","",SUM(I22,O22,U22,AA22,AG22,AM22,AS22,AY22,BE22,BK22,BQ22))</x:f>
      </x:c>
      <x:c r="IM22" s="27" t="str">
        <x:f>IF(C22="","",SUM(J22,P22,V22,AB22,AH22,AN22,AT22,AZ22,BF22,BL22,BR22))</x:f>
      </x:c>
      <x:c r="IN22" s="27" t="str">
        <x:f>IF(C22="","",SUM(K22,Q22,W22,AC22,AI22,AO22,AU22,BA22,BG22,BM22,BS22))</x:f>
      </x:c>
      <x:c r="IO22" s="27" t="str">
        <x:f>IF(C22="","",SUM(L22,R22,X22,AD22,AJ22,AP22,AV22,BB22,BH22,BN22,BT22))</x:f>
      </x:c>
      <x:c r="IP22" s="27" t="str">
        <x:f>IF(C22="","",SUM(M22,S22,Y22,AE22,AK22,AQ22,AW22,BC22,BI22,BO22,BU22))</x:f>
      </x:c>
      <x:c r="IQ22" s="27" t="str">
        <x:f>IF(C22="","",SUM(BV22,CB22,CH22,CN22,CT22,CZ22,DF22,DL22,DR22,DX22,ED22))</x:f>
      </x:c>
      <x:c r="IR22" s="27" t="str">
        <x:f>IF(C22="","",SUM(BW22,CC22,CI22,CO22,CU22,DA22,DG22,DM22,DS22,DY22,EE22))</x:f>
      </x:c>
      <x:c r="IS22" s="27" t="str">
        <x:f>IF(C22="","",SUM(BX22,CD22,CJ22,CP22,CV22,DB22,DH22,DN22,DT22,DZ22,EF22))</x:f>
      </x:c>
      <x:c r="IT22" s="27" t="str">
        <x:f>IF(C22="","",SUM(BY22,CE22,CK22,CQ22,CW22,DC22,DI22,DO22,DU22,EA22,EG22))</x:f>
      </x:c>
      <x:c r="IU22" s="27" t="str">
        <x:f>IF(C22="","",SUM(BZ22,CF22,CL22,CR22,CX22,DD22,DJ22,DP22,DV22,EB22,EH22))</x:f>
      </x:c>
      <x:c r="IV22" s="27" t="str">
        <x:f>IF(C22="","",SUM(CA22,CG22,CM22,CS22,CY22,DE22,DK22,DQ22,DW22,EC22,EI22))</x:f>
      </x:c>
      <x:c r="IW22" s="27" t="str">
        <x:f>IF(C22="","",SUM(EJ22,EP22,EV22,FB22,FH22,FN22,FT22,FZ22,GF22,GL22,GR22,GX22,HD22,HJ22))</x:f>
      </x:c>
      <x:c r="IX22" s="27" t="str">
        <x:f>IF(C22="","",SUM(EK22,EQ22,EW22,FC22,FI22,FO22,FU22,GA22,GG22,GM22,GS22,GY22,HE22,HK22))</x:f>
      </x:c>
      <x:c r="IY22" s="27" t="str">
        <x:f>IF(C22="","",SUM(EL22,ER22,EX22,FD22,FJ22,FP22,FV22,GB22,GH22,GN22,GT22,GZ22,HF22,HL22))</x:f>
      </x:c>
      <x:c r="IZ22" s="27" t="str">
        <x:f>IF(C22="","",SUM(EM22,ES22,EY22,FE22,FK22,FQ22,FW22,GC22,GI22,GO22,GU22,HA22,HG22,HM22))</x:f>
      </x:c>
      <x:c r="JA22" s="27" t="str">
        <x:f>IF(C22="","",SUM(EN22,ET22,EZ22,FF22,FL22,FR22,FX22,GD22,GJ22,GP22,GV22,HB22,HH22,HN22))</x:f>
      </x:c>
      <x:c r="JB22" s="27" t="str">
        <x:f>IF(C22="","",SUM(EO22,EU22,FA22,FG22,FM22,FS22,FY22,GE22,GK22,GQ22,GW22,HC22,HI22,HO22))</x:f>
      </x:c>
      <x:c r="JC22" s="27" t="str">
        <x:f>IF(C22="","",0)</x:f>
      </x:c>
      <x:c r="JD22" s="27" t="str">
        <x:f>IF(C22="","",0)</x:f>
      </x:c>
      <x:c r="JE22" s="27" t="str">
        <x:f>IF(C22="","",0)</x:f>
      </x:c>
      <x:c r="JF22" s="27" t="str">
        <x:f>IF(C22="","",0)</x:f>
      </x:c>
      <x:c r="JG22" s="27" t="str">
        <x:f>IF(C22="","",0)</x:f>
      </x:c>
      <x:c r="JH22" s="27" t="str">
        <x:f>IF(C22="","",0)</x:f>
      </x:c>
      <x:c r="JI22" s="27" t="str">
        <x:f>IF(C22="","",HP22*1000000000+IW22*1000000+IQ22*10000+IK22*100+JC22+6/1000)</x:f>
      </x:c>
      <x:c r="JJ22" s="27" t="str">
        <x:f>IF(C22="","",HQ22*1000000000+IX22*1000000+IR22*10000+IL22*100+JD22+5/1000)</x:f>
      </x:c>
      <x:c r="JK22" s="27" t="str">
        <x:f>IF(C22="","",HR22*1000000000+IY22*1000000+IS22*10000+IM22*100+JE22+4/1000)</x:f>
      </x:c>
      <x:c r="JL22" s="27" t="str">
        <x:f>IF(C22="","",HS22*1000000000+IZ22*1000000+IT22*10000+IN22*100+JF22+3/1000)</x:f>
      </x:c>
      <x:c r="JM22" s="27" t="str">
        <x:f>IF(C22="","",HT22*1000000000+JA22*1000000+IU22*10000+IO22*100+JG22+2/1000)</x:f>
      </x:c>
      <x:c r="JN22" s="27" t="str">
        <x:f>IF(C22="","",HU22*1000000000+JB22*1000000+IV22*10000+IP22*100+JH22+1/1000)</x:f>
      </x:c>
    </x:row>
    <x:row r="23">
      <x:c r="A23" s="27"/>
      <x:c r="B23" s="28"/>
      <x:c r="C23" s="27"/>
      <x:c r="D23" s="27"/>
      <x:c r="E23" s="27"/>
      <x:c r="F23" s="27"/>
      <x:c r="G23" s="27"/>
      <x:c r="H23" s="27"/>
      <x:c r="I23" s="27"/>
      <x:c r="J23" s="27"/>
      <x:c r="K23" s="27"/>
      <x:c r="L23" s="27"/>
      <x:c r="M23" s="27"/>
      <x:c r="N23" s="27"/>
      <x:c r="O23" s="27"/>
      <x:c r="P23" s="27"/>
      <x:c r="Q23" s="27"/>
      <x:c r="R23" s="27"/>
      <x:c r="S23" s="27"/>
      <x:c r="T23" s="27"/>
      <x:c r="U23" s="27"/>
      <x:c r="V23" s="27"/>
      <x:c r="W23" s="27"/>
      <x:c r="X23" s="27"/>
      <x:c r="Y23" s="27"/>
      <x:c r="Z23" s="27"/>
      <x:c r="AA23" s="27"/>
      <x:c r="AB23" s="27"/>
      <x:c r="AC23" s="27"/>
      <x:c r="AD23" s="27"/>
      <x:c r="AE23" s="27"/>
      <x:c r="AF23" s="27"/>
      <x:c r="AG23" s="27"/>
      <x:c r="AH23" s="27"/>
      <x:c r="AI23" s="27"/>
      <x:c r="AJ23" s="27"/>
      <x:c r="AK23" s="27"/>
      <x:c r="AL23" s="27"/>
      <x:c r="AM23" s="27"/>
      <x:c r="AN23" s="27"/>
      <x:c r="AO23" s="27"/>
      <x:c r="AP23" s="27"/>
      <x:c r="AQ23" s="27"/>
      <x:c r="AR23" s="27"/>
      <x:c r="AS23" s="27"/>
      <x:c r="AT23" s="27"/>
      <x:c r="AU23" s="27"/>
      <x:c r="AV23" s="27"/>
      <x:c r="AW23" s="27"/>
      <x:c r="AX23" s="27"/>
      <x:c r="AY23" s="27"/>
      <x:c r="AZ23" s="27"/>
      <x:c r="BA23" s="27"/>
      <x:c r="BB23" s="27"/>
      <x:c r="BC23" s="27"/>
      <x:c r="BD23" s="27"/>
      <x:c r="BE23" s="27"/>
      <x:c r="BF23" s="27"/>
      <x:c r="BG23" s="27"/>
      <x:c r="BH23" s="27"/>
      <x:c r="BI23" s="27"/>
      <x:c r="BJ23" s="27"/>
      <x:c r="BK23" s="27"/>
      <x:c r="BL23" s="27"/>
      <x:c r="BM23" s="27"/>
      <x:c r="BN23" s="27"/>
      <x:c r="BO23" s="27"/>
      <x:c r="BP23" s="27"/>
      <x:c r="BQ23" s="27"/>
      <x:c r="BR23" s="27"/>
      <x:c r="BS23" s="27"/>
      <x:c r="BT23" s="27"/>
      <x:c r="BU23" s="27"/>
      <x:c r="BV23" s="27"/>
      <x:c r="BW23" s="27"/>
      <x:c r="BX23" s="27"/>
      <x:c r="BY23" s="27"/>
      <x:c r="BZ23" s="27"/>
      <x:c r="CA23" s="27"/>
      <x:c r="CB23" s="27"/>
      <x:c r="CC23" s="27"/>
      <x:c r="CD23" s="27"/>
      <x:c r="CE23" s="27"/>
      <x:c r="CF23" s="27"/>
      <x:c r="CG23" s="27"/>
      <x:c r="CH23" s="27"/>
      <x:c r="CI23" s="27"/>
      <x:c r="CJ23" s="27"/>
      <x:c r="CK23" s="27"/>
      <x:c r="CL23" s="27"/>
      <x:c r="CM23" s="27"/>
      <x:c r="CN23" s="27"/>
      <x:c r="CO23" s="27"/>
      <x:c r="CP23" s="27"/>
      <x:c r="CQ23" s="27"/>
      <x:c r="CR23" s="27"/>
      <x:c r="CS23" s="27"/>
      <x:c r="CT23" s="27"/>
      <x:c r="CU23" s="27"/>
      <x:c r="CV23" s="27"/>
      <x:c r="CW23" s="27"/>
      <x:c r="CX23" s="27"/>
      <x:c r="CY23" s="27"/>
      <x:c r="CZ23" s="27"/>
      <x:c r="DA23" s="27"/>
      <x:c r="DB23" s="27"/>
      <x:c r="DC23" s="27"/>
      <x:c r="DD23" s="27"/>
      <x:c r="DE23" s="27"/>
      <x:c r="DF23" s="27"/>
      <x:c r="DG23" s="27"/>
      <x:c r="DH23" s="27"/>
      <x:c r="DI23" s="27"/>
      <x:c r="DJ23" s="27"/>
      <x:c r="DK23" s="27"/>
      <x:c r="DL23" s="27"/>
      <x:c r="DM23" s="27"/>
      <x:c r="DN23" s="27"/>
      <x:c r="DO23" s="27"/>
      <x:c r="DP23" s="27"/>
      <x:c r="DQ23" s="27"/>
      <x:c r="DR23" s="27"/>
      <x:c r="DS23" s="27"/>
      <x:c r="DT23" s="27"/>
      <x:c r="DU23" s="27"/>
      <x:c r="DV23" s="27"/>
      <x:c r="DW23" s="27"/>
      <x:c r="DX23" s="27"/>
      <x:c r="DY23" s="27"/>
      <x:c r="DZ23" s="27"/>
      <x:c r="EA23" s="27"/>
      <x:c r="EB23" s="27"/>
      <x:c r="EC23" s="27"/>
      <x:c r="ED23" s="27"/>
      <x:c r="EE23" s="27"/>
      <x:c r="EF23" s="27"/>
      <x:c r="EG23" s="27"/>
      <x:c r="EH23" s="27"/>
      <x:c r="EI23" s="27"/>
      <x:c r="EJ23" s="27"/>
      <x:c r="EK23" s="27"/>
      <x:c r="EL23" s="27"/>
      <x:c r="EM23" s="27"/>
      <x:c r="EN23" s="27"/>
      <x:c r="EO23" s="27"/>
      <x:c r="EP23" s="27"/>
      <x:c r="EQ23" s="27"/>
      <x:c r="ER23" s="27"/>
      <x:c r="ES23" s="27"/>
      <x:c r="ET23" s="27"/>
      <x:c r="EU23" s="27"/>
      <x:c r="EV23" s="27"/>
      <x:c r="EW23" s="27"/>
      <x:c r="EX23" s="27"/>
      <x:c r="EY23" s="27"/>
      <x:c r="EZ23" s="27"/>
      <x:c r="FA23" s="27"/>
      <x:c r="FB23" s="27"/>
      <x:c r="FC23" s="27"/>
      <x:c r="FD23" s="27"/>
      <x:c r="FE23" s="27"/>
      <x:c r="FF23" s="27"/>
      <x:c r="FG23" s="27"/>
      <x:c r="FH23" s="27"/>
      <x:c r="FI23" s="27"/>
      <x:c r="FJ23" s="27"/>
      <x:c r="FK23" s="27"/>
      <x:c r="FL23" s="27"/>
      <x:c r="FM23" s="27"/>
      <x:c r="FN23" s="27"/>
      <x:c r="FO23" s="27"/>
      <x:c r="FP23" s="27"/>
      <x:c r="FQ23" s="27"/>
      <x:c r="FR23" s="27"/>
      <x:c r="FS23" s="27"/>
      <x:c r="FT23" s="27"/>
      <x:c r="FU23" s="27"/>
      <x:c r="FV23" s="27"/>
      <x:c r="FW23" s="27"/>
      <x:c r="FX23" s="27"/>
      <x:c r="FY23" s="27"/>
      <x:c r="FZ23" s="27"/>
      <x:c r="GA23" s="27"/>
      <x:c r="GB23" s="27"/>
      <x:c r="GC23" s="27"/>
      <x:c r="GD23" s="27"/>
      <x:c r="GE23" s="27"/>
      <x:c r="GF23" s="27"/>
      <x:c r="GG23" s="27"/>
      <x:c r="GH23" s="27"/>
      <x:c r="GI23" s="27"/>
      <x:c r="GJ23" s="27"/>
      <x:c r="GK23" s="27"/>
      <x:c r="GL23" s="27"/>
      <x:c r="GM23" s="27"/>
      <x:c r="GN23" s="27"/>
      <x:c r="GO23" s="27"/>
      <x:c r="GP23" s="27"/>
      <x:c r="GQ23" s="27"/>
      <x:c r="GR23" s="27"/>
      <x:c r="GS23" s="27"/>
      <x:c r="GT23" s="27"/>
      <x:c r="GU23" s="27"/>
      <x:c r="GV23" s="27"/>
      <x:c r="GW23" s="27"/>
      <x:c r="GX23" s="27"/>
      <x:c r="GY23" s="27"/>
      <x:c r="GZ23" s="27"/>
      <x:c r="HA23" s="27"/>
      <x:c r="HB23" s="27"/>
      <x:c r="HC23" s="27"/>
      <x:c r="HD23" s="27"/>
      <x:c r="HE23" s="27"/>
      <x:c r="HF23" s="27"/>
      <x:c r="HG23" s="27"/>
      <x:c r="HH23" s="27"/>
      <x:c r="HI23" s="27"/>
      <x:c r="HJ23" s="27"/>
      <x:c r="HK23" s="27"/>
      <x:c r="HL23" s="27"/>
      <x:c r="HM23" s="27"/>
      <x:c r="HN23" s="27"/>
      <x:c r="HO23" s="27"/>
      <x:c r="HP23" s="27" t="str">
        <x:f>IF(C23="","",SUM(H23,N23,T23,Z23,AF23,AL23,AR23,AX23,BD23,BJ23,BP23,BV23,CB23,CH23,CN23,CT23,CZ23,DF23,DL23,DR23,DX23,ED23,EJ23,EP23,EV23,FB23,FH23,FN23,FT23,FZ23,GF23,GL23,GR23,GX23,HD23,HJ23))</x:f>
      </x:c>
      <x:c r="HQ23" s="27" t="str">
        <x:f>IF(C23="","",SUM(I23,O23,U23,AA23,AG23,AM23,AS23,AY23,BE23,BK23,BQ23,BW23,CC23,CI23,CO23,CU23,DA23,DG23,DM23,DS23,DY23,EE23,EK23,EQ23,EW23,FC23,FI23,FO23,FU23,GA23,GG23,GM23,GS23,GY23,HE23,HK23))</x:f>
      </x:c>
      <x:c r="HR23" s="27" t="str">
        <x:f>IF(C23="","",SUM(J23,P23,V23,AB23,AH23,AN23,AT23,AZ23,BF23,BL23,BR23,BX23,CD23,CJ23,CP23,CV23,DB23,DH23,DN23,DT23,DZ23,EF23,EL23,ER23,EX23,FD23,FJ23,FP23,FV23,GB23,GH23,GN23,GT23,GZ23,HF23,HL23))</x:f>
      </x:c>
      <x:c r="HS23" s="27" t="str">
        <x:f>IF(C23="","",SUM(K23,Q23,W23,AC23,AI23,AO23,AU23,BA23,BG23,BM23,BS23,BY23,CE23,CK23,CQ23,CW23,DC23,DI23,DO23,DU23,EA23,EG23,EM23,ES23,EY23,FE23,FK23,FQ23,FW23,GC23,GI23,GO23,GU23,HA23,HG23,HM23))</x:f>
      </x:c>
      <x:c r="HT23" s="27" t="str">
        <x:f>IF(C23="","",SUM(L23,R23,X23,AD23,AJ23,AP23,AV23,BB23,BH23,BN23,BT23,BZ23,CF23,CL23,CR23,CX23,DD23,DJ23,DP23,DV23,EB23,EH23,EN23,ET23,EZ23,FF23,FL23,FR23,FX23,GD23,GJ23,GP23,GV23,HB23,HH23,HN23))</x:f>
      </x:c>
      <x:c r="HU23" s="27" t="str">
        <x:f>IF(C23="","",SUM(M23,S23,Y23,AE23,AK23,AQ23,AW23,BC23,BI23,BO23,BU23,CA23,CG23,CM23,CS23,CY23,DE23,DK23,DQ23,DW23,EC23,EI23,EO23,EU23,FA23,FG23,FM23,FS23,FY23,GE23,GK23,GQ23,GW23,HC23,HI23,HO23))</x:f>
      </x:c>
      <x:c r="HV23" s="27" t="str">
        <x:f>IF(C23="","",IF(JI23=LARGE(JI23:JN23,1),"R",IF(JJ23=LARGE(JI23:JN23,1),"I",IF(JK23=LARGE(JI23:JN23,1),"A",IF(JL23=LARGE(JI23:JN23,1),"S",IF(JM23=LARGE(JI23:JN23,1),"E",IF(JN23=LARGE(JI23:JN23,1),"C",""))))))&amp;IF(JI23=LARGE(JI23:JN23,2),"R",IF(JJ23=LARGE(JI23:JN23,2),"I",IF(JK23=LARGE(JI23:JN23,2),"A",IF(JL23=LARGE(JI23:JN23,2),"S",IF(JM23=LARGE(JI23:JN23,2),"E",IF(JN23=LARGE(JI23:JN23,2),"C",""))))))&amp;IF(JI23=LARGE(JI23:JN23,3),"R",IF(JJ23=LARGE(JI23:JN23,3),"I",IF(JK23=LARGE(JI23:JN23,3),"A",IF(JL23=LARGE(JI23:JN23,3),"S",IF(JM23=LARGE(JI23:JN23,3),"E",IF(JN23=LARGE(JI23:JN23,3),"C","")))))))</x:f>
      </x:c>
      <x:c r="HW23" s="27" t="str">
        <x:f>IF(C23="","",IF(JI23=LARGE(JI23:JN23,1),"นักปฏิบัติ",IF(JJ23=LARGE(JI23:JN23,1),"นักคิดวิเคราะห์",IF(JK23=LARGE(JI23:JN23,1),"นักสร้างสรรค์",IF(JL23=LARGE(JI23:JN23,1),"ผู้เข้าใจผู้คน",IF(JM23=LARGE(JI23:JN23,1),"ผู้นำการเปลี่ยนแปลง",IF(JN23=LARGE(JI23:JN23,1),"ผู้จัดระบบ","ผู้จัดระบบ")))))))</x:f>
      </x:c>
      <x:c r="HX23" s="27"/>
      <x:c r="HY23" s="27"/>
      <x:c r="HZ23" s="27"/>
      <x:c r="IA23" s="27"/>
      <x:c r="IB23" s="27"/>
      <x:c r="IC23" s="27"/>
      <x:c r="ID23" s="27"/>
      <x:c r="IE23" s="27"/>
      <x:c r="IF23" s="27"/>
      <x:c r="IG23" s="27"/>
      <x:c r="IH23" s="27"/>
      <x:c r="II23" s="27"/>
      <x:c r="IJ23" s="27"/>
      <x:c r="IK23" s="27" t="str">
        <x:f>IF(C23="","",SUM(H23,N23,T23,Z23,AF23,AL23,AR23,AX23,BD23,BJ23,BP23))</x:f>
      </x:c>
      <x:c r="IL23" s="27" t="str">
        <x:f>IF(C23="","",SUM(I23,O23,U23,AA23,AG23,AM23,AS23,AY23,BE23,BK23,BQ23))</x:f>
      </x:c>
      <x:c r="IM23" s="27" t="str">
        <x:f>IF(C23="","",SUM(J23,P23,V23,AB23,AH23,AN23,AT23,AZ23,BF23,BL23,BR23))</x:f>
      </x:c>
      <x:c r="IN23" s="27" t="str">
        <x:f>IF(C23="","",SUM(K23,Q23,W23,AC23,AI23,AO23,AU23,BA23,BG23,BM23,BS23))</x:f>
      </x:c>
      <x:c r="IO23" s="27" t="str">
        <x:f>IF(C23="","",SUM(L23,R23,X23,AD23,AJ23,AP23,AV23,BB23,BH23,BN23,BT23))</x:f>
      </x:c>
      <x:c r="IP23" s="27" t="str">
        <x:f>IF(C23="","",SUM(M23,S23,Y23,AE23,AK23,AQ23,AW23,BC23,BI23,BO23,BU23))</x:f>
      </x:c>
      <x:c r="IQ23" s="27" t="str">
        <x:f>IF(C23="","",SUM(BV23,CB23,CH23,CN23,CT23,CZ23,DF23,DL23,DR23,DX23,ED23))</x:f>
      </x:c>
      <x:c r="IR23" s="27" t="str">
        <x:f>IF(C23="","",SUM(BW23,CC23,CI23,CO23,CU23,DA23,DG23,DM23,DS23,DY23,EE23))</x:f>
      </x:c>
      <x:c r="IS23" s="27" t="str">
        <x:f>IF(C23="","",SUM(BX23,CD23,CJ23,CP23,CV23,DB23,DH23,DN23,DT23,DZ23,EF23))</x:f>
      </x:c>
      <x:c r="IT23" s="27" t="str">
        <x:f>IF(C23="","",SUM(BY23,CE23,CK23,CQ23,CW23,DC23,DI23,DO23,DU23,EA23,EG23))</x:f>
      </x:c>
      <x:c r="IU23" s="27" t="str">
        <x:f>IF(C23="","",SUM(BZ23,CF23,CL23,CR23,CX23,DD23,DJ23,DP23,DV23,EB23,EH23))</x:f>
      </x:c>
      <x:c r="IV23" s="27" t="str">
        <x:f>IF(C23="","",SUM(CA23,CG23,CM23,CS23,CY23,DE23,DK23,DQ23,DW23,EC23,EI23))</x:f>
      </x:c>
      <x:c r="IW23" s="27" t="str">
        <x:f>IF(C23="","",SUM(EJ23,EP23,EV23,FB23,FH23,FN23,FT23,FZ23,GF23,GL23,GR23,GX23,HD23,HJ23))</x:f>
      </x:c>
      <x:c r="IX23" s="27" t="str">
        <x:f>IF(C23="","",SUM(EK23,EQ23,EW23,FC23,FI23,FO23,FU23,GA23,GG23,GM23,GS23,GY23,HE23,HK23))</x:f>
      </x:c>
      <x:c r="IY23" s="27" t="str">
        <x:f>IF(C23="","",SUM(EL23,ER23,EX23,FD23,FJ23,FP23,FV23,GB23,GH23,GN23,GT23,GZ23,HF23,HL23))</x:f>
      </x:c>
      <x:c r="IZ23" s="27" t="str">
        <x:f>IF(C23="","",SUM(EM23,ES23,EY23,FE23,FK23,FQ23,FW23,GC23,GI23,GO23,GU23,HA23,HG23,HM23))</x:f>
      </x:c>
      <x:c r="JA23" s="27" t="str">
        <x:f>IF(C23="","",SUM(EN23,ET23,EZ23,FF23,FL23,FR23,FX23,GD23,GJ23,GP23,GV23,HB23,HH23,HN23))</x:f>
      </x:c>
      <x:c r="JB23" s="27" t="str">
        <x:f>IF(C23="","",SUM(EO23,EU23,FA23,FG23,FM23,FS23,FY23,GE23,GK23,GQ23,GW23,HC23,HI23,HO23))</x:f>
      </x:c>
      <x:c r="JC23" s="27" t="str">
        <x:f>IF(C23="","",0)</x:f>
      </x:c>
      <x:c r="JD23" s="27" t="str">
        <x:f>IF(C23="","",0)</x:f>
      </x:c>
      <x:c r="JE23" s="27" t="str">
        <x:f>IF(C23="","",0)</x:f>
      </x:c>
      <x:c r="JF23" s="27" t="str">
        <x:f>IF(C23="","",0)</x:f>
      </x:c>
      <x:c r="JG23" s="27" t="str">
        <x:f>IF(C23="","",0)</x:f>
      </x:c>
      <x:c r="JH23" s="27" t="str">
        <x:f>IF(C23="","",0)</x:f>
      </x:c>
      <x:c r="JI23" s="27" t="str">
        <x:f>IF(C23="","",HP23*1000000000+IW23*1000000+IQ23*10000+IK23*100+JC23+6/1000)</x:f>
      </x:c>
      <x:c r="JJ23" s="27" t="str">
        <x:f>IF(C23="","",HQ23*1000000000+IX23*1000000+IR23*10000+IL23*100+JD23+5/1000)</x:f>
      </x:c>
      <x:c r="JK23" s="27" t="str">
        <x:f>IF(C23="","",HR23*1000000000+IY23*1000000+IS23*10000+IM23*100+JE23+4/1000)</x:f>
      </x:c>
      <x:c r="JL23" s="27" t="str">
        <x:f>IF(C23="","",HS23*1000000000+IZ23*1000000+IT23*10000+IN23*100+JF23+3/1000)</x:f>
      </x:c>
      <x:c r="JM23" s="27" t="str">
        <x:f>IF(C23="","",HT23*1000000000+JA23*1000000+IU23*10000+IO23*100+JG23+2/1000)</x:f>
      </x:c>
      <x:c r="JN23" s="27" t="str">
        <x:f>IF(C23="","",HU23*1000000000+JB23*1000000+IV23*10000+IP23*100+JH23+1/1000)</x:f>
      </x:c>
    </x:row>
    <x:row r="24">
      <x:c r="A24" s="27"/>
      <x:c r="B24" s="28"/>
      <x:c r="C24" s="27"/>
      <x:c r="D24" s="27"/>
      <x:c r="E24" s="27"/>
      <x:c r="F24" s="27"/>
      <x:c r="G24" s="27"/>
      <x:c r="H24" s="27"/>
      <x:c r="I24" s="27"/>
      <x:c r="J24" s="27"/>
      <x:c r="K24" s="27"/>
      <x:c r="L24" s="27"/>
      <x:c r="M24" s="27"/>
      <x:c r="N24" s="27"/>
      <x:c r="O24" s="27"/>
      <x:c r="P24" s="27"/>
      <x:c r="Q24" s="27"/>
      <x:c r="R24" s="27"/>
      <x:c r="S24" s="27"/>
      <x:c r="T24" s="27"/>
      <x:c r="U24" s="27"/>
      <x:c r="V24" s="27"/>
      <x:c r="W24" s="27"/>
      <x:c r="X24" s="27"/>
      <x:c r="Y24" s="27"/>
      <x:c r="Z24" s="27"/>
      <x:c r="AA24" s="27"/>
      <x:c r="AB24" s="27"/>
      <x:c r="AC24" s="27"/>
      <x:c r="AD24" s="27"/>
      <x:c r="AE24" s="27"/>
      <x:c r="AF24" s="27"/>
      <x:c r="AG24" s="27"/>
      <x:c r="AH24" s="27"/>
      <x:c r="AI24" s="27"/>
      <x:c r="AJ24" s="27"/>
      <x:c r="AK24" s="27"/>
      <x:c r="AL24" s="27"/>
      <x:c r="AM24" s="27"/>
      <x:c r="AN24" s="27"/>
      <x:c r="AO24" s="27"/>
      <x:c r="AP24" s="27"/>
      <x:c r="AQ24" s="27"/>
      <x:c r="AR24" s="27"/>
      <x:c r="AS24" s="27"/>
      <x:c r="AT24" s="27"/>
      <x:c r="AU24" s="27"/>
      <x:c r="AV24" s="27"/>
      <x:c r="AW24" s="27"/>
      <x:c r="AX24" s="27"/>
      <x:c r="AY24" s="27"/>
      <x:c r="AZ24" s="27"/>
      <x:c r="BA24" s="27"/>
      <x:c r="BB24" s="27"/>
      <x:c r="BC24" s="27"/>
      <x:c r="BD24" s="27"/>
      <x:c r="BE24" s="27"/>
      <x:c r="BF24" s="27"/>
      <x:c r="BG24" s="27"/>
      <x:c r="BH24" s="27"/>
      <x:c r="BI24" s="27"/>
      <x:c r="BJ24" s="27"/>
      <x:c r="BK24" s="27"/>
      <x:c r="BL24" s="27"/>
      <x:c r="BM24" s="27"/>
      <x:c r="BN24" s="27"/>
      <x:c r="BO24" s="27"/>
      <x:c r="BP24" s="27"/>
      <x:c r="BQ24" s="27"/>
      <x:c r="BR24" s="27"/>
      <x:c r="BS24" s="27"/>
      <x:c r="BT24" s="27"/>
      <x:c r="BU24" s="27"/>
      <x:c r="BV24" s="27"/>
      <x:c r="BW24" s="27"/>
      <x:c r="BX24" s="27"/>
      <x:c r="BY24" s="27"/>
      <x:c r="BZ24" s="27"/>
      <x:c r="CA24" s="27"/>
      <x:c r="CB24" s="27"/>
      <x:c r="CC24" s="27"/>
      <x:c r="CD24" s="27"/>
      <x:c r="CE24" s="27"/>
      <x:c r="CF24" s="27"/>
      <x:c r="CG24" s="27"/>
      <x:c r="CH24" s="27"/>
      <x:c r="CI24" s="27"/>
      <x:c r="CJ24" s="27"/>
      <x:c r="CK24" s="27"/>
      <x:c r="CL24" s="27"/>
      <x:c r="CM24" s="27"/>
      <x:c r="CN24" s="27"/>
      <x:c r="CO24" s="27"/>
      <x:c r="CP24" s="27"/>
      <x:c r="CQ24" s="27"/>
      <x:c r="CR24" s="27"/>
      <x:c r="CS24" s="27"/>
      <x:c r="CT24" s="27"/>
      <x:c r="CU24" s="27"/>
      <x:c r="CV24" s="27"/>
      <x:c r="CW24" s="27"/>
      <x:c r="CX24" s="27"/>
      <x:c r="CY24" s="27"/>
      <x:c r="CZ24" s="27"/>
      <x:c r="DA24" s="27"/>
      <x:c r="DB24" s="27"/>
      <x:c r="DC24" s="27"/>
      <x:c r="DD24" s="27"/>
      <x:c r="DE24" s="27"/>
      <x:c r="DF24" s="27"/>
      <x:c r="DG24" s="27"/>
      <x:c r="DH24" s="27"/>
      <x:c r="DI24" s="27"/>
      <x:c r="DJ24" s="27"/>
      <x:c r="DK24" s="27"/>
      <x:c r="DL24" s="27"/>
      <x:c r="DM24" s="27"/>
      <x:c r="DN24" s="27"/>
      <x:c r="DO24" s="27"/>
      <x:c r="DP24" s="27"/>
      <x:c r="DQ24" s="27"/>
      <x:c r="DR24" s="27"/>
      <x:c r="DS24" s="27"/>
      <x:c r="DT24" s="27"/>
      <x:c r="DU24" s="27"/>
      <x:c r="DV24" s="27"/>
      <x:c r="DW24" s="27"/>
      <x:c r="DX24" s="27"/>
      <x:c r="DY24" s="27"/>
      <x:c r="DZ24" s="27"/>
      <x:c r="EA24" s="27"/>
      <x:c r="EB24" s="27"/>
      <x:c r="EC24" s="27"/>
      <x:c r="ED24" s="27"/>
      <x:c r="EE24" s="27"/>
      <x:c r="EF24" s="27"/>
      <x:c r="EG24" s="27"/>
      <x:c r="EH24" s="27"/>
      <x:c r="EI24" s="27"/>
      <x:c r="EJ24" s="27"/>
      <x:c r="EK24" s="27"/>
      <x:c r="EL24" s="27"/>
      <x:c r="EM24" s="27"/>
      <x:c r="EN24" s="27"/>
      <x:c r="EO24" s="27"/>
      <x:c r="EP24" s="27"/>
      <x:c r="EQ24" s="27"/>
      <x:c r="ER24" s="27"/>
      <x:c r="ES24" s="27"/>
      <x:c r="ET24" s="27"/>
      <x:c r="EU24" s="27"/>
      <x:c r="EV24" s="27"/>
      <x:c r="EW24" s="27"/>
      <x:c r="EX24" s="27"/>
      <x:c r="EY24" s="27"/>
      <x:c r="EZ24" s="27"/>
      <x:c r="FA24" s="27"/>
      <x:c r="FB24" s="27"/>
      <x:c r="FC24" s="27"/>
      <x:c r="FD24" s="27"/>
      <x:c r="FE24" s="27"/>
      <x:c r="FF24" s="27"/>
      <x:c r="FG24" s="27"/>
      <x:c r="FH24" s="27"/>
      <x:c r="FI24" s="27"/>
      <x:c r="FJ24" s="27"/>
      <x:c r="FK24" s="27"/>
      <x:c r="FL24" s="27"/>
      <x:c r="FM24" s="27"/>
      <x:c r="FN24" s="27"/>
      <x:c r="FO24" s="27"/>
      <x:c r="FP24" s="27"/>
      <x:c r="FQ24" s="27"/>
      <x:c r="FR24" s="27"/>
      <x:c r="FS24" s="27"/>
      <x:c r="FT24" s="27"/>
      <x:c r="FU24" s="27"/>
      <x:c r="FV24" s="27"/>
      <x:c r="FW24" s="27"/>
      <x:c r="FX24" s="27"/>
      <x:c r="FY24" s="27"/>
      <x:c r="FZ24" s="27"/>
      <x:c r="GA24" s="27"/>
      <x:c r="GB24" s="27"/>
      <x:c r="GC24" s="27"/>
      <x:c r="GD24" s="27"/>
      <x:c r="GE24" s="27"/>
      <x:c r="GF24" s="27"/>
      <x:c r="GG24" s="27"/>
      <x:c r="GH24" s="27"/>
      <x:c r="GI24" s="27"/>
      <x:c r="GJ24" s="27"/>
      <x:c r="GK24" s="27"/>
      <x:c r="GL24" s="27"/>
      <x:c r="GM24" s="27"/>
      <x:c r="GN24" s="27"/>
      <x:c r="GO24" s="27"/>
      <x:c r="GP24" s="27"/>
      <x:c r="GQ24" s="27"/>
      <x:c r="GR24" s="27"/>
      <x:c r="GS24" s="27"/>
      <x:c r="GT24" s="27"/>
      <x:c r="GU24" s="27"/>
      <x:c r="GV24" s="27"/>
      <x:c r="GW24" s="27"/>
      <x:c r="GX24" s="27"/>
      <x:c r="GY24" s="27"/>
      <x:c r="GZ24" s="27"/>
      <x:c r="HA24" s="27"/>
      <x:c r="HB24" s="27"/>
      <x:c r="HC24" s="27"/>
      <x:c r="HD24" s="27"/>
      <x:c r="HE24" s="27"/>
      <x:c r="HF24" s="27"/>
      <x:c r="HG24" s="27"/>
      <x:c r="HH24" s="27"/>
      <x:c r="HI24" s="27"/>
      <x:c r="HJ24" s="27"/>
      <x:c r="HK24" s="27"/>
      <x:c r="HL24" s="27"/>
      <x:c r="HM24" s="27"/>
      <x:c r="HN24" s="27"/>
      <x:c r="HO24" s="27"/>
      <x:c r="HP24" s="27" t="str">
        <x:f>IF(C24="","",SUM(H24,N24,T24,Z24,AF24,AL24,AR24,AX24,BD24,BJ24,BP24,BV24,CB24,CH24,CN24,CT24,CZ24,DF24,DL24,DR24,DX24,ED24,EJ24,EP24,EV24,FB24,FH24,FN24,FT24,FZ24,GF24,GL24,GR24,GX24,HD24,HJ24))</x:f>
      </x:c>
      <x:c r="HQ24" s="27" t="str">
        <x:f>IF(C24="","",SUM(I24,O24,U24,AA24,AG24,AM24,AS24,AY24,BE24,BK24,BQ24,BW24,CC24,CI24,CO24,CU24,DA24,DG24,DM24,DS24,DY24,EE24,EK24,EQ24,EW24,FC24,FI24,FO24,FU24,GA24,GG24,GM24,GS24,GY24,HE24,HK24))</x:f>
      </x:c>
      <x:c r="HR24" s="27" t="str">
        <x:f>IF(C24="","",SUM(J24,P24,V24,AB24,AH24,AN24,AT24,AZ24,BF24,BL24,BR24,BX24,CD24,CJ24,CP24,CV24,DB24,DH24,DN24,DT24,DZ24,EF24,EL24,ER24,EX24,FD24,FJ24,FP24,FV24,GB24,GH24,GN24,GT24,GZ24,HF24,HL24))</x:f>
      </x:c>
      <x:c r="HS24" s="27" t="str">
        <x:f>IF(C24="","",SUM(K24,Q24,W24,AC24,AI24,AO24,AU24,BA24,BG24,BM24,BS24,BY24,CE24,CK24,CQ24,CW24,DC24,DI24,DO24,DU24,EA24,EG24,EM24,ES24,EY24,FE24,FK24,FQ24,FW24,GC24,GI24,GO24,GU24,HA24,HG24,HM24))</x:f>
      </x:c>
      <x:c r="HT24" s="27" t="str">
        <x:f>IF(C24="","",SUM(L24,R24,X24,AD24,AJ24,AP24,AV24,BB24,BH24,BN24,BT24,BZ24,CF24,CL24,CR24,CX24,DD24,DJ24,DP24,DV24,EB24,EH24,EN24,ET24,EZ24,FF24,FL24,FR24,FX24,GD24,GJ24,GP24,GV24,HB24,HH24,HN24))</x:f>
      </x:c>
      <x:c r="HU24" s="27" t="str">
        <x:f>IF(C24="","",SUM(M24,S24,Y24,AE24,AK24,AQ24,AW24,BC24,BI24,BO24,BU24,CA24,CG24,CM24,CS24,CY24,DE24,DK24,DQ24,DW24,EC24,EI24,EO24,EU24,FA24,FG24,FM24,FS24,FY24,GE24,GK24,GQ24,GW24,HC24,HI24,HO24))</x:f>
      </x:c>
      <x:c r="HV24" s="27" t="str">
        <x:f>IF(C24="","",IF(JI24=LARGE(JI24:JN24,1),"R",IF(JJ24=LARGE(JI24:JN24,1),"I",IF(JK24=LARGE(JI24:JN24,1),"A",IF(JL24=LARGE(JI24:JN24,1),"S",IF(JM24=LARGE(JI24:JN24,1),"E",IF(JN24=LARGE(JI24:JN24,1),"C",""))))))&amp;IF(JI24=LARGE(JI24:JN24,2),"R",IF(JJ24=LARGE(JI24:JN24,2),"I",IF(JK24=LARGE(JI24:JN24,2),"A",IF(JL24=LARGE(JI24:JN24,2),"S",IF(JM24=LARGE(JI24:JN24,2),"E",IF(JN24=LARGE(JI24:JN24,2),"C",""))))))&amp;IF(JI24=LARGE(JI24:JN24,3),"R",IF(JJ24=LARGE(JI24:JN24,3),"I",IF(JK24=LARGE(JI24:JN24,3),"A",IF(JL24=LARGE(JI24:JN24,3),"S",IF(JM24=LARGE(JI24:JN24,3),"E",IF(JN24=LARGE(JI24:JN24,3),"C","")))))))</x:f>
      </x:c>
      <x:c r="HW24" s="27" t="str">
        <x:f>IF(C24="","",IF(JI24=LARGE(JI24:JN24,1),"นักปฏิบัติ",IF(JJ24=LARGE(JI24:JN24,1),"นักคิดวิเคราะห์",IF(JK24=LARGE(JI24:JN24,1),"นักสร้างสรรค์",IF(JL24=LARGE(JI24:JN24,1),"ผู้เข้าใจผู้คน",IF(JM24=LARGE(JI24:JN24,1),"ผู้นำการเปลี่ยนแปลง",IF(JN24=LARGE(JI24:JN24,1),"ผู้จัดระบบ","ผู้จัดระบบ")))))))</x:f>
      </x:c>
      <x:c r="HX24" s="27"/>
      <x:c r="HY24" s="27"/>
      <x:c r="HZ24" s="27"/>
      <x:c r="IA24" s="27"/>
      <x:c r="IB24" s="27"/>
      <x:c r="IC24" s="27"/>
      <x:c r="ID24" s="27"/>
      <x:c r="IE24" s="27"/>
      <x:c r="IF24" s="27"/>
      <x:c r="IG24" s="27"/>
      <x:c r="IH24" s="27"/>
      <x:c r="II24" s="27"/>
      <x:c r="IJ24" s="27"/>
      <x:c r="IK24" s="27" t="str">
        <x:f>IF(C24="","",SUM(H24,N24,T24,Z24,AF24,AL24,AR24,AX24,BD24,BJ24,BP24))</x:f>
      </x:c>
      <x:c r="IL24" s="27" t="str">
        <x:f>IF(C24="","",SUM(I24,O24,U24,AA24,AG24,AM24,AS24,AY24,BE24,BK24,BQ24))</x:f>
      </x:c>
      <x:c r="IM24" s="27" t="str">
        <x:f>IF(C24="","",SUM(J24,P24,V24,AB24,AH24,AN24,AT24,AZ24,BF24,BL24,BR24))</x:f>
      </x:c>
      <x:c r="IN24" s="27" t="str">
        <x:f>IF(C24="","",SUM(K24,Q24,W24,AC24,AI24,AO24,AU24,BA24,BG24,BM24,BS24))</x:f>
      </x:c>
      <x:c r="IO24" s="27" t="str">
        <x:f>IF(C24="","",SUM(L24,R24,X24,AD24,AJ24,AP24,AV24,BB24,BH24,BN24,BT24))</x:f>
      </x:c>
      <x:c r="IP24" s="27" t="str">
        <x:f>IF(C24="","",SUM(M24,S24,Y24,AE24,AK24,AQ24,AW24,BC24,BI24,BO24,BU24))</x:f>
      </x:c>
      <x:c r="IQ24" s="27" t="str">
        <x:f>IF(C24="","",SUM(BV24,CB24,CH24,CN24,CT24,CZ24,DF24,DL24,DR24,DX24,ED24))</x:f>
      </x:c>
      <x:c r="IR24" s="27" t="str">
        <x:f>IF(C24="","",SUM(BW24,CC24,CI24,CO24,CU24,DA24,DG24,DM24,DS24,DY24,EE24))</x:f>
      </x:c>
      <x:c r="IS24" s="27" t="str">
        <x:f>IF(C24="","",SUM(BX24,CD24,CJ24,CP24,CV24,DB24,DH24,DN24,DT24,DZ24,EF24))</x:f>
      </x:c>
      <x:c r="IT24" s="27" t="str">
        <x:f>IF(C24="","",SUM(BY24,CE24,CK24,CQ24,CW24,DC24,DI24,DO24,DU24,EA24,EG24))</x:f>
      </x:c>
      <x:c r="IU24" s="27" t="str">
        <x:f>IF(C24="","",SUM(BZ24,CF24,CL24,CR24,CX24,DD24,DJ24,DP24,DV24,EB24,EH24))</x:f>
      </x:c>
      <x:c r="IV24" s="27" t="str">
        <x:f>IF(C24="","",SUM(CA24,CG24,CM24,CS24,CY24,DE24,DK24,DQ24,DW24,EC24,EI24))</x:f>
      </x:c>
      <x:c r="IW24" s="27" t="str">
        <x:f>IF(C24="","",SUM(EJ24,EP24,EV24,FB24,FH24,FN24,FT24,FZ24,GF24,GL24,GR24,GX24,HD24,HJ24))</x:f>
      </x:c>
      <x:c r="IX24" s="27" t="str">
        <x:f>IF(C24="","",SUM(EK24,EQ24,EW24,FC24,FI24,FO24,FU24,GA24,GG24,GM24,GS24,GY24,HE24,HK24))</x:f>
      </x:c>
      <x:c r="IY24" s="27" t="str">
        <x:f>IF(C24="","",SUM(EL24,ER24,EX24,FD24,FJ24,FP24,FV24,GB24,GH24,GN24,GT24,GZ24,HF24,HL24))</x:f>
      </x:c>
      <x:c r="IZ24" s="27" t="str">
        <x:f>IF(C24="","",SUM(EM24,ES24,EY24,FE24,FK24,FQ24,FW24,GC24,GI24,GO24,GU24,HA24,HG24,HM24))</x:f>
      </x:c>
      <x:c r="JA24" s="27" t="str">
        <x:f>IF(C24="","",SUM(EN24,ET24,EZ24,FF24,FL24,FR24,FX24,GD24,GJ24,GP24,GV24,HB24,HH24,HN24))</x:f>
      </x:c>
      <x:c r="JB24" s="27" t="str">
        <x:f>IF(C24="","",SUM(EO24,EU24,FA24,FG24,FM24,FS24,FY24,GE24,GK24,GQ24,GW24,HC24,HI24,HO24))</x:f>
      </x:c>
      <x:c r="JC24" s="27" t="str">
        <x:f>IF(C24="","",0)</x:f>
      </x:c>
      <x:c r="JD24" s="27" t="str">
        <x:f>IF(C24="","",0)</x:f>
      </x:c>
      <x:c r="JE24" s="27" t="str">
        <x:f>IF(C24="","",0)</x:f>
      </x:c>
      <x:c r="JF24" s="27" t="str">
        <x:f>IF(C24="","",0)</x:f>
      </x:c>
      <x:c r="JG24" s="27" t="str">
        <x:f>IF(C24="","",0)</x:f>
      </x:c>
      <x:c r="JH24" s="27" t="str">
        <x:f>IF(C24="","",0)</x:f>
      </x:c>
      <x:c r="JI24" s="27" t="str">
        <x:f>IF(C24="","",HP24*1000000000+IW24*1000000+IQ24*10000+IK24*100+JC24+6/1000)</x:f>
      </x:c>
      <x:c r="JJ24" s="27" t="str">
        <x:f>IF(C24="","",HQ24*1000000000+IX24*1000000+IR24*10000+IL24*100+JD24+5/1000)</x:f>
      </x:c>
      <x:c r="JK24" s="27" t="str">
        <x:f>IF(C24="","",HR24*1000000000+IY24*1000000+IS24*10000+IM24*100+JE24+4/1000)</x:f>
      </x:c>
      <x:c r="JL24" s="27" t="str">
        <x:f>IF(C24="","",HS24*1000000000+IZ24*1000000+IT24*10000+IN24*100+JF24+3/1000)</x:f>
      </x:c>
      <x:c r="JM24" s="27" t="str">
        <x:f>IF(C24="","",HT24*1000000000+JA24*1000000+IU24*10000+IO24*100+JG24+2/1000)</x:f>
      </x:c>
      <x:c r="JN24" s="27" t="str">
        <x:f>IF(C24="","",HU24*1000000000+JB24*1000000+IV24*10000+IP24*100+JH24+1/1000)</x:f>
      </x:c>
    </x:row>
    <x:row r="25">
      <x:c r="A25" s="27"/>
      <x:c r="B25" s="28"/>
      <x:c r="C25" s="27"/>
      <x:c r="D25" s="27"/>
      <x:c r="E25" s="27"/>
      <x:c r="F25" s="27"/>
      <x:c r="G25" s="27"/>
      <x:c r="H25" s="27"/>
      <x:c r="I25" s="27"/>
      <x:c r="J25" s="27"/>
      <x:c r="K25" s="27"/>
      <x:c r="L25" s="27"/>
      <x:c r="M25" s="27"/>
      <x:c r="N25" s="27"/>
      <x:c r="O25" s="27"/>
      <x:c r="P25" s="27"/>
      <x:c r="Q25" s="27"/>
      <x:c r="R25" s="27"/>
      <x:c r="S25" s="27"/>
      <x:c r="T25" s="27"/>
      <x:c r="U25" s="27"/>
      <x:c r="V25" s="27"/>
      <x:c r="W25" s="27"/>
      <x:c r="X25" s="27"/>
      <x:c r="Y25" s="27"/>
      <x:c r="Z25" s="27"/>
      <x:c r="AA25" s="27"/>
      <x:c r="AB25" s="27"/>
      <x:c r="AC25" s="27"/>
      <x:c r="AD25" s="27"/>
      <x:c r="AE25" s="27"/>
      <x:c r="AF25" s="27"/>
      <x:c r="AG25" s="27"/>
      <x:c r="AH25" s="27"/>
      <x:c r="AI25" s="27"/>
      <x:c r="AJ25" s="27"/>
      <x:c r="AK25" s="27"/>
      <x:c r="AL25" s="27"/>
      <x:c r="AM25" s="27"/>
      <x:c r="AN25" s="27"/>
      <x:c r="AO25" s="27"/>
      <x:c r="AP25" s="27"/>
      <x:c r="AQ25" s="27"/>
      <x:c r="AR25" s="27"/>
      <x:c r="AS25" s="27"/>
      <x:c r="AT25" s="27"/>
      <x:c r="AU25" s="27"/>
      <x:c r="AV25" s="27"/>
      <x:c r="AW25" s="27"/>
      <x:c r="AX25" s="27"/>
      <x:c r="AY25" s="27"/>
      <x:c r="AZ25" s="27"/>
      <x:c r="BA25" s="27"/>
      <x:c r="BB25" s="27"/>
      <x:c r="BC25" s="27"/>
      <x:c r="BD25" s="27"/>
      <x:c r="BE25" s="27"/>
      <x:c r="BF25" s="27"/>
      <x:c r="BG25" s="27"/>
      <x:c r="BH25" s="27"/>
      <x:c r="BI25" s="27"/>
      <x:c r="BJ25" s="27"/>
      <x:c r="BK25" s="27"/>
      <x:c r="BL25" s="27"/>
      <x:c r="BM25" s="27"/>
      <x:c r="BN25" s="27"/>
      <x:c r="BO25" s="27"/>
      <x:c r="BP25" s="27"/>
      <x:c r="BQ25" s="27"/>
      <x:c r="BR25" s="27"/>
      <x:c r="BS25" s="27"/>
      <x:c r="BT25" s="27"/>
      <x:c r="BU25" s="27"/>
      <x:c r="BV25" s="27"/>
      <x:c r="BW25" s="27"/>
      <x:c r="BX25" s="27"/>
      <x:c r="BY25" s="27"/>
      <x:c r="BZ25" s="27"/>
      <x:c r="CA25" s="27"/>
      <x:c r="CB25" s="27"/>
      <x:c r="CC25" s="27"/>
      <x:c r="CD25" s="27"/>
      <x:c r="CE25" s="27"/>
      <x:c r="CF25" s="27"/>
      <x:c r="CG25" s="27"/>
      <x:c r="CH25" s="27"/>
      <x:c r="CI25" s="27"/>
      <x:c r="CJ25" s="27"/>
      <x:c r="CK25" s="27"/>
      <x:c r="CL25" s="27"/>
      <x:c r="CM25" s="27"/>
      <x:c r="CN25" s="27"/>
      <x:c r="CO25" s="27"/>
      <x:c r="CP25" s="27"/>
      <x:c r="CQ25" s="27"/>
      <x:c r="CR25" s="27"/>
      <x:c r="CS25" s="27"/>
      <x:c r="CT25" s="27"/>
      <x:c r="CU25" s="27"/>
      <x:c r="CV25" s="27"/>
      <x:c r="CW25" s="27"/>
      <x:c r="CX25" s="27"/>
      <x:c r="CY25" s="27"/>
      <x:c r="CZ25" s="27"/>
      <x:c r="DA25" s="27"/>
      <x:c r="DB25" s="27"/>
      <x:c r="DC25" s="27"/>
      <x:c r="DD25" s="27"/>
      <x:c r="DE25" s="27"/>
      <x:c r="DF25" s="27"/>
      <x:c r="DG25" s="27"/>
      <x:c r="DH25" s="27"/>
      <x:c r="DI25" s="27"/>
      <x:c r="DJ25" s="27"/>
      <x:c r="DK25" s="27"/>
      <x:c r="DL25" s="27"/>
      <x:c r="DM25" s="27"/>
      <x:c r="DN25" s="27"/>
      <x:c r="DO25" s="27"/>
      <x:c r="DP25" s="27"/>
      <x:c r="DQ25" s="27"/>
      <x:c r="DR25" s="27"/>
      <x:c r="DS25" s="27"/>
      <x:c r="DT25" s="27"/>
      <x:c r="DU25" s="27"/>
      <x:c r="DV25" s="27"/>
      <x:c r="DW25" s="27"/>
      <x:c r="DX25" s="27"/>
      <x:c r="DY25" s="27"/>
      <x:c r="DZ25" s="27"/>
      <x:c r="EA25" s="27"/>
      <x:c r="EB25" s="27"/>
      <x:c r="EC25" s="27"/>
      <x:c r="ED25" s="27"/>
      <x:c r="EE25" s="27"/>
      <x:c r="EF25" s="27"/>
      <x:c r="EG25" s="27"/>
      <x:c r="EH25" s="27"/>
      <x:c r="EI25" s="27"/>
      <x:c r="EJ25" s="27"/>
      <x:c r="EK25" s="27"/>
      <x:c r="EL25" s="27"/>
      <x:c r="EM25" s="27"/>
      <x:c r="EN25" s="27"/>
      <x:c r="EO25" s="27"/>
      <x:c r="EP25" s="27"/>
      <x:c r="EQ25" s="27"/>
      <x:c r="ER25" s="27"/>
      <x:c r="ES25" s="27"/>
      <x:c r="ET25" s="27"/>
      <x:c r="EU25" s="27"/>
      <x:c r="EV25" s="27"/>
      <x:c r="EW25" s="27"/>
      <x:c r="EX25" s="27"/>
      <x:c r="EY25" s="27"/>
      <x:c r="EZ25" s="27"/>
      <x:c r="FA25" s="27"/>
      <x:c r="FB25" s="27"/>
      <x:c r="FC25" s="27"/>
      <x:c r="FD25" s="27"/>
      <x:c r="FE25" s="27"/>
      <x:c r="FF25" s="27"/>
      <x:c r="FG25" s="27"/>
      <x:c r="FH25" s="27"/>
      <x:c r="FI25" s="27"/>
      <x:c r="FJ25" s="27"/>
      <x:c r="FK25" s="27"/>
      <x:c r="FL25" s="27"/>
      <x:c r="FM25" s="27"/>
      <x:c r="FN25" s="27"/>
      <x:c r="FO25" s="27"/>
      <x:c r="FP25" s="27"/>
      <x:c r="FQ25" s="27"/>
      <x:c r="FR25" s="27"/>
      <x:c r="FS25" s="27"/>
      <x:c r="FT25" s="27"/>
      <x:c r="FU25" s="27"/>
      <x:c r="FV25" s="27"/>
      <x:c r="FW25" s="27"/>
      <x:c r="FX25" s="27"/>
      <x:c r="FY25" s="27"/>
      <x:c r="FZ25" s="27"/>
      <x:c r="GA25" s="27"/>
      <x:c r="GB25" s="27"/>
      <x:c r="GC25" s="27"/>
      <x:c r="GD25" s="27"/>
      <x:c r="GE25" s="27"/>
      <x:c r="GF25" s="27"/>
      <x:c r="GG25" s="27"/>
      <x:c r="GH25" s="27"/>
      <x:c r="GI25" s="27"/>
      <x:c r="GJ25" s="27"/>
      <x:c r="GK25" s="27"/>
      <x:c r="GL25" s="27"/>
      <x:c r="GM25" s="27"/>
      <x:c r="GN25" s="27"/>
      <x:c r="GO25" s="27"/>
      <x:c r="GP25" s="27"/>
      <x:c r="GQ25" s="27"/>
      <x:c r="GR25" s="27"/>
      <x:c r="GS25" s="27"/>
      <x:c r="GT25" s="27"/>
      <x:c r="GU25" s="27"/>
      <x:c r="GV25" s="27"/>
      <x:c r="GW25" s="27"/>
      <x:c r="GX25" s="27"/>
      <x:c r="GY25" s="27"/>
      <x:c r="GZ25" s="27"/>
      <x:c r="HA25" s="27"/>
      <x:c r="HB25" s="27"/>
      <x:c r="HC25" s="27"/>
      <x:c r="HD25" s="27"/>
      <x:c r="HE25" s="27"/>
      <x:c r="HF25" s="27"/>
      <x:c r="HG25" s="27"/>
      <x:c r="HH25" s="27"/>
      <x:c r="HI25" s="27"/>
      <x:c r="HJ25" s="27"/>
      <x:c r="HK25" s="27"/>
      <x:c r="HL25" s="27"/>
      <x:c r="HM25" s="27"/>
      <x:c r="HN25" s="27"/>
      <x:c r="HO25" s="27"/>
      <x:c r="HP25" s="27" t="str">
        <x:f>IF(C25="","",SUM(H25,N25,T25,Z25,AF25,AL25,AR25,AX25,BD25,BJ25,BP25,BV25,CB25,CH25,CN25,CT25,CZ25,DF25,DL25,DR25,DX25,ED25,EJ25,EP25,EV25,FB25,FH25,FN25,FT25,FZ25,GF25,GL25,GR25,GX25,HD25,HJ25))</x:f>
      </x:c>
      <x:c r="HQ25" s="27" t="str">
        <x:f>IF(C25="","",SUM(I25,O25,U25,AA25,AG25,AM25,AS25,AY25,BE25,BK25,BQ25,BW25,CC25,CI25,CO25,CU25,DA25,DG25,DM25,DS25,DY25,EE25,EK25,EQ25,EW25,FC25,FI25,FO25,FU25,GA25,GG25,GM25,GS25,GY25,HE25,HK25))</x:f>
      </x:c>
      <x:c r="HR25" s="27" t="str">
        <x:f>IF(C25="","",SUM(J25,P25,V25,AB25,AH25,AN25,AT25,AZ25,BF25,BL25,BR25,BX25,CD25,CJ25,CP25,CV25,DB25,DH25,DN25,DT25,DZ25,EF25,EL25,ER25,EX25,FD25,FJ25,FP25,FV25,GB25,GH25,GN25,GT25,GZ25,HF25,HL25))</x:f>
      </x:c>
      <x:c r="HS25" s="27" t="str">
        <x:f>IF(C25="","",SUM(K25,Q25,W25,AC25,AI25,AO25,AU25,BA25,BG25,BM25,BS25,BY25,CE25,CK25,CQ25,CW25,DC25,DI25,DO25,DU25,EA25,EG25,EM25,ES25,EY25,FE25,FK25,FQ25,FW25,GC25,GI25,GO25,GU25,HA25,HG25,HM25))</x:f>
      </x:c>
      <x:c r="HT25" s="27" t="str">
        <x:f>IF(C25="","",SUM(L25,R25,X25,AD25,AJ25,AP25,AV25,BB25,BH25,BN25,BT25,BZ25,CF25,CL25,CR25,CX25,DD25,DJ25,DP25,DV25,EB25,EH25,EN25,ET25,EZ25,FF25,FL25,FR25,FX25,GD25,GJ25,GP25,GV25,HB25,HH25,HN25))</x:f>
      </x:c>
      <x:c r="HU25" s="27" t="str">
        <x:f>IF(C25="","",SUM(M25,S25,Y25,AE25,AK25,AQ25,AW25,BC25,BI25,BO25,BU25,CA25,CG25,CM25,CS25,CY25,DE25,DK25,DQ25,DW25,EC25,EI25,EO25,EU25,FA25,FG25,FM25,FS25,FY25,GE25,GK25,GQ25,GW25,HC25,HI25,HO25))</x:f>
      </x:c>
      <x:c r="HV25" s="27" t="str">
        <x:f>IF(C25="","",IF(JI25=LARGE(JI25:JN25,1),"R",IF(JJ25=LARGE(JI25:JN25,1),"I",IF(JK25=LARGE(JI25:JN25,1),"A",IF(JL25=LARGE(JI25:JN25,1),"S",IF(JM25=LARGE(JI25:JN25,1),"E",IF(JN25=LARGE(JI25:JN25,1),"C",""))))))&amp;IF(JI25=LARGE(JI25:JN25,2),"R",IF(JJ25=LARGE(JI25:JN25,2),"I",IF(JK25=LARGE(JI25:JN25,2),"A",IF(JL25=LARGE(JI25:JN25,2),"S",IF(JM25=LARGE(JI25:JN25,2),"E",IF(JN25=LARGE(JI25:JN25,2),"C",""))))))&amp;IF(JI25=LARGE(JI25:JN25,3),"R",IF(JJ25=LARGE(JI25:JN25,3),"I",IF(JK25=LARGE(JI25:JN25,3),"A",IF(JL25=LARGE(JI25:JN25,3),"S",IF(JM25=LARGE(JI25:JN25,3),"E",IF(JN25=LARGE(JI25:JN25,3),"C","")))))))</x:f>
      </x:c>
      <x:c r="HW25" s="27" t="str">
        <x:f>IF(C25="","",IF(JI25=LARGE(JI25:JN25,1),"นักปฏิบัติ",IF(JJ25=LARGE(JI25:JN25,1),"นักคิดวิเคราะห์",IF(JK25=LARGE(JI25:JN25,1),"นักสร้างสรรค์",IF(JL25=LARGE(JI25:JN25,1),"ผู้เข้าใจผู้คน",IF(JM25=LARGE(JI25:JN25,1),"ผู้นำการเปลี่ยนแปลง",IF(JN25=LARGE(JI25:JN25,1),"ผู้จัดระบบ","ผู้จัดระบบ")))))))</x:f>
      </x:c>
      <x:c r="HX25" s="27"/>
      <x:c r="HY25" s="27"/>
      <x:c r="HZ25" s="27"/>
      <x:c r="IA25" s="27"/>
      <x:c r="IB25" s="27"/>
      <x:c r="IC25" s="27"/>
      <x:c r="ID25" s="27"/>
      <x:c r="IE25" s="27"/>
      <x:c r="IF25" s="27"/>
      <x:c r="IG25" s="27"/>
      <x:c r="IH25" s="27"/>
      <x:c r="II25" s="27"/>
      <x:c r="IJ25" s="27"/>
      <x:c r="IK25" s="27" t="str">
        <x:f>IF(C25="","",SUM(H25,N25,T25,Z25,AF25,AL25,AR25,AX25,BD25,BJ25,BP25))</x:f>
      </x:c>
      <x:c r="IL25" s="27" t="str">
        <x:f>IF(C25="","",SUM(I25,O25,U25,AA25,AG25,AM25,AS25,AY25,BE25,BK25,BQ25))</x:f>
      </x:c>
      <x:c r="IM25" s="27" t="str">
        <x:f>IF(C25="","",SUM(J25,P25,V25,AB25,AH25,AN25,AT25,AZ25,BF25,BL25,BR25))</x:f>
      </x:c>
      <x:c r="IN25" s="27" t="str">
        <x:f>IF(C25="","",SUM(K25,Q25,W25,AC25,AI25,AO25,AU25,BA25,BG25,BM25,BS25))</x:f>
      </x:c>
      <x:c r="IO25" s="27" t="str">
        <x:f>IF(C25="","",SUM(L25,R25,X25,AD25,AJ25,AP25,AV25,BB25,BH25,BN25,BT25))</x:f>
      </x:c>
      <x:c r="IP25" s="27" t="str">
        <x:f>IF(C25="","",SUM(M25,S25,Y25,AE25,AK25,AQ25,AW25,BC25,BI25,BO25,BU25))</x:f>
      </x:c>
      <x:c r="IQ25" s="27" t="str">
        <x:f>IF(C25="","",SUM(BV25,CB25,CH25,CN25,CT25,CZ25,DF25,DL25,DR25,DX25,ED25))</x:f>
      </x:c>
      <x:c r="IR25" s="27" t="str">
        <x:f>IF(C25="","",SUM(BW25,CC25,CI25,CO25,CU25,DA25,DG25,DM25,DS25,DY25,EE25))</x:f>
      </x:c>
      <x:c r="IS25" s="27" t="str">
        <x:f>IF(C25="","",SUM(BX25,CD25,CJ25,CP25,CV25,DB25,DH25,DN25,DT25,DZ25,EF25))</x:f>
      </x:c>
      <x:c r="IT25" s="27" t="str">
        <x:f>IF(C25="","",SUM(BY25,CE25,CK25,CQ25,CW25,DC25,DI25,DO25,DU25,EA25,EG25))</x:f>
      </x:c>
      <x:c r="IU25" s="27" t="str">
        <x:f>IF(C25="","",SUM(BZ25,CF25,CL25,CR25,CX25,DD25,DJ25,DP25,DV25,EB25,EH25))</x:f>
      </x:c>
      <x:c r="IV25" s="27" t="str">
        <x:f>IF(C25="","",SUM(CA25,CG25,CM25,CS25,CY25,DE25,DK25,DQ25,DW25,EC25,EI25))</x:f>
      </x:c>
      <x:c r="IW25" s="27" t="str">
        <x:f>IF(C25="","",SUM(EJ25,EP25,EV25,FB25,FH25,FN25,FT25,FZ25,GF25,GL25,GR25,GX25,HD25,HJ25))</x:f>
      </x:c>
      <x:c r="IX25" s="27" t="str">
        <x:f>IF(C25="","",SUM(EK25,EQ25,EW25,FC25,FI25,FO25,FU25,GA25,GG25,GM25,GS25,GY25,HE25,HK25))</x:f>
      </x:c>
      <x:c r="IY25" s="27" t="str">
        <x:f>IF(C25="","",SUM(EL25,ER25,EX25,FD25,FJ25,FP25,FV25,GB25,GH25,GN25,GT25,GZ25,HF25,HL25))</x:f>
      </x:c>
      <x:c r="IZ25" s="27" t="str">
        <x:f>IF(C25="","",SUM(EM25,ES25,EY25,FE25,FK25,FQ25,FW25,GC25,GI25,GO25,GU25,HA25,HG25,HM25))</x:f>
      </x:c>
      <x:c r="JA25" s="27" t="str">
        <x:f>IF(C25="","",SUM(EN25,ET25,EZ25,FF25,FL25,FR25,FX25,GD25,GJ25,GP25,GV25,HB25,HH25,HN25))</x:f>
      </x:c>
      <x:c r="JB25" s="27" t="str">
        <x:f>IF(C25="","",SUM(EO25,EU25,FA25,FG25,FM25,FS25,FY25,GE25,GK25,GQ25,GW25,HC25,HI25,HO25))</x:f>
      </x:c>
      <x:c r="JC25" s="27" t="str">
        <x:f>IF(C25="","",0)</x:f>
      </x:c>
      <x:c r="JD25" s="27" t="str">
        <x:f>IF(C25="","",0)</x:f>
      </x:c>
      <x:c r="JE25" s="27" t="str">
        <x:f>IF(C25="","",0)</x:f>
      </x:c>
      <x:c r="JF25" s="27" t="str">
        <x:f>IF(C25="","",0)</x:f>
      </x:c>
      <x:c r="JG25" s="27" t="str">
        <x:f>IF(C25="","",0)</x:f>
      </x:c>
      <x:c r="JH25" s="27" t="str">
        <x:f>IF(C25="","",0)</x:f>
      </x:c>
      <x:c r="JI25" s="27" t="str">
        <x:f>IF(C25="","",HP25*1000000000+IW25*1000000+IQ25*10000+IK25*100+JC25+6/1000)</x:f>
      </x:c>
      <x:c r="JJ25" s="27" t="str">
        <x:f>IF(C25="","",HQ25*1000000000+IX25*1000000+IR25*10000+IL25*100+JD25+5/1000)</x:f>
      </x:c>
      <x:c r="JK25" s="27" t="str">
        <x:f>IF(C25="","",HR25*1000000000+IY25*1000000+IS25*10000+IM25*100+JE25+4/1000)</x:f>
      </x:c>
      <x:c r="JL25" s="27" t="str">
        <x:f>IF(C25="","",HS25*1000000000+IZ25*1000000+IT25*10000+IN25*100+JF25+3/1000)</x:f>
      </x:c>
      <x:c r="JM25" s="27" t="str">
        <x:f>IF(C25="","",HT25*1000000000+JA25*1000000+IU25*10000+IO25*100+JG25+2/1000)</x:f>
      </x:c>
      <x:c r="JN25" s="27" t="str">
        <x:f>IF(C25="","",HU25*1000000000+JB25*1000000+IV25*10000+IP25*100+JH25+1/1000)</x:f>
      </x:c>
    </x:row>
    <x:row r="26">
      <x:c r="A26" s="27"/>
      <x:c r="B26" s="28"/>
      <x:c r="C26" s="27"/>
      <x:c r="D26" s="27"/>
      <x:c r="E26" s="27"/>
      <x:c r="F26" s="27"/>
      <x:c r="G26" s="27"/>
      <x:c r="H26" s="27"/>
      <x:c r="I26" s="27"/>
      <x:c r="J26" s="27"/>
      <x:c r="K26" s="27"/>
      <x:c r="L26" s="27"/>
      <x:c r="M26" s="27"/>
      <x:c r="N26" s="27"/>
      <x:c r="O26" s="27"/>
      <x:c r="P26" s="27"/>
      <x:c r="Q26" s="27"/>
      <x:c r="R26" s="27"/>
      <x:c r="S26" s="27"/>
      <x:c r="T26" s="27"/>
      <x:c r="U26" s="27"/>
      <x:c r="V26" s="27"/>
      <x:c r="W26" s="27"/>
      <x:c r="X26" s="27"/>
      <x:c r="Y26" s="27"/>
      <x:c r="Z26" s="27"/>
      <x:c r="AA26" s="27"/>
      <x:c r="AB26" s="27"/>
      <x:c r="AC26" s="27"/>
      <x:c r="AD26" s="27"/>
      <x:c r="AE26" s="27"/>
      <x:c r="AF26" s="27"/>
      <x:c r="AG26" s="27"/>
      <x:c r="AH26" s="27"/>
      <x:c r="AI26" s="27"/>
      <x:c r="AJ26" s="27"/>
      <x:c r="AK26" s="27"/>
      <x:c r="AL26" s="27"/>
      <x:c r="AM26" s="27"/>
      <x:c r="AN26" s="27"/>
      <x:c r="AO26" s="27"/>
      <x:c r="AP26" s="27"/>
      <x:c r="AQ26" s="27"/>
      <x:c r="AR26" s="27"/>
      <x:c r="AS26" s="27"/>
      <x:c r="AT26" s="27"/>
      <x:c r="AU26" s="27"/>
      <x:c r="AV26" s="27"/>
      <x:c r="AW26" s="27"/>
      <x:c r="AX26" s="27"/>
      <x:c r="AY26" s="27"/>
      <x:c r="AZ26" s="27"/>
      <x:c r="BA26" s="27"/>
      <x:c r="BB26" s="27"/>
      <x:c r="BC26" s="27"/>
      <x:c r="BD26" s="27"/>
      <x:c r="BE26" s="27"/>
      <x:c r="BF26" s="27"/>
      <x:c r="BG26" s="27"/>
      <x:c r="BH26" s="27"/>
      <x:c r="BI26" s="27"/>
      <x:c r="BJ26" s="27"/>
      <x:c r="BK26" s="27"/>
      <x:c r="BL26" s="27"/>
      <x:c r="BM26" s="27"/>
      <x:c r="BN26" s="27"/>
      <x:c r="BO26" s="27"/>
      <x:c r="BP26" s="27"/>
      <x:c r="BQ26" s="27"/>
      <x:c r="BR26" s="27"/>
      <x:c r="BS26" s="27"/>
      <x:c r="BT26" s="27"/>
      <x:c r="BU26" s="27"/>
      <x:c r="BV26" s="27"/>
      <x:c r="BW26" s="27"/>
      <x:c r="BX26" s="27"/>
      <x:c r="BY26" s="27"/>
      <x:c r="BZ26" s="27"/>
      <x:c r="CA26" s="27"/>
      <x:c r="CB26" s="27"/>
      <x:c r="CC26" s="27"/>
      <x:c r="CD26" s="27"/>
      <x:c r="CE26" s="27"/>
      <x:c r="CF26" s="27"/>
      <x:c r="CG26" s="27"/>
      <x:c r="CH26" s="27"/>
      <x:c r="CI26" s="27"/>
      <x:c r="CJ26" s="27"/>
      <x:c r="CK26" s="27"/>
      <x:c r="CL26" s="27"/>
      <x:c r="CM26" s="27"/>
      <x:c r="CN26" s="27"/>
      <x:c r="CO26" s="27"/>
      <x:c r="CP26" s="27"/>
      <x:c r="CQ26" s="27"/>
      <x:c r="CR26" s="27"/>
      <x:c r="CS26" s="27"/>
      <x:c r="CT26" s="27"/>
      <x:c r="CU26" s="27"/>
      <x:c r="CV26" s="27"/>
      <x:c r="CW26" s="27"/>
      <x:c r="CX26" s="27"/>
      <x:c r="CY26" s="27"/>
      <x:c r="CZ26" s="27"/>
      <x:c r="DA26" s="27"/>
      <x:c r="DB26" s="27"/>
      <x:c r="DC26" s="27"/>
      <x:c r="DD26" s="27"/>
      <x:c r="DE26" s="27"/>
      <x:c r="DF26" s="27"/>
      <x:c r="DG26" s="27"/>
      <x:c r="DH26" s="27"/>
      <x:c r="DI26" s="27"/>
      <x:c r="DJ26" s="27"/>
      <x:c r="DK26" s="27"/>
      <x:c r="DL26" s="27"/>
      <x:c r="DM26" s="27"/>
      <x:c r="DN26" s="27"/>
      <x:c r="DO26" s="27"/>
      <x:c r="DP26" s="27"/>
      <x:c r="DQ26" s="27"/>
      <x:c r="DR26" s="27"/>
      <x:c r="DS26" s="27"/>
      <x:c r="DT26" s="27"/>
      <x:c r="DU26" s="27"/>
      <x:c r="DV26" s="27"/>
      <x:c r="DW26" s="27"/>
      <x:c r="DX26" s="27"/>
      <x:c r="DY26" s="27"/>
      <x:c r="DZ26" s="27"/>
      <x:c r="EA26" s="27"/>
      <x:c r="EB26" s="27"/>
      <x:c r="EC26" s="27"/>
      <x:c r="ED26" s="27"/>
      <x:c r="EE26" s="27"/>
      <x:c r="EF26" s="27"/>
      <x:c r="EG26" s="27"/>
      <x:c r="EH26" s="27"/>
      <x:c r="EI26" s="27"/>
      <x:c r="EJ26" s="27"/>
      <x:c r="EK26" s="27"/>
      <x:c r="EL26" s="27"/>
      <x:c r="EM26" s="27"/>
      <x:c r="EN26" s="27"/>
      <x:c r="EO26" s="27"/>
      <x:c r="EP26" s="27"/>
      <x:c r="EQ26" s="27"/>
      <x:c r="ER26" s="27"/>
      <x:c r="ES26" s="27"/>
      <x:c r="ET26" s="27"/>
      <x:c r="EU26" s="27"/>
      <x:c r="EV26" s="27"/>
      <x:c r="EW26" s="27"/>
      <x:c r="EX26" s="27"/>
      <x:c r="EY26" s="27"/>
      <x:c r="EZ26" s="27"/>
      <x:c r="FA26" s="27"/>
      <x:c r="FB26" s="27"/>
      <x:c r="FC26" s="27"/>
      <x:c r="FD26" s="27"/>
      <x:c r="FE26" s="27"/>
      <x:c r="FF26" s="27"/>
      <x:c r="FG26" s="27"/>
      <x:c r="FH26" s="27"/>
      <x:c r="FI26" s="27"/>
      <x:c r="FJ26" s="27"/>
      <x:c r="FK26" s="27"/>
      <x:c r="FL26" s="27"/>
      <x:c r="FM26" s="27"/>
      <x:c r="FN26" s="27"/>
      <x:c r="FO26" s="27"/>
      <x:c r="FP26" s="27"/>
      <x:c r="FQ26" s="27"/>
      <x:c r="FR26" s="27"/>
      <x:c r="FS26" s="27"/>
      <x:c r="FT26" s="27"/>
      <x:c r="FU26" s="27"/>
      <x:c r="FV26" s="27"/>
      <x:c r="FW26" s="27"/>
      <x:c r="FX26" s="27"/>
      <x:c r="FY26" s="27"/>
      <x:c r="FZ26" s="27"/>
      <x:c r="GA26" s="27"/>
      <x:c r="GB26" s="27"/>
      <x:c r="GC26" s="27"/>
      <x:c r="GD26" s="27"/>
      <x:c r="GE26" s="27"/>
      <x:c r="GF26" s="27"/>
      <x:c r="GG26" s="27"/>
      <x:c r="GH26" s="27"/>
      <x:c r="GI26" s="27"/>
      <x:c r="GJ26" s="27"/>
      <x:c r="GK26" s="27"/>
      <x:c r="GL26" s="27"/>
      <x:c r="GM26" s="27"/>
      <x:c r="GN26" s="27"/>
      <x:c r="GO26" s="27"/>
      <x:c r="GP26" s="27"/>
      <x:c r="GQ26" s="27"/>
      <x:c r="GR26" s="27"/>
      <x:c r="GS26" s="27"/>
      <x:c r="GT26" s="27"/>
      <x:c r="GU26" s="27"/>
      <x:c r="GV26" s="27"/>
      <x:c r="GW26" s="27"/>
      <x:c r="GX26" s="27"/>
      <x:c r="GY26" s="27"/>
      <x:c r="GZ26" s="27"/>
      <x:c r="HA26" s="27"/>
      <x:c r="HB26" s="27"/>
      <x:c r="HC26" s="27"/>
      <x:c r="HD26" s="27"/>
      <x:c r="HE26" s="27"/>
      <x:c r="HF26" s="27"/>
      <x:c r="HG26" s="27"/>
      <x:c r="HH26" s="27"/>
      <x:c r="HI26" s="27"/>
      <x:c r="HJ26" s="27"/>
      <x:c r="HK26" s="27"/>
      <x:c r="HL26" s="27"/>
      <x:c r="HM26" s="27"/>
      <x:c r="HN26" s="27"/>
      <x:c r="HO26" s="27"/>
      <x:c r="HP26" s="27" t="str">
        <x:f>IF(C26="","",SUM(H26,N26,T26,Z26,AF26,AL26,AR26,AX26,BD26,BJ26,BP26,BV26,CB26,CH26,CN26,CT26,CZ26,DF26,DL26,DR26,DX26,ED26,EJ26,EP26,EV26,FB26,FH26,FN26,FT26,FZ26,GF26,GL26,GR26,GX26,HD26,HJ26))</x:f>
      </x:c>
      <x:c r="HQ26" s="27" t="str">
        <x:f>IF(C26="","",SUM(I26,O26,U26,AA26,AG26,AM26,AS26,AY26,BE26,BK26,BQ26,BW26,CC26,CI26,CO26,CU26,DA26,DG26,DM26,DS26,DY26,EE26,EK26,EQ26,EW26,FC26,FI26,FO26,FU26,GA26,GG26,GM26,GS26,GY26,HE26,HK26))</x:f>
      </x:c>
      <x:c r="HR26" s="27" t="str">
        <x:f>IF(C26="","",SUM(J26,P26,V26,AB26,AH26,AN26,AT26,AZ26,BF26,BL26,BR26,BX26,CD26,CJ26,CP26,CV26,DB26,DH26,DN26,DT26,DZ26,EF26,EL26,ER26,EX26,FD26,FJ26,FP26,FV26,GB26,GH26,GN26,GT26,GZ26,HF26,HL26))</x:f>
      </x:c>
      <x:c r="HS26" s="27" t="str">
        <x:f>IF(C26="","",SUM(K26,Q26,W26,AC26,AI26,AO26,AU26,BA26,BG26,BM26,BS26,BY26,CE26,CK26,CQ26,CW26,DC26,DI26,DO26,DU26,EA26,EG26,EM26,ES26,EY26,FE26,FK26,FQ26,FW26,GC26,GI26,GO26,GU26,HA26,HG26,HM26))</x:f>
      </x:c>
      <x:c r="HT26" s="27" t="str">
        <x:f>IF(C26="","",SUM(L26,R26,X26,AD26,AJ26,AP26,AV26,BB26,BH26,BN26,BT26,BZ26,CF26,CL26,CR26,CX26,DD26,DJ26,DP26,DV26,EB26,EH26,EN26,ET26,EZ26,FF26,FL26,FR26,FX26,GD26,GJ26,GP26,GV26,HB26,HH26,HN26))</x:f>
      </x:c>
      <x:c r="HU26" s="27" t="str">
        <x:f>IF(C26="","",SUM(M26,S26,Y26,AE26,AK26,AQ26,AW26,BC26,BI26,BO26,BU26,CA26,CG26,CM26,CS26,CY26,DE26,DK26,DQ26,DW26,EC26,EI26,EO26,EU26,FA26,FG26,FM26,FS26,FY26,GE26,GK26,GQ26,GW26,HC26,HI26,HO26))</x:f>
      </x:c>
      <x:c r="HV26" s="27" t="str">
        <x:f>IF(C26="","",IF(JI26=LARGE(JI26:JN26,1),"R",IF(JJ26=LARGE(JI26:JN26,1),"I",IF(JK26=LARGE(JI26:JN26,1),"A",IF(JL26=LARGE(JI26:JN26,1),"S",IF(JM26=LARGE(JI26:JN26,1),"E",IF(JN26=LARGE(JI26:JN26,1),"C",""))))))&amp;IF(JI26=LARGE(JI26:JN26,2),"R",IF(JJ26=LARGE(JI26:JN26,2),"I",IF(JK26=LARGE(JI26:JN26,2),"A",IF(JL26=LARGE(JI26:JN26,2),"S",IF(JM26=LARGE(JI26:JN26,2),"E",IF(JN26=LARGE(JI26:JN26,2),"C",""))))))&amp;IF(JI26=LARGE(JI26:JN26,3),"R",IF(JJ26=LARGE(JI26:JN26,3),"I",IF(JK26=LARGE(JI26:JN26,3),"A",IF(JL26=LARGE(JI26:JN26,3),"S",IF(JM26=LARGE(JI26:JN26,3),"E",IF(JN26=LARGE(JI26:JN26,3),"C","")))))))</x:f>
      </x:c>
      <x:c r="HW26" s="27" t="str">
        <x:f>IF(C26="","",IF(JI26=LARGE(JI26:JN26,1),"นักปฏิบัติ",IF(JJ26=LARGE(JI26:JN26,1),"นักคิดวิเคราะห์",IF(JK26=LARGE(JI26:JN26,1),"นักสร้างสรรค์",IF(JL26=LARGE(JI26:JN26,1),"ผู้เข้าใจผู้คน",IF(JM26=LARGE(JI26:JN26,1),"ผู้นำการเปลี่ยนแปลง",IF(JN26=LARGE(JI26:JN26,1),"ผู้จัดระบบ","ผู้จัดระบบ")))))))</x:f>
      </x:c>
      <x:c r="HX26" s="27"/>
      <x:c r="HY26" s="27"/>
      <x:c r="HZ26" s="27"/>
      <x:c r="IA26" s="27"/>
      <x:c r="IB26" s="27"/>
      <x:c r="IC26" s="27"/>
      <x:c r="ID26" s="27"/>
      <x:c r="IE26" s="27"/>
      <x:c r="IF26" s="27"/>
      <x:c r="IG26" s="27"/>
      <x:c r="IH26" s="27"/>
      <x:c r="II26" s="27"/>
      <x:c r="IJ26" s="27"/>
      <x:c r="IK26" s="27" t="str">
        <x:f>IF(C26="","",SUM(H26,N26,T26,Z26,AF26,AL26,AR26,AX26,BD26,BJ26,BP26))</x:f>
      </x:c>
      <x:c r="IL26" s="27" t="str">
        <x:f>IF(C26="","",SUM(I26,O26,U26,AA26,AG26,AM26,AS26,AY26,BE26,BK26,BQ26))</x:f>
      </x:c>
      <x:c r="IM26" s="27" t="str">
        <x:f>IF(C26="","",SUM(J26,P26,V26,AB26,AH26,AN26,AT26,AZ26,BF26,BL26,BR26))</x:f>
      </x:c>
      <x:c r="IN26" s="27" t="str">
        <x:f>IF(C26="","",SUM(K26,Q26,W26,AC26,AI26,AO26,AU26,BA26,BG26,BM26,BS26))</x:f>
      </x:c>
      <x:c r="IO26" s="27" t="str">
        <x:f>IF(C26="","",SUM(L26,R26,X26,AD26,AJ26,AP26,AV26,BB26,BH26,BN26,BT26))</x:f>
      </x:c>
      <x:c r="IP26" s="27" t="str">
        <x:f>IF(C26="","",SUM(M26,S26,Y26,AE26,AK26,AQ26,AW26,BC26,BI26,BO26,BU26))</x:f>
      </x:c>
      <x:c r="IQ26" s="27" t="str">
        <x:f>IF(C26="","",SUM(BV26,CB26,CH26,CN26,CT26,CZ26,DF26,DL26,DR26,DX26,ED26))</x:f>
      </x:c>
      <x:c r="IR26" s="27" t="str">
        <x:f>IF(C26="","",SUM(BW26,CC26,CI26,CO26,CU26,DA26,DG26,DM26,DS26,DY26,EE26))</x:f>
      </x:c>
      <x:c r="IS26" s="27" t="str">
        <x:f>IF(C26="","",SUM(BX26,CD26,CJ26,CP26,CV26,DB26,DH26,DN26,DT26,DZ26,EF26))</x:f>
      </x:c>
      <x:c r="IT26" s="27" t="str">
        <x:f>IF(C26="","",SUM(BY26,CE26,CK26,CQ26,CW26,DC26,DI26,DO26,DU26,EA26,EG26))</x:f>
      </x:c>
      <x:c r="IU26" s="27" t="str">
        <x:f>IF(C26="","",SUM(BZ26,CF26,CL26,CR26,CX26,DD26,DJ26,DP26,DV26,EB26,EH26))</x:f>
      </x:c>
      <x:c r="IV26" s="27" t="str">
        <x:f>IF(C26="","",SUM(CA26,CG26,CM26,CS26,CY26,DE26,DK26,DQ26,DW26,EC26,EI26))</x:f>
      </x:c>
      <x:c r="IW26" s="27" t="str">
        <x:f>IF(C26="","",SUM(EJ26,EP26,EV26,FB26,FH26,FN26,FT26,FZ26,GF26,GL26,GR26,GX26,HD26,HJ26))</x:f>
      </x:c>
      <x:c r="IX26" s="27" t="str">
        <x:f>IF(C26="","",SUM(EK26,EQ26,EW26,FC26,FI26,FO26,FU26,GA26,GG26,GM26,GS26,GY26,HE26,HK26))</x:f>
      </x:c>
      <x:c r="IY26" s="27" t="str">
        <x:f>IF(C26="","",SUM(EL26,ER26,EX26,FD26,FJ26,FP26,FV26,GB26,GH26,GN26,GT26,GZ26,HF26,HL26))</x:f>
      </x:c>
      <x:c r="IZ26" s="27" t="str">
        <x:f>IF(C26="","",SUM(EM26,ES26,EY26,FE26,FK26,FQ26,FW26,GC26,GI26,GO26,GU26,HA26,HG26,HM26))</x:f>
      </x:c>
      <x:c r="JA26" s="27" t="str">
        <x:f>IF(C26="","",SUM(EN26,ET26,EZ26,FF26,FL26,FR26,FX26,GD26,GJ26,GP26,GV26,HB26,HH26,HN26))</x:f>
      </x:c>
      <x:c r="JB26" s="27" t="str">
        <x:f>IF(C26="","",SUM(EO26,EU26,FA26,FG26,FM26,FS26,FY26,GE26,GK26,GQ26,GW26,HC26,HI26,HO26))</x:f>
      </x:c>
      <x:c r="JC26" s="27" t="str">
        <x:f>IF(C26="","",0)</x:f>
      </x:c>
      <x:c r="JD26" s="27" t="str">
        <x:f>IF(C26="","",0)</x:f>
      </x:c>
      <x:c r="JE26" s="27" t="str">
        <x:f>IF(C26="","",0)</x:f>
      </x:c>
      <x:c r="JF26" s="27" t="str">
        <x:f>IF(C26="","",0)</x:f>
      </x:c>
      <x:c r="JG26" s="27" t="str">
        <x:f>IF(C26="","",0)</x:f>
      </x:c>
      <x:c r="JH26" s="27" t="str">
        <x:f>IF(C26="","",0)</x:f>
      </x:c>
      <x:c r="JI26" s="27" t="str">
        <x:f>IF(C26="","",HP26*1000000000+IW26*1000000+IQ26*10000+IK26*100+JC26+6/1000)</x:f>
      </x:c>
      <x:c r="JJ26" s="27" t="str">
        <x:f>IF(C26="","",HQ26*1000000000+IX26*1000000+IR26*10000+IL26*100+JD26+5/1000)</x:f>
      </x:c>
      <x:c r="JK26" s="27" t="str">
        <x:f>IF(C26="","",HR26*1000000000+IY26*1000000+IS26*10000+IM26*100+JE26+4/1000)</x:f>
      </x:c>
      <x:c r="JL26" s="27" t="str">
        <x:f>IF(C26="","",HS26*1000000000+IZ26*1000000+IT26*10000+IN26*100+JF26+3/1000)</x:f>
      </x:c>
      <x:c r="JM26" s="27" t="str">
        <x:f>IF(C26="","",HT26*1000000000+JA26*1000000+IU26*10000+IO26*100+JG26+2/1000)</x:f>
      </x:c>
      <x:c r="JN26" s="27" t="str">
        <x:f>IF(C26="","",HU26*1000000000+JB26*1000000+IV26*10000+IP26*100+JH26+1/1000)</x:f>
      </x:c>
    </x:row>
    <x:row r="27">
      <x:c r="A27" s="27"/>
      <x:c r="B27" s="28"/>
      <x:c r="C27" s="27"/>
      <x:c r="D27" s="27"/>
      <x:c r="E27" s="27"/>
      <x:c r="F27" s="27"/>
      <x:c r="G27" s="27"/>
      <x:c r="H27" s="27"/>
      <x:c r="I27" s="27"/>
      <x:c r="J27" s="27"/>
      <x:c r="K27" s="27"/>
      <x:c r="L27" s="27"/>
      <x:c r="M27" s="27"/>
      <x:c r="N27" s="27"/>
      <x:c r="O27" s="27"/>
      <x:c r="P27" s="27"/>
      <x:c r="Q27" s="27"/>
      <x:c r="R27" s="27"/>
      <x:c r="S27" s="27"/>
      <x:c r="T27" s="27"/>
      <x:c r="U27" s="27"/>
      <x:c r="V27" s="27"/>
      <x:c r="W27" s="27"/>
      <x:c r="X27" s="27"/>
      <x:c r="Y27" s="27"/>
      <x:c r="Z27" s="27"/>
      <x:c r="AA27" s="27"/>
      <x:c r="AB27" s="27"/>
      <x:c r="AC27" s="27"/>
      <x:c r="AD27" s="27"/>
      <x:c r="AE27" s="27"/>
      <x:c r="AF27" s="27"/>
      <x:c r="AG27" s="27"/>
      <x:c r="AH27" s="27"/>
      <x:c r="AI27" s="27"/>
      <x:c r="AJ27" s="27"/>
      <x:c r="AK27" s="27"/>
      <x:c r="AL27" s="27"/>
      <x:c r="AM27" s="27"/>
      <x:c r="AN27" s="27"/>
      <x:c r="AO27" s="27"/>
      <x:c r="AP27" s="27"/>
      <x:c r="AQ27" s="27"/>
      <x:c r="AR27" s="27"/>
      <x:c r="AS27" s="27"/>
      <x:c r="AT27" s="27"/>
      <x:c r="AU27" s="27"/>
      <x:c r="AV27" s="27"/>
      <x:c r="AW27" s="27"/>
      <x:c r="AX27" s="27"/>
      <x:c r="AY27" s="27"/>
      <x:c r="AZ27" s="27"/>
      <x:c r="BA27" s="27"/>
      <x:c r="BB27" s="27"/>
      <x:c r="BC27" s="27"/>
      <x:c r="BD27" s="27"/>
      <x:c r="BE27" s="27"/>
      <x:c r="BF27" s="27"/>
      <x:c r="BG27" s="27"/>
      <x:c r="BH27" s="27"/>
      <x:c r="BI27" s="27"/>
      <x:c r="BJ27" s="27"/>
      <x:c r="BK27" s="27"/>
      <x:c r="BL27" s="27"/>
      <x:c r="BM27" s="27"/>
      <x:c r="BN27" s="27"/>
      <x:c r="BO27" s="27"/>
      <x:c r="BP27" s="27"/>
      <x:c r="BQ27" s="27"/>
      <x:c r="BR27" s="27"/>
      <x:c r="BS27" s="27"/>
      <x:c r="BT27" s="27"/>
      <x:c r="BU27" s="27"/>
      <x:c r="BV27" s="27"/>
      <x:c r="BW27" s="27"/>
      <x:c r="BX27" s="27"/>
      <x:c r="BY27" s="27"/>
      <x:c r="BZ27" s="27"/>
      <x:c r="CA27" s="27"/>
      <x:c r="CB27" s="27"/>
      <x:c r="CC27" s="27"/>
      <x:c r="CD27" s="27"/>
      <x:c r="CE27" s="27"/>
      <x:c r="CF27" s="27"/>
      <x:c r="CG27" s="27"/>
      <x:c r="CH27" s="27"/>
      <x:c r="CI27" s="27"/>
      <x:c r="CJ27" s="27"/>
      <x:c r="CK27" s="27"/>
      <x:c r="CL27" s="27"/>
      <x:c r="CM27" s="27"/>
      <x:c r="CN27" s="27"/>
      <x:c r="CO27" s="27"/>
      <x:c r="CP27" s="27"/>
      <x:c r="CQ27" s="27"/>
      <x:c r="CR27" s="27"/>
      <x:c r="CS27" s="27"/>
      <x:c r="CT27" s="27"/>
      <x:c r="CU27" s="27"/>
      <x:c r="CV27" s="27"/>
      <x:c r="CW27" s="27"/>
      <x:c r="CX27" s="27"/>
      <x:c r="CY27" s="27"/>
      <x:c r="CZ27" s="27"/>
      <x:c r="DA27" s="27"/>
      <x:c r="DB27" s="27"/>
      <x:c r="DC27" s="27"/>
      <x:c r="DD27" s="27"/>
      <x:c r="DE27" s="27"/>
      <x:c r="DF27" s="27"/>
      <x:c r="DG27" s="27"/>
      <x:c r="DH27" s="27"/>
      <x:c r="DI27" s="27"/>
      <x:c r="DJ27" s="27"/>
      <x:c r="DK27" s="27"/>
      <x:c r="DL27" s="27"/>
      <x:c r="DM27" s="27"/>
      <x:c r="DN27" s="27"/>
      <x:c r="DO27" s="27"/>
      <x:c r="DP27" s="27"/>
      <x:c r="DQ27" s="27"/>
      <x:c r="DR27" s="27"/>
      <x:c r="DS27" s="27"/>
      <x:c r="DT27" s="27"/>
      <x:c r="DU27" s="27"/>
      <x:c r="DV27" s="27"/>
      <x:c r="DW27" s="27"/>
      <x:c r="DX27" s="27"/>
      <x:c r="DY27" s="27"/>
      <x:c r="DZ27" s="27"/>
      <x:c r="EA27" s="27"/>
      <x:c r="EB27" s="27"/>
      <x:c r="EC27" s="27"/>
      <x:c r="ED27" s="27"/>
      <x:c r="EE27" s="27"/>
      <x:c r="EF27" s="27"/>
      <x:c r="EG27" s="27"/>
      <x:c r="EH27" s="27"/>
      <x:c r="EI27" s="27"/>
      <x:c r="EJ27" s="27"/>
      <x:c r="EK27" s="27"/>
      <x:c r="EL27" s="27"/>
      <x:c r="EM27" s="27"/>
      <x:c r="EN27" s="27"/>
      <x:c r="EO27" s="27"/>
      <x:c r="EP27" s="27"/>
      <x:c r="EQ27" s="27"/>
      <x:c r="ER27" s="27"/>
      <x:c r="ES27" s="27"/>
      <x:c r="ET27" s="27"/>
      <x:c r="EU27" s="27"/>
      <x:c r="EV27" s="27"/>
      <x:c r="EW27" s="27"/>
      <x:c r="EX27" s="27"/>
      <x:c r="EY27" s="27"/>
      <x:c r="EZ27" s="27"/>
      <x:c r="FA27" s="27"/>
      <x:c r="FB27" s="27"/>
      <x:c r="FC27" s="27"/>
      <x:c r="FD27" s="27"/>
      <x:c r="FE27" s="27"/>
      <x:c r="FF27" s="27"/>
      <x:c r="FG27" s="27"/>
      <x:c r="FH27" s="27"/>
      <x:c r="FI27" s="27"/>
      <x:c r="FJ27" s="27"/>
      <x:c r="FK27" s="27"/>
      <x:c r="FL27" s="27"/>
      <x:c r="FM27" s="27"/>
      <x:c r="FN27" s="27"/>
      <x:c r="FO27" s="27"/>
      <x:c r="FP27" s="27"/>
      <x:c r="FQ27" s="27"/>
      <x:c r="FR27" s="27"/>
      <x:c r="FS27" s="27"/>
      <x:c r="FT27" s="27"/>
      <x:c r="FU27" s="27"/>
      <x:c r="FV27" s="27"/>
      <x:c r="FW27" s="27"/>
      <x:c r="FX27" s="27"/>
      <x:c r="FY27" s="27"/>
      <x:c r="FZ27" s="27"/>
      <x:c r="GA27" s="27"/>
      <x:c r="GB27" s="27"/>
      <x:c r="GC27" s="27"/>
      <x:c r="GD27" s="27"/>
      <x:c r="GE27" s="27"/>
      <x:c r="GF27" s="27"/>
      <x:c r="GG27" s="27"/>
      <x:c r="GH27" s="27"/>
      <x:c r="GI27" s="27"/>
      <x:c r="GJ27" s="27"/>
      <x:c r="GK27" s="27"/>
      <x:c r="GL27" s="27"/>
      <x:c r="GM27" s="27"/>
      <x:c r="GN27" s="27"/>
      <x:c r="GO27" s="27"/>
      <x:c r="GP27" s="27"/>
      <x:c r="GQ27" s="27"/>
      <x:c r="GR27" s="27"/>
      <x:c r="GS27" s="27"/>
      <x:c r="GT27" s="27"/>
      <x:c r="GU27" s="27"/>
      <x:c r="GV27" s="27"/>
      <x:c r="GW27" s="27"/>
      <x:c r="GX27" s="27"/>
      <x:c r="GY27" s="27"/>
      <x:c r="GZ27" s="27"/>
      <x:c r="HA27" s="27"/>
      <x:c r="HB27" s="27"/>
      <x:c r="HC27" s="27"/>
      <x:c r="HD27" s="27"/>
      <x:c r="HE27" s="27"/>
      <x:c r="HF27" s="27"/>
      <x:c r="HG27" s="27"/>
      <x:c r="HH27" s="27"/>
      <x:c r="HI27" s="27"/>
      <x:c r="HJ27" s="27"/>
      <x:c r="HK27" s="27"/>
      <x:c r="HL27" s="27"/>
      <x:c r="HM27" s="27"/>
      <x:c r="HN27" s="27"/>
      <x:c r="HO27" s="27"/>
      <x:c r="HP27" s="27" t="str">
        <x:f>IF(C27="","",SUM(H27,N27,T27,Z27,AF27,AL27,AR27,AX27,BD27,BJ27,BP27,BV27,CB27,CH27,CN27,CT27,CZ27,DF27,DL27,DR27,DX27,ED27,EJ27,EP27,EV27,FB27,FH27,FN27,FT27,FZ27,GF27,GL27,GR27,GX27,HD27,HJ27))</x:f>
      </x:c>
      <x:c r="HQ27" s="27" t="str">
        <x:f>IF(C27="","",SUM(I27,O27,U27,AA27,AG27,AM27,AS27,AY27,BE27,BK27,BQ27,BW27,CC27,CI27,CO27,CU27,DA27,DG27,DM27,DS27,DY27,EE27,EK27,EQ27,EW27,FC27,FI27,FO27,FU27,GA27,GG27,GM27,GS27,GY27,HE27,HK27))</x:f>
      </x:c>
      <x:c r="HR27" s="27" t="str">
        <x:f>IF(C27="","",SUM(J27,P27,V27,AB27,AH27,AN27,AT27,AZ27,BF27,BL27,BR27,BX27,CD27,CJ27,CP27,CV27,DB27,DH27,DN27,DT27,DZ27,EF27,EL27,ER27,EX27,FD27,FJ27,FP27,FV27,GB27,GH27,GN27,GT27,GZ27,HF27,HL27))</x:f>
      </x:c>
      <x:c r="HS27" s="27" t="str">
        <x:f>IF(C27="","",SUM(K27,Q27,W27,AC27,AI27,AO27,AU27,BA27,BG27,BM27,BS27,BY27,CE27,CK27,CQ27,CW27,DC27,DI27,DO27,DU27,EA27,EG27,EM27,ES27,EY27,FE27,FK27,FQ27,FW27,GC27,GI27,GO27,GU27,HA27,HG27,HM27))</x:f>
      </x:c>
      <x:c r="HT27" s="27" t="str">
        <x:f>IF(C27="","",SUM(L27,R27,X27,AD27,AJ27,AP27,AV27,BB27,BH27,BN27,BT27,BZ27,CF27,CL27,CR27,CX27,DD27,DJ27,DP27,DV27,EB27,EH27,EN27,ET27,EZ27,FF27,FL27,FR27,FX27,GD27,GJ27,GP27,GV27,HB27,HH27,HN27))</x:f>
      </x:c>
      <x:c r="HU27" s="27" t="str">
        <x:f>IF(C27="","",SUM(M27,S27,Y27,AE27,AK27,AQ27,AW27,BC27,BI27,BO27,BU27,CA27,CG27,CM27,CS27,CY27,DE27,DK27,DQ27,DW27,EC27,EI27,EO27,EU27,FA27,FG27,FM27,FS27,FY27,GE27,GK27,GQ27,GW27,HC27,HI27,HO27))</x:f>
      </x:c>
      <x:c r="HV27" s="27" t="str">
        <x:f>IF(C27="","",IF(JI27=LARGE(JI27:JN27,1),"R",IF(JJ27=LARGE(JI27:JN27,1),"I",IF(JK27=LARGE(JI27:JN27,1),"A",IF(JL27=LARGE(JI27:JN27,1),"S",IF(JM27=LARGE(JI27:JN27,1),"E",IF(JN27=LARGE(JI27:JN27,1),"C",""))))))&amp;IF(JI27=LARGE(JI27:JN27,2),"R",IF(JJ27=LARGE(JI27:JN27,2),"I",IF(JK27=LARGE(JI27:JN27,2),"A",IF(JL27=LARGE(JI27:JN27,2),"S",IF(JM27=LARGE(JI27:JN27,2),"E",IF(JN27=LARGE(JI27:JN27,2),"C",""))))))&amp;IF(JI27=LARGE(JI27:JN27,3),"R",IF(JJ27=LARGE(JI27:JN27,3),"I",IF(JK27=LARGE(JI27:JN27,3),"A",IF(JL27=LARGE(JI27:JN27,3),"S",IF(JM27=LARGE(JI27:JN27,3),"E",IF(JN27=LARGE(JI27:JN27,3),"C","")))))))</x:f>
      </x:c>
      <x:c r="HW27" s="27" t="str">
        <x:f>IF(C27="","",IF(JI27=LARGE(JI27:JN27,1),"นักปฏิบัติ",IF(JJ27=LARGE(JI27:JN27,1),"นักคิดวิเคราะห์",IF(JK27=LARGE(JI27:JN27,1),"นักสร้างสรรค์",IF(JL27=LARGE(JI27:JN27,1),"ผู้เข้าใจผู้คน",IF(JM27=LARGE(JI27:JN27,1),"ผู้นำการเปลี่ยนแปลง",IF(JN27=LARGE(JI27:JN27,1),"ผู้จัดระบบ","ผู้จัดระบบ")))))))</x:f>
      </x:c>
      <x:c r="HX27" s="27"/>
      <x:c r="HY27" s="27"/>
      <x:c r="HZ27" s="27"/>
      <x:c r="IA27" s="27"/>
      <x:c r="IB27" s="27"/>
      <x:c r="IC27" s="27"/>
      <x:c r="ID27" s="27"/>
      <x:c r="IE27" s="27"/>
      <x:c r="IF27" s="27"/>
      <x:c r="IG27" s="27"/>
      <x:c r="IH27" s="27"/>
      <x:c r="II27" s="27"/>
      <x:c r="IJ27" s="27"/>
      <x:c r="IK27" s="27" t="str">
        <x:f>IF(C27="","",SUM(H27,N27,T27,Z27,AF27,AL27,AR27,AX27,BD27,BJ27,BP27))</x:f>
      </x:c>
      <x:c r="IL27" s="27" t="str">
        <x:f>IF(C27="","",SUM(I27,O27,U27,AA27,AG27,AM27,AS27,AY27,BE27,BK27,BQ27))</x:f>
      </x:c>
      <x:c r="IM27" s="27" t="str">
        <x:f>IF(C27="","",SUM(J27,P27,V27,AB27,AH27,AN27,AT27,AZ27,BF27,BL27,BR27))</x:f>
      </x:c>
      <x:c r="IN27" s="27" t="str">
        <x:f>IF(C27="","",SUM(K27,Q27,W27,AC27,AI27,AO27,AU27,BA27,BG27,BM27,BS27))</x:f>
      </x:c>
      <x:c r="IO27" s="27" t="str">
        <x:f>IF(C27="","",SUM(L27,R27,X27,AD27,AJ27,AP27,AV27,BB27,BH27,BN27,BT27))</x:f>
      </x:c>
      <x:c r="IP27" s="27" t="str">
        <x:f>IF(C27="","",SUM(M27,S27,Y27,AE27,AK27,AQ27,AW27,BC27,BI27,BO27,BU27))</x:f>
      </x:c>
      <x:c r="IQ27" s="27" t="str">
        <x:f>IF(C27="","",SUM(BV27,CB27,CH27,CN27,CT27,CZ27,DF27,DL27,DR27,DX27,ED27))</x:f>
      </x:c>
      <x:c r="IR27" s="27" t="str">
        <x:f>IF(C27="","",SUM(BW27,CC27,CI27,CO27,CU27,DA27,DG27,DM27,DS27,DY27,EE27))</x:f>
      </x:c>
      <x:c r="IS27" s="27" t="str">
        <x:f>IF(C27="","",SUM(BX27,CD27,CJ27,CP27,CV27,DB27,DH27,DN27,DT27,DZ27,EF27))</x:f>
      </x:c>
      <x:c r="IT27" s="27" t="str">
        <x:f>IF(C27="","",SUM(BY27,CE27,CK27,CQ27,CW27,DC27,DI27,DO27,DU27,EA27,EG27))</x:f>
      </x:c>
      <x:c r="IU27" s="27" t="str">
        <x:f>IF(C27="","",SUM(BZ27,CF27,CL27,CR27,CX27,DD27,DJ27,DP27,DV27,EB27,EH27))</x:f>
      </x:c>
      <x:c r="IV27" s="27" t="str">
        <x:f>IF(C27="","",SUM(CA27,CG27,CM27,CS27,CY27,DE27,DK27,DQ27,DW27,EC27,EI27))</x:f>
      </x:c>
      <x:c r="IW27" s="27" t="str">
        <x:f>IF(C27="","",SUM(EJ27,EP27,EV27,FB27,FH27,FN27,FT27,FZ27,GF27,GL27,GR27,GX27,HD27,HJ27))</x:f>
      </x:c>
      <x:c r="IX27" s="27" t="str">
        <x:f>IF(C27="","",SUM(EK27,EQ27,EW27,FC27,FI27,FO27,FU27,GA27,GG27,GM27,GS27,GY27,HE27,HK27))</x:f>
      </x:c>
      <x:c r="IY27" s="27" t="str">
        <x:f>IF(C27="","",SUM(EL27,ER27,EX27,FD27,FJ27,FP27,FV27,GB27,GH27,GN27,GT27,GZ27,HF27,HL27))</x:f>
      </x:c>
      <x:c r="IZ27" s="27" t="str">
        <x:f>IF(C27="","",SUM(EM27,ES27,EY27,FE27,FK27,FQ27,FW27,GC27,GI27,GO27,GU27,HA27,HG27,HM27))</x:f>
      </x:c>
      <x:c r="JA27" s="27" t="str">
        <x:f>IF(C27="","",SUM(EN27,ET27,EZ27,FF27,FL27,FR27,FX27,GD27,GJ27,GP27,GV27,HB27,HH27,HN27))</x:f>
      </x:c>
      <x:c r="JB27" s="27" t="str">
        <x:f>IF(C27="","",SUM(EO27,EU27,FA27,FG27,FM27,FS27,FY27,GE27,GK27,GQ27,GW27,HC27,HI27,HO27))</x:f>
      </x:c>
      <x:c r="JC27" s="27" t="str">
        <x:f>IF(C27="","",0)</x:f>
      </x:c>
      <x:c r="JD27" s="27" t="str">
        <x:f>IF(C27="","",0)</x:f>
      </x:c>
      <x:c r="JE27" s="27" t="str">
        <x:f>IF(C27="","",0)</x:f>
      </x:c>
      <x:c r="JF27" s="27" t="str">
        <x:f>IF(C27="","",0)</x:f>
      </x:c>
      <x:c r="JG27" s="27" t="str">
        <x:f>IF(C27="","",0)</x:f>
      </x:c>
      <x:c r="JH27" s="27" t="str">
        <x:f>IF(C27="","",0)</x:f>
      </x:c>
      <x:c r="JI27" s="27" t="str">
        <x:f>IF(C27="","",HP27*1000000000+IW27*1000000+IQ27*10000+IK27*100+JC27+6/1000)</x:f>
      </x:c>
      <x:c r="JJ27" s="27" t="str">
        <x:f>IF(C27="","",HQ27*1000000000+IX27*1000000+IR27*10000+IL27*100+JD27+5/1000)</x:f>
      </x:c>
      <x:c r="JK27" s="27" t="str">
        <x:f>IF(C27="","",HR27*1000000000+IY27*1000000+IS27*10000+IM27*100+JE27+4/1000)</x:f>
      </x:c>
      <x:c r="JL27" s="27" t="str">
        <x:f>IF(C27="","",HS27*1000000000+IZ27*1000000+IT27*10000+IN27*100+JF27+3/1000)</x:f>
      </x:c>
      <x:c r="JM27" s="27" t="str">
        <x:f>IF(C27="","",HT27*1000000000+JA27*1000000+IU27*10000+IO27*100+JG27+2/1000)</x:f>
      </x:c>
      <x:c r="JN27" s="27" t="str">
        <x:f>IF(C27="","",HU27*1000000000+JB27*1000000+IV27*10000+IP27*100+JH27+1/1000)</x:f>
      </x:c>
    </x:row>
    <x:row r="28">
      <x:c r="A28" s="27"/>
      <x:c r="B28" s="28"/>
      <x:c r="C28" s="27"/>
      <x:c r="D28" s="27"/>
      <x:c r="E28" s="27"/>
      <x:c r="F28" s="27"/>
      <x:c r="G28" s="27"/>
      <x:c r="H28" s="27"/>
      <x:c r="I28" s="27"/>
      <x:c r="J28" s="27"/>
      <x:c r="K28" s="27"/>
      <x:c r="L28" s="27"/>
      <x:c r="M28" s="27"/>
      <x:c r="N28" s="27"/>
      <x:c r="O28" s="27"/>
      <x:c r="P28" s="27"/>
      <x:c r="Q28" s="27"/>
      <x:c r="R28" s="27"/>
      <x:c r="S28" s="27"/>
      <x:c r="T28" s="27"/>
      <x:c r="U28" s="27"/>
      <x:c r="V28" s="27"/>
      <x:c r="W28" s="27"/>
      <x:c r="X28" s="27"/>
      <x:c r="Y28" s="27"/>
      <x:c r="Z28" s="27"/>
      <x:c r="AA28" s="27"/>
      <x:c r="AB28" s="27"/>
      <x:c r="AC28" s="27"/>
      <x:c r="AD28" s="27"/>
      <x:c r="AE28" s="27"/>
      <x:c r="AF28" s="27"/>
      <x:c r="AG28" s="27"/>
      <x:c r="AH28" s="27"/>
      <x:c r="AI28" s="27"/>
      <x:c r="AJ28" s="27"/>
      <x:c r="AK28" s="27"/>
      <x:c r="AL28" s="27"/>
      <x:c r="AM28" s="27"/>
      <x:c r="AN28" s="27"/>
      <x:c r="AO28" s="27"/>
      <x:c r="AP28" s="27"/>
      <x:c r="AQ28" s="27"/>
      <x:c r="AR28" s="27"/>
      <x:c r="AS28" s="27"/>
      <x:c r="AT28" s="27"/>
      <x:c r="AU28" s="27"/>
      <x:c r="AV28" s="27"/>
      <x:c r="AW28" s="27"/>
      <x:c r="AX28" s="27"/>
      <x:c r="AY28" s="27"/>
      <x:c r="AZ28" s="27"/>
      <x:c r="BA28" s="27"/>
      <x:c r="BB28" s="27"/>
      <x:c r="BC28" s="27"/>
      <x:c r="BD28" s="27"/>
      <x:c r="BE28" s="27"/>
      <x:c r="BF28" s="27"/>
      <x:c r="BG28" s="27"/>
      <x:c r="BH28" s="27"/>
      <x:c r="BI28" s="27"/>
      <x:c r="BJ28" s="27"/>
      <x:c r="BK28" s="27"/>
      <x:c r="BL28" s="27"/>
      <x:c r="BM28" s="27"/>
      <x:c r="BN28" s="27"/>
      <x:c r="BO28" s="27"/>
      <x:c r="BP28" s="27"/>
      <x:c r="BQ28" s="27"/>
      <x:c r="BR28" s="27"/>
      <x:c r="BS28" s="27"/>
      <x:c r="BT28" s="27"/>
      <x:c r="BU28" s="27"/>
      <x:c r="BV28" s="27"/>
      <x:c r="BW28" s="27"/>
      <x:c r="BX28" s="27"/>
      <x:c r="BY28" s="27"/>
      <x:c r="BZ28" s="27"/>
      <x:c r="CA28" s="27"/>
      <x:c r="CB28" s="27"/>
      <x:c r="CC28" s="27"/>
      <x:c r="CD28" s="27"/>
      <x:c r="CE28" s="27"/>
      <x:c r="CF28" s="27"/>
      <x:c r="CG28" s="27"/>
      <x:c r="CH28" s="27"/>
      <x:c r="CI28" s="27"/>
      <x:c r="CJ28" s="27"/>
      <x:c r="CK28" s="27"/>
      <x:c r="CL28" s="27"/>
      <x:c r="CM28" s="27"/>
      <x:c r="CN28" s="27"/>
      <x:c r="CO28" s="27"/>
      <x:c r="CP28" s="27"/>
      <x:c r="CQ28" s="27"/>
      <x:c r="CR28" s="27"/>
      <x:c r="CS28" s="27"/>
      <x:c r="CT28" s="27"/>
      <x:c r="CU28" s="27"/>
      <x:c r="CV28" s="27"/>
      <x:c r="CW28" s="27"/>
      <x:c r="CX28" s="27"/>
      <x:c r="CY28" s="27"/>
      <x:c r="CZ28" s="27"/>
      <x:c r="DA28" s="27"/>
      <x:c r="DB28" s="27"/>
      <x:c r="DC28" s="27"/>
      <x:c r="DD28" s="27"/>
      <x:c r="DE28" s="27"/>
      <x:c r="DF28" s="27"/>
      <x:c r="DG28" s="27"/>
      <x:c r="DH28" s="27"/>
      <x:c r="DI28" s="27"/>
      <x:c r="DJ28" s="27"/>
      <x:c r="DK28" s="27"/>
      <x:c r="DL28" s="27"/>
      <x:c r="DM28" s="27"/>
      <x:c r="DN28" s="27"/>
      <x:c r="DO28" s="27"/>
      <x:c r="DP28" s="27"/>
      <x:c r="DQ28" s="27"/>
      <x:c r="DR28" s="27"/>
      <x:c r="DS28" s="27"/>
      <x:c r="DT28" s="27"/>
      <x:c r="DU28" s="27"/>
      <x:c r="DV28" s="27"/>
      <x:c r="DW28" s="27"/>
      <x:c r="DX28" s="27"/>
      <x:c r="DY28" s="27"/>
      <x:c r="DZ28" s="27"/>
      <x:c r="EA28" s="27"/>
      <x:c r="EB28" s="27"/>
      <x:c r="EC28" s="27"/>
      <x:c r="ED28" s="27"/>
      <x:c r="EE28" s="27"/>
      <x:c r="EF28" s="27"/>
      <x:c r="EG28" s="27"/>
      <x:c r="EH28" s="27"/>
      <x:c r="EI28" s="27"/>
      <x:c r="EJ28" s="27"/>
      <x:c r="EK28" s="27"/>
      <x:c r="EL28" s="27"/>
      <x:c r="EM28" s="27"/>
      <x:c r="EN28" s="27"/>
      <x:c r="EO28" s="27"/>
      <x:c r="EP28" s="27"/>
      <x:c r="EQ28" s="27"/>
      <x:c r="ER28" s="27"/>
      <x:c r="ES28" s="27"/>
      <x:c r="ET28" s="27"/>
      <x:c r="EU28" s="27"/>
      <x:c r="EV28" s="27"/>
      <x:c r="EW28" s="27"/>
      <x:c r="EX28" s="27"/>
      <x:c r="EY28" s="27"/>
      <x:c r="EZ28" s="27"/>
      <x:c r="FA28" s="27"/>
      <x:c r="FB28" s="27"/>
      <x:c r="FC28" s="27"/>
      <x:c r="FD28" s="27"/>
      <x:c r="FE28" s="27"/>
      <x:c r="FF28" s="27"/>
      <x:c r="FG28" s="27"/>
      <x:c r="FH28" s="27"/>
      <x:c r="FI28" s="27"/>
      <x:c r="FJ28" s="27"/>
      <x:c r="FK28" s="27"/>
      <x:c r="FL28" s="27"/>
      <x:c r="FM28" s="27"/>
      <x:c r="FN28" s="27"/>
      <x:c r="FO28" s="27"/>
      <x:c r="FP28" s="27"/>
      <x:c r="FQ28" s="27"/>
      <x:c r="FR28" s="27"/>
      <x:c r="FS28" s="27"/>
      <x:c r="FT28" s="27"/>
      <x:c r="FU28" s="27"/>
      <x:c r="FV28" s="27"/>
      <x:c r="FW28" s="27"/>
      <x:c r="FX28" s="27"/>
      <x:c r="FY28" s="27"/>
      <x:c r="FZ28" s="27"/>
      <x:c r="GA28" s="27"/>
      <x:c r="GB28" s="27"/>
      <x:c r="GC28" s="27"/>
      <x:c r="GD28" s="27"/>
      <x:c r="GE28" s="27"/>
      <x:c r="GF28" s="27"/>
      <x:c r="GG28" s="27"/>
      <x:c r="GH28" s="27"/>
      <x:c r="GI28" s="27"/>
      <x:c r="GJ28" s="27"/>
      <x:c r="GK28" s="27"/>
      <x:c r="GL28" s="27"/>
      <x:c r="GM28" s="27"/>
      <x:c r="GN28" s="27"/>
      <x:c r="GO28" s="27"/>
      <x:c r="GP28" s="27"/>
      <x:c r="GQ28" s="27"/>
      <x:c r="GR28" s="27"/>
      <x:c r="GS28" s="27"/>
      <x:c r="GT28" s="27"/>
      <x:c r="GU28" s="27"/>
      <x:c r="GV28" s="27"/>
      <x:c r="GW28" s="27"/>
      <x:c r="GX28" s="27"/>
      <x:c r="GY28" s="27"/>
      <x:c r="GZ28" s="27"/>
      <x:c r="HA28" s="27"/>
      <x:c r="HB28" s="27"/>
      <x:c r="HC28" s="27"/>
      <x:c r="HD28" s="27"/>
      <x:c r="HE28" s="27"/>
      <x:c r="HF28" s="27"/>
      <x:c r="HG28" s="27"/>
      <x:c r="HH28" s="27"/>
      <x:c r="HI28" s="27"/>
      <x:c r="HJ28" s="27"/>
      <x:c r="HK28" s="27"/>
      <x:c r="HL28" s="27"/>
      <x:c r="HM28" s="27"/>
      <x:c r="HN28" s="27"/>
      <x:c r="HO28" s="27"/>
      <x:c r="HP28" s="27" t="str">
        <x:f>IF(C28="","",SUM(H28,N28,T28,Z28,AF28,AL28,AR28,AX28,BD28,BJ28,BP28,BV28,CB28,CH28,CN28,CT28,CZ28,DF28,DL28,DR28,DX28,ED28,EJ28,EP28,EV28,FB28,FH28,FN28,FT28,FZ28,GF28,GL28,GR28,GX28,HD28,HJ28))</x:f>
      </x:c>
      <x:c r="HQ28" s="27" t="str">
        <x:f>IF(C28="","",SUM(I28,O28,U28,AA28,AG28,AM28,AS28,AY28,BE28,BK28,BQ28,BW28,CC28,CI28,CO28,CU28,DA28,DG28,DM28,DS28,DY28,EE28,EK28,EQ28,EW28,FC28,FI28,FO28,FU28,GA28,GG28,GM28,GS28,GY28,HE28,HK28))</x:f>
      </x:c>
      <x:c r="HR28" s="27" t="str">
        <x:f>IF(C28="","",SUM(J28,P28,V28,AB28,AH28,AN28,AT28,AZ28,BF28,BL28,BR28,BX28,CD28,CJ28,CP28,CV28,DB28,DH28,DN28,DT28,DZ28,EF28,EL28,ER28,EX28,FD28,FJ28,FP28,FV28,GB28,GH28,GN28,GT28,GZ28,HF28,HL28))</x:f>
      </x:c>
      <x:c r="HS28" s="27" t="str">
        <x:f>IF(C28="","",SUM(K28,Q28,W28,AC28,AI28,AO28,AU28,BA28,BG28,BM28,BS28,BY28,CE28,CK28,CQ28,CW28,DC28,DI28,DO28,DU28,EA28,EG28,EM28,ES28,EY28,FE28,FK28,FQ28,FW28,GC28,GI28,GO28,GU28,HA28,HG28,HM28))</x:f>
      </x:c>
      <x:c r="HT28" s="27" t="str">
        <x:f>IF(C28="","",SUM(L28,R28,X28,AD28,AJ28,AP28,AV28,BB28,BH28,BN28,BT28,BZ28,CF28,CL28,CR28,CX28,DD28,DJ28,DP28,DV28,EB28,EH28,EN28,ET28,EZ28,FF28,FL28,FR28,FX28,GD28,GJ28,GP28,GV28,HB28,HH28,HN28))</x:f>
      </x:c>
      <x:c r="HU28" s="27" t="str">
        <x:f>IF(C28="","",SUM(M28,S28,Y28,AE28,AK28,AQ28,AW28,BC28,BI28,BO28,BU28,CA28,CG28,CM28,CS28,CY28,DE28,DK28,DQ28,DW28,EC28,EI28,EO28,EU28,FA28,FG28,FM28,FS28,FY28,GE28,GK28,GQ28,GW28,HC28,HI28,HO28))</x:f>
      </x:c>
      <x:c r="HV28" s="27" t="str">
        <x:f>IF(C28="","",IF(JI28=LARGE(JI28:JN28,1),"R",IF(JJ28=LARGE(JI28:JN28,1),"I",IF(JK28=LARGE(JI28:JN28,1),"A",IF(JL28=LARGE(JI28:JN28,1),"S",IF(JM28=LARGE(JI28:JN28,1),"E",IF(JN28=LARGE(JI28:JN28,1),"C",""))))))&amp;IF(JI28=LARGE(JI28:JN28,2),"R",IF(JJ28=LARGE(JI28:JN28,2),"I",IF(JK28=LARGE(JI28:JN28,2),"A",IF(JL28=LARGE(JI28:JN28,2),"S",IF(JM28=LARGE(JI28:JN28,2),"E",IF(JN28=LARGE(JI28:JN28,2),"C",""))))))&amp;IF(JI28=LARGE(JI28:JN28,3),"R",IF(JJ28=LARGE(JI28:JN28,3),"I",IF(JK28=LARGE(JI28:JN28,3),"A",IF(JL28=LARGE(JI28:JN28,3),"S",IF(JM28=LARGE(JI28:JN28,3),"E",IF(JN28=LARGE(JI28:JN28,3),"C","")))))))</x:f>
      </x:c>
      <x:c r="HW28" s="27" t="str">
        <x:f>IF(C28="","",IF(JI28=LARGE(JI28:JN28,1),"นักปฏิบัติ",IF(JJ28=LARGE(JI28:JN28,1),"นักคิดวิเคราะห์",IF(JK28=LARGE(JI28:JN28,1),"นักสร้างสรรค์",IF(JL28=LARGE(JI28:JN28,1),"ผู้เข้าใจผู้คน",IF(JM28=LARGE(JI28:JN28,1),"ผู้นำการเปลี่ยนแปลง",IF(JN28=LARGE(JI28:JN28,1),"ผู้จัดระบบ","ผู้จัดระบบ")))))))</x:f>
      </x:c>
      <x:c r="HX28" s="27"/>
      <x:c r="HY28" s="27"/>
      <x:c r="HZ28" s="27"/>
      <x:c r="IA28" s="27"/>
      <x:c r="IB28" s="27"/>
      <x:c r="IC28" s="27"/>
      <x:c r="ID28" s="27"/>
      <x:c r="IE28" s="27"/>
      <x:c r="IF28" s="27"/>
      <x:c r="IG28" s="27"/>
      <x:c r="IH28" s="27"/>
      <x:c r="II28" s="27"/>
      <x:c r="IJ28" s="27"/>
      <x:c r="IK28" s="27" t="str">
        <x:f>IF(C28="","",SUM(H28,N28,T28,Z28,AF28,AL28,AR28,AX28,BD28,BJ28,BP28))</x:f>
      </x:c>
      <x:c r="IL28" s="27" t="str">
        <x:f>IF(C28="","",SUM(I28,O28,U28,AA28,AG28,AM28,AS28,AY28,BE28,BK28,BQ28))</x:f>
      </x:c>
      <x:c r="IM28" s="27" t="str">
        <x:f>IF(C28="","",SUM(J28,P28,V28,AB28,AH28,AN28,AT28,AZ28,BF28,BL28,BR28))</x:f>
      </x:c>
      <x:c r="IN28" s="27" t="str">
        <x:f>IF(C28="","",SUM(K28,Q28,W28,AC28,AI28,AO28,AU28,BA28,BG28,BM28,BS28))</x:f>
      </x:c>
      <x:c r="IO28" s="27" t="str">
        <x:f>IF(C28="","",SUM(L28,R28,X28,AD28,AJ28,AP28,AV28,BB28,BH28,BN28,BT28))</x:f>
      </x:c>
      <x:c r="IP28" s="27" t="str">
        <x:f>IF(C28="","",SUM(M28,S28,Y28,AE28,AK28,AQ28,AW28,BC28,BI28,BO28,BU28))</x:f>
      </x:c>
      <x:c r="IQ28" s="27" t="str">
        <x:f>IF(C28="","",SUM(BV28,CB28,CH28,CN28,CT28,CZ28,DF28,DL28,DR28,DX28,ED28))</x:f>
      </x:c>
      <x:c r="IR28" s="27" t="str">
        <x:f>IF(C28="","",SUM(BW28,CC28,CI28,CO28,CU28,DA28,DG28,DM28,DS28,DY28,EE28))</x:f>
      </x:c>
      <x:c r="IS28" s="27" t="str">
        <x:f>IF(C28="","",SUM(BX28,CD28,CJ28,CP28,CV28,DB28,DH28,DN28,DT28,DZ28,EF28))</x:f>
      </x:c>
      <x:c r="IT28" s="27" t="str">
        <x:f>IF(C28="","",SUM(BY28,CE28,CK28,CQ28,CW28,DC28,DI28,DO28,DU28,EA28,EG28))</x:f>
      </x:c>
      <x:c r="IU28" s="27" t="str">
        <x:f>IF(C28="","",SUM(BZ28,CF28,CL28,CR28,CX28,DD28,DJ28,DP28,DV28,EB28,EH28))</x:f>
      </x:c>
      <x:c r="IV28" s="27" t="str">
        <x:f>IF(C28="","",SUM(CA28,CG28,CM28,CS28,CY28,DE28,DK28,DQ28,DW28,EC28,EI28))</x:f>
      </x:c>
      <x:c r="IW28" s="27" t="str">
        <x:f>IF(C28="","",SUM(EJ28,EP28,EV28,FB28,FH28,FN28,FT28,FZ28,GF28,GL28,GR28,GX28,HD28,HJ28))</x:f>
      </x:c>
      <x:c r="IX28" s="27" t="str">
        <x:f>IF(C28="","",SUM(EK28,EQ28,EW28,FC28,FI28,FO28,FU28,GA28,GG28,GM28,GS28,GY28,HE28,HK28))</x:f>
      </x:c>
      <x:c r="IY28" s="27" t="str">
        <x:f>IF(C28="","",SUM(EL28,ER28,EX28,FD28,FJ28,FP28,FV28,GB28,GH28,GN28,GT28,GZ28,HF28,HL28))</x:f>
      </x:c>
      <x:c r="IZ28" s="27" t="str">
        <x:f>IF(C28="","",SUM(EM28,ES28,EY28,FE28,FK28,FQ28,FW28,GC28,GI28,GO28,GU28,HA28,HG28,HM28))</x:f>
      </x:c>
      <x:c r="JA28" s="27" t="str">
        <x:f>IF(C28="","",SUM(EN28,ET28,EZ28,FF28,FL28,FR28,FX28,GD28,GJ28,GP28,GV28,HB28,HH28,HN28))</x:f>
      </x:c>
      <x:c r="JB28" s="27" t="str">
        <x:f>IF(C28="","",SUM(EO28,EU28,FA28,FG28,FM28,FS28,FY28,GE28,GK28,GQ28,GW28,HC28,HI28,HO28))</x:f>
      </x:c>
      <x:c r="JC28" s="27" t="str">
        <x:f>IF(C28="","",0)</x:f>
      </x:c>
      <x:c r="JD28" s="27" t="str">
        <x:f>IF(C28="","",0)</x:f>
      </x:c>
      <x:c r="JE28" s="27" t="str">
        <x:f>IF(C28="","",0)</x:f>
      </x:c>
      <x:c r="JF28" s="27" t="str">
        <x:f>IF(C28="","",0)</x:f>
      </x:c>
      <x:c r="JG28" s="27" t="str">
        <x:f>IF(C28="","",0)</x:f>
      </x:c>
      <x:c r="JH28" s="27" t="str">
        <x:f>IF(C28="","",0)</x:f>
      </x:c>
      <x:c r="JI28" s="27" t="str">
        <x:f>IF(C28="","",HP28*1000000000+IW28*1000000+IQ28*10000+IK28*100+JC28+6/1000)</x:f>
      </x:c>
      <x:c r="JJ28" s="27" t="str">
        <x:f>IF(C28="","",HQ28*1000000000+IX28*1000000+IR28*10000+IL28*100+JD28+5/1000)</x:f>
      </x:c>
      <x:c r="JK28" s="27" t="str">
        <x:f>IF(C28="","",HR28*1000000000+IY28*1000000+IS28*10000+IM28*100+JE28+4/1000)</x:f>
      </x:c>
      <x:c r="JL28" s="27" t="str">
        <x:f>IF(C28="","",HS28*1000000000+IZ28*1000000+IT28*10000+IN28*100+JF28+3/1000)</x:f>
      </x:c>
      <x:c r="JM28" s="27" t="str">
        <x:f>IF(C28="","",HT28*1000000000+JA28*1000000+IU28*10000+IO28*100+JG28+2/1000)</x:f>
      </x:c>
      <x:c r="JN28" s="27" t="str">
        <x:f>IF(C28="","",HU28*1000000000+JB28*1000000+IV28*10000+IP28*100+JH28+1/1000)</x:f>
      </x:c>
    </x:row>
    <x:row r="29">
      <x:c r="A29" s="27"/>
      <x:c r="B29" s="28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27"/>
      <x:c r="P29" s="27"/>
      <x:c r="Q29" s="27"/>
      <x:c r="R29" s="27"/>
      <x:c r="S29" s="27"/>
      <x:c r="T29" s="27"/>
      <x:c r="U29" s="27"/>
      <x:c r="V29" s="27"/>
      <x:c r="W29" s="27"/>
      <x:c r="X29" s="27"/>
      <x:c r="Y29" s="27"/>
      <x:c r="Z29" s="27"/>
      <x:c r="AA29" s="27"/>
      <x:c r="AB29" s="27"/>
      <x:c r="AC29" s="27"/>
      <x:c r="AD29" s="27"/>
      <x:c r="AE29" s="27"/>
      <x:c r="AF29" s="27"/>
      <x:c r="AG29" s="27"/>
      <x:c r="AH29" s="27"/>
      <x:c r="AI29" s="27"/>
      <x:c r="AJ29" s="27"/>
      <x:c r="AK29" s="27"/>
      <x:c r="AL29" s="27"/>
      <x:c r="AM29" s="27"/>
      <x:c r="AN29" s="27"/>
      <x:c r="AO29" s="27"/>
      <x:c r="AP29" s="27"/>
      <x:c r="AQ29" s="27"/>
      <x:c r="AR29" s="27"/>
      <x:c r="AS29" s="27"/>
      <x:c r="AT29" s="27"/>
      <x:c r="AU29" s="27"/>
      <x:c r="AV29" s="27"/>
      <x:c r="AW29" s="27"/>
      <x:c r="AX29" s="27"/>
      <x:c r="AY29" s="27"/>
      <x:c r="AZ29" s="27"/>
      <x:c r="BA29" s="27"/>
      <x:c r="BB29" s="27"/>
      <x:c r="BC29" s="27"/>
      <x:c r="BD29" s="27"/>
      <x:c r="BE29" s="27"/>
      <x:c r="BF29" s="27"/>
      <x:c r="BG29" s="27"/>
      <x:c r="BH29" s="27"/>
      <x:c r="BI29" s="27"/>
      <x:c r="BJ29" s="27"/>
      <x:c r="BK29" s="27"/>
      <x:c r="BL29" s="27"/>
      <x:c r="BM29" s="27"/>
      <x:c r="BN29" s="27"/>
      <x:c r="BO29" s="27"/>
      <x:c r="BP29" s="27"/>
      <x:c r="BQ29" s="27"/>
      <x:c r="BR29" s="27"/>
      <x:c r="BS29" s="27"/>
      <x:c r="BT29" s="27"/>
      <x:c r="BU29" s="27"/>
      <x:c r="BV29" s="27"/>
      <x:c r="BW29" s="27"/>
      <x:c r="BX29" s="27"/>
      <x:c r="BY29" s="27"/>
      <x:c r="BZ29" s="27"/>
      <x:c r="CA29" s="27"/>
      <x:c r="CB29" s="27"/>
      <x:c r="CC29" s="27"/>
      <x:c r="CD29" s="27"/>
      <x:c r="CE29" s="27"/>
      <x:c r="CF29" s="27"/>
      <x:c r="CG29" s="27"/>
      <x:c r="CH29" s="27"/>
      <x:c r="CI29" s="27"/>
      <x:c r="CJ29" s="27"/>
      <x:c r="CK29" s="27"/>
      <x:c r="CL29" s="27"/>
      <x:c r="CM29" s="27"/>
      <x:c r="CN29" s="27"/>
      <x:c r="CO29" s="27"/>
      <x:c r="CP29" s="27"/>
      <x:c r="CQ29" s="27"/>
      <x:c r="CR29" s="27"/>
      <x:c r="CS29" s="27"/>
      <x:c r="CT29" s="27"/>
      <x:c r="CU29" s="27"/>
      <x:c r="CV29" s="27"/>
      <x:c r="CW29" s="27"/>
      <x:c r="CX29" s="27"/>
      <x:c r="CY29" s="27"/>
      <x:c r="CZ29" s="27"/>
      <x:c r="DA29" s="27"/>
      <x:c r="DB29" s="27"/>
      <x:c r="DC29" s="27"/>
      <x:c r="DD29" s="27"/>
      <x:c r="DE29" s="27"/>
      <x:c r="DF29" s="27"/>
      <x:c r="DG29" s="27"/>
      <x:c r="DH29" s="27"/>
      <x:c r="DI29" s="27"/>
      <x:c r="DJ29" s="27"/>
      <x:c r="DK29" s="27"/>
      <x:c r="DL29" s="27"/>
      <x:c r="DM29" s="27"/>
      <x:c r="DN29" s="27"/>
      <x:c r="DO29" s="27"/>
      <x:c r="DP29" s="27"/>
      <x:c r="DQ29" s="27"/>
      <x:c r="DR29" s="27"/>
      <x:c r="DS29" s="27"/>
      <x:c r="DT29" s="27"/>
      <x:c r="DU29" s="27"/>
      <x:c r="DV29" s="27"/>
      <x:c r="DW29" s="27"/>
      <x:c r="DX29" s="27"/>
      <x:c r="DY29" s="27"/>
      <x:c r="DZ29" s="27"/>
      <x:c r="EA29" s="27"/>
      <x:c r="EB29" s="27"/>
      <x:c r="EC29" s="27"/>
      <x:c r="ED29" s="27"/>
      <x:c r="EE29" s="27"/>
      <x:c r="EF29" s="27"/>
      <x:c r="EG29" s="27"/>
      <x:c r="EH29" s="27"/>
      <x:c r="EI29" s="27"/>
      <x:c r="EJ29" s="27"/>
      <x:c r="EK29" s="27"/>
      <x:c r="EL29" s="27"/>
      <x:c r="EM29" s="27"/>
      <x:c r="EN29" s="27"/>
      <x:c r="EO29" s="27"/>
      <x:c r="EP29" s="27"/>
      <x:c r="EQ29" s="27"/>
      <x:c r="ER29" s="27"/>
      <x:c r="ES29" s="27"/>
      <x:c r="ET29" s="27"/>
      <x:c r="EU29" s="27"/>
      <x:c r="EV29" s="27"/>
      <x:c r="EW29" s="27"/>
      <x:c r="EX29" s="27"/>
      <x:c r="EY29" s="27"/>
      <x:c r="EZ29" s="27"/>
      <x:c r="FA29" s="27"/>
      <x:c r="FB29" s="27"/>
      <x:c r="FC29" s="27"/>
      <x:c r="FD29" s="27"/>
      <x:c r="FE29" s="27"/>
      <x:c r="FF29" s="27"/>
      <x:c r="FG29" s="27"/>
      <x:c r="FH29" s="27"/>
      <x:c r="FI29" s="27"/>
      <x:c r="FJ29" s="27"/>
      <x:c r="FK29" s="27"/>
      <x:c r="FL29" s="27"/>
      <x:c r="FM29" s="27"/>
      <x:c r="FN29" s="27"/>
      <x:c r="FO29" s="27"/>
      <x:c r="FP29" s="27"/>
      <x:c r="FQ29" s="27"/>
      <x:c r="FR29" s="27"/>
      <x:c r="FS29" s="27"/>
      <x:c r="FT29" s="27"/>
      <x:c r="FU29" s="27"/>
      <x:c r="FV29" s="27"/>
      <x:c r="FW29" s="27"/>
      <x:c r="FX29" s="27"/>
      <x:c r="FY29" s="27"/>
      <x:c r="FZ29" s="27"/>
      <x:c r="GA29" s="27"/>
      <x:c r="GB29" s="27"/>
      <x:c r="GC29" s="27"/>
      <x:c r="GD29" s="27"/>
      <x:c r="GE29" s="27"/>
      <x:c r="GF29" s="27"/>
      <x:c r="GG29" s="27"/>
      <x:c r="GH29" s="27"/>
      <x:c r="GI29" s="27"/>
      <x:c r="GJ29" s="27"/>
      <x:c r="GK29" s="27"/>
      <x:c r="GL29" s="27"/>
      <x:c r="GM29" s="27"/>
      <x:c r="GN29" s="27"/>
      <x:c r="GO29" s="27"/>
      <x:c r="GP29" s="27"/>
      <x:c r="GQ29" s="27"/>
      <x:c r="GR29" s="27"/>
      <x:c r="GS29" s="27"/>
      <x:c r="GT29" s="27"/>
      <x:c r="GU29" s="27"/>
      <x:c r="GV29" s="27"/>
      <x:c r="GW29" s="27"/>
      <x:c r="GX29" s="27"/>
      <x:c r="GY29" s="27"/>
      <x:c r="GZ29" s="27"/>
      <x:c r="HA29" s="27"/>
      <x:c r="HB29" s="27"/>
      <x:c r="HC29" s="27"/>
      <x:c r="HD29" s="27"/>
      <x:c r="HE29" s="27"/>
      <x:c r="HF29" s="27"/>
      <x:c r="HG29" s="27"/>
      <x:c r="HH29" s="27"/>
      <x:c r="HI29" s="27"/>
      <x:c r="HJ29" s="27"/>
      <x:c r="HK29" s="27"/>
      <x:c r="HL29" s="27"/>
      <x:c r="HM29" s="27"/>
      <x:c r="HN29" s="27"/>
      <x:c r="HO29" s="27"/>
      <x:c r="HP29" s="27" t="str">
        <x:f>IF(C29="","",SUM(H29,N29,T29,Z29,AF29,AL29,AR29,AX29,BD29,BJ29,BP29,BV29,CB29,CH29,CN29,CT29,CZ29,DF29,DL29,DR29,DX29,ED29,EJ29,EP29,EV29,FB29,FH29,FN29,FT29,FZ29,GF29,GL29,GR29,GX29,HD29,HJ29))</x:f>
      </x:c>
      <x:c r="HQ29" s="27" t="str">
        <x:f>IF(C29="","",SUM(I29,O29,U29,AA29,AG29,AM29,AS29,AY29,BE29,BK29,BQ29,BW29,CC29,CI29,CO29,CU29,DA29,DG29,DM29,DS29,DY29,EE29,EK29,EQ29,EW29,FC29,FI29,FO29,FU29,GA29,GG29,GM29,GS29,GY29,HE29,HK29))</x:f>
      </x:c>
      <x:c r="HR29" s="27" t="str">
        <x:f>IF(C29="","",SUM(J29,P29,V29,AB29,AH29,AN29,AT29,AZ29,BF29,BL29,BR29,BX29,CD29,CJ29,CP29,CV29,DB29,DH29,DN29,DT29,DZ29,EF29,EL29,ER29,EX29,FD29,FJ29,FP29,FV29,GB29,GH29,GN29,GT29,GZ29,HF29,HL29))</x:f>
      </x:c>
      <x:c r="HS29" s="27" t="str">
        <x:f>IF(C29="","",SUM(K29,Q29,W29,AC29,AI29,AO29,AU29,BA29,BG29,BM29,BS29,BY29,CE29,CK29,CQ29,CW29,DC29,DI29,DO29,DU29,EA29,EG29,EM29,ES29,EY29,FE29,FK29,FQ29,FW29,GC29,GI29,GO29,GU29,HA29,HG29,HM29))</x:f>
      </x:c>
      <x:c r="HT29" s="27" t="str">
        <x:f>IF(C29="","",SUM(L29,R29,X29,AD29,AJ29,AP29,AV29,BB29,BH29,BN29,BT29,BZ29,CF29,CL29,CR29,CX29,DD29,DJ29,DP29,DV29,EB29,EH29,EN29,ET29,EZ29,FF29,FL29,FR29,FX29,GD29,GJ29,GP29,GV29,HB29,HH29,HN29))</x:f>
      </x:c>
      <x:c r="HU29" s="27" t="str">
        <x:f>IF(C29="","",SUM(M29,S29,Y29,AE29,AK29,AQ29,AW29,BC29,BI29,BO29,BU29,CA29,CG29,CM29,CS29,CY29,DE29,DK29,DQ29,DW29,EC29,EI29,EO29,EU29,FA29,FG29,FM29,FS29,FY29,GE29,GK29,GQ29,GW29,HC29,HI29,HO29))</x:f>
      </x:c>
      <x:c r="HV29" s="27" t="str">
        <x:f>IF(C29="","",IF(JI29=LARGE(JI29:JN29,1),"R",IF(JJ29=LARGE(JI29:JN29,1),"I",IF(JK29=LARGE(JI29:JN29,1),"A",IF(JL29=LARGE(JI29:JN29,1),"S",IF(JM29=LARGE(JI29:JN29,1),"E",IF(JN29=LARGE(JI29:JN29,1),"C",""))))))&amp;IF(JI29=LARGE(JI29:JN29,2),"R",IF(JJ29=LARGE(JI29:JN29,2),"I",IF(JK29=LARGE(JI29:JN29,2),"A",IF(JL29=LARGE(JI29:JN29,2),"S",IF(JM29=LARGE(JI29:JN29,2),"E",IF(JN29=LARGE(JI29:JN29,2),"C",""))))))&amp;IF(JI29=LARGE(JI29:JN29,3),"R",IF(JJ29=LARGE(JI29:JN29,3),"I",IF(JK29=LARGE(JI29:JN29,3),"A",IF(JL29=LARGE(JI29:JN29,3),"S",IF(JM29=LARGE(JI29:JN29,3),"E",IF(JN29=LARGE(JI29:JN29,3),"C","")))))))</x:f>
      </x:c>
      <x:c r="HW29" s="27" t="str">
        <x:f>IF(C29="","",IF(JI29=LARGE(JI29:JN29,1),"นักปฏิบัติ",IF(JJ29=LARGE(JI29:JN29,1),"นักคิดวิเคราะห์",IF(JK29=LARGE(JI29:JN29,1),"นักสร้างสรรค์",IF(JL29=LARGE(JI29:JN29,1),"ผู้เข้าใจผู้คน",IF(JM29=LARGE(JI29:JN29,1),"ผู้นำการเปลี่ยนแปลง",IF(JN29=LARGE(JI29:JN29,1),"ผู้จัดระบบ","ผู้จัดระบบ")))))))</x:f>
      </x:c>
      <x:c r="HX29" s="27"/>
      <x:c r="HY29" s="27"/>
      <x:c r="HZ29" s="27"/>
      <x:c r="IA29" s="27"/>
      <x:c r="IB29" s="27"/>
      <x:c r="IC29" s="27"/>
      <x:c r="ID29" s="27"/>
      <x:c r="IE29" s="27"/>
      <x:c r="IF29" s="27"/>
      <x:c r="IG29" s="27"/>
      <x:c r="IH29" s="27"/>
      <x:c r="II29" s="27"/>
      <x:c r="IJ29" s="27"/>
      <x:c r="IK29" s="27" t="str">
        <x:f>IF(C29="","",SUM(H29,N29,T29,Z29,AF29,AL29,AR29,AX29,BD29,BJ29,BP29))</x:f>
      </x:c>
      <x:c r="IL29" s="27" t="str">
        <x:f>IF(C29="","",SUM(I29,O29,U29,AA29,AG29,AM29,AS29,AY29,BE29,BK29,BQ29))</x:f>
      </x:c>
      <x:c r="IM29" s="27" t="str">
        <x:f>IF(C29="","",SUM(J29,P29,V29,AB29,AH29,AN29,AT29,AZ29,BF29,BL29,BR29))</x:f>
      </x:c>
      <x:c r="IN29" s="27" t="str">
        <x:f>IF(C29="","",SUM(K29,Q29,W29,AC29,AI29,AO29,AU29,BA29,BG29,BM29,BS29))</x:f>
      </x:c>
      <x:c r="IO29" s="27" t="str">
        <x:f>IF(C29="","",SUM(L29,R29,X29,AD29,AJ29,AP29,AV29,BB29,BH29,BN29,BT29))</x:f>
      </x:c>
      <x:c r="IP29" s="27" t="str">
        <x:f>IF(C29="","",SUM(M29,S29,Y29,AE29,AK29,AQ29,AW29,BC29,BI29,BO29,BU29))</x:f>
      </x:c>
      <x:c r="IQ29" s="27" t="str">
        <x:f>IF(C29="","",SUM(BV29,CB29,CH29,CN29,CT29,CZ29,DF29,DL29,DR29,DX29,ED29))</x:f>
      </x:c>
      <x:c r="IR29" s="27" t="str">
        <x:f>IF(C29="","",SUM(BW29,CC29,CI29,CO29,CU29,DA29,DG29,DM29,DS29,DY29,EE29))</x:f>
      </x:c>
      <x:c r="IS29" s="27" t="str">
        <x:f>IF(C29="","",SUM(BX29,CD29,CJ29,CP29,CV29,DB29,DH29,DN29,DT29,DZ29,EF29))</x:f>
      </x:c>
      <x:c r="IT29" s="27" t="str">
        <x:f>IF(C29="","",SUM(BY29,CE29,CK29,CQ29,CW29,DC29,DI29,DO29,DU29,EA29,EG29))</x:f>
      </x:c>
      <x:c r="IU29" s="27" t="str">
        <x:f>IF(C29="","",SUM(BZ29,CF29,CL29,CR29,CX29,DD29,DJ29,DP29,DV29,EB29,EH29))</x:f>
      </x:c>
      <x:c r="IV29" s="27" t="str">
        <x:f>IF(C29="","",SUM(CA29,CG29,CM29,CS29,CY29,DE29,DK29,DQ29,DW29,EC29,EI29))</x:f>
      </x:c>
      <x:c r="IW29" s="27" t="str">
        <x:f>IF(C29="","",SUM(EJ29,EP29,EV29,FB29,FH29,FN29,FT29,FZ29,GF29,GL29,GR29,GX29,HD29,HJ29))</x:f>
      </x:c>
      <x:c r="IX29" s="27" t="str">
        <x:f>IF(C29="","",SUM(EK29,EQ29,EW29,FC29,FI29,FO29,FU29,GA29,GG29,GM29,GS29,GY29,HE29,HK29))</x:f>
      </x:c>
      <x:c r="IY29" s="27" t="str">
        <x:f>IF(C29="","",SUM(EL29,ER29,EX29,FD29,FJ29,FP29,FV29,GB29,GH29,GN29,GT29,GZ29,HF29,HL29))</x:f>
      </x:c>
      <x:c r="IZ29" s="27" t="str">
        <x:f>IF(C29="","",SUM(EM29,ES29,EY29,FE29,FK29,FQ29,FW29,GC29,GI29,GO29,GU29,HA29,HG29,HM29))</x:f>
      </x:c>
      <x:c r="JA29" s="27" t="str">
        <x:f>IF(C29="","",SUM(EN29,ET29,EZ29,FF29,FL29,FR29,FX29,GD29,GJ29,GP29,GV29,HB29,HH29,HN29))</x:f>
      </x:c>
      <x:c r="JB29" s="27" t="str">
        <x:f>IF(C29="","",SUM(EO29,EU29,FA29,FG29,FM29,FS29,FY29,GE29,GK29,GQ29,GW29,HC29,HI29,HO29))</x:f>
      </x:c>
      <x:c r="JC29" s="27" t="str">
        <x:f>IF(C29="","",0)</x:f>
      </x:c>
      <x:c r="JD29" s="27" t="str">
        <x:f>IF(C29="","",0)</x:f>
      </x:c>
      <x:c r="JE29" s="27" t="str">
        <x:f>IF(C29="","",0)</x:f>
      </x:c>
      <x:c r="JF29" s="27" t="str">
        <x:f>IF(C29="","",0)</x:f>
      </x:c>
      <x:c r="JG29" s="27" t="str">
        <x:f>IF(C29="","",0)</x:f>
      </x:c>
      <x:c r="JH29" s="27" t="str">
        <x:f>IF(C29="","",0)</x:f>
      </x:c>
      <x:c r="JI29" s="27" t="str">
        <x:f>IF(C29="","",HP29*1000000000+IW29*1000000+IQ29*10000+IK29*100+JC29+6/1000)</x:f>
      </x:c>
      <x:c r="JJ29" s="27" t="str">
        <x:f>IF(C29="","",HQ29*1000000000+IX29*1000000+IR29*10000+IL29*100+JD29+5/1000)</x:f>
      </x:c>
      <x:c r="JK29" s="27" t="str">
        <x:f>IF(C29="","",HR29*1000000000+IY29*1000000+IS29*10000+IM29*100+JE29+4/1000)</x:f>
      </x:c>
      <x:c r="JL29" s="27" t="str">
        <x:f>IF(C29="","",HS29*1000000000+IZ29*1000000+IT29*10000+IN29*100+JF29+3/1000)</x:f>
      </x:c>
      <x:c r="JM29" s="27" t="str">
        <x:f>IF(C29="","",HT29*1000000000+JA29*1000000+IU29*10000+IO29*100+JG29+2/1000)</x:f>
      </x:c>
      <x:c r="JN29" s="27" t="str">
        <x:f>IF(C29="","",HU29*1000000000+JB29*1000000+IV29*10000+IP29*100+JH29+1/1000)</x:f>
      </x:c>
    </x:row>
    <x:row r="30">
      <x:c r="A30" s="27"/>
      <x:c r="B30" s="28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27"/>
      <x:c r="P30" s="27"/>
      <x:c r="Q30" s="27"/>
      <x:c r="R30" s="27"/>
      <x:c r="S30" s="27"/>
      <x:c r="T30" s="27"/>
      <x:c r="U30" s="27"/>
      <x:c r="V30" s="27"/>
      <x:c r="W30" s="27"/>
      <x:c r="X30" s="27"/>
      <x:c r="Y30" s="27"/>
      <x:c r="Z30" s="27"/>
      <x:c r="AA30" s="27"/>
      <x:c r="AB30" s="27"/>
      <x:c r="AC30" s="27"/>
      <x:c r="AD30" s="27"/>
      <x:c r="AE30" s="27"/>
      <x:c r="AF30" s="27"/>
      <x:c r="AG30" s="27"/>
      <x:c r="AH30" s="27"/>
      <x:c r="AI30" s="27"/>
      <x:c r="AJ30" s="27"/>
      <x:c r="AK30" s="27"/>
      <x:c r="AL30" s="27"/>
      <x:c r="AM30" s="27"/>
      <x:c r="AN30" s="27"/>
      <x:c r="AO30" s="27"/>
      <x:c r="AP30" s="27"/>
      <x:c r="AQ30" s="27"/>
      <x:c r="AR30" s="27"/>
      <x:c r="AS30" s="27"/>
      <x:c r="AT30" s="27"/>
      <x:c r="AU30" s="27"/>
      <x:c r="AV30" s="27"/>
      <x:c r="AW30" s="27"/>
      <x:c r="AX30" s="27"/>
      <x:c r="AY30" s="27"/>
      <x:c r="AZ30" s="27"/>
      <x:c r="BA30" s="27"/>
      <x:c r="BB30" s="27"/>
      <x:c r="BC30" s="27"/>
      <x:c r="BD30" s="27"/>
      <x:c r="BE30" s="27"/>
      <x:c r="BF30" s="27"/>
      <x:c r="BG30" s="27"/>
      <x:c r="BH30" s="27"/>
      <x:c r="BI30" s="27"/>
      <x:c r="BJ30" s="27"/>
      <x:c r="BK30" s="27"/>
      <x:c r="BL30" s="27"/>
      <x:c r="BM30" s="27"/>
      <x:c r="BN30" s="27"/>
      <x:c r="BO30" s="27"/>
      <x:c r="BP30" s="27"/>
      <x:c r="BQ30" s="27"/>
      <x:c r="BR30" s="27"/>
      <x:c r="BS30" s="27"/>
      <x:c r="BT30" s="27"/>
      <x:c r="BU30" s="27"/>
      <x:c r="BV30" s="27"/>
      <x:c r="BW30" s="27"/>
      <x:c r="BX30" s="27"/>
      <x:c r="BY30" s="27"/>
      <x:c r="BZ30" s="27"/>
      <x:c r="CA30" s="27"/>
      <x:c r="CB30" s="27"/>
      <x:c r="CC30" s="27"/>
      <x:c r="CD30" s="27"/>
      <x:c r="CE30" s="27"/>
      <x:c r="CF30" s="27"/>
      <x:c r="CG30" s="27"/>
      <x:c r="CH30" s="27"/>
      <x:c r="CI30" s="27"/>
      <x:c r="CJ30" s="27"/>
      <x:c r="CK30" s="27"/>
      <x:c r="CL30" s="27"/>
      <x:c r="CM30" s="27"/>
      <x:c r="CN30" s="27"/>
      <x:c r="CO30" s="27"/>
      <x:c r="CP30" s="27"/>
      <x:c r="CQ30" s="27"/>
      <x:c r="CR30" s="27"/>
      <x:c r="CS30" s="27"/>
      <x:c r="CT30" s="27"/>
      <x:c r="CU30" s="27"/>
      <x:c r="CV30" s="27"/>
      <x:c r="CW30" s="27"/>
      <x:c r="CX30" s="27"/>
      <x:c r="CY30" s="27"/>
      <x:c r="CZ30" s="27"/>
      <x:c r="DA30" s="27"/>
      <x:c r="DB30" s="27"/>
      <x:c r="DC30" s="27"/>
      <x:c r="DD30" s="27"/>
      <x:c r="DE30" s="27"/>
      <x:c r="DF30" s="27"/>
      <x:c r="DG30" s="27"/>
      <x:c r="DH30" s="27"/>
      <x:c r="DI30" s="27"/>
      <x:c r="DJ30" s="27"/>
      <x:c r="DK30" s="27"/>
      <x:c r="DL30" s="27"/>
      <x:c r="DM30" s="27"/>
      <x:c r="DN30" s="27"/>
      <x:c r="DO30" s="27"/>
      <x:c r="DP30" s="27"/>
      <x:c r="DQ30" s="27"/>
      <x:c r="DR30" s="27"/>
      <x:c r="DS30" s="27"/>
      <x:c r="DT30" s="27"/>
      <x:c r="DU30" s="27"/>
      <x:c r="DV30" s="27"/>
      <x:c r="DW30" s="27"/>
      <x:c r="DX30" s="27"/>
      <x:c r="DY30" s="27"/>
      <x:c r="DZ30" s="27"/>
      <x:c r="EA30" s="27"/>
      <x:c r="EB30" s="27"/>
      <x:c r="EC30" s="27"/>
      <x:c r="ED30" s="27"/>
      <x:c r="EE30" s="27"/>
      <x:c r="EF30" s="27"/>
      <x:c r="EG30" s="27"/>
      <x:c r="EH30" s="27"/>
      <x:c r="EI30" s="27"/>
      <x:c r="EJ30" s="27"/>
      <x:c r="EK30" s="27"/>
      <x:c r="EL30" s="27"/>
      <x:c r="EM30" s="27"/>
      <x:c r="EN30" s="27"/>
      <x:c r="EO30" s="27"/>
      <x:c r="EP30" s="27"/>
      <x:c r="EQ30" s="27"/>
      <x:c r="ER30" s="27"/>
      <x:c r="ES30" s="27"/>
      <x:c r="ET30" s="27"/>
      <x:c r="EU30" s="27"/>
      <x:c r="EV30" s="27"/>
      <x:c r="EW30" s="27"/>
      <x:c r="EX30" s="27"/>
      <x:c r="EY30" s="27"/>
      <x:c r="EZ30" s="27"/>
      <x:c r="FA30" s="27"/>
      <x:c r="FB30" s="27"/>
      <x:c r="FC30" s="27"/>
      <x:c r="FD30" s="27"/>
      <x:c r="FE30" s="27"/>
      <x:c r="FF30" s="27"/>
      <x:c r="FG30" s="27"/>
      <x:c r="FH30" s="27"/>
      <x:c r="FI30" s="27"/>
      <x:c r="FJ30" s="27"/>
      <x:c r="FK30" s="27"/>
      <x:c r="FL30" s="27"/>
      <x:c r="FM30" s="27"/>
      <x:c r="FN30" s="27"/>
      <x:c r="FO30" s="27"/>
      <x:c r="FP30" s="27"/>
      <x:c r="FQ30" s="27"/>
      <x:c r="FR30" s="27"/>
      <x:c r="FS30" s="27"/>
      <x:c r="FT30" s="27"/>
      <x:c r="FU30" s="27"/>
      <x:c r="FV30" s="27"/>
      <x:c r="FW30" s="27"/>
      <x:c r="FX30" s="27"/>
      <x:c r="FY30" s="27"/>
      <x:c r="FZ30" s="27"/>
      <x:c r="GA30" s="27"/>
      <x:c r="GB30" s="27"/>
      <x:c r="GC30" s="27"/>
      <x:c r="GD30" s="27"/>
      <x:c r="GE30" s="27"/>
      <x:c r="GF30" s="27"/>
      <x:c r="GG30" s="27"/>
      <x:c r="GH30" s="27"/>
      <x:c r="GI30" s="27"/>
      <x:c r="GJ30" s="27"/>
      <x:c r="GK30" s="27"/>
      <x:c r="GL30" s="27"/>
      <x:c r="GM30" s="27"/>
      <x:c r="GN30" s="27"/>
      <x:c r="GO30" s="27"/>
      <x:c r="GP30" s="27"/>
      <x:c r="GQ30" s="27"/>
      <x:c r="GR30" s="27"/>
      <x:c r="GS30" s="27"/>
      <x:c r="GT30" s="27"/>
      <x:c r="GU30" s="27"/>
      <x:c r="GV30" s="27"/>
      <x:c r="GW30" s="27"/>
      <x:c r="GX30" s="27"/>
      <x:c r="GY30" s="27"/>
      <x:c r="GZ30" s="27"/>
      <x:c r="HA30" s="27"/>
      <x:c r="HB30" s="27"/>
      <x:c r="HC30" s="27"/>
      <x:c r="HD30" s="27"/>
      <x:c r="HE30" s="27"/>
      <x:c r="HF30" s="27"/>
      <x:c r="HG30" s="27"/>
      <x:c r="HH30" s="27"/>
      <x:c r="HI30" s="27"/>
      <x:c r="HJ30" s="27"/>
      <x:c r="HK30" s="27"/>
      <x:c r="HL30" s="27"/>
      <x:c r="HM30" s="27"/>
      <x:c r="HN30" s="27"/>
      <x:c r="HO30" s="27"/>
      <x:c r="HP30" s="27" t="str">
        <x:f>IF(C30="","",SUM(H30,N30,T30,Z30,AF30,AL30,AR30,AX30,BD30,BJ30,BP30,BV30,CB30,CH30,CN30,CT30,CZ30,DF30,DL30,DR30,DX30,ED30,EJ30,EP30,EV30,FB30,FH30,FN30,FT30,FZ30,GF30,GL30,GR30,GX30,HD30,HJ30))</x:f>
      </x:c>
      <x:c r="HQ30" s="27" t="str">
        <x:f>IF(C30="","",SUM(I30,O30,U30,AA30,AG30,AM30,AS30,AY30,BE30,BK30,BQ30,BW30,CC30,CI30,CO30,CU30,DA30,DG30,DM30,DS30,DY30,EE30,EK30,EQ30,EW30,FC30,FI30,FO30,FU30,GA30,GG30,GM30,GS30,GY30,HE30,HK30))</x:f>
      </x:c>
      <x:c r="HR30" s="27" t="str">
        <x:f>IF(C30="","",SUM(J30,P30,V30,AB30,AH30,AN30,AT30,AZ30,BF30,BL30,BR30,BX30,CD30,CJ30,CP30,CV30,DB30,DH30,DN30,DT30,DZ30,EF30,EL30,ER30,EX30,FD30,FJ30,FP30,FV30,GB30,GH30,GN30,GT30,GZ30,HF30,HL30))</x:f>
      </x:c>
      <x:c r="HS30" s="27" t="str">
        <x:f>IF(C30="","",SUM(K30,Q30,W30,AC30,AI30,AO30,AU30,BA30,BG30,BM30,BS30,BY30,CE30,CK30,CQ30,CW30,DC30,DI30,DO30,DU30,EA30,EG30,EM30,ES30,EY30,FE30,FK30,FQ30,FW30,GC30,GI30,GO30,GU30,HA30,HG30,HM30))</x:f>
      </x:c>
      <x:c r="HT30" s="27" t="str">
        <x:f>IF(C30="","",SUM(L30,R30,X30,AD30,AJ30,AP30,AV30,BB30,BH30,BN30,BT30,BZ30,CF30,CL30,CR30,CX30,DD30,DJ30,DP30,DV30,EB30,EH30,EN30,ET30,EZ30,FF30,FL30,FR30,FX30,GD30,GJ30,GP30,GV30,HB30,HH30,HN30))</x:f>
      </x:c>
      <x:c r="HU30" s="27" t="str">
        <x:f>IF(C30="","",SUM(M30,S30,Y30,AE30,AK30,AQ30,AW30,BC30,BI30,BO30,BU30,CA30,CG30,CM30,CS30,CY30,DE30,DK30,DQ30,DW30,EC30,EI30,EO30,EU30,FA30,FG30,FM30,FS30,FY30,GE30,GK30,GQ30,GW30,HC30,HI30,HO30))</x:f>
      </x:c>
      <x:c r="HV30" s="27" t="str">
        <x:f>IF(C30="","",IF(JI30=LARGE(JI30:JN30,1),"R",IF(JJ30=LARGE(JI30:JN30,1),"I",IF(JK30=LARGE(JI30:JN30,1),"A",IF(JL30=LARGE(JI30:JN30,1),"S",IF(JM30=LARGE(JI30:JN30,1),"E",IF(JN30=LARGE(JI30:JN30,1),"C",""))))))&amp;IF(JI30=LARGE(JI30:JN30,2),"R",IF(JJ30=LARGE(JI30:JN30,2),"I",IF(JK30=LARGE(JI30:JN30,2),"A",IF(JL30=LARGE(JI30:JN30,2),"S",IF(JM30=LARGE(JI30:JN30,2),"E",IF(JN30=LARGE(JI30:JN30,2),"C",""))))))&amp;IF(JI30=LARGE(JI30:JN30,3),"R",IF(JJ30=LARGE(JI30:JN30,3),"I",IF(JK30=LARGE(JI30:JN30,3),"A",IF(JL30=LARGE(JI30:JN30,3),"S",IF(JM30=LARGE(JI30:JN30,3),"E",IF(JN30=LARGE(JI30:JN30,3),"C","")))))))</x:f>
      </x:c>
      <x:c r="HW30" s="27" t="str">
        <x:f>IF(C30="","",IF(JI30=LARGE(JI30:JN30,1),"นักปฏิบัติ",IF(JJ30=LARGE(JI30:JN30,1),"นักคิดวิเคราะห์",IF(JK30=LARGE(JI30:JN30,1),"นักสร้างสรรค์",IF(JL30=LARGE(JI30:JN30,1),"ผู้เข้าใจผู้คน",IF(JM30=LARGE(JI30:JN30,1),"ผู้นำการเปลี่ยนแปลง",IF(JN30=LARGE(JI30:JN30,1),"ผู้จัดระบบ","ผู้จัดระบบ")))))))</x:f>
      </x:c>
      <x:c r="HX30" s="27"/>
      <x:c r="HY30" s="27"/>
      <x:c r="HZ30" s="27"/>
      <x:c r="IA30" s="27"/>
      <x:c r="IB30" s="27"/>
      <x:c r="IC30" s="27"/>
      <x:c r="ID30" s="27"/>
      <x:c r="IE30" s="27"/>
      <x:c r="IF30" s="27"/>
      <x:c r="IG30" s="27"/>
      <x:c r="IH30" s="27"/>
      <x:c r="II30" s="27"/>
      <x:c r="IJ30" s="27"/>
      <x:c r="IK30" s="27" t="str">
        <x:f>IF(C30="","",SUM(H30,N30,T30,Z30,AF30,AL30,AR30,AX30,BD30,BJ30,BP30))</x:f>
      </x:c>
      <x:c r="IL30" s="27" t="str">
        <x:f>IF(C30="","",SUM(I30,O30,U30,AA30,AG30,AM30,AS30,AY30,BE30,BK30,BQ30))</x:f>
      </x:c>
      <x:c r="IM30" s="27" t="str">
        <x:f>IF(C30="","",SUM(J30,P30,V30,AB30,AH30,AN30,AT30,AZ30,BF30,BL30,BR30))</x:f>
      </x:c>
      <x:c r="IN30" s="27" t="str">
        <x:f>IF(C30="","",SUM(K30,Q30,W30,AC30,AI30,AO30,AU30,BA30,BG30,BM30,BS30))</x:f>
      </x:c>
      <x:c r="IO30" s="27" t="str">
        <x:f>IF(C30="","",SUM(L30,R30,X30,AD30,AJ30,AP30,AV30,BB30,BH30,BN30,BT30))</x:f>
      </x:c>
      <x:c r="IP30" s="27" t="str">
        <x:f>IF(C30="","",SUM(M30,S30,Y30,AE30,AK30,AQ30,AW30,BC30,BI30,BO30,BU30))</x:f>
      </x:c>
      <x:c r="IQ30" s="27" t="str">
        <x:f>IF(C30="","",SUM(BV30,CB30,CH30,CN30,CT30,CZ30,DF30,DL30,DR30,DX30,ED30))</x:f>
      </x:c>
      <x:c r="IR30" s="27" t="str">
        <x:f>IF(C30="","",SUM(BW30,CC30,CI30,CO30,CU30,DA30,DG30,DM30,DS30,DY30,EE30))</x:f>
      </x:c>
      <x:c r="IS30" s="27" t="str">
        <x:f>IF(C30="","",SUM(BX30,CD30,CJ30,CP30,CV30,DB30,DH30,DN30,DT30,DZ30,EF30))</x:f>
      </x:c>
      <x:c r="IT30" s="27" t="str">
        <x:f>IF(C30="","",SUM(BY30,CE30,CK30,CQ30,CW30,DC30,DI30,DO30,DU30,EA30,EG30))</x:f>
      </x:c>
      <x:c r="IU30" s="27" t="str">
        <x:f>IF(C30="","",SUM(BZ30,CF30,CL30,CR30,CX30,DD30,DJ30,DP30,DV30,EB30,EH30))</x:f>
      </x:c>
      <x:c r="IV30" s="27" t="str">
        <x:f>IF(C30="","",SUM(CA30,CG30,CM30,CS30,CY30,DE30,DK30,DQ30,DW30,EC30,EI30))</x:f>
      </x:c>
      <x:c r="IW30" s="27" t="str">
        <x:f>IF(C30="","",SUM(EJ30,EP30,EV30,FB30,FH30,FN30,FT30,FZ30,GF30,GL30,GR30,GX30,HD30,HJ30))</x:f>
      </x:c>
      <x:c r="IX30" s="27" t="str">
        <x:f>IF(C30="","",SUM(EK30,EQ30,EW30,FC30,FI30,FO30,FU30,GA30,GG30,GM30,GS30,GY30,HE30,HK30))</x:f>
      </x:c>
      <x:c r="IY30" s="27" t="str">
        <x:f>IF(C30="","",SUM(EL30,ER30,EX30,FD30,FJ30,FP30,FV30,GB30,GH30,GN30,GT30,GZ30,HF30,HL30))</x:f>
      </x:c>
      <x:c r="IZ30" s="27" t="str">
        <x:f>IF(C30="","",SUM(EM30,ES30,EY30,FE30,FK30,FQ30,FW30,GC30,GI30,GO30,GU30,HA30,HG30,HM30))</x:f>
      </x:c>
      <x:c r="JA30" s="27" t="str">
        <x:f>IF(C30="","",SUM(EN30,ET30,EZ30,FF30,FL30,FR30,FX30,GD30,GJ30,GP30,GV30,HB30,HH30,HN30))</x:f>
      </x:c>
      <x:c r="JB30" s="27" t="str">
        <x:f>IF(C30="","",SUM(EO30,EU30,FA30,FG30,FM30,FS30,FY30,GE30,GK30,GQ30,GW30,HC30,HI30,HO30))</x:f>
      </x:c>
      <x:c r="JC30" s="27" t="str">
        <x:f>IF(C30="","",0)</x:f>
      </x:c>
      <x:c r="JD30" s="27" t="str">
        <x:f>IF(C30="","",0)</x:f>
      </x:c>
      <x:c r="JE30" s="27" t="str">
        <x:f>IF(C30="","",0)</x:f>
      </x:c>
      <x:c r="JF30" s="27" t="str">
        <x:f>IF(C30="","",0)</x:f>
      </x:c>
      <x:c r="JG30" s="27" t="str">
        <x:f>IF(C30="","",0)</x:f>
      </x:c>
      <x:c r="JH30" s="27" t="str">
        <x:f>IF(C30="","",0)</x:f>
      </x:c>
      <x:c r="JI30" s="27" t="str">
        <x:f>IF(C30="","",HP30*1000000000+IW30*1000000+IQ30*10000+IK30*100+JC30+6/1000)</x:f>
      </x:c>
      <x:c r="JJ30" s="27" t="str">
        <x:f>IF(C30="","",HQ30*1000000000+IX30*1000000+IR30*10000+IL30*100+JD30+5/1000)</x:f>
      </x:c>
      <x:c r="JK30" s="27" t="str">
        <x:f>IF(C30="","",HR30*1000000000+IY30*1000000+IS30*10000+IM30*100+JE30+4/1000)</x:f>
      </x:c>
      <x:c r="JL30" s="27" t="str">
        <x:f>IF(C30="","",HS30*1000000000+IZ30*1000000+IT30*10000+IN30*100+JF30+3/1000)</x:f>
      </x:c>
      <x:c r="JM30" s="27" t="str">
        <x:f>IF(C30="","",HT30*1000000000+JA30*1000000+IU30*10000+IO30*100+JG30+2/1000)</x:f>
      </x:c>
      <x:c r="JN30" s="27" t="str">
        <x:f>IF(C30="","",HU30*1000000000+JB30*1000000+IV30*10000+IP30*100+JH30+1/1000)</x:f>
      </x:c>
    </x:row>
    <x:row r="31">
      <x:c r="A31" s="27"/>
      <x:c r="B31" s="28"/>
      <x:c r="C31" s="27"/>
      <x:c r="D31" s="27"/>
      <x:c r="E31" s="27"/>
      <x:c r="F31" s="27"/>
      <x:c r="G31" s="27"/>
      <x:c r="H31" s="27"/>
      <x:c r="I31" s="27"/>
      <x:c r="J31" s="27"/>
      <x:c r="K31" s="27"/>
      <x:c r="L31" s="27"/>
      <x:c r="M31" s="27"/>
      <x:c r="N31" s="27"/>
      <x:c r="O31" s="27"/>
      <x:c r="P31" s="27"/>
      <x:c r="Q31" s="27"/>
      <x:c r="R31" s="27"/>
      <x:c r="S31" s="27"/>
      <x:c r="T31" s="27"/>
      <x:c r="U31" s="27"/>
      <x:c r="V31" s="27"/>
      <x:c r="W31" s="27"/>
      <x:c r="X31" s="27"/>
      <x:c r="Y31" s="27"/>
      <x:c r="Z31" s="27"/>
      <x:c r="AA31" s="27"/>
      <x:c r="AB31" s="27"/>
      <x:c r="AC31" s="27"/>
      <x:c r="AD31" s="27"/>
      <x:c r="AE31" s="27"/>
      <x:c r="AF31" s="27"/>
      <x:c r="AG31" s="27"/>
      <x:c r="AH31" s="27"/>
      <x:c r="AI31" s="27"/>
      <x:c r="AJ31" s="27"/>
      <x:c r="AK31" s="27"/>
      <x:c r="AL31" s="27"/>
      <x:c r="AM31" s="27"/>
      <x:c r="AN31" s="27"/>
      <x:c r="AO31" s="27"/>
      <x:c r="AP31" s="27"/>
      <x:c r="AQ31" s="27"/>
      <x:c r="AR31" s="27"/>
      <x:c r="AS31" s="27"/>
      <x:c r="AT31" s="27"/>
      <x:c r="AU31" s="27"/>
      <x:c r="AV31" s="27"/>
      <x:c r="AW31" s="27"/>
      <x:c r="AX31" s="27"/>
      <x:c r="AY31" s="27"/>
      <x:c r="AZ31" s="27"/>
      <x:c r="BA31" s="27"/>
      <x:c r="BB31" s="27"/>
      <x:c r="BC31" s="27"/>
      <x:c r="BD31" s="27"/>
      <x:c r="BE31" s="27"/>
      <x:c r="BF31" s="27"/>
      <x:c r="BG31" s="27"/>
      <x:c r="BH31" s="27"/>
      <x:c r="BI31" s="27"/>
      <x:c r="BJ31" s="27"/>
      <x:c r="BK31" s="27"/>
      <x:c r="BL31" s="27"/>
      <x:c r="BM31" s="27"/>
      <x:c r="BN31" s="27"/>
      <x:c r="BO31" s="27"/>
      <x:c r="BP31" s="27"/>
      <x:c r="BQ31" s="27"/>
      <x:c r="BR31" s="27"/>
      <x:c r="BS31" s="27"/>
      <x:c r="BT31" s="27"/>
      <x:c r="BU31" s="27"/>
      <x:c r="BV31" s="27"/>
      <x:c r="BW31" s="27"/>
      <x:c r="BX31" s="27"/>
      <x:c r="BY31" s="27"/>
      <x:c r="BZ31" s="27"/>
      <x:c r="CA31" s="27"/>
      <x:c r="CB31" s="27"/>
      <x:c r="CC31" s="27"/>
      <x:c r="CD31" s="27"/>
      <x:c r="CE31" s="27"/>
      <x:c r="CF31" s="27"/>
      <x:c r="CG31" s="27"/>
      <x:c r="CH31" s="27"/>
      <x:c r="CI31" s="27"/>
      <x:c r="CJ31" s="27"/>
      <x:c r="CK31" s="27"/>
      <x:c r="CL31" s="27"/>
      <x:c r="CM31" s="27"/>
      <x:c r="CN31" s="27"/>
      <x:c r="CO31" s="27"/>
      <x:c r="CP31" s="27"/>
      <x:c r="CQ31" s="27"/>
      <x:c r="CR31" s="27"/>
      <x:c r="CS31" s="27"/>
      <x:c r="CT31" s="27"/>
      <x:c r="CU31" s="27"/>
      <x:c r="CV31" s="27"/>
      <x:c r="CW31" s="27"/>
      <x:c r="CX31" s="27"/>
      <x:c r="CY31" s="27"/>
      <x:c r="CZ31" s="27"/>
      <x:c r="DA31" s="27"/>
      <x:c r="DB31" s="27"/>
      <x:c r="DC31" s="27"/>
      <x:c r="DD31" s="27"/>
      <x:c r="DE31" s="27"/>
      <x:c r="DF31" s="27"/>
      <x:c r="DG31" s="27"/>
      <x:c r="DH31" s="27"/>
      <x:c r="DI31" s="27"/>
      <x:c r="DJ31" s="27"/>
      <x:c r="DK31" s="27"/>
      <x:c r="DL31" s="27"/>
      <x:c r="DM31" s="27"/>
      <x:c r="DN31" s="27"/>
      <x:c r="DO31" s="27"/>
      <x:c r="DP31" s="27"/>
      <x:c r="DQ31" s="27"/>
      <x:c r="DR31" s="27"/>
      <x:c r="DS31" s="27"/>
      <x:c r="DT31" s="27"/>
      <x:c r="DU31" s="27"/>
      <x:c r="DV31" s="27"/>
      <x:c r="DW31" s="27"/>
      <x:c r="DX31" s="27"/>
      <x:c r="DY31" s="27"/>
      <x:c r="DZ31" s="27"/>
      <x:c r="EA31" s="27"/>
      <x:c r="EB31" s="27"/>
      <x:c r="EC31" s="27"/>
      <x:c r="ED31" s="27"/>
      <x:c r="EE31" s="27"/>
      <x:c r="EF31" s="27"/>
      <x:c r="EG31" s="27"/>
      <x:c r="EH31" s="27"/>
      <x:c r="EI31" s="27"/>
      <x:c r="EJ31" s="27"/>
      <x:c r="EK31" s="27"/>
      <x:c r="EL31" s="27"/>
      <x:c r="EM31" s="27"/>
      <x:c r="EN31" s="27"/>
      <x:c r="EO31" s="27"/>
      <x:c r="EP31" s="27"/>
      <x:c r="EQ31" s="27"/>
      <x:c r="ER31" s="27"/>
      <x:c r="ES31" s="27"/>
      <x:c r="ET31" s="27"/>
      <x:c r="EU31" s="27"/>
      <x:c r="EV31" s="27"/>
      <x:c r="EW31" s="27"/>
      <x:c r="EX31" s="27"/>
      <x:c r="EY31" s="27"/>
      <x:c r="EZ31" s="27"/>
      <x:c r="FA31" s="27"/>
      <x:c r="FB31" s="27"/>
      <x:c r="FC31" s="27"/>
      <x:c r="FD31" s="27"/>
      <x:c r="FE31" s="27"/>
      <x:c r="FF31" s="27"/>
      <x:c r="FG31" s="27"/>
      <x:c r="FH31" s="27"/>
      <x:c r="FI31" s="27"/>
      <x:c r="FJ31" s="27"/>
      <x:c r="FK31" s="27"/>
      <x:c r="FL31" s="27"/>
      <x:c r="FM31" s="27"/>
      <x:c r="FN31" s="27"/>
      <x:c r="FO31" s="27"/>
      <x:c r="FP31" s="27"/>
      <x:c r="FQ31" s="27"/>
      <x:c r="FR31" s="27"/>
      <x:c r="FS31" s="27"/>
      <x:c r="FT31" s="27"/>
      <x:c r="FU31" s="27"/>
      <x:c r="FV31" s="27"/>
      <x:c r="FW31" s="27"/>
      <x:c r="FX31" s="27"/>
      <x:c r="FY31" s="27"/>
      <x:c r="FZ31" s="27"/>
      <x:c r="GA31" s="27"/>
      <x:c r="GB31" s="27"/>
      <x:c r="GC31" s="27"/>
      <x:c r="GD31" s="27"/>
      <x:c r="GE31" s="27"/>
      <x:c r="GF31" s="27"/>
      <x:c r="GG31" s="27"/>
      <x:c r="GH31" s="27"/>
      <x:c r="GI31" s="27"/>
      <x:c r="GJ31" s="27"/>
      <x:c r="GK31" s="27"/>
      <x:c r="GL31" s="27"/>
      <x:c r="GM31" s="27"/>
      <x:c r="GN31" s="27"/>
      <x:c r="GO31" s="27"/>
      <x:c r="GP31" s="27"/>
      <x:c r="GQ31" s="27"/>
      <x:c r="GR31" s="27"/>
      <x:c r="GS31" s="27"/>
      <x:c r="GT31" s="27"/>
      <x:c r="GU31" s="27"/>
      <x:c r="GV31" s="27"/>
      <x:c r="GW31" s="27"/>
      <x:c r="GX31" s="27"/>
      <x:c r="GY31" s="27"/>
      <x:c r="GZ31" s="27"/>
      <x:c r="HA31" s="27"/>
      <x:c r="HB31" s="27"/>
      <x:c r="HC31" s="27"/>
      <x:c r="HD31" s="27"/>
      <x:c r="HE31" s="27"/>
      <x:c r="HF31" s="27"/>
      <x:c r="HG31" s="27"/>
      <x:c r="HH31" s="27"/>
      <x:c r="HI31" s="27"/>
      <x:c r="HJ31" s="27"/>
      <x:c r="HK31" s="27"/>
      <x:c r="HL31" s="27"/>
      <x:c r="HM31" s="27"/>
      <x:c r="HN31" s="27"/>
      <x:c r="HO31" s="27"/>
      <x:c r="HP31" s="27" t="str">
        <x:f>IF(C31="","",SUM(H31,N31,T31,Z31,AF31,AL31,AR31,AX31,BD31,BJ31,BP31,BV31,CB31,CH31,CN31,CT31,CZ31,DF31,DL31,DR31,DX31,ED31,EJ31,EP31,EV31,FB31,FH31,FN31,FT31,FZ31,GF31,GL31,GR31,GX31,HD31,HJ31))</x:f>
      </x:c>
      <x:c r="HQ31" s="27" t="str">
        <x:f>IF(C31="","",SUM(I31,O31,U31,AA31,AG31,AM31,AS31,AY31,BE31,BK31,BQ31,BW31,CC31,CI31,CO31,CU31,DA31,DG31,DM31,DS31,DY31,EE31,EK31,EQ31,EW31,FC31,FI31,FO31,FU31,GA31,GG31,GM31,GS31,GY31,HE31,HK31))</x:f>
      </x:c>
      <x:c r="HR31" s="27" t="str">
        <x:f>IF(C31="","",SUM(J31,P31,V31,AB31,AH31,AN31,AT31,AZ31,BF31,BL31,BR31,BX31,CD31,CJ31,CP31,CV31,DB31,DH31,DN31,DT31,DZ31,EF31,EL31,ER31,EX31,FD31,FJ31,FP31,FV31,GB31,GH31,GN31,GT31,GZ31,HF31,HL31))</x:f>
      </x:c>
      <x:c r="HS31" s="27" t="str">
        <x:f>IF(C31="","",SUM(K31,Q31,W31,AC31,AI31,AO31,AU31,BA31,BG31,BM31,BS31,BY31,CE31,CK31,CQ31,CW31,DC31,DI31,DO31,DU31,EA31,EG31,EM31,ES31,EY31,FE31,FK31,FQ31,FW31,GC31,GI31,GO31,GU31,HA31,HG31,HM31))</x:f>
      </x:c>
      <x:c r="HT31" s="27" t="str">
        <x:f>IF(C31="","",SUM(L31,R31,X31,AD31,AJ31,AP31,AV31,BB31,BH31,BN31,BT31,BZ31,CF31,CL31,CR31,CX31,DD31,DJ31,DP31,DV31,EB31,EH31,EN31,ET31,EZ31,FF31,FL31,FR31,FX31,GD31,GJ31,GP31,GV31,HB31,HH31,HN31))</x:f>
      </x:c>
      <x:c r="HU31" s="27" t="str">
        <x:f>IF(C31="","",SUM(M31,S31,Y31,AE31,AK31,AQ31,AW31,BC31,BI31,BO31,BU31,CA31,CG31,CM31,CS31,CY31,DE31,DK31,DQ31,DW31,EC31,EI31,EO31,EU31,FA31,FG31,FM31,FS31,FY31,GE31,GK31,GQ31,GW31,HC31,HI31,HO31))</x:f>
      </x:c>
      <x:c r="HV31" s="27" t="str">
        <x:f>IF(C31="","",IF(JI31=LARGE(JI31:JN31,1),"R",IF(JJ31=LARGE(JI31:JN31,1),"I",IF(JK31=LARGE(JI31:JN31,1),"A",IF(JL31=LARGE(JI31:JN31,1),"S",IF(JM31=LARGE(JI31:JN31,1),"E",IF(JN31=LARGE(JI31:JN31,1),"C",""))))))&amp;IF(JI31=LARGE(JI31:JN31,2),"R",IF(JJ31=LARGE(JI31:JN31,2),"I",IF(JK31=LARGE(JI31:JN31,2),"A",IF(JL31=LARGE(JI31:JN31,2),"S",IF(JM31=LARGE(JI31:JN31,2),"E",IF(JN31=LARGE(JI31:JN31,2),"C",""))))))&amp;IF(JI31=LARGE(JI31:JN31,3),"R",IF(JJ31=LARGE(JI31:JN31,3),"I",IF(JK31=LARGE(JI31:JN31,3),"A",IF(JL31=LARGE(JI31:JN31,3),"S",IF(JM31=LARGE(JI31:JN31,3),"E",IF(JN31=LARGE(JI31:JN31,3),"C","")))))))</x:f>
      </x:c>
      <x:c r="HW31" s="27" t="str">
        <x:f>IF(C31="","",IF(JI31=LARGE(JI31:JN31,1),"นักปฏิบัติ",IF(JJ31=LARGE(JI31:JN31,1),"นักคิดวิเคราะห์",IF(JK31=LARGE(JI31:JN31,1),"นักสร้างสรรค์",IF(JL31=LARGE(JI31:JN31,1),"ผู้เข้าใจผู้คน",IF(JM31=LARGE(JI31:JN31,1),"ผู้นำการเปลี่ยนแปลง",IF(JN31=LARGE(JI31:JN31,1),"ผู้จัดระบบ","ผู้จัดระบบ")))))))</x:f>
      </x:c>
      <x:c r="HX31" s="27"/>
      <x:c r="HY31" s="27"/>
      <x:c r="HZ31" s="27"/>
      <x:c r="IA31" s="27"/>
      <x:c r="IB31" s="27"/>
      <x:c r="IC31" s="27"/>
      <x:c r="ID31" s="27"/>
      <x:c r="IE31" s="27"/>
      <x:c r="IF31" s="27"/>
      <x:c r="IG31" s="27"/>
      <x:c r="IH31" s="27"/>
      <x:c r="II31" s="27"/>
      <x:c r="IJ31" s="27"/>
      <x:c r="IK31" s="27" t="str">
        <x:f>IF(C31="","",SUM(H31,N31,T31,Z31,AF31,AL31,AR31,AX31,BD31,BJ31,BP31))</x:f>
      </x:c>
      <x:c r="IL31" s="27" t="str">
        <x:f>IF(C31="","",SUM(I31,O31,U31,AA31,AG31,AM31,AS31,AY31,BE31,BK31,BQ31))</x:f>
      </x:c>
      <x:c r="IM31" s="27" t="str">
        <x:f>IF(C31="","",SUM(J31,P31,V31,AB31,AH31,AN31,AT31,AZ31,BF31,BL31,BR31))</x:f>
      </x:c>
      <x:c r="IN31" s="27" t="str">
        <x:f>IF(C31="","",SUM(K31,Q31,W31,AC31,AI31,AO31,AU31,BA31,BG31,BM31,BS31))</x:f>
      </x:c>
      <x:c r="IO31" s="27" t="str">
        <x:f>IF(C31="","",SUM(L31,R31,X31,AD31,AJ31,AP31,AV31,BB31,BH31,BN31,BT31))</x:f>
      </x:c>
      <x:c r="IP31" s="27" t="str">
        <x:f>IF(C31="","",SUM(M31,S31,Y31,AE31,AK31,AQ31,AW31,BC31,BI31,BO31,BU31))</x:f>
      </x:c>
      <x:c r="IQ31" s="27" t="str">
        <x:f>IF(C31="","",SUM(BV31,CB31,CH31,CN31,CT31,CZ31,DF31,DL31,DR31,DX31,ED31))</x:f>
      </x:c>
      <x:c r="IR31" s="27" t="str">
        <x:f>IF(C31="","",SUM(BW31,CC31,CI31,CO31,CU31,DA31,DG31,DM31,DS31,DY31,EE31))</x:f>
      </x:c>
      <x:c r="IS31" s="27" t="str">
        <x:f>IF(C31="","",SUM(BX31,CD31,CJ31,CP31,CV31,DB31,DH31,DN31,DT31,DZ31,EF31))</x:f>
      </x:c>
      <x:c r="IT31" s="27" t="str">
        <x:f>IF(C31="","",SUM(BY31,CE31,CK31,CQ31,CW31,DC31,DI31,DO31,DU31,EA31,EG31))</x:f>
      </x:c>
      <x:c r="IU31" s="27" t="str">
        <x:f>IF(C31="","",SUM(BZ31,CF31,CL31,CR31,CX31,DD31,DJ31,DP31,DV31,EB31,EH31))</x:f>
      </x:c>
      <x:c r="IV31" s="27" t="str">
        <x:f>IF(C31="","",SUM(CA31,CG31,CM31,CS31,CY31,DE31,DK31,DQ31,DW31,EC31,EI31))</x:f>
      </x:c>
      <x:c r="IW31" s="27" t="str">
        <x:f>IF(C31="","",SUM(EJ31,EP31,EV31,FB31,FH31,FN31,FT31,FZ31,GF31,GL31,GR31,GX31,HD31,HJ31))</x:f>
      </x:c>
      <x:c r="IX31" s="27" t="str">
        <x:f>IF(C31="","",SUM(EK31,EQ31,EW31,FC31,FI31,FO31,FU31,GA31,GG31,GM31,GS31,GY31,HE31,HK31))</x:f>
      </x:c>
      <x:c r="IY31" s="27" t="str">
        <x:f>IF(C31="","",SUM(EL31,ER31,EX31,FD31,FJ31,FP31,FV31,GB31,GH31,GN31,GT31,GZ31,HF31,HL31))</x:f>
      </x:c>
      <x:c r="IZ31" s="27" t="str">
        <x:f>IF(C31="","",SUM(EM31,ES31,EY31,FE31,FK31,FQ31,FW31,GC31,GI31,GO31,GU31,HA31,HG31,HM31))</x:f>
      </x:c>
      <x:c r="JA31" s="27" t="str">
        <x:f>IF(C31="","",SUM(EN31,ET31,EZ31,FF31,FL31,FR31,FX31,GD31,GJ31,GP31,GV31,HB31,HH31,HN31))</x:f>
      </x:c>
      <x:c r="JB31" s="27" t="str">
        <x:f>IF(C31="","",SUM(EO31,EU31,FA31,FG31,FM31,FS31,FY31,GE31,GK31,GQ31,GW31,HC31,HI31,HO31))</x:f>
      </x:c>
      <x:c r="JC31" s="27" t="str">
        <x:f>IF(C31="","",0)</x:f>
      </x:c>
      <x:c r="JD31" s="27" t="str">
        <x:f>IF(C31="","",0)</x:f>
      </x:c>
      <x:c r="JE31" s="27" t="str">
        <x:f>IF(C31="","",0)</x:f>
      </x:c>
      <x:c r="JF31" s="27" t="str">
        <x:f>IF(C31="","",0)</x:f>
      </x:c>
      <x:c r="JG31" s="27" t="str">
        <x:f>IF(C31="","",0)</x:f>
      </x:c>
      <x:c r="JH31" s="27" t="str">
        <x:f>IF(C31="","",0)</x:f>
      </x:c>
      <x:c r="JI31" s="27" t="str">
        <x:f>IF(C31="","",HP31*1000000000+IW31*1000000+IQ31*10000+IK31*100+JC31+6/1000)</x:f>
      </x:c>
      <x:c r="JJ31" s="27" t="str">
        <x:f>IF(C31="","",HQ31*1000000000+IX31*1000000+IR31*10000+IL31*100+JD31+5/1000)</x:f>
      </x:c>
      <x:c r="JK31" s="27" t="str">
        <x:f>IF(C31="","",HR31*1000000000+IY31*1000000+IS31*10000+IM31*100+JE31+4/1000)</x:f>
      </x:c>
      <x:c r="JL31" s="27" t="str">
        <x:f>IF(C31="","",HS31*1000000000+IZ31*1000000+IT31*10000+IN31*100+JF31+3/1000)</x:f>
      </x:c>
      <x:c r="JM31" s="27" t="str">
        <x:f>IF(C31="","",HT31*1000000000+JA31*1000000+IU31*10000+IO31*100+JG31+2/1000)</x:f>
      </x:c>
      <x:c r="JN31" s="27" t="str">
        <x:f>IF(C31="","",HU31*1000000000+JB31*1000000+IV31*10000+IP31*100+JH31+1/1000)</x:f>
      </x:c>
    </x:row>
    <x:row r="32">
      <x:c r="A32" s="27"/>
      <x:c r="B32" s="28"/>
      <x:c r="C32" s="27"/>
      <x:c r="D32" s="27"/>
      <x:c r="E32" s="27"/>
      <x:c r="F32" s="27"/>
      <x:c r="G32" s="27"/>
      <x:c r="H32" s="27"/>
      <x:c r="I32" s="27"/>
      <x:c r="J32" s="27"/>
      <x:c r="K32" s="27"/>
      <x:c r="L32" s="27"/>
      <x:c r="M32" s="27"/>
      <x:c r="N32" s="27"/>
      <x:c r="O32" s="27"/>
      <x:c r="P32" s="27"/>
      <x:c r="Q32" s="27"/>
      <x:c r="R32" s="27"/>
      <x:c r="S32" s="27"/>
      <x:c r="T32" s="27"/>
      <x:c r="U32" s="27"/>
      <x:c r="V32" s="27"/>
      <x:c r="W32" s="27"/>
      <x:c r="X32" s="27"/>
      <x:c r="Y32" s="27"/>
      <x:c r="Z32" s="27"/>
      <x:c r="AA32" s="27"/>
      <x:c r="AB32" s="27"/>
      <x:c r="AC32" s="27"/>
      <x:c r="AD32" s="27"/>
      <x:c r="AE32" s="27"/>
      <x:c r="AF32" s="27"/>
      <x:c r="AG32" s="27"/>
      <x:c r="AH32" s="27"/>
      <x:c r="AI32" s="27"/>
      <x:c r="AJ32" s="27"/>
      <x:c r="AK32" s="27"/>
      <x:c r="AL32" s="27"/>
      <x:c r="AM32" s="27"/>
      <x:c r="AN32" s="27"/>
      <x:c r="AO32" s="27"/>
      <x:c r="AP32" s="27"/>
      <x:c r="AQ32" s="27"/>
      <x:c r="AR32" s="27"/>
      <x:c r="AS32" s="27"/>
      <x:c r="AT32" s="27"/>
      <x:c r="AU32" s="27"/>
      <x:c r="AV32" s="27"/>
      <x:c r="AW32" s="27"/>
      <x:c r="AX32" s="27"/>
      <x:c r="AY32" s="27"/>
      <x:c r="AZ32" s="27"/>
      <x:c r="BA32" s="27"/>
      <x:c r="BB32" s="27"/>
      <x:c r="BC32" s="27"/>
      <x:c r="BD32" s="27"/>
      <x:c r="BE32" s="27"/>
      <x:c r="BF32" s="27"/>
      <x:c r="BG32" s="27"/>
      <x:c r="BH32" s="27"/>
      <x:c r="BI32" s="27"/>
      <x:c r="BJ32" s="27"/>
      <x:c r="BK32" s="27"/>
      <x:c r="BL32" s="27"/>
      <x:c r="BM32" s="27"/>
      <x:c r="BN32" s="27"/>
      <x:c r="BO32" s="27"/>
      <x:c r="BP32" s="27"/>
      <x:c r="BQ32" s="27"/>
      <x:c r="BR32" s="27"/>
      <x:c r="BS32" s="27"/>
      <x:c r="BT32" s="27"/>
      <x:c r="BU32" s="27"/>
      <x:c r="BV32" s="27"/>
      <x:c r="BW32" s="27"/>
      <x:c r="BX32" s="27"/>
      <x:c r="BY32" s="27"/>
      <x:c r="BZ32" s="27"/>
      <x:c r="CA32" s="27"/>
      <x:c r="CB32" s="27"/>
      <x:c r="CC32" s="27"/>
      <x:c r="CD32" s="27"/>
      <x:c r="CE32" s="27"/>
      <x:c r="CF32" s="27"/>
      <x:c r="CG32" s="27"/>
      <x:c r="CH32" s="27"/>
      <x:c r="CI32" s="27"/>
      <x:c r="CJ32" s="27"/>
      <x:c r="CK32" s="27"/>
      <x:c r="CL32" s="27"/>
      <x:c r="CM32" s="27"/>
      <x:c r="CN32" s="27"/>
      <x:c r="CO32" s="27"/>
      <x:c r="CP32" s="27"/>
      <x:c r="CQ32" s="27"/>
      <x:c r="CR32" s="27"/>
      <x:c r="CS32" s="27"/>
      <x:c r="CT32" s="27"/>
      <x:c r="CU32" s="27"/>
      <x:c r="CV32" s="27"/>
      <x:c r="CW32" s="27"/>
      <x:c r="CX32" s="27"/>
      <x:c r="CY32" s="27"/>
      <x:c r="CZ32" s="27"/>
      <x:c r="DA32" s="27"/>
      <x:c r="DB32" s="27"/>
      <x:c r="DC32" s="27"/>
      <x:c r="DD32" s="27"/>
      <x:c r="DE32" s="27"/>
      <x:c r="DF32" s="27"/>
      <x:c r="DG32" s="27"/>
      <x:c r="DH32" s="27"/>
      <x:c r="DI32" s="27"/>
      <x:c r="DJ32" s="27"/>
      <x:c r="DK32" s="27"/>
      <x:c r="DL32" s="27"/>
      <x:c r="DM32" s="27"/>
      <x:c r="DN32" s="27"/>
      <x:c r="DO32" s="27"/>
      <x:c r="DP32" s="27"/>
      <x:c r="DQ32" s="27"/>
      <x:c r="DR32" s="27"/>
      <x:c r="DS32" s="27"/>
      <x:c r="DT32" s="27"/>
      <x:c r="DU32" s="27"/>
      <x:c r="DV32" s="27"/>
      <x:c r="DW32" s="27"/>
      <x:c r="DX32" s="27"/>
      <x:c r="DY32" s="27"/>
      <x:c r="DZ32" s="27"/>
      <x:c r="EA32" s="27"/>
      <x:c r="EB32" s="27"/>
      <x:c r="EC32" s="27"/>
      <x:c r="ED32" s="27"/>
      <x:c r="EE32" s="27"/>
      <x:c r="EF32" s="27"/>
      <x:c r="EG32" s="27"/>
      <x:c r="EH32" s="27"/>
      <x:c r="EI32" s="27"/>
      <x:c r="EJ32" s="27"/>
      <x:c r="EK32" s="27"/>
      <x:c r="EL32" s="27"/>
      <x:c r="EM32" s="27"/>
      <x:c r="EN32" s="27"/>
      <x:c r="EO32" s="27"/>
      <x:c r="EP32" s="27"/>
      <x:c r="EQ32" s="27"/>
      <x:c r="ER32" s="27"/>
      <x:c r="ES32" s="27"/>
      <x:c r="ET32" s="27"/>
      <x:c r="EU32" s="27"/>
      <x:c r="EV32" s="27"/>
      <x:c r="EW32" s="27"/>
      <x:c r="EX32" s="27"/>
      <x:c r="EY32" s="27"/>
      <x:c r="EZ32" s="27"/>
      <x:c r="FA32" s="27"/>
      <x:c r="FB32" s="27"/>
      <x:c r="FC32" s="27"/>
      <x:c r="FD32" s="27"/>
      <x:c r="FE32" s="27"/>
      <x:c r="FF32" s="27"/>
      <x:c r="FG32" s="27"/>
      <x:c r="FH32" s="27"/>
      <x:c r="FI32" s="27"/>
      <x:c r="FJ32" s="27"/>
      <x:c r="FK32" s="27"/>
      <x:c r="FL32" s="27"/>
      <x:c r="FM32" s="27"/>
      <x:c r="FN32" s="27"/>
      <x:c r="FO32" s="27"/>
      <x:c r="FP32" s="27"/>
      <x:c r="FQ32" s="27"/>
      <x:c r="FR32" s="27"/>
      <x:c r="FS32" s="27"/>
      <x:c r="FT32" s="27"/>
      <x:c r="FU32" s="27"/>
      <x:c r="FV32" s="27"/>
      <x:c r="FW32" s="27"/>
      <x:c r="FX32" s="27"/>
      <x:c r="FY32" s="27"/>
      <x:c r="FZ32" s="27"/>
      <x:c r="GA32" s="27"/>
      <x:c r="GB32" s="27"/>
      <x:c r="GC32" s="27"/>
      <x:c r="GD32" s="27"/>
      <x:c r="GE32" s="27"/>
      <x:c r="GF32" s="27"/>
      <x:c r="GG32" s="27"/>
      <x:c r="GH32" s="27"/>
      <x:c r="GI32" s="27"/>
      <x:c r="GJ32" s="27"/>
      <x:c r="GK32" s="27"/>
      <x:c r="GL32" s="27"/>
      <x:c r="GM32" s="27"/>
      <x:c r="GN32" s="27"/>
      <x:c r="GO32" s="27"/>
      <x:c r="GP32" s="27"/>
      <x:c r="GQ32" s="27"/>
      <x:c r="GR32" s="27"/>
      <x:c r="GS32" s="27"/>
      <x:c r="GT32" s="27"/>
      <x:c r="GU32" s="27"/>
      <x:c r="GV32" s="27"/>
      <x:c r="GW32" s="27"/>
      <x:c r="GX32" s="27"/>
      <x:c r="GY32" s="27"/>
      <x:c r="GZ32" s="27"/>
      <x:c r="HA32" s="27"/>
      <x:c r="HB32" s="27"/>
      <x:c r="HC32" s="27"/>
      <x:c r="HD32" s="27"/>
      <x:c r="HE32" s="27"/>
      <x:c r="HF32" s="27"/>
      <x:c r="HG32" s="27"/>
      <x:c r="HH32" s="27"/>
      <x:c r="HI32" s="27"/>
      <x:c r="HJ32" s="27"/>
      <x:c r="HK32" s="27"/>
      <x:c r="HL32" s="27"/>
      <x:c r="HM32" s="27"/>
      <x:c r="HN32" s="27"/>
      <x:c r="HO32" s="27"/>
      <x:c r="HP32" s="27" t="str">
        <x:f>IF(C32="","",SUM(H32,N32,T32,Z32,AF32,AL32,AR32,AX32,BD32,BJ32,BP32,BV32,CB32,CH32,CN32,CT32,CZ32,DF32,DL32,DR32,DX32,ED32,EJ32,EP32,EV32,FB32,FH32,FN32,FT32,FZ32,GF32,GL32,GR32,GX32,HD32,HJ32))</x:f>
      </x:c>
      <x:c r="HQ32" s="27" t="str">
        <x:f>IF(C32="","",SUM(I32,O32,U32,AA32,AG32,AM32,AS32,AY32,BE32,BK32,BQ32,BW32,CC32,CI32,CO32,CU32,DA32,DG32,DM32,DS32,DY32,EE32,EK32,EQ32,EW32,FC32,FI32,FO32,FU32,GA32,GG32,GM32,GS32,GY32,HE32,HK32))</x:f>
      </x:c>
      <x:c r="HR32" s="27" t="str">
        <x:f>IF(C32="","",SUM(J32,P32,V32,AB32,AH32,AN32,AT32,AZ32,BF32,BL32,BR32,BX32,CD32,CJ32,CP32,CV32,DB32,DH32,DN32,DT32,DZ32,EF32,EL32,ER32,EX32,FD32,FJ32,FP32,FV32,GB32,GH32,GN32,GT32,GZ32,HF32,HL32))</x:f>
      </x:c>
      <x:c r="HS32" s="27" t="str">
        <x:f>IF(C32="","",SUM(K32,Q32,W32,AC32,AI32,AO32,AU32,BA32,BG32,BM32,BS32,BY32,CE32,CK32,CQ32,CW32,DC32,DI32,DO32,DU32,EA32,EG32,EM32,ES32,EY32,FE32,FK32,FQ32,FW32,GC32,GI32,GO32,GU32,HA32,HG32,HM32))</x:f>
      </x:c>
      <x:c r="HT32" s="27" t="str">
        <x:f>IF(C32="","",SUM(L32,R32,X32,AD32,AJ32,AP32,AV32,BB32,BH32,BN32,BT32,BZ32,CF32,CL32,CR32,CX32,DD32,DJ32,DP32,DV32,EB32,EH32,EN32,ET32,EZ32,FF32,FL32,FR32,FX32,GD32,GJ32,GP32,GV32,HB32,HH32,HN32))</x:f>
      </x:c>
      <x:c r="HU32" s="27" t="str">
        <x:f>IF(C32="","",SUM(M32,S32,Y32,AE32,AK32,AQ32,AW32,BC32,BI32,BO32,BU32,CA32,CG32,CM32,CS32,CY32,DE32,DK32,DQ32,DW32,EC32,EI32,EO32,EU32,FA32,FG32,FM32,FS32,FY32,GE32,GK32,GQ32,GW32,HC32,HI32,HO32))</x:f>
      </x:c>
      <x:c r="HV32" s="27" t="str">
        <x:f>IF(C32="","",IF(JI32=LARGE(JI32:JN32,1),"R",IF(JJ32=LARGE(JI32:JN32,1),"I",IF(JK32=LARGE(JI32:JN32,1),"A",IF(JL32=LARGE(JI32:JN32,1),"S",IF(JM32=LARGE(JI32:JN32,1),"E",IF(JN32=LARGE(JI32:JN32,1),"C",""))))))&amp;IF(JI32=LARGE(JI32:JN32,2),"R",IF(JJ32=LARGE(JI32:JN32,2),"I",IF(JK32=LARGE(JI32:JN32,2),"A",IF(JL32=LARGE(JI32:JN32,2),"S",IF(JM32=LARGE(JI32:JN32,2),"E",IF(JN32=LARGE(JI32:JN32,2),"C",""))))))&amp;IF(JI32=LARGE(JI32:JN32,3),"R",IF(JJ32=LARGE(JI32:JN32,3),"I",IF(JK32=LARGE(JI32:JN32,3),"A",IF(JL32=LARGE(JI32:JN32,3),"S",IF(JM32=LARGE(JI32:JN32,3),"E",IF(JN32=LARGE(JI32:JN32,3),"C","")))))))</x:f>
      </x:c>
      <x:c r="HW32" s="27" t="str">
        <x:f>IF(C32="","",IF(JI32=LARGE(JI32:JN32,1),"นักปฏิบัติ",IF(JJ32=LARGE(JI32:JN32,1),"นักคิดวิเคราะห์",IF(JK32=LARGE(JI32:JN32,1),"นักสร้างสรรค์",IF(JL32=LARGE(JI32:JN32,1),"ผู้เข้าใจผู้คน",IF(JM32=LARGE(JI32:JN32,1),"ผู้นำการเปลี่ยนแปลง",IF(JN32=LARGE(JI32:JN32,1),"ผู้จัดระบบ","ผู้จัดระบบ")))))))</x:f>
      </x:c>
      <x:c r="HX32" s="27"/>
      <x:c r="HY32" s="27"/>
      <x:c r="HZ32" s="27"/>
      <x:c r="IA32" s="27"/>
      <x:c r="IB32" s="27"/>
      <x:c r="IC32" s="27"/>
      <x:c r="ID32" s="27"/>
      <x:c r="IE32" s="27"/>
      <x:c r="IF32" s="27"/>
      <x:c r="IG32" s="27"/>
      <x:c r="IH32" s="27"/>
      <x:c r="II32" s="27"/>
      <x:c r="IJ32" s="27"/>
      <x:c r="IK32" s="27" t="str">
        <x:f>IF(C32="","",SUM(H32,N32,T32,Z32,AF32,AL32,AR32,AX32,BD32,BJ32,BP32))</x:f>
      </x:c>
      <x:c r="IL32" s="27" t="str">
        <x:f>IF(C32="","",SUM(I32,O32,U32,AA32,AG32,AM32,AS32,AY32,BE32,BK32,BQ32))</x:f>
      </x:c>
      <x:c r="IM32" s="27" t="str">
        <x:f>IF(C32="","",SUM(J32,P32,V32,AB32,AH32,AN32,AT32,AZ32,BF32,BL32,BR32))</x:f>
      </x:c>
      <x:c r="IN32" s="27" t="str">
        <x:f>IF(C32="","",SUM(K32,Q32,W32,AC32,AI32,AO32,AU32,BA32,BG32,BM32,BS32))</x:f>
      </x:c>
      <x:c r="IO32" s="27" t="str">
        <x:f>IF(C32="","",SUM(L32,R32,X32,AD32,AJ32,AP32,AV32,BB32,BH32,BN32,BT32))</x:f>
      </x:c>
      <x:c r="IP32" s="27" t="str">
        <x:f>IF(C32="","",SUM(M32,S32,Y32,AE32,AK32,AQ32,AW32,BC32,BI32,BO32,BU32))</x:f>
      </x:c>
      <x:c r="IQ32" s="27" t="str">
        <x:f>IF(C32="","",SUM(BV32,CB32,CH32,CN32,CT32,CZ32,DF32,DL32,DR32,DX32,ED32))</x:f>
      </x:c>
      <x:c r="IR32" s="27" t="str">
        <x:f>IF(C32="","",SUM(BW32,CC32,CI32,CO32,CU32,DA32,DG32,DM32,DS32,DY32,EE32))</x:f>
      </x:c>
      <x:c r="IS32" s="27" t="str">
        <x:f>IF(C32="","",SUM(BX32,CD32,CJ32,CP32,CV32,DB32,DH32,DN32,DT32,DZ32,EF32))</x:f>
      </x:c>
      <x:c r="IT32" s="27" t="str">
        <x:f>IF(C32="","",SUM(BY32,CE32,CK32,CQ32,CW32,DC32,DI32,DO32,DU32,EA32,EG32))</x:f>
      </x:c>
      <x:c r="IU32" s="27" t="str">
        <x:f>IF(C32="","",SUM(BZ32,CF32,CL32,CR32,CX32,DD32,DJ32,DP32,DV32,EB32,EH32))</x:f>
      </x:c>
      <x:c r="IV32" s="27" t="str">
        <x:f>IF(C32="","",SUM(CA32,CG32,CM32,CS32,CY32,DE32,DK32,DQ32,DW32,EC32,EI32))</x:f>
      </x:c>
      <x:c r="IW32" s="27" t="str">
        <x:f>IF(C32="","",SUM(EJ32,EP32,EV32,FB32,FH32,FN32,FT32,FZ32,GF32,GL32,GR32,GX32,HD32,HJ32))</x:f>
      </x:c>
      <x:c r="IX32" s="27" t="str">
        <x:f>IF(C32="","",SUM(EK32,EQ32,EW32,FC32,FI32,FO32,FU32,GA32,GG32,GM32,GS32,GY32,HE32,HK32))</x:f>
      </x:c>
      <x:c r="IY32" s="27" t="str">
        <x:f>IF(C32="","",SUM(EL32,ER32,EX32,FD32,FJ32,FP32,FV32,GB32,GH32,GN32,GT32,GZ32,HF32,HL32))</x:f>
      </x:c>
      <x:c r="IZ32" s="27" t="str">
        <x:f>IF(C32="","",SUM(EM32,ES32,EY32,FE32,FK32,FQ32,FW32,GC32,GI32,GO32,GU32,HA32,HG32,HM32))</x:f>
      </x:c>
      <x:c r="JA32" s="27" t="str">
        <x:f>IF(C32="","",SUM(EN32,ET32,EZ32,FF32,FL32,FR32,FX32,GD32,GJ32,GP32,GV32,HB32,HH32,HN32))</x:f>
      </x:c>
      <x:c r="JB32" s="27" t="str">
        <x:f>IF(C32="","",SUM(EO32,EU32,FA32,FG32,FM32,FS32,FY32,GE32,GK32,GQ32,GW32,HC32,HI32,HO32))</x:f>
      </x:c>
      <x:c r="JC32" s="27" t="str">
        <x:f>IF(C32="","",0)</x:f>
      </x:c>
      <x:c r="JD32" s="27" t="str">
        <x:f>IF(C32="","",0)</x:f>
      </x:c>
      <x:c r="JE32" s="27" t="str">
        <x:f>IF(C32="","",0)</x:f>
      </x:c>
      <x:c r="JF32" s="27" t="str">
        <x:f>IF(C32="","",0)</x:f>
      </x:c>
      <x:c r="JG32" s="27" t="str">
        <x:f>IF(C32="","",0)</x:f>
      </x:c>
      <x:c r="JH32" s="27" t="str">
        <x:f>IF(C32="","",0)</x:f>
      </x:c>
      <x:c r="JI32" s="27" t="str">
        <x:f>IF(C32="","",HP32*1000000000+IW32*1000000+IQ32*10000+IK32*100+JC32+6/1000)</x:f>
      </x:c>
      <x:c r="JJ32" s="27" t="str">
        <x:f>IF(C32="","",HQ32*1000000000+IX32*1000000+IR32*10000+IL32*100+JD32+5/1000)</x:f>
      </x:c>
      <x:c r="JK32" s="27" t="str">
        <x:f>IF(C32="","",HR32*1000000000+IY32*1000000+IS32*10000+IM32*100+JE32+4/1000)</x:f>
      </x:c>
      <x:c r="JL32" s="27" t="str">
        <x:f>IF(C32="","",HS32*1000000000+IZ32*1000000+IT32*10000+IN32*100+JF32+3/1000)</x:f>
      </x:c>
      <x:c r="JM32" s="27" t="str">
        <x:f>IF(C32="","",HT32*1000000000+JA32*1000000+IU32*10000+IO32*100+JG32+2/1000)</x:f>
      </x:c>
      <x:c r="JN32" s="27" t="str">
        <x:f>IF(C32="","",HU32*1000000000+JB32*1000000+IV32*10000+IP32*100+JH32+1/1000)</x:f>
      </x:c>
    </x:row>
    <x:row r="33">
      <x:c r="A33" s="27"/>
      <x:c r="B33" s="28"/>
      <x:c r="C33" s="27"/>
      <x:c r="D33" s="27"/>
      <x:c r="E33" s="27"/>
      <x:c r="F33" s="27"/>
      <x:c r="G33" s="27"/>
      <x:c r="H33" s="27"/>
      <x:c r="I33" s="27"/>
      <x:c r="J33" s="27"/>
      <x:c r="K33" s="27"/>
      <x:c r="L33" s="27"/>
      <x:c r="M33" s="27"/>
      <x:c r="N33" s="27"/>
      <x:c r="O33" s="27"/>
      <x:c r="P33" s="27"/>
      <x:c r="Q33" s="27"/>
      <x:c r="R33" s="27"/>
      <x:c r="S33" s="27"/>
      <x:c r="T33" s="27"/>
      <x:c r="U33" s="27"/>
      <x:c r="V33" s="27"/>
      <x:c r="W33" s="27"/>
      <x:c r="X33" s="27"/>
      <x:c r="Y33" s="27"/>
      <x:c r="Z33" s="27"/>
      <x:c r="AA33" s="27"/>
      <x:c r="AB33" s="27"/>
      <x:c r="AC33" s="27"/>
      <x:c r="AD33" s="27"/>
      <x:c r="AE33" s="27"/>
      <x:c r="AF33" s="27"/>
      <x:c r="AG33" s="27"/>
      <x:c r="AH33" s="27"/>
      <x:c r="AI33" s="27"/>
      <x:c r="AJ33" s="27"/>
      <x:c r="AK33" s="27"/>
      <x:c r="AL33" s="27"/>
      <x:c r="AM33" s="27"/>
      <x:c r="AN33" s="27"/>
      <x:c r="AO33" s="27"/>
      <x:c r="AP33" s="27"/>
      <x:c r="AQ33" s="27"/>
      <x:c r="AR33" s="27"/>
      <x:c r="AS33" s="27"/>
      <x:c r="AT33" s="27"/>
      <x:c r="AU33" s="27"/>
      <x:c r="AV33" s="27"/>
      <x:c r="AW33" s="27"/>
      <x:c r="AX33" s="27"/>
      <x:c r="AY33" s="27"/>
      <x:c r="AZ33" s="27"/>
      <x:c r="BA33" s="27"/>
      <x:c r="BB33" s="27"/>
      <x:c r="BC33" s="27"/>
      <x:c r="BD33" s="27"/>
      <x:c r="BE33" s="27"/>
      <x:c r="BF33" s="27"/>
      <x:c r="BG33" s="27"/>
      <x:c r="BH33" s="27"/>
      <x:c r="BI33" s="27"/>
      <x:c r="BJ33" s="27"/>
      <x:c r="BK33" s="27"/>
      <x:c r="BL33" s="27"/>
      <x:c r="BM33" s="27"/>
      <x:c r="BN33" s="27"/>
      <x:c r="BO33" s="27"/>
      <x:c r="BP33" s="27"/>
      <x:c r="BQ33" s="27"/>
      <x:c r="BR33" s="27"/>
      <x:c r="BS33" s="27"/>
      <x:c r="BT33" s="27"/>
      <x:c r="BU33" s="27"/>
      <x:c r="BV33" s="27"/>
      <x:c r="BW33" s="27"/>
      <x:c r="BX33" s="27"/>
      <x:c r="BY33" s="27"/>
      <x:c r="BZ33" s="27"/>
      <x:c r="CA33" s="27"/>
      <x:c r="CB33" s="27"/>
      <x:c r="CC33" s="27"/>
      <x:c r="CD33" s="27"/>
      <x:c r="CE33" s="27"/>
      <x:c r="CF33" s="27"/>
      <x:c r="CG33" s="27"/>
      <x:c r="CH33" s="27"/>
      <x:c r="CI33" s="27"/>
      <x:c r="CJ33" s="27"/>
      <x:c r="CK33" s="27"/>
      <x:c r="CL33" s="27"/>
      <x:c r="CM33" s="27"/>
      <x:c r="CN33" s="27"/>
      <x:c r="CO33" s="27"/>
      <x:c r="CP33" s="27"/>
      <x:c r="CQ33" s="27"/>
      <x:c r="CR33" s="27"/>
      <x:c r="CS33" s="27"/>
      <x:c r="CT33" s="27"/>
      <x:c r="CU33" s="27"/>
      <x:c r="CV33" s="27"/>
      <x:c r="CW33" s="27"/>
      <x:c r="CX33" s="27"/>
      <x:c r="CY33" s="27"/>
      <x:c r="CZ33" s="27"/>
      <x:c r="DA33" s="27"/>
      <x:c r="DB33" s="27"/>
      <x:c r="DC33" s="27"/>
      <x:c r="DD33" s="27"/>
      <x:c r="DE33" s="27"/>
      <x:c r="DF33" s="27"/>
      <x:c r="DG33" s="27"/>
      <x:c r="DH33" s="27"/>
      <x:c r="DI33" s="27"/>
      <x:c r="DJ33" s="27"/>
      <x:c r="DK33" s="27"/>
      <x:c r="DL33" s="27"/>
      <x:c r="DM33" s="27"/>
      <x:c r="DN33" s="27"/>
      <x:c r="DO33" s="27"/>
      <x:c r="DP33" s="27"/>
      <x:c r="DQ33" s="27"/>
      <x:c r="DR33" s="27"/>
      <x:c r="DS33" s="27"/>
      <x:c r="DT33" s="27"/>
      <x:c r="DU33" s="27"/>
      <x:c r="DV33" s="27"/>
      <x:c r="DW33" s="27"/>
      <x:c r="DX33" s="27"/>
      <x:c r="DY33" s="27"/>
      <x:c r="DZ33" s="27"/>
      <x:c r="EA33" s="27"/>
      <x:c r="EB33" s="27"/>
      <x:c r="EC33" s="27"/>
      <x:c r="ED33" s="27"/>
      <x:c r="EE33" s="27"/>
      <x:c r="EF33" s="27"/>
      <x:c r="EG33" s="27"/>
      <x:c r="EH33" s="27"/>
      <x:c r="EI33" s="27"/>
      <x:c r="EJ33" s="27"/>
      <x:c r="EK33" s="27"/>
      <x:c r="EL33" s="27"/>
      <x:c r="EM33" s="27"/>
      <x:c r="EN33" s="27"/>
      <x:c r="EO33" s="27"/>
      <x:c r="EP33" s="27"/>
      <x:c r="EQ33" s="27"/>
      <x:c r="ER33" s="27"/>
      <x:c r="ES33" s="27"/>
      <x:c r="ET33" s="27"/>
      <x:c r="EU33" s="27"/>
      <x:c r="EV33" s="27"/>
      <x:c r="EW33" s="27"/>
      <x:c r="EX33" s="27"/>
      <x:c r="EY33" s="27"/>
      <x:c r="EZ33" s="27"/>
      <x:c r="FA33" s="27"/>
      <x:c r="FB33" s="27"/>
      <x:c r="FC33" s="27"/>
      <x:c r="FD33" s="27"/>
      <x:c r="FE33" s="27"/>
      <x:c r="FF33" s="27"/>
      <x:c r="FG33" s="27"/>
      <x:c r="FH33" s="27"/>
      <x:c r="FI33" s="27"/>
      <x:c r="FJ33" s="27"/>
      <x:c r="FK33" s="27"/>
      <x:c r="FL33" s="27"/>
      <x:c r="FM33" s="27"/>
      <x:c r="FN33" s="27"/>
      <x:c r="FO33" s="27"/>
      <x:c r="FP33" s="27"/>
      <x:c r="FQ33" s="27"/>
      <x:c r="FR33" s="27"/>
      <x:c r="FS33" s="27"/>
      <x:c r="FT33" s="27"/>
      <x:c r="FU33" s="27"/>
      <x:c r="FV33" s="27"/>
      <x:c r="FW33" s="27"/>
      <x:c r="FX33" s="27"/>
      <x:c r="FY33" s="27"/>
      <x:c r="FZ33" s="27"/>
      <x:c r="GA33" s="27"/>
      <x:c r="GB33" s="27"/>
      <x:c r="GC33" s="27"/>
      <x:c r="GD33" s="27"/>
      <x:c r="GE33" s="27"/>
      <x:c r="GF33" s="27"/>
      <x:c r="GG33" s="27"/>
      <x:c r="GH33" s="27"/>
      <x:c r="GI33" s="27"/>
      <x:c r="GJ33" s="27"/>
      <x:c r="GK33" s="27"/>
      <x:c r="GL33" s="27"/>
      <x:c r="GM33" s="27"/>
      <x:c r="GN33" s="27"/>
      <x:c r="GO33" s="27"/>
      <x:c r="GP33" s="27"/>
      <x:c r="GQ33" s="27"/>
      <x:c r="GR33" s="27"/>
      <x:c r="GS33" s="27"/>
      <x:c r="GT33" s="27"/>
      <x:c r="GU33" s="27"/>
      <x:c r="GV33" s="27"/>
      <x:c r="GW33" s="27"/>
      <x:c r="GX33" s="27"/>
      <x:c r="GY33" s="27"/>
      <x:c r="GZ33" s="27"/>
      <x:c r="HA33" s="27"/>
      <x:c r="HB33" s="27"/>
      <x:c r="HC33" s="27"/>
      <x:c r="HD33" s="27"/>
      <x:c r="HE33" s="27"/>
      <x:c r="HF33" s="27"/>
      <x:c r="HG33" s="27"/>
      <x:c r="HH33" s="27"/>
      <x:c r="HI33" s="27"/>
      <x:c r="HJ33" s="27"/>
      <x:c r="HK33" s="27"/>
      <x:c r="HL33" s="27"/>
      <x:c r="HM33" s="27"/>
      <x:c r="HN33" s="27"/>
      <x:c r="HO33" s="27"/>
      <x:c r="HP33" s="27" t="str">
        <x:f>IF(C33="","",SUM(H33,N33,T33,Z33,AF33,AL33,AR33,AX33,BD33,BJ33,BP33,BV33,CB33,CH33,CN33,CT33,CZ33,DF33,DL33,DR33,DX33,ED33,EJ33,EP33,EV33,FB33,FH33,FN33,FT33,FZ33,GF33,GL33,GR33,GX33,HD33,HJ33))</x:f>
      </x:c>
      <x:c r="HQ33" s="27" t="str">
        <x:f>IF(C33="","",SUM(I33,O33,U33,AA33,AG33,AM33,AS33,AY33,BE33,BK33,BQ33,BW33,CC33,CI33,CO33,CU33,DA33,DG33,DM33,DS33,DY33,EE33,EK33,EQ33,EW33,FC33,FI33,FO33,FU33,GA33,GG33,GM33,GS33,GY33,HE33,HK33))</x:f>
      </x:c>
      <x:c r="HR33" s="27" t="str">
        <x:f>IF(C33="","",SUM(J33,P33,V33,AB33,AH33,AN33,AT33,AZ33,BF33,BL33,BR33,BX33,CD33,CJ33,CP33,CV33,DB33,DH33,DN33,DT33,DZ33,EF33,EL33,ER33,EX33,FD33,FJ33,FP33,FV33,GB33,GH33,GN33,GT33,GZ33,HF33,HL33))</x:f>
      </x:c>
      <x:c r="HS33" s="27" t="str">
        <x:f>IF(C33="","",SUM(K33,Q33,W33,AC33,AI33,AO33,AU33,BA33,BG33,BM33,BS33,BY33,CE33,CK33,CQ33,CW33,DC33,DI33,DO33,DU33,EA33,EG33,EM33,ES33,EY33,FE33,FK33,FQ33,FW33,GC33,GI33,GO33,GU33,HA33,HG33,HM33))</x:f>
      </x:c>
      <x:c r="HT33" s="27" t="str">
        <x:f>IF(C33="","",SUM(L33,R33,X33,AD33,AJ33,AP33,AV33,BB33,BH33,BN33,BT33,BZ33,CF33,CL33,CR33,CX33,DD33,DJ33,DP33,DV33,EB33,EH33,EN33,ET33,EZ33,FF33,FL33,FR33,FX33,GD33,GJ33,GP33,GV33,HB33,HH33,HN33))</x:f>
      </x:c>
      <x:c r="HU33" s="27" t="str">
        <x:f>IF(C33="","",SUM(M33,S33,Y33,AE33,AK33,AQ33,AW33,BC33,BI33,BO33,BU33,CA33,CG33,CM33,CS33,CY33,DE33,DK33,DQ33,DW33,EC33,EI33,EO33,EU33,FA33,FG33,FM33,FS33,FY33,GE33,GK33,GQ33,GW33,HC33,HI33,HO33))</x:f>
      </x:c>
      <x:c r="HV33" s="27" t="str">
        <x:f>IF(C33="","",IF(JI33=LARGE(JI33:JN33,1),"R",IF(JJ33=LARGE(JI33:JN33,1),"I",IF(JK33=LARGE(JI33:JN33,1),"A",IF(JL33=LARGE(JI33:JN33,1),"S",IF(JM33=LARGE(JI33:JN33,1),"E",IF(JN33=LARGE(JI33:JN33,1),"C",""))))))&amp;IF(JI33=LARGE(JI33:JN33,2),"R",IF(JJ33=LARGE(JI33:JN33,2),"I",IF(JK33=LARGE(JI33:JN33,2),"A",IF(JL33=LARGE(JI33:JN33,2),"S",IF(JM33=LARGE(JI33:JN33,2),"E",IF(JN33=LARGE(JI33:JN33,2),"C",""))))))&amp;IF(JI33=LARGE(JI33:JN33,3),"R",IF(JJ33=LARGE(JI33:JN33,3),"I",IF(JK33=LARGE(JI33:JN33,3),"A",IF(JL33=LARGE(JI33:JN33,3),"S",IF(JM33=LARGE(JI33:JN33,3),"E",IF(JN33=LARGE(JI33:JN33,3),"C","")))))))</x:f>
      </x:c>
      <x:c r="HW33" s="27" t="str">
        <x:f>IF(C33="","",IF(JI33=LARGE(JI33:JN33,1),"นักปฏิบัติ",IF(JJ33=LARGE(JI33:JN33,1),"นักคิดวิเคราะห์",IF(JK33=LARGE(JI33:JN33,1),"นักสร้างสรรค์",IF(JL33=LARGE(JI33:JN33,1),"ผู้เข้าใจผู้คน",IF(JM33=LARGE(JI33:JN33,1),"ผู้นำการเปลี่ยนแปลง",IF(JN33=LARGE(JI33:JN33,1),"ผู้จัดระบบ","ผู้จัดระบบ")))))))</x:f>
      </x:c>
      <x:c r="HX33" s="27"/>
      <x:c r="HY33" s="27"/>
      <x:c r="HZ33" s="27"/>
      <x:c r="IA33" s="27"/>
      <x:c r="IB33" s="27"/>
      <x:c r="IC33" s="27"/>
      <x:c r="ID33" s="27"/>
      <x:c r="IE33" s="27"/>
      <x:c r="IF33" s="27"/>
      <x:c r="IG33" s="27"/>
      <x:c r="IH33" s="27"/>
      <x:c r="II33" s="27"/>
      <x:c r="IJ33" s="27"/>
      <x:c r="IK33" s="27" t="str">
        <x:f>IF(C33="","",SUM(H33,N33,T33,Z33,AF33,AL33,AR33,AX33,BD33,BJ33,BP33))</x:f>
      </x:c>
      <x:c r="IL33" s="27" t="str">
        <x:f>IF(C33="","",SUM(I33,O33,U33,AA33,AG33,AM33,AS33,AY33,BE33,BK33,BQ33))</x:f>
      </x:c>
      <x:c r="IM33" s="27" t="str">
        <x:f>IF(C33="","",SUM(J33,P33,V33,AB33,AH33,AN33,AT33,AZ33,BF33,BL33,BR33))</x:f>
      </x:c>
      <x:c r="IN33" s="27" t="str">
        <x:f>IF(C33="","",SUM(K33,Q33,W33,AC33,AI33,AO33,AU33,BA33,BG33,BM33,BS33))</x:f>
      </x:c>
      <x:c r="IO33" s="27" t="str">
        <x:f>IF(C33="","",SUM(L33,R33,X33,AD33,AJ33,AP33,AV33,BB33,BH33,BN33,BT33))</x:f>
      </x:c>
      <x:c r="IP33" s="27" t="str">
        <x:f>IF(C33="","",SUM(M33,S33,Y33,AE33,AK33,AQ33,AW33,BC33,BI33,BO33,BU33))</x:f>
      </x:c>
      <x:c r="IQ33" s="27" t="str">
        <x:f>IF(C33="","",SUM(BV33,CB33,CH33,CN33,CT33,CZ33,DF33,DL33,DR33,DX33,ED33))</x:f>
      </x:c>
      <x:c r="IR33" s="27" t="str">
        <x:f>IF(C33="","",SUM(BW33,CC33,CI33,CO33,CU33,DA33,DG33,DM33,DS33,DY33,EE33))</x:f>
      </x:c>
      <x:c r="IS33" s="27" t="str">
        <x:f>IF(C33="","",SUM(BX33,CD33,CJ33,CP33,CV33,DB33,DH33,DN33,DT33,DZ33,EF33))</x:f>
      </x:c>
      <x:c r="IT33" s="27" t="str">
        <x:f>IF(C33="","",SUM(BY33,CE33,CK33,CQ33,CW33,DC33,DI33,DO33,DU33,EA33,EG33))</x:f>
      </x:c>
      <x:c r="IU33" s="27" t="str">
        <x:f>IF(C33="","",SUM(BZ33,CF33,CL33,CR33,CX33,DD33,DJ33,DP33,DV33,EB33,EH33))</x:f>
      </x:c>
      <x:c r="IV33" s="27" t="str">
        <x:f>IF(C33="","",SUM(CA33,CG33,CM33,CS33,CY33,DE33,DK33,DQ33,DW33,EC33,EI33))</x:f>
      </x:c>
      <x:c r="IW33" s="27" t="str">
        <x:f>IF(C33="","",SUM(EJ33,EP33,EV33,FB33,FH33,FN33,FT33,FZ33,GF33,GL33,GR33,GX33,HD33,HJ33))</x:f>
      </x:c>
      <x:c r="IX33" s="27" t="str">
        <x:f>IF(C33="","",SUM(EK33,EQ33,EW33,FC33,FI33,FO33,FU33,GA33,GG33,GM33,GS33,GY33,HE33,HK33))</x:f>
      </x:c>
      <x:c r="IY33" s="27" t="str">
        <x:f>IF(C33="","",SUM(EL33,ER33,EX33,FD33,FJ33,FP33,FV33,GB33,GH33,GN33,GT33,GZ33,HF33,HL33))</x:f>
      </x:c>
      <x:c r="IZ33" s="27" t="str">
        <x:f>IF(C33="","",SUM(EM33,ES33,EY33,FE33,FK33,FQ33,FW33,GC33,GI33,GO33,GU33,HA33,HG33,HM33))</x:f>
      </x:c>
      <x:c r="JA33" s="27" t="str">
        <x:f>IF(C33="","",SUM(EN33,ET33,EZ33,FF33,FL33,FR33,FX33,GD33,GJ33,GP33,GV33,HB33,HH33,HN33))</x:f>
      </x:c>
      <x:c r="JB33" s="27" t="str">
        <x:f>IF(C33="","",SUM(EO33,EU33,FA33,FG33,FM33,FS33,FY33,GE33,GK33,GQ33,GW33,HC33,HI33,HO33))</x:f>
      </x:c>
      <x:c r="JC33" s="27" t="str">
        <x:f>IF(C33="","",0)</x:f>
      </x:c>
      <x:c r="JD33" s="27" t="str">
        <x:f>IF(C33="","",0)</x:f>
      </x:c>
      <x:c r="JE33" s="27" t="str">
        <x:f>IF(C33="","",0)</x:f>
      </x:c>
      <x:c r="JF33" s="27" t="str">
        <x:f>IF(C33="","",0)</x:f>
      </x:c>
      <x:c r="JG33" s="27" t="str">
        <x:f>IF(C33="","",0)</x:f>
      </x:c>
      <x:c r="JH33" s="27" t="str">
        <x:f>IF(C33="","",0)</x:f>
      </x:c>
      <x:c r="JI33" s="27" t="str">
        <x:f>IF(C33="","",HP33*1000000000+IW33*1000000+IQ33*10000+IK33*100+JC33+6/1000)</x:f>
      </x:c>
      <x:c r="JJ33" s="27" t="str">
        <x:f>IF(C33="","",HQ33*1000000000+IX33*1000000+IR33*10000+IL33*100+JD33+5/1000)</x:f>
      </x:c>
      <x:c r="JK33" s="27" t="str">
        <x:f>IF(C33="","",HR33*1000000000+IY33*1000000+IS33*10000+IM33*100+JE33+4/1000)</x:f>
      </x:c>
      <x:c r="JL33" s="27" t="str">
        <x:f>IF(C33="","",HS33*1000000000+IZ33*1000000+IT33*10000+IN33*100+JF33+3/1000)</x:f>
      </x:c>
      <x:c r="JM33" s="27" t="str">
        <x:f>IF(C33="","",HT33*1000000000+JA33*1000000+IU33*10000+IO33*100+JG33+2/1000)</x:f>
      </x:c>
      <x:c r="JN33" s="27" t="str">
        <x:f>IF(C33="","",HU33*1000000000+JB33*1000000+IV33*10000+IP33*100+JH33+1/1000)</x:f>
      </x:c>
    </x:row>
    <x:row r="34">
      <x:c r="A34" s="27"/>
      <x:c r="B34" s="28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  <x:c r="M34" s="27"/>
      <x:c r="N34" s="27"/>
      <x:c r="O34" s="27"/>
      <x:c r="P34" s="27"/>
      <x:c r="Q34" s="27"/>
      <x:c r="R34" s="27"/>
      <x:c r="S34" s="27"/>
      <x:c r="T34" s="27"/>
      <x:c r="U34" s="27"/>
      <x:c r="V34" s="27"/>
      <x:c r="W34" s="27"/>
      <x:c r="X34" s="27"/>
      <x:c r="Y34" s="27"/>
      <x:c r="Z34" s="27"/>
      <x:c r="AA34" s="27"/>
      <x:c r="AB34" s="27"/>
      <x:c r="AC34" s="27"/>
      <x:c r="AD34" s="27"/>
      <x:c r="AE34" s="27"/>
      <x:c r="AF34" s="27"/>
      <x:c r="AG34" s="27"/>
      <x:c r="AH34" s="27"/>
      <x:c r="AI34" s="27"/>
      <x:c r="AJ34" s="27"/>
      <x:c r="AK34" s="27"/>
      <x:c r="AL34" s="27"/>
      <x:c r="AM34" s="27"/>
      <x:c r="AN34" s="27"/>
      <x:c r="AO34" s="27"/>
      <x:c r="AP34" s="27"/>
      <x:c r="AQ34" s="27"/>
      <x:c r="AR34" s="27"/>
      <x:c r="AS34" s="27"/>
      <x:c r="AT34" s="27"/>
      <x:c r="AU34" s="27"/>
      <x:c r="AV34" s="27"/>
      <x:c r="AW34" s="27"/>
      <x:c r="AX34" s="27"/>
      <x:c r="AY34" s="27"/>
      <x:c r="AZ34" s="27"/>
      <x:c r="BA34" s="27"/>
      <x:c r="BB34" s="27"/>
      <x:c r="BC34" s="27"/>
      <x:c r="BD34" s="27"/>
      <x:c r="BE34" s="27"/>
      <x:c r="BF34" s="27"/>
      <x:c r="BG34" s="27"/>
      <x:c r="BH34" s="27"/>
      <x:c r="BI34" s="27"/>
      <x:c r="BJ34" s="27"/>
      <x:c r="BK34" s="27"/>
      <x:c r="BL34" s="27"/>
      <x:c r="BM34" s="27"/>
      <x:c r="BN34" s="27"/>
      <x:c r="BO34" s="27"/>
      <x:c r="BP34" s="27"/>
      <x:c r="BQ34" s="27"/>
      <x:c r="BR34" s="27"/>
      <x:c r="BS34" s="27"/>
      <x:c r="BT34" s="27"/>
      <x:c r="BU34" s="27"/>
      <x:c r="BV34" s="27"/>
      <x:c r="BW34" s="27"/>
      <x:c r="BX34" s="27"/>
      <x:c r="BY34" s="27"/>
      <x:c r="BZ34" s="27"/>
      <x:c r="CA34" s="27"/>
      <x:c r="CB34" s="27"/>
      <x:c r="CC34" s="27"/>
      <x:c r="CD34" s="27"/>
      <x:c r="CE34" s="27"/>
      <x:c r="CF34" s="27"/>
      <x:c r="CG34" s="27"/>
      <x:c r="CH34" s="27"/>
      <x:c r="CI34" s="27"/>
      <x:c r="CJ34" s="27"/>
      <x:c r="CK34" s="27"/>
      <x:c r="CL34" s="27"/>
      <x:c r="CM34" s="27"/>
      <x:c r="CN34" s="27"/>
      <x:c r="CO34" s="27"/>
      <x:c r="CP34" s="27"/>
      <x:c r="CQ34" s="27"/>
      <x:c r="CR34" s="27"/>
      <x:c r="CS34" s="27"/>
      <x:c r="CT34" s="27"/>
      <x:c r="CU34" s="27"/>
      <x:c r="CV34" s="27"/>
      <x:c r="CW34" s="27"/>
      <x:c r="CX34" s="27"/>
      <x:c r="CY34" s="27"/>
      <x:c r="CZ34" s="27"/>
      <x:c r="DA34" s="27"/>
      <x:c r="DB34" s="27"/>
      <x:c r="DC34" s="27"/>
      <x:c r="DD34" s="27"/>
      <x:c r="DE34" s="27"/>
      <x:c r="DF34" s="27"/>
      <x:c r="DG34" s="27"/>
      <x:c r="DH34" s="27"/>
      <x:c r="DI34" s="27"/>
      <x:c r="DJ34" s="27"/>
      <x:c r="DK34" s="27"/>
      <x:c r="DL34" s="27"/>
      <x:c r="DM34" s="27"/>
      <x:c r="DN34" s="27"/>
      <x:c r="DO34" s="27"/>
      <x:c r="DP34" s="27"/>
      <x:c r="DQ34" s="27"/>
      <x:c r="DR34" s="27"/>
      <x:c r="DS34" s="27"/>
      <x:c r="DT34" s="27"/>
      <x:c r="DU34" s="27"/>
      <x:c r="DV34" s="27"/>
      <x:c r="DW34" s="27"/>
      <x:c r="DX34" s="27"/>
      <x:c r="DY34" s="27"/>
      <x:c r="DZ34" s="27"/>
      <x:c r="EA34" s="27"/>
      <x:c r="EB34" s="27"/>
      <x:c r="EC34" s="27"/>
      <x:c r="ED34" s="27"/>
      <x:c r="EE34" s="27"/>
      <x:c r="EF34" s="27"/>
      <x:c r="EG34" s="27"/>
      <x:c r="EH34" s="27"/>
      <x:c r="EI34" s="27"/>
      <x:c r="EJ34" s="27"/>
      <x:c r="EK34" s="27"/>
      <x:c r="EL34" s="27"/>
      <x:c r="EM34" s="27"/>
      <x:c r="EN34" s="27"/>
      <x:c r="EO34" s="27"/>
      <x:c r="EP34" s="27"/>
      <x:c r="EQ34" s="27"/>
      <x:c r="ER34" s="27"/>
      <x:c r="ES34" s="27"/>
      <x:c r="ET34" s="27"/>
      <x:c r="EU34" s="27"/>
      <x:c r="EV34" s="27"/>
      <x:c r="EW34" s="27"/>
      <x:c r="EX34" s="27"/>
      <x:c r="EY34" s="27"/>
      <x:c r="EZ34" s="27"/>
      <x:c r="FA34" s="27"/>
      <x:c r="FB34" s="27"/>
      <x:c r="FC34" s="27"/>
      <x:c r="FD34" s="27"/>
      <x:c r="FE34" s="27"/>
      <x:c r="FF34" s="27"/>
      <x:c r="FG34" s="27"/>
      <x:c r="FH34" s="27"/>
      <x:c r="FI34" s="27"/>
      <x:c r="FJ34" s="27"/>
      <x:c r="FK34" s="27"/>
      <x:c r="FL34" s="27"/>
      <x:c r="FM34" s="27"/>
      <x:c r="FN34" s="27"/>
      <x:c r="FO34" s="27"/>
      <x:c r="FP34" s="27"/>
      <x:c r="FQ34" s="27"/>
      <x:c r="FR34" s="27"/>
      <x:c r="FS34" s="27"/>
      <x:c r="FT34" s="27"/>
      <x:c r="FU34" s="27"/>
      <x:c r="FV34" s="27"/>
      <x:c r="FW34" s="27"/>
      <x:c r="FX34" s="27"/>
      <x:c r="FY34" s="27"/>
      <x:c r="FZ34" s="27"/>
      <x:c r="GA34" s="27"/>
      <x:c r="GB34" s="27"/>
      <x:c r="GC34" s="27"/>
      <x:c r="GD34" s="27"/>
      <x:c r="GE34" s="27"/>
      <x:c r="GF34" s="27"/>
      <x:c r="GG34" s="27"/>
      <x:c r="GH34" s="27"/>
      <x:c r="GI34" s="27"/>
      <x:c r="GJ34" s="27"/>
      <x:c r="GK34" s="27"/>
      <x:c r="GL34" s="27"/>
      <x:c r="GM34" s="27"/>
      <x:c r="GN34" s="27"/>
      <x:c r="GO34" s="27"/>
      <x:c r="GP34" s="27"/>
      <x:c r="GQ34" s="27"/>
      <x:c r="GR34" s="27"/>
      <x:c r="GS34" s="27"/>
      <x:c r="GT34" s="27"/>
      <x:c r="GU34" s="27"/>
      <x:c r="GV34" s="27"/>
      <x:c r="GW34" s="27"/>
      <x:c r="GX34" s="27"/>
      <x:c r="GY34" s="27"/>
      <x:c r="GZ34" s="27"/>
      <x:c r="HA34" s="27"/>
      <x:c r="HB34" s="27"/>
      <x:c r="HC34" s="27"/>
      <x:c r="HD34" s="27"/>
      <x:c r="HE34" s="27"/>
      <x:c r="HF34" s="27"/>
      <x:c r="HG34" s="27"/>
      <x:c r="HH34" s="27"/>
      <x:c r="HI34" s="27"/>
      <x:c r="HJ34" s="27"/>
      <x:c r="HK34" s="27"/>
      <x:c r="HL34" s="27"/>
      <x:c r="HM34" s="27"/>
      <x:c r="HN34" s="27"/>
      <x:c r="HO34" s="27"/>
      <x:c r="HP34" s="27" t="str">
        <x:f>IF(C34="","",SUM(H34,N34,T34,Z34,AF34,AL34,AR34,AX34,BD34,BJ34,BP34,BV34,CB34,CH34,CN34,CT34,CZ34,DF34,DL34,DR34,DX34,ED34,EJ34,EP34,EV34,FB34,FH34,FN34,FT34,FZ34,GF34,GL34,GR34,GX34,HD34,HJ34))</x:f>
      </x:c>
      <x:c r="HQ34" s="27" t="str">
        <x:f>IF(C34="","",SUM(I34,O34,U34,AA34,AG34,AM34,AS34,AY34,BE34,BK34,BQ34,BW34,CC34,CI34,CO34,CU34,DA34,DG34,DM34,DS34,DY34,EE34,EK34,EQ34,EW34,FC34,FI34,FO34,FU34,GA34,GG34,GM34,GS34,GY34,HE34,HK34))</x:f>
      </x:c>
      <x:c r="HR34" s="27" t="str">
        <x:f>IF(C34="","",SUM(J34,P34,V34,AB34,AH34,AN34,AT34,AZ34,BF34,BL34,BR34,BX34,CD34,CJ34,CP34,CV34,DB34,DH34,DN34,DT34,DZ34,EF34,EL34,ER34,EX34,FD34,FJ34,FP34,FV34,GB34,GH34,GN34,GT34,GZ34,HF34,HL34))</x:f>
      </x:c>
      <x:c r="HS34" s="27" t="str">
        <x:f>IF(C34="","",SUM(K34,Q34,W34,AC34,AI34,AO34,AU34,BA34,BG34,BM34,BS34,BY34,CE34,CK34,CQ34,CW34,DC34,DI34,DO34,DU34,EA34,EG34,EM34,ES34,EY34,FE34,FK34,FQ34,FW34,GC34,GI34,GO34,GU34,HA34,HG34,HM34))</x:f>
      </x:c>
      <x:c r="HT34" s="27" t="str">
        <x:f>IF(C34="","",SUM(L34,R34,X34,AD34,AJ34,AP34,AV34,BB34,BH34,BN34,BT34,BZ34,CF34,CL34,CR34,CX34,DD34,DJ34,DP34,DV34,EB34,EH34,EN34,ET34,EZ34,FF34,FL34,FR34,FX34,GD34,GJ34,GP34,GV34,HB34,HH34,HN34))</x:f>
      </x:c>
      <x:c r="HU34" s="27" t="str">
        <x:f>IF(C34="","",SUM(M34,S34,Y34,AE34,AK34,AQ34,AW34,BC34,BI34,BO34,BU34,CA34,CG34,CM34,CS34,CY34,DE34,DK34,DQ34,DW34,EC34,EI34,EO34,EU34,FA34,FG34,FM34,FS34,FY34,GE34,GK34,GQ34,GW34,HC34,HI34,HO34))</x:f>
      </x:c>
      <x:c r="HV34" s="27" t="str">
        <x:f>IF(C34="","",IF(JI34=LARGE(JI34:JN34,1),"R",IF(JJ34=LARGE(JI34:JN34,1),"I",IF(JK34=LARGE(JI34:JN34,1),"A",IF(JL34=LARGE(JI34:JN34,1),"S",IF(JM34=LARGE(JI34:JN34,1),"E",IF(JN34=LARGE(JI34:JN34,1),"C",""))))))&amp;IF(JI34=LARGE(JI34:JN34,2),"R",IF(JJ34=LARGE(JI34:JN34,2),"I",IF(JK34=LARGE(JI34:JN34,2),"A",IF(JL34=LARGE(JI34:JN34,2),"S",IF(JM34=LARGE(JI34:JN34,2),"E",IF(JN34=LARGE(JI34:JN34,2),"C",""))))))&amp;IF(JI34=LARGE(JI34:JN34,3),"R",IF(JJ34=LARGE(JI34:JN34,3),"I",IF(JK34=LARGE(JI34:JN34,3),"A",IF(JL34=LARGE(JI34:JN34,3),"S",IF(JM34=LARGE(JI34:JN34,3),"E",IF(JN34=LARGE(JI34:JN34,3),"C","")))))))</x:f>
      </x:c>
      <x:c r="HW34" s="27" t="str">
        <x:f>IF(C34="","",IF(JI34=LARGE(JI34:JN34,1),"นักปฏิบัติ",IF(JJ34=LARGE(JI34:JN34,1),"นักคิดวิเคราะห์",IF(JK34=LARGE(JI34:JN34,1),"นักสร้างสรรค์",IF(JL34=LARGE(JI34:JN34,1),"ผู้เข้าใจผู้คน",IF(JM34=LARGE(JI34:JN34,1),"ผู้นำการเปลี่ยนแปลง",IF(JN34=LARGE(JI34:JN34,1),"ผู้จัดระบบ","ผู้จัดระบบ")))))))</x:f>
      </x:c>
      <x:c r="HX34" s="27"/>
      <x:c r="HY34" s="27"/>
      <x:c r="HZ34" s="27"/>
      <x:c r="IA34" s="27"/>
      <x:c r="IB34" s="27"/>
      <x:c r="IC34" s="27"/>
      <x:c r="ID34" s="27"/>
      <x:c r="IE34" s="27"/>
      <x:c r="IF34" s="27"/>
      <x:c r="IG34" s="27"/>
      <x:c r="IH34" s="27"/>
      <x:c r="II34" s="27"/>
      <x:c r="IJ34" s="27"/>
      <x:c r="IK34" s="27" t="str">
        <x:f>IF(C34="","",SUM(H34,N34,T34,Z34,AF34,AL34,AR34,AX34,BD34,BJ34,BP34))</x:f>
      </x:c>
      <x:c r="IL34" s="27" t="str">
        <x:f>IF(C34="","",SUM(I34,O34,U34,AA34,AG34,AM34,AS34,AY34,BE34,BK34,BQ34))</x:f>
      </x:c>
      <x:c r="IM34" s="27" t="str">
        <x:f>IF(C34="","",SUM(J34,P34,V34,AB34,AH34,AN34,AT34,AZ34,BF34,BL34,BR34))</x:f>
      </x:c>
      <x:c r="IN34" s="27" t="str">
        <x:f>IF(C34="","",SUM(K34,Q34,W34,AC34,AI34,AO34,AU34,BA34,BG34,BM34,BS34))</x:f>
      </x:c>
      <x:c r="IO34" s="27" t="str">
        <x:f>IF(C34="","",SUM(L34,R34,X34,AD34,AJ34,AP34,AV34,BB34,BH34,BN34,BT34))</x:f>
      </x:c>
      <x:c r="IP34" s="27" t="str">
        <x:f>IF(C34="","",SUM(M34,S34,Y34,AE34,AK34,AQ34,AW34,BC34,BI34,BO34,BU34))</x:f>
      </x:c>
      <x:c r="IQ34" s="27" t="str">
        <x:f>IF(C34="","",SUM(BV34,CB34,CH34,CN34,CT34,CZ34,DF34,DL34,DR34,DX34,ED34))</x:f>
      </x:c>
      <x:c r="IR34" s="27" t="str">
        <x:f>IF(C34="","",SUM(BW34,CC34,CI34,CO34,CU34,DA34,DG34,DM34,DS34,DY34,EE34))</x:f>
      </x:c>
      <x:c r="IS34" s="27" t="str">
        <x:f>IF(C34="","",SUM(BX34,CD34,CJ34,CP34,CV34,DB34,DH34,DN34,DT34,DZ34,EF34))</x:f>
      </x:c>
      <x:c r="IT34" s="27" t="str">
        <x:f>IF(C34="","",SUM(BY34,CE34,CK34,CQ34,CW34,DC34,DI34,DO34,DU34,EA34,EG34))</x:f>
      </x:c>
      <x:c r="IU34" s="27" t="str">
        <x:f>IF(C34="","",SUM(BZ34,CF34,CL34,CR34,CX34,DD34,DJ34,DP34,DV34,EB34,EH34))</x:f>
      </x:c>
      <x:c r="IV34" s="27" t="str">
        <x:f>IF(C34="","",SUM(CA34,CG34,CM34,CS34,CY34,DE34,DK34,DQ34,DW34,EC34,EI34))</x:f>
      </x:c>
      <x:c r="IW34" s="27" t="str">
        <x:f>IF(C34="","",SUM(EJ34,EP34,EV34,FB34,FH34,FN34,FT34,FZ34,GF34,GL34,GR34,GX34,HD34,HJ34))</x:f>
      </x:c>
      <x:c r="IX34" s="27" t="str">
        <x:f>IF(C34="","",SUM(EK34,EQ34,EW34,FC34,FI34,FO34,FU34,GA34,GG34,GM34,GS34,GY34,HE34,HK34))</x:f>
      </x:c>
      <x:c r="IY34" s="27" t="str">
        <x:f>IF(C34="","",SUM(EL34,ER34,EX34,FD34,FJ34,FP34,FV34,GB34,GH34,GN34,GT34,GZ34,HF34,HL34))</x:f>
      </x:c>
      <x:c r="IZ34" s="27" t="str">
        <x:f>IF(C34="","",SUM(EM34,ES34,EY34,FE34,FK34,FQ34,FW34,GC34,GI34,GO34,GU34,HA34,HG34,HM34))</x:f>
      </x:c>
      <x:c r="JA34" s="27" t="str">
        <x:f>IF(C34="","",SUM(EN34,ET34,EZ34,FF34,FL34,FR34,FX34,GD34,GJ34,GP34,GV34,HB34,HH34,HN34))</x:f>
      </x:c>
      <x:c r="JB34" s="27" t="str">
        <x:f>IF(C34="","",SUM(EO34,EU34,FA34,FG34,FM34,FS34,FY34,GE34,GK34,GQ34,GW34,HC34,HI34,HO34))</x:f>
      </x:c>
      <x:c r="JC34" s="27" t="str">
        <x:f>IF(C34="","",0)</x:f>
      </x:c>
      <x:c r="JD34" s="27" t="str">
        <x:f>IF(C34="","",0)</x:f>
      </x:c>
      <x:c r="JE34" s="27" t="str">
        <x:f>IF(C34="","",0)</x:f>
      </x:c>
      <x:c r="JF34" s="27" t="str">
        <x:f>IF(C34="","",0)</x:f>
      </x:c>
      <x:c r="JG34" s="27" t="str">
        <x:f>IF(C34="","",0)</x:f>
      </x:c>
      <x:c r="JH34" s="27" t="str">
        <x:f>IF(C34="","",0)</x:f>
      </x:c>
      <x:c r="JI34" s="27" t="str">
        <x:f>IF(C34="","",HP34*1000000000+IW34*1000000+IQ34*10000+IK34*100+JC34+6/1000)</x:f>
      </x:c>
      <x:c r="JJ34" s="27" t="str">
        <x:f>IF(C34="","",HQ34*1000000000+IX34*1000000+IR34*10000+IL34*100+JD34+5/1000)</x:f>
      </x:c>
      <x:c r="JK34" s="27" t="str">
        <x:f>IF(C34="","",HR34*1000000000+IY34*1000000+IS34*10000+IM34*100+JE34+4/1000)</x:f>
      </x:c>
      <x:c r="JL34" s="27" t="str">
        <x:f>IF(C34="","",HS34*1000000000+IZ34*1000000+IT34*10000+IN34*100+JF34+3/1000)</x:f>
      </x:c>
      <x:c r="JM34" s="27" t="str">
        <x:f>IF(C34="","",HT34*1000000000+JA34*1000000+IU34*10000+IO34*100+JG34+2/1000)</x:f>
      </x:c>
      <x:c r="JN34" s="27" t="str">
        <x:f>IF(C34="","",HU34*1000000000+JB34*1000000+IV34*10000+IP34*100+JH34+1/1000)</x:f>
      </x:c>
    </x:row>
    <x:row r="35">
      <x:c r="A35" s="27"/>
      <x:c r="B35" s="28"/>
      <x:c r="C35" s="27"/>
      <x:c r="D35" s="27"/>
      <x:c r="E35" s="27"/>
      <x:c r="F35" s="27"/>
      <x:c r="G35" s="27"/>
      <x:c r="H35" s="27"/>
      <x:c r="I35" s="27"/>
      <x:c r="J35" s="27"/>
      <x:c r="K35" s="27"/>
      <x:c r="L35" s="27"/>
      <x:c r="M35" s="27"/>
      <x:c r="N35" s="27"/>
      <x:c r="O35" s="27"/>
      <x:c r="P35" s="27"/>
      <x:c r="Q35" s="27"/>
      <x:c r="R35" s="27"/>
      <x:c r="S35" s="27"/>
      <x:c r="T35" s="27"/>
      <x:c r="U35" s="27"/>
      <x:c r="V35" s="27"/>
      <x:c r="W35" s="27"/>
      <x:c r="X35" s="27"/>
      <x:c r="Y35" s="27"/>
      <x:c r="Z35" s="27"/>
      <x:c r="AA35" s="27"/>
      <x:c r="AB35" s="27"/>
      <x:c r="AC35" s="27"/>
      <x:c r="AD35" s="27"/>
      <x:c r="AE35" s="27"/>
      <x:c r="AF35" s="27"/>
      <x:c r="AG35" s="27"/>
      <x:c r="AH35" s="27"/>
      <x:c r="AI35" s="27"/>
      <x:c r="AJ35" s="27"/>
      <x:c r="AK35" s="27"/>
      <x:c r="AL35" s="27"/>
      <x:c r="AM35" s="27"/>
      <x:c r="AN35" s="27"/>
      <x:c r="AO35" s="27"/>
      <x:c r="AP35" s="27"/>
      <x:c r="AQ35" s="27"/>
      <x:c r="AR35" s="27"/>
      <x:c r="AS35" s="27"/>
      <x:c r="AT35" s="27"/>
      <x:c r="AU35" s="27"/>
      <x:c r="AV35" s="27"/>
      <x:c r="AW35" s="27"/>
      <x:c r="AX35" s="27"/>
      <x:c r="AY35" s="27"/>
      <x:c r="AZ35" s="27"/>
      <x:c r="BA35" s="27"/>
      <x:c r="BB35" s="27"/>
      <x:c r="BC35" s="27"/>
      <x:c r="BD35" s="27"/>
      <x:c r="BE35" s="27"/>
      <x:c r="BF35" s="27"/>
      <x:c r="BG35" s="27"/>
      <x:c r="BH35" s="27"/>
      <x:c r="BI35" s="27"/>
      <x:c r="BJ35" s="27"/>
      <x:c r="BK35" s="27"/>
      <x:c r="BL35" s="27"/>
      <x:c r="BM35" s="27"/>
      <x:c r="BN35" s="27"/>
      <x:c r="BO35" s="27"/>
      <x:c r="BP35" s="27"/>
      <x:c r="BQ35" s="27"/>
      <x:c r="BR35" s="27"/>
      <x:c r="BS35" s="27"/>
      <x:c r="BT35" s="27"/>
      <x:c r="BU35" s="27"/>
      <x:c r="BV35" s="27"/>
      <x:c r="BW35" s="27"/>
      <x:c r="BX35" s="27"/>
      <x:c r="BY35" s="27"/>
      <x:c r="BZ35" s="27"/>
      <x:c r="CA35" s="27"/>
      <x:c r="CB35" s="27"/>
      <x:c r="CC35" s="27"/>
      <x:c r="CD35" s="27"/>
      <x:c r="CE35" s="27"/>
      <x:c r="CF35" s="27"/>
      <x:c r="CG35" s="27"/>
      <x:c r="CH35" s="27"/>
      <x:c r="CI35" s="27"/>
      <x:c r="CJ35" s="27"/>
      <x:c r="CK35" s="27"/>
      <x:c r="CL35" s="27"/>
      <x:c r="CM35" s="27"/>
      <x:c r="CN35" s="27"/>
      <x:c r="CO35" s="27"/>
      <x:c r="CP35" s="27"/>
      <x:c r="CQ35" s="27"/>
      <x:c r="CR35" s="27"/>
      <x:c r="CS35" s="27"/>
      <x:c r="CT35" s="27"/>
      <x:c r="CU35" s="27"/>
      <x:c r="CV35" s="27"/>
      <x:c r="CW35" s="27"/>
      <x:c r="CX35" s="27"/>
      <x:c r="CY35" s="27"/>
      <x:c r="CZ35" s="27"/>
      <x:c r="DA35" s="27"/>
      <x:c r="DB35" s="27"/>
      <x:c r="DC35" s="27"/>
      <x:c r="DD35" s="27"/>
      <x:c r="DE35" s="27"/>
      <x:c r="DF35" s="27"/>
      <x:c r="DG35" s="27"/>
      <x:c r="DH35" s="27"/>
      <x:c r="DI35" s="27"/>
      <x:c r="DJ35" s="27"/>
      <x:c r="DK35" s="27"/>
      <x:c r="DL35" s="27"/>
      <x:c r="DM35" s="27"/>
      <x:c r="DN35" s="27"/>
      <x:c r="DO35" s="27"/>
      <x:c r="DP35" s="27"/>
      <x:c r="DQ35" s="27"/>
      <x:c r="DR35" s="27"/>
      <x:c r="DS35" s="27"/>
      <x:c r="DT35" s="27"/>
      <x:c r="DU35" s="27"/>
      <x:c r="DV35" s="27"/>
      <x:c r="DW35" s="27"/>
      <x:c r="DX35" s="27"/>
      <x:c r="DY35" s="27"/>
      <x:c r="DZ35" s="27"/>
      <x:c r="EA35" s="27"/>
      <x:c r="EB35" s="27"/>
      <x:c r="EC35" s="27"/>
      <x:c r="ED35" s="27"/>
      <x:c r="EE35" s="27"/>
      <x:c r="EF35" s="27"/>
      <x:c r="EG35" s="27"/>
      <x:c r="EH35" s="27"/>
      <x:c r="EI35" s="27"/>
      <x:c r="EJ35" s="27"/>
      <x:c r="EK35" s="27"/>
      <x:c r="EL35" s="27"/>
      <x:c r="EM35" s="27"/>
      <x:c r="EN35" s="27"/>
      <x:c r="EO35" s="27"/>
      <x:c r="EP35" s="27"/>
      <x:c r="EQ35" s="27"/>
      <x:c r="ER35" s="27"/>
      <x:c r="ES35" s="27"/>
      <x:c r="ET35" s="27"/>
      <x:c r="EU35" s="27"/>
      <x:c r="EV35" s="27"/>
      <x:c r="EW35" s="27"/>
      <x:c r="EX35" s="27"/>
      <x:c r="EY35" s="27"/>
      <x:c r="EZ35" s="27"/>
      <x:c r="FA35" s="27"/>
      <x:c r="FB35" s="27"/>
      <x:c r="FC35" s="27"/>
      <x:c r="FD35" s="27"/>
      <x:c r="FE35" s="27"/>
      <x:c r="FF35" s="27"/>
      <x:c r="FG35" s="27"/>
      <x:c r="FH35" s="27"/>
      <x:c r="FI35" s="27"/>
      <x:c r="FJ35" s="27"/>
      <x:c r="FK35" s="27"/>
      <x:c r="FL35" s="27"/>
      <x:c r="FM35" s="27"/>
      <x:c r="FN35" s="27"/>
      <x:c r="FO35" s="27"/>
      <x:c r="FP35" s="27"/>
      <x:c r="FQ35" s="27"/>
      <x:c r="FR35" s="27"/>
      <x:c r="FS35" s="27"/>
      <x:c r="FT35" s="27"/>
      <x:c r="FU35" s="27"/>
      <x:c r="FV35" s="27"/>
      <x:c r="FW35" s="27"/>
      <x:c r="FX35" s="27"/>
      <x:c r="FY35" s="27"/>
      <x:c r="FZ35" s="27"/>
      <x:c r="GA35" s="27"/>
      <x:c r="GB35" s="27"/>
      <x:c r="GC35" s="27"/>
      <x:c r="GD35" s="27"/>
      <x:c r="GE35" s="27"/>
      <x:c r="GF35" s="27"/>
      <x:c r="GG35" s="27"/>
      <x:c r="GH35" s="27"/>
      <x:c r="GI35" s="27"/>
      <x:c r="GJ35" s="27"/>
      <x:c r="GK35" s="27"/>
      <x:c r="GL35" s="27"/>
      <x:c r="GM35" s="27"/>
      <x:c r="GN35" s="27"/>
      <x:c r="GO35" s="27"/>
      <x:c r="GP35" s="27"/>
      <x:c r="GQ35" s="27"/>
      <x:c r="GR35" s="27"/>
      <x:c r="GS35" s="27"/>
      <x:c r="GT35" s="27"/>
      <x:c r="GU35" s="27"/>
      <x:c r="GV35" s="27"/>
      <x:c r="GW35" s="27"/>
      <x:c r="GX35" s="27"/>
      <x:c r="GY35" s="27"/>
      <x:c r="GZ35" s="27"/>
      <x:c r="HA35" s="27"/>
      <x:c r="HB35" s="27"/>
      <x:c r="HC35" s="27"/>
      <x:c r="HD35" s="27"/>
      <x:c r="HE35" s="27"/>
      <x:c r="HF35" s="27"/>
      <x:c r="HG35" s="27"/>
      <x:c r="HH35" s="27"/>
      <x:c r="HI35" s="27"/>
      <x:c r="HJ35" s="27"/>
      <x:c r="HK35" s="27"/>
      <x:c r="HL35" s="27"/>
      <x:c r="HM35" s="27"/>
      <x:c r="HN35" s="27"/>
      <x:c r="HO35" s="27"/>
      <x:c r="HP35" s="27" t="str">
        <x:f>IF(C35="","",SUM(H35,N35,T35,Z35,AF35,AL35,AR35,AX35,BD35,BJ35,BP35,BV35,CB35,CH35,CN35,CT35,CZ35,DF35,DL35,DR35,DX35,ED35,EJ35,EP35,EV35,FB35,FH35,FN35,FT35,FZ35,GF35,GL35,GR35,GX35,HD35,HJ35))</x:f>
      </x:c>
      <x:c r="HQ35" s="27" t="str">
        <x:f>IF(C35="","",SUM(I35,O35,U35,AA35,AG35,AM35,AS35,AY35,BE35,BK35,BQ35,BW35,CC35,CI35,CO35,CU35,DA35,DG35,DM35,DS35,DY35,EE35,EK35,EQ35,EW35,FC35,FI35,FO35,FU35,GA35,GG35,GM35,GS35,GY35,HE35,HK35))</x:f>
      </x:c>
      <x:c r="HR35" s="27" t="str">
        <x:f>IF(C35="","",SUM(J35,P35,V35,AB35,AH35,AN35,AT35,AZ35,BF35,BL35,BR35,BX35,CD35,CJ35,CP35,CV35,DB35,DH35,DN35,DT35,DZ35,EF35,EL35,ER35,EX35,FD35,FJ35,FP35,FV35,GB35,GH35,GN35,GT35,GZ35,HF35,HL35))</x:f>
      </x:c>
      <x:c r="HS35" s="27" t="str">
        <x:f>IF(C35="","",SUM(K35,Q35,W35,AC35,AI35,AO35,AU35,BA35,BG35,BM35,BS35,BY35,CE35,CK35,CQ35,CW35,DC35,DI35,DO35,DU35,EA35,EG35,EM35,ES35,EY35,FE35,FK35,FQ35,FW35,GC35,GI35,GO35,GU35,HA35,HG35,HM35))</x:f>
      </x:c>
      <x:c r="HT35" s="27" t="str">
        <x:f>IF(C35="","",SUM(L35,R35,X35,AD35,AJ35,AP35,AV35,BB35,BH35,BN35,BT35,BZ35,CF35,CL35,CR35,CX35,DD35,DJ35,DP35,DV35,EB35,EH35,EN35,ET35,EZ35,FF35,FL35,FR35,FX35,GD35,GJ35,GP35,GV35,HB35,HH35,HN35))</x:f>
      </x:c>
      <x:c r="HU35" s="27" t="str">
        <x:f>IF(C35="","",SUM(M35,S35,Y35,AE35,AK35,AQ35,AW35,BC35,BI35,BO35,BU35,CA35,CG35,CM35,CS35,CY35,DE35,DK35,DQ35,DW35,EC35,EI35,EO35,EU35,FA35,FG35,FM35,FS35,FY35,GE35,GK35,GQ35,GW35,HC35,HI35,HO35))</x:f>
      </x:c>
      <x:c r="HV35" s="27" t="str">
        <x:f>IF(C35="","",IF(JI35=LARGE(JI35:JN35,1),"R",IF(JJ35=LARGE(JI35:JN35,1),"I",IF(JK35=LARGE(JI35:JN35,1),"A",IF(JL35=LARGE(JI35:JN35,1),"S",IF(JM35=LARGE(JI35:JN35,1),"E",IF(JN35=LARGE(JI35:JN35,1),"C",""))))))&amp;IF(JI35=LARGE(JI35:JN35,2),"R",IF(JJ35=LARGE(JI35:JN35,2),"I",IF(JK35=LARGE(JI35:JN35,2),"A",IF(JL35=LARGE(JI35:JN35,2),"S",IF(JM35=LARGE(JI35:JN35,2),"E",IF(JN35=LARGE(JI35:JN35,2),"C",""))))))&amp;IF(JI35=LARGE(JI35:JN35,3),"R",IF(JJ35=LARGE(JI35:JN35,3),"I",IF(JK35=LARGE(JI35:JN35,3),"A",IF(JL35=LARGE(JI35:JN35,3),"S",IF(JM35=LARGE(JI35:JN35,3),"E",IF(JN35=LARGE(JI35:JN35,3),"C","")))))))</x:f>
      </x:c>
      <x:c r="HW35" s="27" t="str">
        <x:f>IF(C35="","",IF(JI35=LARGE(JI35:JN35,1),"นักปฏิบัติ",IF(JJ35=LARGE(JI35:JN35,1),"นักคิดวิเคราะห์",IF(JK35=LARGE(JI35:JN35,1),"นักสร้างสรรค์",IF(JL35=LARGE(JI35:JN35,1),"ผู้เข้าใจผู้คน",IF(JM35=LARGE(JI35:JN35,1),"ผู้นำการเปลี่ยนแปลง",IF(JN35=LARGE(JI35:JN35,1),"ผู้จัดระบบ","ผู้จัดระบบ")))))))</x:f>
      </x:c>
      <x:c r="HX35" s="27"/>
      <x:c r="HY35" s="27"/>
      <x:c r="HZ35" s="27"/>
      <x:c r="IA35" s="27"/>
      <x:c r="IB35" s="27"/>
      <x:c r="IC35" s="27"/>
      <x:c r="ID35" s="27"/>
      <x:c r="IE35" s="27"/>
      <x:c r="IF35" s="27"/>
      <x:c r="IG35" s="27"/>
      <x:c r="IH35" s="27"/>
      <x:c r="II35" s="27"/>
      <x:c r="IJ35" s="27"/>
      <x:c r="IK35" s="27" t="str">
        <x:f>IF(C35="","",SUM(H35,N35,T35,Z35,AF35,AL35,AR35,AX35,BD35,BJ35,BP35))</x:f>
      </x:c>
      <x:c r="IL35" s="27" t="str">
        <x:f>IF(C35="","",SUM(I35,O35,U35,AA35,AG35,AM35,AS35,AY35,BE35,BK35,BQ35))</x:f>
      </x:c>
      <x:c r="IM35" s="27" t="str">
        <x:f>IF(C35="","",SUM(J35,P35,V35,AB35,AH35,AN35,AT35,AZ35,BF35,BL35,BR35))</x:f>
      </x:c>
      <x:c r="IN35" s="27" t="str">
        <x:f>IF(C35="","",SUM(K35,Q35,W35,AC35,AI35,AO35,AU35,BA35,BG35,BM35,BS35))</x:f>
      </x:c>
      <x:c r="IO35" s="27" t="str">
        <x:f>IF(C35="","",SUM(L35,R35,X35,AD35,AJ35,AP35,AV35,BB35,BH35,BN35,BT35))</x:f>
      </x:c>
      <x:c r="IP35" s="27" t="str">
        <x:f>IF(C35="","",SUM(M35,S35,Y35,AE35,AK35,AQ35,AW35,BC35,BI35,BO35,BU35))</x:f>
      </x:c>
      <x:c r="IQ35" s="27" t="str">
        <x:f>IF(C35="","",SUM(BV35,CB35,CH35,CN35,CT35,CZ35,DF35,DL35,DR35,DX35,ED35))</x:f>
      </x:c>
      <x:c r="IR35" s="27" t="str">
        <x:f>IF(C35="","",SUM(BW35,CC35,CI35,CO35,CU35,DA35,DG35,DM35,DS35,DY35,EE35))</x:f>
      </x:c>
      <x:c r="IS35" s="27" t="str">
        <x:f>IF(C35="","",SUM(BX35,CD35,CJ35,CP35,CV35,DB35,DH35,DN35,DT35,DZ35,EF35))</x:f>
      </x:c>
      <x:c r="IT35" s="27" t="str">
        <x:f>IF(C35="","",SUM(BY35,CE35,CK35,CQ35,CW35,DC35,DI35,DO35,DU35,EA35,EG35))</x:f>
      </x:c>
      <x:c r="IU35" s="27" t="str">
        <x:f>IF(C35="","",SUM(BZ35,CF35,CL35,CR35,CX35,DD35,DJ35,DP35,DV35,EB35,EH35))</x:f>
      </x:c>
      <x:c r="IV35" s="27" t="str">
        <x:f>IF(C35="","",SUM(CA35,CG35,CM35,CS35,CY35,DE35,DK35,DQ35,DW35,EC35,EI35))</x:f>
      </x:c>
      <x:c r="IW35" s="27" t="str">
        <x:f>IF(C35="","",SUM(EJ35,EP35,EV35,FB35,FH35,FN35,FT35,FZ35,GF35,GL35,GR35,GX35,HD35,HJ35))</x:f>
      </x:c>
      <x:c r="IX35" s="27" t="str">
        <x:f>IF(C35="","",SUM(EK35,EQ35,EW35,FC35,FI35,FO35,FU35,GA35,GG35,GM35,GS35,GY35,HE35,HK35))</x:f>
      </x:c>
      <x:c r="IY35" s="27" t="str">
        <x:f>IF(C35="","",SUM(EL35,ER35,EX35,FD35,FJ35,FP35,FV35,GB35,GH35,GN35,GT35,GZ35,HF35,HL35))</x:f>
      </x:c>
      <x:c r="IZ35" s="27" t="str">
        <x:f>IF(C35="","",SUM(EM35,ES35,EY35,FE35,FK35,FQ35,FW35,GC35,GI35,GO35,GU35,HA35,HG35,HM35))</x:f>
      </x:c>
      <x:c r="JA35" s="27" t="str">
        <x:f>IF(C35="","",SUM(EN35,ET35,EZ35,FF35,FL35,FR35,FX35,GD35,GJ35,GP35,GV35,HB35,HH35,HN35))</x:f>
      </x:c>
      <x:c r="JB35" s="27" t="str">
        <x:f>IF(C35="","",SUM(EO35,EU35,FA35,FG35,FM35,FS35,FY35,GE35,GK35,GQ35,GW35,HC35,HI35,HO35))</x:f>
      </x:c>
      <x:c r="JC35" s="27" t="str">
        <x:f>IF(C35="","",0)</x:f>
      </x:c>
      <x:c r="JD35" s="27" t="str">
        <x:f>IF(C35="","",0)</x:f>
      </x:c>
      <x:c r="JE35" s="27" t="str">
        <x:f>IF(C35="","",0)</x:f>
      </x:c>
      <x:c r="JF35" s="27" t="str">
        <x:f>IF(C35="","",0)</x:f>
      </x:c>
      <x:c r="JG35" s="27" t="str">
        <x:f>IF(C35="","",0)</x:f>
      </x:c>
      <x:c r="JH35" s="27" t="str">
        <x:f>IF(C35="","",0)</x:f>
      </x:c>
      <x:c r="JI35" s="27" t="str">
        <x:f>IF(C35="","",HP35*1000000000+IW35*1000000+IQ35*10000+IK35*100+JC35+6/1000)</x:f>
      </x:c>
      <x:c r="JJ35" s="27" t="str">
        <x:f>IF(C35="","",HQ35*1000000000+IX35*1000000+IR35*10000+IL35*100+JD35+5/1000)</x:f>
      </x:c>
      <x:c r="JK35" s="27" t="str">
        <x:f>IF(C35="","",HR35*1000000000+IY35*1000000+IS35*10000+IM35*100+JE35+4/1000)</x:f>
      </x:c>
      <x:c r="JL35" s="27" t="str">
        <x:f>IF(C35="","",HS35*1000000000+IZ35*1000000+IT35*10000+IN35*100+JF35+3/1000)</x:f>
      </x:c>
      <x:c r="JM35" s="27" t="str">
        <x:f>IF(C35="","",HT35*1000000000+JA35*1000000+IU35*10000+IO35*100+JG35+2/1000)</x:f>
      </x:c>
      <x:c r="JN35" s="27" t="str">
        <x:f>IF(C35="","",HU35*1000000000+JB35*1000000+IV35*10000+IP35*100+JH35+1/1000)</x:f>
      </x:c>
    </x:row>
    <x:row r="36">
      <x:c r="A36" s="27"/>
      <x:c r="B36" s="28"/>
      <x:c r="C36" s="27"/>
      <x:c r="D36" s="27"/>
      <x:c r="E36" s="27"/>
      <x:c r="F36" s="27"/>
      <x:c r="G36" s="27"/>
      <x:c r="H36" s="27"/>
      <x:c r="I36" s="27"/>
      <x:c r="J36" s="27"/>
      <x:c r="K36" s="27"/>
      <x:c r="L36" s="27"/>
      <x:c r="M36" s="27"/>
      <x:c r="N36" s="27"/>
      <x:c r="O36" s="27"/>
      <x:c r="P36" s="27"/>
      <x:c r="Q36" s="27"/>
      <x:c r="R36" s="27"/>
      <x:c r="S36" s="27"/>
      <x:c r="T36" s="27"/>
      <x:c r="U36" s="27"/>
      <x:c r="V36" s="27"/>
      <x:c r="W36" s="27"/>
      <x:c r="X36" s="27"/>
      <x:c r="Y36" s="27"/>
      <x:c r="Z36" s="27"/>
      <x:c r="AA36" s="27"/>
      <x:c r="AB36" s="27"/>
      <x:c r="AC36" s="27"/>
      <x:c r="AD36" s="27"/>
      <x:c r="AE36" s="27"/>
      <x:c r="AF36" s="27"/>
      <x:c r="AG36" s="27"/>
      <x:c r="AH36" s="27"/>
      <x:c r="AI36" s="27"/>
      <x:c r="AJ36" s="27"/>
      <x:c r="AK36" s="27"/>
      <x:c r="AL36" s="27"/>
      <x:c r="AM36" s="27"/>
      <x:c r="AN36" s="27"/>
      <x:c r="AO36" s="27"/>
      <x:c r="AP36" s="27"/>
      <x:c r="AQ36" s="27"/>
      <x:c r="AR36" s="27"/>
      <x:c r="AS36" s="27"/>
      <x:c r="AT36" s="27"/>
      <x:c r="AU36" s="27"/>
      <x:c r="AV36" s="27"/>
      <x:c r="AW36" s="27"/>
      <x:c r="AX36" s="27"/>
      <x:c r="AY36" s="27"/>
      <x:c r="AZ36" s="27"/>
      <x:c r="BA36" s="27"/>
      <x:c r="BB36" s="27"/>
      <x:c r="BC36" s="27"/>
      <x:c r="BD36" s="27"/>
      <x:c r="BE36" s="27"/>
      <x:c r="BF36" s="27"/>
      <x:c r="BG36" s="27"/>
      <x:c r="BH36" s="27"/>
      <x:c r="BI36" s="27"/>
      <x:c r="BJ36" s="27"/>
      <x:c r="BK36" s="27"/>
      <x:c r="BL36" s="27"/>
      <x:c r="BM36" s="27"/>
      <x:c r="BN36" s="27"/>
      <x:c r="BO36" s="27"/>
      <x:c r="BP36" s="27"/>
      <x:c r="BQ36" s="27"/>
      <x:c r="BR36" s="27"/>
      <x:c r="BS36" s="27"/>
      <x:c r="BT36" s="27"/>
      <x:c r="BU36" s="27"/>
      <x:c r="BV36" s="27"/>
      <x:c r="BW36" s="27"/>
      <x:c r="BX36" s="27"/>
      <x:c r="BY36" s="27"/>
      <x:c r="BZ36" s="27"/>
      <x:c r="CA36" s="27"/>
      <x:c r="CB36" s="27"/>
      <x:c r="CC36" s="27"/>
      <x:c r="CD36" s="27"/>
      <x:c r="CE36" s="27"/>
      <x:c r="CF36" s="27"/>
      <x:c r="CG36" s="27"/>
      <x:c r="CH36" s="27"/>
      <x:c r="CI36" s="27"/>
      <x:c r="CJ36" s="27"/>
      <x:c r="CK36" s="27"/>
      <x:c r="CL36" s="27"/>
      <x:c r="CM36" s="27"/>
      <x:c r="CN36" s="27"/>
      <x:c r="CO36" s="27"/>
      <x:c r="CP36" s="27"/>
      <x:c r="CQ36" s="27"/>
      <x:c r="CR36" s="27"/>
      <x:c r="CS36" s="27"/>
      <x:c r="CT36" s="27"/>
      <x:c r="CU36" s="27"/>
      <x:c r="CV36" s="27"/>
      <x:c r="CW36" s="27"/>
      <x:c r="CX36" s="27"/>
      <x:c r="CY36" s="27"/>
      <x:c r="CZ36" s="27"/>
      <x:c r="DA36" s="27"/>
      <x:c r="DB36" s="27"/>
      <x:c r="DC36" s="27"/>
      <x:c r="DD36" s="27"/>
      <x:c r="DE36" s="27"/>
      <x:c r="DF36" s="27"/>
      <x:c r="DG36" s="27"/>
      <x:c r="DH36" s="27"/>
      <x:c r="DI36" s="27"/>
      <x:c r="DJ36" s="27"/>
      <x:c r="DK36" s="27"/>
      <x:c r="DL36" s="27"/>
      <x:c r="DM36" s="27"/>
      <x:c r="DN36" s="27"/>
      <x:c r="DO36" s="27"/>
      <x:c r="DP36" s="27"/>
      <x:c r="DQ36" s="27"/>
      <x:c r="DR36" s="27"/>
      <x:c r="DS36" s="27"/>
      <x:c r="DT36" s="27"/>
      <x:c r="DU36" s="27"/>
      <x:c r="DV36" s="27"/>
      <x:c r="DW36" s="27"/>
      <x:c r="DX36" s="27"/>
      <x:c r="DY36" s="27"/>
      <x:c r="DZ36" s="27"/>
      <x:c r="EA36" s="27"/>
      <x:c r="EB36" s="27"/>
      <x:c r="EC36" s="27"/>
      <x:c r="ED36" s="27"/>
      <x:c r="EE36" s="27"/>
      <x:c r="EF36" s="27"/>
      <x:c r="EG36" s="27"/>
      <x:c r="EH36" s="27"/>
      <x:c r="EI36" s="27"/>
      <x:c r="EJ36" s="27"/>
      <x:c r="EK36" s="27"/>
      <x:c r="EL36" s="27"/>
      <x:c r="EM36" s="27"/>
      <x:c r="EN36" s="27"/>
      <x:c r="EO36" s="27"/>
      <x:c r="EP36" s="27"/>
      <x:c r="EQ36" s="27"/>
      <x:c r="ER36" s="27"/>
      <x:c r="ES36" s="27"/>
      <x:c r="ET36" s="27"/>
      <x:c r="EU36" s="27"/>
      <x:c r="EV36" s="27"/>
      <x:c r="EW36" s="27"/>
      <x:c r="EX36" s="27"/>
      <x:c r="EY36" s="27"/>
      <x:c r="EZ36" s="27"/>
      <x:c r="FA36" s="27"/>
      <x:c r="FB36" s="27"/>
      <x:c r="FC36" s="27"/>
      <x:c r="FD36" s="27"/>
      <x:c r="FE36" s="27"/>
      <x:c r="FF36" s="27"/>
      <x:c r="FG36" s="27"/>
      <x:c r="FH36" s="27"/>
      <x:c r="FI36" s="27"/>
      <x:c r="FJ36" s="27"/>
      <x:c r="FK36" s="27"/>
      <x:c r="FL36" s="27"/>
      <x:c r="FM36" s="27"/>
      <x:c r="FN36" s="27"/>
      <x:c r="FO36" s="27"/>
      <x:c r="FP36" s="27"/>
      <x:c r="FQ36" s="27"/>
      <x:c r="FR36" s="27"/>
      <x:c r="FS36" s="27"/>
      <x:c r="FT36" s="27"/>
      <x:c r="FU36" s="27"/>
      <x:c r="FV36" s="27"/>
      <x:c r="FW36" s="27"/>
      <x:c r="FX36" s="27"/>
      <x:c r="FY36" s="27"/>
      <x:c r="FZ36" s="27"/>
      <x:c r="GA36" s="27"/>
      <x:c r="GB36" s="27"/>
      <x:c r="GC36" s="27"/>
      <x:c r="GD36" s="27"/>
      <x:c r="GE36" s="27"/>
      <x:c r="GF36" s="27"/>
      <x:c r="GG36" s="27"/>
      <x:c r="GH36" s="27"/>
      <x:c r="GI36" s="27"/>
      <x:c r="GJ36" s="27"/>
      <x:c r="GK36" s="27"/>
      <x:c r="GL36" s="27"/>
      <x:c r="GM36" s="27"/>
      <x:c r="GN36" s="27"/>
      <x:c r="GO36" s="27"/>
      <x:c r="GP36" s="27"/>
      <x:c r="GQ36" s="27"/>
      <x:c r="GR36" s="27"/>
      <x:c r="GS36" s="27"/>
      <x:c r="GT36" s="27"/>
      <x:c r="GU36" s="27"/>
      <x:c r="GV36" s="27"/>
      <x:c r="GW36" s="27"/>
      <x:c r="GX36" s="27"/>
      <x:c r="GY36" s="27"/>
      <x:c r="GZ36" s="27"/>
      <x:c r="HA36" s="27"/>
      <x:c r="HB36" s="27"/>
      <x:c r="HC36" s="27"/>
      <x:c r="HD36" s="27"/>
      <x:c r="HE36" s="27"/>
      <x:c r="HF36" s="27"/>
      <x:c r="HG36" s="27"/>
      <x:c r="HH36" s="27"/>
      <x:c r="HI36" s="27"/>
      <x:c r="HJ36" s="27"/>
      <x:c r="HK36" s="27"/>
      <x:c r="HL36" s="27"/>
      <x:c r="HM36" s="27"/>
      <x:c r="HN36" s="27"/>
      <x:c r="HO36" s="27"/>
      <x:c r="HP36" s="27" t="str">
        <x:f>IF(C36="","",SUM(H36,N36,T36,Z36,AF36,AL36,AR36,AX36,BD36,BJ36,BP36,BV36,CB36,CH36,CN36,CT36,CZ36,DF36,DL36,DR36,DX36,ED36,EJ36,EP36,EV36,FB36,FH36,FN36,FT36,FZ36,GF36,GL36,GR36,GX36,HD36,HJ36))</x:f>
      </x:c>
      <x:c r="HQ36" s="27" t="str">
        <x:f>IF(C36="","",SUM(I36,O36,U36,AA36,AG36,AM36,AS36,AY36,BE36,BK36,BQ36,BW36,CC36,CI36,CO36,CU36,DA36,DG36,DM36,DS36,DY36,EE36,EK36,EQ36,EW36,FC36,FI36,FO36,FU36,GA36,GG36,GM36,GS36,GY36,HE36,HK36))</x:f>
      </x:c>
      <x:c r="HR36" s="27" t="str">
        <x:f>IF(C36="","",SUM(J36,P36,V36,AB36,AH36,AN36,AT36,AZ36,BF36,BL36,BR36,BX36,CD36,CJ36,CP36,CV36,DB36,DH36,DN36,DT36,DZ36,EF36,EL36,ER36,EX36,FD36,FJ36,FP36,FV36,GB36,GH36,GN36,GT36,GZ36,HF36,HL36))</x:f>
      </x:c>
      <x:c r="HS36" s="27" t="str">
        <x:f>IF(C36="","",SUM(K36,Q36,W36,AC36,AI36,AO36,AU36,BA36,BG36,BM36,BS36,BY36,CE36,CK36,CQ36,CW36,DC36,DI36,DO36,DU36,EA36,EG36,EM36,ES36,EY36,FE36,FK36,FQ36,FW36,GC36,GI36,GO36,GU36,HA36,HG36,HM36))</x:f>
      </x:c>
      <x:c r="HT36" s="27" t="str">
        <x:f>IF(C36="","",SUM(L36,R36,X36,AD36,AJ36,AP36,AV36,BB36,BH36,BN36,BT36,BZ36,CF36,CL36,CR36,CX36,DD36,DJ36,DP36,DV36,EB36,EH36,EN36,ET36,EZ36,FF36,FL36,FR36,FX36,GD36,GJ36,GP36,GV36,HB36,HH36,HN36))</x:f>
      </x:c>
      <x:c r="HU36" s="27" t="str">
        <x:f>IF(C36="","",SUM(M36,S36,Y36,AE36,AK36,AQ36,AW36,BC36,BI36,BO36,BU36,CA36,CG36,CM36,CS36,CY36,DE36,DK36,DQ36,DW36,EC36,EI36,EO36,EU36,FA36,FG36,FM36,FS36,FY36,GE36,GK36,GQ36,GW36,HC36,HI36,HO36))</x:f>
      </x:c>
      <x:c r="HV36" s="27" t="str">
        <x:f>IF(C36="","",IF(JI36=LARGE(JI36:JN36,1),"R",IF(JJ36=LARGE(JI36:JN36,1),"I",IF(JK36=LARGE(JI36:JN36,1),"A",IF(JL36=LARGE(JI36:JN36,1),"S",IF(JM36=LARGE(JI36:JN36,1),"E",IF(JN36=LARGE(JI36:JN36,1),"C",""))))))&amp;IF(JI36=LARGE(JI36:JN36,2),"R",IF(JJ36=LARGE(JI36:JN36,2),"I",IF(JK36=LARGE(JI36:JN36,2),"A",IF(JL36=LARGE(JI36:JN36,2),"S",IF(JM36=LARGE(JI36:JN36,2),"E",IF(JN36=LARGE(JI36:JN36,2),"C",""))))))&amp;IF(JI36=LARGE(JI36:JN36,3),"R",IF(JJ36=LARGE(JI36:JN36,3),"I",IF(JK36=LARGE(JI36:JN36,3),"A",IF(JL36=LARGE(JI36:JN36,3),"S",IF(JM36=LARGE(JI36:JN36,3),"E",IF(JN36=LARGE(JI36:JN36,3),"C","")))))))</x:f>
      </x:c>
      <x:c r="HW36" s="27" t="str">
        <x:f>IF(C36="","",IF(JI36=LARGE(JI36:JN36,1),"นักปฏิบัติ",IF(JJ36=LARGE(JI36:JN36,1),"นักคิดวิเคราะห์",IF(JK36=LARGE(JI36:JN36,1),"นักสร้างสรรค์",IF(JL36=LARGE(JI36:JN36,1),"ผู้เข้าใจผู้คน",IF(JM36=LARGE(JI36:JN36,1),"ผู้นำการเปลี่ยนแปลง",IF(JN36=LARGE(JI36:JN36,1),"ผู้จัดระบบ","ผู้จัดระบบ")))))))</x:f>
      </x:c>
      <x:c r="HX36" s="27"/>
      <x:c r="HY36" s="27"/>
      <x:c r="HZ36" s="27"/>
      <x:c r="IA36" s="27"/>
      <x:c r="IB36" s="27"/>
      <x:c r="IC36" s="27"/>
      <x:c r="ID36" s="27"/>
      <x:c r="IE36" s="27"/>
      <x:c r="IF36" s="27"/>
      <x:c r="IG36" s="27"/>
      <x:c r="IH36" s="27"/>
      <x:c r="II36" s="27"/>
      <x:c r="IJ36" s="27"/>
      <x:c r="IK36" s="27" t="str">
        <x:f>IF(C36="","",SUM(H36,N36,T36,Z36,AF36,AL36,AR36,AX36,BD36,BJ36,BP36))</x:f>
      </x:c>
      <x:c r="IL36" s="27" t="str">
        <x:f>IF(C36="","",SUM(I36,O36,U36,AA36,AG36,AM36,AS36,AY36,BE36,BK36,BQ36))</x:f>
      </x:c>
      <x:c r="IM36" s="27" t="str">
        <x:f>IF(C36="","",SUM(J36,P36,V36,AB36,AH36,AN36,AT36,AZ36,BF36,BL36,BR36))</x:f>
      </x:c>
      <x:c r="IN36" s="27" t="str">
        <x:f>IF(C36="","",SUM(K36,Q36,W36,AC36,AI36,AO36,AU36,BA36,BG36,BM36,BS36))</x:f>
      </x:c>
      <x:c r="IO36" s="27" t="str">
        <x:f>IF(C36="","",SUM(L36,R36,X36,AD36,AJ36,AP36,AV36,BB36,BH36,BN36,BT36))</x:f>
      </x:c>
      <x:c r="IP36" s="27" t="str">
        <x:f>IF(C36="","",SUM(M36,S36,Y36,AE36,AK36,AQ36,AW36,BC36,BI36,BO36,BU36))</x:f>
      </x:c>
      <x:c r="IQ36" s="27" t="str">
        <x:f>IF(C36="","",SUM(BV36,CB36,CH36,CN36,CT36,CZ36,DF36,DL36,DR36,DX36,ED36))</x:f>
      </x:c>
      <x:c r="IR36" s="27" t="str">
        <x:f>IF(C36="","",SUM(BW36,CC36,CI36,CO36,CU36,DA36,DG36,DM36,DS36,DY36,EE36))</x:f>
      </x:c>
      <x:c r="IS36" s="27" t="str">
        <x:f>IF(C36="","",SUM(BX36,CD36,CJ36,CP36,CV36,DB36,DH36,DN36,DT36,DZ36,EF36))</x:f>
      </x:c>
      <x:c r="IT36" s="27" t="str">
        <x:f>IF(C36="","",SUM(BY36,CE36,CK36,CQ36,CW36,DC36,DI36,DO36,DU36,EA36,EG36))</x:f>
      </x:c>
      <x:c r="IU36" s="27" t="str">
        <x:f>IF(C36="","",SUM(BZ36,CF36,CL36,CR36,CX36,DD36,DJ36,DP36,DV36,EB36,EH36))</x:f>
      </x:c>
      <x:c r="IV36" s="27" t="str">
        <x:f>IF(C36="","",SUM(CA36,CG36,CM36,CS36,CY36,DE36,DK36,DQ36,DW36,EC36,EI36))</x:f>
      </x:c>
      <x:c r="IW36" s="27" t="str">
        <x:f>IF(C36="","",SUM(EJ36,EP36,EV36,FB36,FH36,FN36,FT36,FZ36,GF36,GL36,GR36,GX36,HD36,HJ36))</x:f>
      </x:c>
      <x:c r="IX36" s="27" t="str">
        <x:f>IF(C36="","",SUM(EK36,EQ36,EW36,FC36,FI36,FO36,FU36,GA36,GG36,GM36,GS36,GY36,HE36,HK36))</x:f>
      </x:c>
      <x:c r="IY36" s="27" t="str">
        <x:f>IF(C36="","",SUM(EL36,ER36,EX36,FD36,FJ36,FP36,FV36,GB36,GH36,GN36,GT36,GZ36,HF36,HL36))</x:f>
      </x:c>
      <x:c r="IZ36" s="27" t="str">
        <x:f>IF(C36="","",SUM(EM36,ES36,EY36,FE36,FK36,FQ36,FW36,GC36,GI36,GO36,GU36,HA36,HG36,HM36))</x:f>
      </x:c>
      <x:c r="JA36" s="27" t="str">
        <x:f>IF(C36="","",SUM(EN36,ET36,EZ36,FF36,FL36,FR36,FX36,GD36,GJ36,GP36,GV36,HB36,HH36,HN36))</x:f>
      </x:c>
      <x:c r="JB36" s="27" t="str">
        <x:f>IF(C36="","",SUM(EO36,EU36,FA36,FG36,FM36,FS36,FY36,GE36,GK36,GQ36,GW36,HC36,HI36,HO36))</x:f>
      </x:c>
      <x:c r="JC36" s="27" t="str">
        <x:f>IF(C36="","",0)</x:f>
      </x:c>
      <x:c r="JD36" s="27" t="str">
        <x:f>IF(C36="","",0)</x:f>
      </x:c>
      <x:c r="JE36" s="27" t="str">
        <x:f>IF(C36="","",0)</x:f>
      </x:c>
      <x:c r="JF36" s="27" t="str">
        <x:f>IF(C36="","",0)</x:f>
      </x:c>
      <x:c r="JG36" s="27" t="str">
        <x:f>IF(C36="","",0)</x:f>
      </x:c>
      <x:c r="JH36" s="27" t="str">
        <x:f>IF(C36="","",0)</x:f>
      </x:c>
      <x:c r="JI36" s="27" t="str">
        <x:f>IF(C36="","",HP36*1000000000+IW36*1000000+IQ36*10000+IK36*100+JC36+6/1000)</x:f>
      </x:c>
      <x:c r="JJ36" s="27" t="str">
        <x:f>IF(C36="","",HQ36*1000000000+IX36*1000000+IR36*10000+IL36*100+JD36+5/1000)</x:f>
      </x:c>
      <x:c r="JK36" s="27" t="str">
        <x:f>IF(C36="","",HR36*1000000000+IY36*1000000+IS36*10000+IM36*100+JE36+4/1000)</x:f>
      </x:c>
      <x:c r="JL36" s="27" t="str">
        <x:f>IF(C36="","",HS36*1000000000+IZ36*1000000+IT36*10000+IN36*100+JF36+3/1000)</x:f>
      </x:c>
      <x:c r="JM36" s="27" t="str">
        <x:f>IF(C36="","",HT36*1000000000+JA36*1000000+IU36*10000+IO36*100+JG36+2/1000)</x:f>
      </x:c>
      <x:c r="JN36" s="27" t="str">
        <x:f>IF(C36="","",HU36*1000000000+JB36*1000000+IV36*10000+IP36*100+JH36+1/1000)</x:f>
      </x:c>
    </x:row>
    <x:row r="37">
      <x:c r="A37" s="27"/>
      <x:c r="B37" s="28"/>
      <x:c r="C37" s="27"/>
      <x:c r="D37" s="27"/>
      <x:c r="E37" s="27"/>
      <x:c r="F37" s="27"/>
      <x:c r="G37" s="27"/>
      <x:c r="H37" s="27"/>
      <x:c r="I37" s="27"/>
      <x:c r="J37" s="27"/>
      <x:c r="K37" s="27"/>
      <x:c r="L37" s="27"/>
      <x:c r="M37" s="27"/>
      <x:c r="N37" s="27"/>
      <x:c r="O37" s="27"/>
      <x:c r="P37" s="27"/>
      <x:c r="Q37" s="27"/>
      <x:c r="R37" s="27"/>
      <x:c r="S37" s="27"/>
      <x:c r="T37" s="27"/>
      <x:c r="U37" s="27"/>
      <x:c r="V37" s="27"/>
      <x:c r="W37" s="27"/>
      <x:c r="X37" s="27"/>
      <x:c r="Y37" s="27"/>
      <x:c r="Z37" s="27"/>
      <x:c r="AA37" s="27"/>
      <x:c r="AB37" s="27"/>
      <x:c r="AC37" s="27"/>
      <x:c r="AD37" s="27"/>
      <x:c r="AE37" s="27"/>
      <x:c r="AF37" s="27"/>
      <x:c r="AG37" s="27"/>
      <x:c r="AH37" s="27"/>
      <x:c r="AI37" s="27"/>
      <x:c r="AJ37" s="27"/>
      <x:c r="AK37" s="27"/>
      <x:c r="AL37" s="27"/>
      <x:c r="AM37" s="27"/>
      <x:c r="AN37" s="27"/>
      <x:c r="AO37" s="27"/>
      <x:c r="AP37" s="27"/>
      <x:c r="AQ37" s="27"/>
      <x:c r="AR37" s="27"/>
      <x:c r="AS37" s="27"/>
      <x:c r="AT37" s="27"/>
      <x:c r="AU37" s="27"/>
      <x:c r="AV37" s="27"/>
      <x:c r="AW37" s="27"/>
      <x:c r="AX37" s="27"/>
      <x:c r="AY37" s="27"/>
      <x:c r="AZ37" s="27"/>
      <x:c r="BA37" s="27"/>
      <x:c r="BB37" s="27"/>
      <x:c r="BC37" s="27"/>
      <x:c r="BD37" s="27"/>
      <x:c r="BE37" s="27"/>
      <x:c r="BF37" s="27"/>
      <x:c r="BG37" s="27"/>
      <x:c r="BH37" s="27"/>
      <x:c r="BI37" s="27"/>
      <x:c r="BJ37" s="27"/>
      <x:c r="BK37" s="27"/>
      <x:c r="BL37" s="27"/>
      <x:c r="BM37" s="27"/>
      <x:c r="BN37" s="27"/>
      <x:c r="BO37" s="27"/>
      <x:c r="BP37" s="27"/>
      <x:c r="BQ37" s="27"/>
      <x:c r="BR37" s="27"/>
      <x:c r="BS37" s="27"/>
      <x:c r="BT37" s="27"/>
      <x:c r="BU37" s="27"/>
      <x:c r="BV37" s="27"/>
      <x:c r="BW37" s="27"/>
      <x:c r="BX37" s="27"/>
      <x:c r="BY37" s="27"/>
      <x:c r="BZ37" s="27"/>
      <x:c r="CA37" s="27"/>
      <x:c r="CB37" s="27"/>
      <x:c r="CC37" s="27"/>
      <x:c r="CD37" s="27"/>
      <x:c r="CE37" s="27"/>
      <x:c r="CF37" s="27"/>
      <x:c r="CG37" s="27"/>
      <x:c r="CH37" s="27"/>
      <x:c r="CI37" s="27"/>
      <x:c r="CJ37" s="27"/>
      <x:c r="CK37" s="27"/>
      <x:c r="CL37" s="27"/>
      <x:c r="CM37" s="27"/>
      <x:c r="CN37" s="27"/>
      <x:c r="CO37" s="27"/>
      <x:c r="CP37" s="27"/>
      <x:c r="CQ37" s="27"/>
      <x:c r="CR37" s="27"/>
      <x:c r="CS37" s="27"/>
      <x:c r="CT37" s="27"/>
      <x:c r="CU37" s="27"/>
      <x:c r="CV37" s="27"/>
      <x:c r="CW37" s="27"/>
      <x:c r="CX37" s="27"/>
      <x:c r="CY37" s="27"/>
      <x:c r="CZ37" s="27"/>
      <x:c r="DA37" s="27"/>
      <x:c r="DB37" s="27"/>
      <x:c r="DC37" s="27"/>
      <x:c r="DD37" s="27"/>
      <x:c r="DE37" s="27"/>
      <x:c r="DF37" s="27"/>
      <x:c r="DG37" s="27"/>
      <x:c r="DH37" s="27"/>
      <x:c r="DI37" s="27"/>
      <x:c r="DJ37" s="27"/>
      <x:c r="DK37" s="27"/>
      <x:c r="DL37" s="27"/>
      <x:c r="DM37" s="27"/>
      <x:c r="DN37" s="27"/>
      <x:c r="DO37" s="27"/>
      <x:c r="DP37" s="27"/>
      <x:c r="DQ37" s="27"/>
      <x:c r="DR37" s="27"/>
      <x:c r="DS37" s="27"/>
      <x:c r="DT37" s="27"/>
      <x:c r="DU37" s="27"/>
      <x:c r="DV37" s="27"/>
      <x:c r="DW37" s="27"/>
      <x:c r="DX37" s="27"/>
      <x:c r="DY37" s="27"/>
      <x:c r="DZ37" s="27"/>
      <x:c r="EA37" s="27"/>
      <x:c r="EB37" s="27"/>
      <x:c r="EC37" s="27"/>
      <x:c r="ED37" s="27"/>
      <x:c r="EE37" s="27"/>
      <x:c r="EF37" s="27"/>
      <x:c r="EG37" s="27"/>
      <x:c r="EH37" s="27"/>
      <x:c r="EI37" s="27"/>
      <x:c r="EJ37" s="27"/>
      <x:c r="EK37" s="27"/>
      <x:c r="EL37" s="27"/>
      <x:c r="EM37" s="27"/>
      <x:c r="EN37" s="27"/>
      <x:c r="EO37" s="27"/>
      <x:c r="EP37" s="27"/>
      <x:c r="EQ37" s="27"/>
      <x:c r="ER37" s="27"/>
      <x:c r="ES37" s="27"/>
      <x:c r="ET37" s="27"/>
      <x:c r="EU37" s="27"/>
      <x:c r="EV37" s="27"/>
      <x:c r="EW37" s="27"/>
      <x:c r="EX37" s="27"/>
      <x:c r="EY37" s="27"/>
      <x:c r="EZ37" s="27"/>
      <x:c r="FA37" s="27"/>
      <x:c r="FB37" s="27"/>
      <x:c r="FC37" s="27"/>
      <x:c r="FD37" s="27"/>
      <x:c r="FE37" s="27"/>
      <x:c r="FF37" s="27"/>
      <x:c r="FG37" s="27"/>
      <x:c r="FH37" s="27"/>
      <x:c r="FI37" s="27"/>
      <x:c r="FJ37" s="27"/>
      <x:c r="FK37" s="27"/>
      <x:c r="FL37" s="27"/>
      <x:c r="FM37" s="27"/>
      <x:c r="FN37" s="27"/>
      <x:c r="FO37" s="27"/>
      <x:c r="FP37" s="27"/>
      <x:c r="FQ37" s="27"/>
      <x:c r="FR37" s="27"/>
      <x:c r="FS37" s="27"/>
      <x:c r="FT37" s="27"/>
      <x:c r="FU37" s="27"/>
      <x:c r="FV37" s="27"/>
      <x:c r="FW37" s="27"/>
      <x:c r="FX37" s="27"/>
      <x:c r="FY37" s="27"/>
      <x:c r="FZ37" s="27"/>
      <x:c r="GA37" s="27"/>
      <x:c r="GB37" s="27"/>
      <x:c r="GC37" s="27"/>
      <x:c r="GD37" s="27"/>
      <x:c r="GE37" s="27"/>
      <x:c r="GF37" s="27"/>
      <x:c r="GG37" s="27"/>
      <x:c r="GH37" s="27"/>
      <x:c r="GI37" s="27"/>
      <x:c r="GJ37" s="27"/>
      <x:c r="GK37" s="27"/>
      <x:c r="GL37" s="27"/>
      <x:c r="GM37" s="27"/>
      <x:c r="GN37" s="27"/>
      <x:c r="GO37" s="27"/>
      <x:c r="GP37" s="27"/>
      <x:c r="GQ37" s="27"/>
      <x:c r="GR37" s="27"/>
      <x:c r="GS37" s="27"/>
      <x:c r="GT37" s="27"/>
      <x:c r="GU37" s="27"/>
      <x:c r="GV37" s="27"/>
      <x:c r="GW37" s="27"/>
      <x:c r="GX37" s="27"/>
      <x:c r="GY37" s="27"/>
      <x:c r="GZ37" s="27"/>
      <x:c r="HA37" s="27"/>
      <x:c r="HB37" s="27"/>
      <x:c r="HC37" s="27"/>
      <x:c r="HD37" s="27"/>
      <x:c r="HE37" s="27"/>
      <x:c r="HF37" s="27"/>
      <x:c r="HG37" s="27"/>
      <x:c r="HH37" s="27"/>
      <x:c r="HI37" s="27"/>
      <x:c r="HJ37" s="27"/>
      <x:c r="HK37" s="27"/>
      <x:c r="HL37" s="27"/>
      <x:c r="HM37" s="27"/>
      <x:c r="HN37" s="27"/>
      <x:c r="HO37" s="27"/>
      <x:c r="HP37" s="27" t="str">
        <x:f>IF(C37="","",SUM(H37,N37,T37,Z37,AF37,AL37,AR37,AX37,BD37,BJ37,BP37,BV37,CB37,CH37,CN37,CT37,CZ37,DF37,DL37,DR37,DX37,ED37,EJ37,EP37,EV37,FB37,FH37,FN37,FT37,FZ37,GF37,GL37,GR37,GX37,HD37,HJ37))</x:f>
      </x:c>
      <x:c r="HQ37" s="27" t="str">
        <x:f>IF(C37="","",SUM(I37,O37,U37,AA37,AG37,AM37,AS37,AY37,BE37,BK37,BQ37,BW37,CC37,CI37,CO37,CU37,DA37,DG37,DM37,DS37,DY37,EE37,EK37,EQ37,EW37,FC37,FI37,FO37,FU37,GA37,GG37,GM37,GS37,GY37,HE37,HK37))</x:f>
      </x:c>
      <x:c r="HR37" s="27" t="str">
        <x:f>IF(C37="","",SUM(J37,P37,V37,AB37,AH37,AN37,AT37,AZ37,BF37,BL37,BR37,BX37,CD37,CJ37,CP37,CV37,DB37,DH37,DN37,DT37,DZ37,EF37,EL37,ER37,EX37,FD37,FJ37,FP37,FV37,GB37,GH37,GN37,GT37,GZ37,HF37,HL37))</x:f>
      </x:c>
      <x:c r="HS37" s="27" t="str">
        <x:f>IF(C37="","",SUM(K37,Q37,W37,AC37,AI37,AO37,AU37,BA37,BG37,BM37,BS37,BY37,CE37,CK37,CQ37,CW37,DC37,DI37,DO37,DU37,EA37,EG37,EM37,ES37,EY37,FE37,FK37,FQ37,FW37,GC37,GI37,GO37,GU37,HA37,HG37,HM37))</x:f>
      </x:c>
      <x:c r="HT37" s="27" t="str">
        <x:f>IF(C37="","",SUM(L37,R37,X37,AD37,AJ37,AP37,AV37,BB37,BH37,BN37,BT37,BZ37,CF37,CL37,CR37,CX37,DD37,DJ37,DP37,DV37,EB37,EH37,EN37,ET37,EZ37,FF37,FL37,FR37,FX37,GD37,GJ37,GP37,GV37,HB37,HH37,HN37))</x:f>
      </x:c>
      <x:c r="HU37" s="27" t="str">
        <x:f>IF(C37="","",SUM(M37,S37,Y37,AE37,AK37,AQ37,AW37,BC37,BI37,BO37,BU37,CA37,CG37,CM37,CS37,CY37,DE37,DK37,DQ37,DW37,EC37,EI37,EO37,EU37,FA37,FG37,FM37,FS37,FY37,GE37,GK37,GQ37,GW37,HC37,HI37,HO37))</x:f>
      </x:c>
      <x:c r="HV37" s="27" t="str">
        <x:f>IF(C37="","",IF(JI37=LARGE(JI37:JN37,1),"R",IF(JJ37=LARGE(JI37:JN37,1),"I",IF(JK37=LARGE(JI37:JN37,1),"A",IF(JL37=LARGE(JI37:JN37,1),"S",IF(JM37=LARGE(JI37:JN37,1),"E",IF(JN37=LARGE(JI37:JN37,1),"C",""))))))&amp;IF(JI37=LARGE(JI37:JN37,2),"R",IF(JJ37=LARGE(JI37:JN37,2),"I",IF(JK37=LARGE(JI37:JN37,2),"A",IF(JL37=LARGE(JI37:JN37,2),"S",IF(JM37=LARGE(JI37:JN37,2),"E",IF(JN37=LARGE(JI37:JN37,2),"C",""))))))&amp;IF(JI37=LARGE(JI37:JN37,3),"R",IF(JJ37=LARGE(JI37:JN37,3),"I",IF(JK37=LARGE(JI37:JN37,3),"A",IF(JL37=LARGE(JI37:JN37,3),"S",IF(JM37=LARGE(JI37:JN37,3),"E",IF(JN37=LARGE(JI37:JN37,3),"C","")))))))</x:f>
      </x:c>
      <x:c r="HW37" s="27" t="str">
        <x:f>IF(C37="","",IF(JI37=LARGE(JI37:JN37,1),"นักปฏิบัติ",IF(JJ37=LARGE(JI37:JN37,1),"นักคิดวิเคราะห์",IF(JK37=LARGE(JI37:JN37,1),"นักสร้างสรรค์",IF(JL37=LARGE(JI37:JN37,1),"ผู้เข้าใจผู้คน",IF(JM37=LARGE(JI37:JN37,1),"ผู้นำการเปลี่ยนแปลง",IF(JN37=LARGE(JI37:JN37,1),"ผู้จัดระบบ","ผู้จัดระบบ")))))))</x:f>
      </x:c>
      <x:c r="HX37" s="27"/>
      <x:c r="HY37" s="27"/>
      <x:c r="HZ37" s="27"/>
      <x:c r="IA37" s="27"/>
      <x:c r="IB37" s="27"/>
      <x:c r="IC37" s="27"/>
      <x:c r="ID37" s="27"/>
      <x:c r="IE37" s="27"/>
      <x:c r="IF37" s="27"/>
      <x:c r="IG37" s="27"/>
      <x:c r="IH37" s="27"/>
      <x:c r="II37" s="27"/>
      <x:c r="IJ37" s="27"/>
      <x:c r="IK37" s="27" t="str">
        <x:f>IF(C37="","",SUM(H37,N37,T37,Z37,AF37,AL37,AR37,AX37,BD37,BJ37,BP37))</x:f>
      </x:c>
      <x:c r="IL37" s="27" t="str">
        <x:f>IF(C37="","",SUM(I37,O37,U37,AA37,AG37,AM37,AS37,AY37,BE37,BK37,BQ37))</x:f>
      </x:c>
      <x:c r="IM37" s="27" t="str">
        <x:f>IF(C37="","",SUM(J37,P37,V37,AB37,AH37,AN37,AT37,AZ37,BF37,BL37,BR37))</x:f>
      </x:c>
      <x:c r="IN37" s="27" t="str">
        <x:f>IF(C37="","",SUM(K37,Q37,W37,AC37,AI37,AO37,AU37,BA37,BG37,BM37,BS37))</x:f>
      </x:c>
      <x:c r="IO37" s="27" t="str">
        <x:f>IF(C37="","",SUM(L37,R37,X37,AD37,AJ37,AP37,AV37,BB37,BH37,BN37,BT37))</x:f>
      </x:c>
      <x:c r="IP37" s="27" t="str">
        <x:f>IF(C37="","",SUM(M37,S37,Y37,AE37,AK37,AQ37,AW37,BC37,BI37,BO37,BU37))</x:f>
      </x:c>
      <x:c r="IQ37" s="27" t="str">
        <x:f>IF(C37="","",SUM(BV37,CB37,CH37,CN37,CT37,CZ37,DF37,DL37,DR37,DX37,ED37))</x:f>
      </x:c>
      <x:c r="IR37" s="27" t="str">
        <x:f>IF(C37="","",SUM(BW37,CC37,CI37,CO37,CU37,DA37,DG37,DM37,DS37,DY37,EE37))</x:f>
      </x:c>
      <x:c r="IS37" s="27" t="str">
        <x:f>IF(C37="","",SUM(BX37,CD37,CJ37,CP37,CV37,DB37,DH37,DN37,DT37,DZ37,EF37))</x:f>
      </x:c>
      <x:c r="IT37" s="27" t="str">
        <x:f>IF(C37="","",SUM(BY37,CE37,CK37,CQ37,CW37,DC37,DI37,DO37,DU37,EA37,EG37))</x:f>
      </x:c>
      <x:c r="IU37" s="27" t="str">
        <x:f>IF(C37="","",SUM(BZ37,CF37,CL37,CR37,CX37,DD37,DJ37,DP37,DV37,EB37,EH37))</x:f>
      </x:c>
      <x:c r="IV37" s="27" t="str">
        <x:f>IF(C37="","",SUM(CA37,CG37,CM37,CS37,CY37,DE37,DK37,DQ37,DW37,EC37,EI37))</x:f>
      </x:c>
      <x:c r="IW37" s="27" t="str">
        <x:f>IF(C37="","",SUM(EJ37,EP37,EV37,FB37,FH37,FN37,FT37,FZ37,GF37,GL37,GR37,GX37,HD37,HJ37))</x:f>
      </x:c>
      <x:c r="IX37" s="27" t="str">
        <x:f>IF(C37="","",SUM(EK37,EQ37,EW37,FC37,FI37,FO37,FU37,GA37,GG37,GM37,GS37,GY37,HE37,HK37))</x:f>
      </x:c>
      <x:c r="IY37" s="27" t="str">
        <x:f>IF(C37="","",SUM(EL37,ER37,EX37,FD37,FJ37,FP37,FV37,GB37,GH37,GN37,GT37,GZ37,HF37,HL37))</x:f>
      </x:c>
      <x:c r="IZ37" s="27" t="str">
        <x:f>IF(C37="","",SUM(EM37,ES37,EY37,FE37,FK37,FQ37,FW37,GC37,GI37,GO37,GU37,HA37,HG37,HM37))</x:f>
      </x:c>
      <x:c r="JA37" s="27" t="str">
        <x:f>IF(C37="","",SUM(EN37,ET37,EZ37,FF37,FL37,FR37,FX37,GD37,GJ37,GP37,GV37,HB37,HH37,HN37))</x:f>
      </x:c>
      <x:c r="JB37" s="27" t="str">
        <x:f>IF(C37="","",SUM(EO37,EU37,FA37,FG37,FM37,FS37,FY37,GE37,GK37,GQ37,GW37,HC37,HI37,HO37))</x:f>
      </x:c>
      <x:c r="JC37" s="27" t="str">
        <x:f>IF(C37="","",0)</x:f>
      </x:c>
      <x:c r="JD37" s="27" t="str">
        <x:f>IF(C37="","",0)</x:f>
      </x:c>
      <x:c r="JE37" s="27" t="str">
        <x:f>IF(C37="","",0)</x:f>
      </x:c>
      <x:c r="JF37" s="27" t="str">
        <x:f>IF(C37="","",0)</x:f>
      </x:c>
      <x:c r="JG37" s="27" t="str">
        <x:f>IF(C37="","",0)</x:f>
      </x:c>
      <x:c r="JH37" s="27" t="str">
        <x:f>IF(C37="","",0)</x:f>
      </x:c>
      <x:c r="JI37" s="27" t="str">
        <x:f>IF(C37="","",HP37*1000000000+IW37*1000000+IQ37*10000+IK37*100+JC37+6/1000)</x:f>
      </x:c>
      <x:c r="JJ37" s="27" t="str">
        <x:f>IF(C37="","",HQ37*1000000000+IX37*1000000+IR37*10000+IL37*100+JD37+5/1000)</x:f>
      </x:c>
      <x:c r="JK37" s="27" t="str">
        <x:f>IF(C37="","",HR37*1000000000+IY37*1000000+IS37*10000+IM37*100+JE37+4/1000)</x:f>
      </x:c>
      <x:c r="JL37" s="27" t="str">
        <x:f>IF(C37="","",HS37*1000000000+IZ37*1000000+IT37*10000+IN37*100+JF37+3/1000)</x:f>
      </x:c>
      <x:c r="JM37" s="27" t="str">
        <x:f>IF(C37="","",HT37*1000000000+JA37*1000000+IU37*10000+IO37*100+JG37+2/1000)</x:f>
      </x:c>
      <x:c r="JN37" s="27" t="str">
        <x:f>IF(C37="","",HU37*1000000000+JB37*1000000+IV37*10000+IP37*100+JH37+1/1000)</x:f>
      </x:c>
    </x:row>
    <x:row r="38">
      <x:c r="A38" s="27"/>
      <x:c r="B38" s="28"/>
      <x:c r="C38" s="27"/>
      <x:c r="D38" s="27"/>
      <x:c r="E38" s="27"/>
      <x:c r="F38" s="27"/>
      <x:c r="G38" s="27"/>
      <x:c r="H38" s="27"/>
      <x:c r="I38" s="27"/>
      <x:c r="J38" s="27"/>
      <x:c r="K38" s="27"/>
      <x:c r="L38" s="27"/>
      <x:c r="M38" s="27"/>
      <x:c r="N38" s="27"/>
      <x:c r="O38" s="27"/>
      <x:c r="P38" s="27"/>
      <x:c r="Q38" s="27"/>
      <x:c r="R38" s="27"/>
      <x:c r="S38" s="27"/>
      <x:c r="T38" s="27"/>
      <x:c r="U38" s="27"/>
      <x:c r="V38" s="27"/>
      <x:c r="W38" s="27"/>
      <x:c r="X38" s="27"/>
      <x:c r="Y38" s="27"/>
      <x:c r="Z38" s="27"/>
      <x:c r="AA38" s="27"/>
      <x:c r="AB38" s="27"/>
      <x:c r="AC38" s="27"/>
      <x:c r="AD38" s="27"/>
      <x:c r="AE38" s="27"/>
      <x:c r="AF38" s="27"/>
      <x:c r="AG38" s="27"/>
      <x:c r="AH38" s="27"/>
      <x:c r="AI38" s="27"/>
      <x:c r="AJ38" s="27"/>
      <x:c r="AK38" s="27"/>
      <x:c r="AL38" s="27"/>
      <x:c r="AM38" s="27"/>
      <x:c r="AN38" s="27"/>
      <x:c r="AO38" s="27"/>
      <x:c r="AP38" s="27"/>
      <x:c r="AQ38" s="27"/>
      <x:c r="AR38" s="27"/>
      <x:c r="AS38" s="27"/>
      <x:c r="AT38" s="27"/>
      <x:c r="AU38" s="27"/>
      <x:c r="AV38" s="27"/>
      <x:c r="AW38" s="27"/>
      <x:c r="AX38" s="27"/>
      <x:c r="AY38" s="27"/>
      <x:c r="AZ38" s="27"/>
      <x:c r="BA38" s="27"/>
      <x:c r="BB38" s="27"/>
      <x:c r="BC38" s="27"/>
      <x:c r="BD38" s="27"/>
      <x:c r="BE38" s="27"/>
      <x:c r="BF38" s="27"/>
      <x:c r="BG38" s="27"/>
      <x:c r="BH38" s="27"/>
      <x:c r="BI38" s="27"/>
      <x:c r="BJ38" s="27"/>
      <x:c r="BK38" s="27"/>
      <x:c r="BL38" s="27"/>
      <x:c r="BM38" s="27"/>
      <x:c r="BN38" s="27"/>
      <x:c r="BO38" s="27"/>
      <x:c r="BP38" s="27"/>
      <x:c r="BQ38" s="27"/>
      <x:c r="BR38" s="27"/>
      <x:c r="BS38" s="27"/>
      <x:c r="BT38" s="27"/>
      <x:c r="BU38" s="27"/>
      <x:c r="BV38" s="27"/>
      <x:c r="BW38" s="27"/>
      <x:c r="BX38" s="27"/>
      <x:c r="BY38" s="27"/>
      <x:c r="BZ38" s="27"/>
      <x:c r="CA38" s="27"/>
      <x:c r="CB38" s="27"/>
      <x:c r="CC38" s="27"/>
      <x:c r="CD38" s="27"/>
      <x:c r="CE38" s="27"/>
      <x:c r="CF38" s="27"/>
      <x:c r="CG38" s="27"/>
      <x:c r="CH38" s="27"/>
      <x:c r="CI38" s="27"/>
      <x:c r="CJ38" s="27"/>
      <x:c r="CK38" s="27"/>
      <x:c r="CL38" s="27"/>
      <x:c r="CM38" s="27"/>
      <x:c r="CN38" s="27"/>
      <x:c r="CO38" s="27"/>
      <x:c r="CP38" s="27"/>
      <x:c r="CQ38" s="27"/>
      <x:c r="CR38" s="27"/>
      <x:c r="CS38" s="27"/>
      <x:c r="CT38" s="27"/>
      <x:c r="CU38" s="27"/>
      <x:c r="CV38" s="27"/>
      <x:c r="CW38" s="27"/>
      <x:c r="CX38" s="27"/>
      <x:c r="CY38" s="27"/>
      <x:c r="CZ38" s="27"/>
      <x:c r="DA38" s="27"/>
      <x:c r="DB38" s="27"/>
      <x:c r="DC38" s="27"/>
      <x:c r="DD38" s="27"/>
      <x:c r="DE38" s="27"/>
      <x:c r="DF38" s="27"/>
      <x:c r="DG38" s="27"/>
      <x:c r="DH38" s="27"/>
      <x:c r="DI38" s="27"/>
      <x:c r="DJ38" s="27"/>
      <x:c r="DK38" s="27"/>
      <x:c r="DL38" s="27"/>
      <x:c r="DM38" s="27"/>
      <x:c r="DN38" s="27"/>
      <x:c r="DO38" s="27"/>
      <x:c r="DP38" s="27"/>
      <x:c r="DQ38" s="27"/>
      <x:c r="DR38" s="27"/>
      <x:c r="DS38" s="27"/>
      <x:c r="DT38" s="27"/>
      <x:c r="DU38" s="27"/>
      <x:c r="DV38" s="27"/>
      <x:c r="DW38" s="27"/>
      <x:c r="DX38" s="27"/>
      <x:c r="DY38" s="27"/>
      <x:c r="DZ38" s="27"/>
      <x:c r="EA38" s="27"/>
      <x:c r="EB38" s="27"/>
      <x:c r="EC38" s="27"/>
      <x:c r="ED38" s="27"/>
      <x:c r="EE38" s="27"/>
      <x:c r="EF38" s="27"/>
      <x:c r="EG38" s="27"/>
      <x:c r="EH38" s="27"/>
      <x:c r="EI38" s="27"/>
      <x:c r="EJ38" s="27"/>
      <x:c r="EK38" s="27"/>
      <x:c r="EL38" s="27"/>
      <x:c r="EM38" s="27"/>
      <x:c r="EN38" s="27"/>
      <x:c r="EO38" s="27"/>
      <x:c r="EP38" s="27"/>
      <x:c r="EQ38" s="27"/>
      <x:c r="ER38" s="27"/>
      <x:c r="ES38" s="27"/>
      <x:c r="ET38" s="27"/>
      <x:c r="EU38" s="27"/>
      <x:c r="EV38" s="27"/>
      <x:c r="EW38" s="27"/>
      <x:c r="EX38" s="27"/>
      <x:c r="EY38" s="27"/>
      <x:c r="EZ38" s="27"/>
      <x:c r="FA38" s="27"/>
      <x:c r="FB38" s="27"/>
      <x:c r="FC38" s="27"/>
      <x:c r="FD38" s="27"/>
      <x:c r="FE38" s="27"/>
      <x:c r="FF38" s="27"/>
      <x:c r="FG38" s="27"/>
      <x:c r="FH38" s="27"/>
      <x:c r="FI38" s="27"/>
      <x:c r="FJ38" s="27"/>
      <x:c r="FK38" s="27"/>
      <x:c r="FL38" s="27"/>
      <x:c r="FM38" s="27"/>
      <x:c r="FN38" s="27"/>
      <x:c r="FO38" s="27"/>
      <x:c r="FP38" s="27"/>
      <x:c r="FQ38" s="27"/>
      <x:c r="FR38" s="27"/>
      <x:c r="FS38" s="27"/>
      <x:c r="FT38" s="27"/>
      <x:c r="FU38" s="27"/>
      <x:c r="FV38" s="27"/>
      <x:c r="FW38" s="27"/>
      <x:c r="FX38" s="27"/>
      <x:c r="FY38" s="27"/>
      <x:c r="FZ38" s="27"/>
      <x:c r="GA38" s="27"/>
      <x:c r="GB38" s="27"/>
      <x:c r="GC38" s="27"/>
      <x:c r="GD38" s="27"/>
      <x:c r="GE38" s="27"/>
      <x:c r="GF38" s="27"/>
      <x:c r="GG38" s="27"/>
      <x:c r="GH38" s="27"/>
      <x:c r="GI38" s="27"/>
      <x:c r="GJ38" s="27"/>
      <x:c r="GK38" s="27"/>
      <x:c r="GL38" s="27"/>
      <x:c r="GM38" s="27"/>
      <x:c r="GN38" s="27"/>
      <x:c r="GO38" s="27"/>
      <x:c r="GP38" s="27"/>
      <x:c r="GQ38" s="27"/>
      <x:c r="GR38" s="27"/>
      <x:c r="GS38" s="27"/>
      <x:c r="GT38" s="27"/>
      <x:c r="GU38" s="27"/>
      <x:c r="GV38" s="27"/>
      <x:c r="GW38" s="27"/>
      <x:c r="GX38" s="27"/>
      <x:c r="GY38" s="27"/>
      <x:c r="GZ38" s="27"/>
      <x:c r="HA38" s="27"/>
      <x:c r="HB38" s="27"/>
      <x:c r="HC38" s="27"/>
      <x:c r="HD38" s="27"/>
      <x:c r="HE38" s="27"/>
      <x:c r="HF38" s="27"/>
      <x:c r="HG38" s="27"/>
      <x:c r="HH38" s="27"/>
      <x:c r="HI38" s="27"/>
      <x:c r="HJ38" s="27"/>
      <x:c r="HK38" s="27"/>
      <x:c r="HL38" s="27"/>
      <x:c r="HM38" s="27"/>
      <x:c r="HN38" s="27"/>
      <x:c r="HO38" s="27"/>
      <x:c r="HP38" s="27" t="str">
        <x:f>IF(C38="","",SUM(H38,N38,T38,Z38,AF38,AL38,AR38,AX38,BD38,BJ38,BP38,BV38,CB38,CH38,CN38,CT38,CZ38,DF38,DL38,DR38,DX38,ED38,EJ38,EP38,EV38,FB38,FH38,FN38,FT38,FZ38,GF38,GL38,GR38,GX38,HD38,HJ38))</x:f>
      </x:c>
      <x:c r="HQ38" s="27" t="str">
        <x:f>IF(C38="","",SUM(I38,O38,U38,AA38,AG38,AM38,AS38,AY38,BE38,BK38,BQ38,BW38,CC38,CI38,CO38,CU38,DA38,DG38,DM38,DS38,DY38,EE38,EK38,EQ38,EW38,FC38,FI38,FO38,FU38,GA38,GG38,GM38,GS38,GY38,HE38,HK38))</x:f>
      </x:c>
      <x:c r="HR38" s="27" t="str">
        <x:f>IF(C38="","",SUM(J38,P38,V38,AB38,AH38,AN38,AT38,AZ38,BF38,BL38,BR38,BX38,CD38,CJ38,CP38,CV38,DB38,DH38,DN38,DT38,DZ38,EF38,EL38,ER38,EX38,FD38,FJ38,FP38,FV38,GB38,GH38,GN38,GT38,GZ38,HF38,HL38))</x:f>
      </x:c>
      <x:c r="HS38" s="27" t="str">
        <x:f>IF(C38="","",SUM(K38,Q38,W38,AC38,AI38,AO38,AU38,BA38,BG38,BM38,BS38,BY38,CE38,CK38,CQ38,CW38,DC38,DI38,DO38,DU38,EA38,EG38,EM38,ES38,EY38,FE38,FK38,FQ38,FW38,GC38,GI38,GO38,GU38,HA38,HG38,HM38))</x:f>
      </x:c>
      <x:c r="HT38" s="27" t="str">
        <x:f>IF(C38="","",SUM(L38,R38,X38,AD38,AJ38,AP38,AV38,BB38,BH38,BN38,BT38,BZ38,CF38,CL38,CR38,CX38,DD38,DJ38,DP38,DV38,EB38,EH38,EN38,ET38,EZ38,FF38,FL38,FR38,FX38,GD38,GJ38,GP38,GV38,HB38,HH38,HN38))</x:f>
      </x:c>
      <x:c r="HU38" s="27" t="str">
        <x:f>IF(C38="","",SUM(M38,S38,Y38,AE38,AK38,AQ38,AW38,BC38,BI38,BO38,BU38,CA38,CG38,CM38,CS38,CY38,DE38,DK38,DQ38,DW38,EC38,EI38,EO38,EU38,FA38,FG38,FM38,FS38,FY38,GE38,GK38,GQ38,GW38,HC38,HI38,HO38))</x:f>
      </x:c>
      <x:c r="HV38" s="27" t="str">
        <x:f>IF(C38="","",IF(JI38=LARGE(JI38:JN38,1),"R",IF(JJ38=LARGE(JI38:JN38,1),"I",IF(JK38=LARGE(JI38:JN38,1),"A",IF(JL38=LARGE(JI38:JN38,1),"S",IF(JM38=LARGE(JI38:JN38,1),"E",IF(JN38=LARGE(JI38:JN38,1),"C",""))))))&amp;IF(JI38=LARGE(JI38:JN38,2),"R",IF(JJ38=LARGE(JI38:JN38,2),"I",IF(JK38=LARGE(JI38:JN38,2),"A",IF(JL38=LARGE(JI38:JN38,2),"S",IF(JM38=LARGE(JI38:JN38,2),"E",IF(JN38=LARGE(JI38:JN38,2),"C",""))))))&amp;IF(JI38=LARGE(JI38:JN38,3),"R",IF(JJ38=LARGE(JI38:JN38,3),"I",IF(JK38=LARGE(JI38:JN38,3),"A",IF(JL38=LARGE(JI38:JN38,3),"S",IF(JM38=LARGE(JI38:JN38,3),"E",IF(JN38=LARGE(JI38:JN38,3),"C","")))))))</x:f>
      </x:c>
      <x:c r="HW38" s="27" t="str">
        <x:f>IF(C38="","",IF(JI38=LARGE(JI38:JN38,1),"นักปฏิบัติ",IF(JJ38=LARGE(JI38:JN38,1),"นักคิดวิเคราะห์",IF(JK38=LARGE(JI38:JN38,1),"นักสร้างสรรค์",IF(JL38=LARGE(JI38:JN38,1),"ผู้เข้าใจผู้คน",IF(JM38=LARGE(JI38:JN38,1),"ผู้นำการเปลี่ยนแปลง",IF(JN38=LARGE(JI38:JN38,1),"ผู้จัดระบบ","ผู้จัดระบบ")))))))</x:f>
      </x:c>
      <x:c r="HX38" s="27"/>
      <x:c r="HY38" s="27"/>
      <x:c r="HZ38" s="27"/>
      <x:c r="IA38" s="27"/>
      <x:c r="IB38" s="27"/>
      <x:c r="IC38" s="27"/>
      <x:c r="ID38" s="27"/>
      <x:c r="IE38" s="27"/>
      <x:c r="IF38" s="27"/>
      <x:c r="IG38" s="27"/>
      <x:c r="IH38" s="27"/>
      <x:c r="II38" s="27"/>
      <x:c r="IJ38" s="27"/>
      <x:c r="IK38" s="27" t="str">
        <x:f>IF(C38="","",SUM(H38,N38,T38,Z38,AF38,AL38,AR38,AX38,BD38,BJ38,BP38))</x:f>
      </x:c>
      <x:c r="IL38" s="27" t="str">
        <x:f>IF(C38="","",SUM(I38,O38,U38,AA38,AG38,AM38,AS38,AY38,BE38,BK38,BQ38))</x:f>
      </x:c>
      <x:c r="IM38" s="27" t="str">
        <x:f>IF(C38="","",SUM(J38,P38,V38,AB38,AH38,AN38,AT38,AZ38,BF38,BL38,BR38))</x:f>
      </x:c>
      <x:c r="IN38" s="27" t="str">
        <x:f>IF(C38="","",SUM(K38,Q38,W38,AC38,AI38,AO38,AU38,BA38,BG38,BM38,BS38))</x:f>
      </x:c>
      <x:c r="IO38" s="27" t="str">
        <x:f>IF(C38="","",SUM(L38,R38,X38,AD38,AJ38,AP38,AV38,BB38,BH38,BN38,BT38))</x:f>
      </x:c>
      <x:c r="IP38" s="27" t="str">
        <x:f>IF(C38="","",SUM(M38,S38,Y38,AE38,AK38,AQ38,AW38,BC38,BI38,BO38,BU38))</x:f>
      </x:c>
      <x:c r="IQ38" s="27" t="str">
        <x:f>IF(C38="","",SUM(BV38,CB38,CH38,CN38,CT38,CZ38,DF38,DL38,DR38,DX38,ED38))</x:f>
      </x:c>
      <x:c r="IR38" s="27" t="str">
        <x:f>IF(C38="","",SUM(BW38,CC38,CI38,CO38,CU38,DA38,DG38,DM38,DS38,DY38,EE38))</x:f>
      </x:c>
      <x:c r="IS38" s="27" t="str">
        <x:f>IF(C38="","",SUM(BX38,CD38,CJ38,CP38,CV38,DB38,DH38,DN38,DT38,DZ38,EF38))</x:f>
      </x:c>
      <x:c r="IT38" s="27" t="str">
        <x:f>IF(C38="","",SUM(BY38,CE38,CK38,CQ38,CW38,DC38,DI38,DO38,DU38,EA38,EG38))</x:f>
      </x:c>
      <x:c r="IU38" s="27" t="str">
        <x:f>IF(C38="","",SUM(BZ38,CF38,CL38,CR38,CX38,DD38,DJ38,DP38,DV38,EB38,EH38))</x:f>
      </x:c>
      <x:c r="IV38" s="27" t="str">
        <x:f>IF(C38="","",SUM(CA38,CG38,CM38,CS38,CY38,DE38,DK38,DQ38,DW38,EC38,EI38))</x:f>
      </x:c>
      <x:c r="IW38" s="27" t="str">
        <x:f>IF(C38="","",SUM(EJ38,EP38,EV38,FB38,FH38,FN38,FT38,FZ38,GF38,GL38,GR38,GX38,HD38,HJ38))</x:f>
      </x:c>
      <x:c r="IX38" s="27" t="str">
        <x:f>IF(C38="","",SUM(EK38,EQ38,EW38,FC38,FI38,FO38,FU38,GA38,GG38,GM38,GS38,GY38,HE38,HK38))</x:f>
      </x:c>
      <x:c r="IY38" s="27" t="str">
        <x:f>IF(C38="","",SUM(EL38,ER38,EX38,FD38,FJ38,FP38,FV38,GB38,GH38,GN38,GT38,GZ38,HF38,HL38))</x:f>
      </x:c>
      <x:c r="IZ38" s="27" t="str">
        <x:f>IF(C38="","",SUM(EM38,ES38,EY38,FE38,FK38,FQ38,FW38,GC38,GI38,GO38,GU38,HA38,HG38,HM38))</x:f>
      </x:c>
      <x:c r="JA38" s="27" t="str">
        <x:f>IF(C38="","",SUM(EN38,ET38,EZ38,FF38,FL38,FR38,FX38,GD38,GJ38,GP38,GV38,HB38,HH38,HN38))</x:f>
      </x:c>
      <x:c r="JB38" s="27" t="str">
        <x:f>IF(C38="","",SUM(EO38,EU38,FA38,FG38,FM38,FS38,FY38,GE38,GK38,GQ38,GW38,HC38,HI38,HO38))</x:f>
      </x:c>
      <x:c r="JC38" s="27" t="str">
        <x:f>IF(C38="","",0)</x:f>
      </x:c>
      <x:c r="JD38" s="27" t="str">
        <x:f>IF(C38="","",0)</x:f>
      </x:c>
      <x:c r="JE38" s="27" t="str">
        <x:f>IF(C38="","",0)</x:f>
      </x:c>
      <x:c r="JF38" s="27" t="str">
        <x:f>IF(C38="","",0)</x:f>
      </x:c>
      <x:c r="JG38" s="27" t="str">
        <x:f>IF(C38="","",0)</x:f>
      </x:c>
      <x:c r="JH38" s="27" t="str">
        <x:f>IF(C38="","",0)</x:f>
      </x:c>
      <x:c r="JI38" s="27" t="str">
        <x:f>IF(C38="","",HP38*1000000000+IW38*1000000+IQ38*10000+IK38*100+JC38+6/1000)</x:f>
      </x:c>
      <x:c r="JJ38" s="27" t="str">
        <x:f>IF(C38="","",HQ38*1000000000+IX38*1000000+IR38*10000+IL38*100+JD38+5/1000)</x:f>
      </x:c>
      <x:c r="JK38" s="27" t="str">
        <x:f>IF(C38="","",HR38*1000000000+IY38*1000000+IS38*10000+IM38*100+JE38+4/1000)</x:f>
      </x:c>
      <x:c r="JL38" s="27" t="str">
        <x:f>IF(C38="","",HS38*1000000000+IZ38*1000000+IT38*10000+IN38*100+JF38+3/1000)</x:f>
      </x:c>
      <x:c r="JM38" s="27" t="str">
        <x:f>IF(C38="","",HT38*1000000000+JA38*1000000+IU38*10000+IO38*100+JG38+2/1000)</x:f>
      </x:c>
      <x:c r="JN38" s="27" t="str">
        <x:f>IF(C38="","",HU38*1000000000+JB38*1000000+IV38*10000+IP38*100+JH38+1/1000)</x:f>
      </x:c>
    </x:row>
    <x:row r="39">
      <x:c r="A39" s="27"/>
      <x:c r="B39" s="28"/>
      <x:c r="C39" s="27"/>
      <x:c r="D39" s="27"/>
      <x:c r="E39" s="27"/>
      <x:c r="F39" s="27"/>
      <x:c r="G39" s="27"/>
      <x:c r="H39" s="27"/>
      <x:c r="I39" s="27"/>
      <x:c r="J39" s="27"/>
      <x:c r="K39" s="27"/>
      <x:c r="L39" s="27"/>
      <x:c r="M39" s="27"/>
      <x:c r="N39" s="27"/>
      <x:c r="O39" s="27"/>
      <x:c r="P39" s="27"/>
      <x:c r="Q39" s="27"/>
      <x:c r="R39" s="27"/>
      <x:c r="S39" s="27"/>
      <x:c r="T39" s="27"/>
      <x:c r="U39" s="27"/>
      <x:c r="V39" s="27"/>
      <x:c r="W39" s="27"/>
      <x:c r="X39" s="27"/>
      <x:c r="Y39" s="27"/>
      <x:c r="Z39" s="27"/>
      <x:c r="AA39" s="27"/>
      <x:c r="AB39" s="27"/>
      <x:c r="AC39" s="27"/>
      <x:c r="AD39" s="27"/>
      <x:c r="AE39" s="27"/>
      <x:c r="AF39" s="27"/>
      <x:c r="AG39" s="27"/>
      <x:c r="AH39" s="27"/>
      <x:c r="AI39" s="27"/>
      <x:c r="AJ39" s="27"/>
      <x:c r="AK39" s="27"/>
      <x:c r="AL39" s="27"/>
      <x:c r="AM39" s="27"/>
      <x:c r="AN39" s="27"/>
      <x:c r="AO39" s="27"/>
      <x:c r="AP39" s="27"/>
      <x:c r="AQ39" s="27"/>
      <x:c r="AR39" s="27"/>
      <x:c r="AS39" s="27"/>
      <x:c r="AT39" s="27"/>
      <x:c r="AU39" s="27"/>
      <x:c r="AV39" s="27"/>
      <x:c r="AW39" s="27"/>
      <x:c r="AX39" s="27"/>
      <x:c r="AY39" s="27"/>
      <x:c r="AZ39" s="27"/>
      <x:c r="BA39" s="27"/>
      <x:c r="BB39" s="27"/>
      <x:c r="BC39" s="27"/>
      <x:c r="BD39" s="27"/>
      <x:c r="BE39" s="27"/>
      <x:c r="BF39" s="27"/>
      <x:c r="BG39" s="27"/>
      <x:c r="BH39" s="27"/>
      <x:c r="BI39" s="27"/>
      <x:c r="BJ39" s="27"/>
      <x:c r="BK39" s="27"/>
      <x:c r="BL39" s="27"/>
      <x:c r="BM39" s="27"/>
      <x:c r="BN39" s="27"/>
      <x:c r="BO39" s="27"/>
      <x:c r="BP39" s="27"/>
      <x:c r="BQ39" s="27"/>
      <x:c r="BR39" s="27"/>
      <x:c r="BS39" s="27"/>
      <x:c r="BT39" s="27"/>
      <x:c r="BU39" s="27"/>
      <x:c r="BV39" s="27"/>
      <x:c r="BW39" s="27"/>
      <x:c r="BX39" s="27"/>
      <x:c r="BY39" s="27"/>
      <x:c r="BZ39" s="27"/>
      <x:c r="CA39" s="27"/>
      <x:c r="CB39" s="27"/>
      <x:c r="CC39" s="27"/>
      <x:c r="CD39" s="27"/>
      <x:c r="CE39" s="27"/>
      <x:c r="CF39" s="27"/>
      <x:c r="CG39" s="27"/>
      <x:c r="CH39" s="27"/>
      <x:c r="CI39" s="27"/>
      <x:c r="CJ39" s="27"/>
      <x:c r="CK39" s="27"/>
      <x:c r="CL39" s="27"/>
      <x:c r="CM39" s="27"/>
      <x:c r="CN39" s="27"/>
      <x:c r="CO39" s="27"/>
      <x:c r="CP39" s="27"/>
      <x:c r="CQ39" s="27"/>
      <x:c r="CR39" s="27"/>
      <x:c r="CS39" s="27"/>
      <x:c r="CT39" s="27"/>
      <x:c r="CU39" s="27"/>
      <x:c r="CV39" s="27"/>
      <x:c r="CW39" s="27"/>
      <x:c r="CX39" s="27"/>
      <x:c r="CY39" s="27"/>
      <x:c r="CZ39" s="27"/>
      <x:c r="DA39" s="27"/>
      <x:c r="DB39" s="27"/>
      <x:c r="DC39" s="27"/>
      <x:c r="DD39" s="27"/>
      <x:c r="DE39" s="27"/>
      <x:c r="DF39" s="27"/>
      <x:c r="DG39" s="27"/>
      <x:c r="DH39" s="27"/>
      <x:c r="DI39" s="27"/>
      <x:c r="DJ39" s="27"/>
      <x:c r="DK39" s="27"/>
      <x:c r="DL39" s="27"/>
      <x:c r="DM39" s="27"/>
      <x:c r="DN39" s="27"/>
      <x:c r="DO39" s="27"/>
      <x:c r="DP39" s="27"/>
      <x:c r="DQ39" s="27"/>
      <x:c r="DR39" s="27"/>
      <x:c r="DS39" s="27"/>
      <x:c r="DT39" s="27"/>
      <x:c r="DU39" s="27"/>
      <x:c r="DV39" s="27"/>
      <x:c r="DW39" s="27"/>
      <x:c r="DX39" s="27"/>
      <x:c r="DY39" s="27"/>
      <x:c r="DZ39" s="27"/>
      <x:c r="EA39" s="27"/>
      <x:c r="EB39" s="27"/>
      <x:c r="EC39" s="27"/>
      <x:c r="ED39" s="27"/>
      <x:c r="EE39" s="27"/>
      <x:c r="EF39" s="27"/>
      <x:c r="EG39" s="27"/>
      <x:c r="EH39" s="27"/>
      <x:c r="EI39" s="27"/>
      <x:c r="EJ39" s="27"/>
      <x:c r="EK39" s="27"/>
      <x:c r="EL39" s="27"/>
      <x:c r="EM39" s="27"/>
      <x:c r="EN39" s="27"/>
      <x:c r="EO39" s="27"/>
      <x:c r="EP39" s="27"/>
      <x:c r="EQ39" s="27"/>
      <x:c r="ER39" s="27"/>
      <x:c r="ES39" s="27"/>
      <x:c r="ET39" s="27"/>
      <x:c r="EU39" s="27"/>
      <x:c r="EV39" s="27"/>
      <x:c r="EW39" s="27"/>
      <x:c r="EX39" s="27"/>
      <x:c r="EY39" s="27"/>
      <x:c r="EZ39" s="27"/>
      <x:c r="FA39" s="27"/>
      <x:c r="FB39" s="27"/>
      <x:c r="FC39" s="27"/>
      <x:c r="FD39" s="27"/>
      <x:c r="FE39" s="27"/>
      <x:c r="FF39" s="27"/>
      <x:c r="FG39" s="27"/>
      <x:c r="FH39" s="27"/>
      <x:c r="FI39" s="27"/>
      <x:c r="FJ39" s="27"/>
      <x:c r="FK39" s="27"/>
      <x:c r="FL39" s="27"/>
      <x:c r="FM39" s="27"/>
      <x:c r="FN39" s="27"/>
      <x:c r="FO39" s="27"/>
      <x:c r="FP39" s="27"/>
      <x:c r="FQ39" s="27"/>
      <x:c r="FR39" s="27"/>
      <x:c r="FS39" s="27"/>
      <x:c r="FT39" s="27"/>
      <x:c r="FU39" s="27"/>
      <x:c r="FV39" s="27"/>
      <x:c r="FW39" s="27"/>
      <x:c r="FX39" s="27"/>
      <x:c r="FY39" s="27"/>
      <x:c r="FZ39" s="27"/>
      <x:c r="GA39" s="27"/>
      <x:c r="GB39" s="27"/>
      <x:c r="GC39" s="27"/>
      <x:c r="GD39" s="27"/>
      <x:c r="GE39" s="27"/>
      <x:c r="GF39" s="27"/>
      <x:c r="GG39" s="27"/>
      <x:c r="GH39" s="27"/>
      <x:c r="GI39" s="27"/>
      <x:c r="GJ39" s="27"/>
      <x:c r="GK39" s="27"/>
      <x:c r="GL39" s="27"/>
      <x:c r="GM39" s="27"/>
      <x:c r="GN39" s="27"/>
      <x:c r="GO39" s="27"/>
      <x:c r="GP39" s="27"/>
      <x:c r="GQ39" s="27"/>
      <x:c r="GR39" s="27"/>
      <x:c r="GS39" s="27"/>
      <x:c r="GT39" s="27"/>
      <x:c r="GU39" s="27"/>
      <x:c r="GV39" s="27"/>
      <x:c r="GW39" s="27"/>
      <x:c r="GX39" s="27"/>
      <x:c r="GY39" s="27"/>
      <x:c r="GZ39" s="27"/>
      <x:c r="HA39" s="27"/>
      <x:c r="HB39" s="27"/>
      <x:c r="HC39" s="27"/>
      <x:c r="HD39" s="27"/>
      <x:c r="HE39" s="27"/>
      <x:c r="HF39" s="27"/>
      <x:c r="HG39" s="27"/>
      <x:c r="HH39" s="27"/>
      <x:c r="HI39" s="27"/>
      <x:c r="HJ39" s="27"/>
      <x:c r="HK39" s="27"/>
      <x:c r="HL39" s="27"/>
      <x:c r="HM39" s="27"/>
      <x:c r="HN39" s="27"/>
      <x:c r="HO39" s="27"/>
      <x:c r="HP39" s="27" t="str">
        <x:f>IF(C39="","",SUM(H39,N39,T39,Z39,AF39,AL39,AR39,AX39,BD39,BJ39,BP39,BV39,CB39,CH39,CN39,CT39,CZ39,DF39,DL39,DR39,DX39,ED39,EJ39,EP39,EV39,FB39,FH39,FN39,FT39,FZ39,GF39,GL39,GR39,GX39,HD39,HJ39))</x:f>
      </x:c>
      <x:c r="HQ39" s="27" t="str">
        <x:f>IF(C39="","",SUM(I39,O39,U39,AA39,AG39,AM39,AS39,AY39,BE39,BK39,BQ39,BW39,CC39,CI39,CO39,CU39,DA39,DG39,DM39,DS39,DY39,EE39,EK39,EQ39,EW39,FC39,FI39,FO39,FU39,GA39,GG39,GM39,GS39,GY39,HE39,HK39))</x:f>
      </x:c>
      <x:c r="HR39" s="27" t="str">
        <x:f>IF(C39="","",SUM(J39,P39,V39,AB39,AH39,AN39,AT39,AZ39,BF39,BL39,BR39,BX39,CD39,CJ39,CP39,CV39,DB39,DH39,DN39,DT39,DZ39,EF39,EL39,ER39,EX39,FD39,FJ39,FP39,FV39,GB39,GH39,GN39,GT39,GZ39,HF39,HL39))</x:f>
      </x:c>
      <x:c r="HS39" s="27" t="str">
        <x:f>IF(C39="","",SUM(K39,Q39,W39,AC39,AI39,AO39,AU39,BA39,BG39,BM39,BS39,BY39,CE39,CK39,CQ39,CW39,DC39,DI39,DO39,DU39,EA39,EG39,EM39,ES39,EY39,FE39,FK39,FQ39,FW39,GC39,GI39,GO39,GU39,HA39,HG39,HM39))</x:f>
      </x:c>
      <x:c r="HT39" s="27" t="str">
        <x:f>IF(C39="","",SUM(L39,R39,X39,AD39,AJ39,AP39,AV39,BB39,BH39,BN39,BT39,BZ39,CF39,CL39,CR39,CX39,DD39,DJ39,DP39,DV39,EB39,EH39,EN39,ET39,EZ39,FF39,FL39,FR39,FX39,GD39,GJ39,GP39,GV39,HB39,HH39,HN39))</x:f>
      </x:c>
      <x:c r="HU39" s="27" t="str">
        <x:f>IF(C39="","",SUM(M39,S39,Y39,AE39,AK39,AQ39,AW39,BC39,BI39,BO39,BU39,CA39,CG39,CM39,CS39,CY39,DE39,DK39,DQ39,DW39,EC39,EI39,EO39,EU39,FA39,FG39,FM39,FS39,FY39,GE39,GK39,GQ39,GW39,HC39,HI39,HO39))</x:f>
      </x:c>
      <x:c r="HV39" s="27" t="str">
        <x:f>IF(C39="","",IF(JI39=LARGE(JI39:JN39,1),"R",IF(JJ39=LARGE(JI39:JN39,1),"I",IF(JK39=LARGE(JI39:JN39,1),"A",IF(JL39=LARGE(JI39:JN39,1),"S",IF(JM39=LARGE(JI39:JN39,1),"E",IF(JN39=LARGE(JI39:JN39,1),"C",""))))))&amp;IF(JI39=LARGE(JI39:JN39,2),"R",IF(JJ39=LARGE(JI39:JN39,2),"I",IF(JK39=LARGE(JI39:JN39,2),"A",IF(JL39=LARGE(JI39:JN39,2),"S",IF(JM39=LARGE(JI39:JN39,2),"E",IF(JN39=LARGE(JI39:JN39,2),"C",""))))))&amp;IF(JI39=LARGE(JI39:JN39,3),"R",IF(JJ39=LARGE(JI39:JN39,3),"I",IF(JK39=LARGE(JI39:JN39,3),"A",IF(JL39=LARGE(JI39:JN39,3),"S",IF(JM39=LARGE(JI39:JN39,3),"E",IF(JN39=LARGE(JI39:JN39,3),"C","")))))))</x:f>
      </x:c>
      <x:c r="HW39" s="27" t="str">
        <x:f>IF(C39="","",IF(JI39=LARGE(JI39:JN39,1),"นักปฏิบัติ",IF(JJ39=LARGE(JI39:JN39,1),"นักคิดวิเคราะห์",IF(JK39=LARGE(JI39:JN39,1),"นักสร้างสรรค์",IF(JL39=LARGE(JI39:JN39,1),"ผู้เข้าใจผู้คน",IF(JM39=LARGE(JI39:JN39,1),"ผู้นำการเปลี่ยนแปลง",IF(JN39=LARGE(JI39:JN39,1),"ผู้จัดระบบ","ผู้จัดระบบ")))))))</x:f>
      </x:c>
      <x:c r="HX39" s="27"/>
      <x:c r="HY39" s="27"/>
      <x:c r="HZ39" s="27"/>
      <x:c r="IA39" s="27"/>
      <x:c r="IB39" s="27"/>
      <x:c r="IC39" s="27"/>
      <x:c r="ID39" s="27"/>
      <x:c r="IE39" s="27"/>
      <x:c r="IF39" s="27"/>
      <x:c r="IG39" s="27"/>
      <x:c r="IH39" s="27"/>
      <x:c r="II39" s="27"/>
      <x:c r="IJ39" s="27"/>
      <x:c r="IK39" s="27" t="str">
        <x:f>IF(C39="","",SUM(H39,N39,T39,Z39,AF39,AL39,AR39,AX39,BD39,BJ39,BP39))</x:f>
      </x:c>
      <x:c r="IL39" s="27" t="str">
        <x:f>IF(C39="","",SUM(I39,O39,U39,AA39,AG39,AM39,AS39,AY39,BE39,BK39,BQ39))</x:f>
      </x:c>
      <x:c r="IM39" s="27" t="str">
        <x:f>IF(C39="","",SUM(J39,P39,V39,AB39,AH39,AN39,AT39,AZ39,BF39,BL39,BR39))</x:f>
      </x:c>
      <x:c r="IN39" s="27" t="str">
        <x:f>IF(C39="","",SUM(K39,Q39,W39,AC39,AI39,AO39,AU39,BA39,BG39,BM39,BS39))</x:f>
      </x:c>
      <x:c r="IO39" s="27" t="str">
        <x:f>IF(C39="","",SUM(L39,R39,X39,AD39,AJ39,AP39,AV39,BB39,BH39,BN39,BT39))</x:f>
      </x:c>
      <x:c r="IP39" s="27" t="str">
        <x:f>IF(C39="","",SUM(M39,S39,Y39,AE39,AK39,AQ39,AW39,BC39,BI39,BO39,BU39))</x:f>
      </x:c>
      <x:c r="IQ39" s="27" t="str">
        <x:f>IF(C39="","",SUM(BV39,CB39,CH39,CN39,CT39,CZ39,DF39,DL39,DR39,DX39,ED39))</x:f>
      </x:c>
      <x:c r="IR39" s="27" t="str">
        <x:f>IF(C39="","",SUM(BW39,CC39,CI39,CO39,CU39,DA39,DG39,DM39,DS39,DY39,EE39))</x:f>
      </x:c>
      <x:c r="IS39" s="27" t="str">
        <x:f>IF(C39="","",SUM(BX39,CD39,CJ39,CP39,CV39,DB39,DH39,DN39,DT39,DZ39,EF39))</x:f>
      </x:c>
      <x:c r="IT39" s="27" t="str">
        <x:f>IF(C39="","",SUM(BY39,CE39,CK39,CQ39,CW39,DC39,DI39,DO39,DU39,EA39,EG39))</x:f>
      </x:c>
      <x:c r="IU39" s="27" t="str">
        <x:f>IF(C39="","",SUM(BZ39,CF39,CL39,CR39,CX39,DD39,DJ39,DP39,DV39,EB39,EH39))</x:f>
      </x:c>
      <x:c r="IV39" s="27" t="str">
        <x:f>IF(C39="","",SUM(CA39,CG39,CM39,CS39,CY39,DE39,DK39,DQ39,DW39,EC39,EI39))</x:f>
      </x:c>
      <x:c r="IW39" s="27" t="str">
        <x:f>IF(C39="","",SUM(EJ39,EP39,EV39,FB39,FH39,FN39,FT39,FZ39,GF39,GL39,GR39,GX39,HD39,HJ39))</x:f>
      </x:c>
      <x:c r="IX39" s="27" t="str">
        <x:f>IF(C39="","",SUM(EK39,EQ39,EW39,FC39,FI39,FO39,FU39,GA39,GG39,GM39,GS39,GY39,HE39,HK39))</x:f>
      </x:c>
      <x:c r="IY39" s="27" t="str">
        <x:f>IF(C39="","",SUM(EL39,ER39,EX39,FD39,FJ39,FP39,FV39,GB39,GH39,GN39,GT39,GZ39,HF39,HL39))</x:f>
      </x:c>
      <x:c r="IZ39" s="27" t="str">
        <x:f>IF(C39="","",SUM(EM39,ES39,EY39,FE39,FK39,FQ39,FW39,GC39,GI39,GO39,GU39,HA39,HG39,HM39))</x:f>
      </x:c>
      <x:c r="JA39" s="27" t="str">
        <x:f>IF(C39="","",SUM(EN39,ET39,EZ39,FF39,FL39,FR39,FX39,GD39,GJ39,GP39,GV39,HB39,HH39,HN39))</x:f>
      </x:c>
      <x:c r="JB39" s="27" t="str">
        <x:f>IF(C39="","",SUM(EO39,EU39,FA39,FG39,FM39,FS39,FY39,GE39,GK39,GQ39,GW39,HC39,HI39,HO39))</x:f>
      </x:c>
      <x:c r="JC39" s="27" t="str">
        <x:f>IF(C39="","",0)</x:f>
      </x:c>
      <x:c r="JD39" s="27" t="str">
        <x:f>IF(C39="","",0)</x:f>
      </x:c>
      <x:c r="JE39" s="27" t="str">
        <x:f>IF(C39="","",0)</x:f>
      </x:c>
      <x:c r="JF39" s="27" t="str">
        <x:f>IF(C39="","",0)</x:f>
      </x:c>
      <x:c r="JG39" s="27" t="str">
        <x:f>IF(C39="","",0)</x:f>
      </x:c>
      <x:c r="JH39" s="27" t="str">
        <x:f>IF(C39="","",0)</x:f>
      </x:c>
      <x:c r="JI39" s="27" t="str">
        <x:f>IF(C39="","",HP39*1000000000+IW39*1000000+IQ39*10000+IK39*100+JC39+6/1000)</x:f>
      </x:c>
      <x:c r="JJ39" s="27" t="str">
        <x:f>IF(C39="","",HQ39*1000000000+IX39*1000000+IR39*10000+IL39*100+JD39+5/1000)</x:f>
      </x:c>
      <x:c r="JK39" s="27" t="str">
        <x:f>IF(C39="","",HR39*1000000000+IY39*1000000+IS39*10000+IM39*100+JE39+4/1000)</x:f>
      </x:c>
      <x:c r="JL39" s="27" t="str">
        <x:f>IF(C39="","",HS39*1000000000+IZ39*1000000+IT39*10000+IN39*100+JF39+3/1000)</x:f>
      </x:c>
      <x:c r="JM39" s="27" t="str">
        <x:f>IF(C39="","",HT39*1000000000+JA39*1000000+IU39*10000+IO39*100+JG39+2/1000)</x:f>
      </x:c>
      <x:c r="JN39" s="27" t="str">
        <x:f>IF(C39="","",HU39*1000000000+JB39*1000000+IV39*10000+IP39*100+JH39+1/1000)</x:f>
      </x:c>
    </x:row>
    <x:row r="40">
      <x:c r="A40" s="27"/>
      <x:c r="B40" s="28"/>
      <x:c r="C40" s="27"/>
      <x:c r="D40" s="27"/>
      <x:c r="E40" s="27"/>
      <x:c r="F40" s="27"/>
      <x:c r="G40" s="27"/>
      <x:c r="H40" s="27"/>
      <x:c r="I40" s="27"/>
      <x:c r="J40" s="27"/>
      <x:c r="K40" s="27"/>
      <x:c r="L40" s="27"/>
      <x:c r="M40" s="27"/>
      <x:c r="N40" s="27"/>
      <x:c r="O40" s="27"/>
      <x:c r="P40" s="27"/>
      <x:c r="Q40" s="27"/>
      <x:c r="R40" s="27"/>
      <x:c r="S40" s="27"/>
      <x:c r="T40" s="27"/>
      <x:c r="U40" s="27"/>
      <x:c r="V40" s="27"/>
      <x:c r="W40" s="27"/>
      <x:c r="X40" s="27"/>
      <x:c r="Y40" s="27"/>
      <x:c r="Z40" s="27"/>
      <x:c r="AA40" s="27"/>
      <x:c r="AB40" s="27"/>
      <x:c r="AC40" s="27"/>
      <x:c r="AD40" s="27"/>
      <x:c r="AE40" s="27"/>
      <x:c r="AF40" s="27"/>
      <x:c r="AG40" s="27"/>
      <x:c r="AH40" s="27"/>
      <x:c r="AI40" s="27"/>
      <x:c r="AJ40" s="27"/>
      <x:c r="AK40" s="27"/>
      <x:c r="AL40" s="27"/>
      <x:c r="AM40" s="27"/>
      <x:c r="AN40" s="27"/>
      <x:c r="AO40" s="27"/>
      <x:c r="AP40" s="27"/>
      <x:c r="AQ40" s="27"/>
      <x:c r="AR40" s="27"/>
      <x:c r="AS40" s="27"/>
      <x:c r="AT40" s="27"/>
      <x:c r="AU40" s="27"/>
      <x:c r="AV40" s="27"/>
      <x:c r="AW40" s="27"/>
      <x:c r="AX40" s="27"/>
      <x:c r="AY40" s="27"/>
      <x:c r="AZ40" s="27"/>
      <x:c r="BA40" s="27"/>
      <x:c r="BB40" s="27"/>
      <x:c r="BC40" s="27"/>
      <x:c r="BD40" s="27"/>
      <x:c r="BE40" s="27"/>
      <x:c r="BF40" s="27"/>
      <x:c r="BG40" s="27"/>
      <x:c r="BH40" s="27"/>
      <x:c r="BI40" s="27"/>
      <x:c r="BJ40" s="27"/>
      <x:c r="BK40" s="27"/>
      <x:c r="BL40" s="27"/>
      <x:c r="BM40" s="27"/>
      <x:c r="BN40" s="27"/>
      <x:c r="BO40" s="27"/>
      <x:c r="BP40" s="27"/>
      <x:c r="BQ40" s="27"/>
      <x:c r="BR40" s="27"/>
      <x:c r="BS40" s="27"/>
      <x:c r="BT40" s="27"/>
      <x:c r="BU40" s="27"/>
      <x:c r="BV40" s="27"/>
      <x:c r="BW40" s="27"/>
      <x:c r="BX40" s="27"/>
      <x:c r="BY40" s="27"/>
      <x:c r="BZ40" s="27"/>
      <x:c r="CA40" s="27"/>
      <x:c r="CB40" s="27"/>
      <x:c r="CC40" s="27"/>
      <x:c r="CD40" s="27"/>
      <x:c r="CE40" s="27"/>
      <x:c r="CF40" s="27"/>
      <x:c r="CG40" s="27"/>
      <x:c r="CH40" s="27"/>
      <x:c r="CI40" s="27"/>
      <x:c r="CJ40" s="27"/>
      <x:c r="CK40" s="27"/>
      <x:c r="CL40" s="27"/>
      <x:c r="CM40" s="27"/>
      <x:c r="CN40" s="27"/>
      <x:c r="CO40" s="27"/>
      <x:c r="CP40" s="27"/>
      <x:c r="CQ40" s="27"/>
      <x:c r="CR40" s="27"/>
      <x:c r="CS40" s="27"/>
      <x:c r="CT40" s="27"/>
      <x:c r="CU40" s="27"/>
      <x:c r="CV40" s="27"/>
      <x:c r="CW40" s="27"/>
      <x:c r="CX40" s="27"/>
      <x:c r="CY40" s="27"/>
      <x:c r="CZ40" s="27"/>
      <x:c r="DA40" s="27"/>
      <x:c r="DB40" s="27"/>
      <x:c r="DC40" s="27"/>
      <x:c r="DD40" s="27"/>
      <x:c r="DE40" s="27"/>
      <x:c r="DF40" s="27"/>
      <x:c r="DG40" s="27"/>
      <x:c r="DH40" s="27"/>
      <x:c r="DI40" s="27"/>
      <x:c r="DJ40" s="27"/>
      <x:c r="DK40" s="27"/>
      <x:c r="DL40" s="27"/>
      <x:c r="DM40" s="27"/>
      <x:c r="DN40" s="27"/>
      <x:c r="DO40" s="27"/>
      <x:c r="DP40" s="27"/>
      <x:c r="DQ40" s="27"/>
      <x:c r="DR40" s="27"/>
      <x:c r="DS40" s="27"/>
      <x:c r="DT40" s="27"/>
      <x:c r="DU40" s="27"/>
      <x:c r="DV40" s="27"/>
      <x:c r="DW40" s="27"/>
      <x:c r="DX40" s="27"/>
      <x:c r="DY40" s="27"/>
      <x:c r="DZ40" s="27"/>
      <x:c r="EA40" s="27"/>
      <x:c r="EB40" s="27"/>
      <x:c r="EC40" s="27"/>
      <x:c r="ED40" s="27"/>
      <x:c r="EE40" s="27"/>
      <x:c r="EF40" s="27"/>
      <x:c r="EG40" s="27"/>
      <x:c r="EH40" s="27"/>
      <x:c r="EI40" s="27"/>
      <x:c r="EJ40" s="27"/>
      <x:c r="EK40" s="27"/>
      <x:c r="EL40" s="27"/>
      <x:c r="EM40" s="27"/>
      <x:c r="EN40" s="27"/>
      <x:c r="EO40" s="27"/>
      <x:c r="EP40" s="27"/>
      <x:c r="EQ40" s="27"/>
      <x:c r="ER40" s="27"/>
      <x:c r="ES40" s="27"/>
      <x:c r="ET40" s="27"/>
      <x:c r="EU40" s="27"/>
      <x:c r="EV40" s="27"/>
      <x:c r="EW40" s="27"/>
      <x:c r="EX40" s="27"/>
      <x:c r="EY40" s="27"/>
      <x:c r="EZ40" s="27"/>
      <x:c r="FA40" s="27"/>
      <x:c r="FB40" s="27"/>
      <x:c r="FC40" s="27"/>
      <x:c r="FD40" s="27"/>
      <x:c r="FE40" s="27"/>
      <x:c r="FF40" s="27"/>
      <x:c r="FG40" s="27"/>
      <x:c r="FH40" s="27"/>
      <x:c r="FI40" s="27"/>
      <x:c r="FJ40" s="27"/>
      <x:c r="FK40" s="27"/>
      <x:c r="FL40" s="27"/>
      <x:c r="FM40" s="27"/>
      <x:c r="FN40" s="27"/>
      <x:c r="FO40" s="27"/>
      <x:c r="FP40" s="27"/>
      <x:c r="FQ40" s="27"/>
      <x:c r="FR40" s="27"/>
      <x:c r="FS40" s="27"/>
      <x:c r="FT40" s="27"/>
      <x:c r="FU40" s="27"/>
      <x:c r="FV40" s="27"/>
      <x:c r="FW40" s="27"/>
      <x:c r="FX40" s="27"/>
      <x:c r="FY40" s="27"/>
      <x:c r="FZ40" s="27"/>
      <x:c r="GA40" s="27"/>
      <x:c r="GB40" s="27"/>
      <x:c r="GC40" s="27"/>
      <x:c r="GD40" s="27"/>
      <x:c r="GE40" s="27"/>
      <x:c r="GF40" s="27"/>
      <x:c r="GG40" s="27"/>
      <x:c r="GH40" s="27"/>
      <x:c r="GI40" s="27"/>
      <x:c r="GJ40" s="27"/>
      <x:c r="GK40" s="27"/>
      <x:c r="GL40" s="27"/>
      <x:c r="GM40" s="27"/>
      <x:c r="GN40" s="27"/>
      <x:c r="GO40" s="27"/>
      <x:c r="GP40" s="27"/>
      <x:c r="GQ40" s="27"/>
      <x:c r="GR40" s="27"/>
      <x:c r="GS40" s="27"/>
      <x:c r="GT40" s="27"/>
      <x:c r="GU40" s="27"/>
      <x:c r="GV40" s="27"/>
      <x:c r="GW40" s="27"/>
      <x:c r="GX40" s="27"/>
      <x:c r="GY40" s="27"/>
      <x:c r="GZ40" s="27"/>
      <x:c r="HA40" s="27"/>
      <x:c r="HB40" s="27"/>
      <x:c r="HC40" s="27"/>
      <x:c r="HD40" s="27"/>
      <x:c r="HE40" s="27"/>
      <x:c r="HF40" s="27"/>
      <x:c r="HG40" s="27"/>
      <x:c r="HH40" s="27"/>
      <x:c r="HI40" s="27"/>
      <x:c r="HJ40" s="27"/>
      <x:c r="HK40" s="27"/>
      <x:c r="HL40" s="27"/>
      <x:c r="HM40" s="27"/>
      <x:c r="HN40" s="27"/>
      <x:c r="HO40" s="27"/>
      <x:c r="HP40" s="27" t="str">
        <x:f>IF(C40="","",SUM(H40,N40,T40,Z40,AF40,AL40,AR40,AX40,BD40,BJ40,BP40,BV40,CB40,CH40,CN40,CT40,CZ40,DF40,DL40,DR40,DX40,ED40,EJ40,EP40,EV40,FB40,FH40,FN40,FT40,FZ40,GF40,GL40,GR40,GX40,HD40,HJ40))</x:f>
      </x:c>
      <x:c r="HQ40" s="27" t="str">
        <x:f>IF(C40="","",SUM(I40,O40,U40,AA40,AG40,AM40,AS40,AY40,BE40,BK40,BQ40,BW40,CC40,CI40,CO40,CU40,DA40,DG40,DM40,DS40,DY40,EE40,EK40,EQ40,EW40,FC40,FI40,FO40,FU40,GA40,GG40,GM40,GS40,GY40,HE40,HK40))</x:f>
      </x:c>
      <x:c r="HR40" s="27" t="str">
        <x:f>IF(C40="","",SUM(J40,P40,V40,AB40,AH40,AN40,AT40,AZ40,BF40,BL40,BR40,BX40,CD40,CJ40,CP40,CV40,DB40,DH40,DN40,DT40,DZ40,EF40,EL40,ER40,EX40,FD40,FJ40,FP40,FV40,GB40,GH40,GN40,GT40,GZ40,HF40,HL40))</x:f>
      </x:c>
      <x:c r="HS40" s="27" t="str">
        <x:f>IF(C40="","",SUM(K40,Q40,W40,AC40,AI40,AO40,AU40,BA40,BG40,BM40,BS40,BY40,CE40,CK40,CQ40,CW40,DC40,DI40,DO40,DU40,EA40,EG40,EM40,ES40,EY40,FE40,FK40,FQ40,FW40,GC40,GI40,GO40,GU40,HA40,HG40,HM40))</x:f>
      </x:c>
      <x:c r="HT40" s="27" t="str">
        <x:f>IF(C40="","",SUM(L40,R40,X40,AD40,AJ40,AP40,AV40,BB40,BH40,BN40,BT40,BZ40,CF40,CL40,CR40,CX40,DD40,DJ40,DP40,DV40,EB40,EH40,EN40,ET40,EZ40,FF40,FL40,FR40,FX40,GD40,GJ40,GP40,GV40,HB40,HH40,HN40))</x:f>
      </x:c>
      <x:c r="HU40" s="27" t="str">
        <x:f>IF(C40="","",SUM(M40,S40,Y40,AE40,AK40,AQ40,AW40,BC40,BI40,BO40,BU40,CA40,CG40,CM40,CS40,CY40,DE40,DK40,DQ40,DW40,EC40,EI40,EO40,EU40,FA40,FG40,FM40,FS40,FY40,GE40,GK40,GQ40,GW40,HC40,HI40,HO40))</x:f>
      </x:c>
      <x:c r="HV40" s="27" t="str">
        <x:f>IF(C40="","",IF(JI40=LARGE(JI40:JN40,1),"R",IF(JJ40=LARGE(JI40:JN40,1),"I",IF(JK40=LARGE(JI40:JN40,1),"A",IF(JL40=LARGE(JI40:JN40,1),"S",IF(JM40=LARGE(JI40:JN40,1),"E",IF(JN40=LARGE(JI40:JN40,1),"C",""))))))&amp;IF(JI40=LARGE(JI40:JN40,2),"R",IF(JJ40=LARGE(JI40:JN40,2),"I",IF(JK40=LARGE(JI40:JN40,2),"A",IF(JL40=LARGE(JI40:JN40,2),"S",IF(JM40=LARGE(JI40:JN40,2),"E",IF(JN40=LARGE(JI40:JN40,2),"C",""))))))&amp;IF(JI40=LARGE(JI40:JN40,3),"R",IF(JJ40=LARGE(JI40:JN40,3),"I",IF(JK40=LARGE(JI40:JN40,3),"A",IF(JL40=LARGE(JI40:JN40,3),"S",IF(JM40=LARGE(JI40:JN40,3),"E",IF(JN40=LARGE(JI40:JN40,3),"C","")))))))</x:f>
      </x:c>
      <x:c r="HW40" s="27" t="str">
        <x:f>IF(C40="","",IF(JI40=LARGE(JI40:JN40,1),"นักปฏิบัติ",IF(JJ40=LARGE(JI40:JN40,1),"นักคิดวิเคราะห์",IF(JK40=LARGE(JI40:JN40,1),"นักสร้างสรรค์",IF(JL40=LARGE(JI40:JN40,1),"ผู้เข้าใจผู้คน",IF(JM40=LARGE(JI40:JN40,1),"ผู้นำการเปลี่ยนแปลง",IF(JN40=LARGE(JI40:JN40,1),"ผู้จัดระบบ","ผู้จัดระบบ")))))))</x:f>
      </x:c>
      <x:c r="HX40" s="27"/>
      <x:c r="HY40" s="27"/>
      <x:c r="HZ40" s="27"/>
      <x:c r="IA40" s="27"/>
      <x:c r="IB40" s="27"/>
      <x:c r="IC40" s="27"/>
      <x:c r="ID40" s="27"/>
      <x:c r="IE40" s="27"/>
      <x:c r="IF40" s="27"/>
      <x:c r="IG40" s="27"/>
      <x:c r="IH40" s="27"/>
      <x:c r="II40" s="27"/>
      <x:c r="IJ40" s="27"/>
      <x:c r="IK40" s="27" t="str">
        <x:f>IF(C40="","",SUM(H40,N40,T40,Z40,AF40,AL40,AR40,AX40,BD40,BJ40,BP40))</x:f>
      </x:c>
      <x:c r="IL40" s="27" t="str">
        <x:f>IF(C40="","",SUM(I40,O40,U40,AA40,AG40,AM40,AS40,AY40,BE40,BK40,BQ40))</x:f>
      </x:c>
      <x:c r="IM40" s="27" t="str">
        <x:f>IF(C40="","",SUM(J40,P40,V40,AB40,AH40,AN40,AT40,AZ40,BF40,BL40,BR40))</x:f>
      </x:c>
      <x:c r="IN40" s="27" t="str">
        <x:f>IF(C40="","",SUM(K40,Q40,W40,AC40,AI40,AO40,AU40,BA40,BG40,BM40,BS40))</x:f>
      </x:c>
      <x:c r="IO40" s="27" t="str">
        <x:f>IF(C40="","",SUM(L40,R40,X40,AD40,AJ40,AP40,AV40,BB40,BH40,BN40,BT40))</x:f>
      </x:c>
      <x:c r="IP40" s="27" t="str">
        <x:f>IF(C40="","",SUM(M40,S40,Y40,AE40,AK40,AQ40,AW40,BC40,BI40,BO40,BU40))</x:f>
      </x:c>
      <x:c r="IQ40" s="27" t="str">
        <x:f>IF(C40="","",SUM(BV40,CB40,CH40,CN40,CT40,CZ40,DF40,DL40,DR40,DX40,ED40))</x:f>
      </x:c>
      <x:c r="IR40" s="27" t="str">
        <x:f>IF(C40="","",SUM(BW40,CC40,CI40,CO40,CU40,DA40,DG40,DM40,DS40,DY40,EE40))</x:f>
      </x:c>
      <x:c r="IS40" s="27" t="str">
        <x:f>IF(C40="","",SUM(BX40,CD40,CJ40,CP40,CV40,DB40,DH40,DN40,DT40,DZ40,EF40))</x:f>
      </x:c>
      <x:c r="IT40" s="27" t="str">
        <x:f>IF(C40="","",SUM(BY40,CE40,CK40,CQ40,CW40,DC40,DI40,DO40,DU40,EA40,EG40))</x:f>
      </x:c>
      <x:c r="IU40" s="27" t="str">
        <x:f>IF(C40="","",SUM(BZ40,CF40,CL40,CR40,CX40,DD40,DJ40,DP40,DV40,EB40,EH40))</x:f>
      </x:c>
      <x:c r="IV40" s="27" t="str">
        <x:f>IF(C40="","",SUM(CA40,CG40,CM40,CS40,CY40,DE40,DK40,DQ40,DW40,EC40,EI40))</x:f>
      </x:c>
      <x:c r="IW40" s="27" t="str">
        <x:f>IF(C40="","",SUM(EJ40,EP40,EV40,FB40,FH40,FN40,FT40,FZ40,GF40,GL40,GR40,GX40,HD40,HJ40))</x:f>
      </x:c>
      <x:c r="IX40" s="27" t="str">
        <x:f>IF(C40="","",SUM(EK40,EQ40,EW40,FC40,FI40,FO40,FU40,GA40,GG40,GM40,GS40,GY40,HE40,HK40))</x:f>
      </x:c>
      <x:c r="IY40" s="27" t="str">
        <x:f>IF(C40="","",SUM(EL40,ER40,EX40,FD40,FJ40,FP40,FV40,GB40,GH40,GN40,GT40,GZ40,HF40,HL40))</x:f>
      </x:c>
      <x:c r="IZ40" s="27" t="str">
        <x:f>IF(C40="","",SUM(EM40,ES40,EY40,FE40,FK40,FQ40,FW40,GC40,GI40,GO40,GU40,HA40,HG40,HM40))</x:f>
      </x:c>
      <x:c r="JA40" s="27" t="str">
        <x:f>IF(C40="","",SUM(EN40,ET40,EZ40,FF40,FL40,FR40,FX40,GD40,GJ40,GP40,GV40,HB40,HH40,HN40))</x:f>
      </x:c>
      <x:c r="JB40" s="27" t="str">
        <x:f>IF(C40="","",SUM(EO40,EU40,FA40,FG40,FM40,FS40,FY40,GE40,GK40,GQ40,GW40,HC40,HI40,HO40))</x:f>
      </x:c>
      <x:c r="JC40" s="27" t="str">
        <x:f>IF(C40="","",0)</x:f>
      </x:c>
      <x:c r="JD40" s="27" t="str">
        <x:f>IF(C40="","",0)</x:f>
      </x:c>
      <x:c r="JE40" s="27" t="str">
        <x:f>IF(C40="","",0)</x:f>
      </x:c>
      <x:c r="JF40" s="27" t="str">
        <x:f>IF(C40="","",0)</x:f>
      </x:c>
      <x:c r="JG40" s="27" t="str">
        <x:f>IF(C40="","",0)</x:f>
      </x:c>
      <x:c r="JH40" s="27" t="str">
        <x:f>IF(C40="","",0)</x:f>
      </x:c>
      <x:c r="JI40" s="27" t="str">
        <x:f>IF(C40="","",HP40*1000000000+IW40*1000000+IQ40*10000+IK40*100+JC40+6/1000)</x:f>
      </x:c>
      <x:c r="JJ40" s="27" t="str">
        <x:f>IF(C40="","",HQ40*1000000000+IX40*1000000+IR40*10000+IL40*100+JD40+5/1000)</x:f>
      </x:c>
      <x:c r="JK40" s="27" t="str">
        <x:f>IF(C40="","",HR40*1000000000+IY40*1000000+IS40*10000+IM40*100+JE40+4/1000)</x:f>
      </x:c>
      <x:c r="JL40" s="27" t="str">
        <x:f>IF(C40="","",HS40*1000000000+IZ40*1000000+IT40*10000+IN40*100+JF40+3/1000)</x:f>
      </x:c>
      <x:c r="JM40" s="27" t="str">
        <x:f>IF(C40="","",HT40*1000000000+JA40*1000000+IU40*10000+IO40*100+JG40+2/1000)</x:f>
      </x:c>
      <x:c r="JN40" s="27" t="str">
        <x:f>IF(C40="","",HU40*1000000000+JB40*1000000+IV40*10000+IP40*100+JH40+1/1000)</x:f>
      </x:c>
    </x:row>
    <x:row r="41">
      <x:c r="A41" s="27"/>
      <x:c r="B41" s="28"/>
      <x:c r="C41" s="27"/>
      <x:c r="D41" s="27"/>
      <x:c r="E41" s="27"/>
      <x:c r="F41" s="27"/>
      <x:c r="G41" s="27"/>
      <x:c r="H41" s="27"/>
      <x:c r="I41" s="27"/>
      <x:c r="J41" s="27"/>
      <x:c r="K41" s="27"/>
      <x:c r="L41" s="27"/>
      <x:c r="M41" s="27"/>
      <x:c r="N41" s="27"/>
      <x:c r="O41" s="27"/>
      <x:c r="P41" s="27"/>
      <x:c r="Q41" s="27"/>
      <x:c r="R41" s="27"/>
      <x:c r="S41" s="27"/>
      <x:c r="T41" s="27"/>
      <x:c r="U41" s="27"/>
      <x:c r="V41" s="27"/>
      <x:c r="W41" s="27"/>
      <x:c r="X41" s="27"/>
      <x:c r="Y41" s="27"/>
      <x:c r="Z41" s="27"/>
      <x:c r="AA41" s="27"/>
      <x:c r="AB41" s="27"/>
      <x:c r="AC41" s="27"/>
      <x:c r="AD41" s="27"/>
      <x:c r="AE41" s="27"/>
      <x:c r="AF41" s="27"/>
      <x:c r="AG41" s="27"/>
      <x:c r="AH41" s="27"/>
      <x:c r="AI41" s="27"/>
      <x:c r="AJ41" s="27"/>
      <x:c r="AK41" s="27"/>
      <x:c r="AL41" s="27"/>
      <x:c r="AM41" s="27"/>
      <x:c r="AN41" s="27"/>
      <x:c r="AO41" s="27"/>
      <x:c r="AP41" s="27"/>
      <x:c r="AQ41" s="27"/>
      <x:c r="AR41" s="27"/>
      <x:c r="AS41" s="27"/>
      <x:c r="AT41" s="27"/>
      <x:c r="AU41" s="27"/>
      <x:c r="AV41" s="27"/>
      <x:c r="AW41" s="27"/>
      <x:c r="AX41" s="27"/>
      <x:c r="AY41" s="27"/>
      <x:c r="AZ41" s="27"/>
      <x:c r="BA41" s="27"/>
      <x:c r="BB41" s="27"/>
      <x:c r="BC41" s="27"/>
      <x:c r="BD41" s="27"/>
      <x:c r="BE41" s="27"/>
      <x:c r="BF41" s="27"/>
      <x:c r="BG41" s="27"/>
      <x:c r="BH41" s="27"/>
      <x:c r="BI41" s="27"/>
      <x:c r="BJ41" s="27"/>
      <x:c r="BK41" s="27"/>
      <x:c r="BL41" s="27"/>
      <x:c r="BM41" s="27"/>
      <x:c r="BN41" s="27"/>
      <x:c r="BO41" s="27"/>
      <x:c r="BP41" s="27"/>
      <x:c r="BQ41" s="27"/>
      <x:c r="BR41" s="27"/>
      <x:c r="BS41" s="27"/>
      <x:c r="BT41" s="27"/>
      <x:c r="BU41" s="27"/>
      <x:c r="BV41" s="27"/>
      <x:c r="BW41" s="27"/>
      <x:c r="BX41" s="27"/>
      <x:c r="BY41" s="27"/>
      <x:c r="BZ41" s="27"/>
      <x:c r="CA41" s="27"/>
      <x:c r="CB41" s="27"/>
      <x:c r="CC41" s="27"/>
      <x:c r="CD41" s="27"/>
      <x:c r="CE41" s="27"/>
      <x:c r="CF41" s="27"/>
      <x:c r="CG41" s="27"/>
      <x:c r="CH41" s="27"/>
      <x:c r="CI41" s="27"/>
      <x:c r="CJ41" s="27"/>
      <x:c r="CK41" s="27"/>
      <x:c r="CL41" s="27"/>
      <x:c r="CM41" s="27"/>
      <x:c r="CN41" s="27"/>
      <x:c r="CO41" s="27"/>
      <x:c r="CP41" s="27"/>
      <x:c r="CQ41" s="27"/>
      <x:c r="CR41" s="27"/>
      <x:c r="CS41" s="27"/>
      <x:c r="CT41" s="27"/>
      <x:c r="CU41" s="27"/>
      <x:c r="CV41" s="27"/>
      <x:c r="CW41" s="27"/>
      <x:c r="CX41" s="27"/>
      <x:c r="CY41" s="27"/>
      <x:c r="CZ41" s="27"/>
      <x:c r="DA41" s="27"/>
      <x:c r="DB41" s="27"/>
      <x:c r="DC41" s="27"/>
      <x:c r="DD41" s="27"/>
      <x:c r="DE41" s="27"/>
      <x:c r="DF41" s="27"/>
      <x:c r="DG41" s="27"/>
      <x:c r="DH41" s="27"/>
      <x:c r="DI41" s="27"/>
      <x:c r="DJ41" s="27"/>
      <x:c r="DK41" s="27"/>
      <x:c r="DL41" s="27"/>
      <x:c r="DM41" s="27"/>
      <x:c r="DN41" s="27"/>
      <x:c r="DO41" s="27"/>
      <x:c r="DP41" s="27"/>
      <x:c r="DQ41" s="27"/>
      <x:c r="DR41" s="27"/>
      <x:c r="DS41" s="27"/>
      <x:c r="DT41" s="27"/>
      <x:c r="DU41" s="27"/>
      <x:c r="DV41" s="27"/>
      <x:c r="DW41" s="27"/>
      <x:c r="DX41" s="27"/>
      <x:c r="DY41" s="27"/>
      <x:c r="DZ41" s="27"/>
      <x:c r="EA41" s="27"/>
      <x:c r="EB41" s="27"/>
      <x:c r="EC41" s="27"/>
      <x:c r="ED41" s="27"/>
      <x:c r="EE41" s="27"/>
      <x:c r="EF41" s="27"/>
      <x:c r="EG41" s="27"/>
      <x:c r="EH41" s="27"/>
      <x:c r="EI41" s="27"/>
      <x:c r="EJ41" s="27"/>
      <x:c r="EK41" s="27"/>
      <x:c r="EL41" s="27"/>
      <x:c r="EM41" s="27"/>
      <x:c r="EN41" s="27"/>
      <x:c r="EO41" s="27"/>
      <x:c r="EP41" s="27"/>
      <x:c r="EQ41" s="27"/>
      <x:c r="ER41" s="27"/>
      <x:c r="ES41" s="27"/>
      <x:c r="ET41" s="27"/>
      <x:c r="EU41" s="27"/>
      <x:c r="EV41" s="27"/>
      <x:c r="EW41" s="27"/>
      <x:c r="EX41" s="27"/>
      <x:c r="EY41" s="27"/>
      <x:c r="EZ41" s="27"/>
      <x:c r="FA41" s="27"/>
      <x:c r="FB41" s="27"/>
      <x:c r="FC41" s="27"/>
      <x:c r="FD41" s="27"/>
      <x:c r="FE41" s="27"/>
      <x:c r="FF41" s="27"/>
      <x:c r="FG41" s="27"/>
      <x:c r="FH41" s="27"/>
      <x:c r="FI41" s="27"/>
      <x:c r="FJ41" s="27"/>
      <x:c r="FK41" s="27"/>
      <x:c r="FL41" s="27"/>
      <x:c r="FM41" s="27"/>
      <x:c r="FN41" s="27"/>
      <x:c r="FO41" s="27"/>
      <x:c r="FP41" s="27"/>
      <x:c r="FQ41" s="27"/>
      <x:c r="FR41" s="27"/>
      <x:c r="FS41" s="27"/>
      <x:c r="FT41" s="27"/>
      <x:c r="FU41" s="27"/>
      <x:c r="FV41" s="27"/>
      <x:c r="FW41" s="27"/>
      <x:c r="FX41" s="27"/>
      <x:c r="FY41" s="27"/>
      <x:c r="FZ41" s="27"/>
      <x:c r="GA41" s="27"/>
      <x:c r="GB41" s="27"/>
      <x:c r="GC41" s="27"/>
      <x:c r="GD41" s="27"/>
      <x:c r="GE41" s="27"/>
      <x:c r="GF41" s="27"/>
      <x:c r="GG41" s="27"/>
      <x:c r="GH41" s="27"/>
      <x:c r="GI41" s="27"/>
      <x:c r="GJ41" s="27"/>
      <x:c r="GK41" s="27"/>
      <x:c r="GL41" s="27"/>
      <x:c r="GM41" s="27"/>
      <x:c r="GN41" s="27"/>
      <x:c r="GO41" s="27"/>
      <x:c r="GP41" s="27"/>
      <x:c r="GQ41" s="27"/>
      <x:c r="GR41" s="27"/>
      <x:c r="GS41" s="27"/>
      <x:c r="GT41" s="27"/>
      <x:c r="GU41" s="27"/>
      <x:c r="GV41" s="27"/>
      <x:c r="GW41" s="27"/>
      <x:c r="GX41" s="27"/>
      <x:c r="GY41" s="27"/>
      <x:c r="GZ41" s="27"/>
      <x:c r="HA41" s="27"/>
      <x:c r="HB41" s="27"/>
      <x:c r="HC41" s="27"/>
      <x:c r="HD41" s="27"/>
      <x:c r="HE41" s="27"/>
      <x:c r="HF41" s="27"/>
      <x:c r="HG41" s="27"/>
      <x:c r="HH41" s="27"/>
      <x:c r="HI41" s="27"/>
      <x:c r="HJ41" s="27"/>
      <x:c r="HK41" s="27"/>
      <x:c r="HL41" s="27"/>
      <x:c r="HM41" s="27"/>
      <x:c r="HN41" s="27"/>
      <x:c r="HO41" s="27"/>
      <x:c r="HP41" s="27" t="str">
        <x:f>IF(C41="","",SUM(H41,N41,T41,Z41,AF41,AL41,AR41,AX41,BD41,BJ41,BP41,BV41,CB41,CH41,CN41,CT41,CZ41,DF41,DL41,DR41,DX41,ED41,EJ41,EP41,EV41,FB41,FH41,FN41,FT41,FZ41,GF41,GL41,GR41,GX41,HD41,HJ41))</x:f>
      </x:c>
      <x:c r="HQ41" s="27" t="str">
        <x:f>IF(C41="","",SUM(I41,O41,U41,AA41,AG41,AM41,AS41,AY41,BE41,BK41,BQ41,BW41,CC41,CI41,CO41,CU41,DA41,DG41,DM41,DS41,DY41,EE41,EK41,EQ41,EW41,FC41,FI41,FO41,FU41,GA41,GG41,GM41,GS41,GY41,HE41,HK41))</x:f>
      </x:c>
      <x:c r="HR41" s="27" t="str">
        <x:f>IF(C41="","",SUM(J41,P41,V41,AB41,AH41,AN41,AT41,AZ41,BF41,BL41,BR41,BX41,CD41,CJ41,CP41,CV41,DB41,DH41,DN41,DT41,DZ41,EF41,EL41,ER41,EX41,FD41,FJ41,FP41,FV41,GB41,GH41,GN41,GT41,GZ41,HF41,HL41))</x:f>
      </x:c>
      <x:c r="HS41" s="27" t="str">
        <x:f>IF(C41="","",SUM(K41,Q41,W41,AC41,AI41,AO41,AU41,BA41,BG41,BM41,BS41,BY41,CE41,CK41,CQ41,CW41,DC41,DI41,DO41,DU41,EA41,EG41,EM41,ES41,EY41,FE41,FK41,FQ41,FW41,GC41,GI41,GO41,GU41,HA41,HG41,HM41))</x:f>
      </x:c>
      <x:c r="HT41" s="27" t="str">
        <x:f>IF(C41="","",SUM(L41,R41,X41,AD41,AJ41,AP41,AV41,BB41,BH41,BN41,BT41,BZ41,CF41,CL41,CR41,CX41,DD41,DJ41,DP41,DV41,EB41,EH41,EN41,ET41,EZ41,FF41,FL41,FR41,FX41,GD41,GJ41,GP41,GV41,HB41,HH41,HN41))</x:f>
      </x:c>
      <x:c r="HU41" s="27" t="str">
        <x:f>IF(C41="","",SUM(M41,S41,Y41,AE41,AK41,AQ41,AW41,BC41,BI41,BO41,BU41,CA41,CG41,CM41,CS41,CY41,DE41,DK41,DQ41,DW41,EC41,EI41,EO41,EU41,FA41,FG41,FM41,FS41,FY41,GE41,GK41,GQ41,GW41,HC41,HI41,HO41))</x:f>
      </x:c>
      <x:c r="HV41" s="27" t="str">
        <x:f>IF(C41="","",IF(JI41=LARGE(JI41:JN41,1),"R",IF(JJ41=LARGE(JI41:JN41,1),"I",IF(JK41=LARGE(JI41:JN41,1),"A",IF(JL41=LARGE(JI41:JN41,1),"S",IF(JM41=LARGE(JI41:JN41,1),"E",IF(JN41=LARGE(JI41:JN41,1),"C",""))))))&amp;IF(JI41=LARGE(JI41:JN41,2),"R",IF(JJ41=LARGE(JI41:JN41,2),"I",IF(JK41=LARGE(JI41:JN41,2),"A",IF(JL41=LARGE(JI41:JN41,2),"S",IF(JM41=LARGE(JI41:JN41,2),"E",IF(JN41=LARGE(JI41:JN41,2),"C",""))))))&amp;IF(JI41=LARGE(JI41:JN41,3),"R",IF(JJ41=LARGE(JI41:JN41,3),"I",IF(JK41=LARGE(JI41:JN41,3),"A",IF(JL41=LARGE(JI41:JN41,3),"S",IF(JM41=LARGE(JI41:JN41,3),"E",IF(JN41=LARGE(JI41:JN41,3),"C","")))))))</x:f>
      </x:c>
      <x:c r="HW41" s="27" t="str">
        <x:f>IF(C41="","",IF(JI41=LARGE(JI41:JN41,1),"นักปฏิบัติ",IF(JJ41=LARGE(JI41:JN41,1),"นักคิดวิเคราะห์",IF(JK41=LARGE(JI41:JN41,1),"นักสร้างสรรค์",IF(JL41=LARGE(JI41:JN41,1),"ผู้เข้าใจผู้คน",IF(JM41=LARGE(JI41:JN41,1),"ผู้นำการเปลี่ยนแปลง",IF(JN41=LARGE(JI41:JN41,1),"ผู้จัดระบบ","ผู้จัดระบบ")))))))</x:f>
      </x:c>
      <x:c r="HX41" s="27"/>
      <x:c r="HY41" s="27"/>
      <x:c r="HZ41" s="27"/>
      <x:c r="IA41" s="27"/>
      <x:c r="IB41" s="27"/>
      <x:c r="IC41" s="27"/>
      <x:c r="ID41" s="27"/>
      <x:c r="IE41" s="27"/>
      <x:c r="IF41" s="27"/>
      <x:c r="IG41" s="27"/>
      <x:c r="IH41" s="27"/>
      <x:c r="II41" s="27"/>
      <x:c r="IJ41" s="27"/>
      <x:c r="IK41" s="27" t="str">
        <x:f>IF(C41="","",SUM(H41,N41,T41,Z41,AF41,AL41,AR41,AX41,BD41,BJ41,BP41))</x:f>
      </x:c>
      <x:c r="IL41" s="27" t="str">
        <x:f>IF(C41="","",SUM(I41,O41,U41,AA41,AG41,AM41,AS41,AY41,BE41,BK41,BQ41))</x:f>
      </x:c>
      <x:c r="IM41" s="27" t="str">
        <x:f>IF(C41="","",SUM(J41,P41,V41,AB41,AH41,AN41,AT41,AZ41,BF41,BL41,BR41))</x:f>
      </x:c>
      <x:c r="IN41" s="27" t="str">
        <x:f>IF(C41="","",SUM(K41,Q41,W41,AC41,AI41,AO41,AU41,BA41,BG41,BM41,BS41))</x:f>
      </x:c>
      <x:c r="IO41" s="27" t="str">
        <x:f>IF(C41="","",SUM(L41,R41,X41,AD41,AJ41,AP41,AV41,BB41,BH41,BN41,BT41))</x:f>
      </x:c>
      <x:c r="IP41" s="27" t="str">
        <x:f>IF(C41="","",SUM(M41,S41,Y41,AE41,AK41,AQ41,AW41,BC41,BI41,BO41,BU41))</x:f>
      </x:c>
      <x:c r="IQ41" s="27" t="str">
        <x:f>IF(C41="","",SUM(BV41,CB41,CH41,CN41,CT41,CZ41,DF41,DL41,DR41,DX41,ED41))</x:f>
      </x:c>
      <x:c r="IR41" s="27" t="str">
        <x:f>IF(C41="","",SUM(BW41,CC41,CI41,CO41,CU41,DA41,DG41,DM41,DS41,DY41,EE41))</x:f>
      </x:c>
      <x:c r="IS41" s="27" t="str">
        <x:f>IF(C41="","",SUM(BX41,CD41,CJ41,CP41,CV41,DB41,DH41,DN41,DT41,DZ41,EF41))</x:f>
      </x:c>
      <x:c r="IT41" s="27" t="str">
        <x:f>IF(C41="","",SUM(BY41,CE41,CK41,CQ41,CW41,DC41,DI41,DO41,DU41,EA41,EG41))</x:f>
      </x:c>
      <x:c r="IU41" s="27" t="str">
        <x:f>IF(C41="","",SUM(BZ41,CF41,CL41,CR41,CX41,DD41,DJ41,DP41,DV41,EB41,EH41))</x:f>
      </x:c>
      <x:c r="IV41" s="27" t="str">
        <x:f>IF(C41="","",SUM(CA41,CG41,CM41,CS41,CY41,DE41,DK41,DQ41,DW41,EC41,EI41))</x:f>
      </x:c>
      <x:c r="IW41" s="27" t="str">
        <x:f>IF(C41="","",SUM(EJ41,EP41,EV41,FB41,FH41,FN41,FT41,FZ41,GF41,GL41,GR41,GX41,HD41,HJ41))</x:f>
      </x:c>
      <x:c r="IX41" s="27" t="str">
        <x:f>IF(C41="","",SUM(EK41,EQ41,EW41,FC41,FI41,FO41,FU41,GA41,GG41,GM41,GS41,GY41,HE41,HK41))</x:f>
      </x:c>
      <x:c r="IY41" s="27" t="str">
        <x:f>IF(C41="","",SUM(EL41,ER41,EX41,FD41,FJ41,FP41,FV41,GB41,GH41,GN41,GT41,GZ41,HF41,HL41))</x:f>
      </x:c>
      <x:c r="IZ41" s="27" t="str">
        <x:f>IF(C41="","",SUM(EM41,ES41,EY41,FE41,FK41,FQ41,FW41,GC41,GI41,GO41,GU41,HA41,HG41,HM41))</x:f>
      </x:c>
      <x:c r="JA41" s="27" t="str">
        <x:f>IF(C41="","",SUM(EN41,ET41,EZ41,FF41,FL41,FR41,FX41,GD41,GJ41,GP41,GV41,HB41,HH41,HN41))</x:f>
      </x:c>
      <x:c r="JB41" s="27" t="str">
        <x:f>IF(C41="","",SUM(EO41,EU41,FA41,FG41,FM41,FS41,FY41,GE41,GK41,GQ41,GW41,HC41,HI41,HO41))</x:f>
      </x:c>
      <x:c r="JC41" s="27" t="str">
        <x:f>IF(C41="","",0)</x:f>
      </x:c>
      <x:c r="JD41" s="27" t="str">
        <x:f>IF(C41="","",0)</x:f>
      </x:c>
      <x:c r="JE41" s="27" t="str">
        <x:f>IF(C41="","",0)</x:f>
      </x:c>
      <x:c r="JF41" s="27" t="str">
        <x:f>IF(C41="","",0)</x:f>
      </x:c>
      <x:c r="JG41" s="27" t="str">
        <x:f>IF(C41="","",0)</x:f>
      </x:c>
      <x:c r="JH41" s="27" t="str">
        <x:f>IF(C41="","",0)</x:f>
      </x:c>
      <x:c r="JI41" s="27" t="str">
        <x:f>IF(C41="","",HP41*1000000000+IW41*1000000+IQ41*10000+IK41*100+JC41+6/1000)</x:f>
      </x:c>
      <x:c r="JJ41" s="27" t="str">
        <x:f>IF(C41="","",HQ41*1000000000+IX41*1000000+IR41*10000+IL41*100+JD41+5/1000)</x:f>
      </x:c>
      <x:c r="JK41" s="27" t="str">
        <x:f>IF(C41="","",HR41*1000000000+IY41*1000000+IS41*10000+IM41*100+JE41+4/1000)</x:f>
      </x:c>
      <x:c r="JL41" s="27" t="str">
        <x:f>IF(C41="","",HS41*1000000000+IZ41*1000000+IT41*10000+IN41*100+JF41+3/1000)</x:f>
      </x:c>
      <x:c r="JM41" s="27" t="str">
        <x:f>IF(C41="","",HT41*1000000000+JA41*1000000+IU41*10000+IO41*100+JG41+2/1000)</x:f>
      </x:c>
      <x:c r="JN41" s="27" t="str">
        <x:f>IF(C41="","",HU41*1000000000+JB41*1000000+IV41*10000+IP41*100+JH41+1/1000)</x:f>
      </x:c>
    </x:row>
    <x:row r="42">
      <x:c r="A42" s="27"/>
      <x:c r="B42" s="28"/>
      <x:c r="C42" s="27"/>
      <x:c r="D42" s="27"/>
      <x:c r="E42" s="27"/>
      <x:c r="F42" s="27"/>
      <x:c r="G42" s="27"/>
      <x:c r="H42" s="27"/>
      <x:c r="I42" s="27"/>
      <x:c r="J42" s="27"/>
      <x:c r="K42" s="27"/>
      <x:c r="L42" s="27"/>
      <x:c r="M42" s="27"/>
      <x:c r="N42" s="27"/>
      <x:c r="O42" s="27"/>
      <x:c r="P42" s="27"/>
      <x:c r="Q42" s="27"/>
      <x:c r="R42" s="27"/>
      <x:c r="S42" s="27"/>
      <x:c r="T42" s="27"/>
      <x:c r="U42" s="27"/>
      <x:c r="V42" s="27"/>
      <x:c r="W42" s="27"/>
      <x:c r="X42" s="27"/>
      <x:c r="Y42" s="27"/>
      <x:c r="Z42" s="27"/>
      <x:c r="AA42" s="27"/>
      <x:c r="AB42" s="27"/>
      <x:c r="AC42" s="27"/>
      <x:c r="AD42" s="27"/>
      <x:c r="AE42" s="27"/>
      <x:c r="AF42" s="27"/>
      <x:c r="AG42" s="27"/>
      <x:c r="AH42" s="27"/>
      <x:c r="AI42" s="27"/>
      <x:c r="AJ42" s="27"/>
      <x:c r="AK42" s="27"/>
      <x:c r="AL42" s="27"/>
      <x:c r="AM42" s="27"/>
      <x:c r="AN42" s="27"/>
      <x:c r="AO42" s="27"/>
      <x:c r="AP42" s="27"/>
      <x:c r="AQ42" s="27"/>
      <x:c r="AR42" s="27"/>
      <x:c r="AS42" s="27"/>
      <x:c r="AT42" s="27"/>
      <x:c r="AU42" s="27"/>
      <x:c r="AV42" s="27"/>
      <x:c r="AW42" s="27"/>
      <x:c r="AX42" s="27"/>
      <x:c r="AY42" s="27"/>
      <x:c r="AZ42" s="27"/>
      <x:c r="BA42" s="27"/>
      <x:c r="BB42" s="27"/>
      <x:c r="BC42" s="27"/>
      <x:c r="BD42" s="27"/>
      <x:c r="BE42" s="27"/>
      <x:c r="BF42" s="27"/>
      <x:c r="BG42" s="27"/>
      <x:c r="BH42" s="27"/>
      <x:c r="BI42" s="27"/>
      <x:c r="BJ42" s="27"/>
      <x:c r="BK42" s="27"/>
      <x:c r="BL42" s="27"/>
      <x:c r="BM42" s="27"/>
      <x:c r="BN42" s="27"/>
      <x:c r="BO42" s="27"/>
      <x:c r="BP42" s="27"/>
      <x:c r="BQ42" s="27"/>
      <x:c r="BR42" s="27"/>
      <x:c r="BS42" s="27"/>
      <x:c r="BT42" s="27"/>
      <x:c r="BU42" s="27"/>
      <x:c r="BV42" s="27"/>
      <x:c r="BW42" s="27"/>
      <x:c r="BX42" s="27"/>
      <x:c r="BY42" s="27"/>
      <x:c r="BZ42" s="27"/>
      <x:c r="CA42" s="27"/>
      <x:c r="CB42" s="27"/>
      <x:c r="CC42" s="27"/>
      <x:c r="CD42" s="27"/>
      <x:c r="CE42" s="27"/>
      <x:c r="CF42" s="27"/>
      <x:c r="CG42" s="27"/>
      <x:c r="CH42" s="27"/>
      <x:c r="CI42" s="27"/>
      <x:c r="CJ42" s="27"/>
      <x:c r="CK42" s="27"/>
      <x:c r="CL42" s="27"/>
      <x:c r="CM42" s="27"/>
      <x:c r="CN42" s="27"/>
      <x:c r="CO42" s="27"/>
      <x:c r="CP42" s="27"/>
      <x:c r="CQ42" s="27"/>
      <x:c r="CR42" s="27"/>
      <x:c r="CS42" s="27"/>
      <x:c r="CT42" s="27"/>
      <x:c r="CU42" s="27"/>
      <x:c r="CV42" s="27"/>
      <x:c r="CW42" s="27"/>
      <x:c r="CX42" s="27"/>
      <x:c r="CY42" s="27"/>
      <x:c r="CZ42" s="27"/>
      <x:c r="DA42" s="27"/>
      <x:c r="DB42" s="27"/>
      <x:c r="DC42" s="27"/>
      <x:c r="DD42" s="27"/>
      <x:c r="DE42" s="27"/>
      <x:c r="DF42" s="27"/>
      <x:c r="DG42" s="27"/>
      <x:c r="DH42" s="27"/>
      <x:c r="DI42" s="27"/>
      <x:c r="DJ42" s="27"/>
      <x:c r="DK42" s="27"/>
      <x:c r="DL42" s="27"/>
      <x:c r="DM42" s="27"/>
      <x:c r="DN42" s="27"/>
      <x:c r="DO42" s="27"/>
      <x:c r="DP42" s="27"/>
      <x:c r="DQ42" s="27"/>
      <x:c r="DR42" s="27"/>
      <x:c r="DS42" s="27"/>
      <x:c r="DT42" s="27"/>
      <x:c r="DU42" s="27"/>
      <x:c r="DV42" s="27"/>
      <x:c r="DW42" s="27"/>
      <x:c r="DX42" s="27"/>
      <x:c r="DY42" s="27"/>
      <x:c r="DZ42" s="27"/>
      <x:c r="EA42" s="27"/>
      <x:c r="EB42" s="27"/>
      <x:c r="EC42" s="27"/>
      <x:c r="ED42" s="27"/>
      <x:c r="EE42" s="27"/>
      <x:c r="EF42" s="27"/>
      <x:c r="EG42" s="27"/>
      <x:c r="EH42" s="27"/>
      <x:c r="EI42" s="27"/>
      <x:c r="EJ42" s="27"/>
      <x:c r="EK42" s="27"/>
      <x:c r="EL42" s="27"/>
      <x:c r="EM42" s="27"/>
      <x:c r="EN42" s="27"/>
      <x:c r="EO42" s="27"/>
      <x:c r="EP42" s="27"/>
      <x:c r="EQ42" s="27"/>
      <x:c r="ER42" s="27"/>
      <x:c r="ES42" s="27"/>
      <x:c r="ET42" s="27"/>
      <x:c r="EU42" s="27"/>
      <x:c r="EV42" s="27"/>
      <x:c r="EW42" s="27"/>
      <x:c r="EX42" s="27"/>
      <x:c r="EY42" s="27"/>
      <x:c r="EZ42" s="27"/>
      <x:c r="FA42" s="27"/>
      <x:c r="FB42" s="27"/>
      <x:c r="FC42" s="27"/>
      <x:c r="FD42" s="27"/>
      <x:c r="FE42" s="27"/>
      <x:c r="FF42" s="27"/>
      <x:c r="FG42" s="27"/>
      <x:c r="FH42" s="27"/>
      <x:c r="FI42" s="27"/>
      <x:c r="FJ42" s="27"/>
      <x:c r="FK42" s="27"/>
      <x:c r="FL42" s="27"/>
      <x:c r="FM42" s="27"/>
      <x:c r="FN42" s="27"/>
      <x:c r="FO42" s="27"/>
      <x:c r="FP42" s="27"/>
      <x:c r="FQ42" s="27"/>
      <x:c r="FR42" s="27"/>
      <x:c r="FS42" s="27"/>
      <x:c r="FT42" s="27"/>
      <x:c r="FU42" s="27"/>
      <x:c r="FV42" s="27"/>
      <x:c r="FW42" s="27"/>
      <x:c r="FX42" s="27"/>
      <x:c r="FY42" s="27"/>
      <x:c r="FZ42" s="27"/>
      <x:c r="GA42" s="27"/>
      <x:c r="GB42" s="27"/>
      <x:c r="GC42" s="27"/>
      <x:c r="GD42" s="27"/>
      <x:c r="GE42" s="27"/>
      <x:c r="GF42" s="27"/>
      <x:c r="GG42" s="27"/>
      <x:c r="GH42" s="27"/>
      <x:c r="GI42" s="27"/>
      <x:c r="GJ42" s="27"/>
      <x:c r="GK42" s="27"/>
      <x:c r="GL42" s="27"/>
      <x:c r="GM42" s="27"/>
      <x:c r="GN42" s="27"/>
      <x:c r="GO42" s="27"/>
      <x:c r="GP42" s="27"/>
      <x:c r="GQ42" s="27"/>
      <x:c r="GR42" s="27"/>
      <x:c r="GS42" s="27"/>
      <x:c r="GT42" s="27"/>
      <x:c r="GU42" s="27"/>
      <x:c r="GV42" s="27"/>
      <x:c r="GW42" s="27"/>
      <x:c r="GX42" s="27"/>
      <x:c r="GY42" s="27"/>
      <x:c r="GZ42" s="27"/>
      <x:c r="HA42" s="27"/>
      <x:c r="HB42" s="27"/>
      <x:c r="HC42" s="27"/>
      <x:c r="HD42" s="27"/>
      <x:c r="HE42" s="27"/>
      <x:c r="HF42" s="27"/>
      <x:c r="HG42" s="27"/>
      <x:c r="HH42" s="27"/>
      <x:c r="HI42" s="27"/>
      <x:c r="HJ42" s="27"/>
      <x:c r="HK42" s="27"/>
      <x:c r="HL42" s="27"/>
      <x:c r="HM42" s="27"/>
      <x:c r="HN42" s="27"/>
      <x:c r="HO42" s="27"/>
      <x:c r="HP42" s="27" t="str">
        <x:f>IF(C42="","",SUM(H42,N42,T42,Z42,AF42,AL42,AR42,AX42,BD42,BJ42,BP42,BV42,CB42,CH42,CN42,CT42,CZ42,DF42,DL42,DR42,DX42,ED42,EJ42,EP42,EV42,FB42,FH42,FN42,FT42,FZ42,GF42,GL42,GR42,GX42,HD42,HJ42))</x:f>
      </x:c>
      <x:c r="HQ42" s="27" t="str">
        <x:f>IF(C42="","",SUM(I42,O42,U42,AA42,AG42,AM42,AS42,AY42,BE42,BK42,BQ42,BW42,CC42,CI42,CO42,CU42,DA42,DG42,DM42,DS42,DY42,EE42,EK42,EQ42,EW42,FC42,FI42,FO42,FU42,GA42,GG42,GM42,GS42,GY42,HE42,HK42))</x:f>
      </x:c>
      <x:c r="HR42" s="27" t="str">
        <x:f>IF(C42="","",SUM(J42,P42,V42,AB42,AH42,AN42,AT42,AZ42,BF42,BL42,BR42,BX42,CD42,CJ42,CP42,CV42,DB42,DH42,DN42,DT42,DZ42,EF42,EL42,ER42,EX42,FD42,FJ42,FP42,FV42,GB42,GH42,GN42,GT42,GZ42,HF42,HL42))</x:f>
      </x:c>
      <x:c r="HS42" s="27" t="str">
        <x:f>IF(C42="","",SUM(K42,Q42,W42,AC42,AI42,AO42,AU42,BA42,BG42,BM42,BS42,BY42,CE42,CK42,CQ42,CW42,DC42,DI42,DO42,DU42,EA42,EG42,EM42,ES42,EY42,FE42,FK42,FQ42,FW42,GC42,GI42,GO42,GU42,HA42,HG42,HM42))</x:f>
      </x:c>
      <x:c r="HT42" s="27" t="str">
        <x:f>IF(C42="","",SUM(L42,R42,X42,AD42,AJ42,AP42,AV42,BB42,BH42,BN42,BT42,BZ42,CF42,CL42,CR42,CX42,DD42,DJ42,DP42,DV42,EB42,EH42,EN42,ET42,EZ42,FF42,FL42,FR42,FX42,GD42,GJ42,GP42,GV42,HB42,HH42,HN42))</x:f>
      </x:c>
      <x:c r="HU42" s="27" t="str">
        <x:f>IF(C42="","",SUM(M42,S42,Y42,AE42,AK42,AQ42,AW42,BC42,BI42,BO42,BU42,CA42,CG42,CM42,CS42,CY42,DE42,DK42,DQ42,DW42,EC42,EI42,EO42,EU42,FA42,FG42,FM42,FS42,FY42,GE42,GK42,GQ42,GW42,HC42,HI42,HO42))</x:f>
      </x:c>
      <x:c r="HV42" s="27" t="str">
        <x:f>IF(C42="","",IF(JI42=LARGE(JI42:JN42,1),"R",IF(JJ42=LARGE(JI42:JN42,1),"I",IF(JK42=LARGE(JI42:JN42,1),"A",IF(JL42=LARGE(JI42:JN42,1),"S",IF(JM42=LARGE(JI42:JN42,1),"E",IF(JN42=LARGE(JI42:JN42,1),"C",""))))))&amp;IF(JI42=LARGE(JI42:JN42,2),"R",IF(JJ42=LARGE(JI42:JN42,2),"I",IF(JK42=LARGE(JI42:JN42,2),"A",IF(JL42=LARGE(JI42:JN42,2),"S",IF(JM42=LARGE(JI42:JN42,2),"E",IF(JN42=LARGE(JI42:JN42,2),"C",""))))))&amp;IF(JI42=LARGE(JI42:JN42,3),"R",IF(JJ42=LARGE(JI42:JN42,3),"I",IF(JK42=LARGE(JI42:JN42,3),"A",IF(JL42=LARGE(JI42:JN42,3),"S",IF(JM42=LARGE(JI42:JN42,3),"E",IF(JN42=LARGE(JI42:JN42,3),"C","")))))))</x:f>
      </x:c>
      <x:c r="HW42" s="27" t="str">
        <x:f>IF(C42="","",IF(JI42=LARGE(JI42:JN42,1),"นักปฏิบัติ",IF(JJ42=LARGE(JI42:JN42,1),"นักคิดวิเคราะห์",IF(JK42=LARGE(JI42:JN42,1),"นักสร้างสรรค์",IF(JL42=LARGE(JI42:JN42,1),"ผู้เข้าใจผู้คน",IF(JM42=LARGE(JI42:JN42,1),"ผู้นำการเปลี่ยนแปลง",IF(JN42=LARGE(JI42:JN42,1),"ผู้จัดระบบ","ผู้จัดระบบ")))))))</x:f>
      </x:c>
      <x:c r="HX42" s="27"/>
      <x:c r="HY42" s="27"/>
      <x:c r="HZ42" s="27"/>
      <x:c r="IA42" s="27"/>
      <x:c r="IB42" s="27"/>
      <x:c r="IC42" s="27"/>
      <x:c r="ID42" s="27"/>
      <x:c r="IE42" s="27"/>
      <x:c r="IF42" s="27"/>
      <x:c r="IG42" s="27"/>
      <x:c r="IH42" s="27"/>
      <x:c r="II42" s="27"/>
      <x:c r="IJ42" s="27"/>
      <x:c r="IK42" s="27" t="str">
        <x:f>IF(C42="","",SUM(H42,N42,T42,Z42,AF42,AL42,AR42,AX42,BD42,BJ42,BP42))</x:f>
      </x:c>
      <x:c r="IL42" s="27" t="str">
        <x:f>IF(C42="","",SUM(I42,O42,U42,AA42,AG42,AM42,AS42,AY42,BE42,BK42,BQ42))</x:f>
      </x:c>
      <x:c r="IM42" s="27" t="str">
        <x:f>IF(C42="","",SUM(J42,P42,V42,AB42,AH42,AN42,AT42,AZ42,BF42,BL42,BR42))</x:f>
      </x:c>
      <x:c r="IN42" s="27" t="str">
        <x:f>IF(C42="","",SUM(K42,Q42,W42,AC42,AI42,AO42,AU42,BA42,BG42,BM42,BS42))</x:f>
      </x:c>
      <x:c r="IO42" s="27" t="str">
        <x:f>IF(C42="","",SUM(L42,R42,X42,AD42,AJ42,AP42,AV42,BB42,BH42,BN42,BT42))</x:f>
      </x:c>
      <x:c r="IP42" s="27" t="str">
        <x:f>IF(C42="","",SUM(M42,S42,Y42,AE42,AK42,AQ42,AW42,BC42,BI42,BO42,BU42))</x:f>
      </x:c>
      <x:c r="IQ42" s="27" t="str">
        <x:f>IF(C42="","",SUM(BV42,CB42,CH42,CN42,CT42,CZ42,DF42,DL42,DR42,DX42,ED42))</x:f>
      </x:c>
      <x:c r="IR42" s="27" t="str">
        <x:f>IF(C42="","",SUM(BW42,CC42,CI42,CO42,CU42,DA42,DG42,DM42,DS42,DY42,EE42))</x:f>
      </x:c>
      <x:c r="IS42" s="27" t="str">
        <x:f>IF(C42="","",SUM(BX42,CD42,CJ42,CP42,CV42,DB42,DH42,DN42,DT42,DZ42,EF42))</x:f>
      </x:c>
      <x:c r="IT42" s="27" t="str">
        <x:f>IF(C42="","",SUM(BY42,CE42,CK42,CQ42,CW42,DC42,DI42,DO42,DU42,EA42,EG42))</x:f>
      </x:c>
      <x:c r="IU42" s="27" t="str">
        <x:f>IF(C42="","",SUM(BZ42,CF42,CL42,CR42,CX42,DD42,DJ42,DP42,DV42,EB42,EH42))</x:f>
      </x:c>
      <x:c r="IV42" s="27" t="str">
        <x:f>IF(C42="","",SUM(CA42,CG42,CM42,CS42,CY42,DE42,DK42,DQ42,DW42,EC42,EI42))</x:f>
      </x:c>
      <x:c r="IW42" s="27" t="str">
        <x:f>IF(C42="","",SUM(EJ42,EP42,EV42,FB42,FH42,FN42,FT42,FZ42,GF42,GL42,GR42,GX42,HD42,HJ42))</x:f>
      </x:c>
      <x:c r="IX42" s="27" t="str">
        <x:f>IF(C42="","",SUM(EK42,EQ42,EW42,FC42,FI42,FO42,FU42,GA42,GG42,GM42,GS42,GY42,HE42,HK42))</x:f>
      </x:c>
      <x:c r="IY42" s="27" t="str">
        <x:f>IF(C42="","",SUM(EL42,ER42,EX42,FD42,FJ42,FP42,FV42,GB42,GH42,GN42,GT42,GZ42,HF42,HL42))</x:f>
      </x:c>
      <x:c r="IZ42" s="27" t="str">
        <x:f>IF(C42="","",SUM(EM42,ES42,EY42,FE42,FK42,FQ42,FW42,GC42,GI42,GO42,GU42,HA42,HG42,HM42))</x:f>
      </x:c>
      <x:c r="JA42" s="27" t="str">
        <x:f>IF(C42="","",SUM(EN42,ET42,EZ42,FF42,FL42,FR42,FX42,GD42,GJ42,GP42,GV42,HB42,HH42,HN42))</x:f>
      </x:c>
      <x:c r="JB42" s="27" t="str">
        <x:f>IF(C42="","",SUM(EO42,EU42,FA42,FG42,FM42,FS42,FY42,GE42,GK42,GQ42,GW42,HC42,HI42,HO42))</x:f>
      </x:c>
      <x:c r="JC42" s="27" t="str">
        <x:f>IF(C42="","",0)</x:f>
      </x:c>
      <x:c r="JD42" s="27" t="str">
        <x:f>IF(C42="","",0)</x:f>
      </x:c>
      <x:c r="JE42" s="27" t="str">
        <x:f>IF(C42="","",0)</x:f>
      </x:c>
      <x:c r="JF42" s="27" t="str">
        <x:f>IF(C42="","",0)</x:f>
      </x:c>
      <x:c r="JG42" s="27" t="str">
        <x:f>IF(C42="","",0)</x:f>
      </x:c>
      <x:c r="JH42" s="27" t="str">
        <x:f>IF(C42="","",0)</x:f>
      </x:c>
      <x:c r="JI42" s="27" t="str">
        <x:f>IF(C42="","",HP42*1000000000+IW42*1000000+IQ42*10000+IK42*100+JC42+6/1000)</x:f>
      </x:c>
      <x:c r="JJ42" s="27" t="str">
        <x:f>IF(C42="","",HQ42*1000000000+IX42*1000000+IR42*10000+IL42*100+JD42+5/1000)</x:f>
      </x:c>
      <x:c r="JK42" s="27" t="str">
        <x:f>IF(C42="","",HR42*1000000000+IY42*1000000+IS42*10000+IM42*100+JE42+4/1000)</x:f>
      </x:c>
      <x:c r="JL42" s="27" t="str">
        <x:f>IF(C42="","",HS42*1000000000+IZ42*1000000+IT42*10000+IN42*100+JF42+3/1000)</x:f>
      </x:c>
      <x:c r="JM42" s="27" t="str">
        <x:f>IF(C42="","",HT42*1000000000+JA42*1000000+IU42*10000+IO42*100+JG42+2/1000)</x:f>
      </x:c>
      <x:c r="JN42" s="27" t="str">
        <x:f>IF(C42="","",HU42*1000000000+JB42*1000000+IV42*10000+IP42*100+JH42+1/1000)</x:f>
      </x:c>
    </x:row>
    <x:row r="43">
      <x:c r="A43" s="27"/>
      <x:c r="B43" s="28"/>
      <x:c r="C43" s="27"/>
      <x:c r="D43" s="27"/>
      <x:c r="E43" s="27"/>
      <x:c r="F43" s="27"/>
      <x:c r="G43" s="27"/>
      <x:c r="H43" s="27"/>
      <x:c r="I43" s="27"/>
      <x:c r="J43" s="27"/>
      <x:c r="K43" s="27"/>
      <x:c r="L43" s="27"/>
      <x:c r="M43" s="27"/>
      <x:c r="N43" s="27"/>
      <x:c r="O43" s="27"/>
      <x:c r="P43" s="27"/>
      <x:c r="Q43" s="27"/>
      <x:c r="R43" s="27"/>
      <x:c r="S43" s="27"/>
      <x:c r="T43" s="27"/>
      <x:c r="U43" s="27"/>
      <x:c r="V43" s="27"/>
      <x:c r="W43" s="27"/>
      <x:c r="X43" s="27"/>
      <x:c r="Y43" s="27"/>
      <x:c r="Z43" s="27"/>
      <x:c r="AA43" s="27"/>
      <x:c r="AB43" s="27"/>
      <x:c r="AC43" s="27"/>
      <x:c r="AD43" s="27"/>
      <x:c r="AE43" s="27"/>
      <x:c r="AF43" s="27"/>
      <x:c r="AG43" s="27"/>
      <x:c r="AH43" s="27"/>
      <x:c r="AI43" s="27"/>
      <x:c r="AJ43" s="27"/>
      <x:c r="AK43" s="27"/>
      <x:c r="AL43" s="27"/>
      <x:c r="AM43" s="27"/>
      <x:c r="AN43" s="27"/>
      <x:c r="AO43" s="27"/>
      <x:c r="AP43" s="27"/>
      <x:c r="AQ43" s="27"/>
      <x:c r="AR43" s="27"/>
      <x:c r="AS43" s="27"/>
      <x:c r="AT43" s="27"/>
      <x:c r="AU43" s="27"/>
      <x:c r="AV43" s="27"/>
      <x:c r="AW43" s="27"/>
      <x:c r="AX43" s="27"/>
      <x:c r="AY43" s="27"/>
      <x:c r="AZ43" s="27"/>
      <x:c r="BA43" s="27"/>
      <x:c r="BB43" s="27"/>
      <x:c r="BC43" s="27"/>
      <x:c r="BD43" s="27"/>
      <x:c r="BE43" s="27"/>
      <x:c r="BF43" s="27"/>
      <x:c r="BG43" s="27"/>
      <x:c r="BH43" s="27"/>
      <x:c r="BI43" s="27"/>
      <x:c r="BJ43" s="27"/>
      <x:c r="BK43" s="27"/>
      <x:c r="BL43" s="27"/>
      <x:c r="BM43" s="27"/>
      <x:c r="BN43" s="27"/>
      <x:c r="BO43" s="27"/>
      <x:c r="BP43" s="27"/>
      <x:c r="BQ43" s="27"/>
      <x:c r="BR43" s="27"/>
      <x:c r="BS43" s="27"/>
      <x:c r="BT43" s="27"/>
      <x:c r="BU43" s="27"/>
      <x:c r="BV43" s="27"/>
      <x:c r="BW43" s="27"/>
      <x:c r="BX43" s="27"/>
      <x:c r="BY43" s="27"/>
      <x:c r="BZ43" s="27"/>
      <x:c r="CA43" s="27"/>
      <x:c r="CB43" s="27"/>
      <x:c r="CC43" s="27"/>
      <x:c r="CD43" s="27"/>
      <x:c r="CE43" s="27"/>
      <x:c r="CF43" s="27"/>
      <x:c r="CG43" s="27"/>
      <x:c r="CH43" s="27"/>
      <x:c r="CI43" s="27"/>
      <x:c r="CJ43" s="27"/>
      <x:c r="CK43" s="27"/>
      <x:c r="CL43" s="27"/>
      <x:c r="CM43" s="27"/>
      <x:c r="CN43" s="27"/>
      <x:c r="CO43" s="27"/>
      <x:c r="CP43" s="27"/>
      <x:c r="CQ43" s="27"/>
      <x:c r="CR43" s="27"/>
      <x:c r="CS43" s="27"/>
      <x:c r="CT43" s="27"/>
      <x:c r="CU43" s="27"/>
      <x:c r="CV43" s="27"/>
      <x:c r="CW43" s="27"/>
      <x:c r="CX43" s="27"/>
      <x:c r="CY43" s="27"/>
      <x:c r="CZ43" s="27"/>
      <x:c r="DA43" s="27"/>
      <x:c r="DB43" s="27"/>
      <x:c r="DC43" s="27"/>
      <x:c r="DD43" s="27"/>
      <x:c r="DE43" s="27"/>
      <x:c r="DF43" s="27"/>
      <x:c r="DG43" s="27"/>
      <x:c r="DH43" s="27"/>
      <x:c r="DI43" s="27"/>
      <x:c r="DJ43" s="27"/>
      <x:c r="DK43" s="27"/>
      <x:c r="DL43" s="27"/>
      <x:c r="DM43" s="27"/>
      <x:c r="DN43" s="27"/>
      <x:c r="DO43" s="27"/>
      <x:c r="DP43" s="27"/>
      <x:c r="DQ43" s="27"/>
      <x:c r="DR43" s="27"/>
      <x:c r="DS43" s="27"/>
      <x:c r="DT43" s="27"/>
      <x:c r="DU43" s="27"/>
      <x:c r="DV43" s="27"/>
      <x:c r="DW43" s="27"/>
      <x:c r="DX43" s="27"/>
      <x:c r="DY43" s="27"/>
      <x:c r="DZ43" s="27"/>
      <x:c r="EA43" s="27"/>
      <x:c r="EB43" s="27"/>
      <x:c r="EC43" s="27"/>
      <x:c r="ED43" s="27"/>
      <x:c r="EE43" s="27"/>
      <x:c r="EF43" s="27"/>
      <x:c r="EG43" s="27"/>
      <x:c r="EH43" s="27"/>
      <x:c r="EI43" s="27"/>
      <x:c r="EJ43" s="27"/>
      <x:c r="EK43" s="27"/>
      <x:c r="EL43" s="27"/>
      <x:c r="EM43" s="27"/>
      <x:c r="EN43" s="27"/>
      <x:c r="EO43" s="27"/>
      <x:c r="EP43" s="27"/>
      <x:c r="EQ43" s="27"/>
      <x:c r="ER43" s="27"/>
      <x:c r="ES43" s="27"/>
      <x:c r="ET43" s="27"/>
      <x:c r="EU43" s="27"/>
      <x:c r="EV43" s="27"/>
      <x:c r="EW43" s="27"/>
      <x:c r="EX43" s="27"/>
      <x:c r="EY43" s="27"/>
      <x:c r="EZ43" s="27"/>
      <x:c r="FA43" s="27"/>
      <x:c r="FB43" s="27"/>
      <x:c r="FC43" s="27"/>
      <x:c r="FD43" s="27"/>
      <x:c r="FE43" s="27"/>
      <x:c r="FF43" s="27"/>
      <x:c r="FG43" s="27"/>
      <x:c r="FH43" s="27"/>
      <x:c r="FI43" s="27"/>
      <x:c r="FJ43" s="27"/>
      <x:c r="FK43" s="27"/>
      <x:c r="FL43" s="27"/>
      <x:c r="FM43" s="27"/>
      <x:c r="FN43" s="27"/>
      <x:c r="FO43" s="27"/>
      <x:c r="FP43" s="27"/>
      <x:c r="FQ43" s="27"/>
      <x:c r="FR43" s="27"/>
      <x:c r="FS43" s="27"/>
      <x:c r="FT43" s="27"/>
      <x:c r="FU43" s="27"/>
      <x:c r="FV43" s="27"/>
      <x:c r="FW43" s="27"/>
      <x:c r="FX43" s="27"/>
      <x:c r="FY43" s="27"/>
      <x:c r="FZ43" s="27"/>
      <x:c r="GA43" s="27"/>
      <x:c r="GB43" s="27"/>
      <x:c r="GC43" s="27"/>
      <x:c r="GD43" s="27"/>
      <x:c r="GE43" s="27"/>
      <x:c r="GF43" s="27"/>
      <x:c r="GG43" s="27"/>
      <x:c r="GH43" s="27"/>
      <x:c r="GI43" s="27"/>
      <x:c r="GJ43" s="27"/>
      <x:c r="GK43" s="27"/>
      <x:c r="GL43" s="27"/>
      <x:c r="GM43" s="27"/>
      <x:c r="GN43" s="27"/>
      <x:c r="GO43" s="27"/>
      <x:c r="GP43" s="27"/>
      <x:c r="GQ43" s="27"/>
      <x:c r="GR43" s="27"/>
      <x:c r="GS43" s="27"/>
      <x:c r="GT43" s="27"/>
      <x:c r="GU43" s="27"/>
      <x:c r="GV43" s="27"/>
      <x:c r="GW43" s="27"/>
      <x:c r="GX43" s="27"/>
      <x:c r="GY43" s="27"/>
      <x:c r="GZ43" s="27"/>
      <x:c r="HA43" s="27"/>
      <x:c r="HB43" s="27"/>
      <x:c r="HC43" s="27"/>
      <x:c r="HD43" s="27"/>
      <x:c r="HE43" s="27"/>
      <x:c r="HF43" s="27"/>
      <x:c r="HG43" s="27"/>
      <x:c r="HH43" s="27"/>
      <x:c r="HI43" s="27"/>
      <x:c r="HJ43" s="27"/>
      <x:c r="HK43" s="27"/>
      <x:c r="HL43" s="27"/>
      <x:c r="HM43" s="27"/>
      <x:c r="HN43" s="27"/>
      <x:c r="HO43" s="27"/>
      <x:c r="HP43" s="27" t="str">
        <x:f>IF(C43="","",SUM(H43,N43,T43,Z43,AF43,AL43,AR43,AX43,BD43,BJ43,BP43,BV43,CB43,CH43,CN43,CT43,CZ43,DF43,DL43,DR43,DX43,ED43,EJ43,EP43,EV43,FB43,FH43,FN43,FT43,FZ43,GF43,GL43,GR43,GX43,HD43,HJ43))</x:f>
      </x:c>
      <x:c r="HQ43" s="27" t="str">
        <x:f>IF(C43="","",SUM(I43,O43,U43,AA43,AG43,AM43,AS43,AY43,BE43,BK43,BQ43,BW43,CC43,CI43,CO43,CU43,DA43,DG43,DM43,DS43,DY43,EE43,EK43,EQ43,EW43,FC43,FI43,FO43,FU43,GA43,GG43,GM43,GS43,GY43,HE43,HK43))</x:f>
      </x:c>
      <x:c r="HR43" s="27" t="str">
        <x:f>IF(C43="","",SUM(J43,P43,V43,AB43,AH43,AN43,AT43,AZ43,BF43,BL43,BR43,BX43,CD43,CJ43,CP43,CV43,DB43,DH43,DN43,DT43,DZ43,EF43,EL43,ER43,EX43,FD43,FJ43,FP43,FV43,GB43,GH43,GN43,GT43,GZ43,HF43,HL43))</x:f>
      </x:c>
      <x:c r="HS43" s="27" t="str">
        <x:f>IF(C43="","",SUM(K43,Q43,W43,AC43,AI43,AO43,AU43,BA43,BG43,BM43,BS43,BY43,CE43,CK43,CQ43,CW43,DC43,DI43,DO43,DU43,EA43,EG43,EM43,ES43,EY43,FE43,FK43,FQ43,FW43,GC43,GI43,GO43,GU43,HA43,HG43,HM43))</x:f>
      </x:c>
      <x:c r="HT43" s="27" t="str">
        <x:f>IF(C43="","",SUM(L43,R43,X43,AD43,AJ43,AP43,AV43,BB43,BH43,BN43,BT43,BZ43,CF43,CL43,CR43,CX43,DD43,DJ43,DP43,DV43,EB43,EH43,EN43,ET43,EZ43,FF43,FL43,FR43,FX43,GD43,GJ43,GP43,GV43,HB43,HH43,HN43))</x:f>
      </x:c>
      <x:c r="HU43" s="27" t="str">
        <x:f>IF(C43="","",SUM(M43,S43,Y43,AE43,AK43,AQ43,AW43,BC43,BI43,BO43,BU43,CA43,CG43,CM43,CS43,CY43,DE43,DK43,DQ43,DW43,EC43,EI43,EO43,EU43,FA43,FG43,FM43,FS43,FY43,GE43,GK43,GQ43,GW43,HC43,HI43,HO43))</x:f>
      </x:c>
      <x:c r="HV43" s="27" t="str">
        <x:f>IF(C43="","",IF(JI43=LARGE(JI43:JN43,1),"R",IF(JJ43=LARGE(JI43:JN43,1),"I",IF(JK43=LARGE(JI43:JN43,1),"A",IF(JL43=LARGE(JI43:JN43,1),"S",IF(JM43=LARGE(JI43:JN43,1),"E",IF(JN43=LARGE(JI43:JN43,1),"C",""))))))&amp;IF(JI43=LARGE(JI43:JN43,2),"R",IF(JJ43=LARGE(JI43:JN43,2),"I",IF(JK43=LARGE(JI43:JN43,2),"A",IF(JL43=LARGE(JI43:JN43,2),"S",IF(JM43=LARGE(JI43:JN43,2),"E",IF(JN43=LARGE(JI43:JN43,2),"C",""))))))&amp;IF(JI43=LARGE(JI43:JN43,3),"R",IF(JJ43=LARGE(JI43:JN43,3),"I",IF(JK43=LARGE(JI43:JN43,3),"A",IF(JL43=LARGE(JI43:JN43,3),"S",IF(JM43=LARGE(JI43:JN43,3),"E",IF(JN43=LARGE(JI43:JN43,3),"C","")))))))</x:f>
      </x:c>
      <x:c r="HW43" s="27" t="str">
        <x:f>IF(C43="","",IF(JI43=LARGE(JI43:JN43,1),"นักปฏิบัติ",IF(JJ43=LARGE(JI43:JN43,1),"นักคิดวิเคราะห์",IF(JK43=LARGE(JI43:JN43,1),"นักสร้างสรรค์",IF(JL43=LARGE(JI43:JN43,1),"ผู้เข้าใจผู้คน",IF(JM43=LARGE(JI43:JN43,1),"ผู้นำการเปลี่ยนแปลง",IF(JN43=LARGE(JI43:JN43,1),"ผู้จัดระบบ","ผู้จัดระบบ")))))))</x:f>
      </x:c>
      <x:c r="HX43" s="27"/>
      <x:c r="HY43" s="27"/>
      <x:c r="HZ43" s="27"/>
      <x:c r="IA43" s="27"/>
      <x:c r="IB43" s="27"/>
      <x:c r="IC43" s="27"/>
      <x:c r="ID43" s="27"/>
      <x:c r="IE43" s="27"/>
      <x:c r="IF43" s="27"/>
      <x:c r="IG43" s="27"/>
      <x:c r="IH43" s="27"/>
      <x:c r="II43" s="27"/>
      <x:c r="IJ43" s="27"/>
      <x:c r="IK43" s="27" t="str">
        <x:f>IF(C43="","",SUM(H43,N43,T43,Z43,AF43,AL43,AR43,AX43,BD43,BJ43,BP43))</x:f>
      </x:c>
      <x:c r="IL43" s="27" t="str">
        <x:f>IF(C43="","",SUM(I43,O43,U43,AA43,AG43,AM43,AS43,AY43,BE43,BK43,BQ43))</x:f>
      </x:c>
      <x:c r="IM43" s="27" t="str">
        <x:f>IF(C43="","",SUM(J43,P43,V43,AB43,AH43,AN43,AT43,AZ43,BF43,BL43,BR43))</x:f>
      </x:c>
      <x:c r="IN43" s="27" t="str">
        <x:f>IF(C43="","",SUM(K43,Q43,W43,AC43,AI43,AO43,AU43,BA43,BG43,BM43,BS43))</x:f>
      </x:c>
      <x:c r="IO43" s="27" t="str">
        <x:f>IF(C43="","",SUM(L43,R43,X43,AD43,AJ43,AP43,AV43,BB43,BH43,BN43,BT43))</x:f>
      </x:c>
      <x:c r="IP43" s="27" t="str">
        <x:f>IF(C43="","",SUM(M43,S43,Y43,AE43,AK43,AQ43,AW43,BC43,BI43,BO43,BU43))</x:f>
      </x:c>
      <x:c r="IQ43" s="27" t="str">
        <x:f>IF(C43="","",SUM(BV43,CB43,CH43,CN43,CT43,CZ43,DF43,DL43,DR43,DX43,ED43))</x:f>
      </x:c>
      <x:c r="IR43" s="27" t="str">
        <x:f>IF(C43="","",SUM(BW43,CC43,CI43,CO43,CU43,DA43,DG43,DM43,DS43,DY43,EE43))</x:f>
      </x:c>
      <x:c r="IS43" s="27" t="str">
        <x:f>IF(C43="","",SUM(BX43,CD43,CJ43,CP43,CV43,DB43,DH43,DN43,DT43,DZ43,EF43))</x:f>
      </x:c>
      <x:c r="IT43" s="27" t="str">
        <x:f>IF(C43="","",SUM(BY43,CE43,CK43,CQ43,CW43,DC43,DI43,DO43,DU43,EA43,EG43))</x:f>
      </x:c>
      <x:c r="IU43" s="27" t="str">
        <x:f>IF(C43="","",SUM(BZ43,CF43,CL43,CR43,CX43,DD43,DJ43,DP43,DV43,EB43,EH43))</x:f>
      </x:c>
      <x:c r="IV43" s="27" t="str">
        <x:f>IF(C43="","",SUM(CA43,CG43,CM43,CS43,CY43,DE43,DK43,DQ43,DW43,EC43,EI43))</x:f>
      </x:c>
      <x:c r="IW43" s="27" t="str">
        <x:f>IF(C43="","",SUM(EJ43,EP43,EV43,FB43,FH43,FN43,FT43,FZ43,GF43,GL43,GR43,GX43,HD43,HJ43))</x:f>
      </x:c>
      <x:c r="IX43" s="27" t="str">
        <x:f>IF(C43="","",SUM(EK43,EQ43,EW43,FC43,FI43,FO43,FU43,GA43,GG43,GM43,GS43,GY43,HE43,HK43))</x:f>
      </x:c>
      <x:c r="IY43" s="27" t="str">
        <x:f>IF(C43="","",SUM(EL43,ER43,EX43,FD43,FJ43,FP43,FV43,GB43,GH43,GN43,GT43,GZ43,HF43,HL43))</x:f>
      </x:c>
      <x:c r="IZ43" s="27" t="str">
        <x:f>IF(C43="","",SUM(EM43,ES43,EY43,FE43,FK43,FQ43,FW43,GC43,GI43,GO43,GU43,HA43,HG43,HM43))</x:f>
      </x:c>
      <x:c r="JA43" s="27" t="str">
        <x:f>IF(C43="","",SUM(EN43,ET43,EZ43,FF43,FL43,FR43,FX43,GD43,GJ43,GP43,GV43,HB43,HH43,HN43))</x:f>
      </x:c>
      <x:c r="JB43" s="27" t="str">
        <x:f>IF(C43="","",SUM(EO43,EU43,FA43,FG43,FM43,FS43,FY43,GE43,GK43,GQ43,GW43,HC43,HI43,HO43))</x:f>
      </x:c>
      <x:c r="JC43" s="27" t="str">
        <x:f>IF(C43="","",0)</x:f>
      </x:c>
      <x:c r="JD43" s="27" t="str">
        <x:f>IF(C43="","",0)</x:f>
      </x:c>
      <x:c r="JE43" s="27" t="str">
        <x:f>IF(C43="","",0)</x:f>
      </x:c>
      <x:c r="JF43" s="27" t="str">
        <x:f>IF(C43="","",0)</x:f>
      </x:c>
      <x:c r="JG43" s="27" t="str">
        <x:f>IF(C43="","",0)</x:f>
      </x:c>
      <x:c r="JH43" s="27" t="str">
        <x:f>IF(C43="","",0)</x:f>
      </x:c>
      <x:c r="JI43" s="27" t="str">
        <x:f>IF(C43="","",HP43*1000000000+IW43*1000000+IQ43*10000+IK43*100+JC43+6/1000)</x:f>
      </x:c>
      <x:c r="JJ43" s="27" t="str">
        <x:f>IF(C43="","",HQ43*1000000000+IX43*1000000+IR43*10000+IL43*100+JD43+5/1000)</x:f>
      </x:c>
      <x:c r="JK43" s="27" t="str">
        <x:f>IF(C43="","",HR43*1000000000+IY43*1000000+IS43*10000+IM43*100+JE43+4/1000)</x:f>
      </x:c>
      <x:c r="JL43" s="27" t="str">
        <x:f>IF(C43="","",HS43*1000000000+IZ43*1000000+IT43*10000+IN43*100+JF43+3/1000)</x:f>
      </x:c>
      <x:c r="JM43" s="27" t="str">
        <x:f>IF(C43="","",HT43*1000000000+JA43*1000000+IU43*10000+IO43*100+JG43+2/1000)</x:f>
      </x:c>
      <x:c r="JN43" s="27" t="str">
        <x:f>IF(C43="","",HU43*1000000000+JB43*1000000+IV43*10000+IP43*100+JH43+1/1000)</x:f>
      </x:c>
    </x:row>
    <x:row r="44">
      <x:c r="A44" s="27"/>
      <x:c r="B44" s="28"/>
      <x:c r="C44" s="27"/>
      <x:c r="D44" s="27"/>
      <x:c r="E44" s="27"/>
      <x:c r="F44" s="27"/>
      <x:c r="G44" s="27"/>
      <x:c r="H44" s="27"/>
      <x:c r="I44" s="27"/>
      <x:c r="J44" s="27"/>
      <x:c r="K44" s="27"/>
      <x:c r="L44" s="27"/>
      <x:c r="M44" s="27"/>
      <x:c r="N44" s="27"/>
      <x:c r="O44" s="27"/>
      <x:c r="P44" s="27"/>
      <x:c r="Q44" s="27"/>
      <x:c r="R44" s="27"/>
      <x:c r="S44" s="27"/>
      <x:c r="T44" s="27"/>
      <x:c r="U44" s="27"/>
      <x:c r="V44" s="27"/>
      <x:c r="W44" s="27"/>
      <x:c r="X44" s="27"/>
      <x:c r="Y44" s="27"/>
      <x:c r="Z44" s="27"/>
      <x:c r="AA44" s="27"/>
      <x:c r="AB44" s="27"/>
      <x:c r="AC44" s="27"/>
      <x:c r="AD44" s="27"/>
      <x:c r="AE44" s="27"/>
      <x:c r="AF44" s="27"/>
      <x:c r="AG44" s="27"/>
      <x:c r="AH44" s="27"/>
      <x:c r="AI44" s="27"/>
      <x:c r="AJ44" s="27"/>
      <x:c r="AK44" s="27"/>
      <x:c r="AL44" s="27"/>
      <x:c r="AM44" s="27"/>
      <x:c r="AN44" s="27"/>
      <x:c r="AO44" s="27"/>
      <x:c r="AP44" s="27"/>
      <x:c r="AQ44" s="27"/>
      <x:c r="AR44" s="27"/>
      <x:c r="AS44" s="27"/>
      <x:c r="AT44" s="27"/>
      <x:c r="AU44" s="27"/>
      <x:c r="AV44" s="27"/>
      <x:c r="AW44" s="27"/>
      <x:c r="AX44" s="27"/>
      <x:c r="AY44" s="27"/>
      <x:c r="AZ44" s="27"/>
      <x:c r="BA44" s="27"/>
      <x:c r="BB44" s="27"/>
      <x:c r="BC44" s="27"/>
      <x:c r="BD44" s="27"/>
      <x:c r="BE44" s="27"/>
      <x:c r="BF44" s="27"/>
      <x:c r="BG44" s="27"/>
      <x:c r="BH44" s="27"/>
      <x:c r="BI44" s="27"/>
      <x:c r="BJ44" s="27"/>
      <x:c r="BK44" s="27"/>
      <x:c r="BL44" s="27"/>
      <x:c r="BM44" s="27"/>
      <x:c r="BN44" s="27"/>
      <x:c r="BO44" s="27"/>
      <x:c r="BP44" s="27"/>
      <x:c r="BQ44" s="27"/>
      <x:c r="BR44" s="27"/>
      <x:c r="BS44" s="27"/>
      <x:c r="BT44" s="27"/>
      <x:c r="BU44" s="27"/>
      <x:c r="BV44" s="27"/>
      <x:c r="BW44" s="27"/>
      <x:c r="BX44" s="27"/>
      <x:c r="BY44" s="27"/>
      <x:c r="BZ44" s="27"/>
      <x:c r="CA44" s="27"/>
      <x:c r="CB44" s="27"/>
      <x:c r="CC44" s="27"/>
      <x:c r="CD44" s="27"/>
      <x:c r="CE44" s="27"/>
      <x:c r="CF44" s="27"/>
      <x:c r="CG44" s="27"/>
      <x:c r="CH44" s="27"/>
      <x:c r="CI44" s="27"/>
      <x:c r="CJ44" s="27"/>
      <x:c r="CK44" s="27"/>
      <x:c r="CL44" s="27"/>
      <x:c r="CM44" s="27"/>
      <x:c r="CN44" s="27"/>
      <x:c r="CO44" s="27"/>
      <x:c r="CP44" s="27"/>
      <x:c r="CQ44" s="27"/>
      <x:c r="CR44" s="27"/>
      <x:c r="CS44" s="27"/>
      <x:c r="CT44" s="27"/>
      <x:c r="CU44" s="27"/>
      <x:c r="CV44" s="27"/>
      <x:c r="CW44" s="27"/>
      <x:c r="CX44" s="27"/>
      <x:c r="CY44" s="27"/>
      <x:c r="CZ44" s="27"/>
      <x:c r="DA44" s="27"/>
      <x:c r="DB44" s="27"/>
      <x:c r="DC44" s="27"/>
      <x:c r="DD44" s="27"/>
      <x:c r="DE44" s="27"/>
      <x:c r="DF44" s="27"/>
      <x:c r="DG44" s="27"/>
      <x:c r="DH44" s="27"/>
      <x:c r="DI44" s="27"/>
      <x:c r="DJ44" s="27"/>
      <x:c r="DK44" s="27"/>
      <x:c r="DL44" s="27"/>
      <x:c r="DM44" s="27"/>
      <x:c r="DN44" s="27"/>
      <x:c r="DO44" s="27"/>
      <x:c r="DP44" s="27"/>
      <x:c r="DQ44" s="27"/>
      <x:c r="DR44" s="27"/>
      <x:c r="DS44" s="27"/>
      <x:c r="DT44" s="27"/>
      <x:c r="DU44" s="27"/>
      <x:c r="DV44" s="27"/>
      <x:c r="DW44" s="27"/>
      <x:c r="DX44" s="27"/>
      <x:c r="DY44" s="27"/>
      <x:c r="DZ44" s="27"/>
      <x:c r="EA44" s="27"/>
      <x:c r="EB44" s="27"/>
      <x:c r="EC44" s="27"/>
      <x:c r="ED44" s="27"/>
      <x:c r="EE44" s="27"/>
      <x:c r="EF44" s="27"/>
      <x:c r="EG44" s="27"/>
      <x:c r="EH44" s="27"/>
      <x:c r="EI44" s="27"/>
      <x:c r="EJ44" s="27"/>
      <x:c r="EK44" s="27"/>
      <x:c r="EL44" s="27"/>
      <x:c r="EM44" s="27"/>
      <x:c r="EN44" s="27"/>
      <x:c r="EO44" s="27"/>
      <x:c r="EP44" s="27"/>
      <x:c r="EQ44" s="27"/>
      <x:c r="ER44" s="27"/>
      <x:c r="ES44" s="27"/>
      <x:c r="ET44" s="27"/>
      <x:c r="EU44" s="27"/>
      <x:c r="EV44" s="27"/>
      <x:c r="EW44" s="27"/>
      <x:c r="EX44" s="27"/>
      <x:c r="EY44" s="27"/>
      <x:c r="EZ44" s="27"/>
      <x:c r="FA44" s="27"/>
      <x:c r="FB44" s="27"/>
      <x:c r="FC44" s="27"/>
      <x:c r="FD44" s="27"/>
      <x:c r="FE44" s="27"/>
      <x:c r="FF44" s="27"/>
      <x:c r="FG44" s="27"/>
      <x:c r="FH44" s="27"/>
      <x:c r="FI44" s="27"/>
      <x:c r="FJ44" s="27"/>
      <x:c r="FK44" s="27"/>
      <x:c r="FL44" s="27"/>
      <x:c r="FM44" s="27"/>
      <x:c r="FN44" s="27"/>
      <x:c r="FO44" s="27"/>
      <x:c r="FP44" s="27"/>
      <x:c r="FQ44" s="27"/>
      <x:c r="FR44" s="27"/>
      <x:c r="FS44" s="27"/>
      <x:c r="FT44" s="27"/>
      <x:c r="FU44" s="27"/>
      <x:c r="FV44" s="27"/>
      <x:c r="FW44" s="27"/>
      <x:c r="FX44" s="27"/>
      <x:c r="FY44" s="27"/>
      <x:c r="FZ44" s="27"/>
      <x:c r="GA44" s="27"/>
      <x:c r="GB44" s="27"/>
      <x:c r="GC44" s="27"/>
      <x:c r="GD44" s="27"/>
      <x:c r="GE44" s="27"/>
      <x:c r="GF44" s="27"/>
      <x:c r="GG44" s="27"/>
      <x:c r="GH44" s="27"/>
      <x:c r="GI44" s="27"/>
      <x:c r="GJ44" s="27"/>
      <x:c r="GK44" s="27"/>
      <x:c r="GL44" s="27"/>
      <x:c r="GM44" s="27"/>
      <x:c r="GN44" s="27"/>
      <x:c r="GO44" s="27"/>
      <x:c r="GP44" s="27"/>
      <x:c r="GQ44" s="27"/>
      <x:c r="GR44" s="27"/>
      <x:c r="GS44" s="27"/>
      <x:c r="GT44" s="27"/>
      <x:c r="GU44" s="27"/>
      <x:c r="GV44" s="27"/>
      <x:c r="GW44" s="27"/>
      <x:c r="GX44" s="27"/>
      <x:c r="GY44" s="27"/>
      <x:c r="GZ44" s="27"/>
      <x:c r="HA44" s="27"/>
      <x:c r="HB44" s="27"/>
      <x:c r="HC44" s="27"/>
      <x:c r="HD44" s="27"/>
      <x:c r="HE44" s="27"/>
      <x:c r="HF44" s="27"/>
      <x:c r="HG44" s="27"/>
      <x:c r="HH44" s="27"/>
      <x:c r="HI44" s="27"/>
      <x:c r="HJ44" s="27"/>
      <x:c r="HK44" s="27"/>
      <x:c r="HL44" s="27"/>
      <x:c r="HM44" s="27"/>
      <x:c r="HN44" s="27"/>
      <x:c r="HO44" s="27"/>
      <x:c r="HP44" s="27" t="str">
        <x:f>IF(C44="","",SUM(H44,N44,T44,Z44,AF44,AL44,AR44,AX44,BD44,BJ44,BP44,BV44,CB44,CH44,CN44,CT44,CZ44,DF44,DL44,DR44,DX44,ED44,EJ44,EP44,EV44,FB44,FH44,FN44,FT44,FZ44,GF44,GL44,GR44,GX44,HD44,HJ44))</x:f>
      </x:c>
      <x:c r="HQ44" s="27" t="str">
        <x:f>IF(C44="","",SUM(I44,O44,U44,AA44,AG44,AM44,AS44,AY44,BE44,BK44,BQ44,BW44,CC44,CI44,CO44,CU44,DA44,DG44,DM44,DS44,DY44,EE44,EK44,EQ44,EW44,FC44,FI44,FO44,FU44,GA44,GG44,GM44,GS44,GY44,HE44,HK44))</x:f>
      </x:c>
      <x:c r="HR44" s="27" t="str">
        <x:f>IF(C44="","",SUM(J44,P44,V44,AB44,AH44,AN44,AT44,AZ44,BF44,BL44,BR44,BX44,CD44,CJ44,CP44,CV44,DB44,DH44,DN44,DT44,DZ44,EF44,EL44,ER44,EX44,FD44,FJ44,FP44,FV44,GB44,GH44,GN44,GT44,GZ44,HF44,HL44))</x:f>
      </x:c>
      <x:c r="HS44" s="27" t="str">
        <x:f>IF(C44="","",SUM(K44,Q44,W44,AC44,AI44,AO44,AU44,BA44,BG44,BM44,BS44,BY44,CE44,CK44,CQ44,CW44,DC44,DI44,DO44,DU44,EA44,EG44,EM44,ES44,EY44,FE44,FK44,FQ44,FW44,GC44,GI44,GO44,GU44,HA44,HG44,HM44))</x:f>
      </x:c>
      <x:c r="HT44" s="27" t="str">
        <x:f>IF(C44="","",SUM(L44,R44,X44,AD44,AJ44,AP44,AV44,BB44,BH44,BN44,BT44,BZ44,CF44,CL44,CR44,CX44,DD44,DJ44,DP44,DV44,EB44,EH44,EN44,ET44,EZ44,FF44,FL44,FR44,FX44,GD44,GJ44,GP44,GV44,HB44,HH44,HN44))</x:f>
      </x:c>
      <x:c r="HU44" s="27" t="str">
        <x:f>IF(C44="","",SUM(M44,S44,Y44,AE44,AK44,AQ44,AW44,BC44,BI44,BO44,BU44,CA44,CG44,CM44,CS44,CY44,DE44,DK44,DQ44,DW44,EC44,EI44,EO44,EU44,FA44,FG44,FM44,FS44,FY44,GE44,GK44,GQ44,GW44,HC44,HI44,HO44))</x:f>
      </x:c>
      <x:c r="HV44" s="27" t="str">
        <x:f>IF(C44="","",IF(JI44=LARGE(JI44:JN44,1),"R",IF(JJ44=LARGE(JI44:JN44,1),"I",IF(JK44=LARGE(JI44:JN44,1),"A",IF(JL44=LARGE(JI44:JN44,1),"S",IF(JM44=LARGE(JI44:JN44,1),"E",IF(JN44=LARGE(JI44:JN44,1),"C",""))))))&amp;IF(JI44=LARGE(JI44:JN44,2),"R",IF(JJ44=LARGE(JI44:JN44,2),"I",IF(JK44=LARGE(JI44:JN44,2),"A",IF(JL44=LARGE(JI44:JN44,2),"S",IF(JM44=LARGE(JI44:JN44,2),"E",IF(JN44=LARGE(JI44:JN44,2),"C",""))))))&amp;IF(JI44=LARGE(JI44:JN44,3),"R",IF(JJ44=LARGE(JI44:JN44,3),"I",IF(JK44=LARGE(JI44:JN44,3),"A",IF(JL44=LARGE(JI44:JN44,3),"S",IF(JM44=LARGE(JI44:JN44,3),"E",IF(JN44=LARGE(JI44:JN44,3),"C","")))))))</x:f>
      </x:c>
      <x:c r="HW44" s="27" t="str">
        <x:f>IF(C44="","",IF(JI44=LARGE(JI44:JN44,1),"นักปฏิบัติ",IF(JJ44=LARGE(JI44:JN44,1),"นักคิดวิเคราะห์",IF(JK44=LARGE(JI44:JN44,1),"นักสร้างสรรค์",IF(JL44=LARGE(JI44:JN44,1),"ผู้เข้าใจผู้คน",IF(JM44=LARGE(JI44:JN44,1),"ผู้นำการเปลี่ยนแปลง",IF(JN44=LARGE(JI44:JN44,1),"ผู้จัดระบบ","ผู้จัดระบบ")))))))</x:f>
      </x:c>
      <x:c r="HX44" s="27"/>
      <x:c r="HY44" s="27"/>
      <x:c r="HZ44" s="27"/>
      <x:c r="IA44" s="27"/>
      <x:c r="IB44" s="27"/>
      <x:c r="IC44" s="27"/>
      <x:c r="ID44" s="27"/>
      <x:c r="IE44" s="27"/>
      <x:c r="IF44" s="27"/>
      <x:c r="IG44" s="27"/>
      <x:c r="IH44" s="27"/>
      <x:c r="II44" s="27"/>
      <x:c r="IJ44" s="27"/>
      <x:c r="IK44" s="27" t="str">
        <x:f>IF(C44="","",SUM(H44,N44,T44,Z44,AF44,AL44,AR44,AX44,BD44,BJ44,BP44))</x:f>
      </x:c>
      <x:c r="IL44" s="27" t="str">
        <x:f>IF(C44="","",SUM(I44,O44,U44,AA44,AG44,AM44,AS44,AY44,BE44,BK44,BQ44))</x:f>
      </x:c>
      <x:c r="IM44" s="27" t="str">
        <x:f>IF(C44="","",SUM(J44,P44,V44,AB44,AH44,AN44,AT44,AZ44,BF44,BL44,BR44))</x:f>
      </x:c>
      <x:c r="IN44" s="27" t="str">
        <x:f>IF(C44="","",SUM(K44,Q44,W44,AC44,AI44,AO44,AU44,BA44,BG44,BM44,BS44))</x:f>
      </x:c>
      <x:c r="IO44" s="27" t="str">
        <x:f>IF(C44="","",SUM(L44,R44,X44,AD44,AJ44,AP44,AV44,BB44,BH44,BN44,BT44))</x:f>
      </x:c>
      <x:c r="IP44" s="27" t="str">
        <x:f>IF(C44="","",SUM(M44,S44,Y44,AE44,AK44,AQ44,AW44,BC44,BI44,BO44,BU44))</x:f>
      </x:c>
      <x:c r="IQ44" s="27" t="str">
        <x:f>IF(C44="","",SUM(BV44,CB44,CH44,CN44,CT44,CZ44,DF44,DL44,DR44,DX44,ED44))</x:f>
      </x:c>
      <x:c r="IR44" s="27" t="str">
        <x:f>IF(C44="","",SUM(BW44,CC44,CI44,CO44,CU44,DA44,DG44,DM44,DS44,DY44,EE44))</x:f>
      </x:c>
      <x:c r="IS44" s="27" t="str">
        <x:f>IF(C44="","",SUM(BX44,CD44,CJ44,CP44,CV44,DB44,DH44,DN44,DT44,DZ44,EF44))</x:f>
      </x:c>
      <x:c r="IT44" s="27" t="str">
        <x:f>IF(C44="","",SUM(BY44,CE44,CK44,CQ44,CW44,DC44,DI44,DO44,DU44,EA44,EG44))</x:f>
      </x:c>
      <x:c r="IU44" s="27" t="str">
        <x:f>IF(C44="","",SUM(BZ44,CF44,CL44,CR44,CX44,DD44,DJ44,DP44,DV44,EB44,EH44))</x:f>
      </x:c>
      <x:c r="IV44" s="27" t="str">
        <x:f>IF(C44="","",SUM(CA44,CG44,CM44,CS44,CY44,DE44,DK44,DQ44,DW44,EC44,EI44))</x:f>
      </x:c>
      <x:c r="IW44" s="27" t="str">
        <x:f>IF(C44="","",SUM(EJ44,EP44,EV44,FB44,FH44,FN44,FT44,FZ44,GF44,GL44,GR44,GX44,HD44,HJ44))</x:f>
      </x:c>
      <x:c r="IX44" s="27" t="str">
        <x:f>IF(C44="","",SUM(EK44,EQ44,EW44,FC44,FI44,FO44,FU44,GA44,GG44,GM44,GS44,GY44,HE44,HK44))</x:f>
      </x:c>
      <x:c r="IY44" s="27" t="str">
        <x:f>IF(C44="","",SUM(EL44,ER44,EX44,FD44,FJ44,FP44,FV44,GB44,GH44,GN44,GT44,GZ44,HF44,HL44))</x:f>
      </x:c>
      <x:c r="IZ44" s="27" t="str">
        <x:f>IF(C44="","",SUM(EM44,ES44,EY44,FE44,FK44,FQ44,FW44,GC44,GI44,GO44,GU44,HA44,HG44,HM44))</x:f>
      </x:c>
      <x:c r="JA44" s="27" t="str">
        <x:f>IF(C44="","",SUM(EN44,ET44,EZ44,FF44,FL44,FR44,FX44,GD44,GJ44,GP44,GV44,HB44,HH44,HN44))</x:f>
      </x:c>
      <x:c r="JB44" s="27" t="str">
        <x:f>IF(C44="","",SUM(EO44,EU44,FA44,FG44,FM44,FS44,FY44,GE44,GK44,GQ44,GW44,HC44,HI44,HO44))</x:f>
      </x:c>
      <x:c r="JC44" s="27" t="str">
        <x:f>IF(C44="","",0)</x:f>
      </x:c>
      <x:c r="JD44" s="27" t="str">
        <x:f>IF(C44="","",0)</x:f>
      </x:c>
      <x:c r="JE44" s="27" t="str">
        <x:f>IF(C44="","",0)</x:f>
      </x:c>
      <x:c r="JF44" s="27" t="str">
        <x:f>IF(C44="","",0)</x:f>
      </x:c>
      <x:c r="JG44" s="27" t="str">
        <x:f>IF(C44="","",0)</x:f>
      </x:c>
      <x:c r="JH44" s="27" t="str">
        <x:f>IF(C44="","",0)</x:f>
      </x:c>
      <x:c r="JI44" s="27" t="str">
        <x:f>IF(C44="","",HP44*1000000000+IW44*1000000+IQ44*10000+IK44*100+JC44+6/1000)</x:f>
      </x:c>
      <x:c r="JJ44" s="27" t="str">
        <x:f>IF(C44="","",HQ44*1000000000+IX44*1000000+IR44*10000+IL44*100+JD44+5/1000)</x:f>
      </x:c>
      <x:c r="JK44" s="27" t="str">
        <x:f>IF(C44="","",HR44*1000000000+IY44*1000000+IS44*10000+IM44*100+JE44+4/1000)</x:f>
      </x:c>
      <x:c r="JL44" s="27" t="str">
        <x:f>IF(C44="","",HS44*1000000000+IZ44*1000000+IT44*10000+IN44*100+JF44+3/1000)</x:f>
      </x:c>
      <x:c r="JM44" s="27" t="str">
        <x:f>IF(C44="","",HT44*1000000000+JA44*1000000+IU44*10000+IO44*100+JG44+2/1000)</x:f>
      </x:c>
      <x:c r="JN44" s="27" t="str">
        <x:f>IF(C44="","",HU44*1000000000+JB44*1000000+IV44*10000+IP44*100+JH44+1/1000)</x:f>
      </x:c>
    </x:row>
    <x:row r="45">
      <x:c r="A45" s="27"/>
      <x:c r="B45" s="28"/>
      <x:c r="C45" s="27"/>
      <x:c r="D45" s="27"/>
      <x:c r="E45" s="27"/>
      <x:c r="F45" s="27"/>
      <x:c r="G45" s="27"/>
      <x:c r="H45" s="27"/>
      <x:c r="I45" s="27"/>
      <x:c r="J45" s="27"/>
      <x:c r="K45" s="27"/>
      <x:c r="L45" s="27"/>
      <x:c r="M45" s="27"/>
      <x:c r="N45" s="27"/>
      <x:c r="O45" s="27"/>
      <x:c r="P45" s="27"/>
      <x:c r="Q45" s="27"/>
      <x:c r="R45" s="27"/>
      <x:c r="S45" s="27"/>
      <x:c r="T45" s="27"/>
      <x:c r="U45" s="27"/>
      <x:c r="V45" s="27"/>
      <x:c r="W45" s="27"/>
      <x:c r="X45" s="27"/>
      <x:c r="Y45" s="27"/>
      <x:c r="Z45" s="27"/>
      <x:c r="AA45" s="27"/>
      <x:c r="AB45" s="27"/>
      <x:c r="AC45" s="27"/>
      <x:c r="AD45" s="27"/>
      <x:c r="AE45" s="27"/>
      <x:c r="AF45" s="27"/>
      <x:c r="AG45" s="27"/>
      <x:c r="AH45" s="27"/>
      <x:c r="AI45" s="27"/>
      <x:c r="AJ45" s="27"/>
      <x:c r="AK45" s="27"/>
      <x:c r="AL45" s="27"/>
      <x:c r="AM45" s="27"/>
      <x:c r="AN45" s="27"/>
      <x:c r="AO45" s="27"/>
      <x:c r="AP45" s="27"/>
      <x:c r="AQ45" s="27"/>
      <x:c r="AR45" s="27"/>
      <x:c r="AS45" s="27"/>
      <x:c r="AT45" s="27"/>
      <x:c r="AU45" s="27"/>
      <x:c r="AV45" s="27"/>
      <x:c r="AW45" s="27"/>
      <x:c r="AX45" s="27"/>
      <x:c r="AY45" s="27"/>
      <x:c r="AZ45" s="27"/>
      <x:c r="BA45" s="27"/>
      <x:c r="BB45" s="27"/>
      <x:c r="BC45" s="27"/>
      <x:c r="BD45" s="27"/>
      <x:c r="BE45" s="27"/>
      <x:c r="BF45" s="27"/>
      <x:c r="BG45" s="27"/>
      <x:c r="BH45" s="27"/>
      <x:c r="BI45" s="27"/>
      <x:c r="BJ45" s="27"/>
      <x:c r="BK45" s="27"/>
      <x:c r="BL45" s="27"/>
      <x:c r="BM45" s="27"/>
      <x:c r="BN45" s="27"/>
      <x:c r="BO45" s="27"/>
      <x:c r="BP45" s="27"/>
      <x:c r="BQ45" s="27"/>
      <x:c r="BR45" s="27"/>
      <x:c r="BS45" s="27"/>
      <x:c r="BT45" s="27"/>
      <x:c r="BU45" s="27"/>
      <x:c r="BV45" s="27"/>
      <x:c r="BW45" s="27"/>
      <x:c r="BX45" s="27"/>
      <x:c r="BY45" s="27"/>
      <x:c r="BZ45" s="27"/>
      <x:c r="CA45" s="27"/>
      <x:c r="CB45" s="27"/>
      <x:c r="CC45" s="27"/>
      <x:c r="CD45" s="27"/>
      <x:c r="CE45" s="27"/>
      <x:c r="CF45" s="27"/>
      <x:c r="CG45" s="27"/>
      <x:c r="CH45" s="27"/>
      <x:c r="CI45" s="27"/>
      <x:c r="CJ45" s="27"/>
      <x:c r="CK45" s="27"/>
      <x:c r="CL45" s="27"/>
      <x:c r="CM45" s="27"/>
      <x:c r="CN45" s="27"/>
      <x:c r="CO45" s="27"/>
      <x:c r="CP45" s="27"/>
      <x:c r="CQ45" s="27"/>
      <x:c r="CR45" s="27"/>
      <x:c r="CS45" s="27"/>
      <x:c r="CT45" s="27"/>
      <x:c r="CU45" s="27"/>
      <x:c r="CV45" s="27"/>
      <x:c r="CW45" s="27"/>
      <x:c r="CX45" s="27"/>
      <x:c r="CY45" s="27"/>
      <x:c r="CZ45" s="27"/>
      <x:c r="DA45" s="27"/>
      <x:c r="DB45" s="27"/>
      <x:c r="DC45" s="27"/>
      <x:c r="DD45" s="27"/>
      <x:c r="DE45" s="27"/>
      <x:c r="DF45" s="27"/>
      <x:c r="DG45" s="27"/>
      <x:c r="DH45" s="27"/>
      <x:c r="DI45" s="27"/>
      <x:c r="DJ45" s="27"/>
      <x:c r="DK45" s="27"/>
      <x:c r="DL45" s="27"/>
      <x:c r="DM45" s="27"/>
      <x:c r="DN45" s="27"/>
      <x:c r="DO45" s="27"/>
      <x:c r="DP45" s="27"/>
      <x:c r="DQ45" s="27"/>
      <x:c r="DR45" s="27"/>
      <x:c r="DS45" s="27"/>
      <x:c r="DT45" s="27"/>
      <x:c r="DU45" s="27"/>
      <x:c r="DV45" s="27"/>
      <x:c r="DW45" s="27"/>
      <x:c r="DX45" s="27"/>
      <x:c r="DY45" s="27"/>
      <x:c r="DZ45" s="27"/>
      <x:c r="EA45" s="27"/>
      <x:c r="EB45" s="27"/>
      <x:c r="EC45" s="27"/>
      <x:c r="ED45" s="27"/>
      <x:c r="EE45" s="27"/>
      <x:c r="EF45" s="27"/>
      <x:c r="EG45" s="27"/>
      <x:c r="EH45" s="27"/>
      <x:c r="EI45" s="27"/>
      <x:c r="EJ45" s="27"/>
      <x:c r="EK45" s="27"/>
      <x:c r="EL45" s="27"/>
      <x:c r="EM45" s="27"/>
      <x:c r="EN45" s="27"/>
      <x:c r="EO45" s="27"/>
      <x:c r="EP45" s="27"/>
      <x:c r="EQ45" s="27"/>
      <x:c r="ER45" s="27"/>
      <x:c r="ES45" s="27"/>
      <x:c r="ET45" s="27"/>
      <x:c r="EU45" s="27"/>
      <x:c r="EV45" s="27"/>
      <x:c r="EW45" s="27"/>
      <x:c r="EX45" s="27"/>
      <x:c r="EY45" s="27"/>
      <x:c r="EZ45" s="27"/>
      <x:c r="FA45" s="27"/>
      <x:c r="FB45" s="27"/>
      <x:c r="FC45" s="27"/>
      <x:c r="FD45" s="27"/>
      <x:c r="FE45" s="27"/>
      <x:c r="FF45" s="27"/>
      <x:c r="FG45" s="27"/>
      <x:c r="FH45" s="27"/>
      <x:c r="FI45" s="27"/>
      <x:c r="FJ45" s="27"/>
      <x:c r="FK45" s="27"/>
      <x:c r="FL45" s="27"/>
      <x:c r="FM45" s="27"/>
      <x:c r="FN45" s="27"/>
      <x:c r="FO45" s="27"/>
      <x:c r="FP45" s="27"/>
      <x:c r="FQ45" s="27"/>
      <x:c r="FR45" s="27"/>
      <x:c r="FS45" s="27"/>
      <x:c r="FT45" s="27"/>
      <x:c r="FU45" s="27"/>
      <x:c r="FV45" s="27"/>
      <x:c r="FW45" s="27"/>
      <x:c r="FX45" s="27"/>
      <x:c r="FY45" s="27"/>
      <x:c r="FZ45" s="27"/>
      <x:c r="GA45" s="27"/>
      <x:c r="GB45" s="27"/>
      <x:c r="GC45" s="27"/>
      <x:c r="GD45" s="27"/>
      <x:c r="GE45" s="27"/>
      <x:c r="GF45" s="27"/>
      <x:c r="GG45" s="27"/>
      <x:c r="GH45" s="27"/>
      <x:c r="GI45" s="27"/>
      <x:c r="GJ45" s="27"/>
      <x:c r="GK45" s="27"/>
      <x:c r="GL45" s="27"/>
      <x:c r="GM45" s="27"/>
      <x:c r="GN45" s="27"/>
      <x:c r="GO45" s="27"/>
      <x:c r="GP45" s="27"/>
      <x:c r="GQ45" s="27"/>
      <x:c r="GR45" s="27"/>
      <x:c r="GS45" s="27"/>
      <x:c r="GT45" s="27"/>
      <x:c r="GU45" s="27"/>
      <x:c r="GV45" s="27"/>
      <x:c r="GW45" s="27"/>
      <x:c r="GX45" s="27"/>
      <x:c r="GY45" s="27"/>
      <x:c r="GZ45" s="27"/>
      <x:c r="HA45" s="27"/>
      <x:c r="HB45" s="27"/>
      <x:c r="HC45" s="27"/>
      <x:c r="HD45" s="27"/>
      <x:c r="HE45" s="27"/>
      <x:c r="HF45" s="27"/>
      <x:c r="HG45" s="27"/>
      <x:c r="HH45" s="27"/>
      <x:c r="HI45" s="27"/>
      <x:c r="HJ45" s="27"/>
      <x:c r="HK45" s="27"/>
      <x:c r="HL45" s="27"/>
      <x:c r="HM45" s="27"/>
      <x:c r="HN45" s="27"/>
      <x:c r="HO45" s="27"/>
      <x:c r="HP45" s="27" t="str">
        <x:f>IF(C45="","",SUM(H45,N45,T45,Z45,AF45,AL45,AR45,AX45,BD45,BJ45,BP45,BV45,CB45,CH45,CN45,CT45,CZ45,DF45,DL45,DR45,DX45,ED45,EJ45,EP45,EV45,FB45,FH45,FN45,FT45,FZ45,GF45,GL45,GR45,GX45,HD45,HJ45))</x:f>
      </x:c>
      <x:c r="HQ45" s="27" t="str">
        <x:f>IF(C45="","",SUM(I45,O45,U45,AA45,AG45,AM45,AS45,AY45,BE45,BK45,BQ45,BW45,CC45,CI45,CO45,CU45,DA45,DG45,DM45,DS45,DY45,EE45,EK45,EQ45,EW45,FC45,FI45,FO45,FU45,GA45,GG45,GM45,GS45,GY45,HE45,HK45))</x:f>
      </x:c>
      <x:c r="HR45" s="27" t="str">
        <x:f>IF(C45="","",SUM(J45,P45,V45,AB45,AH45,AN45,AT45,AZ45,BF45,BL45,BR45,BX45,CD45,CJ45,CP45,CV45,DB45,DH45,DN45,DT45,DZ45,EF45,EL45,ER45,EX45,FD45,FJ45,FP45,FV45,GB45,GH45,GN45,GT45,GZ45,HF45,HL45))</x:f>
      </x:c>
      <x:c r="HS45" s="27" t="str">
        <x:f>IF(C45="","",SUM(K45,Q45,W45,AC45,AI45,AO45,AU45,BA45,BG45,BM45,BS45,BY45,CE45,CK45,CQ45,CW45,DC45,DI45,DO45,DU45,EA45,EG45,EM45,ES45,EY45,FE45,FK45,FQ45,FW45,GC45,GI45,GO45,GU45,HA45,HG45,HM45))</x:f>
      </x:c>
      <x:c r="HT45" s="27" t="str">
        <x:f>IF(C45="","",SUM(L45,R45,X45,AD45,AJ45,AP45,AV45,BB45,BH45,BN45,BT45,BZ45,CF45,CL45,CR45,CX45,DD45,DJ45,DP45,DV45,EB45,EH45,EN45,ET45,EZ45,FF45,FL45,FR45,FX45,GD45,GJ45,GP45,GV45,HB45,HH45,HN45))</x:f>
      </x:c>
      <x:c r="HU45" s="27" t="str">
        <x:f>IF(C45="","",SUM(M45,S45,Y45,AE45,AK45,AQ45,AW45,BC45,BI45,BO45,BU45,CA45,CG45,CM45,CS45,CY45,DE45,DK45,DQ45,DW45,EC45,EI45,EO45,EU45,FA45,FG45,FM45,FS45,FY45,GE45,GK45,GQ45,GW45,HC45,HI45,HO45))</x:f>
      </x:c>
      <x:c r="HV45" s="27" t="str">
        <x:f>IF(C45="","",IF(JI45=LARGE(JI45:JN45,1),"R",IF(JJ45=LARGE(JI45:JN45,1),"I",IF(JK45=LARGE(JI45:JN45,1),"A",IF(JL45=LARGE(JI45:JN45,1),"S",IF(JM45=LARGE(JI45:JN45,1),"E",IF(JN45=LARGE(JI45:JN45,1),"C",""))))))&amp;IF(JI45=LARGE(JI45:JN45,2),"R",IF(JJ45=LARGE(JI45:JN45,2),"I",IF(JK45=LARGE(JI45:JN45,2),"A",IF(JL45=LARGE(JI45:JN45,2),"S",IF(JM45=LARGE(JI45:JN45,2),"E",IF(JN45=LARGE(JI45:JN45,2),"C",""))))))&amp;IF(JI45=LARGE(JI45:JN45,3),"R",IF(JJ45=LARGE(JI45:JN45,3),"I",IF(JK45=LARGE(JI45:JN45,3),"A",IF(JL45=LARGE(JI45:JN45,3),"S",IF(JM45=LARGE(JI45:JN45,3),"E",IF(JN45=LARGE(JI45:JN45,3),"C","")))))))</x:f>
      </x:c>
      <x:c r="HW45" s="27" t="str">
        <x:f>IF(C45="","",IF(JI45=LARGE(JI45:JN45,1),"นักปฏิบัติ",IF(JJ45=LARGE(JI45:JN45,1),"นักคิดวิเคราะห์",IF(JK45=LARGE(JI45:JN45,1),"นักสร้างสรรค์",IF(JL45=LARGE(JI45:JN45,1),"ผู้เข้าใจผู้คน",IF(JM45=LARGE(JI45:JN45,1),"ผู้นำการเปลี่ยนแปลง",IF(JN45=LARGE(JI45:JN45,1),"ผู้จัดระบบ","ผู้จัดระบบ")))))))</x:f>
      </x:c>
      <x:c r="HX45" s="27"/>
      <x:c r="HY45" s="27"/>
      <x:c r="HZ45" s="27"/>
      <x:c r="IA45" s="27"/>
      <x:c r="IB45" s="27"/>
      <x:c r="IC45" s="27"/>
      <x:c r="ID45" s="27"/>
      <x:c r="IE45" s="27"/>
      <x:c r="IF45" s="27"/>
      <x:c r="IG45" s="27"/>
      <x:c r="IH45" s="27"/>
      <x:c r="II45" s="27"/>
      <x:c r="IJ45" s="27"/>
      <x:c r="IK45" s="27" t="str">
        <x:f>IF(C45="","",SUM(H45,N45,T45,Z45,AF45,AL45,AR45,AX45,BD45,BJ45,BP45))</x:f>
      </x:c>
      <x:c r="IL45" s="27" t="str">
        <x:f>IF(C45="","",SUM(I45,O45,U45,AA45,AG45,AM45,AS45,AY45,BE45,BK45,BQ45))</x:f>
      </x:c>
      <x:c r="IM45" s="27" t="str">
        <x:f>IF(C45="","",SUM(J45,P45,V45,AB45,AH45,AN45,AT45,AZ45,BF45,BL45,BR45))</x:f>
      </x:c>
      <x:c r="IN45" s="27" t="str">
        <x:f>IF(C45="","",SUM(K45,Q45,W45,AC45,AI45,AO45,AU45,BA45,BG45,BM45,BS45))</x:f>
      </x:c>
      <x:c r="IO45" s="27" t="str">
        <x:f>IF(C45="","",SUM(L45,R45,X45,AD45,AJ45,AP45,AV45,BB45,BH45,BN45,BT45))</x:f>
      </x:c>
      <x:c r="IP45" s="27" t="str">
        <x:f>IF(C45="","",SUM(M45,S45,Y45,AE45,AK45,AQ45,AW45,BC45,BI45,BO45,BU45))</x:f>
      </x:c>
      <x:c r="IQ45" s="27" t="str">
        <x:f>IF(C45="","",SUM(BV45,CB45,CH45,CN45,CT45,CZ45,DF45,DL45,DR45,DX45,ED45))</x:f>
      </x:c>
      <x:c r="IR45" s="27" t="str">
        <x:f>IF(C45="","",SUM(BW45,CC45,CI45,CO45,CU45,DA45,DG45,DM45,DS45,DY45,EE45))</x:f>
      </x:c>
      <x:c r="IS45" s="27" t="str">
        <x:f>IF(C45="","",SUM(BX45,CD45,CJ45,CP45,CV45,DB45,DH45,DN45,DT45,DZ45,EF45))</x:f>
      </x:c>
      <x:c r="IT45" s="27" t="str">
        <x:f>IF(C45="","",SUM(BY45,CE45,CK45,CQ45,CW45,DC45,DI45,DO45,DU45,EA45,EG45))</x:f>
      </x:c>
      <x:c r="IU45" s="27" t="str">
        <x:f>IF(C45="","",SUM(BZ45,CF45,CL45,CR45,CX45,DD45,DJ45,DP45,DV45,EB45,EH45))</x:f>
      </x:c>
      <x:c r="IV45" s="27" t="str">
        <x:f>IF(C45="","",SUM(CA45,CG45,CM45,CS45,CY45,DE45,DK45,DQ45,DW45,EC45,EI45))</x:f>
      </x:c>
      <x:c r="IW45" s="27" t="str">
        <x:f>IF(C45="","",SUM(EJ45,EP45,EV45,FB45,FH45,FN45,FT45,FZ45,GF45,GL45,GR45,GX45,HD45,HJ45))</x:f>
      </x:c>
      <x:c r="IX45" s="27" t="str">
        <x:f>IF(C45="","",SUM(EK45,EQ45,EW45,FC45,FI45,FO45,FU45,GA45,GG45,GM45,GS45,GY45,HE45,HK45))</x:f>
      </x:c>
      <x:c r="IY45" s="27" t="str">
        <x:f>IF(C45="","",SUM(EL45,ER45,EX45,FD45,FJ45,FP45,FV45,GB45,GH45,GN45,GT45,GZ45,HF45,HL45))</x:f>
      </x:c>
      <x:c r="IZ45" s="27" t="str">
        <x:f>IF(C45="","",SUM(EM45,ES45,EY45,FE45,FK45,FQ45,FW45,GC45,GI45,GO45,GU45,HA45,HG45,HM45))</x:f>
      </x:c>
      <x:c r="JA45" s="27" t="str">
        <x:f>IF(C45="","",SUM(EN45,ET45,EZ45,FF45,FL45,FR45,FX45,GD45,GJ45,GP45,GV45,HB45,HH45,HN45))</x:f>
      </x:c>
      <x:c r="JB45" s="27" t="str">
        <x:f>IF(C45="","",SUM(EO45,EU45,FA45,FG45,FM45,FS45,FY45,GE45,GK45,GQ45,GW45,HC45,HI45,HO45))</x:f>
      </x:c>
      <x:c r="JC45" s="27" t="str">
        <x:f>IF(C45="","",0)</x:f>
      </x:c>
      <x:c r="JD45" s="27" t="str">
        <x:f>IF(C45="","",0)</x:f>
      </x:c>
      <x:c r="JE45" s="27" t="str">
        <x:f>IF(C45="","",0)</x:f>
      </x:c>
      <x:c r="JF45" s="27" t="str">
        <x:f>IF(C45="","",0)</x:f>
      </x:c>
      <x:c r="JG45" s="27" t="str">
        <x:f>IF(C45="","",0)</x:f>
      </x:c>
      <x:c r="JH45" s="27" t="str">
        <x:f>IF(C45="","",0)</x:f>
      </x:c>
      <x:c r="JI45" s="27" t="str">
        <x:f>IF(C45="","",HP45*1000000000+IW45*1000000+IQ45*10000+IK45*100+JC45+6/1000)</x:f>
      </x:c>
      <x:c r="JJ45" s="27" t="str">
        <x:f>IF(C45="","",HQ45*1000000000+IX45*1000000+IR45*10000+IL45*100+JD45+5/1000)</x:f>
      </x:c>
      <x:c r="JK45" s="27" t="str">
        <x:f>IF(C45="","",HR45*1000000000+IY45*1000000+IS45*10000+IM45*100+JE45+4/1000)</x:f>
      </x:c>
      <x:c r="JL45" s="27" t="str">
        <x:f>IF(C45="","",HS45*1000000000+IZ45*1000000+IT45*10000+IN45*100+JF45+3/1000)</x:f>
      </x:c>
      <x:c r="JM45" s="27" t="str">
        <x:f>IF(C45="","",HT45*1000000000+JA45*1000000+IU45*10000+IO45*100+JG45+2/1000)</x:f>
      </x:c>
      <x:c r="JN45" s="27" t="str">
        <x:f>IF(C45="","",HU45*1000000000+JB45*1000000+IV45*10000+IP45*100+JH45+1/1000)</x:f>
      </x:c>
    </x:row>
    <x:row r="46">
      <x:c r="A46" s="27"/>
      <x:c r="B46" s="28"/>
      <x:c r="C46" s="27"/>
      <x:c r="D46" s="27"/>
      <x:c r="E46" s="27"/>
      <x:c r="F46" s="27"/>
      <x:c r="G46" s="27"/>
      <x:c r="H46" s="27"/>
      <x:c r="I46" s="27"/>
      <x:c r="J46" s="27"/>
      <x:c r="K46" s="27"/>
      <x:c r="L46" s="27"/>
      <x:c r="M46" s="27"/>
      <x:c r="N46" s="27"/>
      <x:c r="O46" s="27"/>
      <x:c r="P46" s="27"/>
      <x:c r="Q46" s="27"/>
      <x:c r="R46" s="27"/>
      <x:c r="S46" s="27"/>
      <x:c r="T46" s="27"/>
      <x:c r="U46" s="27"/>
      <x:c r="V46" s="27"/>
      <x:c r="W46" s="27"/>
      <x:c r="X46" s="27"/>
      <x:c r="Y46" s="27"/>
      <x:c r="Z46" s="27"/>
      <x:c r="AA46" s="27"/>
      <x:c r="AB46" s="27"/>
      <x:c r="AC46" s="27"/>
      <x:c r="AD46" s="27"/>
      <x:c r="AE46" s="27"/>
      <x:c r="AF46" s="27"/>
      <x:c r="AG46" s="27"/>
      <x:c r="AH46" s="27"/>
      <x:c r="AI46" s="27"/>
      <x:c r="AJ46" s="27"/>
      <x:c r="AK46" s="27"/>
      <x:c r="AL46" s="27"/>
      <x:c r="AM46" s="27"/>
      <x:c r="AN46" s="27"/>
      <x:c r="AO46" s="27"/>
      <x:c r="AP46" s="27"/>
      <x:c r="AQ46" s="27"/>
      <x:c r="AR46" s="27"/>
      <x:c r="AS46" s="27"/>
      <x:c r="AT46" s="27"/>
      <x:c r="AU46" s="27"/>
      <x:c r="AV46" s="27"/>
      <x:c r="AW46" s="27"/>
      <x:c r="AX46" s="27"/>
      <x:c r="AY46" s="27"/>
      <x:c r="AZ46" s="27"/>
      <x:c r="BA46" s="27"/>
      <x:c r="BB46" s="27"/>
      <x:c r="BC46" s="27"/>
      <x:c r="BD46" s="27"/>
      <x:c r="BE46" s="27"/>
      <x:c r="BF46" s="27"/>
      <x:c r="BG46" s="27"/>
      <x:c r="BH46" s="27"/>
      <x:c r="BI46" s="27"/>
      <x:c r="BJ46" s="27"/>
      <x:c r="BK46" s="27"/>
      <x:c r="BL46" s="27"/>
      <x:c r="BM46" s="27"/>
      <x:c r="BN46" s="27"/>
      <x:c r="BO46" s="27"/>
      <x:c r="BP46" s="27"/>
      <x:c r="BQ46" s="27"/>
      <x:c r="BR46" s="27"/>
      <x:c r="BS46" s="27"/>
      <x:c r="BT46" s="27"/>
      <x:c r="BU46" s="27"/>
      <x:c r="BV46" s="27"/>
      <x:c r="BW46" s="27"/>
      <x:c r="BX46" s="27"/>
      <x:c r="BY46" s="27"/>
      <x:c r="BZ46" s="27"/>
      <x:c r="CA46" s="27"/>
      <x:c r="CB46" s="27"/>
      <x:c r="CC46" s="27"/>
      <x:c r="CD46" s="27"/>
      <x:c r="CE46" s="27"/>
      <x:c r="CF46" s="27"/>
      <x:c r="CG46" s="27"/>
      <x:c r="CH46" s="27"/>
      <x:c r="CI46" s="27"/>
      <x:c r="CJ46" s="27"/>
      <x:c r="CK46" s="27"/>
      <x:c r="CL46" s="27"/>
      <x:c r="CM46" s="27"/>
      <x:c r="CN46" s="27"/>
      <x:c r="CO46" s="27"/>
      <x:c r="CP46" s="27"/>
      <x:c r="CQ46" s="27"/>
      <x:c r="CR46" s="27"/>
      <x:c r="CS46" s="27"/>
      <x:c r="CT46" s="27"/>
      <x:c r="CU46" s="27"/>
      <x:c r="CV46" s="27"/>
      <x:c r="CW46" s="27"/>
      <x:c r="CX46" s="27"/>
      <x:c r="CY46" s="27"/>
      <x:c r="CZ46" s="27"/>
      <x:c r="DA46" s="27"/>
      <x:c r="DB46" s="27"/>
      <x:c r="DC46" s="27"/>
      <x:c r="DD46" s="27"/>
      <x:c r="DE46" s="27"/>
      <x:c r="DF46" s="27"/>
      <x:c r="DG46" s="27"/>
      <x:c r="DH46" s="27"/>
      <x:c r="DI46" s="27"/>
      <x:c r="DJ46" s="27"/>
      <x:c r="DK46" s="27"/>
      <x:c r="DL46" s="27"/>
      <x:c r="DM46" s="27"/>
      <x:c r="DN46" s="27"/>
      <x:c r="DO46" s="27"/>
      <x:c r="DP46" s="27"/>
      <x:c r="DQ46" s="27"/>
      <x:c r="DR46" s="27"/>
      <x:c r="DS46" s="27"/>
      <x:c r="DT46" s="27"/>
      <x:c r="DU46" s="27"/>
      <x:c r="DV46" s="27"/>
      <x:c r="DW46" s="27"/>
      <x:c r="DX46" s="27"/>
      <x:c r="DY46" s="27"/>
      <x:c r="DZ46" s="27"/>
      <x:c r="EA46" s="27"/>
      <x:c r="EB46" s="27"/>
      <x:c r="EC46" s="27"/>
      <x:c r="ED46" s="27"/>
      <x:c r="EE46" s="27"/>
      <x:c r="EF46" s="27"/>
      <x:c r="EG46" s="27"/>
      <x:c r="EH46" s="27"/>
      <x:c r="EI46" s="27"/>
      <x:c r="EJ46" s="27"/>
      <x:c r="EK46" s="27"/>
      <x:c r="EL46" s="27"/>
      <x:c r="EM46" s="27"/>
      <x:c r="EN46" s="27"/>
      <x:c r="EO46" s="27"/>
      <x:c r="EP46" s="27"/>
      <x:c r="EQ46" s="27"/>
      <x:c r="ER46" s="27"/>
      <x:c r="ES46" s="27"/>
      <x:c r="ET46" s="27"/>
      <x:c r="EU46" s="27"/>
      <x:c r="EV46" s="27"/>
      <x:c r="EW46" s="27"/>
      <x:c r="EX46" s="27"/>
      <x:c r="EY46" s="27"/>
      <x:c r="EZ46" s="27"/>
      <x:c r="FA46" s="27"/>
      <x:c r="FB46" s="27"/>
      <x:c r="FC46" s="27"/>
      <x:c r="FD46" s="27"/>
      <x:c r="FE46" s="27"/>
      <x:c r="FF46" s="27"/>
      <x:c r="FG46" s="27"/>
      <x:c r="FH46" s="27"/>
      <x:c r="FI46" s="27"/>
      <x:c r="FJ46" s="27"/>
      <x:c r="FK46" s="27"/>
      <x:c r="FL46" s="27"/>
      <x:c r="FM46" s="27"/>
      <x:c r="FN46" s="27"/>
      <x:c r="FO46" s="27"/>
      <x:c r="FP46" s="27"/>
      <x:c r="FQ46" s="27"/>
      <x:c r="FR46" s="27"/>
      <x:c r="FS46" s="27"/>
      <x:c r="FT46" s="27"/>
      <x:c r="FU46" s="27"/>
      <x:c r="FV46" s="27"/>
      <x:c r="FW46" s="27"/>
      <x:c r="FX46" s="27"/>
      <x:c r="FY46" s="27"/>
      <x:c r="FZ46" s="27"/>
      <x:c r="GA46" s="27"/>
      <x:c r="GB46" s="27"/>
      <x:c r="GC46" s="27"/>
      <x:c r="GD46" s="27"/>
      <x:c r="GE46" s="27"/>
      <x:c r="GF46" s="27"/>
      <x:c r="GG46" s="27"/>
      <x:c r="GH46" s="27"/>
      <x:c r="GI46" s="27"/>
      <x:c r="GJ46" s="27"/>
      <x:c r="GK46" s="27"/>
      <x:c r="GL46" s="27"/>
      <x:c r="GM46" s="27"/>
      <x:c r="GN46" s="27"/>
      <x:c r="GO46" s="27"/>
      <x:c r="GP46" s="27"/>
      <x:c r="GQ46" s="27"/>
      <x:c r="GR46" s="27"/>
      <x:c r="GS46" s="27"/>
      <x:c r="GT46" s="27"/>
      <x:c r="GU46" s="27"/>
      <x:c r="GV46" s="27"/>
      <x:c r="GW46" s="27"/>
      <x:c r="GX46" s="27"/>
      <x:c r="GY46" s="27"/>
      <x:c r="GZ46" s="27"/>
      <x:c r="HA46" s="27"/>
      <x:c r="HB46" s="27"/>
      <x:c r="HC46" s="27"/>
      <x:c r="HD46" s="27"/>
      <x:c r="HE46" s="27"/>
      <x:c r="HF46" s="27"/>
      <x:c r="HG46" s="27"/>
      <x:c r="HH46" s="27"/>
      <x:c r="HI46" s="27"/>
      <x:c r="HJ46" s="27"/>
      <x:c r="HK46" s="27"/>
      <x:c r="HL46" s="27"/>
      <x:c r="HM46" s="27"/>
      <x:c r="HN46" s="27"/>
      <x:c r="HO46" s="27"/>
      <x:c r="HP46" s="27" t="str">
        <x:f>IF(C46="","",SUM(H46,N46,T46,Z46,AF46,AL46,AR46,AX46,BD46,BJ46,BP46,BV46,CB46,CH46,CN46,CT46,CZ46,DF46,DL46,DR46,DX46,ED46,EJ46,EP46,EV46,FB46,FH46,FN46,FT46,FZ46,GF46,GL46,GR46,GX46,HD46,HJ46))</x:f>
      </x:c>
      <x:c r="HQ46" s="27" t="str">
        <x:f>IF(C46="","",SUM(I46,O46,U46,AA46,AG46,AM46,AS46,AY46,BE46,BK46,BQ46,BW46,CC46,CI46,CO46,CU46,DA46,DG46,DM46,DS46,DY46,EE46,EK46,EQ46,EW46,FC46,FI46,FO46,FU46,GA46,GG46,GM46,GS46,GY46,HE46,HK46))</x:f>
      </x:c>
      <x:c r="HR46" s="27" t="str">
        <x:f>IF(C46="","",SUM(J46,P46,V46,AB46,AH46,AN46,AT46,AZ46,BF46,BL46,BR46,BX46,CD46,CJ46,CP46,CV46,DB46,DH46,DN46,DT46,DZ46,EF46,EL46,ER46,EX46,FD46,FJ46,FP46,FV46,GB46,GH46,GN46,GT46,GZ46,HF46,HL46))</x:f>
      </x:c>
      <x:c r="HS46" s="27" t="str">
        <x:f>IF(C46="","",SUM(K46,Q46,W46,AC46,AI46,AO46,AU46,BA46,BG46,BM46,BS46,BY46,CE46,CK46,CQ46,CW46,DC46,DI46,DO46,DU46,EA46,EG46,EM46,ES46,EY46,FE46,FK46,FQ46,FW46,GC46,GI46,GO46,GU46,HA46,HG46,HM46))</x:f>
      </x:c>
      <x:c r="HT46" s="27" t="str">
        <x:f>IF(C46="","",SUM(L46,R46,X46,AD46,AJ46,AP46,AV46,BB46,BH46,BN46,BT46,BZ46,CF46,CL46,CR46,CX46,DD46,DJ46,DP46,DV46,EB46,EH46,EN46,ET46,EZ46,FF46,FL46,FR46,FX46,GD46,GJ46,GP46,GV46,HB46,HH46,HN46))</x:f>
      </x:c>
      <x:c r="HU46" s="27" t="str">
        <x:f>IF(C46="","",SUM(M46,S46,Y46,AE46,AK46,AQ46,AW46,BC46,BI46,BO46,BU46,CA46,CG46,CM46,CS46,CY46,DE46,DK46,DQ46,DW46,EC46,EI46,EO46,EU46,FA46,FG46,FM46,FS46,FY46,GE46,GK46,GQ46,GW46,HC46,HI46,HO46))</x:f>
      </x:c>
      <x:c r="HV46" s="27" t="str">
        <x:f>IF(C46="","",IF(JI46=LARGE(JI46:JN46,1),"R",IF(JJ46=LARGE(JI46:JN46,1),"I",IF(JK46=LARGE(JI46:JN46,1),"A",IF(JL46=LARGE(JI46:JN46,1),"S",IF(JM46=LARGE(JI46:JN46,1),"E",IF(JN46=LARGE(JI46:JN46,1),"C",""))))))&amp;IF(JI46=LARGE(JI46:JN46,2),"R",IF(JJ46=LARGE(JI46:JN46,2),"I",IF(JK46=LARGE(JI46:JN46,2),"A",IF(JL46=LARGE(JI46:JN46,2),"S",IF(JM46=LARGE(JI46:JN46,2),"E",IF(JN46=LARGE(JI46:JN46,2),"C",""))))))&amp;IF(JI46=LARGE(JI46:JN46,3),"R",IF(JJ46=LARGE(JI46:JN46,3),"I",IF(JK46=LARGE(JI46:JN46,3),"A",IF(JL46=LARGE(JI46:JN46,3),"S",IF(JM46=LARGE(JI46:JN46,3),"E",IF(JN46=LARGE(JI46:JN46,3),"C","")))))))</x:f>
      </x:c>
      <x:c r="HW46" s="27" t="str">
        <x:f>IF(C46="","",IF(JI46=LARGE(JI46:JN46,1),"นักปฏิบัติ",IF(JJ46=LARGE(JI46:JN46,1),"นักคิดวิเคราะห์",IF(JK46=LARGE(JI46:JN46,1),"นักสร้างสรรค์",IF(JL46=LARGE(JI46:JN46,1),"ผู้เข้าใจผู้คน",IF(JM46=LARGE(JI46:JN46,1),"ผู้นำการเปลี่ยนแปลง",IF(JN46=LARGE(JI46:JN46,1),"ผู้จัดระบบ","ผู้จัดระบบ")))))))</x:f>
      </x:c>
      <x:c r="HX46" s="27"/>
      <x:c r="HY46" s="27"/>
      <x:c r="HZ46" s="27"/>
      <x:c r="IA46" s="27"/>
      <x:c r="IB46" s="27"/>
      <x:c r="IC46" s="27"/>
      <x:c r="ID46" s="27"/>
      <x:c r="IE46" s="27"/>
      <x:c r="IF46" s="27"/>
      <x:c r="IG46" s="27"/>
      <x:c r="IH46" s="27"/>
      <x:c r="II46" s="27"/>
      <x:c r="IJ46" s="27"/>
      <x:c r="IK46" s="27" t="str">
        <x:f>IF(C46="","",SUM(H46,N46,T46,Z46,AF46,AL46,AR46,AX46,BD46,BJ46,BP46))</x:f>
      </x:c>
      <x:c r="IL46" s="27" t="str">
        <x:f>IF(C46="","",SUM(I46,O46,U46,AA46,AG46,AM46,AS46,AY46,BE46,BK46,BQ46))</x:f>
      </x:c>
      <x:c r="IM46" s="27" t="str">
        <x:f>IF(C46="","",SUM(J46,P46,V46,AB46,AH46,AN46,AT46,AZ46,BF46,BL46,BR46))</x:f>
      </x:c>
      <x:c r="IN46" s="27" t="str">
        <x:f>IF(C46="","",SUM(K46,Q46,W46,AC46,AI46,AO46,AU46,BA46,BG46,BM46,BS46))</x:f>
      </x:c>
      <x:c r="IO46" s="27" t="str">
        <x:f>IF(C46="","",SUM(L46,R46,X46,AD46,AJ46,AP46,AV46,BB46,BH46,BN46,BT46))</x:f>
      </x:c>
      <x:c r="IP46" s="27" t="str">
        <x:f>IF(C46="","",SUM(M46,S46,Y46,AE46,AK46,AQ46,AW46,BC46,BI46,BO46,BU46))</x:f>
      </x:c>
      <x:c r="IQ46" s="27" t="str">
        <x:f>IF(C46="","",SUM(BV46,CB46,CH46,CN46,CT46,CZ46,DF46,DL46,DR46,DX46,ED46))</x:f>
      </x:c>
      <x:c r="IR46" s="27" t="str">
        <x:f>IF(C46="","",SUM(BW46,CC46,CI46,CO46,CU46,DA46,DG46,DM46,DS46,DY46,EE46))</x:f>
      </x:c>
      <x:c r="IS46" s="27" t="str">
        <x:f>IF(C46="","",SUM(BX46,CD46,CJ46,CP46,CV46,DB46,DH46,DN46,DT46,DZ46,EF46))</x:f>
      </x:c>
      <x:c r="IT46" s="27" t="str">
        <x:f>IF(C46="","",SUM(BY46,CE46,CK46,CQ46,CW46,DC46,DI46,DO46,DU46,EA46,EG46))</x:f>
      </x:c>
      <x:c r="IU46" s="27" t="str">
        <x:f>IF(C46="","",SUM(BZ46,CF46,CL46,CR46,CX46,DD46,DJ46,DP46,DV46,EB46,EH46))</x:f>
      </x:c>
      <x:c r="IV46" s="27" t="str">
        <x:f>IF(C46="","",SUM(CA46,CG46,CM46,CS46,CY46,DE46,DK46,DQ46,DW46,EC46,EI46))</x:f>
      </x:c>
      <x:c r="IW46" s="27" t="str">
        <x:f>IF(C46="","",SUM(EJ46,EP46,EV46,FB46,FH46,FN46,FT46,FZ46,GF46,GL46,GR46,GX46,HD46,HJ46))</x:f>
      </x:c>
      <x:c r="IX46" s="27" t="str">
        <x:f>IF(C46="","",SUM(EK46,EQ46,EW46,FC46,FI46,FO46,FU46,GA46,GG46,GM46,GS46,GY46,HE46,HK46))</x:f>
      </x:c>
      <x:c r="IY46" s="27" t="str">
        <x:f>IF(C46="","",SUM(EL46,ER46,EX46,FD46,FJ46,FP46,FV46,GB46,GH46,GN46,GT46,GZ46,HF46,HL46))</x:f>
      </x:c>
      <x:c r="IZ46" s="27" t="str">
        <x:f>IF(C46="","",SUM(EM46,ES46,EY46,FE46,FK46,FQ46,FW46,GC46,GI46,GO46,GU46,HA46,HG46,HM46))</x:f>
      </x:c>
      <x:c r="JA46" s="27" t="str">
        <x:f>IF(C46="","",SUM(EN46,ET46,EZ46,FF46,FL46,FR46,FX46,GD46,GJ46,GP46,GV46,HB46,HH46,HN46))</x:f>
      </x:c>
      <x:c r="JB46" s="27" t="str">
        <x:f>IF(C46="","",SUM(EO46,EU46,FA46,FG46,FM46,FS46,FY46,GE46,GK46,GQ46,GW46,HC46,HI46,HO46))</x:f>
      </x:c>
      <x:c r="JC46" s="27" t="str">
        <x:f>IF(C46="","",0)</x:f>
      </x:c>
      <x:c r="JD46" s="27" t="str">
        <x:f>IF(C46="","",0)</x:f>
      </x:c>
      <x:c r="JE46" s="27" t="str">
        <x:f>IF(C46="","",0)</x:f>
      </x:c>
      <x:c r="JF46" s="27" t="str">
        <x:f>IF(C46="","",0)</x:f>
      </x:c>
      <x:c r="JG46" s="27" t="str">
        <x:f>IF(C46="","",0)</x:f>
      </x:c>
      <x:c r="JH46" s="27" t="str">
        <x:f>IF(C46="","",0)</x:f>
      </x:c>
      <x:c r="JI46" s="27" t="str">
        <x:f>IF(C46="","",HP46*1000000000+IW46*1000000+IQ46*10000+IK46*100+JC46+6/1000)</x:f>
      </x:c>
      <x:c r="JJ46" s="27" t="str">
        <x:f>IF(C46="","",HQ46*1000000000+IX46*1000000+IR46*10000+IL46*100+JD46+5/1000)</x:f>
      </x:c>
      <x:c r="JK46" s="27" t="str">
        <x:f>IF(C46="","",HR46*1000000000+IY46*1000000+IS46*10000+IM46*100+JE46+4/1000)</x:f>
      </x:c>
      <x:c r="JL46" s="27" t="str">
        <x:f>IF(C46="","",HS46*1000000000+IZ46*1000000+IT46*10000+IN46*100+JF46+3/1000)</x:f>
      </x:c>
      <x:c r="JM46" s="27" t="str">
        <x:f>IF(C46="","",HT46*1000000000+JA46*1000000+IU46*10000+IO46*100+JG46+2/1000)</x:f>
      </x:c>
      <x:c r="JN46" s="27" t="str">
        <x:f>IF(C46="","",HU46*1000000000+JB46*1000000+IV46*10000+IP46*100+JH46+1/1000)</x:f>
      </x:c>
    </x:row>
    <x:row r="47">
      <x:c r="A47" s="27"/>
      <x:c r="B47" s="28"/>
      <x:c r="C47" s="27"/>
      <x:c r="D47" s="27"/>
      <x:c r="E47" s="27"/>
      <x:c r="F47" s="27"/>
      <x:c r="G47" s="27"/>
      <x:c r="H47" s="27"/>
      <x:c r="I47" s="27"/>
      <x:c r="J47" s="27"/>
      <x:c r="K47" s="27"/>
      <x:c r="L47" s="27"/>
      <x:c r="M47" s="27"/>
      <x:c r="N47" s="27"/>
      <x:c r="O47" s="27"/>
      <x:c r="P47" s="27"/>
      <x:c r="Q47" s="27"/>
      <x:c r="R47" s="27"/>
      <x:c r="S47" s="27"/>
      <x:c r="T47" s="27"/>
      <x:c r="U47" s="27"/>
      <x:c r="V47" s="27"/>
      <x:c r="W47" s="27"/>
      <x:c r="X47" s="27"/>
      <x:c r="Y47" s="27"/>
      <x:c r="Z47" s="27"/>
      <x:c r="AA47" s="27"/>
      <x:c r="AB47" s="27"/>
      <x:c r="AC47" s="27"/>
      <x:c r="AD47" s="27"/>
      <x:c r="AE47" s="27"/>
      <x:c r="AF47" s="27"/>
      <x:c r="AG47" s="27"/>
      <x:c r="AH47" s="27"/>
      <x:c r="AI47" s="27"/>
      <x:c r="AJ47" s="27"/>
      <x:c r="AK47" s="27"/>
      <x:c r="AL47" s="27"/>
      <x:c r="AM47" s="27"/>
      <x:c r="AN47" s="27"/>
      <x:c r="AO47" s="27"/>
      <x:c r="AP47" s="27"/>
      <x:c r="AQ47" s="27"/>
      <x:c r="AR47" s="27"/>
      <x:c r="AS47" s="27"/>
      <x:c r="AT47" s="27"/>
      <x:c r="AU47" s="27"/>
      <x:c r="AV47" s="27"/>
      <x:c r="AW47" s="27"/>
      <x:c r="AX47" s="27"/>
      <x:c r="AY47" s="27"/>
      <x:c r="AZ47" s="27"/>
      <x:c r="BA47" s="27"/>
      <x:c r="BB47" s="27"/>
      <x:c r="BC47" s="27"/>
      <x:c r="BD47" s="27"/>
      <x:c r="BE47" s="27"/>
      <x:c r="BF47" s="27"/>
      <x:c r="BG47" s="27"/>
      <x:c r="BH47" s="27"/>
      <x:c r="BI47" s="27"/>
      <x:c r="BJ47" s="27"/>
      <x:c r="BK47" s="27"/>
      <x:c r="BL47" s="27"/>
      <x:c r="BM47" s="27"/>
      <x:c r="BN47" s="27"/>
      <x:c r="BO47" s="27"/>
      <x:c r="BP47" s="27"/>
      <x:c r="BQ47" s="27"/>
      <x:c r="BR47" s="27"/>
      <x:c r="BS47" s="27"/>
      <x:c r="BT47" s="27"/>
      <x:c r="BU47" s="27"/>
      <x:c r="BV47" s="27"/>
      <x:c r="BW47" s="27"/>
      <x:c r="BX47" s="27"/>
      <x:c r="BY47" s="27"/>
      <x:c r="BZ47" s="27"/>
      <x:c r="CA47" s="27"/>
      <x:c r="CB47" s="27"/>
      <x:c r="CC47" s="27"/>
      <x:c r="CD47" s="27"/>
      <x:c r="CE47" s="27"/>
      <x:c r="CF47" s="27"/>
      <x:c r="CG47" s="27"/>
      <x:c r="CH47" s="27"/>
      <x:c r="CI47" s="27"/>
      <x:c r="CJ47" s="27"/>
      <x:c r="CK47" s="27"/>
      <x:c r="CL47" s="27"/>
      <x:c r="CM47" s="27"/>
      <x:c r="CN47" s="27"/>
      <x:c r="CO47" s="27"/>
      <x:c r="CP47" s="27"/>
      <x:c r="CQ47" s="27"/>
      <x:c r="CR47" s="27"/>
      <x:c r="CS47" s="27"/>
      <x:c r="CT47" s="27"/>
      <x:c r="CU47" s="27"/>
      <x:c r="CV47" s="27"/>
      <x:c r="CW47" s="27"/>
      <x:c r="CX47" s="27"/>
      <x:c r="CY47" s="27"/>
      <x:c r="CZ47" s="27"/>
      <x:c r="DA47" s="27"/>
      <x:c r="DB47" s="27"/>
      <x:c r="DC47" s="27"/>
      <x:c r="DD47" s="27"/>
      <x:c r="DE47" s="27"/>
      <x:c r="DF47" s="27"/>
      <x:c r="DG47" s="27"/>
      <x:c r="DH47" s="27"/>
      <x:c r="DI47" s="27"/>
      <x:c r="DJ47" s="27"/>
      <x:c r="DK47" s="27"/>
      <x:c r="DL47" s="27"/>
      <x:c r="DM47" s="27"/>
      <x:c r="DN47" s="27"/>
      <x:c r="DO47" s="27"/>
      <x:c r="DP47" s="27"/>
      <x:c r="DQ47" s="27"/>
      <x:c r="DR47" s="27"/>
      <x:c r="DS47" s="27"/>
      <x:c r="DT47" s="27"/>
      <x:c r="DU47" s="27"/>
      <x:c r="DV47" s="27"/>
      <x:c r="DW47" s="27"/>
      <x:c r="DX47" s="27"/>
      <x:c r="DY47" s="27"/>
      <x:c r="DZ47" s="27"/>
      <x:c r="EA47" s="27"/>
      <x:c r="EB47" s="27"/>
      <x:c r="EC47" s="27"/>
      <x:c r="ED47" s="27"/>
      <x:c r="EE47" s="27"/>
      <x:c r="EF47" s="27"/>
      <x:c r="EG47" s="27"/>
      <x:c r="EH47" s="27"/>
      <x:c r="EI47" s="27"/>
      <x:c r="EJ47" s="27"/>
      <x:c r="EK47" s="27"/>
      <x:c r="EL47" s="27"/>
      <x:c r="EM47" s="27"/>
      <x:c r="EN47" s="27"/>
      <x:c r="EO47" s="27"/>
      <x:c r="EP47" s="27"/>
      <x:c r="EQ47" s="27"/>
      <x:c r="ER47" s="27"/>
      <x:c r="ES47" s="27"/>
      <x:c r="ET47" s="27"/>
      <x:c r="EU47" s="27"/>
      <x:c r="EV47" s="27"/>
      <x:c r="EW47" s="27"/>
      <x:c r="EX47" s="27"/>
      <x:c r="EY47" s="27"/>
      <x:c r="EZ47" s="27"/>
      <x:c r="FA47" s="27"/>
      <x:c r="FB47" s="27"/>
      <x:c r="FC47" s="27"/>
      <x:c r="FD47" s="27"/>
      <x:c r="FE47" s="27"/>
      <x:c r="FF47" s="27"/>
      <x:c r="FG47" s="27"/>
      <x:c r="FH47" s="27"/>
      <x:c r="FI47" s="27"/>
      <x:c r="FJ47" s="27"/>
      <x:c r="FK47" s="27"/>
      <x:c r="FL47" s="27"/>
      <x:c r="FM47" s="27"/>
      <x:c r="FN47" s="27"/>
      <x:c r="FO47" s="27"/>
      <x:c r="FP47" s="27"/>
      <x:c r="FQ47" s="27"/>
      <x:c r="FR47" s="27"/>
      <x:c r="FS47" s="27"/>
      <x:c r="FT47" s="27"/>
      <x:c r="FU47" s="27"/>
      <x:c r="FV47" s="27"/>
      <x:c r="FW47" s="27"/>
      <x:c r="FX47" s="27"/>
      <x:c r="FY47" s="27"/>
      <x:c r="FZ47" s="27"/>
      <x:c r="GA47" s="27"/>
      <x:c r="GB47" s="27"/>
      <x:c r="GC47" s="27"/>
      <x:c r="GD47" s="27"/>
      <x:c r="GE47" s="27"/>
      <x:c r="GF47" s="27"/>
      <x:c r="GG47" s="27"/>
      <x:c r="GH47" s="27"/>
      <x:c r="GI47" s="27"/>
      <x:c r="GJ47" s="27"/>
      <x:c r="GK47" s="27"/>
      <x:c r="GL47" s="27"/>
      <x:c r="GM47" s="27"/>
      <x:c r="GN47" s="27"/>
      <x:c r="GO47" s="27"/>
      <x:c r="GP47" s="27"/>
      <x:c r="GQ47" s="27"/>
      <x:c r="GR47" s="27"/>
      <x:c r="GS47" s="27"/>
      <x:c r="GT47" s="27"/>
      <x:c r="GU47" s="27"/>
      <x:c r="GV47" s="27"/>
      <x:c r="GW47" s="27"/>
      <x:c r="GX47" s="27"/>
      <x:c r="GY47" s="27"/>
      <x:c r="GZ47" s="27"/>
      <x:c r="HA47" s="27"/>
      <x:c r="HB47" s="27"/>
      <x:c r="HC47" s="27"/>
      <x:c r="HD47" s="27"/>
      <x:c r="HE47" s="27"/>
      <x:c r="HF47" s="27"/>
      <x:c r="HG47" s="27"/>
      <x:c r="HH47" s="27"/>
      <x:c r="HI47" s="27"/>
      <x:c r="HJ47" s="27"/>
      <x:c r="HK47" s="27"/>
      <x:c r="HL47" s="27"/>
      <x:c r="HM47" s="27"/>
      <x:c r="HN47" s="27"/>
      <x:c r="HO47" s="27"/>
      <x:c r="HP47" s="27" t="str">
        <x:f>IF(C47="","",SUM(H47,N47,T47,Z47,AF47,AL47,AR47,AX47,BD47,BJ47,BP47,BV47,CB47,CH47,CN47,CT47,CZ47,DF47,DL47,DR47,DX47,ED47,EJ47,EP47,EV47,FB47,FH47,FN47,FT47,FZ47,GF47,GL47,GR47,GX47,HD47,HJ47))</x:f>
      </x:c>
      <x:c r="HQ47" s="27" t="str">
        <x:f>IF(C47="","",SUM(I47,O47,U47,AA47,AG47,AM47,AS47,AY47,BE47,BK47,BQ47,BW47,CC47,CI47,CO47,CU47,DA47,DG47,DM47,DS47,DY47,EE47,EK47,EQ47,EW47,FC47,FI47,FO47,FU47,GA47,GG47,GM47,GS47,GY47,HE47,HK47))</x:f>
      </x:c>
      <x:c r="HR47" s="27" t="str">
        <x:f>IF(C47="","",SUM(J47,P47,V47,AB47,AH47,AN47,AT47,AZ47,BF47,BL47,BR47,BX47,CD47,CJ47,CP47,CV47,DB47,DH47,DN47,DT47,DZ47,EF47,EL47,ER47,EX47,FD47,FJ47,FP47,FV47,GB47,GH47,GN47,GT47,GZ47,HF47,HL47))</x:f>
      </x:c>
      <x:c r="HS47" s="27" t="str">
        <x:f>IF(C47="","",SUM(K47,Q47,W47,AC47,AI47,AO47,AU47,BA47,BG47,BM47,BS47,BY47,CE47,CK47,CQ47,CW47,DC47,DI47,DO47,DU47,EA47,EG47,EM47,ES47,EY47,FE47,FK47,FQ47,FW47,GC47,GI47,GO47,GU47,HA47,HG47,HM47))</x:f>
      </x:c>
      <x:c r="HT47" s="27" t="str">
        <x:f>IF(C47="","",SUM(L47,R47,X47,AD47,AJ47,AP47,AV47,BB47,BH47,BN47,BT47,BZ47,CF47,CL47,CR47,CX47,DD47,DJ47,DP47,DV47,EB47,EH47,EN47,ET47,EZ47,FF47,FL47,FR47,FX47,GD47,GJ47,GP47,GV47,HB47,HH47,HN47))</x:f>
      </x:c>
      <x:c r="HU47" s="27" t="str">
        <x:f>IF(C47="","",SUM(M47,S47,Y47,AE47,AK47,AQ47,AW47,BC47,BI47,BO47,BU47,CA47,CG47,CM47,CS47,CY47,DE47,DK47,DQ47,DW47,EC47,EI47,EO47,EU47,FA47,FG47,FM47,FS47,FY47,GE47,GK47,GQ47,GW47,HC47,HI47,HO47))</x:f>
      </x:c>
      <x:c r="HV47" s="27" t="str">
        <x:f>IF(C47="","",IF(JI47=LARGE(JI47:JN47,1),"R",IF(JJ47=LARGE(JI47:JN47,1),"I",IF(JK47=LARGE(JI47:JN47,1),"A",IF(JL47=LARGE(JI47:JN47,1),"S",IF(JM47=LARGE(JI47:JN47,1),"E",IF(JN47=LARGE(JI47:JN47,1),"C",""))))))&amp;IF(JI47=LARGE(JI47:JN47,2),"R",IF(JJ47=LARGE(JI47:JN47,2),"I",IF(JK47=LARGE(JI47:JN47,2),"A",IF(JL47=LARGE(JI47:JN47,2),"S",IF(JM47=LARGE(JI47:JN47,2),"E",IF(JN47=LARGE(JI47:JN47,2),"C",""))))))&amp;IF(JI47=LARGE(JI47:JN47,3),"R",IF(JJ47=LARGE(JI47:JN47,3),"I",IF(JK47=LARGE(JI47:JN47,3),"A",IF(JL47=LARGE(JI47:JN47,3),"S",IF(JM47=LARGE(JI47:JN47,3),"E",IF(JN47=LARGE(JI47:JN47,3),"C","")))))))</x:f>
      </x:c>
      <x:c r="HW47" s="27" t="str">
        <x:f>IF(C47="","",IF(JI47=LARGE(JI47:JN47,1),"นักปฏิบัติ",IF(JJ47=LARGE(JI47:JN47,1),"นักคิดวิเคราะห์",IF(JK47=LARGE(JI47:JN47,1),"นักสร้างสรรค์",IF(JL47=LARGE(JI47:JN47,1),"ผู้เข้าใจผู้คน",IF(JM47=LARGE(JI47:JN47,1),"ผู้นำการเปลี่ยนแปลง",IF(JN47=LARGE(JI47:JN47,1),"ผู้จัดระบบ","ผู้จัดระบบ")))))))</x:f>
      </x:c>
      <x:c r="HX47" s="27"/>
      <x:c r="HY47" s="27"/>
      <x:c r="HZ47" s="27"/>
      <x:c r="IA47" s="27"/>
      <x:c r="IB47" s="27"/>
      <x:c r="IC47" s="27"/>
      <x:c r="ID47" s="27"/>
      <x:c r="IE47" s="27"/>
      <x:c r="IF47" s="27"/>
      <x:c r="IG47" s="27"/>
      <x:c r="IH47" s="27"/>
      <x:c r="II47" s="27"/>
      <x:c r="IJ47" s="27"/>
      <x:c r="IK47" s="27" t="str">
        <x:f>IF(C47="","",SUM(H47,N47,T47,Z47,AF47,AL47,AR47,AX47,BD47,BJ47,BP47))</x:f>
      </x:c>
      <x:c r="IL47" s="27" t="str">
        <x:f>IF(C47="","",SUM(I47,O47,U47,AA47,AG47,AM47,AS47,AY47,BE47,BK47,BQ47))</x:f>
      </x:c>
      <x:c r="IM47" s="27" t="str">
        <x:f>IF(C47="","",SUM(J47,P47,V47,AB47,AH47,AN47,AT47,AZ47,BF47,BL47,BR47))</x:f>
      </x:c>
      <x:c r="IN47" s="27" t="str">
        <x:f>IF(C47="","",SUM(K47,Q47,W47,AC47,AI47,AO47,AU47,BA47,BG47,BM47,BS47))</x:f>
      </x:c>
      <x:c r="IO47" s="27" t="str">
        <x:f>IF(C47="","",SUM(L47,R47,X47,AD47,AJ47,AP47,AV47,BB47,BH47,BN47,BT47))</x:f>
      </x:c>
      <x:c r="IP47" s="27" t="str">
        <x:f>IF(C47="","",SUM(M47,S47,Y47,AE47,AK47,AQ47,AW47,BC47,BI47,BO47,BU47))</x:f>
      </x:c>
      <x:c r="IQ47" s="27" t="str">
        <x:f>IF(C47="","",SUM(BV47,CB47,CH47,CN47,CT47,CZ47,DF47,DL47,DR47,DX47,ED47))</x:f>
      </x:c>
      <x:c r="IR47" s="27" t="str">
        <x:f>IF(C47="","",SUM(BW47,CC47,CI47,CO47,CU47,DA47,DG47,DM47,DS47,DY47,EE47))</x:f>
      </x:c>
      <x:c r="IS47" s="27" t="str">
        <x:f>IF(C47="","",SUM(BX47,CD47,CJ47,CP47,CV47,DB47,DH47,DN47,DT47,DZ47,EF47))</x:f>
      </x:c>
      <x:c r="IT47" s="27" t="str">
        <x:f>IF(C47="","",SUM(BY47,CE47,CK47,CQ47,CW47,DC47,DI47,DO47,DU47,EA47,EG47))</x:f>
      </x:c>
      <x:c r="IU47" s="27" t="str">
        <x:f>IF(C47="","",SUM(BZ47,CF47,CL47,CR47,CX47,DD47,DJ47,DP47,DV47,EB47,EH47))</x:f>
      </x:c>
      <x:c r="IV47" s="27" t="str">
        <x:f>IF(C47="","",SUM(CA47,CG47,CM47,CS47,CY47,DE47,DK47,DQ47,DW47,EC47,EI47))</x:f>
      </x:c>
      <x:c r="IW47" s="27" t="str">
        <x:f>IF(C47="","",SUM(EJ47,EP47,EV47,FB47,FH47,FN47,FT47,FZ47,GF47,GL47,GR47,GX47,HD47,HJ47))</x:f>
      </x:c>
      <x:c r="IX47" s="27" t="str">
        <x:f>IF(C47="","",SUM(EK47,EQ47,EW47,FC47,FI47,FO47,FU47,GA47,GG47,GM47,GS47,GY47,HE47,HK47))</x:f>
      </x:c>
      <x:c r="IY47" s="27" t="str">
        <x:f>IF(C47="","",SUM(EL47,ER47,EX47,FD47,FJ47,FP47,FV47,GB47,GH47,GN47,GT47,GZ47,HF47,HL47))</x:f>
      </x:c>
      <x:c r="IZ47" s="27" t="str">
        <x:f>IF(C47="","",SUM(EM47,ES47,EY47,FE47,FK47,FQ47,FW47,GC47,GI47,GO47,GU47,HA47,HG47,HM47))</x:f>
      </x:c>
      <x:c r="JA47" s="27" t="str">
        <x:f>IF(C47="","",SUM(EN47,ET47,EZ47,FF47,FL47,FR47,FX47,GD47,GJ47,GP47,GV47,HB47,HH47,HN47))</x:f>
      </x:c>
      <x:c r="JB47" s="27" t="str">
        <x:f>IF(C47="","",SUM(EO47,EU47,FA47,FG47,FM47,FS47,FY47,GE47,GK47,GQ47,GW47,HC47,HI47,HO47))</x:f>
      </x:c>
      <x:c r="JC47" s="27" t="str">
        <x:f>IF(C47="","",0)</x:f>
      </x:c>
      <x:c r="JD47" s="27" t="str">
        <x:f>IF(C47="","",0)</x:f>
      </x:c>
      <x:c r="JE47" s="27" t="str">
        <x:f>IF(C47="","",0)</x:f>
      </x:c>
      <x:c r="JF47" s="27" t="str">
        <x:f>IF(C47="","",0)</x:f>
      </x:c>
      <x:c r="JG47" s="27" t="str">
        <x:f>IF(C47="","",0)</x:f>
      </x:c>
      <x:c r="JH47" s="27" t="str">
        <x:f>IF(C47="","",0)</x:f>
      </x:c>
      <x:c r="JI47" s="27" t="str">
        <x:f>IF(C47="","",HP47*1000000000+IW47*1000000+IQ47*10000+IK47*100+JC47+6/1000)</x:f>
      </x:c>
      <x:c r="JJ47" s="27" t="str">
        <x:f>IF(C47="","",HQ47*1000000000+IX47*1000000+IR47*10000+IL47*100+JD47+5/1000)</x:f>
      </x:c>
      <x:c r="JK47" s="27" t="str">
        <x:f>IF(C47="","",HR47*1000000000+IY47*1000000+IS47*10000+IM47*100+JE47+4/1000)</x:f>
      </x:c>
      <x:c r="JL47" s="27" t="str">
        <x:f>IF(C47="","",HS47*1000000000+IZ47*1000000+IT47*10000+IN47*100+JF47+3/1000)</x:f>
      </x:c>
      <x:c r="JM47" s="27" t="str">
        <x:f>IF(C47="","",HT47*1000000000+JA47*1000000+IU47*10000+IO47*100+JG47+2/1000)</x:f>
      </x:c>
      <x:c r="JN47" s="27" t="str">
        <x:f>IF(C47="","",HU47*1000000000+JB47*1000000+IV47*10000+IP47*100+JH47+1/1000)</x:f>
      </x:c>
    </x:row>
    <x:row r="48">
      <x:c r="A48" s="27"/>
      <x:c r="B48" s="28"/>
      <x:c r="C48" s="27"/>
      <x:c r="D48" s="27"/>
      <x:c r="E48" s="27"/>
      <x:c r="F48" s="27"/>
      <x:c r="G48" s="27"/>
      <x:c r="H48" s="27"/>
      <x:c r="I48" s="27"/>
      <x:c r="J48" s="27"/>
      <x:c r="K48" s="27"/>
      <x:c r="L48" s="27"/>
      <x:c r="M48" s="27"/>
      <x:c r="N48" s="27"/>
      <x:c r="O48" s="27"/>
      <x:c r="P48" s="27"/>
      <x:c r="Q48" s="27"/>
      <x:c r="R48" s="27"/>
      <x:c r="S48" s="27"/>
      <x:c r="T48" s="27"/>
      <x:c r="U48" s="27"/>
      <x:c r="V48" s="27"/>
      <x:c r="W48" s="27"/>
      <x:c r="X48" s="27"/>
      <x:c r="Y48" s="27"/>
      <x:c r="Z48" s="27"/>
      <x:c r="AA48" s="27"/>
      <x:c r="AB48" s="27"/>
      <x:c r="AC48" s="27"/>
      <x:c r="AD48" s="27"/>
      <x:c r="AE48" s="27"/>
      <x:c r="AF48" s="27"/>
      <x:c r="AG48" s="27"/>
      <x:c r="AH48" s="27"/>
      <x:c r="AI48" s="27"/>
      <x:c r="AJ48" s="27"/>
      <x:c r="AK48" s="27"/>
      <x:c r="AL48" s="27"/>
      <x:c r="AM48" s="27"/>
      <x:c r="AN48" s="27"/>
      <x:c r="AO48" s="27"/>
      <x:c r="AP48" s="27"/>
      <x:c r="AQ48" s="27"/>
      <x:c r="AR48" s="27"/>
      <x:c r="AS48" s="27"/>
      <x:c r="AT48" s="27"/>
      <x:c r="AU48" s="27"/>
      <x:c r="AV48" s="27"/>
      <x:c r="AW48" s="27"/>
      <x:c r="AX48" s="27"/>
      <x:c r="AY48" s="27"/>
      <x:c r="AZ48" s="27"/>
      <x:c r="BA48" s="27"/>
      <x:c r="BB48" s="27"/>
      <x:c r="BC48" s="27"/>
      <x:c r="BD48" s="27"/>
      <x:c r="BE48" s="27"/>
      <x:c r="BF48" s="27"/>
      <x:c r="BG48" s="27"/>
      <x:c r="BH48" s="27"/>
      <x:c r="BI48" s="27"/>
      <x:c r="BJ48" s="27"/>
      <x:c r="BK48" s="27"/>
      <x:c r="BL48" s="27"/>
      <x:c r="BM48" s="27"/>
      <x:c r="BN48" s="27"/>
      <x:c r="BO48" s="27"/>
      <x:c r="BP48" s="27"/>
      <x:c r="BQ48" s="27"/>
      <x:c r="BR48" s="27"/>
      <x:c r="BS48" s="27"/>
      <x:c r="BT48" s="27"/>
      <x:c r="BU48" s="27"/>
      <x:c r="BV48" s="27"/>
      <x:c r="BW48" s="27"/>
      <x:c r="BX48" s="27"/>
      <x:c r="BY48" s="27"/>
      <x:c r="BZ48" s="27"/>
      <x:c r="CA48" s="27"/>
      <x:c r="CB48" s="27"/>
      <x:c r="CC48" s="27"/>
      <x:c r="CD48" s="27"/>
      <x:c r="CE48" s="27"/>
      <x:c r="CF48" s="27"/>
      <x:c r="CG48" s="27"/>
      <x:c r="CH48" s="27"/>
      <x:c r="CI48" s="27"/>
      <x:c r="CJ48" s="27"/>
      <x:c r="CK48" s="27"/>
      <x:c r="CL48" s="27"/>
      <x:c r="CM48" s="27"/>
      <x:c r="CN48" s="27"/>
      <x:c r="CO48" s="27"/>
      <x:c r="CP48" s="27"/>
      <x:c r="CQ48" s="27"/>
      <x:c r="CR48" s="27"/>
      <x:c r="CS48" s="27"/>
      <x:c r="CT48" s="27"/>
      <x:c r="CU48" s="27"/>
      <x:c r="CV48" s="27"/>
      <x:c r="CW48" s="27"/>
      <x:c r="CX48" s="27"/>
      <x:c r="CY48" s="27"/>
      <x:c r="CZ48" s="27"/>
      <x:c r="DA48" s="27"/>
      <x:c r="DB48" s="27"/>
      <x:c r="DC48" s="27"/>
      <x:c r="DD48" s="27"/>
      <x:c r="DE48" s="27"/>
      <x:c r="DF48" s="27"/>
      <x:c r="DG48" s="27"/>
      <x:c r="DH48" s="27"/>
      <x:c r="DI48" s="27"/>
      <x:c r="DJ48" s="27"/>
      <x:c r="DK48" s="27"/>
      <x:c r="DL48" s="27"/>
      <x:c r="DM48" s="27"/>
      <x:c r="DN48" s="27"/>
      <x:c r="DO48" s="27"/>
      <x:c r="DP48" s="27"/>
      <x:c r="DQ48" s="27"/>
      <x:c r="DR48" s="27"/>
      <x:c r="DS48" s="27"/>
      <x:c r="DT48" s="27"/>
      <x:c r="DU48" s="27"/>
      <x:c r="DV48" s="27"/>
      <x:c r="DW48" s="27"/>
      <x:c r="DX48" s="27"/>
      <x:c r="DY48" s="27"/>
      <x:c r="DZ48" s="27"/>
      <x:c r="EA48" s="27"/>
      <x:c r="EB48" s="27"/>
      <x:c r="EC48" s="27"/>
      <x:c r="ED48" s="27"/>
      <x:c r="EE48" s="27"/>
      <x:c r="EF48" s="27"/>
      <x:c r="EG48" s="27"/>
      <x:c r="EH48" s="27"/>
      <x:c r="EI48" s="27"/>
      <x:c r="EJ48" s="27"/>
      <x:c r="EK48" s="27"/>
      <x:c r="EL48" s="27"/>
      <x:c r="EM48" s="27"/>
      <x:c r="EN48" s="27"/>
      <x:c r="EO48" s="27"/>
      <x:c r="EP48" s="27"/>
      <x:c r="EQ48" s="27"/>
      <x:c r="ER48" s="27"/>
      <x:c r="ES48" s="27"/>
      <x:c r="ET48" s="27"/>
      <x:c r="EU48" s="27"/>
      <x:c r="EV48" s="27"/>
      <x:c r="EW48" s="27"/>
      <x:c r="EX48" s="27"/>
      <x:c r="EY48" s="27"/>
      <x:c r="EZ48" s="27"/>
      <x:c r="FA48" s="27"/>
      <x:c r="FB48" s="27"/>
      <x:c r="FC48" s="27"/>
      <x:c r="FD48" s="27"/>
      <x:c r="FE48" s="27"/>
      <x:c r="FF48" s="27"/>
      <x:c r="FG48" s="27"/>
      <x:c r="FH48" s="27"/>
      <x:c r="FI48" s="27"/>
      <x:c r="FJ48" s="27"/>
      <x:c r="FK48" s="27"/>
      <x:c r="FL48" s="27"/>
      <x:c r="FM48" s="27"/>
      <x:c r="FN48" s="27"/>
      <x:c r="FO48" s="27"/>
      <x:c r="FP48" s="27"/>
      <x:c r="FQ48" s="27"/>
      <x:c r="FR48" s="27"/>
      <x:c r="FS48" s="27"/>
      <x:c r="FT48" s="27"/>
      <x:c r="FU48" s="27"/>
      <x:c r="FV48" s="27"/>
      <x:c r="FW48" s="27"/>
      <x:c r="FX48" s="27"/>
      <x:c r="FY48" s="27"/>
      <x:c r="FZ48" s="27"/>
      <x:c r="GA48" s="27"/>
      <x:c r="GB48" s="27"/>
      <x:c r="GC48" s="27"/>
      <x:c r="GD48" s="27"/>
      <x:c r="GE48" s="27"/>
      <x:c r="GF48" s="27"/>
      <x:c r="GG48" s="27"/>
      <x:c r="GH48" s="27"/>
      <x:c r="GI48" s="27"/>
      <x:c r="GJ48" s="27"/>
      <x:c r="GK48" s="27"/>
      <x:c r="GL48" s="27"/>
      <x:c r="GM48" s="27"/>
      <x:c r="GN48" s="27"/>
      <x:c r="GO48" s="27"/>
      <x:c r="GP48" s="27"/>
      <x:c r="GQ48" s="27"/>
      <x:c r="GR48" s="27"/>
      <x:c r="GS48" s="27"/>
      <x:c r="GT48" s="27"/>
      <x:c r="GU48" s="27"/>
      <x:c r="GV48" s="27"/>
      <x:c r="GW48" s="27"/>
      <x:c r="GX48" s="27"/>
      <x:c r="GY48" s="27"/>
      <x:c r="GZ48" s="27"/>
      <x:c r="HA48" s="27"/>
      <x:c r="HB48" s="27"/>
      <x:c r="HC48" s="27"/>
      <x:c r="HD48" s="27"/>
      <x:c r="HE48" s="27"/>
      <x:c r="HF48" s="27"/>
      <x:c r="HG48" s="27"/>
      <x:c r="HH48" s="27"/>
      <x:c r="HI48" s="27"/>
      <x:c r="HJ48" s="27"/>
      <x:c r="HK48" s="27"/>
      <x:c r="HL48" s="27"/>
      <x:c r="HM48" s="27"/>
      <x:c r="HN48" s="27"/>
      <x:c r="HO48" s="27"/>
      <x:c r="HP48" s="27" t="str">
        <x:f>IF(C48="","",SUM(H48,N48,T48,Z48,AF48,AL48,AR48,AX48,BD48,BJ48,BP48,BV48,CB48,CH48,CN48,CT48,CZ48,DF48,DL48,DR48,DX48,ED48,EJ48,EP48,EV48,FB48,FH48,FN48,FT48,FZ48,GF48,GL48,GR48,GX48,HD48,HJ48))</x:f>
      </x:c>
      <x:c r="HQ48" s="27" t="str">
        <x:f>IF(C48="","",SUM(I48,O48,U48,AA48,AG48,AM48,AS48,AY48,BE48,BK48,BQ48,BW48,CC48,CI48,CO48,CU48,DA48,DG48,DM48,DS48,DY48,EE48,EK48,EQ48,EW48,FC48,FI48,FO48,FU48,GA48,GG48,GM48,GS48,GY48,HE48,HK48))</x:f>
      </x:c>
      <x:c r="HR48" s="27" t="str">
        <x:f>IF(C48="","",SUM(J48,P48,V48,AB48,AH48,AN48,AT48,AZ48,BF48,BL48,BR48,BX48,CD48,CJ48,CP48,CV48,DB48,DH48,DN48,DT48,DZ48,EF48,EL48,ER48,EX48,FD48,FJ48,FP48,FV48,GB48,GH48,GN48,GT48,GZ48,HF48,HL48))</x:f>
      </x:c>
      <x:c r="HS48" s="27" t="str">
        <x:f>IF(C48="","",SUM(K48,Q48,W48,AC48,AI48,AO48,AU48,BA48,BG48,BM48,BS48,BY48,CE48,CK48,CQ48,CW48,DC48,DI48,DO48,DU48,EA48,EG48,EM48,ES48,EY48,FE48,FK48,FQ48,FW48,GC48,GI48,GO48,GU48,HA48,HG48,HM48))</x:f>
      </x:c>
      <x:c r="HT48" s="27" t="str">
        <x:f>IF(C48="","",SUM(L48,R48,X48,AD48,AJ48,AP48,AV48,BB48,BH48,BN48,BT48,BZ48,CF48,CL48,CR48,CX48,DD48,DJ48,DP48,DV48,EB48,EH48,EN48,ET48,EZ48,FF48,FL48,FR48,FX48,GD48,GJ48,GP48,GV48,HB48,HH48,HN48))</x:f>
      </x:c>
      <x:c r="HU48" s="27" t="str">
        <x:f>IF(C48="","",SUM(M48,S48,Y48,AE48,AK48,AQ48,AW48,BC48,BI48,BO48,BU48,CA48,CG48,CM48,CS48,CY48,DE48,DK48,DQ48,DW48,EC48,EI48,EO48,EU48,FA48,FG48,FM48,FS48,FY48,GE48,GK48,GQ48,GW48,HC48,HI48,HO48))</x:f>
      </x:c>
      <x:c r="HV48" s="27" t="str">
        <x:f>IF(C48="","",IF(JI48=LARGE(JI48:JN48,1),"R",IF(JJ48=LARGE(JI48:JN48,1),"I",IF(JK48=LARGE(JI48:JN48,1),"A",IF(JL48=LARGE(JI48:JN48,1),"S",IF(JM48=LARGE(JI48:JN48,1),"E",IF(JN48=LARGE(JI48:JN48,1),"C",""))))))&amp;IF(JI48=LARGE(JI48:JN48,2),"R",IF(JJ48=LARGE(JI48:JN48,2),"I",IF(JK48=LARGE(JI48:JN48,2),"A",IF(JL48=LARGE(JI48:JN48,2),"S",IF(JM48=LARGE(JI48:JN48,2),"E",IF(JN48=LARGE(JI48:JN48,2),"C",""))))))&amp;IF(JI48=LARGE(JI48:JN48,3),"R",IF(JJ48=LARGE(JI48:JN48,3),"I",IF(JK48=LARGE(JI48:JN48,3),"A",IF(JL48=LARGE(JI48:JN48,3),"S",IF(JM48=LARGE(JI48:JN48,3),"E",IF(JN48=LARGE(JI48:JN48,3),"C","")))))))</x:f>
      </x:c>
      <x:c r="HW48" s="27" t="str">
        <x:f>IF(C48="","",IF(JI48=LARGE(JI48:JN48,1),"นักปฏิบัติ",IF(JJ48=LARGE(JI48:JN48,1),"นักคิดวิเคราะห์",IF(JK48=LARGE(JI48:JN48,1),"นักสร้างสรรค์",IF(JL48=LARGE(JI48:JN48,1),"ผู้เข้าใจผู้คน",IF(JM48=LARGE(JI48:JN48,1),"ผู้นำการเปลี่ยนแปลง",IF(JN48=LARGE(JI48:JN48,1),"ผู้จัดระบบ","ผู้จัดระบบ")))))))</x:f>
      </x:c>
      <x:c r="HX48" s="27"/>
      <x:c r="HY48" s="27"/>
      <x:c r="HZ48" s="27"/>
      <x:c r="IA48" s="27"/>
      <x:c r="IB48" s="27"/>
      <x:c r="IC48" s="27"/>
      <x:c r="ID48" s="27"/>
      <x:c r="IE48" s="27"/>
      <x:c r="IF48" s="27"/>
      <x:c r="IG48" s="27"/>
      <x:c r="IH48" s="27"/>
      <x:c r="II48" s="27"/>
      <x:c r="IJ48" s="27"/>
      <x:c r="IK48" s="27" t="str">
        <x:f>IF(C48="","",SUM(H48,N48,T48,Z48,AF48,AL48,AR48,AX48,BD48,BJ48,BP48))</x:f>
      </x:c>
      <x:c r="IL48" s="27" t="str">
        <x:f>IF(C48="","",SUM(I48,O48,U48,AA48,AG48,AM48,AS48,AY48,BE48,BK48,BQ48))</x:f>
      </x:c>
      <x:c r="IM48" s="27" t="str">
        <x:f>IF(C48="","",SUM(J48,P48,V48,AB48,AH48,AN48,AT48,AZ48,BF48,BL48,BR48))</x:f>
      </x:c>
      <x:c r="IN48" s="27" t="str">
        <x:f>IF(C48="","",SUM(K48,Q48,W48,AC48,AI48,AO48,AU48,BA48,BG48,BM48,BS48))</x:f>
      </x:c>
      <x:c r="IO48" s="27" t="str">
        <x:f>IF(C48="","",SUM(L48,R48,X48,AD48,AJ48,AP48,AV48,BB48,BH48,BN48,BT48))</x:f>
      </x:c>
      <x:c r="IP48" s="27" t="str">
        <x:f>IF(C48="","",SUM(M48,S48,Y48,AE48,AK48,AQ48,AW48,BC48,BI48,BO48,BU48))</x:f>
      </x:c>
      <x:c r="IQ48" s="27" t="str">
        <x:f>IF(C48="","",SUM(BV48,CB48,CH48,CN48,CT48,CZ48,DF48,DL48,DR48,DX48,ED48))</x:f>
      </x:c>
      <x:c r="IR48" s="27" t="str">
        <x:f>IF(C48="","",SUM(BW48,CC48,CI48,CO48,CU48,DA48,DG48,DM48,DS48,DY48,EE48))</x:f>
      </x:c>
      <x:c r="IS48" s="27" t="str">
        <x:f>IF(C48="","",SUM(BX48,CD48,CJ48,CP48,CV48,DB48,DH48,DN48,DT48,DZ48,EF48))</x:f>
      </x:c>
      <x:c r="IT48" s="27" t="str">
        <x:f>IF(C48="","",SUM(BY48,CE48,CK48,CQ48,CW48,DC48,DI48,DO48,DU48,EA48,EG48))</x:f>
      </x:c>
      <x:c r="IU48" s="27" t="str">
        <x:f>IF(C48="","",SUM(BZ48,CF48,CL48,CR48,CX48,DD48,DJ48,DP48,DV48,EB48,EH48))</x:f>
      </x:c>
      <x:c r="IV48" s="27" t="str">
        <x:f>IF(C48="","",SUM(CA48,CG48,CM48,CS48,CY48,DE48,DK48,DQ48,DW48,EC48,EI48))</x:f>
      </x:c>
      <x:c r="IW48" s="27" t="str">
        <x:f>IF(C48="","",SUM(EJ48,EP48,EV48,FB48,FH48,FN48,FT48,FZ48,GF48,GL48,GR48,GX48,HD48,HJ48))</x:f>
      </x:c>
      <x:c r="IX48" s="27" t="str">
        <x:f>IF(C48="","",SUM(EK48,EQ48,EW48,FC48,FI48,FO48,FU48,GA48,GG48,GM48,GS48,GY48,HE48,HK48))</x:f>
      </x:c>
      <x:c r="IY48" s="27" t="str">
        <x:f>IF(C48="","",SUM(EL48,ER48,EX48,FD48,FJ48,FP48,FV48,GB48,GH48,GN48,GT48,GZ48,HF48,HL48))</x:f>
      </x:c>
      <x:c r="IZ48" s="27" t="str">
        <x:f>IF(C48="","",SUM(EM48,ES48,EY48,FE48,FK48,FQ48,FW48,GC48,GI48,GO48,GU48,HA48,HG48,HM48))</x:f>
      </x:c>
      <x:c r="JA48" s="27" t="str">
        <x:f>IF(C48="","",SUM(EN48,ET48,EZ48,FF48,FL48,FR48,FX48,GD48,GJ48,GP48,GV48,HB48,HH48,HN48))</x:f>
      </x:c>
      <x:c r="JB48" s="27" t="str">
        <x:f>IF(C48="","",SUM(EO48,EU48,FA48,FG48,FM48,FS48,FY48,GE48,GK48,GQ48,GW48,HC48,HI48,HO48))</x:f>
      </x:c>
      <x:c r="JC48" s="27" t="str">
        <x:f>IF(C48="","",0)</x:f>
      </x:c>
      <x:c r="JD48" s="27" t="str">
        <x:f>IF(C48="","",0)</x:f>
      </x:c>
      <x:c r="JE48" s="27" t="str">
        <x:f>IF(C48="","",0)</x:f>
      </x:c>
      <x:c r="JF48" s="27" t="str">
        <x:f>IF(C48="","",0)</x:f>
      </x:c>
      <x:c r="JG48" s="27" t="str">
        <x:f>IF(C48="","",0)</x:f>
      </x:c>
      <x:c r="JH48" s="27" t="str">
        <x:f>IF(C48="","",0)</x:f>
      </x:c>
      <x:c r="JI48" s="27" t="str">
        <x:f>IF(C48="","",HP48*1000000000+IW48*1000000+IQ48*10000+IK48*100+JC48+6/1000)</x:f>
      </x:c>
      <x:c r="JJ48" s="27" t="str">
        <x:f>IF(C48="","",HQ48*1000000000+IX48*1000000+IR48*10000+IL48*100+JD48+5/1000)</x:f>
      </x:c>
      <x:c r="JK48" s="27" t="str">
        <x:f>IF(C48="","",HR48*1000000000+IY48*1000000+IS48*10000+IM48*100+JE48+4/1000)</x:f>
      </x:c>
      <x:c r="JL48" s="27" t="str">
        <x:f>IF(C48="","",HS48*1000000000+IZ48*1000000+IT48*10000+IN48*100+JF48+3/1000)</x:f>
      </x:c>
      <x:c r="JM48" s="27" t="str">
        <x:f>IF(C48="","",HT48*1000000000+JA48*1000000+IU48*10000+IO48*100+JG48+2/1000)</x:f>
      </x:c>
      <x:c r="JN48" s="27" t="str">
        <x:f>IF(C48="","",HU48*1000000000+JB48*1000000+IV48*10000+IP48*100+JH48+1/1000)</x:f>
      </x:c>
    </x:row>
    <x:row r="49">
      <x:c r="A49" s="27"/>
      <x:c r="B49" s="28"/>
      <x:c r="C49" s="27"/>
      <x:c r="D49" s="27"/>
      <x:c r="E49" s="27"/>
      <x:c r="F49" s="27"/>
      <x:c r="G49" s="27"/>
      <x:c r="H49" s="27"/>
      <x:c r="I49" s="27"/>
      <x:c r="J49" s="27"/>
      <x:c r="K49" s="27"/>
      <x:c r="L49" s="27"/>
      <x:c r="M49" s="27"/>
      <x:c r="N49" s="27"/>
      <x:c r="O49" s="27"/>
      <x:c r="P49" s="27"/>
      <x:c r="Q49" s="27"/>
      <x:c r="R49" s="27"/>
      <x:c r="S49" s="27"/>
      <x:c r="T49" s="27"/>
      <x:c r="U49" s="27"/>
      <x:c r="V49" s="27"/>
      <x:c r="W49" s="27"/>
      <x:c r="X49" s="27"/>
      <x:c r="Y49" s="27"/>
      <x:c r="Z49" s="27"/>
      <x:c r="AA49" s="27"/>
      <x:c r="AB49" s="27"/>
      <x:c r="AC49" s="27"/>
      <x:c r="AD49" s="27"/>
      <x:c r="AE49" s="27"/>
      <x:c r="AF49" s="27"/>
      <x:c r="AG49" s="27"/>
      <x:c r="AH49" s="27"/>
      <x:c r="AI49" s="27"/>
      <x:c r="AJ49" s="27"/>
      <x:c r="AK49" s="27"/>
      <x:c r="AL49" s="27"/>
      <x:c r="AM49" s="27"/>
      <x:c r="AN49" s="27"/>
      <x:c r="AO49" s="27"/>
      <x:c r="AP49" s="27"/>
      <x:c r="AQ49" s="27"/>
      <x:c r="AR49" s="27"/>
      <x:c r="AS49" s="27"/>
      <x:c r="AT49" s="27"/>
      <x:c r="AU49" s="27"/>
      <x:c r="AV49" s="27"/>
      <x:c r="AW49" s="27"/>
      <x:c r="AX49" s="27"/>
      <x:c r="AY49" s="27"/>
      <x:c r="AZ49" s="27"/>
      <x:c r="BA49" s="27"/>
      <x:c r="BB49" s="27"/>
      <x:c r="BC49" s="27"/>
      <x:c r="BD49" s="27"/>
      <x:c r="BE49" s="27"/>
      <x:c r="BF49" s="27"/>
      <x:c r="BG49" s="27"/>
      <x:c r="BH49" s="27"/>
      <x:c r="BI49" s="27"/>
      <x:c r="BJ49" s="27"/>
      <x:c r="BK49" s="27"/>
      <x:c r="BL49" s="27"/>
      <x:c r="BM49" s="27"/>
      <x:c r="BN49" s="27"/>
      <x:c r="BO49" s="27"/>
      <x:c r="BP49" s="27"/>
      <x:c r="BQ49" s="27"/>
      <x:c r="BR49" s="27"/>
      <x:c r="BS49" s="27"/>
      <x:c r="BT49" s="27"/>
      <x:c r="BU49" s="27"/>
      <x:c r="BV49" s="27"/>
      <x:c r="BW49" s="27"/>
      <x:c r="BX49" s="27"/>
      <x:c r="BY49" s="27"/>
      <x:c r="BZ49" s="27"/>
      <x:c r="CA49" s="27"/>
      <x:c r="CB49" s="27"/>
      <x:c r="CC49" s="27"/>
      <x:c r="CD49" s="27"/>
      <x:c r="CE49" s="27"/>
      <x:c r="CF49" s="27"/>
      <x:c r="CG49" s="27"/>
      <x:c r="CH49" s="27"/>
      <x:c r="CI49" s="27"/>
      <x:c r="CJ49" s="27"/>
      <x:c r="CK49" s="27"/>
      <x:c r="CL49" s="27"/>
      <x:c r="CM49" s="27"/>
      <x:c r="CN49" s="27"/>
      <x:c r="CO49" s="27"/>
      <x:c r="CP49" s="27"/>
      <x:c r="CQ49" s="27"/>
      <x:c r="CR49" s="27"/>
      <x:c r="CS49" s="27"/>
      <x:c r="CT49" s="27"/>
      <x:c r="CU49" s="27"/>
      <x:c r="CV49" s="27"/>
      <x:c r="CW49" s="27"/>
      <x:c r="CX49" s="27"/>
      <x:c r="CY49" s="27"/>
      <x:c r="CZ49" s="27"/>
      <x:c r="DA49" s="27"/>
      <x:c r="DB49" s="27"/>
      <x:c r="DC49" s="27"/>
      <x:c r="DD49" s="27"/>
      <x:c r="DE49" s="27"/>
      <x:c r="DF49" s="27"/>
      <x:c r="DG49" s="27"/>
      <x:c r="DH49" s="27"/>
      <x:c r="DI49" s="27"/>
      <x:c r="DJ49" s="27"/>
      <x:c r="DK49" s="27"/>
      <x:c r="DL49" s="27"/>
      <x:c r="DM49" s="27"/>
      <x:c r="DN49" s="27"/>
      <x:c r="DO49" s="27"/>
      <x:c r="DP49" s="27"/>
      <x:c r="DQ49" s="27"/>
      <x:c r="DR49" s="27"/>
      <x:c r="DS49" s="27"/>
      <x:c r="DT49" s="27"/>
      <x:c r="DU49" s="27"/>
      <x:c r="DV49" s="27"/>
      <x:c r="DW49" s="27"/>
      <x:c r="DX49" s="27"/>
      <x:c r="DY49" s="27"/>
      <x:c r="DZ49" s="27"/>
      <x:c r="EA49" s="27"/>
      <x:c r="EB49" s="27"/>
      <x:c r="EC49" s="27"/>
      <x:c r="ED49" s="27"/>
      <x:c r="EE49" s="27"/>
      <x:c r="EF49" s="27"/>
      <x:c r="EG49" s="27"/>
      <x:c r="EH49" s="27"/>
      <x:c r="EI49" s="27"/>
      <x:c r="EJ49" s="27"/>
      <x:c r="EK49" s="27"/>
      <x:c r="EL49" s="27"/>
      <x:c r="EM49" s="27"/>
      <x:c r="EN49" s="27"/>
      <x:c r="EO49" s="27"/>
      <x:c r="EP49" s="27"/>
      <x:c r="EQ49" s="27"/>
      <x:c r="ER49" s="27"/>
      <x:c r="ES49" s="27"/>
      <x:c r="ET49" s="27"/>
      <x:c r="EU49" s="27"/>
      <x:c r="EV49" s="27"/>
      <x:c r="EW49" s="27"/>
      <x:c r="EX49" s="27"/>
      <x:c r="EY49" s="27"/>
      <x:c r="EZ49" s="27"/>
      <x:c r="FA49" s="27"/>
      <x:c r="FB49" s="27"/>
      <x:c r="FC49" s="27"/>
      <x:c r="FD49" s="27"/>
      <x:c r="FE49" s="27"/>
      <x:c r="FF49" s="27"/>
      <x:c r="FG49" s="27"/>
      <x:c r="FH49" s="27"/>
      <x:c r="FI49" s="27"/>
      <x:c r="FJ49" s="27"/>
      <x:c r="FK49" s="27"/>
      <x:c r="FL49" s="27"/>
      <x:c r="FM49" s="27"/>
      <x:c r="FN49" s="27"/>
      <x:c r="FO49" s="27"/>
      <x:c r="FP49" s="27"/>
      <x:c r="FQ49" s="27"/>
      <x:c r="FR49" s="27"/>
      <x:c r="FS49" s="27"/>
      <x:c r="FT49" s="27"/>
      <x:c r="FU49" s="27"/>
      <x:c r="FV49" s="27"/>
      <x:c r="FW49" s="27"/>
      <x:c r="FX49" s="27"/>
      <x:c r="FY49" s="27"/>
      <x:c r="FZ49" s="27"/>
      <x:c r="GA49" s="27"/>
      <x:c r="GB49" s="27"/>
      <x:c r="GC49" s="27"/>
      <x:c r="GD49" s="27"/>
      <x:c r="GE49" s="27"/>
      <x:c r="GF49" s="27"/>
      <x:c r="GG49" s="27"/>
      <x:c r="GH49" s="27"/>
      <x:c r="GI49" s="27"/>
      <x:c r="GJ49" s="27"/>
      <x:c r="GK49" s="27"/>
      <x:c r="GL49" s="27"/>
      <x:c r="GM49" s="27"/>
      <x:c r="GN49" s="27"/>
      <x:c r="GO49" s="27"/>
      <x:c r="GP49" s="27"/>
      <x:c r="GQ49" s="27"/>
      <x:c r="GR49" s="27"/>
      <x:c r="GS49" s="27"/>
      <x:c r="GT49" s="27"/>
      <x:c r="GU49" s="27"/>
      <x:c r="GV49" s="27"/>
      <x:c r="GW49" s="27"/>
      <x:c r="GX49" s="27"/>
      <x:c r="GY49" s="27"/>
      <x:c r="GZ49" s="27"/>
      <x:c r="HA49" s="27"/>
      <x:c r="HB49" s="27"/>
      <x:c r="HC49" s="27"/>
      <x:c r="HD49" s="27"/>
      <x:c r="HE49" s="27"/>
      <x:c r="HF49" s="27"/>
      <x:c r="HG49" s="27"/>
      <x:c r="HH49" s="27"/>
      <x:c r="HI49" s="27"/>
      <x:c r="HJ49" s="27"/>
      <x:c r="HK49" s="27"/>
      <x:c r="HL49" s="27"/>
      <x:c r="HM49" s="27"/>
      <x:c r="HN49" s="27"/>
      <x:c r="HO49" s="27"/>
      <x:c r="HP49" s="27" t="str">
        <x:f>IF(C49="","",SUM(H49,N49,T49,Z49,AF49,AL49,AR49,AX49,BD49,BJ49,BP49,BV49,CB49,CH49,CN49,CT49,CZ49,DF49,DL49,DR49,DX49,ED49,EJ49,EP49,EV49,FB49,FH49,FN49,FT49,FZ49,GF49,GL49,GR49,GX49,HD49,HJ49))</x:f>
      </x:c>
      <x:c r="HQ49" s="27" t="str">
        <x:f>IF(C49="","",SUM(I49,O49,U49,AA49,AG49,AM49,AS49,AY49,BE49,BK49,BQ49,BW49,CC49,CI49,CO49,CU49,DA49,DG49,DM49,DS49,DY49,EE49,EK49,EQ49,EW49,FC49,FI49,FO49,FU49,GA49,GG49,GM49,GS49,GY49,HE49,HK49))</x:f>
      </x:c>
      <x:c r="HR49" s="27" t="str">
        <x:f>IF(C49="","",SUM(J49,P49,V49,AB49,AH49,AN49,AT49,AZ49,BF49,BL49,BR49,BX49,CD49,CJ49,CP49,CV49,DB49,DH49,DN49,DT49,DZ49,EF49,EL49,ER49,EX49,FD49,FJ49,FP49,FV49,GB49,GH49,GN49,GT49,GZ49,HF49,HL49))</x:f>
      </x:c>
      <x:c r="HS49" s="27" t="str">
        <x:f>IF(C49="","",SUM(K49,Q49,W49,AC49,AI49,AO49,AU49,BA49,BG49,BM49,BS49,BY49,CE49,CK49,CQ49,CW49,DC49,DI49,DO49,DU49,EA49,EG49,EM49,ES49,EY49,FE49,FK49,FQ49,FW49,GC49,GI49,GO49,GU49,HA49,HG49,HM49))</x:f>
      </x:c>
      <x:c r="HT49" s="27" t="str">
        <x:f>IF(C49="","",SUM(L49,R49,X49,AD49,AJ49,AP49,AV49,BB49,BH49,BN49,BT49,BZ49,CF49,CL49,CR49,CX49,DD49,DJ49,DP49,DV49,EB49,EH49,EN49,ET49,EZ49,FF49,FL49,FR49,FX49,GD49,GJ49,GP49,GV49,HB49,HH49,HN49))</x:f>
      </x:c>
      <x:c r="HU49" s="27" t="str">
        <x:f>IF(C49="","",SUM(M49,S49,Y49,AE49,AK49,AQ49,AW49,BC49,BI49,BO49,BU49,CA49,CG49,CM49,CS49,CY49,DE49,DK49,DQ49,DW49,EC49,EI49,EO49,EU49,FA49,FG49,FM49,FS49,FY49,GE49,GK49,GQ49,GW49,HC49,HI49,HO49))</x:f>
      </x:c>
      <x:c r="HV49" s="27" t="str">
        <x:f>IF(C49="","",IF(JI49=LARGE(JI49:JN49,1),"R",IF(JJ49=LARGE(JI49:JN49,1),"I",IF(JK49=LARGE(JI49:JN49,1),"A",IF(JL49=LARGE(JI49:JN49,1),"S",IF(JM49=LARGE(JI49:JN49,1),"E",IF(JN49=LARGE(JI49:JN49,1),"C",""))))))&amp;IF(JI49=LARGE(JI49:JN49,2),"R",IF(JJ49=LARGE(JI49:JN49,2),"I",IF(JK49=LARGE(JI49:JN49,2),"A",IF(JL49=LARGE(JI49:JN49,2),"S",IF(JM49=LARGE(JI49:JN49,2),"E",IF(JN49=LARGE(JI49:JN49,2),"C",""))))))&amp;IF(JI49=LARGE(JI49:JN49,3),"R",IF(JJ49=LARGE(JI49:JN49,3),"I",IF(JK49=LARGE(JI49:JN49,3),"A",IF(JL49=LARGE(JI49:JN49,3),"S",IF(JM49=LARGE(JI49:JN49,3),"E",IF(JN49=LARGE(JI49:JN49,3),"C","")))))))</x:f>
      </x:c>
      <x:c r="HW49" s="27" t="str">
        <x:f>IF(C49="","",IF(JI49=LARGE(JI49:JN49,1),"นักปฏิบัติ",IF(JJ49=LARGE(JI49:JN49,1),"นักคิดวิเคราะห์",IF(JK49=LARGE(JI49:JN49,1),"นักสร้างสรรค์",IF(JL49=LARGE(JI49:JN49,1),"ผู้เข้าใจผู้คน",IF(JM49=LARGE(JI49:JN49,1),"ผู้นำการเปลี่ยนแปลง",IF(JN49=LARGE(JI49:JN49,1),"ผู้จัดระบบ","ผู้จัดระบบ")))))))</x:f>
      </x:c>
      <x:c r="HX49" s="27"/>
      <x:c r="HY49" s="27"/>
      <x:c r="HZ49" s="27"/>
      <x:c r="IA49" s="27"/>
      <x:c r="IB49" s="27"/>
      <x:c r="IC49" s="27"/>
      <x:c r="ID49" s="27"/>
      <x:c r="IE49" s="27"/>
      <x:c r="IF49" s="27"/>
      <x:c r="IG49" s="27"/>
      <x:c r="IH49" s="27"/>
      <x:c r="II49" s="27"/>
      <x:c r="IJ49" s="27"/>
      <x:c r="IK49" s="27" t="str">
        <x:f>IF(C49="","",SUM(H49,N49,T49,Z49,AF49,AL49,AR49,AX49,BD49,BJ49,BP49))</x:f>
      </x:c>
      <x:c r="IL49" s="27" t="str">
        <x:f>IF(C49="","",SUM(I49,O49,U49,AA49,AG49,AM49,AS49,AY49,BE49,BK49,BQ49))</x:f>
      </x:c>
      <x:c r="IM49" s="27" t="str">
        <x:f>IF(C49="","",SUM(J49,P49,V49,AB49,AH49,AN49,AT49,AZ49,BF49,BL49,BR49))</x:f>
      </x:c>
      <x:c r="IN49" s="27" t="str">
        <x:f>IF(C49="","",SUM(K49,Q49,W49,AC49,AI49,AO49,AU49,BA49,BG49,BM49,BS49))</x:f>
      </x:c>
      <x:c r="IO49" s="27" t="str">
        <x:f>IF(C49="","",SUM(L49,R49,X49,AD49,AJ49,AP49,AV49,BB49,BH49,BN49,BT49))</x:f>
      </x:c>
      <x:c r="IP49" s="27" t="str">
        <x:f>IF(C49="","",SUM(M49,S49,Y49,AE49,AK49,AQ49,AW49,BC49,BI49,BO49,BU49))</x:f>
      </x:c>
      <x:c r="IQ49" s="27" t="str">
        <x:f>IF(C49="","",SUM(BV49,CB49,CH49,CN49,CT49,CZ49,DF49,DL49,DR49,DX49,ED49))</x:f>
      </x:c>
      <x:c r="IR49" s="27" t="str">
        <x:f>IF(C49="","",SUM(BW49,CC49,CI49,CO49,CU49,DA49,DG49,DM49,DS49,DY49,EE49))</x:f>
      </x:c>
      <x:c r="IS49" s="27" t="str">
        <x:f>IF(C49="","",SUM(BX49,CD49,CJ49,CP49,CV49,DB49,DH49,DN49,DT49,DZ49,EF49))</x:f>
      </x:c>
      <x:c r="IT49" s="27" t="str">
        <x:f>IF(C49="","",SUM(BY49,CE49,CK49,CQ49,CW49,DC49,DI49,DO49,DU49,EA49,EG49))</x:f>
      </x:c>
      <x:c r="IU49" s="27" t="str">
        <x:f>IF(C49="","",SUM(BZ49,CF49,CL49,CR49,CX49,DD49,DJ49,DP49,DV49,EB49,EH49))</x:f>
      </x:c>
      <x:c r="IV49" s="27" t="str">
        <x:f>IF(C49="","",SUM(CA49,CG49,CM49,CS49,CY49,DE49,DK49,DQ49,DW49,EC49,EI49))</x:f>
      </x:c>
      <x:c r="IW49" s="27" t="str">
        <x:f>IF(C49="","",SUM(EJ49,EP49,EV49,FB49,FH49,FN49,FT49,FZ49,GF49,GL49,GR49,GX49,HD49,HJ49))</x:f>
      </x:c>
      <x:c r="IX49" s="27" t="str">
        <x:f>IF(C49="","",SUM(EK49,EQ49,EW49,FC49,FI49,FO49,FU49,GA49,GG49,GM49,GS49,GY49,HE49,HK49))</x:f>
      </x:c>
      <x:c r="IY49" s="27" t="str">
        <x:f>IF(C49="","",SUM(EL49,ER49,EX49,FD49,FJ49,FP49,FV49,GB49,GH49,GN49,GT49,GZ49,HF49,HL49))</x:f>
      </x:c>
      <x:c r="IZ49" s="27" t="str">
        <x:f>IF(C49="","",SUM(EM49,ES49,EY49,FE49,FK49,FQ49,FW49,GC49,GI49,GO49,GU49,HA49,HG49,HM49))</x:f>
      </x:c>
      <x:c r="JA49" s="27" t="str">
        <x:f>IF(C49="","",SUM(EN49,ET49,EZ49,FF49,FL49,FR49,FX49,GD49,GJ49,GP49,GV49,HB49,HH49,HN49))</x:f>
      </x:c>
      <x:c r="JB49" s="27" t="str">
        <x:f>IF(C49="","",SUM(EO49,EU49,FA49,FG49,FM49,FS49,FY49,GE49,GK49,GQ49,GW49,HC49,HI49,HO49))</x:f>
      </x:c>
      <x:c r="JC49" s="27" t="str">
        <x:f>IF(C49="","",0)</x:f>
      </x:c>
      <x:c r="JD49" s="27" t="str">
        <x:f>IF(C49="","",0)</x:f>
      </x:c>
      <x:c r="JE49" s="27" t="str">
        <x:f>IF(C49="","",0)</x:f>
      </x:c>
      <x:c r="JF49" s="27" t="str">
        <x:f>IF(C49="","",0)</x:f>
      </x:c>
      <x:c r="JG49" s="27" t="str">
        <x:f>IF(C49="","",0)</x:f>
      </x:c>
      <x:c r="JH49" s="27" t="str">
        <x:f>IF(C49="","",0)</x:f>
      </x:c>
      <x:c r="JI49" s="27" t="str">
        <x:f>IF(C49="","",HP49*1000000000+IW49*1000000+IQ49*10000+IK49*100+JC49+6/1000)</x:f>
      </x:c>
      <x:c r="JJ49" s="27" t="str">
        <x:f>IF(C49="","",HQ49*1000000000+IX49*1000000+IR49*10000+IL49*100+JD49+5/1000)</x:f>
      </x:c>
      <x:c r="JK49" s="27" t="str">
        <x:f>IF(C49="","",HR49*1000000000+IY49*1000000+IS49*10000+IM49*100+JE49+4/1000)</x:f>
      </x:c>
      <x:c r="JL49" s="27" t="str">
        <x:f>IF(C49="","",HS49*1000000000+IZ49*1000000+IT49*10000+IN49*100+JF49+3/1000)</x:f>
      </x:c>
      <x:c r="JM49" s="27" t="str">
        <x:f>IF(C49="","",HT49*1000000000+JA49*1000000+IU49*10000+IO49*100+JG49+2/1000)</x:f>
      </x:c>
      <x:c r="JN49" s="27" t="str">
        <x:f>IF(C49="","",HU49*1000000000+JB49*1000000+IV49*10000+IP49*100+JH49+1/1000)</x:f>
      </x:c>
    </x:row>
    <x:row r="50">
      <x:c r="A50" s="27"/>
      <x:c r="B50" s="28"/>
      <x:c r="C50" s="27"/>
      <x:c r="D50" s="27"/>
      <x:c r="E50" s="27"/>
      <x:c r="F50" s="27"/>
      <x:c r="G50" s="27"/>
      <x:c r="H50" s="27"/>
      <x:c r="I50" s="27"/>
      <x:c r="J50" s="27"/>
      <x:c r="K50" s="27"/>
      <x:c r="L50" s="27"/>
      <x:c r="M50" s="27"/>
      <x:c r="N50" s="27"/>
      <x:c r="O50" s="27"/>
      <x:c r="P50" s="27"/>
      <x:c r="Q50" s="27"/>
      <x:c r="R50" s="27"/>
      <x:c r="S50" s="27"/>
      <x:c r="T50" s="27"/>
      <x:c r="U50" s="27"/>
      <x:c r="V50" s="27"/>
      <x:c r="W50" s="27"/>
      <x:c r="X50" s="27"/>
      <x:c r="Y50" s="27"/>
      <x:c r="Z50" s="27"/>
      <x:c r="AA50" s="27"/>
      <x:c r="AB50" s="27"/>
      <x:c r="AC50" s="27"/>
      <x:c r="AD50" s="27"/>
      <x:c r="AE50" s="27"/>
      <x:c r="AF50" s="27"/>
      <x:c r="AG50" s="27"/>
      <x:c r="AH50" s="27"/>
      <x:c r="AI50" s="27"/>
      <x:c r="AJ50" s="27"/>
      <x:c r="AK50" s="27"/>
      <x:c r="AL50" s="27"/>
      <x:c r="AM50" s="27"/>
      <x:c r="AN50" s="27"/>
      <x:c r="AO50" s="27"/>
      <x:c r="AP50" s="27"/>
      <x:c r="AQ50" s="27"/>
      <x:c r="AR50" s="27"/>
      <x:c r="AS50" s="27"/>
      <x:c r="AT50" s="27"/>
      <x:c r="AU50" s="27"/>
      <x:c r="AV50" s="27"/>
      <x:c r="AW50" s="27"/>
      <x:c r="AX50" s="27"/>
      <x:c r="AY50" s="27"/>
      <x:c r="AZ50" s="27"/>
      <x:c r="BA50" s="27"/>
      <x:c r="BB50" s="27"/>
      <x:c r="BC50" s="27"/>
      <x:c r="BD50" s="27"/>
      <x:c r="BE50" s="27"/>
      <x:c r="BF50" s="27"/>
      <x:c r="BG50" s="27"/>
      <x:c r="BH50" s="27"/>
      <x:c r="BI50" s="27"/>
      <x:c r="BJ50" s="27"/>
      <x:c r="BK50" s="27"/>
      <x:c r="BL50" s="27"/>
      <x:c r="BM50" s="27"/>
      <x:c r="BN50" s="27"/>
      <x:c r="BO50" s="27"/>
      <x:c r="BP50" s="27"/>
      <x:c r="BQ50" s="27"/>
      <x:c r="BR50" s="27"/>
      <x:c r="BS50" s="27"/>
      <x:c r="BT50" s="27"/>
      <x:c r="BU50" s="27"/>
      <x:c r="BV50" s="27"/>
      <x:c r="BW50" s="27"/>
      <x:c r="BX50" s="27"/>
      <x:c r="BY50" s="27"/>
      <x:c r="BZ50" s="27"/>
      <x:c r="CA50" s="27"/>
      <x:c r="CB50" s="27"/>
      <x:c r="CC50" s="27"/>
      <x:c r="CD50" s="27"/>
      <x:c r="CE50" s="27"/>
      <x:c r="CF50" s="27"/>
      <x:c r="CG50" s="27"/>
      <x:c r="CH50" s="27"/>
      <x:c r="CI50" s="27"/>
      <x:c r="CJ50" s="27"/>
      <x:c r="CK50" s="27"/>
      <x:c r="CL50" s="27"/>
      <x:c r="CM50" s="27"/>
      <x:c r="CN50" s="27"/>
      <x:c r="CO50" s="27"/>
      <x:c r="CP50" s="27"/>
      <x:c r="CQ50" s="27"/>
      <x:c r="CR50" s="27"/>
      <x:c r="CS50" s="27"/>
      <x:c r="CT50" s="27"/>
      <x:c r="CU50" s="27"/>
      <x:c r="CV50" s="27"/>
      <x:c r="CW50" s="27"/>
      <x:c r="CX50" s="27"/>
      <x:c r="CY50" s="27"/>
      <x:c r="CZ50" s="27"/>
      <x:c r="DA50" s="27"/>
      <x:c r="DB50" s="27"/>
      <x:c r="DC50" s="27"/>
      <x:c r="DD50" s="27"/>
      <x:c r="DE50" s="27"/>
      <x:c r="DF50" s="27"/>
      <x:c r="DG50" s="27"/>
      <x:c r="DH50" s="27"/>
      <x:c r="DI50" s="27"/>
      <x:c r="DJ50" s="27"/>
      <x:c r="DK50" s="27"/>
      <x:c r="DL50" s="27"/>
      <x:c r="DM50" s="27"/>
      <x:c r="DN50" s="27"/>
      <x:c r="DO50" s="27"/>
      <x:c r="DP50" s="27"/>
      <x:c r="DQ50" s="27"/>
      <x:c r="DR50" s="27"/>
      <x:c r="DS50" s="27"/>
      <x:c r="DT50" s="27"/>
      <x:c r="DU50" s="27"/>
      <x:c r="DV50" s="27"/>
      <x:c r="DW50" s="27"/>
      <x:c r="DX50" s="27"/>
      <x:c r="DY50" s="27"/>
      <x:c r="DZ50" s="27"/>
      <x:c r="EA50" s="27"/>
      <x:c r="EB50" s="27"/>
      <x:c r="EC50" s="27"/>
      <x:c r="ED50" s="27"/>
      <x:c r="EE50" s="27"/>
      <x:c r="EF50" s="27"/>
      <x:c r="EG50" s="27"/>
      <x:c r="EH50" s="27"/>
      <x:c r="EI50" s="27"/>
      <x:c r="EJ50" s="27"/>
      <x:c r="EK50" s="27"/>
      <x:c r="EL50" s="27"/>
      <x:c r="EM50" s="27"/>
      <x:c r="EN50" s="27"/>
      <x:c r="EO50" s="27"/>
      <x:c r="EP50" s="27"/>
      <x:c r="EQ50" s="27"/>
      <x:c r="ER50" s="27"/>
      <x:c r="ES50" s="27"/>
      <x:c r="ET50" s="27"/>
      <x:c r="EU50" s="27"/>
      <x:c r="EV50" s="27"/>
      <x:c r="EW50" s="27"/>
      <x:c r="EX50" s="27"/>
      <x:c r="EY50" s="27"/>
      <x:c r="EZ50" s="27"/>
      <x:c r="FA50" s="27"/>
      <x:c r="FB50" s="27"/>
      <x:c r="FC50" s="27"/>
      <x:c r="FD50" s="27"/>
      <x:c r="FE50" s="27"/>
      <x:c r="FF50" s="27"/>
      <x:c r="FG50" s="27"/>
      <x:c r="FH50" s="27"/>
      <x:c r="FI50" s="27"/>
      <x:c r="FJ50" s="27"/>
      <x:c r="FK50" s="27"/>
      <x:c r="FL50" s="27"/>
      <x:c r="FM50" s="27"/>
      <x:c r="FN50" s="27"/>
      <x:c r="FO50" s="27"/>
      <x:c r="FP50" s="27"/>
      <x:c r="FQ50" s="27"/>
      <x:c r="FR50" s="27"/>
      <x:c r="FS50" s="27"/>
      <x:c r="FT50" s="27"/>
      <x:c r="FU50" s="27"/>
      <x:c r="FV50" s="27"/>
      <x:c r="FW50" s="27"/>
      <x:c r="FX50" s="27"/>
      <x:c r="FY50" s="27"/>
      <x:c r="FZ50" s="27"/>
      <x:c r="GA50" s="27"/>
      <x:c r="GB50" s="27"/>
      <x:c r="GC50" s="27"/>
      <x:c r="GD50" s="27"/>
      <x:c r="GE50" s="27"/>
      <x:c r="GF50" s="27"/>
      <x:c r="GG50" s="27"/>
      <x:c r="GH50" s="27"/>
      <x:c r="GI50" s="27"/>
      <x:c r="GJ50" s="27"/>
      <x:c r="GK50" s="27"/>
      <x:c r="GL50" s="27"/>
      <x:c r="GM50" s="27"/>
      <x:c r="GN50" s="27"/>
      <x:c r="GO50" s="27"/>
      <x:c r="GP50" s="27"/>
      <x:c r="GQ50" s="27"/>
      <x:c r="GR50" s="27"/>
      <x:c r="GS50" s="27"/>
      <x:c r="GT50" s="27"/>
      <x:c r="GU50" s="27"/>
      <x:c r="GV50" s="27"/>
      <x:c r="GW50" s="27"/>
      <x:c r="GX50" s="27"/>
      <x:c r="GY50" s="27"/>
      <x:c r="GZ50" s="27"/>
      <x:c r="HA50" s="27"/>
      <x:c r="HB50" s="27"/>
      <x:c r="HC50" s="27"/>
      <x:c r="HD50" s="27"/>
      <x:c r="HE50" s="27"/>
      <x:c r="HF50" s="27"/>
      <x:c r="HG50" s="27"/>
      <x:c r="HH50" s="27"/>
      <x:c r="HI50" s="27"/>
      <x:c r="HJ50" s="27"/>
      <x:c r="HK50" s="27"/>
      <x:c r="HL50" s="27"/>
      <x:c r="HM50" s="27"/>
      <x:c r="HN50" s="27"/>
      <x:c r="HO50" s="27"/>
      <x:c r="HP50" s="27" t="str">
        <x:f>IF(C50="","",SUM(H50,N50,T50,Z50,AF50,AL50,AR50,AX50,BD50,BJ50,BP50,BV50,CB50,CH50,CN50,CT50,CZ50,DF50,DL50,DR50,DX50,ED50,EJ50,EP50,EV50,FB50,FH50,FN50,FT50,FZ50,GF50,GL50,GR50,GX50,HD50,HJ50))</x:f>
      </x:c>
      <x:c r="HQ50" s="27" t="str">
        <x:f>IF(C50="","",SUM(I50,O50,U50,AA50,AG50,AM50,AS50,AY50,BE50,BK50,BQ50,BW50,CC50,CI50,CO50,CU50,DA50,DG50,DM50,DS50,DY50,EE50,EK50,EQ50,EW50,FC50,FI50,FO50,FU50,GA50,GG50,GM50,GS50,GY50,HE50,HK50))</x:f>
      </x:c>
      <x:c r="HR50" s="27" t="str">
        <x:f>IF(C50="","",SUM(J50,P50,V50,AB50,AH50,AN50,AT50,AZ50,BF50,BL50,BR50,BX50,CD50,CJ50,CP50,CV50,DB50,DH50,DN50,DT50,DZ50,EF50,EL50,ER50,EX50,FD50,FJ50,FP50,FV50,GB50,GH50,GN50,GT50,GZ50,HF50,HL50))</x:f>
      </x:c>
      <x:c r="HS50" s="27" t="str">
        <x:f>IF(C50="","",SUM(K50,Q50,W50,AC50,AI50,AO50,AU50,BA50,BG50,BM50,BS50,BY50,CE50,CK50,CQ50,CW50,DC50,DI50,DO50,DU50,EA50,EG50,EM50,ES50,EY50,FE50,FK50,FQ50,FW50,GC50,GI50,GO50,GU50,HA50,HG50,HM50))</x:f>
      </x:c>
      <x:c r="HT50" s="27" t="str">
        <x:f>IF(C50="","",SUM(L50,R50,X50,AD50,AJ50,AP50,AV50,BB50,BH50,BN50,BT50,BZ50,CF50,CL50,CR50,CX50,DD50,DJ50,DP50,DV50,EB50,EH50,EN50,ET50,EZ50,FF50,FL50,FR50,FX50,GD50,GJ50,GP50,GV50,HB50,HH50,HN50))</x:f>
      </x:c>
      <x:c r="HU50" s="27" t="str">
        <x:f>IF(C50="","",SUM(M50,S50,Y50,AE50,AK50,AQ50,AW50,BC50,BI50,BO50,BU50,CA50,CG50,CM50,CS50,CY50,DE50,DK50,DQ50,DW50,EC50,EI50,EO50,EU50,FA50,FG50,FM50,FS50,FY50,GE50,GK50,GQ50,GW50,HC50,HI50,HO50))</x:f>
      </x:c>
      <x:c r="HV50" s="27" t="str">
        <x:f>IF(C50="","",IF(JI50=LARGE(JI50:JN50,1),"R",IF(JJ50=LARGE(JI50:JN50,1),"I",IF(JK50=LARGE(JI50:JN50,1),"A",IF(JL50=LARGE(JI50:JN50,1),"S",IF(JM50=LARGE(JI50:JN50,1),"E",IF(JN50=LARGE(JI50:JN50,1),"C",""))))))&amp;IF(JI50=LARGE(JI50:JN50,2),"R",IF(JJ50=LARGE(JI50:JN50,2),"I",IF(JK50=LARGE(JI50:JN50,2),"A",IF(JL50=LARGE(JI50:JN50,2),"S",IF(JM50=LARGE(JI50:JN50,2),"E",IF(JN50=LARGE(JI50:JN50,2),"C",""))))))&amp;IF(JI50=LARGE(JI50:JN50,3),"R",IF(JJ50=LARGE(JI50:JN50,3),"I",IF(JK50=LARGE(JI50:JN50,3),"A",IF(JL50=LARGE(JI50:JN50,3),"S",IF(JM50=LARGE(JI50:JN50,3),"E",IF(JN50=LARGE(JI50:JN50,3),"C","")))))))</x:f>
      </x:c>
      <x:c r="HW50" s="27" t="str">
        <x:f>IF(C50="","",IF(JI50=LARGE(JI50:JN50,1),"นักปฏิบัติ",IF(JJ50=LARGE(JI50:JN50,1),"นักคิดวิเคราะห์",IF(JK50=LARGE(JI50:JN50,1),"นักสร้างสรรค์",IF(JL50=LARGE(JI50:JN50,1),"ผู้เข้าใจผู้คน",IF(JM50=LARGE(JI50:JN50,1),"ผู้นำการเปลี่ยนแปลง",IF(JN50=LARGE(JI50:JN50,1),"ผู้จัดระบบ","ผู้จัดระบบ")))))))</x:f>
      </x:c>
      <x:c r="HX50" s="27"/>
      <x:c r="HY50" s="27"/>
      <x:c r="HZ50" s="27"/>
      <x:c r="IA50" s="27"/>
      <x:c r="IB50" s="27"/>
      <x:c r="IC50" s="27"/>
      <x:c r="ID50" s="27"/>
      <x:c r="IE50" s="27"/>
      <x:c r="IF50" s="27"/>
      <x:c r="IG50" s="27"/>
      <x:c r="IH50" s="27"/>
      <x:c r="II50" s="27"/>
      <x:c r="IJ50" s="27"/>
      <x:c r="IK50" s="27" t="str">
        <x:f>IF(C50="","",SUM(H50,N50,T50,Z50,AF50,AL50,AR50,AX50,BD50,BJ50,BP50))</x:f>
      </x:c>
      <x:c r="IL50" s="27" t="str">
        <x:f>IF(C50="","",SUM(I50,O50,U50,AA50,AG50,AM50,AS50,AY50,BE50,BK50,BQ50))</x:f>
      </x:c>
      <x:c r="IM50" s="27" t="str">
        <x:f>IF(C50="","",SUM(J50,P50,V50,AB50,AH50,AN50,AT50,AZ50,BF50,BL50,BR50))</x:f>
      </x:c>
      <x:c r="IN50" s="27" t="str">
        <x:f>IF(C50="","",SUM(K50,Q50,W50,AC50,AI50,AO50,AU50,BA50,BG50,BM50,BS50))</x:f>
      </x:c>
      <x:c r="IO50" s="27" t="str">
        <x:f>IF(C50="","",SUM(L50,R50,X50,AD50,AJ50,AP50,AV50,BB50,BH50,BN50,BT50))</x:f>
      </x:c>
      <x:c r="IP50" s="27" t="str">
        <x:f>IF(C50="","",SUM(M50,S50,Y50,AE50,AK50,AQ50,AW50,BC50,BI50,BO50,BU50))</x:f>
      </x:c>
      <x:c r="IQ50" s="27" t="str">
        <x:f>IF(C50="","",SUM(BV50,CB50,CH50,CN50,CT50,CZ50,DF50,DL50,DR50,DX50,ED50))</x:f>
      </x:c>
      <x:c r="IR50" s="27" t="str">
        <x:f>IF(C50="","",SUM(BW50,CC50,CI50,CO50,CU50,DA50,DG50,DM50,DS50,DY50,EE50))</x:f>
      </x:c>
      <x:c r="IS50" s="27" t="str">
        <x:f>IF(C50="","",SUM(BX50,CD50,CJ50,CP50,CV50,DB50,DH50,DN50,DT50,DZ50,EF50))</x:f>
      </x:c>
      <x:c r="IT50" s="27" t="str">
        <x:f>IF(C50="","",SUM(BY50,CE50,CK50,CQ50,CW50,DC50,DI50,DO50,DU50,EA50,EG50))</x:f>
      </x:c>
      <x:c r="IU50" s="27" t="str">
        <x:f>IF(C50="","",SUM(BZ50,CF50,CL50,CR50,CX50,DD50,DJ50,DP50,DV50,EB50,EH50))</x:f>
      </x:c>
      <x:c r="IV50" s="27" t="str">
        <x:f>IF(C50="","",SUM(CA50,CG50,CM50,CS50,CY50,DE50,DK50,DQ50,DW50,EC50,EI50))</x:f>
      </x:c>
      <x:c r="IW50" s="27" t="str">
        <x:f>IF(C50="","",SUM(EJ50,EP50,EV50,FB50,FH50,FN50,FT50,FZ50,GF50,GL50,GR50,GX50,HD50,HJ50))</x:f>
      </x:c>
      <x:c r="IX50" s="27" t="str">
        <x:f>IF(C50="","",SUM(EK50,EQ50,EW50,FC50,FI50,FO50,FU50,GA50,GG50,GM50,GS50,GY50,HE50,HK50))</x:f>
      </x:c>
      <x:c r="IY50" s="27" t="str">
        <x:f>IF(C50="","",SUM(EL50,ER50,EX50,FD50,FJ50,FP50,FV50,GB50,GH50,GN50,GT50,GZ50,HF50,HL50))</x:f>
      </x:c>
      <x:c r="IZ50" s="27" t="str">
        <x:f>IF(C50="","",SUM(EM50,ES50,EY50,FE50,FK50,FQ50,FW50,GC50,GI50,GO50,GU50,HA50,HG50,HM50))</x:f>
      </x:c>
      <x:c r="JA50" s="27" t="str">
        <x:f>IF(C50="","",SUM(EN50,ET50,EZ50,FF50,FL50,FR50,FX50,GD50,GJ50,GP50,GV50,HB50,HH50,HN50))</x:f>
      </x:c>
      <x:c r="JB50" s="27" t="str">
        <x:f>IF(C50="","",SUM(EO50,EU50,FA50,FG50,FM50,FS50,FY50,GE50,GK50,GQ50,GW50,HC50,HI50,HO50))</x:f>
      </x:c>
      <x:c r="JC50" s="27" t="str">
        <x:f>IF(C50="","",0)</x:f>
      </x:c>
      <x:c r="JD50" s="27" t="str">
        <x:f>IF(C50="","",0)</x:f>
      </x:c>
      <x:c r="JE50" s="27" t="str">
        <x:f>IF(C50="","",0)</x:f>
      </x:c>
      <x:c r="JF50" s="27" t="str">
        <x:f>IF(C50="","",0)</x:f>
      </x:c>
      <x:c r="JG50" s="27" t="str">
        <x:f>IF(C50="","",0)</x:f>
      </x:c>
      <x:c r="JH50" s="27" t="str">
        <x:f>IF(C50="","",0)</x:f>
      </x:c>
      <x:c r="JI50" s="27" t="str">
        <x:f>IF(C50="","",HP50*1000000000+IW50*1000000+IQ50*10000+IK50*100+JC50+6/1000)</x:f>
      </x:c>
      <x:c r="JJ50" s="27" t="str">
        <x:f>IF(C50="","",HQ50*1000000000+IX50*1000000+IR50*10000+IL50*100+JD50+5/1000)</x:f>
      </x:c>
      <x:c r="JK50" s="27" t="str">
        <x:f>IF(C50="","",HR50*1000000000+IY50*1000000+IS50*10000+IM50*100+JE50+4/1000)</x:f>
      </x:c>
      <x:c r="JL50" s="27" t="str">
        <x:f>IF(C50="","",HS50*1000000000+IZ50*1000000+IT50*10000+IN50*100+JF50+3/1000)</x:f>
      </x:c>
      <x:c r="JM50" s="27" t="str">
        <x:f>IF(C50="","",HT50*1000000000+JA50*1000000+IU50*10000+IO50*100+JG50+2/1000)</x:f>
      </x:c>
      <x:c r="JN50" s="27" t="str">
        <x:f>IF(C50="","",HU50*1000000000+JB50*1000000+IV50*10000+IP50*100+JH50+1/1000)</x:f>
      </x:c>
    </x:row>
    <x:row r="51">
      <x:c r="A51" s="27"/>
      <x:c r="B51" s="28"/>
      <x:c r="C51" s="27"/>
      <x:c r="D51" s="27"/>
      <x:c r="E51" s="27"/>
      <x:c r="F51" s="27"/>
      <x:c r="G51" s="27"/>
      <x:c r="H51" s="27"/>
      <x:c r="I51" s="27"/>
      <x:c r="J51" s="27"/>
      <x:c r="K51" s="27"/>
      <x:c r="L51" s="27"/>
      <x:c r="M51" s="27"/>
      <x:c r="N51" s="27"/>
      <x:c r="O51" s="27"/>
      <x:c r="P51" s="27"/>
      <x:c r="Q51" s="27"/>
      <x:c r="R51" s="27"/>
      <x:c r="S51" s="27"/>
      <x:c r="T51" s="27"/>
      <x:c r="U51" s="27"/>
      <x:c r="V51" s="27"/>
      <x:c r="W51" s="27"/>
      <x:c r="X51" s="27"/>
      <x:c r="Y51" s="27"/>
      <x:c r="Z51" s="27"/>
      <x:c r="AA51" s="27"/>
      <x:c r="AB51" s="27"/>
      <x:c r="AC51" s="27"/>
      <x:c r="AD51" s="27"/>
      <x:c r="AE51" s="27"/>
      <x:c r="AF51" s="27"/>
      <x:c r="AG51" s="27"/>
      <x:c r="AH51" s="27"/>
      <x:c r="AI51" s="27"/>
      <x:c r="AJ51" s="27"/>
      <x:c r="AK51" s="27"/>
      <x:c r="AL51" s="27"/>
      <x:c r="AM51" s="27"/>
      <x:c r="AN51" s="27"/>
      <x:c r="AO51" s="27"/>
      <x:c r="AP51" s="27"/>
      <x:c r="AQ51" s="27"/>
      <x:c r="AR51" s="27"/>
      <x:c r="AS51" s="27"/>
      <x:c r="AT51" s="27"/>
      <x:c r="AU51" s="27"/>
      <x:c r="AV51" s="27"/>
      <x:c r="AW51" s="27"/>
      <x:c r="AX51" s="27"/>
      <x:c r="AY51" s="27"/>
      <x:c r="AZ51" s="27"/>
      <x:c r="BA51" s="27"/>
      <x:c r="BB51" s="27"/>
      <x:c r="BC51" s="27"/>
      <x:c r="BD51" s="27"/>
      <x:c r="BE51" s="27"/>
      <x:c r="BF51" s="27"/>
      <x:c r="BG51" s="27"/>
      <x:c r="BH51" s="27"/>
      <x:c r="BI51" s="27"/>
      <x:c r="BJ51" s="27"/>
      <x:c r="BK51" s="27"/>
      <x:c r="BL51" s="27"/>
      <x:c r="BM51" s="27"/>
      <x:c r="BN51" s="27"/>
      <x:c r="BO51" s="27"/>
      <x:c r="BP51" s="27"/>
      <x:c r="BQ51" s="27"/>
      <x:c r="BR51" s="27"/>
      <x:c r="BS51" s="27"/>
      <x:c r="BT51" s="27"/>
      <x:c r="BU51" s="27"/>
      <x:c r="BV51" s="27"/>
      <x:c r="BW51" s="27"/>
      <x:c r="BX51" s="27"/>
      <x:c r="BY51" s="27"/>
      <x:c r="BZ51" s="27"/>
      <x:c r="CA51" s="27"/>
      <x:c r="CB51" s="27"/>
      <x:c r="CC51" s="27"/>
      <x:c r="CD51" s="27"/>
      <x:c r="CE51" s="27"/>
      <x:c r="CF51" s="27"/>
      <x:c r="CG51" s="27"/>
      <x:c r="CH51" s="27"/>
      <x:c r="CI51" s="27"/>
      <x:c r="CJ51" s="27"/>
      <x:c r="CK51" s="27"/>
      <x:c r="CL51" s="27"/>
      <x:c r="CM51" s="27"/>
      <x:c r="CN51" s="27"/>
      <x:c r="CO51" s="27"/>
      <x:c r="CP51" s="27"/>
      <x:c r="CQ51" s="27"/>
      <x:c r="CR51" s="27"/>
      <x:c r="CS51" s="27"/>
      <x:c r="CT51" s="27"/>
      <x:c r="CU51" s="27"/>
      <x:c r="CV51" s="27"/>
      <x:c r="CW51" s="27"/>
      <x:c r="CX51" s="27"/>
      <x:c r="CY51" s="27"/>
      <x:c r="CZ51" s="27"/>
      <x:c r="DA51" s="27"/>
      <x:c r="DB51" s="27"/>
      <x:c r="DC51" s="27"/>
      <x:c r="DD51" s="27"/>
      <x:c r="DE51" s="27"/>
      <x:c r="DF51" s="27"/>
      <x:c r="DG51" s="27"/>
      <x:c r="DH51" s="27"/>
      <x:c r="DI51" s="27"/>
      <x:c r="DJ51" s="27"/>
      <x:c r="DK51" s="27"/>
      <x:c r="DL51" s="27"/>
      <x:c r="DM51" s="27"/>
      <x:c r="DN51" s="27"/>
      <x:c r="DO51" s="27"/>
      <x:c r="DP51" s="27"/>
      <x:c r="DQ51" s="27"/>
      <x:c r="DR51" s="27"/>
      <x:c r="DS51" s="27"/>
      <x:c r="DT51" s="27"/>
      <x:c r="DU51" s="27"/>
      <x:c r="DV51" s="27"/>
      <x:c r="DW51" s="27"/>
      <x:c r="DX51" s="27"/>
      <x:c r="DY51" s="27"/>
      <x:c r="DZ51" s="27"/>
      <x:c r="EA51" s="27"/>
      <x:c r="EB51" s="27"/>
      <x:c r="EC51" s="27"/>
      <x:c r="ED51" s="27"/>
      <x:c r="EE51" s="27"/>
      <x:c r="EF51" s="27"/>
      <x:c r="EG51" s="27"/>
      <x:c r="EH51" s="27"/>
      <x:c r="EI51" s="27"/>
      <x:c r="EJ51" s="27"/>
      <x:c r="EK51" s="27"/>
      <x:c r="EL51" s="27"/>
      <x:c r="EM51" s="27"/>
      <x:c r="EN51" s="27"/>
      <x:c r="EO51" s="27"/>
      <x:c r="EP51" s="27"/>
      <x:c r="EQ51" s="27"/>
      <x:c r="ER51" s="27"/>
      <x:c r="ES51" s="27"/>
      <x:c r="ET51" s="27"/>
      <x:c r="EU51" s="27"/>
      <x:c r="EV51" s="27"/>
      <x:c r="EW51" s="27"/>
      <x:c r="EX51" s="27"/>
      <x:c r="EY51" s="27"/>
      <x:c r="EZ51" s="27"/>
      <x:c r="FA51" s="27"/>
      <x:c r="FB51" s="27"/>
      <x:c r="FC51" s="27"/>
      <x:c r="FD51" s="27"/>
      <x:c r="FE51" s="27"/>
      <x:c r="FF51" s="27"/>
      <x:c r="FG51" s="27"/>
      <x:c r="FH51" s="27"/>
      <x:c r="FI51" s="27"/>
      <x:c r="FJ51" s="27"/>
      <x:c r="FK51" s="27"/>
      <x:c r="FL51" s="27"/>
      <x:c r="FM51" s="27"/>
      <x:c r="FN51" s="27"/>
      <x:c r="FO51" s="27"/>
      <x:c r="FP51" s="27"/>
      <x:c r="FQ51" s="27"/>
      <x:c r="FR51" s="27"/>
      <x:c r="FS51" s="27"/>
      <x:c r="FT51" s="27"/>
      <x:c r="FU51" s="27"/>
      <x:c r="FV51" s="27"/>
      <x:c r="FW51" s="27"/>
      <x:c r="FX51" s="27"/>
      <x:c r="FY51" s="27"/>
      <x:c r="FZ51" s="27"/>
      <x:c r="GA51" s="27"/>
      <x:c r="GB51" s="27"/>
      <x:c r="GC51" s="27"/>
      <x:c r="GD51" s="27"/>
      <x:c r="GE51" s="27"/>
      <x:c r="GF51" s="27"/>
      <x:c r="GG51" s="27"/>
      <x:c r="GH51" s="27"/>
      <x:c r="GI51" s="27"/>
      <x:c r="GJ51" s="27"/>
      <x:c r="GK51" s="27"/>
      <x:c r="GL51" s="27"/>
      <x:c r="GM51" s="27"/>
      <x:c r="GN51" s="27"/>
      <x:c r="GO51" s="27"/>
      <x:c r="GP51" s="27"/>
      <x:c r="GQ51" s="27"/>
      <x:c r="GR51" s="27"/>
      <x:c r="GS51" s="27"/>
      <x:c r="GT51" s="27"/>
      <x:c r="GU51" s="27"/>
      <x:c r="GV51" s="27"/>
      <x:c r="GW51" s="27"/>
      <x:c r="GX51" s="27"/>
      <x:c r="GY51" s="27"/>
      <x:c r="GZ51" s="27"/>
      <x:c r="HA51" s="27"/>
      <x:c r="HB51" s="27"/>
      <x:c r="HC51" s="27"/>
      <x:c r="HD51" s="27"/>
      <x:c r="HE51" s="27"/>
      <x:c r="HF51" s="27"/>
      <x:c r="HG51" s="27"/>
      <x:c r="HH51" s="27"/>
      <x:c r="HI51" s="27"/>
      <x:c r="HJ51" s="27"/>
      <x:c r="HK51" s="27"/>
      <x:c r="HL51" s="27"/>
      <x:c r="HM51" s="27"/>
      <x:c r="HN51" s="27"/>
      <x:c r="HO51" s="27"/>
      <x:c r="HP51" s="27" t="str">
        <x:f>IF(C51="","",SUM(H51,N51,T51,Z51,AF51,AL51,AR51,AX51,BD51,BJ51,BP51,BV51,CB51,CH51,CN51,CT51,CZ51,DF51,DL51,DR51,DX51,ED51,EJ51,EP51,EV51,FB51,FH51,FN51,FT51,FZ51,GF51,GL51,GR51,GX51,HD51,HJ51))</x:f>
      </x:c>
      <x:c r="HQ51" s="27" t="str">
        <x:f>IF(C51="","",SUM(I51,O51,U51,AA51,AG51,AM51,AS51,AY51,BE51,BK51,BQ51,BW51,CC51,CI51,CO51,CU51,DA51,DG51,DM51,DS51,DY51,EE51,EK51,EQ51,EW51,FC51,FI51,FO51,FU51,GA51,GG51,GM51,GS51,GY51,HE51,HK51))</x:f>
      </x:c>
      <x:c r="HR51" s="27" t="str">
        <x:f>IF(C51="","",SUM(J51,P51,V51,AB51,AH51,AN51,AT51,AZ51,BF51,BL51,BR51,BX51,CD51,CJ51,CP51,CV51,DB51,DH51,DN51,DT51,DZ51,EF51,EL51,ER51,EX51,FD51,FJ51,FP51,FV51,GB51,GH51,GN51,GT51,GZ51,HF51,HL51))</x:f>
      </x:c>
      <x:c r="HS51" s="27" t="str">
        <x:f>IF(C51="","",SUM(K51,Q51,W51,AC51,AI51,AO51,AU51,BA51,BG51,BM51,BS51,BY51,CE51,CK51,CQ51,CW51,DC51,DI51,DO51,DU51,EA51,EG51,EM51,ES51,EY51,FE51,FK51,FQ51,FW51,GC51,GI51,GO51,GU51,HA51,HG51,HM51))</x:f>
      </x:c>
      <x:c r="HT51" s="27" t="str">
        <x:f>IF(C51="","",SUM(L51,R51,X51,AD51,AJ51,AP51,AV51,BB51,BH51,BN51,BT51,BZ51,CF51,CL51,CR51,CX51,DD51,DJ51,DP51,DV51,EB51,EH51,EN51,ET51,EZ51,FF51,FL51,FR51,FX51,GD51,GJ51,GP51,GV51,HB51,HH51,HN51))</x:f>
      </x:c>
      <x:c r="HU51" s="27" t="str">
        <x:f>IF(C51="","",SUM(M51,S51,Y51,AE51,AK51,AQ51,AW51,BC51,BI51,BO51,BU51,CA51,CG51,CM51,CS51,CY51,DE51,DK51,DQ51,DW51,EC51,EI51,EO51,EU51,FA51,FG51,FM51,FS51,FY51,GE51,GK51,GQ51,GW51,HC51,HI51,HO51))</x:f>
      </x:c>
      <x:c r="HV51" s="27" t="str">
        <x:f>IF(C51="","",IF(JI51=LARGE(JI51:JN51,1),"R",IF(JJ51=LARGE(JI51:JN51,1),"I",IF(JK51=LARGE(JI51:JN51,1),"A",IF(JL51=LARGE(JI51:JN51,1),"S",IF(JM51=LARGE(JI51:JN51,1),"E",IF(JN51=LARGE(JI51:JN51,1),"C",""))))))&amp;IF(JI51=LARGE(JI51:JN51,2),"R",IF(JJ51=LARGE(JI51:JN51,2),"I",IF(JK51=LARGE(JI51:JN51,2),"A",IF(JL51=LARGE(JI51:JN51,2),"S",IF(JM51=LARGE(JI51:JN51,2),"E",IF(JN51=LARGE(JI51:JN51,2),"C",""))))))&amp;IF(JI51=LARGE(JI51:JN51,3),"R",IF(JJ51=LARGE(JI51:JN51,3),"I",IF(JK51=LARGE(JI51:JN51,3),"A",IF(JL51=LARGE(JI51:JN51,3),"S",IF(JM51=LARGE(JI51:JN51,3),"E",IF(JN51=LARGE(JI51:JN51,3),"C","")))))))</x:f>
      </x:c>
      <x:c r="HW51" s="27" t="str">
        <x:f>IF(C51="","",IF(JI51=LARGE(JI51:JN51,1),"นักปฏิบัติ",IF(JJ51=LARGE(JI51:JN51,1),"นักคิดวิเคราะห์",IF(JK51=LARGE(JI51:JN51,1),"นักสร้างสรรค์",IF(JL51=LARGE(JI51:JN51,1),"ผู้เข้าใจผู้คน",IF(JM51=LARGE(JI51:JN51,1),"ผู้นำการเปลี่ยนแปลง",IF(JN51=LARGE(JI51:JN51,1),"ผู้จัดระบบ","ผู้จัดระบบ")))))))</x:f>
      </x:c>
      <x:c r="HX51" s="27"/>
      <x:c r="HY51" s="27"/>
      <x:c r="HZ51" s="27"/>
      <x:c r="IA51" s="27"/>
      <x:c r="IB51" s="27"/>
      <x:c r="IC51" s="27"/>
      <x:c r="ID51" s="27"/>
      <x:c r="IE51" s="27"/>
      <x:c r="IF51" s="27"/>
      <x:c r="IG51" s="27"/>
      <x:c r="IH51" s="27"/>
      <x:c r="II51" s="27"/>
      <x:c r="IJ51" s="27"/>
      <x:c r="IK51" s="27" t="str">
        <x:f>IF(C51="","",SUM(H51,N51,T51,Z51,AF51,AL51,AR51,AX51,BD51,BJ51,BP51))</x:f>
      </x:c>
      <x:c r="IL51" s="27" t="str">
        <x:f>IF(C51="","",SUM(I51,O51,U51,AA51,AG51,AM51,AS51,AY51,BE51,BK51,BQ51))</x:f>
      </x:c>
      <x:c r="IM51" s="27" t="str">
        <x:f>IF(C51="","",SUM(J51,P51,V51,AB51,AH51,AN51,AT51,AZ51,BF51,BL51,BR51))</x:f>
      </x:c>
      <x:c r="IN51" s="27" t="str">
        <x:f>IF(C51="","",SUM(K51,Q51,W51,AC51,AI51,AO51,AU51,BA51,BG51,BM51,BS51))</x:f>
      </x:c>
      <x:c r="IO51" s="27" t="str">
        <x:f>IF(C51="","",SUM(L51,R51,X51,AD51,AJ51,AP51,AV51,BB51,BH51,BN51,BT51))</x:f>
      </x:c>
      <x:c r="IP51" s="27" t="str">
        <x:f>IF(C51="","",SUM(M51,S51,Y51,AE51,AK51,AQ51,AW51,BC51,BI51,BO51,BU51))</x:f>
      </x:c>
      <x:c r="IQ51" s="27" t="str">
        <x:f>IF(C51="","",SUM(BV51,CB51,CH51,CN51,CT51,CZ51,DF51,DL51,DR51,DX51,ED51))</x:f>
      </x:c>
      <x:c r="IR51" s="27" t="str">
        <x:f>IF(C51="","",SUM(BW51,CC51,CI51,CO51,CU51,DA51,DG51,DM51,DS51,DY51,EE51))</x:f>
      </x:c>
      <x:c r="IS51" s="27" t="str">
        <x:f>IF(C51="","",SUM(BX51,CD51,CJ51,CP51,CV51,DB51,DH51,DN51,DT51,DZ51,EF51))</x:f>
      </x:c>
      <x:c r="IT51" s="27" t="str">
        <x:f>IF(C51="","",SUM(BY51,CE51,CK51,CQ51,CW51,DC51,DI51,DO51,DU51,EA51,EG51))</x:f>
      </x:c>
      <x:c r="IU51" s="27" t="str">
        <x:f>IF(C51="","",SUM(BZ51,CF51,CL51,CR51,CX51,DD51,DJ51,DP51,DV51,EB51,EH51))</x:f>
      </x:c>
      <x:c r="IV51" s="27" t="str">
        <x:f>IF(C51="","",SUM(CA51,CG51,CM51,CS51,CY51,DE51,DK51,DQ51,DW51,EC51,EI51))</x:f>
      </x:c>
      <x:c r="IW51" s="27" t="str">
        <x:f>IF(C51="","",SUM(EJ51,EP51,EV51,FB51,FH51,FN51,FT51,FZ51,GF51,GL51,GR51,GX51,HD51,HJ51))</x:f>
      </x:c>
      <x:c r="IX51" s="27" t="str">
        <x:f>IF(C51="","",SUM(EK51,EQ51,EW51,FC51,FI51,FO51,FU51,GA51,GG51,GM51,GS51,GY51,HE51,HK51))</x:f>
      </x:c>
      <x:c r="IY51" s="27" t="str">
        <x:f>IF(C51="","",SUM(EL51,ER51,EX51,FD51,FJ51,FP51,FV51,GB51,GH51,GN51,GT51,GZ51,HF51,HL51))</x:f>
      </x:c>
      <x:c r="IZ51" s="27" t="str">
        <x:f>IF(C51="","",SUM(EM51,ES51,EY51,FE51,FK51,FQ51,FW51,GC51,GI51,GO51,GU51,HA51,HG51,HM51))</x:f>
      </x:c>
      <x:c r="JA51" s="27" t="str">
        <x:f>IF(C51="","",SUM(EN51,ET51,EZ51,FF51,FL51,FR51,FX51,GD51,GJ51,GP51,GV51,HB51,HH51,HN51))</x:f>
      </x:c>
      <x:c r="JB51" s="27" t="str">
        <x:f>IF(C51="","",SUM(EO51,EU51,FA51,FG51,FM51,FS51,FY51,GE51,GK51,GQ51,GW51,HC51,HI51,HO51))</x:f>
      </x:c>
      <x:c r="JC51" s="27" t="str">
        <x:f>IF(C51="","",0)</x:f>
      </x:c>
      <x:c r="JD51" s="27" t="str">
        <x:f>IF(C51="","",0)</x:f>
      </x:c>
      <x:c r="JE51" s="27" t="str">
        <x:f>IF(C51="","",0)</x:f>
      </x:c>
      <x:c r="JF51" s="27" t="str">
        <x:f>IF(C51="","",0)</x:f>
      </x:c>
      <x:c r="JG51" s="27" t="str">
        <x:f>IF(C51="","",0)</x:f>
      </x:c>
      <x:c r="JH51" s="27" t="str">
        <x:f>IF(C51="","",0)</x:f>
      </x:c>
      <x:c r="JI51" s="27" t="str">
        <x:f>IF(C51="","",HP51*1000000000+IW51*1000000+IQ51*10000+IK51*100+JC51+6/1000)</x:f>
      </x:c>
      <x:c r="JJ51" s="27" t="str">
        <x:f>IF(C51="","",HQ51*1000000000+IX51*1000000+IR51*10000+IL51*100+JD51+5/1000)</x:f>
      </x:c>
      <x:c r="JK51" s="27" t="str">
        <x:f>IF(C51="","",HR51*1000000000+IY51*1000000+IS51*10000+IM51*100+JE51+4/1000)</x:f>
      </x:c>
      <x:c r="JL51" s="27" t="str">
        <x:f>IF(C51="","",HS51*1000000000+IZ51*1000000+IT51*10000+IN51*100+JF51+3/1000)</x:f>
      </x:c>
      <x:c r="JM51" s="27" t="str">
        <x:f>IF(C51="","",HT51*1000000000+JA51*1000000+IU51*10000+IO51*100+JG51+2/1000)</x:f>
      </x:c>
      <x:c r="JN51" s="27" t="str">
        <x:f>IF(C51="","",HU51*1000000000+JB51*1000000+IV51*10000+IP51*100+JH51+1/1000)</x:f>
      </x:c>
    </x:row>
    <x:row r="52">
      <x:c r="A52" s="27"/>
      <x:c r="B52" s="28"/>
      <x:c r="C52" s="27"/>
      <x:c r="D52" s="27"/>
      <x:c r="E52" s="27"/>
      <x:c r="F52" s="27"/>
      <x:c r="G52" s="27"/>
      <x:c r="H52" s="27"/>
      <x:c r="I52" s="27"/>
      <x:c r="J52" s="27"/>
      <x:c r="K52" s="27"/>
      <x:c r="L52" s="27"/>
      <x:c r="M52" s="27"/>
      <x:c r="N52" s="27"/>
      <x:c r="O52" s="27"/>
      <x:c r="P52" s="27"/>
      <x:c r="Q52" s="27"/>
      <x:c r="R52" s="27"/>
      <x:c r="S52" s="27"/>
      <x:c r="T52" s="27"/>
      <x:c r="U52" s="27"/>
      <x:c r="V52" s="27"/>
      <x:c r="W52" s="27"/>
      <x:c r="X52" s="27"/>
      <x:c r="Y52" s="27"/>
      <x:c r="Z52" s="27"/>
      <x:c r="AA52" s="27"/>
      <x:c r="AB52" s="27"/>
      <x:c r="AC52" s="27"/>
      <x:c r="AD52" s="27"/>
      <x:c r="AE52" s="27"/>
      <x:c r="AF52" s="27"/>
      <x:c r="AG52" s="27"/>
      <x:c r="AH52" s="27"/>
      <x:c r="AI52" s="27"/>
      <x:c r="AJ52" s="27"/>
      <x:c r="AK52" s="27"/>
      <x:c r="AL52" s="27"/>
      <x:c r="AM52" s="27"/>
      <x:c r="AN52" s="27"/>
      <x:c r="AO52" s="27"/>
      <x:c r="AP52" s="27"/>
      <x:c r="AQ52" s="27"/>
      <x:c r="AR52" s="27"/>
      <x:c r="AS52" s="27"/>
      <x:c r="AT52" s="27"/>
      <x:c r="AU52" s="27"/>
      <x:c r="AV52" s="27"/>
      <x:c r="AW52" s="27"/>
      <x:c r="AX52" s="27"/>
      <x:c r="AY52" s="27"/>
      <x:c r="AZ52" s="27"/>
      <x:c r="BA52" s="27"/>
      <x:c r="BB52" s="27"/>
      <x:c r="BC52" s="27"/>
      <x:c r="BD52" s="27"/>
      <x:c r="BE52" s="27"/>
      <x:c r="BF52" s="27"/>
      <x:c r="BG52" s="27"/>
      <x:c r="BH52" s="27"/>
      <x:c r="BI52" s="27"/>
      <x:c r="BJ52" s="27"/>
      <x:c r="BK52" s="27"/>
      <x:c r="BL52" s="27"/>
      <x:c r="BM52" s="27"/>
      <x:c r="BN52" s="27"/>
      <x:c r="BO52" s="27"/>
      <x:c r="BP52" s="27"/>
      <x:c r="BQ52" s="27"/>
      <x:c r="BR52" s="27"/>
      <x:c r="BS52" s="27"/>
      <x:c r="BT52" s="27"/>
      <x:c r="BU52" s="27"/>
      <x:c r="BV52" s="27"/>
      <x:c r="BW52" s="27"/>
      <x:c r="BX52" s="27"/>
      <x:c r="BY52" s="27"/>
      <x:c r="BZ52" s="27"/>
      <x:c r="CA52" s="27"/>
      <x:c r="CB52" s="27"/>
      <x:c r="CC52" s="27"/>
      <x:c r="CD52" s="27"/>
      <x:c r="CE52" s="27"/>
      <x:c r="CF52" s="27"/>
      <x:c r="CG52" s="27"/>
      <x:c r="CH52" s="27"/>
      <x:c r="CI52" s="27"/>
      <x:c r="CJ52" s="27"/>
      <x:c r="CK52" s="27"/>
      <x:c r="CL52" s="27"/>
      <x:c r="CM52" s="27"/>
      <x:c r="CN52" s="27"/>
      <x:c r="CO52" s="27"/>
      <x:c r="CP52" s="27"/>
      <x:c r="CQ52" s="27"/>
      <x:c r="CR52" s="27"/>
      <x:c r="CS52" s="27"/>
      <x:c r="CT52" s="27"/>
      <x:c r="CU52" s="27"/>
      <x:c r="CV52" s="27"/>
      <x:c r="CW52" s="27"/>
      <x:c r="CX52" s="27"/>
      <x:c r="CY52" s="27"/>
      <x:c r="CZ52" s="27"/>
      <x:c r="DA52" s="27"/>
      <x:c r="DB52" s="27"/>
      <x:c r="DC52" s="27"/>
      <x:c r="DD52" s="27"/>
      <x:c r="DE52" s="27"/>
      <x:c r="DF52" s="27"/>
      <x:c r="DG52" s="27"/>
      <x:c r="DH52" s="27"/>
      <x:c r="DI52" s="27"/>
      <x:c r="DJ52" s="27"/>
      <x:c r="DK52" s="27"/>
      <x:c r="DL52" s="27"/>
      <x:c r="DM52" s="27"/>
      <x:c r="DN52" s="27"/>
      <x:c r="DO52" s="27"/>
      <x:c r="DP52" s="27"/>
      <x:c r="DQ52" s="27"/>
      <x:c r="DR52" s="27"/>
      <x:c r="DS52" s="27"/>
      <x:c r="DT52" s="27"/>
      <x:c r="DU52" s="27"/>
      <x:c r="DV52" s="27"/>
      <x:c r="DW52" s="27"/>
      <x:c r="DX52" s="27"/>
      <x:c r="DY52" s="27"/>
      <x:c r="DZ52" s="27"/>
      <x:c r="EA52" s="27"/>
      <x:c r="EB52" s="27"/>
      <x:c r="EC52" s="27"/>
      <x:c r="ED52" s="27"/>
      <x:c r="EE52" s="27"/>
      <x:c r="EF52" s="27"/>
      <x:c r="EG52" s="27"/>
      <x:c r="EH52" s="27"/>
      <x:c r="EI52" s="27"/>
      <x:c r="EJ52" s="27"/>
      <x:c r="EK52" s="27"/>
      <x:c r="EL52" s="27"/>
      <x:c r="EM52" s="27"/>
      <x:c r="EN52" s="27"/>
      <x:c r="EO52" s="27"/>
      <x:c r="EP52" s="27"/>
      <x:c r="EQ52" s="27"/>
      <x:c r="ER52" s="27"/>
      <x:c r="ES52" s="27"/>
      <x:c r="ET52" s="27"/>
      <x:c r="EU52" s="27"/>
      <x:c r="EV52" s="27"/>
      <x:c r="EW52" s="27"/>
      <x:c r="EX52" s="27"/>
      <x:c r="EY52" s="27"/>
      <x:c r="EZ52" s="27"/>
      <x:c r="FA52" s="27"/>
      <x:c r="FB52" s="27"/>
      <x:c r="FC52" s="27"/>
      <x:c r="FD52" s="27"/>
      <x:c r="FE52" s="27"/>
      <x:c r="FF52" s="27"/>
      <x:c r="FG52" s="27"/>
      <x:c r="FH52" s="27"/>
      <x:c r="FI52" s="27"/>
      <x:c r="FJ52" s="27"/>
      <x:c r="FK52" s="27"/>
      <x:c r="FL52" s="27"/>
      <x:c r="FM52" s="27"/>
      <x:c r="FN52" s="27"/>
      <x:c r="FO52" s="27"/>
      <x:c r="FP52" s="27"/>
      <x:c r="FQ52" s="27"/>
      <x:c r="FR52" s="27"/>
      <x:c r="FS52" s="27"/>
      <x:c r="FT52" s="27"/>
      <x:c r="FU52" s="27"/>
      <x:c r="FV52" s="27"/>
      <x:c r="FW52" s="27"/>
      <x:c r="FX52" s="27"/>
      <x:c r="FY52" s="27"/>
      <x:c r="FZ52" s="27"/>
      <x:c r="GA52" s="27"/>
      <x:c r="GB52" s="27"/>
      <x:c r="GC52" s="27"/>
      <x:c r="GD52" s="27"/>
      <x:c r="GE52" s="27"/>
      <x:c r="GF52" s="27"/>
      <x:c r="GG52" s="27"/>
      <x:c r="GH52" s="27"/>
      <x:c r="GI52" s="27"/>
      <x:c r="GJ52" s="27"/>
      <x:c r="GK52" s="27"/>
      <x:c r="GL52" s="27"/>
      <x:c r="GM52" s="27"/>
      <x:c r="GN52" s="27"/>
      <x:c r="GO52" s="27"/>
      <x:c r="GP52" s="27"/>
      <x:c r="GQ52" s="27"/>
      <x:c r="GR52" s="27"/>
      <x:c r="GS52" s="27"/>
      <x:c r="GT52" s="27"/>
      <x:c r="GU52" s="27"/>
      <x:c r="GV52" s="27"/>
      <x:c r="GW52" s="27"/>
      <x:c r="GX52" s="27"/>
      <x:c r="GY52" s="27"/>
      <x:c r="GZ52" s="27"/>
      <x:c r="HA52" s="27"/>
      <x:c r="HB52" s="27"/>
      <x:c r="HC52" s="27"/>
      <x:c r="HD52" s="27"/>
      <x:c r="HE52" s="27"/>
      <x:c r="HF52" s="27"/>
      <x:c r="HG52" s="27"/>
      <x:c r="HH52" s="27"/>
      <x:c r="HI52" s="27"/>
      <x:c r="HJ52" s="27"/>
      <x:c r="HK52" s="27"/>
      <x:c r="HL52" s="27"/>
      <x:c r="HM52" s="27"/>
      <x:c r="HN52" s="27"/>
      <x:c r="HO52" s="27"/>
      <x:c r="HP52" s="27" t="str">
        <x:f>IF(C52="","",SUM(H52,N52,T52,Z52,AF52,AL52,AR52,AX52,BD52,BJ52,BP52,BV52,CB52,CH52,CN52,CT52,CZ52,DF52,DL52,DR52,DX52,ED52,EJ52,EP52,EV52,FB52,FH52,FN52,FT52,FZ52,GF52,GL52,GR52,GX52,HD52,HJ52))</x:f>
      </x:c>
      <x:c r="HQ52" s="27" t="str">
        <x:f>IF(C52="","",SUM(I52,O52,U52,AA52,AG52,AM52,AS52,AY52,BE52,BK52,BQ52,BW52,CC52,CI52,CO52,CU52,DA52,DG52,DM52,DS52,DY52,EE52,EK52,EQ52,EW52,FC52,FI52,FO52,FU52,GA52,GG52,GM52,GS52,GY52,HE52,HK52))</x:f>
      </x:c>
      <x:c r="HR52" s="27" t="str">
        <x:f>IF(C52="","",SUM(J52,P52,V52,AB52,AH52,AN52,AT52,AZ52,BF52,BL52,BR52,BX52,CD52,CJ52,CP52,CV52,DB52,DH52,DN52,DT52,DZ52,EF52,EL52,ER52,EX52,FD52,FJ52,FP52,FV52,GB52,GH52,GN52,GT52,GZ52,HF52,HL52))</x:f>
      </x:c>
      <x:c r="HS52" s="27" t="str">
        <x:f>IF(C52="","",SUM(K52,Q52,W52,AC52,AI52,AO52,AU52,BA52,BG52,BM52,BS52,BY52,CE52,CK52,CQ52,CW52,DC52,DI52,DO52,DU52,EA52,EG52,EM52,ES52,EY52,FE52,FK52,FQ52,FW52,GC52,GI52,GO52,GU52,HA52,HG52,HM52))</x:f>
      </x:c>
      <x:c r="HT52" s="27" t="str">
        <x:f>IF(C52="","",SUM(L52,R52,X52,AD52,AJ52,AP52,AV52,BB52,BH52,BN52,BT52,BZ52,CF52,CL52,CR52,CX52,DD52,DJ52,DP52,DV52,EB52,EH52,EN52,ET52,EZ52,FF52,FL52,FR52,FX52,GD52,GJ52,GP52,GV52,HB52,HH52,HN52))</x:f>
      </x:c>
      <x:c r="HU52" s="27" t="str">
        <x:f>IF(C52="","",SUM(M52,S52,Y52,AE52,AK52,AQ52,AW52,BC52,BI52,BO52,BU52,CA52,CG52,CM52,CS52,CY52,DE52,DK52,DQ52,DW52,EC52,EI52,EO52,EU52,FA52,FG52,FM52,FS52,FY52,GE52,GK52,GQ52,GW52,HC52,HI52,HO52))</x:f>
      </x:c>
      <x:c r="HV52" s="27" t="str">
        <x:f>IF(C52="","",IF(JI52=LARGE(JI52:JN52,1),"R",IF(JJ52=LARGE(JI52:JN52,1),"I",IF(JK52=LARGE(JI52:JN52,1),"A",IF(JL52=LARGE(JI52:JN52,1),"S",IF(JM52=LARGE(JI52:JN52,1),"E",IF(JN52=LARGE(JI52:JN52,1),"C",""))))))&amp;IF(JI52=LARGE(JI52:JN52,2),"R",IF(JJ52=LARGE(JI52:JN52,2),"I",IF(JK52=LARGE(JI52:JN52,2),"A",IF(JL52=LARGE(JI52:JN52,2),"S",IF(JM52=LARGE(JI52:JN52,2),"E",IF(JN52=LARGE(JI52:JN52,2),"C",""))))))&amp;IF(JI52=LARGE(JI52:JN52,3),"R",IF(JJ52=LARGE(JI52:JN52,3),"I",IF(JK52=LARGE(JI52:JN52,3),"A",IF(JL52=LARGE(JI52:JN52,3),"S",IF(JM52=LARGE(JI52:JN52,3),"E",IF(JN52=LARGE(JI52:JN52,3),"C","")))))))</x:f>
      </x:c>
      <x:c r="HW52" s="27" t="str">
        <x:f>IF(C52="","",IF(JI52=LARGE(JI52:JN52,1),"นักปฏิบัติ",IF(JJ52=LARGE(JI52:JN52,1),"นักคิดวิเคราะห์",IF(JK52=LARGE(JI52:JN52,1),"นักสร้างสรรค์",IF(JL52=LARGE(JI52:JN52,1),"ผู้เข้าใจผู้คน",IF(JM52=LARGE(JI52:JN52,1),"ผู้นำการเปลี่ยนแปลง",IF(JN52=LARGE(JI52:JN52,1),"ผู้จัดระบบ","ผู้จัดระบบ")))))))</x:f>
      </x:c>
      <x:c r="HX52" s="27"/>
      <x:c r="HY52" s="27"/>
      <x:c r="HZ52" s="27"/>
      <x:c r="IA52" s="27"/>
      <x:c r="IB52" s="27"/>
      <x:c r="IC52" s="27"/>
      <x:c r="ID52" s="27"/>
      <x:c r="IE52" s="27"/>
      <x:c r="IF52" s="27"/>
      <x:c r="IG52" s="27"/>
      <x:c r="IH52" s="27"/>
      <x:c r="II52" s="27"/>
      <x:c r="IJ52" s="27"/>
      <x:c r="IK52" s="27" t="str">
        <x:f>IF(C52="","",SUM(H52,N52,T52,Z52,AF52,AL52,AR52,AX52,BD52,BJ52,BP52))</x:f>
      </x:c>
      <x:c r="IL52" s="27" t="str">
        <x:f>IF(C52="","",SUM(I52,O52,U52,AA52,AG52,AM52,AS52,AY52,BE52,BK52,BQ52))</x:f>
      </x:c>
      <x:c r="IM52" s="27" t="str">
        <x:f>IF(C52="","",SUM(J52,P52,V52,AB52,AH52,AN52,AT52,AZ52,BF52,BL52,BR52))</x:f>
      </x:c>
      <x:c r="IN52" s="27" t="str">
        <x:f>IF(C52="","",SUM(K52,Q52,W52,AC52,AI52,AO52,AU52,BA52,BG52,BM52,BS52))</x:f>
      </x:c>
      <x:c r="IO52" s="27" t="str">
        <x:f>IF(C52="","",SUM(L52,R52,X52,AD52,AJ52,AP52,AV52,BB52,BH52,BN52,BT52))</x:f>
      </x:c>
      <x:c r="IP52" s="27" t="str">
        <x:f>IF(C52="","",SUM(M52,S52,Y52,AE52,AK52,AQ52,AW52,BC52,BI52,BO52,BU52))</x:f>
      </x:c>
      <x:c r="IQ52" s="27" t="str">
        <x:f>IF(C52="","",SUM(BV52,CB52,CH52,CN52,CT52,CZ52,DF52,DL52,DR52,DX52,ED52))</x:f>
      </x:c>
      <x:c r="IR52" s="27" t="str">
        <x:f>IF(C52="","",SUM(BW52,CC52,CI52,CO52,CU52,DA52,DG52,DM52,DS52,DY52,EE52))</x:f>
      </x:c>
      <x:c r="IS52" s="27" t="str">
        <x:f>IF(C52="","",SUM(BX52,CD52,CJ52,CP52,CV52,DB52,DH52,DN52,DT52,DZ52,EF52))</x:f>
      </x:c>
      <x:c r="IT52" s="27" t="str">
        <x:f>IF(C52="","",SUM(BY52,CE52,CK52,CQ52,CW52,DC52,DI52,DO52,DU52,EA52,EG52))</x:f>
      </x:c>
      <x:c r="IU52" s="27" t="str">
        <x:f>IF(C52="","",SUM(BZ52,CF52,CL52,CR52,CX52,DD52,DJ52,DP52,DV52,EB52,EH52))</x:f>
      </x:c>
      <x:c r="IV52" s="27" t="str">
        <x:f>IF(C52="","",SUM(CA52,CG52,CM52,CS52,CY52,DE52,DK52,DQ52,DW52,EC52,EI52))</x:f>
      </x:c>
      <x:c r="IW52" s="27" t="str">
        <x:f>IF(C52="","",SUM(EJ52,EP52,EV52,FB52,FH52,FN52,FT52,FZ52,GF52,GL52,GR52,GX52,HD52,HJ52))</x:f>
      </x:c>
      <x:c r="IX52" s="27" t="str">
        <x:f>IF(C52="","",SUM(EK52,EQ52,EW52,FC52,FI52,FO52,FU52,GA52,GG52,GM52,GS52,GY52,HE52,HK52))</x:f>
      </x:c>
      <x:c r="IY52" s="27" t="str">
        <x:f>IF(C52="","",SUM(EL52,ER52,EX52,FD52,FJ52,FP52,FV52,GB52,GH52,GN52,GT52,GZ52,HF52,HL52))</x:f>
      </x:c>
      <x:c r="IZ52" s="27" t="str">
        <x:f>IF(C52="","",SUM(EM52,ES52,EY52,FE52,FK52,FQ52,FW52,GC52,GI52,GO52,GU52,HA52,HG52,HM52))</x:f>
      </x:c>
      <x:c r="JA52" s="27" t="str">
        <x:f>IF(C52="","",SUM(EN52,ET52,EZ52,FF52,FL52,FR52,FX52,GD52,GJ52,GP52,GV52,HB52,HH52,HN52))</x:f>
      </x:c>
      <x:c r="JB52" s="27" t="str">
        <x:f>IF(C52="","",SUM(EO52,EU52,FA52,FG52,FM52,FS52,FY52,GE52,GK52,GQ52,GW52,HC52,HI52,HO52))</x:f>
      </x:c>
      <x:c r="JC52" s="27" t="str">
        <x:f>IF(C52="","",0)</x:f>
      </x:c>
      <x:c r="JD52" s="27" t="str">
        <x:f>IF(C52="","",0)</x:f>
      </x:c>
      <x:c r="JE52" s="27" t="str">
        <x:f>IF(C52="","",0)</x:f>
      </x:c>
      <x:c r="JF52" s="27" t="str">
        <x:f>IF(C52="","",0)</x:f>
      </x:c>
      <x:c r="JG52" s="27" t="str">
        <x:f>IF(C52="","",0)</x:f>
      </x:c>
      <x:c r="JH52" s="27" t="str">
        <x:f>IF(C52="","",0)</x:f>
      </x:c>
      <x:c r="JI52" s="27" t="str">
        <x:f>IF(C52="","",HP52*1000000000+IW52*1000000+IQ52*10000+IK52*100+JC52+6/1000)</x:f>
      </x:c>
      <x:c r="JJ52" s="27" t="str">
        <x:f>IF(C52="","",HQ52*1000000000+IX52*1000000+IR52*10000+IL52*100+JD52+5/1000)</x:f>
      </x:c>
      <x:c r="JK52" s="27" t="str">
        <x:f>IF(C52="","",HR52*1000000000+IY52*1000000+IS52*10000+IM52*100+JE52+4/1000)</x:f>
      </x:c>
      <x:c r="JL52" s="27" t="str">
        <x:f>IF(C52="","",HS52*1000000000+IZ52*1000000+IT52*10000+IN52*100+JF52+3/1000)</x:f>
      </x:c>
      <x:c r="JM52" s="27" t="str">
        <x:f>IF(C52="","",HT52*1000000000+JA52*1000000+IU52*10000+IO52*100+JG52+2/1000)</x:f>
      </x:c>
      <x:c r="JN52" s="27" t="str">
        <x:f>IF(C52="","",HU52*1000000000+JB52*1000000+IV52*10000+IP52*100+JH52+1/1000)</x:f>
      </x:c>
    </x:row>
    <x:row r="53">
      <x:c r="A53" s="27"/>
      <x:c r="B53" s="28"/>
      <x:c r="C53" s="27"/>
      <x:c r="D53" s="27"/>
      <x:c r="E53" s="27"/>
      <x:c r="F53" s="27"/>
      <x:c r="G53" s="27"/>
      <x:c r="H53" s="27"/>
      <x:c r="I53" s="27"/>
      <x:c r="J53" s="27"/>
      <x:c r="K53" s="27"/>
      <x:c r="L53" s="27"/>
      <x:c r="M53" s="27"/>
      <x:c r="N53" s="27"/>
      <x:c r="O53" s="27"/>
      <x:c r="P53" s="27"/>
      <x:c r="Q53" s="27"/>
      <x:c r="R53" s="27"/>
      <x:c r="S53" s="27"/>
      <x:c r="T53" s="27"/>
      <x:c r="U53" s="27"/>
      <x:c r="V53" s="27"/>
      <x:c r="W53" s="27"/>
      <x:c r="X53" s="27"/>
      <x:c r="Y53" s="27"/>
      <x:c r="Z53" s="27"/>
      <x:c r="AA53" s="27"/>
      <x:c r="AB53" s="27"/>
      <x:c r="AC53" s="27"/>
      <x:c r="AD53" s="27"/>
      <x:c r="AE53" s="27"/>
      <x:c r="AF53" s="27"/>
      <x:c r="AG53" s="27"/>
      <x:c r="AH53" s="27"/>
      <x:c r="AI53" s="27"/>
      <x:c r="AJ53" s="27"/>
      <x:c r="AK53" s="27"/>
      <x:c r="AL53" s="27"/>
      <x:c r="AM53" s="27"/>
      <x:c r="AN53" s="27"/>
      <x:c r="AO53" s="27"/>
      <x:c r="AP53" s="27"/>
      <x:c r="AQ53" s="27"/>
      <x:c r="AR53" s="27"/>
      <x:c r="AS53" s="27"/>
      <x:c r="AT53" s="27"/>
      <x:c r="AU53" s="27"/>
      <x:c r="AV53" s="27"/>
      <x:c r="AW53" s="27"/>
      <x:c r="AX53" s="27"/>
      <x:c r="AY53" s="27"/>
      <x:c r="AZ53" s="27"/>
      <x:c r="BA53" s="27"/>
      <x:c r="BB53" s="27"/>
      <x:c r="BC53" s="27"/>
      <x:c r="BD53" s="27"/>
      <x:c r="BE53" s="27"/>
      <x:c r="BF53" s="27"/>
      <x:c r="BG53" s="27"/>
      <x:c r="BH53" s="27"/>
      <x:c r="BI53" s="27"/>
      <x:c r="BJ53" s="27"/>
      <x:c r="BK53" s="27"/>
      <x:c r="BL53" s="27"/>
      <x:c r="BM53" s="27"/>
      <x:c r="BN53" s="27"/>
      <x:c r="BO53" s="27"/>
      <x:c r="BP53" s="27"/>
      <x:c r="BQ53" s="27"/>
      <x:c r="BR53" s="27"/>
      <x:c r="BS53" s="27"/>
      <x:c r="BT53" s="27"/>
      <x:c r="BU53" s="27"/>
      <x:c r="BV53" s="27"/>
      <x:c r="BW53" s="27"/>
      <x:c r="BX53" s="27"/>
      <x:c r="BY53" s="27"/>
      <x:c r="BZ53" s="27"/>
      <x:c r="CA53" s="27"/>
      <x:c r="CB53" s="27"/>
      <x:c r="CC53" s="27"/>
      <x:c r="CD53" s="27"/>
      <x:c r="CE53" s="27"/>
      <x:c r="CF53" s="27"/>
      <x:c r="CG53" s="27"/>
      <x:c r="CH53" s="27"/>
      <x:c r="CI53" s="27"/>
      <x:c r="CJ53" s="27"/>
      <x:c r="CK53" s="27"/>
      <x:c r="CL53" s="27"/>
      <x:c r="CM53" s="27"/>
      <x:c r="CN53" s="27"/>
      <x:c r="CO53" s="27"/>
      <x:c r="CP53" s="27"/>
      <x:c r="CQ53" s="27"/>
      <x:c r="CR53" s="27"/>
      <x:c r="CS53" s="27"/>
      <x:c r="CT53" s="27"/>
      <x:c r="CU53" s="27"/>
      <x:c r="CV53" s="27"/>
      <x:c r="CW53" s="27"/>
      <x:c r="CX53" s="27"/>
      <x:c r="CY53" s="27"/>
      <x:c r="CZ53" s="27"/>
      <x:c r="DA53" s="27"/>
      <x:c r="DB53" s="27"/>
      <x:c r="DC53" s="27"/>
      <x:c r="DD53" s="27"/>
      <x:c r="DE53" s="27"/>
      <x:c r="DF53" s="27"/>
      <x:c r="DG53" s="27"/>
      <x:c r="DH53" s="27"/>
      <x:c r="DI53" s="27"/>
      <x:c r="DJ53" s="27"/>
      <x:c r="DK53" s="27"/>
      <x:c r="DL53" s="27"/>
      <x:c r="DM53" s="27"/>
      <x:c r="DN53" s="27"/>
      <x:c r="DO53" s="27"/>
      <x:c r="DP53" s="27"/>
      <x:c r="DQ53" s="27"/>
      <x:c r="DR53" s="27"/>
      <x:c r="DS53" s="27"/>
      <x:c r="DT53" s="27"/>
      <x:c r="DU53" s="27"/>
      <x:c r="DV53" s="27"/>
      <x:c r="DW53" s="27"/>
      <x:c r="DX53" s="27"/>
      <x:c r="DY53" s="27"/>
      <x:c r="DZ53" s="27"/>
      <x:c r="EA53" s="27"/>
      <x:c r="EB53" s="27"/>
      <x:c r="EC53" s="27"/>
      <x:c r="ED53" s="27"/>
      <x:c r="EE53" s="27"/>
      <x:c r="EF53" s="27"/>
      <x:c r="EG53" s="27"/>
      <x:c r="EH53" s="27"/>
      <x:c r="EI53" s="27"/>
      <x:c r="EJ53" s="27"/>
      <x:c r="EK53" s="27"/>
      <x:c r="EL53" s="27"/>
      <x:c r="EM53" s="27"/>
      <x:c r="EN53" s="27"/>
      <x:c r="EO53" s="27"/>
      <x:c r="EP53" s="27"/>
      <x:c r="EQ53" s="27"/>
      <x:c r="ER53" s="27"/>
      <x:c r="ES53" s="27"/>
      <x:c r="ET53" s="27"/>
      <x:c r="EU53" s="27"/>
      <x:c r="EV53" s="27"/>
      <x:c r="EW53" s="27"/>
      <x:c r="EX53" s="27"/>
      <x:c r="EY53" s="27"/>
      <x:c r="EZ53" s="27"/>
      <x:c r="FA53" s="27"/>
      <x:c r="FB53" s="27"/>
      <x:c r="FC53" s="27"/>
      <x:c r="FD53" s="27"/>
      <x:c r="FE53" s="27"/>
      <x:c r="FF53" s="27"/>
      <x:c r="FG53" s="27"/>
      <x:c r="FH53" s="27"/>
      <x:c r="FI53" s="27"/>
      <x:c r="FJ53" s="27"/>
      <x:c r="FK53" s="27"/>
      <x:c r="FL53" s="27"/>
      <x:c r="FM53" s="27"/>
      <x:c r="FN53" s="27"/>
      <x:c r="FO53" s="27"/>
      <x:c r="FP53" s="27"/>
      <x:c r="FQ53" s="27"/>
      <x:c r="FR53" s="27"/>
      <x:c r="FS53" s="27"/>
      <x:c r="FT53" s="27"/>
      <x:c r="FU53" s="27"/>
      <x:c r="FV53" s="27"/>
      <x:c r="FW53" s="27"/>
      <x:c r="FX53" s="27"/>
      <x:c r="FY53" s="27"/>
      <x:c r="FZ53" s="27"/>
      <x:c r="GA53" s="27"/>
      <x:c r="GB53" s="27"/>
      <x:c r="GC53" s="27"/>
      <x:c r="GD53" s="27"/>
      <x:c r="GE53" s="27"/>
      <x:c r="GF53" s="27"/>
      <x:c r="GG53" s="27"/>
      <x:c r="GH53" s="27"/>
      <x:c r="GI53" s="27"/>
      <x:c r="GJ53" s="27"/>
      <x:c r="GK53" s="27"/>
      <x:c r="GL53" s="27"/>
      <x:c r="GM53" s="27"/>
      <x:c r="GN53" s="27"/>
      <x:c r="GO53" s="27"/>
      <x:c r="GP53" s="27"/>
      <x:c r="GQ53" s="27"/>
      <x:c r="GR53" s="27"/>
      <x:c r="GS53" s="27"/>
      <x:c r="GT53" s="27"/>
      <x:c r="GU53" s="27"/>
      <x:c r="GV53" s="27"/>
      <x:c r="GW53" s="27"/>
      <x:c r="GX53" s="27"/>
      <x:c r="GY53" s="27"/>
      <x:c r="GZ53" s="27"/>
      <x:c r="HA53" s="27"/>
      <x:c r="HB53" s="27"/>
      <x:c r="HC53" s="27"/>
      <x:c r="HD53" s="27"/>
      <x:c r="HE53" s="27"/>
      <x:c r="HF53" s="27"/>
      <x:c r="HG53" s="27"/>
      <x:c r="HH53" s="27"/>
      <x:c r="HI53" s="27"/>
      <x:c r="HJ53" s="27"/>
      <x:c r="HK53" s="27"/>
      <x:c r="HL53" s="27"/>
      <x:c r="HM53" s="27"/>
      <x:c r="HN53" s="27"/>
      <x:c r="HO53" s="27"/>
      <x:c r="HP53" s="27" t="str">
        <x:f>IF(C53="","",SUM(H53,N53,T53,Z53,AF53,AL53,AR53,AX53,BD53,BJ53,BP53,BV53,CB53,CH53,CN53,CT53,CZ53,DF53,DL53,DR53,DX53,ED53,EJ53,EP53,EV53,FB53,FH53,FN53,FT53,FZ53,GF53,GL53,GR53,GX53,HD53,HJ53))</x:f>
      </x:c>
      <x:c r="HQ53" s="27" t="str">
        <x:f>IF(C53="","",SUM(I53,O53,U53,AA53,AG53,AM53,AS53,AY53,BE53,BK53,BQ53,BW53,CC53,CI53,CO53,CU53,DA53,DG53,DM53,DS53,DY53,EE53,EK53,EQ53,EW53,FC53,FI53,FO53,FU53,GA53,GG53,GM53,GS53,GY53,HE53,HK53))</x:f>
      </x:c>
      <x:c r="HR53" s="27" t="str">
        <x:f>IF(C53="","",SUM(J53,P53,V53,AB53,AH53,AN53,AT53,AZ53,BF53,BL53,BR53,BX53,CD53,CJ53,CP53,CV53,DB53,DH53,DN53,DT53,DZ53,EF53,EL53,ER53,EX53,FD53,FJ53,FP53,FV53,GB53,GH53,GN53,GT53,GZ53,HF53,HL53))</x:f>
      </x:c>
      <x:c r="HS53" s="27" t="str">
        <x:f>IF(C53="","",SUM(K53,Q53,W53,AC53,AI53,AO53,AU53,BA53,BG53,BM53,BS53,BY53,CE53,CK53,CQ53,CW53,DC53,DI53,DO53,DU53,EA53,EG53,EM53,ES53,EY53,FE53,FK53,FQ53,FW53,GC53,GI53,GO53,GU53,HA53,HG53,HM53))</x:f>
      </x:c>
      <x:c r="HT53" s="27" t="str">
        <x:f>IF(C53="","",SUM(L53,R53,X53,AD53,AJ53,AP53,AV53,BB53,BH53,BN53,BT53,BZ53,CF53,CL53,CR53,CX53,DD53,DJ53,DP53,DV53,EB53,EH53,EN53,ET53,EZ53,FF53,FL53,FR53,FX53,GD53,GJ53,GP53,GV53,HB53,HH53,HN53))</x:f>
      </x:c>
      <x:c r="HU53" s="27" t="str">
        <x:f>IF(C53="","",SUM(M53,S53,Y53,AE53,AK53,AQ53,AW53,BC53,BI53,BO53,BU53,CA53,CG53,CM53,CS53,CY53,DE53,DK53,DQ53,DW53,EC53,EI53,EO53,EU53,FA53,FG53,FM53,FS53,FY53,GE53,GK53,GQ53,GW53,HC53,HI53,HO53))</x:f>
      </x:c>
      <x:c r="HV53" s="27" t="str">
        <x:f>IF(C53="","",IF(JI53=LARGE(JI53:JN53,1),"R",IF(JJ53=LARGE(JI53:JN53,1),"I",IF(JK53=LARGE(JI53:JN53,1),"A",IF(JL53=LARGE(JI53:JN53,1),"S",IF(JM53=LARGE(JI53:JN53,1),"E",IF(JN53=LARGE(JI53:JN53,1),"C",""))))))&amp;IF(JI53=LARGE(JI53:JN53,2),"R",IF(JJ53=LARGE(JI53:JN53,2),"I",IF(JK53=LARGE(JI53:JN53,2),"A",IF(JL53=LARGE(JI53:JN53,2),"S",IF(JM53=LARGE(JI53:JN53,2),"E",IF(JN53=LARGE(JI53:JN53,2),"C",""))))))&amp;IF(JI53=LARGE(JI53:JN53,3),"R",IF(JJ53=LARGE(JI53:JN53,3),"I",IF(JK53=LARGE(JI53:JN53,3),"A",IF(JL53=LARGE(JI53:JN53,3),"S",IF(JM53=LARGE(JI53:JN53,3),"E",IF(JN53=LARGE(JI53:JN53,3),"C","")))))))</x:f>
      </x:c>
      <x:c r="HW53" s="27" t="str">
        <x:f>IF(C53="","",IF(JI53=LARGE(JI53:JN53,1),"นักปฏิบัติ",IF(JJ53=LARGE(JI53:JN53,1),"นักคิดวิเคราะห์",IF(JK53=LARGE(JI53:JN53,1),"นักสร้างสรรค์",IF(JL53=LARGE(JI53:JN53,1),"ผู้เข้าใจผู้คน",IF(JM53=LARGE(JI53:JN53,1),"ผู้นำการเปลี่ยนแปลง",IF(JN53=LARGE(JI53:JN53,1),"ผู้จัดระบบ","ผู้จัดระบบ")))))))</x:f>
      </x:c>
      <x:c r="HX53" s="27"/>
      <x:c r="HY53" s="27"/>
      <x:c r="HZ53" s="27"/>
      <x:c r="IA53" s="27"/>
      <x:c r="IB53" s="27"/>
      <x:c r="IC53" s="27"/>
      <x:c r="ID53" s="27"/>
      <x:c r="IE53" s="27"/>
      <x:c r="IF53" s="27"/>
      <x:c r="IG53" s="27"/>
      <x:c r="IH53" s="27"/>
      <x:c r="II53" s="27"/>
      <x:c r="IJ53" s="27"/>
      <x:c r="IK53" s="27" t="str">
        <x:f>IF(C53="","",SUM(H53,N53,T53,Z53,AF53,AL53,AR53,AX53,BD53,BJ53,BP53))</x:f>
      </x:c>
      <x:c r="IL53" s="27" t="str">
        <x:f>IF(C53="","",SUM(I53,O53,U53,AA53,AG53,AM53,AS53,AY53,BE53,BK53,BQ53))</x:f>
      </x:c>
      <x:c r="IM53" s="27" t="str">
        <x:f>IF(C53="","",SUM(J53,P53,V53,AB53,AH53,AN53,AT53,AZ53,BF53,BL53,BR53))</x:f>
      </x:c>
      <x:c r="IN53" s="27" t="str">
        <x:f>IF(C53="","",SUM(K53,Q53,W53,AC53,AI53,AO53,AU53,BA53,BG53,BM53,BS53))</x:f>
      </x:c>
      <x:c r="IO53" s="27" t="str">
        <x:f>IF(C53="","",SUM(L53,R53,X53,AD53,AJ53,AP53,AV53,BB53,BH53,BN53,BT53))</x:f>
      </x:c>
      <x:c r="IP53" s="27" t="str">
        <x:f>IF(C53="","",SUM(M53,S53,Y53,AE53,AK53,AQ53,AW53,BC53,BI53,BO53,BU53))</x:f>
      </x:c>
      <x:c r="IQ53" s="27" t="str">
        <x:f>IF(C53="","",SUM(BV53,CB53,CH53,CN53,CT53,CZ53,DF53,DL53,DR53,DX53,ED53))</x:f>
      </x:c>
      <x:c r="IR53" s="27" t="str">
        <x:f>IF(C53="","",SUM(BW53,CC53,CI53,CO53,CU53,DA53,DG53,DM53,DS53,DY53,EE53))</x:f>
      </x:c>
      <x:c r="IS53" s="27" t="str">
        <x:f>IF(C53="","",SUM(BX53,CD53,CJ53,CP53,CV53,DB53,DH53,DN53,DT53,DZ53,EF53))</x:f>
      </x:c>
      <x:c r="IT53" s="27" t="str">
        <x:f>IF(C53="","",SUM(BY53,CE53,CK53,CQ53,CW53,DC53,DI53,DO53,DU53,EA53,EG53))</x:f>
      </x:c>
      <x:c r="IU53" s="27" t="str">
        <x:f>IF(C53="","",SUM(BZ53,CF53,CL53,CR53,CX53,DD53,DJ53,DP53,DV53,EB53,EH53))</x:f>
      </x:c>
      <x:c r="IV53" s="27" t="str">
        <x:f>IF(C53="","",SUM(CA53,CG53,CM53,CS53,CY53,DE53,DK53,DQ53,DW53,EC53,EI53))</x:f>
      </x:c>
      <x:c r="IW53" s="27" t="str">
        <x:f>IF(C53="","",SUM(EJ53,EP53,EV53,FB53,FH53,FN53,FT53,FZ53,GF53,GL53,GR53,GX53,HD53,HJ53))</x:f>
      </x:c>
      <x:c r="IX53" s="27" t="str">
        <x:f>IF(C53="","",SUM(EK53,EQ53,EW53,FC53,FI53,FO53,FU53,GA53,GG53,GM53,GS53,GY53,HE53,HK53))</x:f>
      </x:c>
      <x:c r="IY53" s="27" t="str">
        <x:f>IF(C53="","",SUM(EL53,ER53,EX53,FD53,FJ53,FP53,FV53,GB53,GH53,GN53,GT53,GZ53,HF53,HL53))</x:f>
      </x:c>
      <x:c r="IZ53" s="27" t="str">
        <x:f>IF(C53="","",SUM(EM53,ES53,EY53,FE53,FK53,FQ53,FW53,GC53,GI53,GO53,GU53,HA53,HG53,HM53))</x:f>
      </x:c>
      <x:c r="JA53" s="27" t="str">
        <x:f>IF(C53="","",SUM(EN53,ET53,EZ53,FF53,FL53,FR53,FX53,GD53,GJ53,GP53,GV53,HB53,HH53,HN53))</x:f>
      </x:c>
      <x:c r="JB53" s="27" t="str">
        <x:f>IF(C53="","",SUM(EO53,EU53,FA53,FG53,FM53,FS53,FY53,GE53,GK53,GQ53,GW53,HC53,HI53,HO53))</x:f>
      </x:c>
      <x:c r="JC53" s="27" t="str">
        <x:f>IF(C53="","",0)</x:f>
      </x:c>
      <x:c r="JD53" s="27" t="str">
        <x:f>IF(C53="","",0)</x:f>
      </x:c>
      <x:c r="JE53" s="27" t="str">
        <x:f>IF(C53="","",0)</x:f>
      </x:c>
      <x:c r="JF53" s="27" t="str">
        <x:f>IF(C53="","",0)</x:f>
      </x:c>
      <x:c r="JG53" s="27" t="str">
        <x:f>IF(C53="","",0)</x:f>
      </x:c>
      <x:c r="JH53" s="27" t="str">
        <x:f>IF(C53="","",0)</x:f>
      </x:c>
      <x:c r="JI53" s="27" t="str">
        <x:f>IF(C53="","",HP53*1000000000+IW53*1000000+IQ53*10000+IK53*100+JC53+6/1000)</x:f>
      </x:c>
      <x:c r="JJ53" s="27" t="str">
        <x:f>IF(C53="","",HQ53*1000000000+IX53*1000000+IR53*10000+IL53*100+JD53+5/1000)</x:f>
      </x:c>
      <x:c r="JK53" s="27" t="str">
        <x:f>IF(C53="","",HR53*1000000000+IY53*1000000+IS53*10000+IM53*100+JE53+4/1000)</x:f>
      </x:c>
      <x:c r="JL53" s="27" t="str">
        <x:f>IF(C53="","",HS53*1000000000+IZ53*1000000+IT53*10000+IN53*100+JF53+3/1000)</x:f>
      </x:c>
      <x:c r="JM53" s="27" t="str">
        <x:f>IF(C53="","",HT53*1000000000+JA53*1000000+IU53*10000+IO53*100+JG53+2/1000)</x:f>
      </x:c>
      <x:c r="JN53" s="27" t="str">
        <x:f>IF(C53="","",HU53*1000000000+JB53*1000000+IV53*10000+IP53*100+JH53+1/1000)</x:f>
      </x:c>
    </x:row>
    <x:row r="54">
      <x:c r="A54" s="27"/>
      <x:c r="B54" s="28"/>
      <x:c r="C54" s="27"/>
      <x:c r="D54" s="27"/>
      <x:c r="E54" s="27"/>
      <x:c r="F54" s="27"/>
      <x:c r="G54" s="27"/>
      <x:c r="H54" s="27"/>
      <x:c r="I54" s="27"/>
      <x:c r="J54" s="27"/>
      <x:c r="K54" s="27"/>
      <x:c r="L54" s="27"/>
      <x:c r="M54" s="27"/>
      <x:c r="N54" s="27"/>
      <x:c r="O54" s="27"/>
      <x:c r="P54" s="27"/>
      <x:c r="Q54" s="27"/>
      <x:c r="R54" s="27"/>
      <x:c r="S54" s="27"/>
      <x:c r="T54" s="27"/>
      <x:c r="U54" s="27"/>
      <x:c r="V54" s="27"/>
      <x:c r="W54" s="27"/>
      <x:c r="X54" s="27"/>
      <x:c r="Y54" s="27"/>
      <x:c r="Z54" s="27"/>
      <x:c r="AA54" s="27"/>
      <x:c r="AB54" s="27"/>
      <x:c r="AC54" s="27"/>
      <x:c r="AD54" s="27"/>
      <x:c r="AE54" s="27"/>
      <x:c r="AF54" s="27"/>
      <x:c r="AG54" s="27"/>
      <x:c r="AH54" s="27"/>
      <x:c r="AI54" s="27"/>
      <x:c r="AJ54" s="27"/>
      <x:c r="AK54" s="27"/>
      <x:c r="AL54" s="27"/>
      <x:c r="AM54" s="27"/>
      <x:c r="AN54" s="27"/>
      <x:c r="AO54" s="27"/>
      <x:c r="AP54" s="27"/>
      <x:c r="AQ54" s="27"/>
      <x:c r="AR54" s="27"/>
      <x:c r="AS54" s="27"/>
      <x:c r="AT54" s="27"/>
      <x:c r="AU54" s="27"/>
      <x:c r="AV54" s="27"/>
      <x:c r="AW54" s="27"/>
      <x:c r="AX54" s="27"/>
      <x:c r="AY54" s="27"/>
      <x:c r="AZ54" s="27"/>
      <x:c r="BA54" s="27"/>
      <x:c r="BB54" s="27"/>
      <x:c r="BC54" s="27"/>
      <x:c r="BD54" s="27"/>
      <x:c r="BE54" s="27"/>
      <x:c r="BF54" s="27"/>
      <x:c r="BG54" s="27"/>
      <x:c r="BH54" s="27"/>
      <x:c r="BI54" s="27"/>
      <x:c r="BJ54" s="27"/>
      <x:c r="BK54" s="27"/>
      <x:c r="BL54" s="27"/>
      <x:c r="BM54" s="27"/>
      <x:c r="BN54" s="27"/>
      <x:c r="BO54" s="27"/>
      <x:c r="BP54" s="27"/>
      <x:c r="BQ54" s="27"/>
      <x:c r="BR54" s="27"/>
      <x:c r="BS54" s="27"/>
      <x:c r="BT54" s="27"/>
      <x:c r="BU54" s="27"/>
      <x:c r="BV54" s="27"/>
      <x:c r="BW54" s="27"/>
      <x:c r="BX54" s="27"/>
      <x:c r="BY54" s="27"/>
      <x:c r="BZ54" s="27"/>
      <x:c r="CA54" s="27"/>
      <x:c r="CB54" s="27"/>
      <x:c r="CC54" s="27"/>
      <x:c r="CD54" s="27"/>
      <x:c r="CE54" s="27"/>
      <x:c r="CF54" s="27"/>
      <x:c r="CG54" s="27"/>
      <x:c r="CH54" s="27"/>
      <x:c r="CI54" s="27"/>
      <x:c r="CJ54" s="27"/>
      <x:c r="CK54" s="27"/>
      <x:c r="CL54" s="27"/>
      <x:c r="CM54" s="27"/>
      <x:c r="CN54" s="27"/>
      <x:c r="CO54" s="27"/>
      <x:c r="CP54" s="27"/>
      <x:c r="CQ54" s="27"/>
      <x:c r="CR54" s="27"/>
      <x:c r="CS54" s="27"/>
      <x:c r="CT54" s="27"/>
      <x:c r="CU54" s="27"/>
      <x:c r="CV54" s="27"/>
      <x:c r="CW54" s="27"/>
      <x:c r="CX54" s="27"/>
      <x:c r="CY54" s="27"/>
      <x:c r="CZ54" s="27"/>
      <x:c r="DA54" s="27"/>
      <x:c r="DB54" s="27"/>
      <x:c r="DC54" s="27"/>
      <x:c r="DD54" s="27"/>
      <x:c r="DE54" s="27"/>
      <x:c r="DF54" s="27"/>
      <x:c r="DG54" s="27"/>
      <x:c r="DH54" s="27"/>
      <x:c r="DI54" s="27"/>
      <x:c r="DJ54" s="27"/>
      <x:c r="DK54" s="27"/>
      <x:c r="DL54" s="27"/>
      <x:c r="DM54" s="27"/>
      <x:c r="DN54" s="27"/>
      <x:c r="DO54" s="27"/>
      <x:c r="DP54" s="27"/>
      <x:c r="DQ54" s="27"/>
      <x:c r="DR54" s="27"/>
      <x:c r="DS54" s="27"/>
      <x:c r="DT54" s="27"/>
      <x:c r="DU54" s="27"/>
      <x:c r="DV54" s="27"/>
      <x:c r="DW54" s="27"/>
      <x:c r="DX54" s="27"/>
      <x:c r="DY54" s="27"/>
      <x:c r="DZ54" s="27"/>
      <x:c r="EA54" s="27"/>
      <x:c r="EB54" s="27"/>
      <x:c r="EC54" s="27"/>
      <x:c r="ED54" s="27"/>
      <x:c r="EE54" s="27"/>
      <x:c r="EF54" s="27"/>
      <x:c r="EG54" s="27"/>
      <x:c r="EH54" s="27"/>
      <x:c r="EI54" s="27"/>
      <x:c r="EJ54" s="27"/>
      <x:c r="EK54" s="27"/>
      <x:c r="EL54" s="27"/>
      <x:c r="EM54" s="27"/>
      <x:c r="EN54" s="27"/>
      <x:c r="EO54" s="27"/>
      <x:c r="EP54" s="27"/>
      <x:c r="EQ54" s="27"/>
      <x:c r="ER54" s="27"/>
      <x:c r="ES54" s="27"/>
      <x:c r="ET54" s="27"/>
      <x:c r="EU54" s="27"/>
      <x:c r="EV54" s="27"/>
      <x:c r="EW54" s="27"/>
      <x:c r="EX54" s="27"/>
      <x:c r="EY54" s="27"/>
      <x:c r="EZ54" s="27"/>
      <x:c r="FA54" s="27"/>
      <x:c r="FB54" s="27"/>
      <x:c r="FC54" s="27"/>
      <x:c r="FD54" s="27"/>
      <x:c r="FE54" s="27"/>
      <x:c r="FF54" s="27"/>
      <x:c r="FG54" s="27"/>
      <x:c r="FH54" s="27"/>
      <x:c r="FI54" s="27"/>
      <x:c r="FJ54" s="27"/>
      <x:c r="FK54" s="27"/>
      <x:c r="FL54" s="27"/>
      <x:c r="FM54" s="27"/>
      <x:c r="FN54" s="27"/>
      <x:c r="FO54" s="27"/>
      <x:c r="FP54" s="27"/>
      <x:c r="FQ54" s="27"/>
      <x:c r="FR54" s="27"/>
      <x:c r="FS54" s="27"/>
      <x:c r="FT54" s="27"/>
      <x:c r="FU54" s="27"/>
      <x:c r="FV54" s="27"/>
      <x:c r="FW54" s="27"/>
      <x:c r="FX54" s="27"/>
      <x:c r="FY54" s="27"/>
      <x:c r="FZ54" s="27"/>
      <x:c r="GA54" s="27"/>
      <x:c r="GB54" s="27"/>
      <x:c r="GC54" s="27"/>
      <x:c r="GD54" s="27"/>
      <x:c r="GE54" s="27"/>
      <x:c r="GF54" s="27"/>
      <x:c r="GG54" s="27"/>
      <x:c r="GH54" s="27"/>
      <x:c r="GI54" s="27"/>
      <x:c r="GJ54" s="27"/>
      <x:c r="GK54" s="27"/>
      <x:c r="GL54" s="27"/>
      <x:c r="GM54" s="27"/>
      <x:c r="GN54" s="27"/>
      <x:c r="GO54" s="27"/>
      <x:c r="GP54" s="27"/>
      <x:c r="GQ54" s="27"/>
      <x:c r="GR54" s="27"/>
      <x:c r="GS54" s="27"/>
      <x:c r="GT54" s="27"/>
      <x:c r="GU54" s="27"/>
      <x:c r="GV54" s="27"/>
      <x:c r="GW54" s="27"/>
      <x:c r="GX54" s="27"/>
      <x:c r="GY54" s="27"/>
      <x:c r="GZ54" s="27"/>
      <x:c r="HA54" s="27"/>
      <x:c r="HB54" s="27"/>
      <x:c r="HC54" s="27"/>
      <x:c r="HD54" s="27"/>
      <x:c r="HE54" s="27"/>
      <x:c r="HF54" s="27"/>
      <x:c r="HG54" s="27"/>
      <x:c r="HH54" s="27"/>
      <x:c r="HI54" s="27"/>
      <x:c r="HJ54" s="27"/>
      <x:c r="HK54" s="27"/>
      <x:c r="HL54" s="27"/>
      <x:c r="HM54" s="27"/>
      <x:c r="HN54" s="27"/>
      <x:c r="HO54" s="27"/>
      <x:c r="HP54" s="27" t="str">
        <x:f>IF(C54="","",SUM(H54,N54,T54,Z54,AF54,AL54,AR54,AX54,BD54,BJ54,BP54,BV54,CB54,CH54,CN54,CT54,CZ54,DF54,DL54,DR54,DX54,ED54,EJ54,EP54,EV54,FB54,FH54,FN54,FT54,FZ54,GF54,GL54,GR54,GX54,HD54,HJ54))</x:f>
      </x:c>
      <x:c r="HQ54" s="27" t="str">
        <x:f>IF(C54="","",SUM(I54,O54,U54,AA54,AG54,AM54,AS54,AY54,BE54,BK54,BQ54,BW54,CC54,CI54,CO54,CU54,DA54,DG54,DM54,DS54,DY54,EE54,EK54,EQ54,EW54,FC54,FI54,FO54,FU54,GA54,GG54,GM54,GS54,GY54,HE54,HK54))</x:f>
      </x:c>
      <x:c r="HR54" s="27" t="str">
        <x:f>IF(C54="","",SUM(J54,P54,V54,AB54,AH54,AN54,AT54,AZ54,BF54,BL54,BR54,BX54,CD54,CJ54,CP54,CV54,DB54,DH54,DN54,DT54,DZ54,EF54,EL54,ER54,EX54,FD54,FJ54,FP54,FV54,GB54,GH54,GN54,GT54,GZ54,HF54,HL54))</x:f>
      </x:c>
      <x:c r="HS54" s="27" t="str">
        <x:f>IF(C54="","",SUM(K54,Q54,W54,AC54,AI54,AO54,AU54,BA54,BG54,BM54,BS54,BY54,CE54,CK54,CQ54,CW54,DC54,DI54,DO54,DU54,EA54,EG54,EM54,ES54,EY54,FE54,FK54,FQ54,FW54,GC54,GI54,GO54,GU54,HA54,HG54,HM54))</x:f>
      </x:c>
      <x:c r="HT54" s="27" t="str">
        <x:f>IF(C54="","",SUM(L54,R54,X54,AD54,AJ54,AP54,AV54,BB54,BH54,BN54,BT54,BZ54,CF54,CL54,CR54,CX54,DD54,DJ54,DP54,DV54,EB54,EH54,EN54,ET54,EZ54,FF54,FL54,FR54,FX54,GD54,GJ54,GP54,GV54,HB54,HH54,HN54))</x:f>
      </x:c>
      <x:c r="HU54" s="27" t="str">
        <x:f>IF(C54="","",SUM(M54,S54,Y54,AE54,AK54,AQ54,AW54,BC54,BI54,BO54,BU54,CA54,CG54,CM54,CS54,CY54,DE54,DK54,DQ54,DW54,EC54,EI54,EO54,EU54,FA54,FG54,FM54,FS54,FY54,GE54,GK54,GQ54,GW54,HC54,HI54,HO54))</x:f>
      </x:c>
      <x:c r="HV54" s="27" t="str">
        <x:f>IF(C54="","",IF(JI54=LARGE(JI54:JN54,1),"R",IF(JJ54=LARGE(JI54:JN54,1),"I",IF(JK54=LARGE(JI54:JN54,1),"A",IF(JL54=LARGE(JI54:JN54,1),"S",IF(JM54=LARGE(JI54:JN54,1),"E",IF(JN54=LARGE(JI54:JN54,1),"C",""))))))&amp;IF(JI54=LARGE(JI54:JN54,2),"R",IF(JJ54=LARGE(JI54:JN54,2),"I",IF(JK54=LARGE(JI54:JN54,2),"A",IF(JL54=LARGE(JI54:JN54,2),"S",IF(JM54=LARGE(JI54:JN54,2),"E",IF(JN54=LARGE(JI54:JN54,2),"C",""))))))&amp;IF(JI54=LARGE(JI54:JN54,3),"R",IF(JJ54=LARGE(JI54:JN54,3),"I",IF(JK54=LARGE(JI54:JN54,3),"A",IF(JL54=LARGE(JI54:JN54,3),"S",IF(JM54=LARGE(JI54:JN54,3),"E",IF(JN54=LARGE(JI54:JN54,3),"C","")))))))</x:f>
      </x:c>
      <x:c r="HW54" s="27" t="str">
        <x:f>IF(C54="","",IF(JI54=LARGE(JI54:JN54,1),"นักปฏิบัติ",IF(JJ54=LARGE(JI54:JN54,1),"นักคิดวิเคราะห์",IF(JK54=LARGE(JI54:JN54,1),"นักสร้างสรรค์",IF(JL54=LARGE(JI54:JN54,1),"ผู้เข้าใจผู้คน",IF(JM54=LARGE(JI54:JN54,1),"ผู้นำการเปลี่ยนแปลง",IF(JN54=LARGE(JI54:JN54,1),"ผู้จัดระบบ","ผู้จัดระบบ")))))))</x:f>
      </x:c>
      <x:c r="HX54" s="27"/>
      <x:c r="HY54" s="27"/>
      <x:c r="HZ54" s="27"/>
      <x:c r="IA54" s="27"/>
      <x:c r="IB54" s="27"/>
      <x:c r="IC54" s="27"/>
      <x:c r="ID54" s="27"/>
      <x:c r="IE54" s="27"/>
      <x:c r="IF54" s="27"/>
      <x:c r="IG54" s="27"/>
      <x:c r="IH54" s="27"/>
      <x:c r="II54" s="27"/>
      <x:c r="IJ54" s="27"/>
      <x:c r="IK54" s="27" t="str">
        <x:f>IF(C54="","",SUM(H54,N54,T54,Z54,AF54,AL54,AR54,AX54,BD54,BJ54,BP54))</x:f>
      </x:c>
      <x:c r="IL54" s="27" t="str">
        <x:f>IF(C54="","",SUM(I54,O54,U54,AA54,AG54,AM54,AS54,AY54,BE54,BK54,BQ54))</x:f>
      </x:c>
      <x:c r="IM54" s="27" t="str">
        <x:f>IF(C54="","",SUM(J54,P54,V54,AB54,AH54,AN54,AT54,AZ54,BF54,BL54,BR54))</x:f>
      </x:c>
      <x:c r="IN54" s="27" t="str">
        <x:f>IF(C54="","",SUM(K54,Q54,W54,AC54,AI54,AO54,AU54,BA54,BG54,BM54,BS54))</x:f>
      </x:c>
      <x:c r="IO54" s="27" t="str">
        <x:f>IF(C54="","",SUM(L54,R54,X54,AD54,AJ54,AP54,AV54,BB54,BH54,BN54,BT54))</x:f>
      </x:c>
      <x:c r="IP54" s="27" t="str">
        <x:f>IF(C54="","",SUM(M54,S54,Y54,AE54,AK54,AQ54,AW54,BC54,BI54,BO54,BU54))</x:f>
      </x:c>
      <x:c r="IQ54" s="27" t="str">
        <x:f>IF(C54="","",SUM(BV54,CB54,CH54,CN54,CT54,CZ54,DF54,DL54,DR54,DX54,ED54))</x:f>
      </x:c>
      <x:c r="IR54" s="27" t="str">
        <x:f>IF(C54="","",SUM(BW54,CC54,CI54,CO54,CU54,DA54,DG54,DM54,DS54,DY54,EE54))</x:f>
      </x:c>
      <x:c r="IS54" s="27" t="str">
        <x:f>IF(C54="","",SUM(BX54,CD54,CJ54,CP54,CV54,DB54,DH54,DN54,DT54,DZ54,EF54))</x:f>
      </x:c>
      <x:c r="IT54" s="27" t="str">
        <x:f>IF(C54="","",SUM(BY54,CE54,CK54,CQ54,CW54,DC54,DI54,DO54,DU54,EA54,EG54))</x:f>
      </x:c>
      <x:c r="IU54" s="27" t="str">
        <x:f>IF(C54="","",SUM(BZ54,CF54,CL54,CR54,CX54,DD54,DJ54,DP54,DV54,EB54,EH54))</x:f>
      </x:c>
      <x:c r="IV54" s="27" t="str">
        <x:f>IF(C54="","",SUM(CA54,CG54,CM54,CS54,CY54,DE54,DK54,DQ54,DW54,EC54,EI54))</x:f>
      </x:c>
      <x:c r="IW54" s="27" t="str">
        <x:f>IF(C54="","",SUM(EJ54,EP54,EV54,FB54,FH54,FN54,FT54,FZ54,GF54,GL54,GR54,GX54,HD54,HJ54))</x:f>
      </x:c>
      <x:c r="IX54" s="27" t="str">
        <x:f>IF(C54="","",SUM(EK54,EQ54,EW54,FC54,FI54,FO54,FU54,GA54,GG54,GM54,GS54,GY54,HE54,HK54))</x:f>
      </x:c>
      <x:c r="IY54" s="27" t="str">
        <x:f>IF(C54="","",SUM(EL54,ER54,EX54,FD54,FJ54,FP54,FV54,GB54,GH54,GN54,GT54,GZ54,HF54,HL54))</x:f>
      </x:c>
      <x:c r="IZ54" s="27" t="str">
        <x:f>IF(C54="","",SUM(EM54,ES54,EY54,FE54,FK54,FQ54,FW54,GC54,GI54,GO54,GU54,HA54,HG54,HM54))</x:f>
      </x:c>
      <x:c r="JA54" s="27" t="str">
        <x:f>IF(C54="","",SUM(EN54,ET54,EZ54,FF54,FL54,FR54,FX54,GD54,GJ54,GP54,GV54,HB54,HH54,HN54))</x:f>
      </x:c>
      <x:c r="JB54" s="27" t="str">
        <x:f>IF(C54="","",SUM(EO54,EU54,FA54,FG54,FM54,FS54,FY54,GE54,GK54,GQ54,GW54,HC54,HI54,HO54))</x:f>
      </x:c>
      <x:c r="JC54" s="27" t="str">
        <x:f>IF(C54="","",0)</x:f>
      </x:c>
      <x:c r="JD54" s="27" t="str">
        <x:f>IF(C54="","",0)</x:f>
      </x:c>
      <x:c r="JE54" s="27" t="str">
        <x:f>IF(C54="","",0)</x:f>
      </x:c>
      <x:c r="JF54" s="27" t="str">
        <x:f>IF(C54="","",0)</x:f>
      </x:c>
      <x:c r="JG54" s="27" t="str">
        <x:f>IF(C54="","",0)</x:f>
      </x:c>
      <x:c r="JH54" s="27" t="str">
        <x:f>IF(C54="","",0)</x:f>
      </x:c>
      <x:c r="JI54" s="27" t="str">
        <x:f>IF(C54="","",HP54*1000000000+IW54*1000000+IQ54*10000+IK54*100+JC54+6/1000)</x:f>
      </x:c>
      <x:c r="JJ54" s="27" t="str">
        <x:f>IF(C54="","",HQ54*1000000000+IX54*1000000+IR54*10000+IL54*100+JD54+5/1000)</x:f>
      </x:c>
      <x:c r="JK54" s="27" t="str">
        <x:f>IF(C54="","",HR54*1000000000+IY54*1000000+IS54*10000+IM54*100+JE54+4/1000)</x:f>
      </x:c>
      <x:c r="JL54" s="27" t="str">
        <x:f>IF(C54="","",HS54*1000000000+IZ54*1000000+IT54*10000+IN54*100+JF54+3/1000)</x:f>
      </x:c>
      <x:c r="JM54" s="27" t="str">
        <x:f>IF(C54="","",HT54*1000000000+JA54*1000000+IU54*10000+IO54*100+JG54+2/1000)</x:f>
      </x:c>
      <x:c r="JN54" s="27" t="str">
        <x:f>IF(C54="","",HU54*1000000000+JB54*1000000+IV54*10000+IP54*100+JH54+1/1000)</x:f>
      </x:c>
    </x:row>
    <x:row r="55">
      <x:c r="A55" s="27"/>
      <x:c r="B55" s="28"/>
      <x:c r="C55" s="27"/>
      <x:c r="D55" s="27"/>
      <x:c r="E55" s="27"/>
      <x:c r="F55" s="27"/>
      <x:c r="G55" s="27"/>
      <x:c r="H55" s="27"/>
      <x:c r="I55" s="27"/>
      <x:c r="J55" s="27"/>
      <x:c r="K55" s="27"/>
      <x:c r="L55" s="27"/>
      <x:c r="M55" s="27"/>
      <x:c r="N55" s="27"/>
      <x:c r="O55" s="27"/>
      <x:c r="P55" s="27"/>
      <x:c r="Q55" s="27"/>
      <x:c r="R55" s="27"/>
      <x:c r="S55" s="27"/>
      <x:c r="T55" s="27"/>
      <x:c r="U55" s="27"/>
      <x:c r="V55" s="27"/>
      <x:c r="W55" s="27"/>
      <x:c r="X55" s="27"/>
      <x:c r="Y55" s="27"/>
      <x:c r="Z55" s="27"/>
      <x:c r="AA55" s="27"/>
      <x:c r="AB55" s="27"/>
      <x:c r="AC55" s="27"/>
      <x:c r="AD55" s="27"/>
      <x:c r="AE55" s="27"/>
      <x:c r="AF55" s="27"/>
      <x:c r="AG55" s="27"/>
      <x:c r="AH55" s="27"/>
      <x:c r="AI55" s="27"/>
      <x:c r="AJ55" s="27"/>
      <x:c r="AK55" s="27"/>
      <x:c r="AL55" s="27"/>
      <x:c r="AM55" s="27"/>
      <x:c r="AN55" s="27"/>
      <x:c r="AO55" s="27"/>
      <x:c r="AP55" s="27"/>
      <x:c r="AQ55" s="27"/>
      <x:c r="AR55" s="27"/>
      <x:c r="AS55" s="27"/>
      <x:c r="AT55" s="27"/>
      <x:c r="AU55" s="27"/>
      <x:c r="AV55" s="27"/>
      <x:c r="AW55" s="27"/>
      <x:c r="AX55" s="27"/>
      <x:c r="AY55" s="27"/>
      <x:c r="AZ55" s="27"/>
      <x:c r="BA55" s="27"/>
      <x:c r="BB55" s="27"/>
      <x:c r="BC55" s="27"/>
      <x:c r="BD55" s="27"/>
      <x:c r="BE55" s="27"/>
      <x:c r="BF55" s="27"/>
      <x:c r="BG55" s="27"/>
      <x:c r="BH55" s="27"/>
      <x:c r="BI55" s="27"/>
      <x:c r="BJ55" s="27"/>
      <x:c r="BK55" s="27"/>
      <x:c r="BL55" s="27"/>
      <x:c r="BM55" s="27"/>
      <x:c r="BN55" s="27"/>
      <x:c r="BO55" s="27"/>
      <x:c r="BP55" s="27"/>
      <x:c r="BQ55" s="27"/>
      <x:c r="BR55" s="27"/>
      <x:c r="BS55" s="27"/>
      <x:c r="BT55" s="27"/>
      <x:c r="BU55" s="27"/>
      <x:c r="BV55" s="27"/>
      <x:c r="BW55" s="27"/>
      <x:c r="BX55" s="27"/>
      <x:c r="BY55" s="27"/>
      <x:c r="BZ55" s="27"/>
      <x:c r="CA55" s="27"/>
      <x:c r="CB55" s="27"/>
      <x:c r="CC55" s="27"/>
      <x:c r="CD55" s="27"/>
      <x:c r="CE55" s="27"/>
      <x:c r="CF55" s="27"/>
      <x:c r="CG55" s="27"/>
      <x:c r="CH55" s="27"/>
      <x:c r="CI55" s="27"/>
      <x:c r="CJ55" s="27"/>
      <x:c r="CK55" s="27"/>
      <x:c r="CL55" s="27"/>
      <x:c r="CM55" s="27"/>
      <x:c r="CN55" s="27"/>
      <x:c r="CO55" s="27"/>
      <x:c r="CP55" s="27"/>
      <x:c r="CQ55" s="27"/>
      <x:c r="CR55" s="27"/>
      <x:c r="CS55" s="27"/>
      <x:c r="CT55" s="27"/>
      <x:c r="CU55" s="27"/>
      <x:c r="CV55" s="27"/>
      <x:c r="CW55" s="27"/>
      <x:c r="CX55" s="27"/>
      <x:c r="CY55" s="27"/>
      <x:c r="CZ55" s="27"/>
      <x:c r="DA55" s="27"/>
      <x:c r="DB55" s="27"/>
      <x:c r="DC55" s="27"/>
      <x:c r="DD55" s="27"/>
      <x:c r="DE55" s="27"/>
      <x:c r="DF55" s="27"/>
      <x:c r="DG55" s="27"/>
      <x:c r="DH55" s="27"/>
      <x:c r="DI55" s="27"/>
      <x:c r="DJ55" s="27"/>
      <x:c r="DK55" s="27"/>
      <x:c r="DL55" s="27"/>
      <x:c r="DM55" s="27"/>
      <x:c r="DN55" s="27"/>
      <x:c r="DO55" s="27"/>
      <x:c r="DP55" s="27"/>
      <x:c r="DQ55" s="27"/>
      <x:c r="DR55" s="27"/>
      <x:c r="DS55" s="27"/>
      <x:c r="DT55" s="27"/>
      <x:c r="DU55" s="27"/>
      <x:c r="DV55" s="27"/>
      <x:c r="DW55" s="27"/>
      <x:c r="DX55" s="27"/>
      <x:c r="DY55" s="27"/>
      <x:c r="DZ55" s="27"/>
      <x:c r="EA55" s="27"/>
      <x:c r="EB55" s="27"/>
      <x:c r="EC55" s="27"/>
      <x:c r="ED55" s="27"/>
      <x:c r="EE55" s="27"/>
      <x:c r="EF55" s="27"/>
      <x:c r="EG55" s="27"/>
      <x:c r="EH55" s="27"/>
      <x:c r="EI55" s="27"/>
      <x:c r="EJ55" s="27"/>
      <x:c r="EK55" s="27"/>
      <x:c r="EL55" s="27"/>
      <x:c r="EM55" s="27"/>
      <x:c r="EN55" s="27"/>
      <x:c r="EO55" s="27"/>
      <x:c r="EP55" s="27"/>
      <x:c r="EQ55" s="27"/>
      <x:c r="ER55" s="27"/>
      <x:c r="ES55" s="27"/>
      <x:c r="ET55" s="27"/>
      <x:c r="EU55" s="27"/>
      <x:c r="EV55" s="27"/>
      <x:c r="EW55" s="27"/>
      <x:c r="EX55" s="27"/>
      <x:c r="EY55" s="27"/>
      <x:c r="EZ55" s="27"/>
      <x:c r="FA55" s="27"/>
      <x:c r="FB55" s="27"/>
      <x:c r="FC55" s="27"/>
      <x:c r="FD55" s="27"/>
      <x:c r="FE55" s="27"/>
      <x:c r="FF55" s="27"/>
      <x:c r="FG55" s="27"/>
      <x:c r="FH55" s="27"/>
      <x:c r="FI55" s="27"/>
      <x:c r="FJ55" s="27"/>
      <x:c r="FK55" s="27"/>
      <x:c r="FL55" s="27"/>
      <x:c r="FM55" s="27"/>
      <x:c r="FN55" s="27"/>
      <x:c r="FO55" s="27"/>
      <x:c r="FP55" s="27"/>
      <x:c r="FQ55" s="27"/>
      <x:c r="FR55" s="27"/>
      <x:c r="FS55" s="27"/>
      <x:c r="FT55" s="27"/>
      <x:c r="FU55" s="27"/>
      <x:c r="FV55" s="27"/>
      <x:c r="FW55" s="27"/>
      <x:c r="FX55" s="27"/>
      <x:c r="FY55" s="27"/>
      <x:c r="FZ55" s="27"/>
      <x:c r="GA55" s="27"/>
      <x:c r="GB55" s="27"/>
      <x:c r="GC55" s="27"/>
      <x:c r="GD55" s="27"/>
      <x:c r="GE55" s="27"/>
      <x:c r="GF55" s="27"/>
      <x:c r="GG55" s="27"/>
      <x:c r="GH55" s="27"/>
      <x:c r="GI55" s="27"/>
      <x:c r="GJ55" s="27"/>
      <x:c r="GK55" s="27"/>
      <x:c r="GL55" s="27"/>
      <x:c r="GM55" s="27"/>
      <x:c r="GN55" s="27"/>
      <x:c r="GO55" s="27"/>
      <x:c r="GP55" s="27"/>
      <x:c r="GQ55" s="27"/>
      <x:c r="GR55" s="27"/>
      <x:c r="GS55" s="27"/>
      <x:c r="GT55" s="27"/>
      <x:c r="GU55" s="27"/>
      <x:c r="GV55" s="27"/>
      <x:c r="GW55" s="27"/>
      <x:c r="GX55" s="27"/>
      <x:c r="GY55" s="27"/>
      <x:c r="GZ55" s="27"/>
      <x:c r="HA55" s="27"/>
      <x:c r="HB55" s="27"/>
      <x:c r="HC55" s="27"/>
      <x:c r="HD55" s="27"/>
      <x:c r="HE55" s="27"/>
      <x:c r="HF55" s="27"/>
      <x:c r="HG55" s="27"/>
      <x:c r="HH55" s="27"/>
      <x:c r="HI55" s="27"/>
      <x:c r="HJ55" s="27"/>
      <x:c r="HK55" s="27"/>
      <x:c r="HL55" s="27"/>
      <x:c r="HM55" s="27"/>
      <x:c r="HN55" s="27"/>
      <x:c r="HO55" s="27"/>
      <x:c r="HP55" s="27" t="str">
        <x:f>IF(C55="","",SUM(H55,N55,T55,Z55,AF55,AL55,AR55,AX55,BD55,BJ55,BP55,BV55,CB55,CH55,CN55,CT55,CZ55,DF55,DL55,DR55,DX55,ED55,EJ55,EP55,EV55,FB55,FH55,FN55,FT55,FZ55,GF55,GL55,GR55,GX55,HD55,HJ55))</x:f>
      </x:c>
      <x:c r="HQ55" s="27" t="str">
        <x:f>IF(C55="","",SUM(I55,O55,U55,AA55,AG55,AM55,AS55,AY55,BE55,BK55,BQ55,BW55,CC55,CI55,CO55,CU55,DA55,DG55,DM55,DS55,DY55,EE55,EK55,EQ55,EW55,FC55,FI55,FO55,FU55,GA55,GG55,GM55,GS55,GY55,HE55,HK55))</x:f>
      </x:c>
      <x:c r="HR55" s="27" t="str">
        <x:f>IF(C55="","",SUM(J55,P55,V55,AB55,AH55,AN55,AT55,AZ55,BF55,BL55,BR55,BX55,CD55,CJ55,CP55,CV55,DB55,DH55,DN55,DT55,DZ55,EF55,EL55,ER55,EX55,FD55,FJ55,FP55,FV55,GB55,GH55,GN55,GT55,GZ55,HF55,HL55))</x:f>
      </x:c>
      <x:c r="HS55" s="27" t="str">
        <x:f>IF(C55="","",SUM(K55,Q55,W55,AC55,AI55,AO55,AU55,BA55,BG55,BM55,BS55,BY55,CE55,CK55,CQ55,CW55,DC55,DI55,DO55,DU55,EA55,EG55,EM55,ES55,EY55,FE55,FK55,FQ55,FW55,GC55,GI55,GO55,GU55,HA55,HG55,HM55))</x:f>
      </x:c>
      <x:c r="HT55" s="27" t="str">
        <x:f>IF(C55="","",SUM(L55,R55,X55,AD55,AJ55,AP55,AV55,BB55,BH55,BN55,BT55,BZ55,CF55,CL55,CR55,CX55,DD55,DJ55,DP55,DV55,EB55,EH55,EN55,ET55,EZ55,FF55,FL55,FR55,FX55,GD55,GJ55,GP55,GV55,HB55,HH55,HN55))</x:f>
      </x:c>
      <x:c r="HU55" s="27" t="str">
        <x:f>IF(C55="","",SUM(M55,S55,Y55,AE55,AK55,AQ55,AW55,BC55,BI55,BO55,BU55,CA55,CG55,CM55,CS55,CY55,DE55,DK55,DQ55,DW55,EC55,EI55,EO55,EU55,FA55,FG55,FM55,FS55,FY55,GE55,GK55,GQ55,GW55,HC55,HI55,HO55))</x:f>
      </x:c>
      <x:c r="HV55" s="27" t="str">
        <x:f>IF(C55="","",IF(JI55=LARGE(JI55:JN55,1),"R",IF(JJ55=LARGE(JI55:JN55,1),"I",IF(JK55=LARGE(JI55:JN55,1),"A",IF(JL55=LARGE(JI55:JN55,1),"S",IF(JM55=LARGE(JI55:JN55,1),"E",IF(JN55=LARGE(JI55:JN55,1),"C",""))))))&amp;IF(JI55=LARGE(JI55:JN55,2),"R",IF(JJ55=LARGE(JI55:JN55,2),"I",IF(JK55=LARGE(JI55:JN55,2),"A",IF(JL55=LARGE(JI55:JN55,2),"S",IF(JM55=LARGE(JI55:JN55,2),"E",IF(JN55=LARGE(JI55:JN55,2),"C",""))))))&amp;IF(JI55=LARGE(JI55:JN55,3),"R",IF(JJ55=LARGE(JI55:JN55,3),"I",IF(JK55=LARGE(JI55:JN55,3),"A",IF(JL55=LARGE(JI55:JN55,3),"S",IF(JM55=LARGE(JI55:JN55,3),"E",IF(JN55=LARGE(JI55:JN55,3),"C","")))))))</x:f>
      </x:c>
      <x:c r="HW55" s="27" t="str">
        <x:f>IF(C55="","",IF(JI55=LARGE(JI55:JN55,1),"นักปฏิบัติ",IF(JJ55=LARGE(JI55:JN55,1),"นักคิดวิเคราะห์",IF(JK55=LARGE(JI55:JN55,1),"นักสร้างสรรค์",IF(JL55=LARGE(JI55:JN55,1),"ผู้เข้าใจผู้คน",IF(JM55=LARGE(JI55:JN55,1),"ผู้นำการเปลี่ยนแปลง",IF(JN55=LARGE(JI55:JN55,1),"ผู้จัดระบบ","ผู้จัดระบบ")))))))</x:f>
      </x:c>
      <x:c r="HX55" s="27"/>
      <x:c r="HY55" s="27"/>
      <x:c r="HZ55" s="27"/>
      <x:c r="IA55" s="27"/>
      <x:c r="IB55" s="27"/>
      <x:c r="IC55" s="27"/>
      <x:c r="ID55" s="27"/>
      <x:c r="IE55" s="27"/>
      <x:c r="IF55" s="27"/>
      <x:c r="IG55" s="27"/>
      <x:c r="IH55" s="27"/>
      <x:c r="II55" s="27"/>
      <x:c r="IJ55" s="27"/>
      <x:c r="IK55" s="27" t="str">
        <x:f>IF(C55="","",SUM(H55,N55,T55,Z55,AF55,AL55,AR55,AX55,BD55,BJ55,BP55))</x:f>
      </x:c>
      <x:c r="IL55" s="27" t="str">
        <x:f>IF(C55="","",SUM(I55,O55,U55,AA55,AG55,AM55,AS55,AY55,BE55,BK55,BQ55))</x:f>
      </x:c>
      <x:c r="IM55" s="27" t="str">
        <x:f>IF(C55="","",SUM(J55,P55,V55,AB55,AH55,AN55,AT55,AZ55,BF55,BL55,BR55))</x:f>
      </x:c>
      <x:c r="IN55" s="27" t="str">
        <x:f>IF(C55="","",SUM(K55,Q55,W55,AC55,AI55,AO55,AU55,BA55,BG55,BM55,BS55))</x:f>
      </x:c>
      <x:c r="IO55" s="27" t="str">
        <x:f>IF(C55="","",SUM(L55,R55,X55,AD55,AJ55,AP55,AV55,BB55,BH55,BN55,BT55))</x:f>
      </x:c>
      <x:c r="IP55" s="27" t="str">
        <x:f>IF(C55="","",SUM(M55,S55,Y55,AE55,AK55,AQ55,AW55,BC55,BI55,BO55,BU55))</x:f>
      </x:c>
      <x:c r="IQ55" s="27" t="str">
        <x:f>IF(C55="","",SUM(BV55,CB55,CH55,CN55,CT55,CZ55,DF55,DL55,DR55,DX55,ED55))</x:f>
      </x:c>
      <x:c r="IR55" s="27" t="str">
        <x:f>IF(C55="","",SUM(BW55,CC55,CI55,CO55,CU55,DA55,DG55,DM55,DS55,DY55,EE55))</x:f>
      </x:c>
      <x:c r="IS55" s="27" t="str">
        <x:f>IF(C55="","",SUM(BX55,CD55,CJ55,CP55,CV55,DB55,DH55,DN55,DT55,DZ55,EF55))</x:f>
      </x:c>
      <x:c r="IT55" s="27" t="str">
        <x:f>IF(C55="","",SUM(BY55,CE55,CK55,CQ55,CW55,DC55,DI55,DO55,DU55,EA55,EG55))</x:f>
      </x:c>
      <x:c r="IU55" s="27" t="str">
        <x:f>IF(C55="","",SUM(BZ55,CF55,CL55,CR55,CX55,DD55,DJ55,DP55,DV55,EB55,EH55))</x:f>
      </x:c>
      <x:c r="IV55" s="27" t="str">
        <x:f>IF(C55="","",SUM(CA55,CG55,CM55,CS55,CY55,DE55,DK55,DQ55,DW55,EC55,EI55))</x:f>
      </x:c>
      <x:c r="IW55" s="27" t="str">
        <x:f>IF(C55="","",SUM(EJ55,EP55,EV55,FB55,FH55,FN55,FT55,FZ55,GF55,GL55,GR55,GX55,HD55,HJ55))</x:f>
      </x:c>
      <x:c r="IX55" s="27" t="str">
        <x:f>IF(C55="","",SUM(EK55,EQ55,EW55,FC55,FI55,FO55,FU55,GA55,GG55,GM55,GS55,GY55,HE55,HK55))</x:f>
      </x:c>
      <x:c r="IY55" s="27" t="str">
        <x:f>IF(C55="","",SUM(EL55,ER55,EX55,FD55,FJ55,FP55,FV55,GB55,GH55,GN55,GT55,GZ55,HF55,HL55))</x:f>
      </x:c>
      <x:c r="IZ55" s="27" t="str">
        <x:f>IF(C55="","",SUM(EM55,ES55,EY55,FE55,FK55,FQ55,FW55,GC55,GI55,GO55,GU55,HA55,HG55,HM55))</x:f>
      </x:c>
      <x:c r="JA55" s="27" t="str">
        <x:f>IF(C55="","",SUM(EN55,ET55,EZ55,FF55,FL55,FR55,FX55,GD55,GJ55,GP55,GV55,HB55,HH55,HN55))</x:f>
      </x:c>
      <x:c r="JB55" s="27" t="str">
        <x:f>IF(C55="","",SUM(EO55,EU55,FA55,FG55,FM55,FS55,FY55,GE55,GK55,GQ55,GW55,HC55,HI55,HO55))</x:f>
      </x:c>
      <x:c r="JC55" s="27" t="str">
        <x:f>IF(C55="","",0)</x:f>
      </x:c>
      <x:c r="JD55" s="27" t="str">
        <x:f>IF(C55="","",0)</x:f>
      </x:c>
      <x:c r="JE55" s="27" t="str">
        <x:f>IF(C55="","",0)</x:f>
      </x:c>
      <x:c r="JF55" s="27" t="str">
        <x:f>IF(C55="","",0)</x:f>
      </x:c>
      <x:c r="JG55" s="27" t="str">
        <x:f>IF(C55="","",0)</x:f>
      </x:c>
      <x:c r="JH55" s="27" t="str">
        <x:f>IF(C55="","",0)</x:f>
      </x:c>
      <x:c r="JI55" s="27" t="str">
        <x:f>IF(C55="","",HP55*1000000000+IW55*1000000+IQ55*10000+IK55*100+JC55+6/1000)</x:f>
      </x:c>
      <x:c r="JJ55" s="27" t="str">
        <x:f>IF(C55="","",HQ55*1000000000+IX55*1000000+IR55*10000+IL55*100+JD55+5/1000)</x:f>
      </x:c>
      <x:c r="JK55" s="27" t="str">
        <x:f>IF(C55="","",HR55*1000000000+IY55*1000000+IS55*10000+IM55*100+JE55+4/1000)</x:f>
      </x:c>
      <x:c r="JL55" s="27" t="str">
        <x:f>IF(C55="","",HS55*1000000000+IZ55*1000000+IT55*10000+IN55*100+JF55+3/1000)</x:f>
      </x:c>
      <x:c r="JM55" s="27" t="str">
        <x:f>IF(C55="","",HT55*1000000000+JA55*1000000+IU55*10000+IO55*100+JG55+2/1000)</x:f>
      </x:c>
      <x:c r="JN55" s="27" t="str">
        <x:f>IF(C55="","",HU55*1000000000+JB55*1000000+IV55*10000+IP55*100+JH55+1/1000)</x:f>
      </x:c>
    </x:row>
    <x:row r="56">
      <x:c r="A56" s="27"/>
      <x:c r="B56" s="28"/>
      <x:c r="C56" s="27"/>
      <x:c r="D56" s="27"/>
      <x:c r="E56" s="27"/>
      <x:c r="F56" s="27"/>
      <x:c r="G56" s="27"/>
      <x:c r="H56" s="27"/>
      <x:c r="I56" s="27"/>
      <x:c r="J56" s="27"/>
      <x:c r="K56" s="27"/>
      <x:c r="L56" s="27"/>
      <x:c r="M56" s="27"/>
      <x:c r="N56" s="27"/>
      <x:c r="O56" s="27"/>
      <x:c r="P56" s="27"/>
      <x:c r="Q56" s="27"/>
      <x:c r="R56" s="27"/>
      <x:c r="S56" s="27"/>
      <x:c r="T56" s="27"/>
      <x:c r="U56" s="27"/>
      <x:c r="V56" s="27"/>
      <x:c r="W56" s="27"/>
      <x:c r="X56" s="27"/>
      <x:c r="Y56" s="27"/>
      <x:c r="Z56" s="27"/>
      <x:c r="AA56" s="27"/>
      <x:c r="AB56" s="27"/>
      <x:c r="AC56" s="27"/>
      <x:c r="AD56" s="27"/>
      <x:c r="AE56" s="27"/>
      <x:c r="AF56" s="27"/>
      <x:c r="AG56" s="27"/>
      <x:c r="AH56" s="27"/>
      <x:c r="AI56" s="27"/>
      <x:c r="AJ56" s="27"/>
      <x:c r="AK56" s="27"/>
      <x:c r="AL56" s="27"/>
      <x:c r="AM56" s="27"/>
      <x:c r="AN56" s="27"/>
      <x:c r="AO56" s="27"/>
      <x:c r="AP56" s="27"/>
      <x:c r="AQ56" s="27"/>
      <x:c r="AR56" s="27"/>
      <x:c r="AS56" s="27"/>
      <x:c r="AT56" s="27"/>
      <x:c r="AU56" s="27"/>
      <x:c r="AV56" s="27"/>
      <x:c r="AW56" s="27"/>
      <x:c r="AX56" s="27"/>
      <x:c r="AY56" s="27"/>
      <x:c r="AZ56" s="27"/>
      <x:c r="BA56" s="27"/>
      <x:c r="BB56" s="27"/>
      <x:c r="BC56" s="27"/>
      <x:c r="BD56" s="27"/>
      <x:c r="BE56" s="27"/>
      <x:c r="BF56" s="27"/>
      <x:c r="BG56" s="27"/>
      <x:c r="BH56" s="27"/>
      <x:c r="BI56" s="27"/>
      <x:c r="BJ56" s="27"/>
      <x:c r="BK56" s="27"/>
      <x:c r="BL56" s="27"/>
      <x:c r="BM56" s="27"/>
      <x:c r="BN56" s="27"/>
      <x:c r="BO56" s="27"/>
      <x:c r="BP56" s="27"/>
      <x:c r="BQ56" s="27"/>
      <x:c r="BR56" s="27"/>
      <x:c r="BS56" s="27"/>
      <x:c r="BT56" s="27"/>
      <x:c r="BU56" s="27"/>
      <x:c r="BV56" s="27"/>
      <x:c r="BW56" s="27"/>
      <x:c r="BX56" s="27"/>
      <x:c r="BY56" s="27"/>
      <x:c r="BZ56" s="27"/>
      <x:c r="CA56" s="27"/>
      <x:c r="CB56" s="27"/>
      <x:c r="CC56" s="27"/>
      <x:c r="CD56" s="27"/>
      <x:c r="CE56" s="27"/>
      <x:c r="CF56" s="27"/>
      <x:c r="CG56" s="27"/>
      <x:c r="CH56" s="27"/>
      <x:c r="CI56" s="27"/>
      <x:c r="CJ56" s="27"/>
      <x:c r="CK56" s="27"/>
      <x:c r="CL56" s="27"/>
      <x:c r="CM56" s="27"/>
      <x:c r="CN56" s="27"/>
      <x:c r="CO56" s="27"/>
      <x:c r="CP56" s="27"/>
      <x:c r="CQ56" s="27"/>
      <x:c r="CR56" s="27"/>
      <x:c r="CS56" s="27"/>
      <x:c r="CT56" s="27"/>
      <x:c r="CU56" s="27"/>
      <x:c r="CV56" s="27"/>
      <x:c r="CW56" s="27"/>
      <x:c r="CX56" s="27"/>
      <x:c r="CY56" s="27"/>
      <x:c r="CZ56" s="27"/>
      <x:c r="DA56" s="27"/>
      <x:c r="DB56" s="27"/>
      <x:c r="DC56" s="27"/>
      <x:c r="DD56" s="27"/>
      <x:c r="DE56" s="27"/>
      <x:c r="DF56" s="27"/>
      <x:c r="DG56" s="27"/>
      <x:c r="DH56" s="27"/>
      <x:c r="DI56" s="27"/>
      <x:c r="DJ56" s="27"/>
      <x:c r="DK56" s="27"/>
      <x:c r="DL56" s="27"/>
      <x:c r="DM56" s="27"/>
      <x:c r="DN56" s="27"/>
      <x:c r="DO56" s="27"/>
      <x:c r="DP56" s="27"/>
      <x:c r="DQ56" s="27"/>
      <x:c r="DR56" s="27"/>
      <x:c r="DS56" s="27"/>
      <x:c r="DT56" s="27"/>
      <x:c r="DU56" s="27"/>
      <x:c r="DV56" s="27"/>
      <x:c r="DW56" s="27"/>
      <x:c r="DX56" s="27"/>
      <x:c r="DY56" s="27"/>
      <x:c r="DZ56" s="27"/>
      <x:c r="EA56" s="27"/>
      <x:c r="EB56" s="27"/>
      <x:c r="EC56" s="27"/>
      <x:c r="ED56" s="27"/>
      <x:c r="EE56" s="27"/>
      <x:c r="EF56" s="27"/>
      <x:c r="EG56" s="27"/>
      <x:c r="EH56" s="27"/>
      <x:c r="EI56" s="27"/>
      <x:c r="EJ56" s="27"/>
      <x:c r="EK56" s="27"/>
      <x:c r="EL56" s="27"/>
      <x:c r="EM56" s="27"/>
      <x:c r="EN56" s="27"/>
      <x:c r="EO56" s="27"/>
      <x:c r="EP56" s="27"/>
      <x:c r="EQ56" s="27"/>
      <x:c r="ER56" s="27"/>
      <x:c r="ES56" s="27"/>
      <x:c r="ET56" s="27"/>
      <x:c r="EU56" s="27"/>
      <x:c r="EV56" s="27"/>
      <x:c r="EW56" s="27"/>
      <x:c r="EX56" s="27"/>
      <x:c r="EY56" s="27"/>
      <x:c r="EZ56" s="27"/>
      <x:c r="FA56" s="27"/>
      <x:c r="FB56" s="27"/>
      <x:c r="FC56" s="27"/>
      <x:c r="FD56" s="27"/>
      <x:c r="FE56" s="27"/>
      <x:c r="FF56" s="27"/>
      <x:c r="FG56" s="27"/>
      <x:c r="FH56" s="27"/>
      <x:c r="FI56" s="27"/>
      <x:c r="FJ56" s="27"/>
      <x:c r="FK56" s="27"/>
      <x:c r="FL56" s="27"/>
      <x:c r="FM56" s="27"/>
      <x:c r="FN56" s="27"/>
      <x:c r="FO56" s="27"/>
      <x:c r="FP56" s="27"/>
      <x:c r="FQ56" s="27"/>
      <x:c r="FR56" s="27"/>
      <x:c r="FS56" s="27"/>
      <x:c r="FT56" s="27"/>
      <x:c r="FU56" s="27"/>
      <x:c r="FV56" s="27"/>
      <x:c r="FW56" s="27"/>
      <x:c r="FX56" s="27"/>
      <x:c r="FY56" s="27"/>
      <x:c r="FZ56" s="27"/>
      <x:c r="GA56" s="27"/>
      <x:c r="GB56" s="27"/>
      <x:c r="GC56" s="27"/>
      <x:c r="GD56" s="27"/>
      <x:c r="GE56" s="27"/>
      <x:c r="GF56" s="27"/>
      <x:c r="GG56" s="27"/>
      <x:c r="GH56" s="27"/>
      <x:c r="GI56" s="27"/>
      <x:c r="GJ56" s="27"/>
      <x:c r="GK56" s="27"/>
      <x:c r="GL56" s="27"/>
      <x:c r="GM56" s="27"/>
      <x:c r="GN56" s="27"/>
      <x:c r="GO56" s="27"/>
      <x:c r="GP56" s="27"/>
      <x:c r="GQ56" s="27"/>
      <x:c r="GR56" s="27"/>
      <x:c r="GS56" s="27"/>
      <x:c r="GT56" s="27"/>
      <x:c r="GU56" s="27"/>
      <x:c r="GV56" s="27"/>
      <x:c r="GW56" s="27"/>
      <x:c r="GX56" s="27"/>
      <x:c r="GY56" s="27"/>
      <x:c r="GZ56" s="27"/>
      <x:c r="HA56" s="27"/>
      <x:c r="HB56" s="27"/>
      <x:c r="HC56" s="27"/>
      <x:c r="HD56" s="27"/>
      <x:c r="HE56" s="27"/>
      <x:c r="HF56" s="27"/>
      <x:c r="HG56" s="27"/>
      <x:c r="HH56" s="27"/>
      <x:c r="HI56" s="27"/>
      <x:c r="HJ56" s="27"/>
      <x:c r="HK56" s="27"/>
      <x:c r="HL56" s="27"/>
      <x:c r="HM56" s="27"/>
      <x:c r="HN56" s="27"/>
      <x:c r="HO56" s="27"/>
      <x:c r="HP56" s="27" t="str">
        <x:f>IF(C56="","",SUM(H56,N56,T56,Z56,AF56,AL56,AR56,AX56,BD56,BJ56,BP56,BV56,CB56,CH56,CN56,CT56,CZ56,DF56,DL56,DR56,DX56,ED56,EJ56,EP56,EV56,FB56,FH56,FN56,FT56,FZ56,GF56,GL56,GR56,GX56,HD56,HJ56))</x:f>
      </x:c>
      <x:c r="HQ56" s="27" t="str">
        <x:f>IF(C56="","",SUM(I56,O56,U56,AA56,AG56,AM56,AS56,AY56,BE56,BK56,BQ56,BW56,CC56,CI56,CO56,CU56,DA56,DG56,DM56,DS56,DY56,EE56,EK56,EQ56,EW56,FC56,FI56,FO56,FU56,GA56,GG56,GM56,GS56,GY56,HE56,HK56))</x:f>
      </x:c>
      <x:c r="HR56" s="27" t="str">
        <x:f>IF(C56="","",SUM(J56,P56,V56,AB56,AH56,AN56,AT56,AZ56,BF56,BL56,BR56,BX56,CD56,CJ56,CP56,CV56,DB56,DH56,DN56,DT56,DZ56,EF56,EL56,ER56,EX56,FD56,FJ56,FP56,FV56,GB56,GH56,GN56,GT56,GZ56,HF56,HL56))</x:f>
      </x:c>
      <x:c r="HS56" s="27" t="str">
        <x:f>IF(C56="","",SUM(K56,Q56,W56,AC56,AI56,AO56,AU56,BA56,BG56,BM56,BS56,BY56,CE56,CK56,CQ56,CW56,DC56,DI56,DO56,DU56,EA56,EG56,EM56,ES56,EY56,FE56,FK56,FQ56,FW56,GC56,GI56,GO56,GU56,HA56,HG56,HM56))</x:f>
      </x:c>
      <x:c r="HT56" s="27" t="str">
        <x:f>IF(C56="","",SUM(L56,R56,X56,AD56,AJ56,AP56,AV56,BB56,BH56,BN56,BT56,BZ56,CF56,CL56,CR56,CX56,DD56,DJ56,DP56,DV56,EB56,EH56,EN56,ET56,EZ56,FF56,FL56,FR56,FX56,GD56,GJ56,GP56,GV56,HB56,HH56,HN56))</x:f>
      </x:c>
      <x:c r="HU56" s="27" t="str">
        <x:f>IF(C56="","",SUM(M56,S56,Y56,AE56,AK56,AQ56,AW56,BC56,BI56,BO56,BU56,CA56,CG56,CM56,CS56,CY56,DE56,DK56,DQ56,DW56,EC56,EI56,EO56,EU56,FA56,FG56,FM56,FS56,FY56,GE56,GK56,GQ56,GW56,HC56,HI56,HO56))</x:f>
      </x:c>
      <x:c r="HV56" s="27" t="str">
        <x:f>IF(C56="","",IF(JI56=LARGE(JI56:JN56,1),"R",IF(JJ56=LARGE(JI56:JN56,1),"I",IF(JK56=LARGE(JI56:JN56,1),"A",IF(JL56=LARGE(JI56:JN56,1),"S",IF(JM56=LARGE(JI56:JN56,1),"E",IF(JN56=LARGE(JI56:JN56,1),"C",""))))))&amp;IF(JI56=LARGE(JI56:JN56,2),"R",IF(JJ56=LARGE(JI56:JN56,2),"I",IF(JK56=LARGE(JI56:JN56,2),"A",IF(JL56=LARGE(JI56:JN56,2),"S",IF(JM56=LARGE(JI56:JN56,2),"E",IF(JN56=LARGE(JI56:JN56,2),"C",""))))))&amp;IF(JI56=LARGE(JI56:JN56,3),"R",IF(JJ56=LARGE(JI56:JN56,3),"I",IF(JK56=LARGE(JI56:JN56,3),"A",IF(JL56=LARGE(JI56:JN56,3),"S",IF(JM56=LARGE(JI56:JN56,3),"E",IF(JN56=LARGE(JI56:JN56,3),"C","")))))))</x:f>
      </x:c>
      <x:c r="HW56" s="27" t="str">
        <x:f>IF(C56="","",IF(JI56=LARGE(JI56:JN56,1),"นักปฏิบัติ",IF(JJ56=LARGE(JI56:JN56,1),"นักคิดวิเคราะห์",IF(JK56=LARGE(JI56:JN56,1),"นักสร้างสรรค์",IF(JL56=LARGE(JI56:JN56,1),"ผู้เข้าใจผู้คน",IF(JM56=LARGE(JI56:JN56,1),"ผู้นำการเปลี่ยนแปลง",IF(JN56=LARGE(JI56:JN56,1),"ผู้จัดระบบ","ผู้จัดระบบ")))))))</x:f>
      </x:c>
      <x:c r="HX56" s="27"/>
      <x:c r="HY56" s="27"/>
      <x:c r="HZ56" s="27"/>
      <x:c r="IA56" s="27"/>
      <x:c r="IB56" s="27"/>
      <x:c r="IC56" s="27"/>
      <x:c r="ID56" s="27"/>
      <x:c r="IE56" s="27"/>
      <x:c r="IF56" s="27"/>
      <x:c r="IG56" s="27"/>
      <x:c r="IH56" s="27"/>
      <x:c r="II56" s="27"/>
      <x:c r="IJ56" s="27"/>
      <x:c r="IK56" s="27" t="str">
        <x:f>IF(C56="","",SUM(H56,N56,T56,Z56,AF56,AL56,AR56,AX56,BD56,BJ56,BP56))</x:f>
      </x:c>
      <x:c r="IL56" s="27" t="str">
        <x:f>IF(C56="","",SUM(I56,O56,U56,AA56,AG56,AM56,AS56,AY56,BE56,BK56,BQ56))</x:f>
      </x:c>
      <x:c r="IM56" s="27" t="str">
        <x:f>IF(C56="","",SUM(J56,P56,V56,AB56,AH56,AN56,AT56,AZ56,BF56,BL56,BR56))</x:f>
      </x:c>
      <x:c r="IN56" s="27" t="str">
        <x:f>IF(C56="","",SUM(K56,Q56,W56,AC56,AI56,AO56,AU56,BA56,BG56,BM56,BS56))</x:f>
      </x:c>
      <x:c r="IO56" s="27" t="str">
        <x:f>IF(C56="","",SUM(L56,R56,X56,AD56,AJ56,AP56,AV56,BB56,BH56,BN56,BT56))</x:f>
      </x:c>
      <x:c r="IP56" s="27" t="str">
        <x:f>IF(C56="","",SUM(M56,S56,Y56,AE56,AK56,AQ56,AW56,BC56,BI56,BO56,BU56))</x:f>
      </x:c>
      <x:c r="IQ56" s="27" t="str">
        <x:f>IF(C56="","",SUM(BV56,CB56,CH56,CN56,CT56,CZ56,DF56,DL56,DR56,DX56,ED56))</x:f>
      </x:c>
      <x:c r="IR56" s="27" t="str">
        <x:f>IF(C56="","",SUM(BW56,CC56,CI56,CO56,CU56,DA56,DG56,DM56,DS56,DY56,EE56))</x:f>
      </x:c>
      <x:c r="IS56" s="27" t="str">
        <x:f>IF(C56="","",SUM(BX56,CD56,CJ56,CP56,CV56,DB56,DH56,DN56,DT56,DZ56,EF56))</x:f>
      </x:c>
      <x:c r="IT56" s="27" t="str">
        <x:f>IF(C56="","",SUM(BY56,CE56,CK56,CQ56,CW56,DC56,DI56,DO56,DU56,EA56,EG56))</x:f>
      </x:c>
      <x:c r="IU56" s="27" t="str">
        <x:f>IF(C56="","",SUM(BZ56,CF56,CL56,CR56,CX56,DD56,DJ56,DP56,DV56,EB56,EH56))</x:f>
      </x:c>
      <x:c r="IV56" s="27" t="str">
        <x:f>IF(C56="","",SUM(CA56,CG56,CM56,CS56,CY56,DE56,DK56,DQ56,DW56,EC56,EI56))</x:f>
      </x:c>
      <x:c r="IW56" s="27" t="str">
        <x:f>IF(C56="","",SUM(EJ56,EP56,EV56,FB56,FH56,FN56,FT56,FZ56,GF56,GL56,GR56,GX56,HD56,HJ56))</x:f>
      </x:c>
      <x:c r="IX56" s="27" t="str">
        <x:f>IF(C56="","",SUM(EK56,EQ56,EW56,FC56,FI56,FO56,FU56,GA56,GG56,GM56,GS56,GY56,HE56,HK56))</x:f>
      </x:c>
      <x:c r="IY56" s="27" t="str">
        <x:f>IF(C56="","",SUM(EL56,ER56,EX56,FD56,FJ56,FP56,FV56,GB56,GH56,GN56,GT56,GZ56,HF56,HL56))</x:f>
      </x:c>
      <x:c r="IZ56" s="27" t="str">
        <x:f>IF(C56="","",SUM(EM56,ES56,EY56,FE56,FK56,FQ56,FW56,GC56,GI56,GO56,GU56,HA56,HG56,HM56))</x:f>
      </x:c>
      <x:c r="JA56" s="27" t="str">
        <x:f>IF(C56="","",SUM(EN56,ET56,EZ56,FF56,FL56,FR56,FX56,GD56,GJ56,GP56,GV56,HB56,HH56,HN56))</x:f>
      </x:c>
      <x:c r="JB56" s="27" t="str">
        <x:f>IF(C56="","",SUM(EO56,EU56,FA56,FG56,FM56,FS56,FY56,GE56,GK56,GQ56,GW56,HC56,HI56,HO56))</x:f>
      </x:c>
      <x:c r="JC56" s="27" t="str">
        <x:f>IF(C56="","",0)</x:f>
      </x:c>
      <x:c r="JD56" s="27" t="str">
        <x:f>IF(C56="","",0)</x:f>
      </x:c>
      <x:c r="JE56" s="27" t="str">
        <x:f>IF(C56="","",0)</x:f>
      </x:c>
      <x:c r="JF56" s="27" t="str">
        <x:f>IF(C56="","",0)</x:f>
      </x:c>
      <x:c r="JG56" s="27" t="str">
        <x:f>IF(C56="","",0)</x:f>
      </x:c>
      <x:c r="JH56" s="27" t="str">
        <x:f>IF(C56="","",0)</x:f>
      </x:c>
      <x:c r="JI56" s="27" t="str">
        <x:f>IF(C56="","",HP56*1000000000+IW56*1000000+IQ56*10000+IK56*100+JC56+6/1000)</x:f>
      </x:c>
      <x:c r="JJ56" s="27" t="str">
        <x:f>IF(C56="","",HQ56*1000000000+IX56*1000000+IR56*10000+IL56*100+JD56+5/1000)</x:f>
      </x:c>
      <x:c r="JK56" s="27" t="str">
        <x:f>IF(C56="","",HR56*1000000000+IY56*1000000+IS56*10000+IM56*100+JE56+4/1000)</x:f>
      </x:c>
      <x:c r="JL56" s="27" t="str">
        <x:f>IF(C56="","",HS56*1000000000+IZ56*1000000+IT56*10000+IN56*100+JF56+3/1000)</x:f>
      </x:c>
      <x:c r="JM56" s="27" t="str">
        <x:f>IF(C56="","",HT56*1000000000+JA56*1000000+IU56*10000+IO56*100+JG56+2/1000)</x:f>
      </x:c>
      <x:c r="JN56" s="27" t="str">
        <x:f>IF(C56="","",HU56*1000000000+JB56*1000000+IV56*10000+IP56*100+JH56+1/1000)</x:f>
      </x:c>
    </x:row>
    <x:row r="57">
      <x:c r="A57" s="27"/>
      <x:c r="B57" s="28"/>
      <x:c r="C57" s="27"/>
      <x:c r="D57" s="27"/>
      <x:c r="E57" s="27"/>
      <x:c r="F57" s="27"/>
      <x:c r="G57" s="27"/>
      <x:c r="H57" s="27"/>
      <x:c r="I57" s="27"/>
      <x:c r="J57" s="27"/>
      <x:c r="K57" s="27"/>
      <x:c r="L57" s="27"/>
      <x:c r="M57" s="27"/>
      <x:c r="N57" s="27"/>
      <x:c r="O57" s="27"/>
      <x:c r="P57" s="27"/>
      <x:c r="Q57" s="27"/>
      <x:c r="R57" s="27"/>
      <x:c r="S57" s="27"/>
      <x:c r="T57" s="27"/>
      <x:c r="U57" s="27"/>
      <x:c r="V57" s="27"/>
      <x:c r="W57" s="27"/>
      <x:c r="X57" s="27"/>
      <x:c r="Y57" s="27"/>
      <x:c r="Z57" s="27"/>
      <x:c r="AA57" s="27"/>
      <x:c r="AB57" s="27"/>
      <x:c r="AC57" s="27"/>
      <x:c r="AD57" s="27"/>
      <x:c r="AE57" s="27"/>
      <x:c r="AF57" s="27"/>
      <x:c r="AG57" s="27"/>
      <x:c r="AH57" s="27"/>
      <x:c r="AI57" s="27"/>
      <x:c r="AJ57" s="27"/>
      <x:c r="AK57" s="27"/>
      <x:c r="AL57" s="27"/>
      <x:c r="AM57" s="27"/>
      <x:c r="AN57" s="27"/>
      <x:c r="AO57" s="27"/>
      <x:c r="AP57" s="27"/>
      <x:c r="AQ57" s="27"/>
      <x:c r="AR57" s="27"/>
      <x:c r="AS57" s="27"/>
      <x:c r="AT57" s="27"/>
      <x:c r="AU57" s="27"/>
      <x:c r="AV57" s="27"/>
      <x:c r="AW57" s="27"/>
      <x:c r="AX57" s="27"/>
      <x:c r="AY57" s="27"/>
      <x:c r="AZ57" s="27"/>
      <x:c r="BA57" s="27"/>
      <x:c r="BB57" s="27"/>
      <x:c r="BC57" s="27"/>
      <x:c r="BD57" s="27"/>
      <x:c r="BE57" s="27"/>
      <x:c r="BF57" s="27"/>
      <x:c r="BG57" s="27"/>
      <x:c r="BH57" s="27"/>
      <x:c r="BI57" s="27"/>
      <x:c r="BJ57" s="27"/>
      <x:c r="BK57" s="27"/>
      <x:c r="BL57" s="27"/>
      <x:c r="BM57" s="27"/>
      <x:c r="BN57" s="27"/>
      <x:c r="BO57" s="27"/>
      <x:c r="BP57" s="27"/>
      <x:c r="BQ57" s="27"/>
      <x:c r="BR57" s="27"/>
      <x:c r="BS57" s="27"/>
      <x:c r="BT57" s="27"/>
      <x:c r="BU57" s="27"/>
      <x:c r="BV57" s="27"/>
      <x:c r="BW57" s="27"/>
      <x:c r="BX57" s="27"/>
      <x:c r="BY57" s="27"/>
      <x:c r="BZ57" s="27"/>
      <x:c r="CA57" s="27"/>
      <x:c r="CB57" s="27"/>
      <x:c r="CC57" s="27"/>
      <x:c r="CD57" s="27"/>
      <x:c r="CE57" s="27"/>
      <x:c r="CF57" s="27"/>
      <x:c r="CG57" s="27"/>
      <x:c r="CH57" s="27"/>
      <x:c r="CI57" s="27"/>
      <x:c r="CJ57" s="27"/>
      <x:c r="CK57" s="27"/>
      <x:c r="CL57" s="27"/>
      <x:c r="CM57" s="27"/>
      <x:c r="CN57" s="27"/>
      <x:c r="CO57" s="27"/>
      <x:c r="CP57" s="27"/>
      <x:c r="CQ57" s="27"/>
      <x:c r="CR57" s="27"/>
      <x:c r="CS57" s="27"/>
      <x:c r="CT57" s="27"/>
      <x:c r="CU57" s="27"/>
      <x:c r="CV57" s="27"/>
      <x:c r="CW57" s="27"/>
      <x:c r="CX57" s="27"/>
      <x:c r="CY57" s="27"/>
      <x:c r="CZ57" s="27"/>
      <x:c r="DA57" s="27"/>
      <x:c r="DB57" s="27"/>
      <x:c r="DC57" s="27"/>
      <x:c r="DD57" s="27"/>
      <x:c r="DE57" s="27"/>
      <x:c r="DF57" s="27"/>
      <x:c r="DG57" s="27"/>
      <x:c r="DH57" s="27"/>
      <x:c r="DI57" s="27"/>
      <x:c r="DJ57" s="27"/>
      <x:c r="DK57" s="27"/>
      <x:c r="DL57" s="27"/>
      <x:c r="DM57" s="27"/>
      <x:c r="DN57" s="27"/>
      <x:c r="DO57" s="27"/>
      <x:c r="DP57" s="27"/>
      <x:c r="DQ57" s="27"/>
      <x:c r="DR57" s="27"/>
      <x:c r="DS57" s="27"/>
      <x:c r="DT57" s="27"/>
      <x:c r="DU57" s="27"/>
      <x:c r="DV57" s="27"/>
      <x:c r="DW57" s="27"/>
      <x:c r="DX57" s="27"/>
      <x:c r="DY57" s="27"/>
      <x:c r="DZ57" s="27"/>
      <x:c r="EA57" s="27"/>
      <x:c r="EB57" s="27"/>
      <x:c r="EC57" s="27"/>
      <x:c r="ED57" s="27"/>
      <x:c r="EE57" s="27"/>
      <x:c r="EF57" s="27"/>
      <x:c r="EG57" s="27"/>
      <x:c r="EH57" s="27"/>
      <x:c r="EI57" s="27"/>
      <x:c r="EJ57" s="27"/>
      <x:c r="EK57" s="27"/>
      <x:c r="EL57" s="27"/>
      <x:c r="EM57" s="27"/>
      <x:c r="EN57" s="27"/>
      <x:c r="EO57" s="27"/>
      <x:c r="EP57" s="27"/>
      <x:c r="EQ57" s="27"/>
      <x:c r="ER57" s="27"/>
      <x:c r="ES57" s="27"/>
      <x:c r="ET57" s="27"/>
      <x:c r="EU57" s="27"/>
      <x:c r="EV57" s="27"/>
      <x:c r="EW57" s="27"/>
      <x:c r="EX57" s="27"/>
      <x:c r="EY57" s="27"/>
      <x:c r="EZ57" s="27"/>
      <x:c r="FA57" s="27"/>
      <x:c r="FB57" s="27"/>
      <x:c r="FC57" s="27"/>
      <x:c r="FD57" s="27"/>
      <x:c r="FE57" s="27"/>
      <x:c r="FF57" s="27"/>
      <x:c r="FG57" s="27"/>
      <x:c r="FH57" s="27"/>
      <x:c r="FI57" s="27"/>
      <x:c r="FJ57" s="27"/>
      <x:c r="FK57" s="27"/>
      <x:c r="FL57" s="27"/>
      <x:c r="FM57" s="27"/>
      <x:c r="FN57" s="27"/>
      <x:c r="FO57" s="27"/>
      <x:c r="FP57" s="27"/>
      <x:c r="FQ57" s="27"/>
      <x:c r="FR57" s="27"/>
      <x:c r="FS57" s="27"/>
      <x:c r="FT57" s="27"/>
      <x:c r="FU57" s="27"/>
      <x:c r="FV57" s="27"/>
      <x:c r="FW57" s="27"/>
      <x:c r="FX57" s="27"/>
      <x:c r="FY57" s="27"/>
      <x:c r="FZ57" s="27"/>
      <x:c r="GA57" s="27"/>
      <x:c r="GB57" s="27"/>
      <x:c r="GC57" s="27"/>
      <x:c r="GD57" s="27"/>
      <x:c r="GE57" s="27"/>
      <x:c r="GF57" s="27"/>
      <x:c r="GG57" s="27"/>
      <x:c r="GH57" s="27"/>
      <x:c r="GI57" s="27"/>
      <x:c r="GJ57" s="27"/>
      <x:c r="GK57" s="27"/>
      <x:c r="GL57" s="27"/>
      <x:c r="GM57" s="27"/>
      <x:c r="GN57" s="27"/>
      <x:c r="GO57" s="27"/>
      <x:c r="GP57" s="27"/>
      <x:c r="GQ57" s="27"/>
      <x:c r="GR57" s="27"/>
      <x:c r="GS57" s="27"/>
      <x:c r="GT57" s="27"/>
      <x:c r="GU57" s="27"/>
      <x:c r="GV57" s="27"/>
      <x:c r="GW57" s="27"/>
      <x:c r="GX57" s="27"/>
      <x:c r="GY57" s="27"/>
      <x:c r="GZ57" s="27"/>
      <x:c r="HA57" s="27"/>
      <x:c r="HB57" s="27"/>
      <x:c r="HC57" s="27"/>
      <x:c r="HD57" s="27"/>
      <x:c r="HE57" s="27"/>
      <x:c r="HF57" s="27"/>
      <x:c r="HG57" s="27"/>
      <x:c r="HH57" s="27"/>
      <x:c r="HI57" s="27"/>
      <x:c r="HJ57" s="27"/>
      <x:c r="HK57" s="27"/>
      <x:c r="HL57" s="27"/>
      <x:c r="HM57" s="27"/>
      <x:c r="HN57" s="27"/>
      <x:c r="HO57" s="27"/>
      <x:c r="HP57" s="27" t="str">
        <x:f>IF(C57="","",SUM(H57,N57,T57,Z57,AF57,AL57,AR57,AX57,BD57,BJ57,BP57,BV57,CB57,CH57,CN57,CT57,CZ57,DF57,DL57,DR57,DX57,ED57,EJ57,EP57,EV57,FB57,FH57,FN57,FT57,FZ57,GF57,GL57,GR57,GX57,HD57,HJ57))</x:f>
      </x:c>
      <x:c r="HQ57" s="27" t="str">
        <x:f>IF(C57="","",SUM(I57,O57,U57,AA57,AG57,AM57,AS57,AY57,BE57,BK57,BQ57,BW57,CC57,CI57,CO57,CU57,DA57,DG57,DM57,DS57,DY57,EE57,EK57,EQ57,EW57,FC57,FI57,FO57,FU57,GA57,GG57,GM57,GS57,GY57,HE57,HK57))</x:f>
      </x:c>
      <x:c r="HR57" s="27" t="str">
        <x:f>IF(C57="","",SUM(J57,P57,V57,AB57,AH57,AN57,AT57,AZ57,BF57,BL57,BR57,BX57,CD57,CJ57,CP57,CV57,DB57,DH57,DN57,DT57,DZ57,EF57,EL57,ER57,EX57,FD57,FJ57,FP57,FV57,GB57,GH57,GN57,GT57,GZ57,HF57,HL57))</x:f>
      </x:c>
      <x:c r="HS57" s="27" t="str">
        <x:f>IF(C57="","",SUM(K57,Q57,W57,AC57,AI57,AO57,AU57,BA57,BG57,BM57,BS57,BY57,CE57,CK57,CQ57,CW57,DC57,DI57,DO57,DU57,EA57,EG57,EM57,ES57,EY57,FE57,FK57,FQ57,FW57,GC57,GI57,GO57,GU57,HA57,HG57,HM57))</x:f>
      </x:c>
      <x:c r="HT57" s="27" t="str">
        <x:f>IF(C57="","",SUM(L57,R57,X57,AD57,AJ57,AP57,AV57,BB57,BH57,BN57,BT57,BZ57,CF57,CL57,CR57,CX57,DD57,DJ57,DP57,DV57,EB57,EH57,EN57,ET57,EZ57,FF57,FL57,FR57,FX57,GD57,GJ57,GP57,GV57,HB57,HH57,HN57))</x:f>
      </x:c>
      <x:c r="HU57" s="27" t="str">
        <x:f>IF(C57="","",SUM(M57,S57,Y57,AE57,AK57,AQ57,AW57,BC57,BI57,BO57,BU57,CA57,CG57,CM57,CS57,CY57,DE57,DK57,DQ57,DW57,EC57,EI57,EO57,EU57,FA57,FG57,FM57,FS57,FY57,GE57,GK57,GQ57,GW57,HC57,HI57,HO57))</x:f>
      </x:c>
      <x:c r="HV57" s="27" t="str">
        <x:f>IF(C57="","",IF(JI57=LARGE(JI57:JN57,1),"R",IF(JJ57=LARGE(JI57:JN57,1),"I",IF(JK57=LARGE(JI57:JN57,1),"A",IF(JL57=LARGE(JI57:JN57,1),"S",IF(JM57=LARGE(JI57:JN57,1),"E",IF(JN57=LARGE(JI57:JN57,1),"C",""))))))&amp;IF(JI57=LARGE(JI57:JN57,2),"R",IF(JJ57=LARGE(JI57:JN57,2),"I",IF(JK57=LARGE(JI57:JN57,2),"A",IF(JL57=LARGE(JI57:JN57,2),"S",IF(JM57=LARGE(JI57:JN57,2),"E",IF(JN57=LARGE(JI57:JN57,2),"C",""))))))&amp;IF(JI57=LARGE(JI57:JN57,3),"R",IF(JJ57=LARGE(JI57:JN57,3),"I",IF(JK57=LARGE(JI57:JN57,3),"A",IF(JL57=LARGE(JI57:JN57,3),"S",IF(JM57=LARGE(JI57:JN57,3),"E",IF(JN57=LARGE(JI57:JN57,3),"C","")))))))</x:f>
      </x:c>
      <x:c r="HW57" s="27" t="str">
        <x:f>IF(C57="","",IF(JI57=LARGE(JI57:JN57,1),"นักปฏิบัติ",IF(JJ57=LARGE(JI57:JN57,1),"นักคิดวิเคราะห์",IF(JK57=LARGE(JI57:JN57,1),"นักสร้างสรรค์",IF(JL57=LARGE(JI57:JN57,1),"ผู้เข้าใจผู้คน",IF(JM57=LARGE(JI57:JN57,1),"ผู้นำการเปลี่ยนแปลง",IF(JN57=LARGE(JI57:JN57,1),"ผู้จัดระบบ","ผู้จัดระบบ")))))))</x:f>
      </x:c>
      <x:c r="HX57" s="27"/>
      <x:c r="HY57" s="27"/>
      <x:c r="HZ57" s="27"/>
      <x:c r="IA57" s="27"/>
      <x:c r="IB57" s="27"/>
      <x:c r="IC57" s="27"/>
      <x:c r="ID57" s="27"/>
      <x:c r="IE57" s="27"/>
      <x:c r="IF57" s="27"/>
      <x:c r="IG57" s="27"/>
      <x:c r="IH57" s="27"/>
      <x:c r="II57" s="27"/>
      <x:c r="IJ57" s="27"/>
      <x:c r="IK57" s="27" t="str">
        <x:f>IF(C57="","",SUM(H57,N57,T57,Z57,AF57,AL57,AR57,AX57,BD57,BJ57,BP57))</x:f>
      </x:c>
      <x:c r="IL57" s="27" t="str">
        <x:f>IF(C57="","",SUM(I57,O57,U57,AA57,AG57,AM57,AS57,AY57,BE57,BK57,BQ57))</x:f>
      </x:c>
      <x:c r="IM57" s="27" t="str">
        <x:f>IF(C57="","",SUM(J57,P57,V57,AB57,AH57,AN57,AT57,AZ57,BF57,BL57,BR57))</x:f>
      </x:c>
      <x:c r="IN57" s="27" t="str">
        <x:f>IF(C57="","",SUM(K57,Q57,W57,AC57,AI57,AO57,AU57,BA57,BG57,BM57,BS57))</x:f>
      </x:c>
      <x:c r="IO57" s="27" t="str">
        <x:f>IF(C57="","",SUM(L57,R57,X57,AD57,AJ57,AP57,AV57,BB57,BH57,BN57,BT57))</x:f>
      </x:c>
      <x:c r="IP57" s="27" t="str">
        <x:f>IF(C57="","",SUM(M57,S57,Y57,AE57,AK57,AQ57,AW57,BC57,BI57,BO57,BU57))</x:f>
      </x:c>
      <x:c r="IQ57" s="27" t="str">
        <x:f>IF(C57="","",SUM(BV57,CB57,CH57,CN57,CT57,CZ57,DF57,DL57,DR57,DX57,ED57))</x:f>
      </x:c>
      <x:c r="IR57" s="27" t="str">
        <x:f>IF(C57="","",SUM(BW57,CC57,CI57,CO57,CU57,DA57,DG57,DM57,DS57,DY57,EE57))</x:f>
      </x:c>
      <x:c r="IS57" s="27" t="str">
        <x:f>IF(C57="","",SUM(BX57,CD57,CJ57,CP57,CV57,DB57,DH57,DN57,DT57,DZ57,EF57))</x:f>
      </x:c>
      <x:c r="IT57" s="27" t="str">
        <x:f>IF(C57="","",SUM(BY57,CE57,CK57,CQ57,CW57,DC57,DI57,DO57,DU57,EA57,EG57))</x:f>
      </x:c>
      <x:c r="IU57" s="27" t="str">
        <x:f>IF(C57="","",SUM(BZ57,CF57,CL57,CR57,CX57,DD57,DJ57,DP57,DV57,EB57,EH57))</x:f>
      </x:c>
      <x:c r="IV57" s="27" t="str">
        <x:f>IF(C57="","",SUM(CA57,CG57,CM57,CS57,CY57,DE57,DK57,DQ57,DW57,EC57,EI57))</x:f>
      </x:c>
      <x:c r="IW57" s="27" t="str">
        <x:f>IF(C57="","",SUM(EJ57,EP57,EV57,FB57,FH57,FN57,FT57,FZ57,GF57,GL57,GR57,GX57,HD57,HJ57))</x:f>
      </x:c>
      <x:c r="IX57" s="27" t="str">
        <x:f>IF(C57="","",SUM(EK57,EQ57,EW57,FC57,FI57,FO57,FU57,GA57,GG57,GM57,GS57,GY57,HE57,HK57))</x:f>
      </x:c>
      <x:c r="IY57" s="27" t="str">
        <x:f>IF(C57="","",SUM(EL57,ER57,EX57,FD57,FJ57,FP57,FV57,GB57,GH57,GN57,GT57,GZ57,HF57,HL57))</x:f>
      </x:c>
      <x:c r="IZ57" s="27" t="str">
        <x:f>IF(C57="","",SUM(EM57,ES57,EY57,FE57,FK57,FQ57,FW57,GC57,GI57,GO57,GU57,HA57,HG57,HM57))</x:f>
      </x:c>
      <x:c r="JA57" s="27" t="str">
        <x:f>IF(C57="","",SUM(EN57,ET57,EZ57,FF57,FL57,FR57,FX57,GD57,GJ57,GP57,GV57,HB57,HH57,HN57))</x:f>
      </x:c>
      <x:c r="JB57" s="27" t="str">
        <x:f>IF(C57="","",SUM(EO57,EU57,FA57,FG57,FM57,FS57,FY57,GE57,GK57,GQ57,GW57,HC57,HI57,HO57))</x:f>
      </x:c>
      <x:c r="JC57" s="27" t="str">
        <x:f>IF(C57="","",0)</x:f>
      </x:c>
      <x:c r="JD57" s="27" t="str">
        <x:f>IF(C57="","",0)</x:f>
      </x:c>
      <x:c r="JE57" s="27" t="str">
        <x:f>IF(C57="","",0)</x:f>
      </x:c>
      <x:c r="JF57" s="27" t="str">
        <x:f>IF(C57="","",0)</x:f>
      </x:c>
      <x:c r="JG57" s="27" t="str">
        <x:f>IF(C57="","",0)</x:f>
      </x:c>
      <x:c r="JH57" s="27" t="str">
        <x:f>IF(C57="","",0)</x:f>
      </x:c>
      <x:c r="JI57" s="27" t="str">
        <x:f>IF(C57="","",HP57*1000000000+IW57*1000000+IQ57*10000+IK57*100+JC57+6/1000)</x:f>
      </x:c>
      <x:c r="JJ57" s="27" t="str">
        <x:f>IF(C57="","",HQ57*1000000000+IX57*1000000+IR57*10000+IL57*100+JD57+5/1000)</x:f>
      </x:c>
      <x:c r="JK57" s="27" t="str">
        <x:f>IF(C57="","",HR57*1000000000+IY57*1000000+IS57*10000+IM57*100+JE57+4/1000)</x:f>
      </x:c>
      <x:c r="JL57" s="27" t="str">
        <x:f>IF(C57="","",HS57*1000000000+IZ57*1000000+IT57*10000+IN57*100+JF57+3/1000)</x:f>
      </x:c>
      <x:c r="JM57" s="27" t="str">
        <x:f>IF(C57="","",HT57*1000000000+JA57*1000000+IU57*10000+IO57*100+JG57+2/1000)</x:f>
      </x:c>
      <x:c r="JN57" s="27" t="str">
        <x:f>IF(C57="","",HU57*1000000000+JB57*1000000+IV57*10000+IP57*100+JH57+1/1000)</x:f>
      </x:c>
    </x:row>
    <x:row r="58">
      <x:c r="A58" s="27"/>
      <x:c r="B58" s="28"/>
      <x:c r="C58" s="27"/>
      <x:c r="D58" s="27"/>
      <x:c r="E58" s="27"/>
      <x:c r="F58" s="27"/>
      <x:c r="G58" s="27"/>
      <x:c r="H58" s="27"/>
      <x:c r="I58" s="27"/>
      <x:c r="J58" s="27"/>
      <x:c r="K58" s="27"/>
      <x:c r="L58" s="27"/>
      <x:c r="M58" s="27"/>
      <x:c r="N58" s="27"/>
      <x:c r="O58" s="27"/>
      <x:c r="P58" s="27"/>
      <x:c r="Q58" s="27"/>
      <x:c r="R58" s="27"/>
      <x:c r="S58" s="27"/>
      <x:c r="T58" s="27"/>
      <x:c r="U58" s="27"/>
      <x:c r="V58" s="27"/>
      <x:c r="W58" s="27"/>
      <x:c r="X58" s="27"/>
      <x:c r="Y58" s="27"/>
      <x:c r="Z58" s="27"/>
      <x:c r="AA58" s="27"/>
      <x:c r="AB58" s="27"/>
      <x:c r="AC58" s="27"/>
      <x:c r="AD58" s="27"/>
      <x:c r="AE58" s="27"/>
      <x:c r="AF58" s="27"/>
      <x:c r="AG58" s="27"/>
      <x:c r="AH58" s="27"/>
      <x:c r="AI58" s="27"/>
      <x:c r="AJ58" s="27"/>
      <x:c r="AK58" s="27"/>
      <x:c r="AL58" s="27"/>
      <x:c r="AM58" s="27"/>
      <x:c r="AN58" s="27"/>
      <x:c r="AO58" s="27"/>
      <x:c r="AP58" s="27"/>
      <x:c r="AQ58" s="27"/>
      <x:c r="AR58" s="27"/>
      <x:c r="AS58" s="27"/>
      <x:c r="AT58" s="27"/>
      <x:c r="AU58" s="27"/>
      <x:c r="AV58" s="27"/>
      <x:c r="AW58" s="27"/>
      <x:c r="AX58" s="27"/>
      <x:c r="AY58" s="27"/>
      <x:c r="AZ58" s="27"/>
      <x:c r="BA58" s="27"/>
      <x:c r="BB58" s="27"/>
      <x:c r="BC58" s="27"/>
      <x:c r="BD58" s="27"/>
      <x:c r="BE58" s="27"/>
      <x:c r="BF58" s="27"/>
      <x:c r="BG58" s="27"/>
      <x:c r="BH58" s="27"/>
      <x:c r="BI58" s="27"/>
      <x:c r="BJ58" s="27"/>
      <x:c r="BK58" s="27"/>
      <x:c r="BL58" s="27"/>
      <x:c r="BM58" s="27"/>
      <x:c r="BN58" s="27"/>
      <x:c r="BO58" s="27"/>
      <x:c r="BP58" s="27"/>
      <x:c r="BQ58" s="27"/>
      <x:c r="BR58" s="27"/>
      <x:c r="BS58" s="27"/>
      <x:c r="BT58" s="27"/>
      <x:c r="BU58" s="27"/>
      <x:c r="BV58" s="27"/>
      <x:c r="BW58" s="27"/>
      <x:c r="BX58" s="27"/>
      <x:c r="BY58" s="27"/>
      <x:c r="BZ58" s="27"/>
      <x:c r="CA58" s="27"/>
      <x:c r="CB58" s="27"/>
      <x:c r="CC58" s="27"/>
      <x:c r="CD58" s="27"/>
      <x:c r="CE58" s="27"/>
      <x:c r="CF58" s="27"/>
      <x:c r="CG58" s="27"/>
      <x:c r="CH58" s="27"/>
      <x:c r="CI58" s="27"/>
      <x:c r="CJ58" s="27"/>
      <x:c r="CK58" s="27"/>
      <x:c r="CL58" s="27"/>
      <x:c r="CM58" s="27"/>
      <x:c r="CN58" s="27"/>
      <x:c r="CO58" s="27"/>
      <x:c r="CP58" s="27"/>
      <x:c r="CQ58" s="27"/>
      <x:c r="CR58" s="27"/>
      <x:c r="CS58" s="27"/>
      <x:c r="CT58" s="27"/>
      <x:c r="CU58" s="27"/>
      <x:c r="CV58" s="27"/>
      <x:c r="CW58" s="27"/>
      <x:c r="CX58" s="27"/>
      <x:c r="CY58" s="27"/>
      <x:c r="CZ58" s="27"/>
      <x:c r="DA58" s="27"/>
      <x:c r="DB58" s="27"/>
      <x:c r="DC58" s="27"/>
      <x:c r="DD58" s="27"/>
      <x:c r="DE58" s="27"/>
      <x:c r="DF58" s="27"/>
      <x:c r="DG58" s="27"/>
      <x:c r="DH58" s="27"/>
      <x:c r="DI58" s="27"/>
      <x:c r="DJ58" s="27"/>
      <x:c r="DK58" s="27"/>
      <x:c r="DL58" s="27"/>
      <x:c r="DM58" s="27"/>
      <x:c r="DN58" s="27"/>
      <x:c r="DO58" s="27"/>
      <x:c r="DP58" s="27"/>
      <x:c r="DQ58" s="27"/>
      <x:c r="DR58" s="27"/>
      <x:c r="DS58" s="27"/>
      <x:c r="DT58" s="27"/>
      <x:c r="DU58" s="27"/>
      <x:c r="DV58" s="27"/>
      <x:c r="DW58" s="27"/>
      <x:c r="DX58" s="27"/>
      <x:c r="DY58" s="27"/>
      <x:c r="DZ58" s="27"/>
      <x:c r="EA58" s="27"/>
      <x:c r="EB58" s="27"/>
      <x:c r="EC58" s="27"/>
      <x:c r="ED58" s="27"/>
      <x:c r="EE58" s="27"/>
      <x:c r="EF58" s="27"/>
      <x:c r="EG58" s="27"/>
      <x:c r="EH58" s="27"/>
      <x:c r="EI58" s="27"/>
      <x:c r="EJ58" s="27"/>
      <x:c r="EK58" s="27"/>
      <x:c r="EL58" s="27"/>
      <x:c r="EM58" s="27"/>
      <x:c r="EN58" s="27"/>
      <x:c r="EO58" s="27"/>
      <x:c r="EP58" s="27"/>
      <x:c r="EQ58" s="27"/>
      <x:c r="ER58" s="27"/>
      <x:c r="ES58" s="27"/>
      <x:c r="ET58" s="27"/>
      <x:c r="EU58" s="27"/>
      <x:c r="EV58" s="27"/>
      <x:c r="EW58" s="27"/>
      <x:c r="EX58" s="27"/>
      <x:c r="EY58" s="27"/>
      <x:c r="EZ58" s="27"/>
      <x:c r="FA58" s="27"/>
      <x:c r="FB58" s="27"/>
      <x:c r="FC58" s="27"/>
      <x:c r="FD58" s="27"/>
      <x:c r="FE58" s="27"/>
      <x:c r="FF58" s="27"/>
      <x:c r="FG58" s="27"/>
      <x:c r="FH58" s="27"/>
      <x:c r="FI58" s="27"/>
      <x:c r="FJ58" s="27"/>
      <x:c r="FK58" s="27"/>
      <x:c r="FL58" s="27"/>
      <x:c r="FM58" s="27"/>
      <x:c r="FN58" s="27"/>
      <x:c r="FO58" s="27"/>
      <x:c r="FP58" s="27"/>
      <x:c r="FQ58" s="27"/>
      <x:c r="FR58" s="27"/>
      <x:c r="FS58" s="27"/>
      <x:c r="FT58" s="27"/>
      <x:c r="FU58" s="27"/>
      <x:c r="FV58" s="27"/>
      <x:c r="FW58" s="27"/>
      <x:c r="FX58" s="27"/>
      <x:c r="FY58" s="27"/>
      <x:c r="FZ58" s="27"/>
      <x:c r="GA58" s="27"/>
      <x:c r="GB58" s="27"/>
      <x:c r="GC58" s="27"/>
      <x:c r="GD58" s="27"/>
      <x:c r="GE58" s="27"/>
      <x:c r="GF58" s="27"/>
      <x:c r="GG58" s="27"/>
      <x:c r="GH58" s="27"/>
      <x:c r="GI58" s="27"/>
      <x:c r="GJ58" s="27"/>
      <x:c r="GK58" s="27"/>
      <x:c r="GL58" s="27"/>
      <x:c r="GM58" s="27"/>
      <x:c r="GN58" s="27"/>
      <x:c r="GO58" s="27"/>
      <x:c r="GP58" s="27"/>
      <x:c r="GQ58" s="27"/>
      <x:c r="GR58" s="27"/>
      <x:c r="GS58" s="27"/>
      <x:c r="GT58" s="27"/>
      <x:c r="GU58" s="27"/>
      <x:c r="GV58" s="27"/>
      <x:c r="GW58" s="27"/>
      <x:c r="GX58" s="27"/>
      <x:c r="GY58" s="27"/>
      <x:c r="GZ58" s="27"/>
      <x:c r="HA58" s="27"/>
      <x:c r="HB58" s="27"/>
      <x:c r="HC58" s="27"/>
      <x:c r="HD58" s="27"/>
      <x:c r="HE58" s="27"/>
      <x:c r="HF58" s="27"/>
      <x:c r="HG58" s="27"/>
      <x:c r="HH58" s="27"/>
      <x:c r="HI58" s="27"/>
      <x:c r="HJ58" s="27"/>
      <x:c r="HK58" s="27"/>
      <x:c r="HL58" s="27"/>
      <x:c r="HM58" s="27"/>
      <x:c r="HN58" s="27"/>
      <x:c r="HO58" s="27"/>
      <x:c r="HP58" s="27" t="str">
        <x:f>IF(C58="","",SUM(H58,N58,T58,Z58,AF58,AL58,AR58,AX58,BD58,BJ58,BP58,BV58,CB58,CH58,CN58,CT58,CZ58,DF58,DL58,DR58,DX58,ED58,EJ58,EP58,EV58,FB58,FH58,FN58,FT58,FZ58,GF58,GL58,GR58,GX58,HD58,HJ58))</x:f>
      </x:c>
      <x:c r="HQ58" s="27" t="str">
        <x:f>IF(C58="","",SUM(I58,O58,U58,AA58,AG58,AM58,AS58,AY58,BE58,BK58,BQ58,BW58,CC58,CI58,CO58,CU58,DA58,DG58,DM58,DS58,DY58,EE58,EK58,EQ58,EW58,FC58,FI58,FO58,FU58,GA58,GG58,GM58,GS58,GY58,HE58,HK58))</x:f>
      </x:c>
      <x:c r="HR58" s="27" t="str">
        <x:f>IF(C58="","",SUM(J58,P58,V58,AB58,AH58,AN58,AT58,AZ58,BF58,BL58,BR58,BX58,CD58,CJ58,CP58,CV58,DB58,DH58,DN58,DT58,DZ58,EF58,EL58,ER58,EX58,FD58,FJ58,FP58,FV58,GB58,GH58,GN58,GT58,GZ58,HF58,HL58))</x:f>
      </x:c>
      <x:c r="HS58" s="27" t="str">
        <x:f>IF(C58="","",SUM(K58,Q58,W58,AC58,AI58,AO58,AU58,BA58,BG58,BM58,BS58,BY58,CE58,CK58,CQ58,CW58,DC58,DI58,DO58,DU58,EA58,EG58,EM58,ES58,EY58,FE58,FK58,FQ58,FW58,GC58,GI58,GO58,GU58,HA58,HG58,HM58))</x:f>
      </x:c>
      <x:c r="HT58" s="27" t="str">
        <x:f>IF(C58="","",SUM(L58,R58,X58,AD58,AJ58,AP58,AV58,BB58,BH58,BN58,BT58,BZ58,CF58,CL58,CR58,CX58,DD58,DJ58,DP58,DV58,EB58,EH58,EN58,ET58,EZ58,FF58,FL58,FR58,FX58,GD58,GJ58,GP58,GV58,HB58,HH58,HN58))</x:f>
      </x:c>
      <x:c r="HU58" s="27" t="str">
        <x:f>IF(C58="","",SUM(M58,S58,Y58,AE58,AK58,AQ58,AW58,BC58,BI58,BO58,BU58,CA58,CG58,CM58,CS58,CY58,DE58,DK58,DQ58,DW58,EC58,EI58,EO58,EU58,FA58,FG58,FM58,FS58,FY58,GE58,GK58,GQ58,GW58,HC58,HI58,HO58))</x:f>
      </x:c>
      <x:c r="HV58" s="27" t="str">
        <x:f>IF(C58="","",IF(JI58=LARGE(JI58:JN58,1),"R",IF(JJ58=LARGE(JI58:JN58,1),"I",IF(JK58=LARGE(JI58:JN58,1),"A",IF(JL58=LARGE(JI58:JN58,1),"S",IF(JM58=LARGE(JI58:JN58,1),"E",IF(JN58=LARGE(JI58:JN58,1),"C",""))))))&amp;IF(JI58=LARGE(JI58:JN58,2),"R",IF(JJ58=LARGE(JI58:JN58,2),"I",IF(JK58=LARGE(JI58:JN58,2),"A",IF(JL58=LARGE(JI58:JN58,2),"S",IF(JM58=LARGE(JI58:JN58,2),"E",IF(JN58=LARGE(JI58:JN58,2),"C",""))))))&amp;IF(JI58=LARGE(JI58:JN58,3),"R",IF(JJ58=LARGE(JI58:JN58,3),"I",IF(JK58=LARGE(JI58:JN58,3),"A",IF(JL58=LARGE(JI58:JN58,3),"S",IF(JM58=LARGE(JI58:JN58,3),"E",IF(JN58=LARGE(JI58:JN58,3),"C","")))))))</x:f>
      </x:c>
      <x:c r="HW58" s="27" t="str">
        <x:f>IF(C58="","",IF(JI58=LARGE(JI58:JN58,1),"นักปฏิบัติ",IF(JJ58=LARGE(JI58:JN58,1),"นักคิดวิเคราะห์",IF(JK58=LARGE(JI58:JN58,1),"นักสร้างสรรค์",IF(JL58=LARGE(JI58:JN58,1),"ผู้เข้าใจผู้คน",IF(JM58=LARGE(JI58:JN58,1),"ผู้นำการเปลี่ยนแปลง",IF(JN58=LARGE(JI58:JN58,1),"ผู้จัดระบบ","ผู้จัดระบบ")))))))</x:f>
      </x:c>
      <x:c r="HX58" s="27"/>
      <x:c r="HY58" s="27"/>
      <x:c r="HZ58" s="27"/>
      <x:c r="IA58" s="27"/>
      <x:c r="IB58" s="27"/>
      <x:c r="IC58" s="27"/>
      <x:c r="ID58" s="27"/>
      <x:c r="IE58" s="27"/>
      <x:c r="IF58" s="27"/>
      <x:c r="IG58" s="27"/>
      <x:c r="IH58" s="27"/>
      <x:c r="II58" s="27"/>
      <x:c r="IJ58" s="27"/>
      <x:c r="IK58" s="27" t="str">
        <x:f>IF(C58="","",SUM(H58,N58,T58,Z58,AF58,AL58,AR58,AX58,BD58,BJ58,BP58))</x:f>
      </x:c>
      <x:c r="IL58" s="27" t="str">
        <x:f>IF(C58="","",SUM(I58,O58,U58,AA58,AG58,AM58,AS58,AY58,BE58,BK58,BQ58))</x:f>
      </x:c>
      <x:c r="IM58" s="27" t="str">
        <x:f>IF(C58="","",SUM(J58,P58,V58,AB58,AH58,AN58,AT58,AZ58,BF58,BL58,BR58))</x:f>
      </x:c>
      <x:c r="IN58" s="27" t="str">
        <x:f>IF(C58="","",SUM(K58,Q58,W58,AC58,AI58,AO58,AU58,BA58,BG58,BM58,BS58))</x:f>
      </x:c>
      <x:c r="IO58" s="27" t="str">
        <x:f>IF(C58="","",SUM(L58,R58,X58,AD58,AJ58,AP58,AV58,BB58,BH58,BN58,BT58))</x:f>
      </x:c>
      <x:c r="IP58" s="27" t="str">
        <x:f>IF(C58="","",SUM(M58,S58,Y58,AE58,AK58,AQ58,AW58,BC58,BI58,BO58,BU58))</x:f>
      </x:c>
      <x:c r="IQ58" s="27" t="str">
        <x:f>IF(C58="","",SUM(BV58,CB58,CH58,CN58,CT58,CZ58,DF58,DL58,DR58,DX58,ED58))</x:f>
      </x:c>
      <x:c r="IR58" s="27" t="str">
        <x:f>IF(C58="","",SUM(BW58,CC58,CI58,CO58,CU58,DA58,DG58,DM58,DS58,DY58,EE58))</x:f>
      </x:c>
      <x:c r="IS58" s="27" t="str">
        <x:f>IF(C58="","",SUM(BX58,CD58,CJ58,CP58,CV58,DB58,DH58,DN58,DT58,DZ58,EF58))</x:f>
      </x:c>
      <x:c r="IT58" s="27" t="str">
        <x:f>IF(C58="","",SUM(BY58,CE58,CK58,CQ58,CW58,DC58,DI58,DO58,DU58,EA58,EG58))</x:f>
      </x:c>
      <x:c r="IU58" s="27" t="str">
        <x:f>IF(C58="","",SUM(BZ58,CF58,CL58,CR58,CX58,DD58,DJ58,DP58,DV58,EB58,EH58))</x:f>
      </x:c>
      <x:c r="IV58" s="27" t="str">
        <x:f>IF(C58="","",SUM(CA58,CG58,CM58,CS58,CY58,DE58,DK58,DQ58,DW58,EC58,EI58))</x:f>
      </x:c>
      <x:c r="IW58" s="27" t="str">
        <x:f>IF(C58="","",SUM(EJ58,EP58,EV58,FB58,FH58,FN58,FT58,FZ58,GF58,GL58,GR58,GX58,HD58,HJ58))</x:f>
      </x:c>
      <x:c r="IX58" s="27" t="str">
        <x:f>IF(C58="","",SUM(EK58,EQ58,EW58,FC58,FI58,FO58,FU58,GA58,GG58,GM58,GS58,GY58,HE58,HK58))</x:f>
      </x:c>
      <x:c r="IY58" s="27" t="str">
        <x:f>IF(C58="","",SUM(EL58,ER58,EX58,FD58,FJ58,FP58,FV58,GB58,GH58,GN58,GT58,GZ58,HF58,HL58))</x:f>
      </x:c>
      <x:c r="IZ58" s="27" t="str">
        <x:f>IF(C58="","",SUM(EM58,ES58,EY58,FE58,FK58,FQ58,FW58,GC58,GI58,GO58,GU58,HA58,HG58,HM58))</x:f>
      </x:c>
      <x:c r="JA58" s="27" t="str">
        <x:f>IF(C58="","",SUM(EN58,ET58,EZ58,FF58,FL58,FR58,FX58,GD58,GJ58,GP58,GV58,HB58,HH58,HN58))</x:f>
      </x:c>
      <x:c r="JB58" s="27" t="str">
        <x:f>IF(C58="","",SUM(EO58,EU58,FA58,FG58,FM58,FS58,FY58,GE58,GK58,GQ58,GW58,HC58,HI58,HO58))</x:f>
      </x:c>
      <x:c r="JC58" s="27" t="str">
        <x:f>IF(C58="","",0)</x:f>
      </x:c>
      <x:c r="JD58" s="27" t="str">
        <x:f>IF(C58="","",0)</x:f>
      </x:c>
      <x:c r="JE58" s="27" t="str">
        <x:f>IF(C58="","",0)</x:f>
      </x:c>
      <x:c r="JF58" s="27" t="str">
        <x:f>IF(C58="","",0)</x:f>
      </x:c>
      <x:c r="JG58" s="27" t="str">
        <x:f>IF(C58="","",0)</x:f>
      </x:c>
      <x:c r="JH58" s="27" t="str">
        <x:f>IF(C58="","",0)</x:f>
      </x:c>
      <x:c r="JI58" s="27" t="str">
        <x:f>IF(C58="","",HP58*1000000000+IW58*1000000+IQ58*10000+IK58*100+JC58+6/1000)</x:f>
      </x:c>
      <x:c r="JJ58" s="27" t="str">
        <x:f>IF(C58="","",HQ58*1000000000+IX58*1000000+IR58*10000+IL58*100+JD58+5/1000)</x:f>
      </x:c>
      <x:c r="JK58" s="27" t="str">
        <x:f>IF(C58="","",HR58*1000000000+IY58*1000000+IS58*10000+IM58*100+JE58+4/1000)</x:f>
      </x:c>
      <x:c r="JL58" s="27" t="str">
        <x:f>IF(C58="","",HS58*1000000000+IZ58*1000000+IT58*10000+IN58*100+JF58+3/1000)</x:f>
      </x:c>
      <x:c r="JM58" s="27" t="str">
        <x:f>IF(C58="","",HT58*1000000000+JA58*1000000+IU58*10000+IO58*100+JG58+2/1000)</x:f>
      </x:c>
      <x:c r="JN58" s="27" t="str">
        <x:f>IF(C58="","",HU58*1000000000+JB58*1000000+IV58*10000+IP58*100+JH58+1/1000)</x:f>
      </x:c>
    </x:row>
    <x:row r="59">
      <x:c r="A59" s="27"/>
      <x:c r="B59" s="28"/>
      <x:c r="C59" s="27"/>
      <x:c r="D59" s="27"/>
      <x:c r="E59" s="27"/>
      <x:c r="F59" s="27"/>
      <x:c r="G59" s="27"/>
      <x:c r="H59" s="27"/>
      <x:c r="I59" s="27"/>
      <x:c r="J59" s="27"/>
      <x:c r="K59" s="27"/>
      <x:c r="L59" s="27"/>
      <x:c r="M59" s="27"/>
      <x:c r="N59" s="27"/>
      <x:c r="O59" s="27"/>
      <x:c r="P59" s="27"/>
      <x:c r="Q59" s="27"/>
      <x:c r="R59" s="27"/>
      <x:c r="S59" s="27"/>
      <x:c r="T59" s="27"/>
      <x:c r="U59" s="27"/>
      <x:c r="V59" s="27"/>
      <x:c r="W59" s="27"/>
      <x:c r="X59" s="27"/>
      <x:c r="Y59" s="27"/>
      <x:c r="Z59" s="27"/>
      <x:c r="AA59" s="27"/>
      <x:c r="AB59" s="27"/>
      <x:c r="AC59" s="27"/>
      <x:c r="AD59" s="27"/>
      <x:c r="AE59" s="27"/>
      <x:c r="AF59" s="27"/>
      <x:c r="AG59" s="27"/>
      <x:c r="AH59" s="27"/>
      <x:c r="AI59" s="27"/>
      <x:c r="AJ59" s="27"/>
      <x:c r="AK59" s="27"/>
      <x:c r="AL59" s="27"/>
      <x:c r="AM59" s="27"/>
      <x:c r="AN59" s="27"/>
      <x:c r="AO59" s="27"/>
      <x:c r="AP59" s="27"/>
      <x:c r="AQ59" s="27"/>
      <x:c r="AR59" s="27"/>
      <x:c r="AS59" s="27"/>
      <x:c r="AT59" s="27"/>
      <x:c r="AU59" s="27"/>
      <x:c r="AV59" s="27"/>
      <x:c r="AW59" s="27"/>
      <x:c r="AX59" s="27"/>
      <x:c r="AY59" s="27"/>
      <x:c r="AZ59" s="27"/>
      <x:c r="BA59" s="27"/>
      <x:c r="BB59" s="27"/>
      <x:c r="BC59" s="27"/>
      <x:c r="BD59" s="27"/>
      <x:c r="BE59" s="27"/>
      <x:c r="BF59" s="27"/>
      <x:c r="BG59" s="27"/>
      <x:c r="BH59" s="27"/>
      <x:c r="BI59" s="27"/>
      <x:c r="BJ59" s="27"/>
      <x:c r="BK59" s="27"/>
      <x:c r="BL59" s="27"/>
      <x:c r="BM59" s="27"/>
      <x:c r="BN59" s="27"/>
      <x:c r="BO59" s="27"/>
      <x:c r="BP59" s="27"/>
      <x:c r="BQ59" s="27"/>
      <x:c r="BR59" s="27"/>
      <x:c r="BS59" s="27"/>
      <x:c r="BT59" s="27"/>
      <x:c r="BU59" s="27"/>
      <x:c r="BV59" s="27"/>
      <x:c r="BW59" s="27"/>
      <x:c r="BX59" s="27"/>
      <x:c r="BY59" s="27"/>
      <x:c r="BZ59" s="27"/>
      <x:c r="CA59" s="27"/>
      <x:c r="CB59" s="27"/>
      <x:c r="CC59" s="27"/>
      <x:c r="CD59" s="27"/>
      <x:c r="CE59" s="27"/>
      <x:c r="CF59" s="27"/>
      <x:c r="CG59" s="27"/>
      <x:c r="CH59" s="27"/>
      <x:c r="CI59" s="27"/>
      <x:c r="CJ59" s="27"/>
      <x:c r="CK59" s="27"/>
      <x:c r="CL59" s="27"/>
      <x:c r="CM59" s="27"/>
      <x:c r="CN59" s="27"/>
      <x:c r="CO59" s="27"/>
      <x:c r="CP59" s="27"/>
      <x:c r="CQ59" s="27"/>
      <x:c r="CR59" s="27"/>
      <x:c r="CS59" s="27"/>
      <x:c r="CT59" s="27"/>
      <x:c r="CU59" s="27"/>
      <x:c r="CV59" s="27"/>
      <x:c r="CW59" s="27"/>
      <x:c r="CX59" s="27"/>
      <x:c r="CY59" s="27"/>
      <x:c r="CZ59" s="27"/>
      <x:c r="DA59" s="27"/>
      <x:c r="DB59" s="27"/>
      <x:c r="DC59" s="27"/>
      <x:c r="DD59" s="27"/>
      <x:c r="DE59" s="27"/>
      <x:c r="DF59" s="27"/>
      <x:c r="DG59" s="27"/>
      <x:c r="DH59" s="27"/>
      <x:c r="DI59" s="27"/>
      <x:c r="DJ59" s="27"/>
      <x:c r="DK59" s="27"/>
      <x:c r="DL59" s="27"/>
      <x:c r="DM59" s="27"/>
      <x:c r="DN59" s="27"/>
      <x:c r="DO59" s="27"/>
      <x:c r="DP59" s="27"/>
      <x:c r="DQ59" s="27"/>
      <x:c r="DR59" s="27"/>
      <x:c r="DS59" s="27"/>
      <x:c r="DT59" s="27"/>
      <x:c r="DU59" s="27"/>
      <x:c r="DV59" s="27"/>
      <x:c r="DW59" s="27"/>
      <x:c r="DX59" s="27"/>
      <x:c r="DY59" s="27"/>
      <x:c r="DZ59" s="27"/>
      <x:c r="EA59" s="27"/>
      <x:c r="EB59" s="27"/>
      <x:c r="EC59" s="27"/>
      <x:c r="ED59" s="27"/>
      <x:c r="EE59" s="27"/>
      <x:c r="EF59" s="27"/>
      <x:c r="EG59" s="27"/>
      <x:c r="EH59" s="27"/>
      <x:c r="EI59" s="27"/>
      <x:c r="EJ59" s="27"/>
      <x:c r="EK59" s="27"/>
      <x:c r="EL59" s="27"/>
      <x:c r="EM59" s="27"/>
      <x:c r="EN59" s="27"/>
      <x:c r="EO59" s="27"/>
      <x:c r="EP59" s="27"/>
      <x:c r="EQ59" s="27"/>
      <x:c r="ER59" s="27"/>
      <x:c r="ES59" s="27"/>
      <x:c r="ET59" s="27"/>
      <x:c r="EU59" s="27"/>
      <x:c r="EV59" s="27"/>
      <x:c r="EW59" s="27"/>
      <x:c r="EX59" s="27"/>
      <x:c r="EY59" s="27"/>
      <x:c r="EZ59" s="27"/>
      <x:c r="FA59" s="27"/>
      <x:c r="FB59" s="27"/>
      <x:c r="FC59" s="27"/>
      <x:c r="FD59" s="27"/>
      <x:c r="FE59" s="27"/>
      <x:c r="FF59" s="27"/>
      <x:c r="FG59" s="27"/>
      <x:c r="FH59" s="27"/>
      <x:c r="FI59" s="27"/>
      <x:c r="FJ59" s="27"/>
      <x:c r="FK59" s="27"/>
      <x:c r="FL59" s="27"/>
      <x:c r="FM59" s="27"/>
      <x:c r="FN59" s="27"/>
      <x:c r="FO59" s="27"/>
      <x:c r="FP59" s="27"/>
      <x:c r="FQ59" s="27"/>
      <x:c r="FR59" s="27"/>
      <x:c r="FS59" s="27"/>
      <x:c r="FT59" s="27"/>
      <x:c r="FU59" s="27"/>
      <x:c r="FV59" s="27"/>
      <x:c r="FW59" s="27"/>
      <x:c r="FX59" s="27"/>
      <x:c r="FY59" s="27"/>
      <x:c r="FZ59" s="27"/>
      <x:c r="GA59" s="27"/>
      <x:c r="GB59" s="27"/>
      <x:c r="GC59" s="27"/>
      <x:c r="GD59" s="27"/>
      <x:c r="GE59" s="27"/>
      <x:c r="GF59" s="27"/>
      <x:c r="GG59" s="27"/>
      <x:c r="GH59" s="27"/>
      <x:c r="GI59" s="27"/>
      <x:c r="GJ59" s="27"/>
      <x:c r="GK59" s="27"/>
      <x:c r="GL59" s="27"/>
      <x:c r="GM59" s="27"/>
      <x:c r="GN59" s="27"/>
      <x:c r="GO59" s="27"/>
      <x:c r="GP59" s="27"/>
      <x:c r="GQ59" s="27"/>
      <x:c r="GR59" s="27"/>
      <x:c r="GS59" s="27"/>
      <x:c r="GT59" s="27"/>
      <x:c r="GU59" s="27"/>
      <x:c r="GV59" s="27"/>
      <x:c r="GW59" s="27"/>
      <x:c r="GX59" s="27"/>
      <x:c r="GY59" s="27"/>
      <x:c r="GZ59" s="27"/>
      <x:c r="HA59" s="27"/>
      <x:c r="HB59" s="27"/>
      <x:c r="HC59" s="27"/>
      <x:c r="HD59" s="27"/>
      <x:c r="HE59" s="27"/>
      <x:c r="HF59" s="27"/>
      <x:c r="HG59" s="27"/>
      <x:c r="HH59" s="27"/>
      <x:c r="HI59" s="27"/>
      <x:c r="HJ59" s="27"/>
      <x:c r="HK59" s="27"/>
      <x:c r="HL59" s="27"/>
      <x:c r="HM59" s="27"/>
      <x:c r="HN59" s="27"/>
      <x:c r="HO59" s="27"/>
      <x:c r="HP59" s="27" t="str">
        <x:f>IF(C59="","",SUM(H59,N59,T59,Z59,AF59,AL59,AR59,AX59,BD59,BJ59,BP59,BV59,CB59,CH59,CN59,CT59,CZ59,DF59,DL59,DR59,DX59,ED59,EJ59,EP59,EV59,FB59,FH59,FN59,FT59,FZ59,GF59,GL59,GR59,GX59,HD59,HJ59))</x:f>
      </x:c>
      <x:c r="HQ59" s="27" t="str">
        <x:f>IF(C59="","",SUM(I59,O59,U59,AA59,AG59,AM59,AS59,AY59,BE59,BK59,BQ59,BW59,CC59,CI59,CO59,CU59,DA59,DG59,DM59,DS59,DY59,EE59,EK59,EQ59,EW59,FC59,FI59,FO59,FU59,GA59,GG59,GM59,GS59,GY59,HE59,HK59))</x:f>
      </x:c>
      <x:c r="HR59" s="27" t="str">
        <x:f>IF(C59="","",SUM(J59,P59,V59,AB59,AH59,AN59,AT59,AZ59,BF59,BL59,BR59,BX59,CD59,CJ59,CP59,CV59,DB59,DH59,DN59,DT59,DZ59,EF59,EL59,ER59,EX59,FD59,FJ59,FP59,FV59,GB59,GH59,GN59,GT59,GZ59,HF59,HL59))</x:f>
      </x:c>
      <x:c r="HS59" s="27" t="str">
        <x:f>IF(C59="","",SUM(K59,Q59,W59,AC59,AI59,AO59,AU59,BA59,BG59,BM59,BS59,BY59,CE59,CK59,CQ59,CW59,DC59,DI59,DO59,DU59,EA59,EG59,EM59,ES59,EY59,FE59,FK59,FQ59,FW59,GC59,GI59,GO59,GU59,HA59,HG59,HM59))</x:f>
      </x:c>
      <x:c r="HT59" s="27" t="str">
        <x:f>IF(C59="","",SUM(L59,R59,X59,AD59,AJ59,AP59,AV59,BB59,BH59,BN59,BT59,BZ59,CF59,CL59,CR59,CX59,DD59,DJ59,DP59,DV59,EB59,EH59,EN59,ET59,EZ59,FF59,FL59,FR59,FX59,GD59,GJ59,GP59,GV59,HB59,HH59,HN59))</x:f>
      </x:c>
      <x:c r="HU59" s="27" t="str">
        <x:f>IF(C59="","",SUM(M59,S59,Y59,AE59,AK59,AQ59,AW59,BC59,BI59,BO59,BU59,CA59,CG59,CM59,CS59,CY59,DE59,DK59,DQ59,DW59,EC59,EI59,EO59,EU59,FA59,FG59,FM59,FS59,FY59,GE59,GK59,GQ59,GW59,HC59,HI59,HO59))</x:f>
      </x:c>
      <x:c r="HV59" s="27" t="str">
        <x:f>IF(C59="","",IF(JI59=LARGE(JI59:JN59,1),"R",IF(JJ59=LARGE(JI59:JN59,1),"I",IF(JK59=LARGE(JI59:JN59,1),"A",IF(JL59=LARGE(JI59:JN59,1),"S",IF(JM59=LARGE(JI59:JN59,1),"E",IF(JN59=LARGE(JI59:JN59,1),"C",""))))))&amp;IF(JI59=LARGE(JI59:JN59,2),"R",IF(JJ59=LARGE(JI59:JN59,2),"I",IF(JK59=LARGE(JI59:JN59,2),"A",IF(JL59=LARGE(JI59:JN59,2),"S",IF(JM59=LARGE(JI59:JN59,2),"E",IF(JN59=LARGE(JI59:JN59,2),"C",""))))))&amp;IF(JI59=LARGE(JI59:JN59,3),"R",IF(JJ59=LARGE(JI59:JN59,3),"I",IF(JK59=LARGE(JI59:JN59,3),"A",IF(JL59=LARGE(JI59:JN59,3),"S",IF(JM59=LARGE(JI59:JN59,3),"E",IF(JN59=LARGE(JI59:JN59,3),"C","")))))))</x:f>
      </x:c>
      <x:c r="HW59" s="27" t="str">
        <x:f>IF(C59="","",IF(JI59=LARGE(JI59:JN59,1),"นักปฏิบัติ",IF(JJ59=LARGE(JI59:JN59,1),"นักคิดวิเคราะห์",IF(JK59=LARGE(JI59:JN59,1),"นักสร้างสรรค์",IF(JL59=LARGE(JI59:JN59,1),"ผู้เข้าใจผู้คน",IF(JM59=LARGE(JI59:JN59,1),"ผู้นำการเปลี่ยนแปลง",IF(JN59=LARGE(JI59:JN59,1),"ผู้จัดระบบ","ผู้จัดระบบ")))))))</x:f>
      </x:c>
      <x:c r="HX59" s="27"/>
      <x:c r="HY59" s="27"/>
      <x:c r="HZ59" s="27"/>
      <x:c r="IA59" s="27"/>
      <x:c r="IB59" s="27"/>
      <x:c r="IC59" s="27"/>
      <x:c r="ID59" s="27"/>
      <x:c r="IE59" s="27"/>
      <x:c r="IF59" s="27"/>
      <x:c r="IG59" s="27"/>
      <x:c r="IH59" s="27"/>
      <x:c r="II59" s="27"/>
      <x:c r="IJ59" s="27"/>
      <x:c r="IK59" s="27" t="str">
        <x:f>IF(C59="","",SUM(H59,N59,T59,Z59,AF59,AL59,AR59,AX59,BD59,BJ59,BP59))</x:f>
      </x:c>
      <x:c r="IL59" s="27" t="str">
        <x:f>IF(C59="","",SUM(I59,O59,U59,AA59,AG59,AM59,AS59,AY59,BE59,BK59,BQ59))</x:f>
      </x:c>
      <x:c r="IM59" s="27" t="str">
        <x:f>IF(C59="","",SUM(J59,P59,V59,AB59,AH59,AN59,AT59,AZ59,BF59,BL59,BR59))</x:f>
      </x:c>
      <x:c r="IN59" s="27" t="str">
        <x:f>IF(C59="","",SUM(K59,Q59,W59,AC59,AI59,AO59,AU59,BA59,BG59,BM59,BS59))</x:f>
      </x:c>
      <x:c r="IO59" s="27" t="str">
        <x:f>IF(C59="","",SUM(L59,R59,X59,AD59,AJ59,AP59,AV59,BB59,BH59,BN59,BT59))</x:f>
      </x:c>
      <x:c r="IP59" s="27" t="str">
        <x:f>IF(C59="","",SUM(M59,S59,Y59,AE59,AK59,AQ59,AW59,BC59,BI59,BO59,BU59))</x:f>
      </x:c>
      <x:c r="IQ59" s="27" t="str">
        <x:f>IF(C59="","",SUM(BV59,CB59,CH59,CN59,CT59,CZ59,DF59,DL59,DR59,DX59,ED59))</x:f>
      </x:c>
      <x:c r="IR59" s="27" t="str">
        <x:f>IF(C59="","",SUM(BW59,CC59,CI59,CO59,CU59,DA59,DG59,DM59,DS59,DY59,EE59))</x:f>
      </x:c>
      <x:c r="IS59" s="27" t="str">
        <x:f>IF(C59="","",SUM(BX59,CD59,CJ59,CP59,CV59,DB59,DH59,DN59,DT59,DZ59,EF59))</x:f>
      </x:c>
      <x:c r="IT59" s="27" t="str">
        <x:f>IF(C59="","",SUM(BY59,CE59,CK59,CQ59,CW59,DC59,DI59,DO59,DU59,EA59,EG59))</x:f>
      </x:c>
      <x:c r="IU59" s="27" t="str">
        <x:f>IF(C59="","",SUM(BZ59,CF59,CL59,CR59,CX59,DD59,DJ59,DP59,DV59,EB59,EH59))</x:f>
      </x:c>
      <x:c r="IV59" s="27" t="str">
        <x:f>IF(C59="","",SUM(CA59,CG59,CM59,CS59,CY59,DE59,DK59,DQ59,DW59,EC59,EI59))</x:f>
      </x:c>
      <x:c r="IW59" s="27" t="str">
        <x:f>IF(C59="","",SUM(EJ59,EP59,EV59,FB59,FH59,FN59,FT59,FZ59,GF59,GL59,GR59,GX59,HD59,HJ59))</x:f>
      </x:c>
      <x:c r="IX59" s="27" t="str">
        <x:f>IF(C59="","",SUM(EK59,EQ59,EW59,FC59,FI59,FO59,FU59,GA59,GG59,GM59,GS59,GY59,HE59,HK59))</x:f>
      </x:c>
      <x:c r="IY59" s="27" t="str">
        <x:f>IF(C59="","",SUM(EL59,ER59,EX59,FD59,FJ59,FP59,FV59,GB59,GH59,GN59,GT59,GZ59,HF59,HL59))</x:f>
      </x:c>
      <x:c r="IZ59" s="27" t="str">
        <x:f>IF(C59="","",SUM(EM59,ES59,EY59,FE59,FK59,FQ59,FW59,GC59,GI59,GO59,GU59,HA59,HG59,HM59))</x:f>
      </x:c>
      <x:c r="JA59" s="27" t="str">
        <x:f>IF(C59="","",SUM(EN59,ET59,EZ59,FF59,FL59,FR59,FX59,GD59,GJ59,GP59,GV59,HB59,HH59,HN59))</x:f>
      </x:c>
      <x:c r="JB59" s="27" t="str">
        <x:f>IF(C59="","",SUM(EO59,EU59,FA59,FG59,FM59,FS59,FY59,GE59,GK59,GQ59,GW59,HC59,HI59,HO59))</x:f>
      </x:c>
      <x:c r="JC59" s="27" t="str">
        <x:f>IF(C59="","",0)</x:f>
      </x:c>
      <x:c r="JD59" s="27" t="str">
        <x:f>IF(C59="","",0)</x:f>
      </x:c>
      <x:c r="JE59" s="27" t="str">
        <x:f>IF(C59="","",0)</x:f>
      </x:c>
      <x:c r="JF59" s="27" t="str">
        <x:f>IF(C59="","",0)</x:f>
      </x:c>
      <x:c r="JG59" s="27" t="str">
        <x:f>IF(C59="","",0)</x:f>
      </x:c>
      <x:c r="JH59" s="27" t="str">
        <x:f>IF(C59="","",0)</x:f>
      </x:c>
      <x:c r="JI59" s="27" t="str">
        <x:f>IF(C59="","",HP59*1000000000+IW59*1000000+IQ59*10000+IK59*100+JC59+6/1000)</x:f>
      </x:c>
      <x:c r="JJ59" s="27" t="str">
        <x:f>IF(C59="","",HQ59*1000000000+IX59*1000000+IR59*10000+IL59*100+JD59+5/1000)</x:f>
      </x:c>
      <x:c r="JK59" s="27" t="str">
        <x:f>IF(C59="","",HR59*1000000000+IY59*1000000+IS59*10000+IM59*100+JE59+4/1000)</x:f>
      </x:c>
      <x:c r="JL59" s="27" t="str">
        <x:f>IF(C59="","",HS59*1000000000+IZ59*1000000+IT59*10000+IN59*100+JF59+3/1000)</x:f>
      </x:c>
      <x:c r="JM59" s="27" t="str">
        <x:f>IF(C59="","",HT59*1000000000+JA59*1000000+IU59*10000+IO59*100+JG59+2/1000)</x:f>
      </x:c>
      <x:c r="JN59" s="27" t="str">
        <x:f>IF(C59="","",HU59*1000000000+JB59*1000000+IV59*10000+IP59*100+JH59+1/1000)</x:f>
      </x:c>
    </x:row>
    <x:row r="60">
      <x:c r="A60" s="27"/>
      <x:c r="B60" s="28"/>
      <x:c r="C60" s="27"/>
      <x:c r="D60" s="27"/>
      <x:c r="E60" s="27"/>
      <x:c r="F60" s="27"/>
      <x:c r="G60" s="27"/>
      <x:c r="H60" s="27"/>
      <x:c r="I60" s="27"/>
      <x:c r="J60" s="27"/>
      <x:c r="K60" s="27"/>
      <x:c r="L60" s="27"/>
      <x:c r="M60" s="27"/>
      <x:c r="N60" s="27"/>
      <x:c r="O60" s="27"/>
      <x:c r="P60" s="27"/>
      <x:c r="Q60" s="27"/>
      <x:c r="R60" s="27"/>
      <x:c r="S60" s="27"/>
      <x:c r="T60" s="27"/>
      <x:c r="U60" s="27"/>
      <x:c r="V60" s="27"/>
      <x:c r="W60" s="27"/>
      <x:c r="X60" s="27"/>
      <x:c r="Y60" s="27"/>
      <x:c r="Z60" s="27"/>
      <x:c r="AA60" s="27"/>
      <x:c r="AB60" s="27"/>
      <x:c r="AC60" s="27"/>
      <x:c r="AD60" s="27"/>
      <x:c r="AE60" s="27"/>
      <x:c r="AF60" s="27"/>
      <x:c r="AG60" s="27"/>
      <x:c r="AH60" s="27"/>
      <x:c r="AI60" s="27"/>
      <x:c r="AJ60" s="27"/>
      <x:c r="AK60" s="27"/>
      <x:c r="AL60" s="27"/>
      <x:c r="AM60" s="27"/>
      <x:c r="AN60" s="27"/>
      <x:c r="AO60" s="27"/>
      <x:c r="AP60" s="27"/>
      <x:c r="AQ60" s="27"/>
      <x:c r="AR60" s="27"/>
      <x:c r="AS60" s="27"/>
      <x:c r="AT60" s="27"/>
      <x:c r="AU60" s="27"/>
      <x:c r="AV60" s="27"/>
      <x:c r="AW60" s="27"/>
      <x:c r="AX60" s="27"/>
      <x:c r="AY60" s="27"/>
      <x:c r="AZ60" s="27"/>
      <x:c r="BA60" s="27"/>
      <x:c r="BB60" s="27"/>
      <x:c r="BC60" s="27"/>
      <x:c r="BD60" s="27"/>
      <x:c r="BE60" s="27"/>
      <x:c r="BF60" s="27"/>
      <x:c r="BG60" s="27"/>
      <x:c r="BH60" s="27"/>
      <x:c r="BI60" s="27"/>
      <x:c r="BJ60" s="27"/>
      <x:c r="BK60" s="27"/>
      <x:c r="BL60" s="27"/>
      <x:c r="BM60" s="27"/>
      <x:c r="BN60" s="27"/>
      <x:c r="BO60" s="27"/>
      <x:c r="BP60" s="27"/>
      <x:c r="BQ60" s="27"/>
      <x:c r="BR60" s="27"/>
      <x:c r="BS60" s="27"/>
      <x:c r="BT60" s="27"/>
      <x:c r="BU60" s="27"/>
      <x:c r="BV60" s="27"/>
      <x:c r="BW60" s="27"/>
      <x:c r="BX60" s="27"/>
      <x:c r="BY60" s="27"/>
      <x:c r="BZ60" s="27"/>
      <x:c r="CA60" s="27"/>
      <x:c r="CB60" s="27"/>
      <x:c r="CC60" s="27"/>
      <x:c r="CD60" s="27"/>
      <x:c r="CE60" s="27"/>
      <x:c r="CF60" s="27"/>
      <x:c r="CG60" s="27"/>
      <x:c r="CH60" s="27"/>
      <x:c r="CI60" s="27"/>
      <x:c r="CJ60" s="27"/>
      <x:c r="CK60" s="27"/>
      <x:c r="CL60" s="27"/>
      <x:c r="CM60" s="27"/>
      <x:c r="CN60" s="27"/>
      <x:c r="CO60" s="27"/>
      <x:c r="CP60" s="27"/>
      <x:c r="CQ60" s="27"/>
      <x:c r="CR60" s="27"/>
      <x:c r="CS60" s="27"/>
      <x:c r="CT60" s="27"/>
      <x:c r="CU60" s="27"/>
      <x:c r="CV60" s="27"/>
      <x:c r="CW60" s="27"/>
      <x:c r="CX60" s="27"/>
      <x:c r="CY60" s="27"/>
      <x:c r="CZ60" s="27"/>
      <x:c r="DA60" s="27"/>
      <x:c r="DB60" s="27"/>
      <x:c r="DC60" s="27"/>
      <x:c r="DD60" s="27"/>
      <x:c r="DE60" s="27"/>
      <x:c r="DF60" s="27"/>
      <x:c r="DG60" s="27"/>
      <x:c r="DH60" s="27"/>
      <x:c r="DI60" s="27"/>
      <x:c r="DJ60" s="27"/>
      <x:c r="DK60" s="27"/>
      <x:c r="DL60" s="27"/>
      <x:c r="DM60" s="27"/>
      <x:c r="DN60" s="27"/>
      <x:c r="DO60" s="27"/>
      <x:c r="DP60" s="27"/>
      <x:c r="DQ60" s="27"/>
      <x:c r="DR60" s="27"/>
      <x:c r="DS60" s="27"/>
      <x:c r="DT60" s="27"/>
      <x:c r="DU60" s="27"/>
      <x:c r="DV60" s="27"/>
      <x:c r="DW60" s="27"/>
      <x:c r="DX60" s="27"/>
      <x:c r="DY60" s="27"/>
      <x:c r="DZ60" s="27"/>
      <x:c r="EA60" s="27"/>
      <x:c r="EB60" s="27"/>
      <x:c r="EC60" s="27"/>
      <x:c r="ED60" s="27"/>
      <x:c r="EE60" s="27"/>
      <x:c r="EF60" s="27"/>
      <x:c r="EG60" s="27"/>
      <x:c r="EH60" s="27"/>
      <x:c r="EI60" s="27"/>
      <x:c r="EJ60" s="27"/>
      <x:c r="EK60" s="27"/>
      <x:c r="EL60" s="27"/>
      <x:c r="EM60" s="27"/>
      <x:c r="EN60" s="27"/>
      <x:c r="EO60" s="27"/>
      <x:c r="EP60" s="27"/>
      <x:c r="EQ60" s="27"/>
      <x:c r="ER60" s="27"/>
      <x:c r="ES60" s="27"/>
      <x:c r="ET60" s="27"/>
      <x:c r="EU60" s="27"/>
      <x:c r="EV60" s="27"/>
      <x:c r="EW60" s="27"/>
      <x:c r="EX60" s="27"/>
      <x:c r="EY60" s="27"/>
      <x:c r="EZ60" s="27"/>
      <x:c r="FA60" s="27"/>
      <x:c r="FB60" s="27"/>
      <x:c r="FC60" s="27"/>
      <x:c r="FD60" s="27"/>
      <x:c r="FE60" s="27"/>
      <x:c r="FF60" s="27"/>
      <x:c r="FG60" s="27"/>
      <x:c r="FH60" s="27"/>
      <x:c r="FI60" s="27"/>
      <x:c r="FJ60" s="27"/>
      <x:c r="FK60" s="27"/>
      <x:c r="FL60" s="27"/>
      <x:c r="FM60" s="27"/>
      <x:c r="FN60" s="27"/>
      <x:c r="FO60" s="27"/>
      <x:c r="FP60" s="27"/>
      <x:c r="FQ60" s="27"/>
      <x:c r="FR60" s="27"/>
      <x:c r="FS60" s="27"/>
      <x:c r="FT60" s="27"/>
      <x:c r="FU60" s="27"/>
      <x:c r="FV60" s="27"/>
      <x:c r="FW60" s="27"/>
      <x:c r="FX60" s="27"/>
      <x:c r="FY60" s="27"/>
      <x:c r="FZ60" s="27"/>
      <x:c r="GA60" s="27"/>
      <x:c r="GB60" s="27"/>
      <x:c r="GC60" s="27"/>
      <x:c r="GD60" s="27"/>
      <x:c r="GE60" s="27"/>
      <x:c r="GF60" s="27"/>
      <x:c r="GG60" s="27"/>
      <x:c r="GH60" s="27"/>
      <x:c r="GI60" s="27"/>
      <x:c r="GJ60" s="27"/>
      <x:c r="GK60" s="27"/>
      <x:c r="GL60" s="27"/>
      <x:c r="GM60" s="27"/>
      <x:c r="GN60" s="27"/>
      <x:c r="GO60" s="27"/>
      <x:c r="GP60" s="27"/>
      <x:c r="GQ60" s="27"/>
      <x:c r="GR60" s="27"/>
      <x:c r="GS60" s="27"/>
      <x:c r="GT60" s="27"/>
      <x:c r="GU60" s="27"/>
      <x:c r="GV60" s="27"/>
      <x:c r="GW60" s="27"/>
      <x:c r="GX60" s="27"/>
      <x:c r="GY60" s="27"/>
      <x:c r="GZ60" s="27"/>
      <x:c r="HA60" s="27"/>
      <x:c r="HB60" s="27"/>
      <x:c r="HC60" s="27"/>
      <x:c r="HD60" s="27"/>
      <x:c r="HE60" s="27"/>
      <x:c r="HF60" s="27"/>
      <x:c r="HG60" s="27"/>
      <x:c r="HH60" s="27"/>
      <x:c r="HI60" s="27"/>
      <x:c r="HJ60" s="27"/>
      <x:c r="HK60" s="27"/>
      <x:c r="HL60" s="27"/>
      <x:c r="HM60" s="27"/>
      <x:c r="HN60" s="27"/>
      <x:c r="HO60" s="27"/>
      <x:c r="HP60" s="27" t="str">
        <x:f>IF(C60="","",SUM(H60,N60,T60,Z60,AF60,AL60,AR60,AX60,BD60,BJ60,BP60,BV60,CB60,CH60,CN60,CT60,CZ60,DF60,DL60,DR60,DX60,ED60,EJ60,EP60,EV60,FB60,FH60,FN60,FT60,FZ60,GF60,GL60,GR60,GX60,HD60,HJ60))</x:f>
      </x:c>
      <x:c r="HQ60" s="27" t="str">
        <x:f>IF(C60="","",SUM(I60,O60,U60,AA60,AG60,AM60,AS60,AY60,BE60,BK60,BQ60,BW60,CC60,CI60,CO60,CU60,DA60,DG60,DM60,DS60,DY60,EE60,EK60,EQ60,EW60,FC60,FI60,FO60,FU60,GA60,GG60,GM60,GS60,GY60,HE60,HK60))</x:f>
      </x:c>
      <x:c r="HR60" s="27" t="str">
        <x:f>IF(C60="","",SUM(J60,P60,V60,AB60,AH60,AN60,AT60,AZ60,BF60,BL60,BR60,BX60,CD60,CJ60,CP60,CV60,DB60,DH60,DN60,DT60,DZ60,EF60,EL60,ER60,EX60,FD60,FJ60,FP60,FV60,GB60,GH60,GN60,GT60,GZ60,HF60,HL60))</x:f>
      </x:c>
      <x:c r="HS60" s="27" t="str">
        <x:f>IF(C60="","",SUM(K60,Q60,W60,AC60,AI60,AO60,AU60,BA60,BG60,BM60,BS60,BY60,CE60,CK60,CQ60,CW60,DC60,DI60,DO60,DU60,EA60,EG60,EM60,ES60,EY60,FE60,FK60,FQ60,FW60,GC60,GI60,GO60,GU60,HA60,HG60,HM60))</x:f>
      </x:c>
      <x:c r="HT60" s="27" t="str">
        <x:f>IF(C60="","",SUM(L60,R60,X60,AD60,AJ60,AP60,AV60,BB60,BH60,BN60,BT60,BZ60,CF60,CL60,CR60,CX60,DD60,DJ60,DP60,DV60,EB60,EH60,EN60,ET60,EZ60,FF60,FL60,FR60,FX60,GD60,GJ60,GP60,GV60,HB60,HH60,HN60))</x:f>
      </x:c>
      <x:c r="HU60" s="27" t="str">
        <x:f>IF(C60="","",SUM(M60,S60,Y60,AE60,AK60,AQ60,AW60,BC60,BI60,BO60,BU60,CA60,CG60,CM60,CS60,CY60,DE60,DK60,DQ60,DW60,EC60,EI60,EO60,EU60,FA60,FG60,FM60,FS60,FY60,GE60,GK60,GQ60,GW60,HC60,HI60,HO60))</x:f>
      </x:c>
      <x:c r="HV60" s="27" t="str">
        <x:f>IF(C60="","",IF(JI60=LARGE(JI60:JN60,1),"R",IF(JJ60=LARGE(JI60:JN60,1),"I",IF(JK60=LARGE(JI60:JN60,1),"A",IF(JL60=LARGE(JI60:JN60,1),"S",IF(JM60=LARGE(JI60:JN60,1),"E",IF(JN60=LARGE(JI60:JN60,1),"C",""))))))&amp;IF(JI60=LARGE(JI60:JN60,2),"R",IF(JJ60=LARGE(JI60:JN60,2),"I",IF(JK60=LARGE(JI60:JN60,2),"A",IF(JL60=LARGE(JI60:JN60,2),"S",IF(JM60=LARGE(JI60:JN60,2),"E",IF(JN60=LARGE(JI60:JN60,2),"C",""))))))&amp;IF(JI60=LARGE(JI60:JN60,3),"R",IF(JJ60=LARGE(JI60:JN60,3),"I",IF(JK60=LARGE(JI60:JN60,3),"A",IF(JL60=LARGE(JI60:JN60,3),"S",IF(JM60=LARGE(JI60:JN60,3),"E",IF(JN60=LARGE(JI60:JN60,3),"C","")))))))</x:f>
      </x:c>
      <x:c r="HW60" s="27" t="str">
        <x:f>IF(C60="","",IF(JI60=LARGE(JI60:JN60,1),"นักปฏิบัติ",IF(JJ60=LARGE(JI60:JN60,1),"นักคิดวิเคราะห์",IF(JK60=LARGE(JI60:JN60,1),"นักสร้างสรรค์",IF(JL60=LARGE(JI60:JN60,1),"ผู้เข้าใจผู้คน",IF(JM60=LARGE(JI60:JN60,1),"ผู้นำการเปลี่ยนแปลง",IF(JN60=LARGE(JI60:JN60,1),"ผู้จัดระบบ","ผู้จัดระบบ")))))))</x:f>
      </x:c>
      <x:c r="HX60" s="27"/>
      <x:c r="HY60" s="27"/>
      <x:c r="HZ60" s="27"/>
      <x:c r="IA60" s="27"/>
      <x:c r="IB60" s="27"/>
      <x:c r="IC60" s="27"/>
      <x:c r="ID60" s="27"/>
      <x:c r="IE60" s="27"/>
      <x:c r="IF60" s="27"/>
      <x:c r="IG60" s="27"/>
      <x:c r="IH60" s="27"/>
      <x:c r="II60" s="27"/>
      <x:c r="IJ60" s="27"/>
      <x:c r="IK60" s="27" t="str">
        <x:f>IF(C60="","",SUM(H60,N60,T60,Z60,AF60,AL60,AR60,AX60,BD60,BJ60,BP60))</x:f>
      </x:c>
      <x:c r="IL60" s="27" t="str">
        <x:f>IF(C60="","",SUM(I60,O60,U60,AA60,AG60,AM60,AS60,AY60,BE60,BK60,BQ60))</x:f>
      </x:c>
      <x:c r="IM60" s="27" t="str">
        <x:f>IF(C60="","",SUM(J60,P60,V60,AB60,AH60,AN60,AT60,AZ60,BF60,BL60,BR60))</x:f>
      </x:c>
      <x:c r="IN60" s="27" t="str">
        <x:f>IF(C60="","",SUM(K60,Q60,W60,AC60,AI60,AO60,AU60,BA60,BG60,BM60,BS60))</x:f>
      </x:c>
      <x:c r="IO60" s="27" t="str">
        <x:f>IF(C60="","",SUM(L60,R60,X60,AD60,AJ60,AP60,AV60,BB60,BH60,BN60,BT60))</x:f>
      </x:c>
      <x:c r="IP60" s="27" t="str">
        <x:f>IF(C60="","",SUM(M60,S60,Y60,AE60,AK60,AQ60,AW60,BC60,BI60,BO60,BU60))</x:f>
      </x:c>
      <x:c r="IQ60" s="27" t="str">
        <x:f>IF(C60="","",SUM(BV60,CB60,CH60,CN60,CT60,CZ60,DF60,DL60,DR60,DX60,ED60))</x:f>
      </x:c>
      <x:c r="IR60" s="27" t="str">
        <x:f>IF(C60="","",SUM(BW60,CC60,CI60,CO60,CU60,DA60,DG60,DM60,DS60,DY60,EE60))</x:f>
      </x:c>
      <x:c r="IS60" s="27" t="str">
        <x:f>IF(C60="","",SUM(BX60,CD60,CJ60,CP60,CV60,DB60,DH60,DN60,DT60,DZ60,EF60))</x:f>
      </x:c>
      <x:c r="IT60" s="27" t="str">
        <x:f>IF(C60="","",SUM(BY60,CE60,CK60,CQ60,CW60,DC60,DI60,DO60,DU60,EA60,EG60))</x:f>
      </x:c>
      <x:c r="IU60" s="27" t="str">
        <x:f>IF(C60="","",SUM(BZ60,CF60,CL60,CR60,CX60,DD60,DJ60,DP60,DV60,EB60,EH60))</x:f>
      </x:c>
      <x:c r="IV60" s="27" t="str">
        <x:f>IF(C60="","",SUM(CA60,CG60,CM60,CS60,CY60,DE60,DK60,DQ60,DW60,EC60,EI60))</x:f>
      </x:c>
      <x:c r="IW60" s="27" t="str">
        <x:f>IF(C60="","",SUM(EJ60,EP60,EV60,FB60,FH60,FN60,FT60,FZ60,GF60,GL60,GR60,GX60,HD60,HJ60))</x:f>
      </x:c>
      <x:c r="IX60" s="27" t="str">
        <x:f>IF(C60="","",SUM(EK60,EQ60,EW60,FC60,FI60,FO60,FU60,GA60,GG60,GM60,GS60,GY60,HE60,HK60))</x:f>
      </x:c>
      <x:c r="IY60" s="27" t="str">
        <x:f>IF(C60="","",SUM(EL60,ER60,EX60,FD60,FJ60,FP60,FV60,GB60,GH60,GN60,GT60,GZ60,HF60,HL60))</x:f>
      </x:c>
      <x:c r="IZ60" s="27" t="str">
        <x:f>IF(C60="","",SUM(EM60,ES60,EY60,FE60,FK60,FQ60,FW60,GC60,GI60,GO60,GU60,HA60,HG60,HM60))</x:f>
      </x:c>
      <x:c r="JA60" s="27" t="str">
        <x:f>IF(C60="","",SUM(EN60,ET60,EZ60,FF60,FL60,FR60,FX60,GD60,GJ60,GP60,GV60,HB60,HH60,HN60))</x:f>
      </x:c>
      <x:c r="JB60" s="27" t="str">
        <x:f>IF(C60="","",SUM(EO60,EU60,FA60,FG60,FM60,FS60,FY60,GE60,GK60,GQ60,GW60,HC60,HI60,HO60))</x:f>
      </x:c>
      <x:c r="JC60" s="27" t="str">
        <x:f>IF(C60="","",0)</x:f>
      </x:c>
      <x:c r="JD60" s="27" t="str">
        <x:f>IF(C60="","",0)</x:f>
      </x:c>
      <x:c r="JE60" s="27" t="str">
        <x:f>IF(C60="","",0)</x:f>
      </x:c>
      <x:c r="JF60" s="27" t="str">
        <x:f>IF(C60="","",0)</x:f>
      </x:c>
      <x:c r="JG60" s="27" t="str">
        <x:f>IF(C60="","",0)</x:f>
      </x:c>
      <x:c r="JH60" s="27" t="str">
        <x:f>IF(C60="","",0)</x:f>
      </x:c>
      <x:c r="JI60" s="27" t="str">
        <x:f>IF(C60="","",HP60*1000000000+IW60*1000000+IQ60*10000+IK60*100+JC60+6/1000)</x:f>
      </x:c>
      <x:c r="JJ60" s="27" t="str">
        <x:f>IF(C60="","",HQ60*1000000000+IX60*1000000+IR60*10000+IL60*100+JD60+5/1000)</x:f>
      </x:c>
      <x:c r="JK60" s="27" t="str">
        <x:f>IF(C60="","",HR60*1000000000+IY60*1000000+IS60*10000+IM60*100+JE60+4/1000)</x:f>
      </x:c>
      <x:c r="JL60" s="27" t="str">
        <x:f>IF(C60="","",HS60*1000000000+IZ60*1000000+IT60*10000+IN60*100+JF60+3/1000)</x:f>
      </x:c>
      <x:c r="JM60" s="27" t="str">
        <x:f>IF(C60="","",HT60*1000000000+JA60*1000000+IU60*10000+IO60*100+JG60+2/1000)</x:f>
      </x:c>
      <x:c r="JN60" s="27" t="str">
        <x:f>IF(C60="","",HU60*1000000000+JB60*1000000+IV60*10000+IP60*100+JH60+1/1000)</x:f>
      </x:c>
    </x:row>
    <x:row r="61">
      <x:c r="A61" s="27"/>
      <x:c r="B61" s="28"/>
      <x:c r="C61" s="27"/>
      <x:c r="D61" s="27"/>
      <x:c r="E61" s="27"/>
      <x:c r="F61" s="27"/>
      <x:c r="G61" s="27"/>
      <x:c r="H61" s="27"/>
      <x:c r="I61" s="27"/>
      <x:c r="J61" s="27"/>
      <x:c r="K61" s="27"/>
      <x:c r="L61" s="27"/>
      <x:c r="M61" s="27"/>
      <x:c r="N61" s="27"/>
      <x:c r="O61" s="27"/>
      <x:c r="P61" s="27"/>
      <x:c r="Q61" s="27"/>
      <x:c r="R61" s="27"/>
      <x:c r="S61" s="27"/>
      <x:c r="T61" s="27"/>
      <x:c r="U61" s="27"/>
      <x:c r="V61" s="27"/>
      <x:c r="W61" s="27"/>
      <x:c r="X61" s="27"/>
      <x:c r="Y61" s="27"/>
      <x:c r="Z61" s="27"/>
      <x:c r="AA61" s="27"/>
      <x:c r="AB61" s="27"/>
      <x:c r="AC61" s="27"/>
      <x:c r="AD61" s="27"/>
      <x:c r="AE61" s="27"/>
      <x:c r="AF61" s="27"/>
      <x:c r="AG61" s="27"/>
      <x:c r="AH61" s="27"/>
      <x:c r="AI61" s="27"/>
      <x:c r="AJ61" s="27"/>
      <x:c r="AK61" s="27"/>
      <x:c r="AL61" s="27"/>
      <x:c r="AM61" s="27"/>
      <x:c r="AN61" s="27"/>
      <x:c r="AO61" s="27"/>
      <x:c r="AP61" s="27"/>
      <x:c r="AQ61" s="27"/>
      <x:c r="AR61" s="27"/>
      <x:c r="AS61" s="27"/>
      <x:c r="AT61" s="27"/>
      <x:c r="AU61" s="27"/>
      <x:c r="AV61" s="27"/>
      <x:c r="AW61" s="27"/>
      <x:c r="AX61" s="27"/>
      <x:c r="AY61" s="27"/>
      <x:c r="AZ61" s="27"/>
      <x:c r="BA61" s="27"/>
      <x:c r="BB61" s="27"/>
      <x:c r="BC61" s="27"/>
      <x:c r="BD61" s="27"/>
      <x:c r="BE61" s="27"/>
      <x:c r="BF61" s="27"/>
      <x:c r="BG61" s="27"/>
      <x:c r="BH61" s="27"/>
      <x:c r="BI61" s="27"/>
      <x:c r="BJ61" s="27"/>
      <x:c r="BK61" s="27"/>
      <x:c r="BL61" s="27"/>
      <x:c r="BM61" s="27"/>
      <x:c r="BN61" s="27"/>
      <x:c r="BO61" s="27"/>
      <x:c r="BP61" s="27"/>
      <x:c r="BQ61" s="27"/>
      <x:c r="BR61" s="27"/>
      <x:c r="BS61" s="27"/>
      <x:c r="BT61" s="27"/>
      <x:c r="BU61" s="27"/>
      <x:c r="BV61" s="27"/>
      <x:c r="BW61" s="27"/>
      <x:c r="BX61" s="27"/>
      <x:c r="BY61" s="27"/>
      <x:c r="BZ61" s="27"/>
      <x:c r="CA61" s="27"/>
      <x:c r="CB61" s="27"/>
      <x:c r="CC61" s="27"/>
      <x:c r="CD61" s="27"/>
      <x:c r="CE61" s="27"/>
      <x:c r="CF61" s="27"/>
      <x:c r="CG61" s="27"/>
      <x:c r="CH61" s="27"/>
      <x:c r="CI61" s="27"/>
      <x:c r="CJ61" s="27"/>
      <x:c r="CK61" s="27"/>
      <x:c r="CL61" s="27"/>
      <x:c r="CM61" s="27"/>
      <x:c r="CN61" s="27"/>
      <x:c r="CO61" s="27"/>
      <x:c r="CP61" s="27"/>
      <x:c r="CQ61" s="27"/>
      <x:c r="CR61" s="27"/>
      <x:c r="CS61" s="27"/>
      <x:c r="CT61" s="27"/>
      <x:c r="CU61" s="27"/>
      <x:c r="CV61" s="27"/>
      <x:c r="CW61" s="27"/>
      <x:c r="CX61" s="27"/>
      <x:c r="CY61" s="27"/>
      <x:c r="CZ61" s="27"/>
      <x:c r="DA61" s="27"/>
      <x:c r="DB61" s="27"/>
      <x:c r="DC61" s="27"/>
      <x:c r="DD61" s="27"/>
      <x:c r="DE61" s="27"/>
      <x:c r="DF61" s="27"/>
      <x:c r="DG61" s="27"/>
      <x:c r="DH61" s="27"/>
      <x:c r="DI61" s="27"/>
      <x:c r="DJ61" s="27"/>
      <x:c r="DK61" s="27"/>
      <x:c r="DL61" s="27"/>
      <x:c r="DM61" s="27"/>
      <x:c r="DN61" s="27"/>
      <x:c r="DO61" s="27"/>
      <x:c r="DP61" s="27"/>
      <x:c r="DQ61" s="27"/>
      <x:c r="DR61" s="27"/>
      <x:c r="DS61" s="27"/>
      <x:c r="DT61" s="27"/>
      <x:c r="DU61" s="27"/>
      <x:c r="DV61" s="27"/>
      <x:c r="DW61" s="27"/>
      <x:c r="DX61" s="27"/>
      <x:c r="DY61" s="27"/>
      <x:c r="DZ61" s="27"/>
      <x:c r="EA61" s="27"/>
      <x:c r="EB61" s="27"/>
      <x:c r="EC61" s="27"/>
      <x:c r="ED61" s="27"/>
      <x:c r="EE61" s="27"/>
      <x:c r="EF61" s="27"/>
      <x:c r="EG61" s="27"/>
      <x:c r="EH61" s="27"/>
      <x:c r="EI61" s="27"/>
      <x:c r="EJ61" s="27"/>
      <x:c r="EK61" s="27"/>
      <x:c r="EL61" s="27"/>
      <x:c r="EM61" s="27"/>
      <x:c r="EN61" s="27"/>
      <x:c r="EO61" s="27"/>
      <x:c r="EP61" s="27"/>
      <x:c r="EQ61" s="27"/>
      <x:c r="ER61" s="27"/>
      <x:c r="ES61" s="27"/>
      <x:c r="ET61" s="27"/>
      <x:c r="EU61" s="27"/>
      <x:c r="EV61" s="27"/>
      <x:c r="EW61" s="27"/>
      <x:c r="EX61" s="27"/>
      <x:c r="EY61" s="27"/>
      <x:c r="EZ61" s="27"/>
      <x:c r="FA61" s="27"/>
      <x:c r="FB61" s="27"/>
      <x:c r="FC61" s="27"/>
      <x:c r="FD61" s="27"/>
      <x:c r="FE61" s="27"/>
      <x:c r="FF61" s="27"/>
      <x:c r="FG61" s="27"/>
      <x:c r="FH61" s="27"/>
      <x:c r="FI61" s="27"/>
      <x:c r="FJ61" s="27"/>
      <x:c r="FK61" s="27"/>
      <x:c r="FL61" s="27"/>
      <x:c r="FM61" s="27"/>
      <x:c r="FN61" s="27"/>
      <x:c r="FO61" s="27"/>
      <x:c r="FP61" s="27"/>
      <x:c r="FQ61" s="27"/>
      <x:c r="FR61" s="27"/>
      <x:c r="FS61" s="27"/>
      <x:c r="FT61" s="27"/>
      <x:c r="FU61" s="27"/>
      <x:c r="FV61" s="27"/>
      <x:c r="FW61" s="27"/>
      <x:c r="FX61" s="27"/>
      <x:c r="FY61" s="27"/>
      <x:c r="FZ61" s="27"/>
      <x:c r="GA61" s="27"/>
      <x:c r="GB61" s="27"/>
      <x:c r="GC61" s="27"/>
      <x:c r="GD61" s="27"/>
      <x:c r="GE61" s="27"/>
      <x:c r="GF61" s="27"/>
      <x:c r="GG61" s="27"/>
      <x:c r="GH61" s="27"/>
      <x:c r="GI61" s="27"/>
      <x:c r="GJ61" s="27"/>
      <x:c r="GK61" s="27"/>
      <x:c r="GL61" s="27"/>
      <x:c r="GM61" s="27"/>
      <x:c r="GN61" s="27"/>
      <x:c r="GO61" s="27"/>
      <x:c r="GP61" s="27"/>
      <x:c r="GQ61" s="27"/>
      <x:c r="GR61" s="27"/>
      <x:c r="GS61" s="27"/>
      <x:c r="GT61" s="27"/>
      <x:c r="GU61" s="27"/>
      <x:c r="GV61" s="27"/>
      <x:c r="GW61" s="27"/>
      <x:c r="GX61" s="27"/>
      <x:c r="GY61" s="27"/>
      <x:c r="GZ61" s="27"/>
      <x:c r="HA61" s="27"/>
      <x:c r="HB61" s="27"/>
      <x:c r="HC61" s="27"/>
      <x:c r="HD61" s="27"/>
      <x:c r="HE61" s="27"/>
      <x:c r="HF61" s="27"/>
      <x:c r="HG61" s="27"/>
      <x:c r="HH61" s="27"/>
      <x:c r="HI61" s="27"/>
      <x:c r="HJ61" s="27"/>
      <x:c r="HK61" s="27"/>
      <x:c r="HL61" s="27"/>
      <x:c r="HM61" s="27"/>
      <x:c r="HN61" s="27"/>
      <x:c r="HO61" s="27"/>
      <x:c r="HP61" s="27" t="str">
        <x:f>IF(C61="","",SUM(H61,N61,T61,Z61,AF61,AL61,AR61,AX61,BD61,BJ61,BP61,BV61,CB61,CH61,CN61,CT61,CZ61,DF61,DL61,DR61,DX61,ED61,EJ61,EP61,EV61,FB61,FH61,FN61,FT61,FZ61,GF61,GL61,GR61,GX61,HD61,HJ61))</x:f>
      </x:c>
      <x:c r="HQ61" s="27" t="str">
        <x:f>IF(C61="","",SUM(I61,O61,U61,AA61,AG61,AM61,AS61,AY61,BE61,BK61,BQ61,BW61,CC61,CI61,CO61,CU61,DA61,DG61,DM61,DS61,DY61,EE61,EK61,EQ61,EW61,FC61,FI61,FO61,FU61,GA61,GG61,GM61,GS61,GY61,HE61,HK61))</x:f>
      </x:c>
      <x:c r="HR61" s="27" t="str">
        <x:f>IF(C61="","",SUM(J61,P61,V61,AB61,AH61,AN61,AT61,AZ61,BF61,BL61,BR61,BX61,CD61,CJ61,CP61,CV61,DB61,DH61,DN61,DT61,DZ61,EF61,EL61,ER61,EX61,FD61,FJ61,FP61,FV61,GB61,GH61,GN61,GT61,GZ61,HF61,HL61))</x:f>
      </x:c>
      <x:c r="HS61" s="27" t="str">
        <x:f>IF(C61="","",SUM(K61,Q61,W61,AC61,AI61,AO61,AU61,BA61,BG61,BM61,BS61,BY61,CE61,CK61,CQ61,CW61,DC61,DI61,DO61,DU61,EA61,EG61,EM61,ES61,EY61,FE61,FK61,FQ61,FW61,GC61,GI61,GO61,GU61,HA61,HG61,HM61))</x:f>
      </x:c>
      <x:c r="HT61" s="27" t="str">
        <x:f>IF(C61="","",SUM(L61,R61,X61,AD61,AJ61,AP61,AV61,BB61,BH61,BN61,BT61,BZ61,CF61,CL61,CR61,CX61,DD61,DJ61,DP61,DV61,EB61,EH61,EN61,ET61,EZ61,FF61,FL61,FR61,FX61,GD61,GJ61,GP61,GV61,HB61,HH61,HN61))</x:f>
      </x:c>
      <x:c r="HU61" s="27" t="str">
        <x:f>IF(C61="","",SUM(M61,S61,Y61,AE61,AK61,AQ61,AW61,BC61,BI61,BO61,BU61,CA61,CG61,CM61,CS61,CY61,DE61,DK61,DQ61,DW61,EC61,EI61,EO61,EU61,FA61,FG61,FM61,FS61,FY61,GE61,GK61,GQ61,GW61,HC61,HI61,HO61))</x:f>
      </x:c>
      <x:c r="HV61" s="27" t="str">
        <x:f>IF(C61="","",IF(JI61=LARGE(JI61:JN61,1),"R",IF(JJ61=LARGE(JI61:JN61,1),"I",IF(JK61=LARGE(JI61:JN61,1),"A",IF(JL61=LARGE(JI61:JN61,1),"S",IF(JM61=LARGE(JI61:JN61,1),"E",IF(JN61=LARGE(JI61:JN61,1),"C",""))))))&amp;IF(JI61=LARGE(JI61:JN61,2),"R",IF(JJ61=LARGE(JI61:JN61,2),"I",IF(JK61=LARGE(JI61:JN61,2),"A",IF(JL61=LARGE(JI61:JN61,2),"S",IF(JM61=LARGE(JI61:JN61,2),"E",IF(JN61=LARGE(JI61:JN61,2),"C",""))))))&amp;IF(JI61=LARGE(JI61:JN61,3),"R",IF(JJ61=LARGE(JI61:JN61,3),"I",IF(JK61=LARGE(JI61:JN61,3),"A",IF(JL61=LARGE(JI61:JN61,3),"S",IF(JM61=LARGE(JI61:JN61,3),"E",IF(JN61=LARGE(JI61:JN61,3),"C","")))))))</x:f>
      </x:c>
      <x:c r="HW61" s="27" t="str">
        <x:f>IF(C61="","",IF(JI61=LARGE(JI61:JN61,1),"นักปฏิบัติ",IF(JJ61=LARGE(JI61:JN61,1),"นักคิดวิเคราะห์",IF(JK61=LARGE(JI61:JN61,1),"นักสร้างสรรค์",IF(JL61=LARGE(JI61:JN61,1),"ผู้เข้าใจผู้คน",IF(JM61=LARGE(JI61:JN61,1),"ผู้นำการเปลี่ยนแปลง",IF(JN61=LARGE(JI61:JN61,1),"ผู้จัดระบบ","ผู้จัดระบบ")))))))</x:f>
      </x:c>
      <x:c r="HX61" s="27"/>
      <x:c r="HY61" s="27"/>
      <x:c r="HZ61" s="27"/>
      <x:c r="IA61" s="27"/>
      <x:c r="IB61" s="27"/>
      <x:c r="IC61" s="27"/>
      <x:c r="ID61" s="27"/>
      <x:c r="IE61" s="27"/>
      <x:c r="IF61" s="27"/>
      <x:c r="IG61" s="27"/>
      <x:c r="IH61" s="27"/>
      <x:c r="II61" s="27"/>
      <x:c r="IJ61" s="27"/>
      <x:c r="IK61" s="27" t="str">
        <x:f>IF(C61="","",SUM(H61,N61,T61,Z61,AF61,AL61,AR61,AX61,BD61,BJ61,BP61))</x:f>
      </x:c>
      <x:c r="IL61" s="27" t="str">
        <x:f>IF(C61="","",SUM(I61,O61,U61,AA61,AG61,AM61,AS61,AY61,BE61,BK61,BQ61))</x:f>
      </x:c>
      <x:c r="IM61" s="27" t="str">
        <x:f>IF(C61="","",SUM(J61,P61,V61,AB61,AH61,AN61,AT61,AZ61,BF61,BL61,BR61))</x:f>
      </x:c>
      <x:c r="IN61" s="27" t="str">
        <x:f>IF(C61="","",SUM(K61,Q61,W61,AC61,AI61,AO61,AU61,BA61,BG61,BM61,BS61))</x:f>
      </x:c>
      <x:c r="IO61" s="27" t="str">
        <x:f>IF(C61="","",SUM(L61,R61,X61,AD61,AJ61,AP61,AV61,BB61,BH61,BN61,BT61))</x:f>
      </x:c>
      <x:c r="IP61" s="27" t="str">
        <x:f>IF(C61="","",SUM(M61,S61,Y61,AE61,AK61,AQ61,AW61,BC61,BI61,BO61,BU61))</x:f>
      </x:c>
      <x:c r="IQ61" s="27" t="str">
        <x:f>IF(C61="","",SUM(BV61,CB61,CH61,CN61,CT61,CZ61,DF61,DL61,DR61,DX61,ED61))</x:f>
      </x:c>
      <x:c r="IR61" s="27" t="str">
        <x:f>IF(C61="","",SUM(BW61,CC61,CI61,CO61,CU61,DA61,DG61,DM61,DS61,DY61,EE61))</x:f>
      </x:c>
      <x:c r="IS61" s="27" t="str">
        <x:f>IF(C61="","",SUM(BX61,CD61,CJ61,CP61,CV61,DB61,DH61,DN61,DT61,DZ61,EF61))</x:f>
      </x:c>
      <x:c r="IT61" s="27" t="str">
        <x:f>IF(C61="","",SUM(BY61,CE61,CK61,CQ61,CW61,DC61,DI61,DO61,DU61,EA61,EG61))</x:f>
      </x:c>
      <x:c r="IU61" s="27" t="str">
        <x:f>IF(C61="","",SUM(BZ61,CF61,CL61,CR61,CX61,DD61,DJ61,DP61,DV61,EB61,EH61))</x:f>
      </x:c>
      <x:c r="IV61" s="27" t="str">
        <x:f>IF(C61="","",SUM(CA61,CG61,CM61,CS61,CY61,DE61,DK61,DQ61,DW61,EC61,EI61))</x:f>
      </x:c>
      <x:c r="IW61" s="27" t="str">
        <x:f>IF(C61="","",SUM(EJ61,EP61,EV61,FB61,FH61,FN61,FT61,FZ61,GF61,GL61,GR61,GX61,HD61,HJ61))</x:f>
      </x:c>
      <x:c r="IX61" s="27" t="str">
        <x:f>IF(C61="","",SUM(EK61,EQ61,EW61,FC61,FI61,FO61,FU61,GA61,GG61,GM61,GS61,GY61,HE61,HK61))</x:f>
      </x:c>
      <x:c r="IY61" s="27" t="str">
        <x:f>IF(C61="","",SUM(EL61,ER61,EX61,FD61,FJ61,FP61,FV61,GB61,GH61,GN61,GT61,GZ61,HF61,HL61))</x:f>
      </x:c>
      <x:c r="IZ61" s="27" t="str">
        <x:f>IF(C61="","",SUM(EM61,ES61,EY61,FE61,FK61,FQ61,FW61,GC61,GI61,GO61,GU61,HA61,HG61,HM61))</x:f>
      </x:c>
      <x:c r="JA61" s="27" t="str">
        <x:f>IF(C61="","",SUM(EN61,ET61,EZ61,FF61,FL61,FR61,FX61,GD61,GJ61,GP61,GV61,HB61,HH61,HN61))</x:f>
      </x:c>
      <x:c r="JB61" s="27" t="str">
        <x:f>IF(C61="","",SUM(EO61,EU61,FA61,FG61,FM61,FS61,FY61,GE61,GK61,GQ61,GW61,HC61,HI61,HO61))</x:f>
      </x:c>
      <x:c r="JC61" s="27" t="str">
        <x:f>IF(C61="","",0)</x:f>
      </x:c>
      <x:c r="JD61" s="27" t="str">
        <x:f>IF(C61="","",0)</x:f>
      </x:c>
      <x:c r="JE61" s="27" t="str">
        <x:f>IF(C61="","",0)</x:f>
      </x:c>
      <x:c r="JF61" s="27" t="str">
        <x:f>IF(C61="","",0)</x:f>
      </x:c>
      <x:c r="JG61" s="27" t="str">
        <x:f>IF(C61="","",0)</x:f>
      </x:c>
      <x:c r="JH61" s="27" t="str">
        <x:f>IF(C61="","",0)</x:f>
      </x:c>
      <x:c r="JI61" s="27" t="str">
        <x:f>IF(C61="","",HP61*1000000000+IW61*1000000+IQ61*10000+IK61*100+JC61+6/1000)</x:f>
      </x:c>
      <x:c r="JJ61" s="27" t="str">
        <x:f>IF(C61="","",HQ61*1000000000+IX61*1000000+IR61*10000+IL61*100+JD61+5/1000)</x:f>
      </x:c>
      <x:c r="JK61" s="27" t="str">
        <x:f>IF(C61="","",HR61*1000000000+IY61*1000000+IS61*10000+IM61*100+JE61+4/1000)</x:f>
      </x:c>
      <x:c r="JL61" s="27" t="str">
        <x:f>IF(C61="","",HS61*1000000000+IZ61*1000000+IT61*10000+IN61*100+JF61+3/1000)</x:f>
      </x:c>
      <x:c r="JM61" s="27" t="str">
        <x:f>IF(C61="","",HT61*1000000000+JA61*1000000+IU61*10000+IO61*100+JG61+2/1000)</x:f>
      </x:c>
      <x:c r="JN61" s="27" t="str">
        <x:f>IF(C61="","",HU61*1000000000+JB61*1000000+IV61*10000+IP61*100+JH61+1/1000)</x:f>
      </x:c>
    </x:row>
    <x:row r="62">
      <x:c r="A62" s="27"/>
      <x:c r="B62" s="28"/>
      <x:c r="C62" s="27"/>
      <x:c r="D62" s="27"/>
      <x:c r="E62" s="27"/>
      <x:c r="F62" s="27"/>
      <x:c r="G62" s="27"/>
      <x:c r="H62" s="27"/>
      <x:c r="I62" s="27"/>
      <x:c r="J62" s="27"/>
      <x:c r="K62" s="27"/>
      <x:c r="L62" s="27"/>
      <x:c r="M62" s="27"/>
      <x:c r="N62" s="27"/>
      <x:c r="O62" s="27"/>
      <x:c r="P62" s="27"/>
      <x:c r="Q62" s="27"/>
      <x:c r="R62" s="27"/>
      <x:c r="S62" s="27"/>
      <x:c r="T62" s="27"/>
      <x:c r="U62" s="27"/>
      <x:c r="V62" s="27"/>
      <x:c r="W62" s="27"/>
      <x:c r="X62" s="27"/>
      <x:c r="Y62" s="27"/>
      <x:c r="Z62" s="27"/>
      <x:c r="AA62" s="27"/>
      <x:c r="AB62" s="27"/>
      <x:c r="AC62" s="27"/>
      <x:c r="AD62" s="27"/>
      <x:c r="AE62" s="27"/>
      <x:c r="AF62" s="27"/>
      <x:c r="AG62" s="27"/>
      <x:c r="AH62" s="27"/>
      <x:c r="AI62" s="27"/>
      <x:c r="AJ62" s="27"/>
      <x:c r="AK62" s="27"/>
      <x:c r="AL62" s="27"/>
      <x:c r="AM62" s="27"/>
      <x:c r="AN62" s="27"/>
      <x:c r="AO62" s="27"/>
      <x:c r="AP62" s="27"/>
      <x:c r="AQ62" s="27"/>
      <x:c r="AR62" s="27"/>
      <x:c r="AS62" s="27"/>
      <x:c r="AT62" s="27"/>
      <x:c r="AU62" s="27"/>
      <x:c r="AV62" s="27"/>
      <x:c r="AW62" s="27"/>
      <x:c r="AX62" s="27"/>
      <x:c r="AY62" s="27"/>
      <x:c r="AZ62" s="27"/>
      <x:c r="BA62" s="27"/>
      <x:c r="BB62" s="27"/>
      <x:c r="BC62" s="27"/>
      <x:c r="BD62" s="27"/>
      <x:c r="BE62" s="27"/>
      <x:c r="BF62" s="27"/>
      <x:c r="BG62" s="27"/>
      <x:c r="BH62" s="27"/>
      <x:c r="BI62" s="27"/>
      <x:c r="BJ62" s="27"/>
      <x:c r="BK62" s="27"/>
      <x:c r="BL62" s="27"/>
      <x:c r="BM62" s="27"/>
      <x:c r="BN62" s="27"/>
      <x:c r="BO62" s="27"/>
      <x:c r="BP62" s="27"/>
      <x:c r="BQ62" s="27"/>
      <x:c r="BR62" s="27"/>
      <x:c r="BS62" s="27"/>
      <x:c r="BT62" s="27"/>
      <x:c r="BU62" s="27"/>
      <x:c r="BV62" s="27"/>
      <x:c r="BW62" s="27"/>
      <x:c r="BX62" s="27"/>
      <x:c r="BY62" s="27"/>
      <x:c r="BZ62" s="27"/>
      <x:c r="CA62" s="27"/>
      <x:c r="CB62" s="27"/>
      <x:c r="CC62" s="27"/>
      <x:c r="CD62" s="27"/>
      <x:c r="CE62" s="27"/>
      <x:c r="CF62" s="27"/>
      <x:c r="CG62" s="27"/>
      <x:c r="CH62" s="27"/>
      <x:c r="CI62" s="27"/>
      <x:c r="CJ62" s="27"/>
      <x:c r="CK62" s="27"/>
      <x:c r="CL62" s="27"/>
      <x:c r="CM62" s="27"/>
      <x:c r="CN62" s="27"/>
      <x:c r="CO62" s="27"/>
      <x:c r="CP62" s="27"/>
      <x:c r="CQ62" s="27"/>
      <x:c r="CR62" s="27"/>
      <x:c r="CS62" s="27"/>
      <x:c r="CT62" s="27"/>
      <x:c r="CU62" s="27"/>
      <x:c r="CV62" s="27"/>
      <x:c r="CW62" s="27"/>
      <x:c r="CX62" s="27"/>
      <x:c r="CY62" s="27"/>
      <x:c r="CZ62" s="27"/>
      <x:c r="DA62" s="27"/>
      <x:c r="DB62" s="27"/>
      <x:c r="DC62" s="27"/>
      <x:c r="DD62" s="27"/>
      <x:c r="DE62" s="27"/>
      <x:c r="DF62" s="27"/>
      <x:c r="DG62" s="27"/>
      <x:c r="DH62" s="27"/>
      <x:c r="DI62" s="27"/>
      <x:c r="DJ62" s="27"/>
      <x:c r="DK62" s="27"/>
      <x:c r="DL62" s="27"/>
      <x:c r="DM62" s="27"/>
      <x:c r="DN62" s="27"/>
      <x:c r="DO62" s="27"/>
      <x:c r="DP62" s="27"/>
      <x:c r="DQ62" s="27"/>
      <x:c r="DR62" s="27"/>
      <x:c r="DS62" s="27"/>
      <x:c r="DT62" s="27"/>
      <x:c r="DU62" s="27"/>
      <x:c r="DV62" s="27"/>
      <x:c r="DW62" s="27"/>
      <x:c r="DX62" s="27"/>
      <x:c r="DY62" s="27"/>
      <x:c r="DZ62" s="27"/>
      <x:c r="EA62" s="27"/>
      <x:c r="EB62" s="27"/>
      <x:c r="EC62" s="27"/>
      <x:c r="ED62" s="27"/>
      <x:c r="EE62" s="27"/>
      <x:c r="EF62" s="27"/>
      <x:c r="EG62" s="27"/>
      <x:c r="EH62" s="27"/>
      <x:c r="EI62" s="27"/>
      <x:c r="EJ62" s="27"/>
      <x:c r="EK62" s="27"/>
      <x:c r="EL62" s="27"/>
      <x:c r="EM62" s="27"/>
      <x:c r="EN62" s="27"/>
      <x:c r="EO62" s="27"/>
      <x:c r="EP62" s="27"/>
      <x:c r="EQ62" s="27"/>
      <x:c r="ER62" s="27"/>
      <x:c r="ES62" s="27"/>
      <x:c r="ET62" s="27"/>
      <x:c r="EU62" s="27"/>
      <x:c r="EV62" s="27"/>
      <x:c r="EW62" s="27"/>
      <x:c r="EX62" s="27"/>
      <x:c r="EY62" s="27"/>
      <x:c r="EZ62" s="27"/>
      <x:c r="FA62" s="27"/>
      <x:c r="FB62" s="27"/>
      <x:c r="FC62" s="27"/>
      <x:c r="FD62" s="27"/>
      <x:c r="FE62" s="27"/>
      <x:c r="FF62" s="27"/>
      <x:c r="FG62" s="27"/>
      <x:c r="FH62" s="27"/>
      <x:c r="FI62" s="27"/>
      <x:c r="FJ62" s="27"/>
      <x:c r="FK62" s="27"/>
      <x:c r="FL62" s="27"/>
      <x:c r="FM62" s="27"/>
      <x:c r="FN62" s="27"/>
      <x:c r="FO62" s="27"/>
      <x:c r="FP62" s="27"/>
      <x:c r="FQ62" s="27"/>
      <x:c r="FR62" s="27"/>
      <x:c r="FS62" s="27"/>
      <x:c r="FT62" s="27"/>
      <x:c r="FU62" s="27"/>
      <x:c r="FV62" s="27"/>
      <x:c r="FW62" s="27"/>
      <x:c r="FX62" s="27"/>
      <x:c r="FY62" s="27"/>
      <x:c r="FZ62" s="27"/>
      <x:c r="GA62" s="27"/>
      <x:c r="GB62" s="27"/>
      <x:c r="GC62" s="27"/>
      <x:c r="GD62" s="27"/>
      <x:c r="GE62" s="27"/>
      <x:c r="GF62" s="27"/>
      <x:c r="GG62" s="27"/>
      <x:c r="GH62" s="27"/>
      <x:c r="GI62" s="27"/>
      <x:c r="GJ62" s="27"/>
      <x:c r="GK62" s="27"/>
      <x:c r="GL62" s="27"/>
      <x:c r="GM62" s="27"/>
      <x:c r="GN62" s="27"/>
      <x:c r="GO62" s="27"/>
      <x:c r="GP62" s="27"/>
      <x:c r="GQ62" s="27"/>
      <x:c r="GR62" s="27"/>
      <x:c r="GS62" s="27"/>
      <x:c r="GT62" s="27"/>
      <x:c r="GU62" s="27"/>
      <x:c r="GV62" s="27"/>
      <x:c r="GW62" s="27"/>
      <x:c r="GX62" s="27"/>
      <x:c r="GY62" s="27"/>
      <x:c r="GZ62" s="27"/>
      <x:c r="HA62" s="27"/>
      <x:c r="HB62" s="27"/>
      <x:c r="HC62" s="27"/>
      <x:c r="HD62" s="27"/>
      <x:c r="HE62" s="27"/>
      <x:c r="HF62" s="27"/>
      <x:c r="HG62" s="27"/>
      <x:c r="HH62" s="27"/>
      <x:c r="HI62" s="27"/>
      <x:c r="HJ62" s="27"/>
      <x:c r="HK62" s="27"/>
      <x:c r="HL62" s="27"/>
      <x:c r="HM62" s="27"/>
      <x:c r="HN62" s="27"/>
      <x:c r="HO62" s="27"/>
      <x:c r="HP62" s="27" t="str">
        <x:f>IF(C62="","",SUM(H62,N62,T62,Z62,AF62,AL62,AR62,AX62,BD62,BJ62,BP62,BV62,CB62,CH62,CN62,CT62,CZ62,DF62,DL62,DR62,DX62,ED62,EJ62,EP62,EV62,FB62,FH62,FN62,FT62,FZ62,GF62,GL62,GR62,GX62,HD62,HJ62))</x:f>
      </x:c>
      <x:c r="HQ62" s="27" t="str">
        <x:f>IF(C62="","",SUM(I62,O62,U62,AA62,AG62,AM62,AS62,AY62,BE62,BK62,BQ62,BW62,CC62,CI62,CO62,CU62,DA62,DG62,DM62,DS62,DY62,EE62,EK62,EQ62,EW62,FC62,FI62,FO62,FU62,GA62,GG62,GM62,GS62,GY62,HE62,HK62))</x:f>
      </x:c>
      <x:c r="HR62" s="27" t="str">
        <x:f>IF(C62="","",SUM(J62,P62,V62,AB62,AH62,AN62,AT62,AZ62,BF62,BL62,BR62,BX62,CD62,CJ62,CP62,CV62,DB62,DH62,DN62,DT62,DZ62,EF62,EL62,ER62,EX62,FD62,FJ62,FP62,FV62,GB62,GH62,GN62,GT62,GZ62,HF62,HL62))</x:f>
      </x:c>
      <x:c r="HS62" s="27" t="str">
        <x:f>IF(C62="","",SUM(K62,Q62,W62,AC62,AI62,AO62,AU62,BA62,BG62,BM62,BS62,BY62,CE62,CK62,CQ62,CW62,DC62,DI62,DO62,DU62,EA62,EG62,EM62,ES62,EY62,FE62,FK62,FQ62,FW62,GC62,GI62,GO62,GU62,HA62,HG62,HM62))</x:f>
      </x:c>
      <x:c r="HT62" s="27" t="str">
        <x:f>IF(C62="","",SUM(L62,R62,X62,AD62,AJ62,AP62,AV62,BB62,BH62,BN62,BT62,BZ62,CF62,CL62,CR62,CX62,DD62,DJ62,DP62,DV62,EB62,EH62,EN62,ET62,EZ62,FF62,FL62,FR62,FX62,GD62,GJ62,GP62,GV62,HB62,HH62,HN62))</x:f>
      </x:c>
      <x:c r="HU62" s="27" t="str">
        <x:f>IF(C62="","",SUM(M62,S62,Y62,AE62,AK62,AQ62,AW62,BC62,BI62,BO62,BU62,CA62,CG62,CM62,CS62,CY62,DE62,DK62,DQ62,DW62,EC62,EI62,EO62,EU62,FA62,FG62,FM62,FS62,FY62,GE62,GK62,GQ62,GW62,HC62,HI62,HO62))</x:f>
      </x:c>
      <x:c r="HV62" s="27" t="str">
        <x:f>IF(C62="","",IF(JI62=LARGE(JI62:JN62,1),"R",IF(JJ62=LARGE(JI62:JN62,1),"I",IF(JK62=LARGE(JI62:JN62,1),"A",IF(JL62=LARGE(JI62:JN62,1),"S",IF(JM62=LARGE(JI62:JN62,1),"E",IF(JN62=LARGE(JI62:JN62,1),"C",""))))))&amp;IF(JI62=LARGE(JI62:JN62,2),"R",IF(JJ62=LARGE(JI62:JN62,2),"I",IF(JK62=LARGE(JI62:JN62,2),"A",IF(JL62=LARGE(JI62:JN62,2),"S",IF(JM62=LARGE(JI62:JN62,2),"E",IF(JN62=LARGE(JI62:JN62,2),"C",""))))))&amp;IF(JI62=LARGE(JI62:JN62,3),"R",IF(JJ62=LARGE(JI62:JN62,3),"I",IF(JK62=LARGE(JI62:JN62,3),"A",IF(JL62=LARGE(JI62:JN62,3),"S",IF(JM62=LARGE(JI62:JN62,3),"E",IF(JN62=LARGE(JI62:JN62,3),"C","")))))))</x:f>
      </x:c>
      <x:c r="HW62" s="27" t="str">
        <x:f>IF(C62="","",IF(JI62=LARGE(JI62:JN62,1),"นักปฏิบัติ",IF(JJ62=LARGE(JI62:JN62,1),"นักคิดวิเคราะห์",IF(JK62=LARGE(JI62:JN62,1),"นักสร้างสรรค์",IF(JL62=LARGE(JI62:JN62,1),"ผู้เข้าใจผู้คน",IF(JM62=LARGE(JI62:JN62,1),"ผู้นำการเปลี่ยนแปลง",IF(JN62=LARGE(JI62:JN62,1),"ผู้จัดระบบ","ผู้จัดระบบ")))))))</x:f>
      </x:c>
      <x:c r="HX62" s="27"/>
      <x:c r="HY62" s="27"/>
      <x:c r="HZ62" s="27"/>
      <x:c r="IA62" s="27"/>
      <x:c r="IB62" s="27"/>
      <x:c r="IC62" s="27"/>
      <x:c r="ID62" s="27"/>
      <x:c r="IE62" s="27"/>
      <x:c r="IF62" s="27"/>
      <x:c r="IG62" s="27"/>
      <x:c r="IH62" s="27"/>
      <x:c r="II62" s="27"/>
      <x:c r="IJ62" s="27"/>
      <x:c r="IK62" s="27" t="str">
        <x:f>IF(C62="","",SUM(H62,N62,T62,Z62,AF62,AL62,AR62,AX62,BD62,BJ62,BP62))</x:f>
      </x:c>
      <x:c r="IL62" s="27" t="str">
        <x:f>IF(C62="","",SUM(I62,O62,U62,AA62,AG62,AM62,AS62,AY62,BE62,BK62,BQ62))</x:f>
      </x:c>
      <x:c r="IM62" s="27" t="str">
        <x:f>IF(C62="","",SUM(J62,P62,V62,AB62,AH62,AN62,AT62,AZ62,BF62,BL62,BR62))</x:f>
      </x:c>
      <x:c r="IN62" s="27" t="str">
        <x:f>IF(C62="","",SUM(K62,Q62,W62,AC62,AI62,AO62,AU62,BA62,BG62,BM62,BS62))</x:f>
      </x:c>
      <x:c r="IO62" s="27" t="str">
        <x:f>IF(C62="","",SUM(L62,R62,X62,AD62,AJ62,AP62,AV62,BB62,BH62,BN62,BT62))</x:f>
      </x:c>
      <x:c r="IP62" s="27" t="str">
        <x:f>IF(C62="","",SUM(M62,S62,Y62,AE62,AK62,AQ62,AW62,BC62,BI62,BO62,BU62))</x:f>
      </x:c>
      <x:c r="IQ62" s="27" t="str">
        <x:f>IF(C62="","",SUM(BV62,CB62,CH62,CN62,CT62,CZ62,DF62,DL62,DR62,DX62,ED62))</x:f>
      </x:c>
      <x:c r="IR62" s="27" t="str">
        <x:f>IF(C62="","",SUM(BW62,CC62,CI62,CO62,CU62,DA62,DG62,DM62,DS62,DY62,EE62))</x:f>
      </x:c>
      <x:c r="IS62" s="27" t="str">
        <x:f>IF(C62="","",SUM(BX62,CD62,CJ62,CP62,CV62,DB62,DH62,DN62,DT62,DZ62,EF62))</x:f>
      </x:c>
      <x:c r="IT62" s="27" t="str">
        <x:f>IF(C62="","",SUM(BY62,CE62,CK62,CQ62,CW62,DC62,DI62,DO62,DU62,EA62,EG62))</x:f>
      </x:c>
      <x:c r="IU62" s="27" t="str">
        <x:f>IF(C62="","",SUM(BZ62,CF62,CL62,CR62,CX62,DD62,DJ62,DP62,DV62,EB62,EH62))</x:f>
      </x:c>
      <x:c r="IV62" s="27" t="str">
        <x:f>IF(C62="","",SUM(CA62,CG62,CM62,CS62,CY62,DE62,DK62,DQ62,DW62,EC62,EI62))</x:f>
      </x:c>
      <x:c r="IW62" s="27" t="str">
        <x:f>IF(C62="","",SUM(EJ62,EP62,EV62,FB62,FH62,FN62,FT62,FZ62,GF62,GL62,GR62,GX62,HD62,HJ62))</x:f>
      </x:c>
      <x:c r="IX62" s="27" t="str">
        <x:f>IF(C62="","",SUM(EK62,EQ62,EW62,FC62,FI62,FO62,FU62,GA62,GG62,GM62,GS62,GY62,HE62,HK62))</x:f>
      </x:c>
      <x:c r="IY62" s="27" t="str">
        <x:f>IF(C62="","",SUM(EL62,ER62,EX62,FD62,FJ62,FP62,FV62,GB62,GH62,GN62,GT62,GZ62,HF62,HL62))</x:f>
      </x:c>
      <x:c r="IZ62" s="27" t="str">
        <x:f>IF(C62="","",SUM(EM62,ES62,EY62,FE62,FK62,FQ62,FW62,GC62,GI62,GO62,GU62,HA62,HG62,HM62))</x:f>
      </x:c>
      <x:c r="JA62" s="27" t="str">
        <x:f>IF(C62="","",SUM(EN62,ET62,EZ62,FF62,FL62,FR62,FX62,GD62,GJ62,GP62,GV62,HB62,HH62,HN62))</x:f>
      </x:c>
      <x:c r="JB62" s="27" t="str">
        <x:f>IF(C62="","",SUM(EO62,EU62,FA62,FG62,FM62,FS62,FY62,GE62,GK62,GQ62,GW62,HC62,HI62,HO62))</x:f>
      </x:c>
      <x:c r="JC62" s="27" t="str">
        <x:f>IF(C62="","",0)</x:f>
      </x:c>
      <x:c r="JD62" s="27" t="str">
        <x:f>IF(C62="","",0)</x:f>
      </x:c>
      <x:c r="JE62" s="27" t="str">
        <x:f>IF(C62="","",0)</x:f>
      </x:c>
      <x:c r="JF62" s="27" t="str">
        <x:f>IF(C62="","",0)</x:f>
      </x:c>
      <x:c r="JG62" s="27" t="str">
        <x:f>IF(C62="","",0)</x:f>
      </x:c>
      <x:c r="JH62" s="27" t="str">
        <x:f>IF(C62="","",0)</x:f>
      </x:c>
      <x:c r="JI62" s="27" t="str">
        <x:f>IF(C62="","",HP62*1000000000+IW62*1000000+IQ62*10000+IK62*100+JC62+6/1000)</x:f>
      </x:c>
      <x:c r="JJ62" s="27" t="str">
        <x:f>IF(C62="","",HQ62*1000000000+IX62*1000000+IR62*10000+IL62*100+JD62+5/1000)</x:f>
      </x:c>
      <x:c r="JK62" s="27" t="str">
        <x:f>IF(C62="","",HR62*1000000000+IY62*1000000+IS62*10000+IM62*100+JE62+4/1000)</x:f>
      </x:c>
      <x:c r="JL62" s="27" t="str">
        <x:f>IF(C62="","",HS62*1000000000+IZ62*1000000+IT62*10000+IN62*100+JF62+3/1000)</x:f>
      </x:c>
      <x:c r="JM62" s="27" t="str">
        <x:f>IF(C62="","",HT62*1000000000+JA62*1000000+IU62*10000+IO62*100+JG62+2/1000)</x:f>
      </x:c>
      <x:c r="JN62" s="27" t="str">
        <x:f>IF(C62="","",HU62*1000000000+JB62*1000000+IV62*10000+IP62*100+JH62+1/1000)</x:f>
      </x:c>
    </x:row>
    <x:row r="63">
      <x:c r="A63" s="27"/>
      <x:c r="B63" s="28"/>
      <x:c r="C63" s="27"/>
      <x:c r="D63" s="27"/>
      <x:c r="E63" s="27"/>
      <x:c r="F63" s="27"/>
      <x:c r="G63" s="27"/>
      <x:c r="H63" s="27"/>
      <x:c r="I63" s="27"/>
      <x:c r="J63" s="27"/>
      <x:c r="K63" s="27"/>
      <x:c r="L63" s="27"/>
      <x:c r="M63" s="27"/>
      <x:c r="N63" s="27"/>
      <x:c r="O63" s="27"/>
      <x:c r="P63" s="27"/>
      <x:c r="Q63" s="27"/>
      <x:c r="R63" s="27"/>
      <x:c r="S63" s="27"/>
      <x:c r="T63" s="27"/>
      <x:c r="U63" s="27"/>
      <x:c r="V63" s="27"/>
      <x:c r="W63" s="27"/>
      <x:c r="X63" s="27"/>
      <x:c r="Y63" s="27"/>
      <x:c r="Z63" s="27"/>
      <x:c r="AA63" s="27"/>
      <x:c r="AB63" s="27"/>
      <x:c r="AC63" s="27"/>
      <x:c r="AD63" s="27"/>
      <x:c r="AE63" s="27"/>
      <x:c r="AF63" s="27"/>
      <x:c r="AG63" s="27"/>
      <x:c r="AH63" s="27"/>
      <x:c r="AI63" s="27"/>
      <x:c r="AJ63" s="27"/>
      <x:c r="AK63" s="27"/>
      <x:c r="AL63" s="27"/>
      <x:c r="AM63" s="27"/>
      <x:c r="AN63" s="27"/>
      <x:c r="AO63" s="27"/>
      <x:c r="AP63" s="27"/>
      <x:c r="AQ63" s="27"/>
      <x:c r="AR63" s="27"/>
      <x:c r="AS63" s="27"/>
      <x:c r="AT63" s="27"/>
      <x:c r="AU63" s="27"/>
      <x:c r="AV63" s="27"/>
      <x:c r="AW63" s="27"/>
      <x:c r="AX63" s="27"/>
      <x:c r="AY63" s="27"/>
      <x:c r="AZ63" s="27"/>
      <x:c r="BA63" s="27"/>
      <x:c r="BB63" s="27"/>
      <x:c r="BC63" s="27"/>
      <x:c r="BD63" s="27"/>
      <x:c r="BE63" s="27"/>
      <x:c r="BF63" s="27"/>
      <x:c r="BG63" s="27"/>
      <x:c r="BH63" s="27"/>
      <x:c r="BI63" s="27"/>
      <x:c r="BJ63" s="27"/>
      <x:c r="BK63" s="27"/>
      <x:c r="BL63" s="27"/>
      <x:c r="BM63" s="27"/>
      <x:c r="BN63" s="27"/>
      <x:c r="BO63" s="27"/>
      <x:c r="BP63" s="27"/>
      <x:c r="BQ63" s="27"/>
      <x:c r="BR63" s="27"/>
      <x:c r="BS63" s="27"/>
      <x:c r="BT63" s="27"/>
      <x:c r="BU63" s="27"/>
      <x:c r="BV63" s="27"/>
      <x:c r="BW63" s="27"/>
      <x:c r="BX63" s="27"/>
      <x:c r="BY63" s="27"/>
      <x:c r="BZ63" s="27"/>
      <x:c r="CA63" s="27"/>
      <x:c r="CB63" s="27"/>
      <x:c r="CC63" s="27"/>
      <x:c r="CD63" s="27"/>
      <x:c r="CE63" s="27"/>
      <x:c r="CF63" s="27"/>
      <x:c r="CG63" s="27"/>
      <x:c r="CH63" s="27"/>
      <x:c r="CI63" s="27"/>
      <x:c r="CJ63" s="27"/>
      <x:c r="CK63" s="27"/>
      <x:c r="CL63" s="27"/>
      <x:c r="CM63" s="27"/>
      <x:c r="CN63" s="27"/>
      <x:c r="CO63" s="27"/>
      <x:c r="CP63" s="27"/>
      <x:c r="CQ63" s="27"/>
      <x:c r="CR63" s="27"/>
      <x:c r="CS63" s="27"/>
      <x:c r="CT63" s="27"/>
      <x:c r="CU63" s="27"/>
      <x:c r="CV63" s="27"/>
      <x:c r="CW63" s="27"/>
      <x:c r="CX63" s="27"/>
      <x:c r="CY63" s="27"/>
      <x:c r="CZ63" s="27"/>
      <x:c r="DA63" s="27"/>
      <x:c r="DB63" s="27"/>
      <x:c r="DC63" s="27"/>
      <x:c r="DD63" s="27"/>
      <x:c r="DE63" s="27"/>
      <x:c r="DF63" s="27"/>
      <x:c r="DG63" s="27"/>
      <x:c r="DH63" s="27"/>
      <x:c r="DI63" s="27"/>
      <x:c r="DJ63" s="27"/>
      <x:c r="DK63" s="27"/>
      <x:c r="DL63" s="27"/>
      <x:c r="DM63" s="27"/>
      <x:c r="DN63" s="27"/>
      <x:c r="DO63" s="27"/>
      <x:c r="DP63" s="27"/>
      <x:c r="DQ63" s="27"/>
      <x:c r="DR63" s="27"/>
      <x:c r="DS63" s="27"/>
      <x:c r="DT63" s="27"/>
      <x:c r="DU63" s="27"/>
      <x:c r="DV63" s="27"/>
      <x:c r="DW63" s="27"/>
      <x:c r="DX63" s="27"/>
      <x:c r="DY63" s="27"/>
      <x:c r="DZ63" s="27"/>
      <x:c r="EA63" s="27"/>
      <x:c r="EB63" s="27"/>
      <x:c r="EC63" s="27"/>
      <x:c r="ED63" s="27"/>
      <x:c r="EE63" s="27"/>
      <x:c r="EF63" s="27"/>
      <x:c r="EG63" s="27"/>
      <x:c r="EH63" s="27"/>
      <x:c r="EI63" s="27"/>
      <x:c r="EJ63" s="27"/>
      <x:c r="EK63" s="27"/>
      <x:c r="EL63" s="27"/>
      <x:c r="EM63" s="27"/>
      <x:c r="EN63" s="27"/>
      <x:c r="EO63" s="27"/>
      <x:c r="EP63" s="27"/>
      <x:c r="EQ63" s="27"/>
      <x:c r="ER63" s="27"/>
      <x:c r="ES63" s="27"/>
      <x:c r="ET63" s="27"/>
      <x:c r="EU63" s="27"/>
      <x:c r="EV63" s="27"/>
      <x:c r="EW63" s="27"/>
      <x:c r="EX63" s="27"/>
      <x:c r="EY63" s="27"/>
      <x:c r="EZ63" s="27"/>
      <x:c r="FA63" s="27"/>
      <x:c r="FB63" s="27"/>
      <x:c r="FC63" s="27"/>
      <x:c r="FD63" s="27"/>
      <x:c r="FE63" s="27"/>
      <x:c r="FF63" s="27"/>
      <x:c r="FG63" s="27"/>
      <x:c r="FH63" s="27"/>
      <x:c r="FI63" s="27"/>
      <x:c r="FJ63" s="27"/>
      <x:c r="FK63" s="27"/>
      <x:c r="FL63" s="27"/>
      <x:c r="FM63" s="27"/>
      <x:c r="FN63" s="27"/>
      <x:c r="FO63" s="27"/>
      <x:c r="FP63" s="27"/>
      <x:c r="FQ63" s="27"/>
      <x:c r="FR63" s="27"/>
      <x:c r="FS63" s="27"/>
      <x:c r="FT63" s="27"/>
      <x:c r="FU63" s="27"/>
      <x:c r="FV63" s="27"/>
      <x:c r="FW63" s="27"/>
      <x:c r="FX63" s="27"/>
      <x:c r="FY63" s="27"/>
      <x:c r="FZ63" s="27"/>
      <x:c r="GA63" s="27"/>
      <x:c r="GB63" s="27"/>
      <x:c r="GC63" s="27"/>
      <x:c r="GD63" s="27"/>
      <x:c r="GE63" s="27"/>
      <x:c r="GF63" s="27"/>
      <x:c r="GG63" s="27"/>
      <x:c r="GH63" s="27"/>
      <x:c r="GI63" s="27"/>
      <x:c r="GJ63" s="27"/>
      <x:c r="GK63" s="27"/>
      <x:c r="GL63" s="27"/>
      <x:c r="GM63" s="27"/>
      <x:c r="GN63" s="27"/>
      <x:c r="GO63" s="27"/>
      <x:c r="GP63" s="27"/>
      <x:c r="GQ63" s="27"/>
      <x:c r="GR63" s="27"/>
      <x:c r="GS63" s="27"/>
      <x:c r="GT63" s="27"/>
      <x:c r="GU63" s="27"/>
      <x:c r="GV63" s="27"/>
      <x:c r="GW63" s="27"/>
      <x:c r="GX63" s="27"/>
      <x:c r="GY63" s="27"/>
      <x:c r="GZ63" s="27"/>
      <x:c r="HA63" s="27"/>
      <x:c r="HB63" s="27"/>
      <x:c r="HC63" s="27"/>
      <x:c r="HD63" s="27"/>
      <x:c r="HE63" s="27"/>
      <x:c r="HF63" s="27"/>
      <x:c r="HG63" s="27"/>
      <x:c r="HH63" s="27"/>
      <x:c r="HI63" s="27"/>
      <x:c r="HJ63" s="27"/>
      <x:c r="HK63" s="27"/>
      <x:c r="HL63" s="27"/>
      <x:c r="HM63" s="27"/>
      <x:c r="HN63" s="27"/>
      <x:c r="HO63" s="27"/>
      <x:c r="HP63" s="27" t="str">
        <x:f>IF(C63="","",SUM(H63,N63,T63,Z63,AF63,AL63,AR63,AX63,BD63,BJ63,BP63,BV63,CB63,CH63,CN63,CT63,CZ63,DF63,DL63,DR63,DX63,ED63,EJ63,EP63,EV63,FB63,FH63,FN63,FT63,FZ63,GF63,GL63,GR63,GX63,HD63,HJ63))</x:f>
      </x:c>
      <x:c r="HQ63" s="27" t="str">
        <x:f>IF(C63="","",SUM(I63,O63,U63,AA63,AG63,AM63,AS63,AY63,BE63,BK63,BQ63,BW63,CC63,CI63,CO63,CU63,DA63,DG63,DM63,DS63,DY63,EE63,EK63,EQ63,EW63,FC63,FI63,FO63,FU63,GA63,GG63,GM63,GS63,GY63,HE63,HK63))</x:f>
      </x:c>
      <x:c r="HR63" s="27" t="str">
        <x:f>IF(C63="","",SUM(J63,P63,V63,AB63,AH63,AN63,AT63,AZ63,BF63,BL63,BR63,BX63,CD63,CJ63,CP63,CV63,DB63,DH63,DN63,DT63,DZ63,EF63,EL63,ER63,EX63,FD63,FJ63,FP63,FV63,GB63,GH63,GN63,GT63,GZ63,HF63,HL63))</x:f>
      </x:c>
      <x:c r="HS63" s="27" t="str">
        <x:f>IF(C63="","",SUM(K63,Q63,W63,AC63,AI63,AO63,AU63,BA63,BG63,BM63,BS63,BY63,CE63,CK63,CQ63,CW63,DC63,DI63,DO63,DU63,EA63,EG63,EM63,ES63,EY63,FE63,FK63,FQ63,FW63,GC63,GI63,GO63,GU63,HA63,HG63,HM63))</x:f>
      </x:c>
      <x:c r="HT63" s="27" t="str">
        <x:f>IF(C63="","",SUM(L63,R63,X63,AD63,AJ63,AP63,AV63,BB63,BH63,BN63,BT63,BZ63,CF63,CL63,CR63,CX63,DD63,DJ63,DP63,DV63,EB63,EH63,EN63,ET63,EZ63,FF63,FL63,FR63,FX63,GD63,GJ63,GP63,GV63,HB63,HH63,HN63))</x:f>
      </x:c>
      <x:c r="HU63" s="27" t="str">
        <x:f>IF(C63="","",SUM(M63,S63,Y63,AE63,AK63,AQ63,AW63,BC63,BI63,BO63,BU63,CA63,CG63,CM63,CS63,CY63,DE63,DK63,DQ63,DW63,EC63,EI63,EO63,EU63,FA63,FG63,FM63,FS63,FY63,GE63,GK63,GQ63,GW63,HC63,HI63,HO63))</x:f>
      </x:c>
      <x:c r="HV63" s="27" t="str">
        <x:f>IF(C63="","",IF(JI63=LARGE(JI63:JN63,1),"R",IF(JJ63=LARGE(JI63:JN63,1),"I",IF(JK63=LARGE(JI63:JN63,1),"A",IF(JL63=LARGE(JI63:JN63,1),"S",IF(JM63=LARGE(JI63:JN63,1),"E",IF(JN63=LARGE(JI63:JN63,1),"C",""))))))&amp;IF(JI63=LARGE(JI63:JN63,2),"R",IF(JJ63=LARGE(JI63:JN63,2),"I",IF(JK63=LARGE(JI63:JN63,2),"A",IF(JL63=LARGE(JI63:JN63,2),"S",IF(JM63=LARGE(JI63:JN63,2),"E",IF(JN63=LARGE(JI63:JN63,2),"C",""))))))&amp;IF(JI63=LARGE(JI63:JN63,3),"R",IF(JJ63=LARGE(JI63:JN63,3),"I",IF(JK63=LARGE(JI63:JN63,3),"A",IF(JL63=LARGE(JI63:JN63,3),"S",IF(JM63=LARGE(JI63:JN63,3),"E",IF(JN63=LARGE(JI63:JN63,3),"C","")))))))</x:f>
      </x:c>
      <x:c r="HW63" s="27" t="str">
        <x:f>IF(C63="","",IF(JI63=LARGE(JI63:JN63,1),"นักปฏิบัติ",IF(JJ63=LARGE(JI63:JN63,1),"นักคิดวิเคราะห์",IF(JK63=LARGE(JI63:JN63,1),"นักสร้างสรรค์",IF(JL63=LARGE(JI63:JN63,1),"ผู้เข้าใจผู้คน",IF(JM63=LARGE(JI63:JN63,1),"ผู้นำการเปลี่ยนแปลง",IF(JN63=LARGE(JI63:JN63,1),"ผู้จัดระบบ","ผู้จัดระบบ")))))))</x:f>
      </x:c>
      <x:c r="HX63" s="27"/>
      <x:c r="HY63" s="27"/>
      <x:c r="HZ63" s="27"/>
      <x:c r="IA63" s="27"/>
      <x:c r="IB63" s="27"/>
      <x:c r="IC63" s="27"/>
      <x:c r="ID63" s="27"/>
      <x:c r="IE63" s="27"/>
      <x:c r="IF63" s="27"/>
      <x:c r="IG63" s="27"/>
      <x:c r="IH63" s="27"/>
      <x:c r="II63" s="27"/>
      <x:c r="IJ63" s="27"/>
      <x:c r="IK63" s="27" t="str">
        <x:f>IF(C63="","",SUM(H63,N63,T63,Z63,AF63,AL63,AR63,AX63,BD63,BJ63,BP63))</x:f>
      </x:c>
      <x:c r="IL63" s="27" t="str">
        <x:f>IF(C63="","",SUM(I63,O63,U63,AA63,AG63,AM63,AS63,AY63,BE63,BK63,BQ63))</x:f>
      </x:c>
      <x:c r="IM63" s="27" t="str">
        <x:f>IF(C63="","",SUM(J63,P63,V63,AB63,AH63,AN63,AT63,AZ63,BF63,BL63,BR63))</x:f>
      </x:c>
      <x:c r="IN63" s="27" t="str">
        <x:f>IF(C63="","",SUM(K63,Q63,W63,AC63,AI63,AO63,AU63,BA63,BG63,BM63,BS63))</x:f>
      </x:c>
      <x:c r="IO63" s="27" t="str">
        <x:f>IF(C63="","",SUM(L63,R63,X63,AD63,AJ63,AP63,AV63,BB63,BH63,BN63,BT63))</x:f>
      </x:c>
      <x:c r="IP63" s="27" t="str">
        <x:f>IF(C63="","",SUM(M63,S63,Y63,AE63,AK63,AQ63,AW63,BC63,BI63,BO63,BU63))</x:f>
      </x:c>
      <x:c r="IQ63" s="27" t="str">
        <x:f>IF(C63="","",SUM(BV63,CB63,CH63,CN63,CT63,CZ63,DF63,DL63,DR63,DX63,ED63))</x:f>
      </x:c>
      <x:c r="IR63" s="27" t="str">
        <x:f>IF(C63="","",SUM(BW63,CC63,CI63,CO63,CU63,DA63,DG63,DM63,DS63,DY63,EE63))</x:f>
      </x:c>
      <x:c r="IS63" s="27" t="str">
        <x:f>IF(C63="","",SUM(BX63,CD63,CJ63,CP63,CV63,DB63,DH63,DN63,DT63,DZ63,EF63))</x:f>
      </x:c>
      <x:c r="IT63" s="27" t="str">
        <x:f>IF(C63="","",SUM(BY63,CE63,CK63,CQ63,CW63,DC63,DI63,DO63,DU63,EA63,EG63))</x:f>
      </x:c>
      <x:c r="IU63" s="27" t="str">
        <x:f>IF(C63="","",SUM(BZ63,CF63,CL63,CR63,CX63,DD63,DJ63,DP63,DV63,EB63,EH63))</x:f>
      </x:c>
      <x:c r="IV63" s="27" t="str">
        <x:f>IF(C63="","",SUM(CA63,CG63,CM63,CS63,CY63,DE63,DK63,DQ63,DW63,EC63,EI63))</x:f>
      </x:c>
      <x:c r="IW63" s="27" t="str">
        <x:f>IF(C63="","",SUM(EJ63,EP63,EV63,FB63,FH63,FN63,FT63,FZ63,GF63,GL63,GR63,GX63,HD63,HJ63))</x:f>
      </x:c>
      <x:c r="IX63" s="27" t="str">
        <x:f>IF(C63="","",SUM(EK63,EQ63,EW63,FC63,FI63,FO63,FU63,GA63,GG63,GM63,GS63,GY63,HE63,HK63))</x:f>
      </x:c>
      <x:c r="IY63" s="27" t="str">
        <x:f>IF(C63="","",SUM(EL63,ER63,EX63,FD63,FJ63,FP63,FV63,GB63,GH63,GN63,GT63,GZ63,HF63,HL63))</x:f>
      </x:c>
      <x:c r="IZ63" s="27" t="str">
        <x:f>IF(C63="","",SUM(EM63,ES63,EY63,FE63,FK63,FQ63,FW63,GC63,GI63,GO63,GU63,HA63,HG63,HM63))</x:f>
      </x:c>
      <x:c r="JA63" s="27" t="str">
        <x:f>IF(C63="","",SUM(EN63,ET63,EZ63,FF63,FL63,FR63,FX63,GD63,GJ63,GP63,GV63,HB63,HH63,HN63))</x:f>
      </x:c>
      <x:c r="JB63" s="27" t="str">
        <x:f>IF(C63="","",SUM(EO63,EU63,FA63,FG63,FM63,FS63,FY63,GE63,GK63,GQ63,GW63,HC63,HI63,HO63))</x:f>
      </x:c>
      <x:c r="JC63" s="27" t="str">
        <x:f>IF(C63="","",0)</x:f>
      </x:c>
      <x:c r="JD63" s="27" t="str">
        <x:f>IF(C63="","",0)</x:f>
      </x:c>
      <x:c r="JE63" s="27" t="str">
        <x:f>IF(C63="","",0)</x:f>
      </x:c>
      <x:c r="JF63" s="27" t="str">
        <x:f>IF(C63="","",0)</x:f>
      </x:c>
      <x:c r="JG63" s="27" t="str">
        <x:f>IF(C63="","",0)</x:f>
      </x:c>
      <x:c r="JH63" s="27" t="str">
        <x:f>IF(C63="","",0)</x:f>
      </x:c>
      <x:c r="JI63" s="27" t="str">
        <x:f>IF(C63="","",HP63*1000000000+IW63*1000000+IQ63*10000+IK63*100+JC63+6/1000)</x:f>
      </x:c>
      <x:c r="JJ63" s="27" t="str">
        <x:f>IF(C63="","",HQ63*1000000000+IX63*1000000+IR63*10000+IL63*100+JD63+5/1000)</x:f>
      </x:c>
      <x:c r="JK63" s="27" t="str">
        <x:f>IF(C63="","",HR63*1000000000+IY63*1000000+IS63*10000+IM63*100+JE63+4/1000)</x:f>
      </x:c>
      <x:c r="JL63" s="27" t="str">
        <x:f>IF(C63="","",HS63*1000000000+IZ63*1000000+IT63*10000+IN63*100+JF63+3/1000)</x:f>
      </x:c>
      <x:c r="JM63" s="27" t="str">
        <x:f>IF(C63="","",HT63*1000000000+JA63*1000000+IU63*10000+IO63*100+JG63+2/1000)</x:f>
      </x:c>
      <x:c r="JN63" s="27" t="str">
        <x:f>IF(C63="","",HU63*1000000000+JB63*1000000+IV63*10000+IP63*100+JH63+1/1000)</x:f>
      </x:c>
    </x:row>
    <x:row r="64">
      <x:c r="A64" s="27"/>
      <x:c r="B64" s="28"/>
      <x:c r="C64" s="27"/>
      <x:c r="D64" s="27"/>
      <x:c r="E64" s="27"/>
      <x:c r="F64" s="27"/>
      <x:c r="G64" s="27"/>
      <x:c r="H64" s="27"/>
      <x:c r="I64" s="27"/>
      <x:c r="J64" s="27"/>
      <x:c r="K64" s="27"/>
      <x:c r="L64" s="27"/>
      <x:c r="M64" s="27"/>
      <x:c r="N64" s="27"/>
      <x:c r="O64" s="27"/>
      <x:c r="P64" s="27"/>
      <x:c r="Q64" s="27"/>
      <x:c r="R64" s="27"/>
      <x:c r="S64" s="27"/>
      <x:c r="T64" s="27"/>
      <x:c r="U64" s="27"/>
      <x:c r="V64" s="27"/>
      <x:c r="W64" s="27"/>
      <x:c r="X64" s="27"/>
      <x:c r="Y64" s="27"/>
      <x:c r="Z64" s="27"/>
      <x:c r="AA64" s="27"/>
      <x:c r="AB64" s="27"/>
      <x:c r="AC64" s="27"/>
      <x:c r="AD64" s="27"/>
      <x:c r="AE64" s="27"/>
      <x:c r="AF64" s="27"/>
      <x:c r="AG64" s="27"/>
      <x:c r="AH64" s="27"/>
      <x:c r="AI64" s="27"/>
      <x:c r="AJ64" s="27"/>
      <x:c r="AK64" s="27"/>
      <x:c r="AL64" s="27"/>
      <x:c r="AM64" s="27"/>
      <x:c r="AN64" s="27"/>
      <x:c r="AO64" s="27"/>
      <x:c r="AP64" s="27"/>
      <x:c r="AQ64" s="27"/>
      <x:c r="AR64" s="27"/>
      <x:c r="AS64" s="27"/>
      <x:c r="AT64" s="27"/>
      <x:c r="AU64" s="27"/>
      <x:c r="AV64" s="27"/>
      <x:c r="AW64" s="27"/>
      <x:c r="AX64" s="27"/>
      <x:c r="AY64" s="27"/>
      <x:c r="AZ64" s="27"/>
      <x:c r="BA64" s="27"/>
      <x:c r="BB64" s="27"/>
      <x:c r="BC64" s="27"/>
      <x:c r="BD64" s="27"/>
      <x:c r="BE64" s="27"/>
      <x:c r="BF64" s="27"/>
      <x:c r="BG64" s="27"/>
      <x:c r="BH64" s="27"/>
      <x:c r="BI64" s="27"/>
      <x:c r="BJ64" s="27"/>
      <x:c r="BK64" s="27"/>
      <x:c r="BL64" s="27"/>
      <x:c r="BM64" s="27"/>
      <x:c r="BN64" s="27"/>
      <x:c r="BO64" s="27"/>
      <x:c r="BP64" s="27"/>
      <x:c r="BQ64" s="27"/>
      <x:c r="BR64" s="27"/>
      <x:c r="BS64" s="27"/>
      <x:c r="BT64" s="27"/>
      <x:c r="BU64" s="27"/>
      <x:c r="BV64" s="27"/>
      <x:c r="BW64" s="27"/>
      <x:c r="BX64" s="27"/>
      <x:c r="BY64" s="27"/>
      <x:c r="BZ64" s="27"/>
      <x:c r="CA64" s="27"/>
      <x:c r="CB64" s="27"/>
      <x:c r="CC64" s="27"/>
      <x:c r="CD64" s="27"/>
      <x:c r="CE64" s="27"/>
      <x:c r="CF64" s="27"/>
      <x:c r="CG64" s="27"/>
      <x:c r="CH64" s="27"/>
      <x:c r="CI64" s="27"/>
      <x:c r="CJ64" s="27"/>
      <x:c r="CK64" s="27"/>
      <x:c r="CL64" s="27"/>
      <x:c r="CM64" s="27"/>
      <x:c r="CN64" s="27"/>
      <x:c r="CO64" s="27"/>
      <x:c r="CP64" s="27"/>
      <x:c r="CQ64" s="27"/>
      <x:c r="CR64" s="27"/>
      <x:c r="CS64" s="27"/>
      <x:c r="CT64" s="27"/>
      <x:c r="CU64" s="27"/>
      <x:c r="CV64" s="27"/>
      <x:c r="CW64" s="27"/>
      <x:c r="CX64" s="27"/>
      <x:c r="CY64" s="27"/>
      <x:c r="CZ64" s="27"/>
      <x:c r="DA64" s="27"/>
      <x:c r="DB64" s="27"/>
      <x:c r="DC64" s="27"/>
      <x:c r="DD64" s="27"/>
      <x:c r="DE64" s="27"/>
      <x:c r="DF64" s="27"/>
      <x:c r="DG64" s="27"/>
      <x:c r="DH64" s="27"/>
      <x:c r="DI64" s="27"/>
      <x:c r="DJ64" s="27"/>
      <x:c r="DK64" s="27"/>
      <x:c r="DL64" s="27"/>
      <x:c r="DM64" s="27"/>
      <x:c r="DN64" s="27"/>
      <x:c r="DO64" s="27"/>
      <x:c r="DP64" s="27"/>
      <x:c r="DQ64" s="27"/>
      <x:c r="DR64" s="27"/>
      <x:c r="DS64" s="27"/>
      <x:c r="DT64" s="27"/>
      <x:c r="DU64" s="27"/>
      <x:c r="DV64" s="27"/>
      <x:c r="DW64" s="27"/>
      <x:c r="DX64" s="27"/>
      <x:c r="DY64" s="27"/>
      <x:c r="DZ64" s="27"/>
      <x:c r="EA64" s="27"/>
      <x:c r="EB64" s="27"/>
      <x:c r="EC64" s="27"/>
      <x:c r="ED64" s="27"/>
      <x:c r="EE64" s="27"/>
      <x:c r="EF64" s="27"/>
      <x:c r="EG64" s="27"/>
      <x:c r="EH64" s="27"/>
      <x:c r="EI64" s="27"/>
      <x:c r="EJ64" s="27"/>
      <x:c r="EK64" s="27"/>
      <x:c r="EL64" s="27"/>
      <x:c r="EM64" s="27"/>
      <x:c r="EN64" s="27"/>
      <x:c r="EO64" s="27"/>
      <x:c r="EP64" s="27"/>
      <x:c r="EQ64" s="27"/>
      <x:c r="ER64" s="27"/>
      <x:c r="ES64" s="27"/>
      <x:c r="ET64" s="27"/>
      <x:c r="EU64" s="27"/>
      <x:c r="EV64" s="27"/>
      <x:c r="EW64" s="27"/>
      <x:c r="EX64" s="27"/>
      <x:c r="EY64" s="27"/>
      <x:c r="EZ64" s="27"/>
      <x:c r="FA64" s="27"/>
      <x:c r="FB64" s="27"/>
      <x:c r="FC64" s="27"/>
      <x:c r="FD64" s="27"/>
      <x:c r="FE64" s="27"/>
      <x:c r="FF64" s="27"/>
      <x:c r="FG64" s="27"/>
      <x:c r="FH64" s="27"/>
      <x:c r="FI64" s="27"/>
      <x:c r="FJ64" s="27"/>
      <x:c r="FK64" s="27"/>
      <x:c r="FL64" s="27"/>
      <x:c r="FM64" s="27"/>
      <x:c r="FN64" s="27"/>
      <x:c r="FO64" s="27"/>
      <x:c r="FP64" s="27"/>
      <x:c r="FQ64" s="27"/>
      <x:c r="FR64" s="27"/>
      <x:c r="FS64" s="27"/>
      <x:c r="FT64" s="27"/>
      <x:c r="FU64" s="27"/>
      <x:c r="FV64" s="27"/>
      <x:c r="FW64" s="27"/>
      <x:c r="FX64" s="27"/>
      <x:c r="FY64" s="27"/>
      <x:c r="FZ64" s="27"/>
      <x:c r="GA64" s="27"/>
      <x:c r="GB64" s="27"/>
      <x:c r="GC64" s="27"/>
      <x:c r="GD64" s="27"/>
      <x:c r="GE64" s="27"/>
      <x:c r="GF64" s="27"/>
      <x:c r="GG64" s="27"/>
      <x:c r="GH64" s="27"/>
      <x:c r="GI64" s="27"/>
      <x:c r="GJ64" s="27"/>
      <x:c r="GK64" s="27"/>
      <x:c r="GL64" s="27"/>
      <x:c r="GM64" s="27"/>
      <x:c r="GN64" s="27"/>
      <x:c r="GO64" s="27"/>
      <x:c r="GP64" s="27"/>
      <x:c r="GQ64" s="27"/>
      <x:c r="GR64" s="27"/>
      <x:c r="GS64" s="27"/>
      <x:c r="GT64" s="27"/>
      <x:c r="GU64" s="27"/>
      <x:c r="GV64" s="27"/>
      <x:c r="GW64" s="27"/>
      <x:c r="GX64" s="27"/>
      <x:c r="GY64" s="27"/>
      <x:c r="GZ64" s="27"/>
      <x:c r="HA64" s="27"/>
      <x:c r="HB64" s="27"/>
      <x:c r="HC64" s="27"/>
      <x:c r="HD64" s="27"/>
      <x:c r="HE64" s="27"/>
      <x:c r="HF64" s="27"/>
      <x:c r="HG64" s="27"/>
      <x:c r="HH64" s="27"/>
      <x:c r="HI64" s="27"/>
      <x:c r="HJ64" s="27"/>
      <x:c r="HK64" s="27"/>
      <x:c r="HL64" s="27"/>
      <x:c r="HM64" s="27"/>
      <x:c r="HN64" s="27"/>
      <x:c r="HO64" s="27"/>
      <x:c r="HP64" s="27" t="str">
        <x:f>IF(C64="","",SUM(H64,N64,T64,Z64,AF64,AL64,AR64,AX64,BD64,BJ64,BP64,BV64,CB64,CH64,CN64,CT64,CZ64,DF64,DL64,DR64,DX64,ED64,EJ64,EP64,EV64,FB64,FH64,FN64,FT64,FZ64,GF64,GL64,GR64,GX64,HD64,HJ64))</x:f>
      </x:c>
      <x:c r="HQ64" s="27" t="str">
        <x:f>IF(C64="","",SUM(I64,O64,U64,AA64,AG64,AM64,AS64,AY64,BE64,BK64,BQ64,BW64,CC64,CI64,CO64,CU64,DA64,DG64,DM64,DS64,DY64,EE64,EK64,EQ64,EW64,FC64,FI64,FO64,FU64,GA64,GG64,GM64,GS64,GY64,HE64,HK64))</x:f>
      </x:c>
      <x:c r="HR64" s="27" t="str">
        <x:f>IF(C64="","",SUM(J64,P64,V64,AB64,AH64,AN64,AT64,AZ64,BF64,BL64,BR64,BX64,CD64,CJ64,CP64,CV64,DB64,DH64,DN64,DT64,DZ64,EF64,EL64,ER64,EX64,FD64,FJ64,FP64,FV64,GB64,GH64,GN64,GT64,GZ64,HF64,HL64))</x:f>
      </x:c>
      <x:c r="HS64" s="27" t="str">
        <x:f>IF(C64="","",SUM(K64,Q64,W64,AC64,AI64,AO64,AU64,BA64,BG64,BM64,BS64,BY64,CE64,CK64,CQ64,CW64,DC64,DI64,DO64,DU64,EA64,EG64,EM64,ES64,EY64,FE64,FK64,FQ64,FW64,GC64,GI64,GO64,GU64,HA64,HG64,HM64))</x:f>
      </x:c>
      <x:c r="HT64" s="27" t="str">
        <x:f>IF(C64="","",SUM(L64,R64,X64,AD64,AJ64,AP64,AV64,BB64,BH64,BN64,BT64,BZ64,CF64,CL64,CR64,CX64,DD64,DJ64,DP64,DV64,EB64,EH64,EN64,ET64,EZ64,FF64,FL64,FR64,FX64,GD64,GJ64,GP64,GV64,HB64,HH64,HN64))</x:f>
      </x:c>
      <x:c r="HU64" s="27" t="str">
        <x:f>IF(C64="","",SUM(M64,S64,Y64,AE64,AK64,AQ64,AW64,BC64,BI64,BO64,BU64,CA64,CG64,CM64,CS64,CY64,DE64,DK64,DQ64,DW64,EC64,EI64,EO64,EU64,FA64,FG64,FM64,FS64,FY64,GE64,GK64,GQ64,GW64,HC64,HI64,HO64))</x:f>
      </x:c>
      <x:c r="HV64" s="27" t="str">
        <x:f>IF(C64="","",IF(JI64=LARGE(JI64:JN64,1),"R",IF(JJ64=LARGE(JI64:JN64,1),"I",IF(JK64=LARGE(JI64:JN64,1),"A",IF(JL64=LARGE(JI64:JN64,1),"S",IF(JM64=LARGE(JI64:JN64,1),"E",IF(JN64=LARGE(JI64:JN64,1),"C",""))))))&amp;IF(JI64=LARGE(JI64:JN64,2),"R",IF(JJ64=LARGE(JI64:JN64,2),"I",IF(JK64=LARGE(JI64:JN64,2),"A",IF(JL64=LARGE(JI64:JN64,2),"S",IF(JM64=LARGE(JI64:JN64,2),"E",IF(JN64=LARGE(JI64:JN64,2),"C",""))))))&amp;IF(JI64=LARGE(JI64:JN64,3),"R",IF(JJ64=LARGE(JI64:JN64,3),"I",IF(JK64=LARGE(JI64:JN64,3),"A",IF(JL64=LARGE(JI64:JN64,3),"S",IF(JM64=LARGE(JI64:JN64,3),"E",IF(JN64=LARGE(JI64:JN64,3),"C","")))))))</x:f>
      </x:c>
      <x:c r="HW64" s="27" t="str">
        <x:f>IF(C64="","",IF(JI64=LARGE(JI64:JN64,1),"นักปฏิบัติ",IF(JJ64=LARGE(JI64:JN64,1),"นักคิดวิเคราะห์",IF(JK64=LARGE(JI64:JN64,1),"นักสร้างสรรค์",IF(JL64=LARGE(JI64:JN64,1),"ผู้เข้าใจผู้คน",IF(JM64=LARGE(JI64:JN64,1),"ผู้นำการเปลี่ยนแปลง",IF(JN64=LARGE(JI64:JN64,1),"ผู้จัดระบบ","ผู้จัดระบบ")))))))</x:f>
      </x:c>
      <x:c r="HX64" s="27"/>
      <x:c r="HY64" s="27"/>
      <x:c r="HZ64" s="27"/>
      <x:c r="IA64" s="27"/>
      <x:c r="IB64" s="27"/>
      <x:c r="IC64" s="27"/>
      <x:c r="ID64" s="27"/>
      <x:c r="IE64" s="27"/>
      <x:c r="IF64" s="27"/>
      <x:c r="IG64" s="27"/>
      <x:c r="IH64" s="27"/>
      <x:c r="II64" s="27"/>
      <x:c r="IJ64" s="27"/>
      <x:c r="IK64" s="27" t="str">
        <x:f>IF(C64="","",SUM(H64,N64,T64,Z64,AF64,AL64,AR64,AX64,BD64,BJ64,BP64))</x:f>
      </x:c>
      <x:c r="IL64" s="27" t="str">
        <x:f>IF(C64="","",SUM(I64,O64,U64,AA64,AG64,AM64,AS64,AY64,BE64,BK64,BQ64))</x:f>
      </x:c>
      <x:c r="IM64" s="27" t="str">
        <x:f>IF(C64="","",SUM(J64,P64,V64,AB64,AH64,AN64,AT64,AZ64,BF64,BL64,BR64))</x:f>
      </x:c>
      <x:c r="IN64" s="27" t="str">
        <x:f>IF(C64="","",SUM(K64,Q64,W64,AC64,AI64,AO64,AU64,BA64,BG64,BM64,BS64))</x:f>
      </x:c>
      <x:c r="IO64" s="27" t="str">
        <x:f>IF(C64="","",SUM(L64,R64,X64,AD64,AJ64,AP64,AV64,BB64,BH64,BN64,BT64))</x:f>
      </x:c>
      <x:c r="IP64" s="27" t="str">
        <x:f>IF(C64="","",SUM(M64,S64,Y64,AE64,AK64,AQ64,AW64,BC64,BI64,BO64,BU64))</x:f>
      </x:c>
      <x:c r="IQ64" s="27" t="str">
        <x:f>IF(C64="","",SUM(BV64,CB64,CH64,CN64,CT64,CZ64,DF64,DL64,DR64,DX64,ED64))</x:f>
      </x:c>
      <x:c r="IR64" s="27" t="str">
        <x:f>IF(C64="","",SUM(BW64,CC64,CI64,CO64,CU64,DA64,DG64,DM64,DS64,DY64,EE64))</x:f>
      </x:c>
      <x:c r="IS64" s="27" t="str">
        <x:f>IF(C64="","",SUM(BX64,CD64,CJ64,CP64,CV64,DB64,DH64,DN64,DT64,DZ64,EF64))</x:f>
      </x:c>
      <x:c r="IT64" s="27" t="str">
        <x:f>IF(C64="","",SUM(BY64,CE64,CK64,CQ64,CW64,DC64,DI64,DO64,DU64,EA64,EG64))</x:f>
      </x:c>
      <x:c r="IU64" s="27" t="str">
        <x:f>IF(C64="","",SUM(BZ64,CF64,CL64,CR64,CX64,DD64,DJ64,DP64,DV64,EB64,EH64))</x:f>
      </x:c>
      <x:c r="IV64" s="27" t="str">
        <x:f>IF(C64="","",SUM(CA64,CG64,CM64,CS64,CY64,DE64,DK64,DQ64,DW64,EC64,EI64))</x:f>
      </x:c>
      <x:c r="IW64" s="27" t="str">
        <x:f>IF(C64="","",SUM(EJ64,EP64,EV64,FB64,FH64,FN64,FT64,FZ64,GF64,GL64,GR64,GX64,HD64,HJ64))</x:f>
      </x:c>
      <x:c r="IX64" s="27" t="str">
        <x:f>IF(C64="","",SUM(EK64,EQ64,EW64,FC64,FI64,FO64,FU64,GA64,GG64,GM64,GS64,GY64,HE64,HK64))</x:f>
      </x:c>
      <x:c r="IY64" s="27" t="str">
        <x:f>IF(C64="","",SUM(EL64,ER64,EX64,FD64,FJ64,FP64,FV64,GB64,GH64,GN64,GT64,GZ64,HF64,HL64))</x:f>
      </x:c>
      <x:c r="IZ64" s="27" t="str">
        <x:f>IF(C64="","",SUM(EM64,ES64,EY64,FE64,FK64,FQ64,FW64,GC64,GI64,GO64,GU64,HA64,HG64,HM64))</x:f>
      </x:c>
      <x:c r="JA64" s="27" t="str">
        <x:f>IF(C64="","",SUM(EN64,ET64,EZ64,FF64,FL64,FR64,FX64,GD64,GJ64,GP64,GV64,HB64,HH64,HN64))</x:f>
      </x:c>
      <x:c r="JB64" s="27" t="str">
        <x:f>IF(C64="","",SUM(EO64,EU64,FA64,FG64,FM64,FS64,FY64,GE64,GK64,GQ64,GW64,HC64,HI64,HO64))</x:f>
      </x:c>
      <x:c r="JC64" s="27" t="str">
        <x:f>IF(C64="","",0)</x:f>
      </x:c>
      <x:c r="JD64" s="27" t="str">
        <x:f>IF(C64="","",0)</x:f>
      </x:c>
      <x:c r="JE64" s="27" t="str">
        <x:f>IF(C64="","",0)</x:f>
      </x:c>
      <x:c r="JF64" s="27" t="str">
        <x:f>IF(C64="","",0)</x:f>
      </x:c>
      <x:c r="JG64" s="27" t="str">
        <x:f>IF(C64="","",0)</x:f>
      </x:c>
      <x:c r="JH64" s="27" t="str">
        <x:f>IF(C64="","",0)</x:f>
      </x:c>
      <x:c r="JI64" s="27" t="str">
        <x:f>IF(C64="","",HP64*1000000000+IW64*1000000+IQ64*10000+IK64*100+JC64+6/1000)</x:f>
      </x:c>
      <x:c r="JJ64" s="27" t="str">
        <x:f>IF(C64="","",HQ64*1000000000+IX64*1000000+IR64*10000+IL64*100+JD64+5/1000)</x:f>
      </x:c>
      <x:c r="JK64" s="27" t="str">
        <x:f>IF(C64="","",HR64*1000000000+IY64*1000000+IS64*10000+IM64*100+JE64+4/1000)</x:f>
      </x:c>
      <x:c r="JL64" s="27" t="str">
        <x:f>IF(C64="","",HS64*1000000000+IZ64*1000000+IT64*10000+IN64*100+JF64+3/1000)</x:f>
      </x:c>
      <x:c r="JM64" s="27" t="str">
        <x:f>IF(C64="","",HT64*1000000000+JA64*1000000+IU64*10000+IO64*100+JG64+2/1000)</x:f>
      </x:c>
      <x:c r="JN64" s="27" t="str">
        <x:f>IF(C64="","",HU64*1000000000+JB64*1000000+IV64*10000+IP64*100+JH64+1/1000)</x:f>
      </x:c>
    </x:row>
    <x:row r="65">
      <x:c r="A65" s="27"/>
      <x:c r="B65" s="28"/>
      <x:c r="C65" s="27"/>
      <x:c r="D65" s="27"/>
      <x:c r="E65" s="27"/>
      <x:c r="F65" s="27"/>
      <x:c r="G65" s="27"/>
      <x:c r="H65" s="27"/>
      <x:c r="I65" s="27"/>
      <x:c r="J65" s="27"/>
      <x:c r="K65" s="27"/>
      <x:c r="L65" s="27"/>
      <x:c r="M65" s="27"/>
      <x:c r="N65" s="27"/>
      <x:c r="O65" s="27"/>
      <x:c r="P65" s="27"/>
      <x:c r="Q65" s="27"/>
      <x:c r="R65" s="27"/>
      <x:c r="S65" s="27"/>
      <x:c r="T65" s="27"/>
      <x:c r="U65" s="27"/>
      <x:c r="V65" s="27"/>
      <x:c r="W65" s="27"/>
      <x:c r="X65" s="27"/>
      <x:c r="Y65" s="27"/>
      <x:c r="Z65" s="27"/>
      <x:c r="AA65" s="27"/>
      <x:c r="AB65" s="27"/>
      <x:c r="AC65" s="27"/>
      <x:c r="AD65" s="27"/>
      <x:c r="AE65" s="27"/>
      <x:c r="AF65" s="27"/>
      <x:c r="AG65" s="27"/>
      <x:c r="AH65" s="27"/>
      <x:c r="AI65" s="27"/>
      <x:c r="AJ65" s="27"/>
      <x:c r="AK65" s="27"/>
      <x:c r="AL65" s="27"/>
      <x:c r="AM65" s="27"/>
      <x:c r="AN65" s="27"/>
      <x:c r="AO65" s="27"/>
      <x:c r="AP65" s="27"/>
      <x:c r="AQ65" s="27"/>
      <x:c r="AR65" s="27"/>
      <x:c r="AS65" s="27"/>
      <x:c r="AT65" s="27"/>
      <x:c r="AU65" s="27"/>
      <x:c r="AV65" s="27"/>
      <x:c r="AW65" s="27"/>
      <x:c r="AX65" s="27"/>
      <x:c r="AY65" s="27"/>
      <x:c r="AZ65" s="27"/>
      <x:c r="BA65" s="27"/>
      <x:c r="BB65" s="27"/>
      <x:c r="BC65" s="27"/>
      <x:c r="BD65" s="27"/>
      <x:c r="BE65" s="27"/>
      <x:c r="BF65" s="27"/>
      <x:c r="BG65" s="27"/>
      <x:c r="BH65" s="27"/>
      <x:c r="BI65" s="27"/>
      <x:c r="BJ65" s="27"/>
      <x:c r="BK65" s="27"/>
      <x:c r="BL65" s="27"/>
      <x:c r="BM65" s="27"/>
      <x:c r="BN65" s="27"/>
      <x:c r="BO65" s="27"/>
      <x:c r="BP65" s="27"/>
      <x:c r="BQ65" s="27"/>
      <x:c r="BR65" s="27"/>
      <x:c r="BS65" s="27"/>
      <x:c r="BT65" s="27"/>
      <x:c r="BU65" s="27"/>
      <x:c r="BV65" s="27"/>
      <x:c r="BW65" s="27"/>
      <x:c r="BX65" s="27"/>
      <x:c r="BY65" s="27"/>
      <x:c r="BZ65" s="27"/>
      <x:c r="CA65" s="27"/>
      <x:c r="CB65" s="27"/>
      <x:c r="CC65" s="27"/>
      <x:c r="CD65" s="27"/>
      <x:c r="CE65" s="27"/>
      <x:c r="CF65" s="27"/>
      <x:c r="CG65" s="27"/>
      <x:c r="CH65" s="27"/>
      <x:c r="CI65" s="27"/>
      <x:c r="CJ65" s="27"/>
      <x:c r="CK65" s="27"/>
      <x:c r="CL65" s="27"/>
      <x:c r="CM65" s="27"/>
      <x:c r="CN65" s="27"/>
      <x:c r="CO65" s="27"/>
      <x:c r="CP65" s="27"/>
      <x:c r="CQ65" s="27"/>
      <x:c r="CR65" s="27"/>
      <x:c r="CS65" s="27"/>
      <x:c r="CT65" s="27"/>
      <x:c r="CU65" s="27"/>
      <x:c r="CV65" s="27"/>
      <x:c r="CW65" s="27"/>
      <x:c r="CX65" s="27"/>
      <x:c r="CY65" s="27"/>
      <x:c r="CZ65" s="27"/>
      <x:c r="DA65" s="27"/>
      <x:c r="DB65" s="27"/>
      <x:c r="DC65" s="27"/>
      <x:c r="DD65" s="27"/>
      <x:c r="DE65" s="27"/>
      <x:c r="DF65" s="27"/>
      <x:c r="DG65" s="27"/>
      <x:c r="DH65" s="27"/>
      <x:c r="DI65" s="27"/>
      <x:c r="DJ65" s="27"/>
      <x:c r="DK65" s="27"/>
      <x:c r="DL65" s="27"/>
      <x:c r="DM65" s="27"/>
      <x:c r="DN65" s="27"/>
      <x:c r="DO65" s="27"/>
      <x:c r="DP65" s="27"/>
      <x:c r="DQ65" s="27"/>
      <x:c r="DR65" s="27"/>
      <x:c r="DS65" s="27"/>
      <x:c r="DT65" s="27"/>
      <x:c r="DU65" s="27"/>
      <x:c r="DV65" s="27"/>
      <x:c r="DW65" s="27"/>
      <x:c r="DX65" s="27"/>
      <x:c r="DY65" s="27"/>
      <x:c r="DZ65" s="27"/>
      <x:c r="EA65" s="27"/>
      <x:c r="EB65" s="27"/>
      <x:c r="EC65" s="27"/>
      <x:c r="ED65" s="27"/>
      <x:c r="EE65" s="27"/>
      <x:c r="EF65" s="27"/>
      <x:c r="EG65" s="27"/>
      <x:c r="EH65" s="27"/>
      <x:c r="EI65" s="27"/>
      <x:c r="EJ65" s="27"/>
      <x:c r="EK65" s="27"/>
      <x:c r="EL65" s="27"/>
      <x:c r="EM65" s="27"/>
      <x:c r="EN65" s="27"/>
      <x:c r="EO65" s="27"/>
      <x:c r="EP65" s="27"/>
      <x:c r="EQ65" s="27"/>
      <x:c r="ER65" s="27"/>
      <x:c r="ES65" s="27"/>
      <x:c r="ET65" s="27"/>
      <x:c r="EU65" s="27"/>
      <x:c r="EV65" s="27"/>
      <x:c r="EW65" s="27"/>
      <x:c r="EX65" s="27"/>
      <x:c r="EY65" s="27"/>
      <x:c r="EZ65" s="27"/>
      <x:c r="FA65" s="27"/>
      <x:c r="FB65" s="27"/>
      <x:c r="FC65" s="27"/>
      <x:c r="FD65" s="27"/>
      <x:c r="FE65" s="27"/>
      <x:c r="FF65" s="27"/>
      <x:c r="FG65" s="27"/>
      <x:c r="FH65" s="27"/>
      <x:c r="FI65" s="27"/>
      <x:c r="FJ65" s="27"/>
      <x:c r="FK65" s="27"/>
      <x:c r="FL65" s="27"/>
      <x:c r="FM65" s="27"/>
      <x:c r="FN65" s="27"/>
      <x:c r="FO65" s="27"/>
      <x:c r="FP65" s="27"/>
      <x:c r="FQ65" s="27"/>
      <x:c r="FR65" s="27"/>
      <x:c r="FS65" s="27"/>
      <x:c r="FT65" s="27"/>
      <x:c r="FU65" s="27"/>
      <x:c r="FV65" s="27"/>
      <x:c r="FW65" s="27"/>
      <x:c r="FX65" s="27"/>
      <x:c r="FY65" s="27"/>
      <x:c r="FZ65" s="27"/>
      <x:c r="GA65" s="27"/>
      <x:c r="GB65" s="27"/>
      <x:c r="GC65" s="27"/>
      <x:c r="GD65" s="27"/>
      <x:c r="GE65" s="27"/>
      <x:c r="GF65" s="27"/>
      <x:c r="GG65" s="27"/>
      <x:c r="GH65" s="27"/>
      <x:c r="GI65" s="27"/>
      <x:c r="GJ65" s="27"/>
      <x:c r="GK65" s="27"/>
      <x:c r="GL65" s="27"/>
      <x:c r="GM65" s="27"/>
      <x:c r="GN65" s="27"/>
      <x:c r="GO65" s="27"/>
      <x:c r="GP65" s="27"/>
      <x:c r="GQ65" s="27"/>
      <x:c r="GR65" s="27"/>
      <x:c r="GS65" s="27"/>
      <x:c r="GT65" s="27"/>
      <x:c r="GU65" s="27"/>
      <x:c r="GV65" s="27"/>
      <x:c r="GW65" s="27"/>
      <x:c r="GX65" s="27"/>
      <x:c r="GY65" s="27"/>
      <x:c r="GZ65" s="27"/>
      <x:c r="HA65" s="27"/>
      <x:c r="HB65" s="27"/>
      <x:c r="HC65" s="27"/>
      <x:c r="HD65" s="27"/>
      <x:c r="HE65" s="27"/>
      <x:c r="HF65" s="27"/>
      <x:c r="HG65" s="27"/>
      <x:c r="HH65" s="27"/>
      <x:c r="HI65" s="27"/>
      <x:c r="HJ65" s="27"/>
      <x:c r="HK65" s="27"/>
      <x:c r="HL65" s="27"/>
      <x:c r="HM65" s="27"/>
      <x:c r="HN65" s="27"/>
      <x:c r="HO65" s="27"/>
      <x:c r="HP65" s="27" t="str">
        <x:f>IF(C65="","",SUM(H65,N65,T65,Z65,AF65,AL65,AR65,AX65,BD65,BJ65,BP65,BV65,CB65,CH65,CN65,CT65,CZ65,DF65,DL65,DR65,DX65,ED65,EJ65,EP65,EV65,FB65,FH65,FN65,FT65,FZ65,GF65,GL65,GR65,GX65,HD65,HJ65))</x:f>
      </x:c>
      <x:c r="HQ65" s="27" t="str">
        <x:f>IF(C65="","",SUM(I65,O65,U65,AA65,AG65,AM65,AS65,AY65,BE65,BK65,BQ65,BW65,CC65,CI65,CO65,CU65,DA65,DG65,DM65,DS65,DY65,EE65,EK65,EQ65,EW65,FC65,FI65,FO65,FU65,GA65,GG65,GM65,GS65,GY65,HE65,HK65))</x:f>
      </x:c>
      <x:c r="HR65" s="27" t="str">
        <x:f>IF(C65="","",SUM(J65,P65,V65,AB65,AH65,AN65,AT65,AZ65,BF65,BL65,BR65,BX65,CD65,CJ65,CP65,CV65,DB65,DH65,DN65,DT65,DZ65,EF65,EL65,ER65,EX65,FD65,FJ65,FP65,FV65,GB65,GH65,GN65,GT65,GZ65,HF65,HL65))</x:f>
      </x:c>
      <x:c r="HS65" s="27" t="str">
        <x:f>IF(C65="","",SUM(K65,Q65,W65,AC65,AI65,AO65,AU65,BA65,BG65,BM65,BS65,BY65,CE65,CK65,CQ65,CW65,DC65,DI65,DO65,DU65,EA65,EG65,EM65,ES65,EY65,FE65,FK65,FQ65,FW65,GC65,GI65,GO65,GU65,HA65,HG65,HM65))</x:f>
      </x:c>
      <x:c r="HT65" s="27" t="str">
        <x:f>IF(C65="","",SUM(L65,R65,X65,AD65,AJ65,AP65,AV65,BB65,BH65,BN65,BT65,BZ65,CF65,CL65,CR65,CX65,DD65,DJ65,DP65,DV65,EB65,EH65,EN65,ET65,EZ65,FF65,FL65,FR65,FX65,GD65,GJ65,GP65,GV65,HB65,HH65,HN65))</x:f>
      </x:c>
      <x:c r="HU65" s="27" t="str">
        <x:f>IF(C65="","",SUM(M65,S65,Y65,AE65,AK65,AQ65,AW65,BC65,BI65,BO65,BU65,CA65,CG65,CM65,CS65,CY65,DE65,DK65,DQ65,DW65,EC65,EI65,EO65,EU65,FA65,FG65,FM65,FS65,FY65,GE65,GK65,GQ65,GW65,HC65,HI65,HO65))</x:f>
      </x:c>
      <x:c r="HV65" s="27" t="str">
        <x:f>IF(C65="","",IF(JI65=LARGE(JI65:JN65,1),"R",IF(JJ65=LARGE(JI65:JN65,1),"I",IF(JK65=LARGE(JI65:JN65,1),"A",IF(JL65=LARGE(JI65:JN65,1),"S",IF(JM65=LARGE(JI65:JN65,1),"E",IF(JN65=LARGE(JI65:JN65,1),"C",""))))))&amp;IF(JI65=LARGE(JI65:JN65,2),"R",IF(JJ65=LARGE(JI65:JN65,2),"I",IF(JK65=LARGE(JI65:JN65,2),"A",IF(JL65=LARGE(JI65:JN65,2),"S",IF(JM65=LARGE(JI65:JN65,2),"E",IF(JN65=LARGE(JI65:JN65,2),"C",""))))))&amp;IF(JI65=LARGE(JI65:JN65,3),"R",IF(JJ65=LARGE(JI65:JN65,3),"I",IF(JK65=LARGE(JI65:JN65,3),"A",IF(JL65=LARGE(JI65:JN65,3),"S",IF(JM65=LARGE(JI65:JN65,3),"E",IF(JN65=LARGE(JI65:JN65,3),"C","")))))))</x:f>
      </x:c>
      <x:c r="HW65" s="27" t="str">
        <x:f>IF(C65="","",IF(JI65=LARGE(JI65:JN65,1),"นักปฏิบัติ",IF(JJ65=LARGE(JI65:JN65,1),"นักคิดวิเคราะห์",IF(JK65=LARGE(JI65:JN65,1),"นักสร้างสรรค์",IF(JL65=LARGE(JI65:JN65,1),"ผู้เข้าใจผู้คน",IF(JM65=LARGE(JI65:JN65,1),"ผู้นำการเปลี่ยนแปลง",IF(JN65=LARGE(JI65:JN65,1),"ผู้จัดระบบ","ผู้จัดระบบ")))))))</x:f>
      </x:c>
      <x:c r="HX65" s="27"/>
      <x:c r="HY65" s="27"/>
      <x:c r="HZ65" s="27"/>
      <x:c r="IA65" s="27"/>
      <x:c r="IB65" s="27"/>
      <x:c r="IC65" s="27"/>
      <x:c r="ID65" s="27"/>
      <x:c r="IE65" s="27"/>
      <x:c r="IF65" s="27"/>
      <x:c r="IG65" s="27"/>
      <x:c r="IH65" s="27"/>
      <x:c r="II65" s="27"/>
      <x:c r="IJ65" s="27"/>
      <x:c r="IK65" s="27" t="str">
        <x:f>IF(C65="","",SUM(H65,N65,T65,Z65,AF65,AL65,AR65,AX65,BD65,BJ65,BP65))</x:f>
      </x:c>
      <x:c r="IL65" s="27" t="str">
        <x:f>IF(C65="","",SUM(I65,O65,U65,AA65,AG65,AM65,AS65,AY65,BE65,BK65,BQ65))</x:f>
      </x:c>
      <x:c r="IM65" s="27" t="str">
        <x:f>IF(C65="","",SUM(J65,P65,V65,AB65,AH65,AN65,AT65,AZ65,BF65,BL65,BR65))</x:f>
      </x:c>
      <x:c r="IN65" s="27" t="str">
        <x:f>IF(C65="","",SUM(K65,Q65,W65,AC65,AI65,AO65,AU65,BA65,BG65,BM65,BS65))</x:f>
      </x:c>
      <x:c r="IO65" s="27" t="str">
        <x:f>IF(C65="","",SUM(L65,R65,X65,AD65,AJ65,AP65,AV65,BB65,BH65,BN65,BT65))</x:f>
      </x:c>
      <x:c r="IP65" s="27" t="str">
        <x:f>IF(C65="","",SUM(M65,S65,Y65,AE65,AK65,AQ65,AW65,BC65,BI65,BO65,BU65))</x:f>
      </x:c>
      <x:c r="IQ65" s="27" t="str">
        <x:f>IF(C65="","",SUM(BV65,CB65,CH65,CN65,CT65,CZ65,DF65,DL65,DR65,DX65,ED65))</x:f>
      </x:c>
      <x:c r="IR65" s="27" t="str">
        <x:f>IF(C65="","",SUM(BW65,CC65,CI65,CO65,CU65,DA65,DG65,DM65,DS65,DY65,EE65))</x:f>
      </x:c>
      <x:c r="IS65" s="27" t="str">
        <x:f>IF(C65="","",SUM(BX65,CD65,CJ65,CP65,CV65,DB65,DH65,DN65,DT65,DZ65,EF65))</x:f>
      </x:c>
      <x:c r="IT65" s="27" t="str">
        <x:f>IF(C65="","",SUM(BY65,CE65,CK65,CQ65,CW65,DC65,DI65,DO65,DU65,EA65,EG65))</x:f>
      </x:c>
      <x:c r="IU65" s="27" t="str">
        <x:f>IF(C65="","",SUM(BZ65,CF65,CL65,CR65,CX65,DD65,DJ65,DP65,DV65,EB65,EH65))</x:f>
      </x:c>
      <x:c r="IV65" s="27" t="str">
        <x:f>IF(C65="","",SUM(CA65,CG65,CM65,CS65,CY65,DE65,DK65,DQ65,DW65,EC65,EI65))</x:f>
      </x:c>
      <x:c r="IW65" s="27" t="str">
        <x:f>IF(C65="","",SUM(EJ65,EP65,EV65,FB65,FH65,FN65,FT65,FZ65,GF65,GL65,GR65,GX65,HD65,HJ65))</x:f>
      </x:c>
      <x:c r="IX65" s="27" t="str">
        <x:f>IF(C65="","",SUM(EK65,EQ65,EW65,FC65,FI65,FO65,FU65,GA65,GG65,GM65,GS65,GY65,HE65,HK65))</x:f>
      </x:c>
      <x:c r="IY65" s="27" t="str">
        <x:f>IF(C65="","",SUM(EL65,ER65,EX65,FD65,FJ65,FP65,FV65,GB65,GH65,GN65,GT65,GZ65,HF65,HL65))</x:f>
      </x:c>
      <x:c r="IZ65" s="27" t="str">
        <x:f>IF(C65="","",SUM(EM65,ES65,EY65,FE65,FK65,FQ65,FW65,GC65,GI65,GO65,GU65,HA65,HG65,HM65))</x:f>
      </x:c>
      <x:c r="JA65" s="27" t="str">
        <x:f>IF(C65="","",SUM(EN65,ET65,EZ65,FF65,FL65,FR65,FX65,GD65,GJ65,GP65,GV65,HB65,HH65,HN65))</x:f>
      </x:c>
      <x:c r="JB65" s="27" t="str">
        <x:f>IF(C65="","",SUM(EO65,EU65,FA65,FG65,FM65,FS65,FY65,GE65,GK65,GQ65,GW65,HC65,HI65,HO65))</x:f>
      </x:c>
      <x:c r="JC65" s="27" t="str">
        <x:f>IF(C65="","",0)</x:f>
      </x:c>
      <x:c r="JD65" s="27" t="str">
        <x:f>IF(C65="","",0)</x:f>
      </x:c>
      <x:c r="JE65" s="27" t="str">
        <x:f>IF(C65="","",0)</x:f>
      </x:c>
      <x:c r="JF65" s="27" t="str">
        <x:f>IF(C65="","",0)</x:f>
      </x:c>
      <x:c r="JG65" s="27" t="str">
        <x:f>IF(C65="","",0)</x:f>
      </x:c>
      <x:c r="JH65" s="27" t="str">
        <x:f>IF(C65="","",0)</x:f>
      </x:c>
      <x:c r="JI65" s="27" t="str">
        <x:f>IF(C65="","",HP65*1000000000+IW65*1000000+IQ65*10000+IK65*100+JC65+6/1000)</x:f>
      </x:c>
      <x:c r="JJ65" s="27" t="str">
        <x:f>IF(C65="","",HQ65*1000000000+IX65*1000000+IR65*10000+IL65*100+JD65+5/1000)</x:f>
      </x:c>
      <x:c r="JK65" s="27" t="str">
        <x:f>IF(C65="","",HR65*1000000000+IY65*1000000+IS65*10000+IM65*100+JE65+4/1000)</x:f>
      </x:c>
      <x:c r="JL65" s="27" t="str">
        <x:f>IF(C65="","",HS65*1000000000+IZ65*1000000+IT65*10000+IN65*100+JF65+3/1000)</x:f>
      </x:c>
      <x:c r="JM65" s="27" t="str">
        <x:f>IF(C65="","",HT65*1000000000+JA65*1000000+IU65*10000+IO65*100+JG65+2/1000)</x:f>
      </x:c>
      <x:c r="JN65" s="27" t="str">
        <x:f>IF(C65="","",HU65*1000000000+JB65*1000000+IV65*10000+IP65*100+JH65+1/1000)</x:f>
      </x:c>
    </x:row>
    <x:row r="66">
      <x:c r="A66" s="27"/>
      <x:c r="B66" s="28"/>
      <x:c r="C66" s="27"/>
      <x:c r="D66" s="27"/>
      <x:c r="E66" s="27"/>
      <x:c r="F66" s="27"/>
      <x:c r="G66" s="27"/>
      <x:c r="H66" s="27"/>
      <x:c r="I66" s="27"/>
      <x:c r="J66" s="27"/>
      <x:c r="K66" s="27"/>
      <x:c r="L66" s="27"/>
      <x:c r="M66" s="27"/>
      <x:c r="N66" s="27"/>
      <x:c r="O66" s="27"/>
      <x:c r="P66" s="27"/>
      <x:c r="Q66" s="27"/>
      <x:c r="R66" s="27"/>
      <x:c r="S66" s="27"/>
      <x:c r="T66" s="27"/>
      <x:c r="U66" s="27"/>
      <x:c r="V66" s="27"/>
      <x:c r="W66" s="27"/>
      <x:c r="X66" s="27"/>
      <x:c r="Y66" s="27"/>
      <x:c r="Z66" s="27"/>
      <x:c r="AA66" s="27"/>
      <x:c r="AB66" s="27"/>
      <x:c r="AC66" s="27"/>
      <x:c r="AD66" s="27"/>
      <x:c r="AE66" s="27"/>
      <x:c r="AF66" s="27"/>
      <x:c r="AG66" s="27"/>
      <x:c r="AH66" s="27"/>
      <x:c r="AI66" s="27"/>
      <x:c r="AJ66" s="27"/>
      <x:c r="AK66" s="27"/>
      <x:c r="AL66" s="27"/>
      <x:c r="AM66" s="27"/>
      <x:c r="AN66" s="27"/>
      <x:c r="AO66" s="27"/>
      <x:c r="AP66" s="27"/>
      <x:c r="AQ66" s="27"/>
      <x:c r="AR66" s="27"/>
      <x:c r="AS66" s="27"/>
      <x:c r="AT66" s="27"/>
      <x:c r="AU66" s="27"/>
      <x:c r="AV66" s="27"/>
      <x:c r="AW66" s="27"/>
      <x:c r="AX66" s="27"/>
      <x:c r="AY66" s="27"/>
      <x:c r="AZ66" s="27"/>
      <x:c r="BA66" s="27"/>
      <x:c r="BB66" s="27"/>
      <x:c r="BC66" s="27"/>
      <x:c r="BD66" s="27"/>
      <x:c r="BE66" s="27"/>
      <x:c r="BF66" s="27"/>
      <x:c r="BG66" s="27"/>
      <x:c r="BH66" s="27"/>
      <x:c r="BI66" s="27"/>
      <x:c r="BJ66" s="27"/>
      <x:c r="BK66" s="27"/>
      <x:c r="BL66" s="27"/>
      <x:c r="BM66" s="27"/>
      <x:c r="BN66" s="27"/>
      <x:c r="BO66" s="27"/>
      <x:c r="BP66" s="27"/>
      <x:c r="BQ66" s="27"/>
      <x:c r="BR66" s="27"/>
      <x:c r="BS66" s="27"/>
      <x:c r="BT66" s="27"/>
      <x:c r="BU66" s="27"/>
      <x:c r="BV66" s="27"/>
      <x:c r="BW66" s="27"/>
      <x:c r="BX66" s="27"/>
      <x:c r="BY66" s="27"/>
      <x:c r="BZ66" s="27"/>
      <x:c r="CA66" s="27"/>
      <x:c r="CB66" s="27"/>
      <x:c r="CC66" s="27"/>
      <x:c r="CD66" s="27"/>
      <x:c r="CE66" s="27"/>
      <x:c r="CF66" s="27"/>
      <x:c r="CG66" s="27"/>
      <x:c r="CH66" s="27"/>
      <x:c r="CI66" s="27"/>
      <x:c r="CJ66" s="27"/>
      <x:c r="CK66" s="27"/>
      <x:c r="CL66" s="27"/>
      <x:c r="CM66" s="27"/>
      <x:c r="CN66" s="27"/>
      <x:c r="CO66" s="27"/>
      <x:c r="CP66" s="27"/>
      <x:c r="CQ66" s="27"/>
      <x:c r="CR66" s="27"/>
      <x:c r="CS66" s="27"/>
      <x:c r="CT66" s="27"/>
      <x:c r="CU66" s="27"/>
      <x:c r="CV66" s="27"/>
      <x:c r="CW66" s="27"/>
      <x:c r="CX66" s="27"/>
      <x:c r="CY66" s="27"/>
      <x:c r="CZ66" s="27"/>
      <x:c r="DA66" s="27"/>
      <x:c r="DB66" s="27"/>
      <x:c r="DC66" s="27"/>
      <x:c r="DD66" s="27"/>
      <x:c r="DE66" s="27"/>
      <x:c r="DF66" s="27"/>
      <x:c r="DG66" s="27"/>
      <x:c r="DH66" s="27"/>
      <x:c r="DI66" s="27"/>
      <x:c r="DJ66" s="27"/>
      <x:c r="DK66" s="27"/>
      <x:c r="DL66" s="27"/>
      <x:c r="DM66" s="27"/>
      <x:c r="DN66" s="27"/>
      <x:c r="DO66" s="27"/>
      <x:c r="DP66" s="27"/>
      <x:c r="DQ66" s="27"/>
      <x:c r="DR66" s="27"/>
      <x:c r="DS66" s="27"/>
      <x:c r="DT66" s="27"/>
      <x:c r="DU66" s="27"/>
      <x:c r="DV66" s="27"/>
      <x:c r="DW66" s="27"/>
      <x:c r="DX66" s="27"/>
      <x:c r="DY66" s="27"/>
      <x:c r="DZ66" s="27"/>
      <x:c r="EA66" s="27"/>
      <x:c r="EB66" s="27"/>
      <x:c r="EC66" s="27"/>
      <x:c r="ED66" s="27"/>
      <x:c r="EE66" s="27"/>
      <x:c r="EF66" s="27"/>
      <x:c r="EG66" s="27"/>
      <x:c r="EH66" s="27"/>
      <x:c r="EI66" s="27"/>
      <x:c r="EJ66" s="27"/>
      <x:c r="EK66" s="27"/>
      <x:c r="EL66" s="27"/>
      <x:c r="EM66" s="27"/>
      <x:c r="EN66" s="27"/>
      <x:c r="EO66" s="27"/>
      <x:c r="EP66" s="27"/>
      <x:c r="EQ66" s="27"/>
      <x:c r="ER66" s="27"/>
      <x:c r="ES66" s="27"/>
      <x:c r="ET66" s="27"/>
      <x:c r="EU66" s="27"/>
      <x:c r="EV66" s="27"/>
      <x:c r="EW66" s="27"/>
      <x:c r="EX66" s="27"/>
      <x:c r="EY66" s="27"/>
      <x:c r="EZ66" s="27"/>
      <x:c r="FA66" s="27"/>
      <x:c r="FB66" s="27"/>
      <x:c r="FC66" s="27"/>
      <x:c r="FD66" s="27"/>
      <x:c r="FE66" s="27"/>
      <x:c r="FF66" s="27"/>
      <x:c r="FG66" s="27"/>
      <x:c r="FH66" s="27"/>
      <x:c r="FI66" s="27"/>
      <x:c r="FJ66" s="27"/>
      <x:c r="FK66" s="27"/>
      <x:c r="FL66" s="27"/>
      <x:c r="FM66" s="27"/>
      <x:c r="FN66" s="27"/>
      <x:c r="FO66" s="27"/>
      <x:c r="FP66" s="27"/>
      <x:c r="FQ66" s="27"/>
      <x:c r="FR66" s="27"/>
      <x:c r="FS66" s="27"/>
      <x:c r="FT66" s="27"/>
      <x:c r="FU66" s="27"/>
      <x:c r="FV66" s="27"/>
      <x:c r="FW66" s="27"/>
      <x:c r="FX66" s="27"/>
      <x:c r="FY66" s="27"/>
      <x:c r="FZ66" s="27"/>
      <x:c r="GA66" s="27"/>
      <x:c r="GB66" s="27"/>
      <x:c r="GC66" s="27"/>
      <x:c r="GD66" s="27"/>
      <x:c r="GE66" s="27"/>
      <x:c r="GF66" s="27"/>
      <x:c r="GG66" s="27"/>
      <x:c r="GH66" s="27"/>
      <x:c r="GI66" s="27"/>
      <x:c r="GJ66" s="27"/>
      <x:c r="GK66" s="27"/>
      <x:c r="GL66" s="27"/>
      <x:c r="GM66" s="27"/>
      <x:c r="GN66" s="27"/>
      <x:c r="GO66" s="27"/>
      <x:c r="GP66" s="27"/>
      <x:c r="GQ66" s="27"/>
      <x:c r="GR66" s="27"/>
      <x:c r="GS66" s="27"/>
      <x:c r="GT66" s="27"/>
      <x:c r="GU66" s="27"/>
      <x:c r="GV66" s="27"/>
      <x:c r="GW66" s="27"/>
      <x:c r="GX66" s="27"/>
      <x:c r="GY66" s="27"/>
      <x:c r="GZ66" s="27"/>
      <x:c r="HA66" s="27"/>
      <x:c r="HB66" s="27"/>
      <x:c r="HC66" s="27"/>
      <x:c r="HD66" s="27"/>
      <x:c r="HE66" s="27"/>
      <x:c r="HF66" s="27"/>
      <x:c r="HG66" s="27"/>
      <x:c r="HH66" s="27"/>
      <x:c r="HI66" s="27"/>
      <x:c r="HJ66" s="27"/>
      <x:c r="HK66" s="27"/>
      <x:c r="HL66" s="27"/>
      <x:c r="HM66" s="27"/>
      <x:c r="HN66" s="27"/>
      <x:c r="HO66" s="27"/>
      <x:c r="HP66" s="27" t="str">
        <x:f>IF(C66="","",SUM(H66,N66,T66,Z66,AF66,AL66,AR66,AX66,BD66,BJ66,BP66,BV66,CB66,CH66,CN66,CT66,CZ66,DF66,DL66,DR66,DX66,ED66,EJ66,EP66,EV66,FB66,FH66,FN66,FT66,FZ66,GF66,GL66,GR66,GX66,HD66,HJ66))</x:f>
      </x:c>
      <x:c r="HQ66" s="27" t="str">
        <x:f>IF(C66="","",SUM(I66,O66,U66,AA66,AG66,AM66,AS66,AY66,BE66,BK66,BQ66,BW66,CC66,CI66,CO66,CU66,DA66,DG66,DM66,DS66,DY66,EE66,EK66,EQ66,EW66,FC66,FI66,FO66,FU66,GA66,GG66,GM66,GS66,GY66,HE66,HK66))</x:f>
      </x:c>
      <x:c r="HR66" s="27" t="str">
        <x:f>IF(C66="","",SUM(J66,P66,V66,AB66,AH66,AN66,AT66,AZ66,BF66,BL66,BR66,BX66,CD66,CJ66,CP66,CV66,DB66,DH66,DN66,DT66,DZ66,EF66,EL66,ER66,EX66,FD66,FJ66,FP66,FV66,GB66,GH66,GN66,GT66,GZ66,HF66,HL66))</x:f>
      </x:c>
      <x:c r="HS66" s="27" t="str">
        <x:f>IF(C66="","",SUM(K66,Q66,W66,AC66,AI66,AO66,AU66,BA66,BG66,BM66,BS66,BY66,CE66,CK66,CQ66,CW66,DC66,DI66,DO66,DU66,EA66,EG66,EM66,ES66,EY66,FE66,FK66,FQ66,FW66,GC66,GI66,GO66,GU66,HA66,HG66,HM66))</x:f>
      </x:c>
      <x:c r="HT66" s="27" t="str">
        <x:f>IF(C66="","",SUM(L66,R66,X66,AD66,AJ66,AP66,AV66,BB66,BH66,BN66,BT66,BZ66,CF66,CL66,CR66,CX66,DD66,DJ66,DP66,DV66,EB66,EH66,EN66,ET66,EZ66,FF66,FL66,FR66,FX66,GD66,GJ66,GP66,GV66,HB66,HH66,HN66))</x:f>
      </x:c>
      <x:c r="HU66" s="27" t="str">
        <x:f>IF(C66="","",SUM(M66,S66,Y66,AE66,AK66,AQ66,AW66,BC66,BI66,BO66,BU66,CA66,CG66,CM66,CS66,CY66,DE66,DK66,DQ66,DW66,EC66,EI66,EO66,EU66,FA66,FG66,FM66,FS66,FY66,GE66,GK66,GQ66,GW66,HC66,HI66,HO66))</x:f>
      </x:c>
      <x:c r="HV66" s="27" t="str">
        <x:f>IF(C66="","",IF(JI66=LARGE(JI66:JN66,1),"R",IF(JJ66=LARGE(JI66:JN66,1),"I",IF(JK66=LARGE(JI66:JN66,1),"A",IF(JL66=LARGE(JI66:JN66,1),"S",IF(JM66=LARGE(JI66:JN66,1),"E",IF(JN66=LARGE(JI66:JN66,1),"C",""))))))&amp;IF(JI66=LARGE(JI66:JN66,2),"R",IF(JJ66=LARGE(JI66:JN66,2),"I",IF(JK66=LARGE(JI66:JN66,2),"A",IF(JL66=LARGE(JI66:JN66,2),"S",IF(JM66=LARGE(JI66:JN66,2),"E",IF(JN66=LARGE(JI66:JN66,2),"C",""))))))&amp;IF(JI66=LARGE(JI66:JN66,3),"R",IF(JJ66=LARGE(JI66:JN66,3),"I",IF(JK66=LARGE(JI66:JN66,3),"A",IF(JL66=LARGE(JI66:JN66,3),"S",IF(JM66=LARGE(JI66:JN66,3),"E",IF(JN66=LARGE(JI66:JN66,3),"C","")))))))</x:f>
      </x:c>
      <x:c r="HW66" s="27" t="str">
        <x:f>IF(C66="","",IF(JI66=LARGE(JI66:JN66,1),"นักปฏิบัติ",IF(JJ66=LARGE(JI66:JN66,1),"นักคิดวิเคราะห์",IF(JK66=LARGE(JI66:JN66,1),"นักสร้างสรรค์",IF(JL66=LARGE(JI66:JN66,1),"ผู้เข้าใจผู้คน",IF(JM66=LARGE(JI66:JN66,1),"ผู้นำการเปลี่ยนแปลง",IF(JN66=LARGE(JI66:JN66,1),"ผู้จัดระบบ","ผู้จัดระบบ")))))))</x:f>
      </x:c>
      <x:c r="HX66" s="27"/>
      <x:c r="HY66" s="27"/>
      <x:c r="HZ66" s="27"/>
      <x:c r="IA66" s="27"/>
      <x:c r="IB66" s="27"/>
      <x:c r="IC66" s="27"/>
      <x:c r="ID66" s="27"/>
      <x:c r="IE66" s="27"/>
      <x:c r="IF66" s="27"/>
      <x:c r="IG66" s="27"/>
      <x:c r="IH66" s="27"/>
      <x:c r="II66" s="27"/>
      <x:c r="IJ66" s="27"/>
      <x:c r="IK66" s="27" t="str">
        <x:f>IF(C66="","",SUM(H66,N66,T66,Z66,AF66,AL66,AR66,AX66,BD66,BJ66,BP66))</x:f>
      </x:c>
      <x:c r="IL66" s="27" t="str">
        <x:f>IF(C66="","",SUM(I66,O66,U66,AA66,AG66,AM66,AS66,AY66,BE66,BK66,BQ66))</x:f>
      </x:c>
      <x:c r="IM66" s="27" t="str">
        <x:f>IF(C66="","",SUM(J66,P66,V66,AB66,AH66,AN66,AT66,AZ66,BF66,BL66,BR66))</x:f>
      </x:c>
      <x:c r="IN66" s="27" t="str">
        <x:f>IF(C66="","",SUM(K66,Q66,W66,AC66,AI66,AO66,AU66,BA66,BG66,BM66,BS66))</x:f>
      </x:c>
      <x:c r="IO66" s="27" t="str">
        <x:f>IF(C66="","",SUM(L66,R66,X66,AD66,AJ66,AP66,AV66,BB66,BH66,BN66,BT66))</x:f>
      </x:c>
      <x:c r="IP66" s="27" t="str">
        <x:f>IF(C66="","",SUM(M66,S66,Y66,AE66,AK66,AQ66,AW66,BC66,BI66,BO66,BU66))</x:f>
      </x:c>
      <x:c r="IQ66" s="27" t="str">
        <x:f>IF(C66="","",SUM(BV66,CB66,CH66,CN66,CT66,CZ66,DF66,DL66,DR66,DX66,ED66))</x:f>
      </x:c>
      <x:c r="IR66" s="27" t="str">
        <x:f>IF(C66="","",SUM(BW66,CC66,CI66,CO66,CU66,DA66,DG66,DM66,DS66,DY66,EE66))</x:f>
      </x:c>
      <x:c r="IS66" s="27" t="str">
        <x:f>IF(C66="","",SUM(BX66,CD66,CJ66,CP66,CV66,DB66,DH66,DN66,DT66,DZ66,EF66))</x:f>
      </x:c>
      <x:c r="IT66" s="27" t="str">
        <x:f>IF(C66="","",SUM(BY66,CE66,CK66,CQ66,CW66,DC66,DI66,DO66,DU66,EA66,EG66))</x:f>
      </x:c>
      <x:c r="IU66" s="27" t="str">
        <x:f>IF(C66="","",SUM(BZ66,CF66,CL66,CR66,CX66,DD66,DJ66,DP66,DV66,EB66,EH66))</x:f>
      </x:c>
      <x:c r="IV66" s="27" t="str">
        <x:f>IF(C66="","",SUM(CA66,CG66,CM66,CS66,CY66,DE66,DK66,DQ66,DW66,EC66,EI66))</x:f>
      </x:c>
      <x:c r="IW66" s="27" t="str">
        <x:f>IF(C66="","",SUM(EJ66,EP66,EV66,FB66,FH66,FN66,FT66,FZ66,GF66,GL66,GR66,GX66,HD66,HJ66))</x:f>
      </x:c>
      <x:c r="IX66" s="27" t="str">
        <x:f>IF(C66="","",SUM(EK66,EQ66,EW66,FC66,FI66,FO66,FU66,GA66,GG66,GM66,GS66,GY66,HE66,HK66))</x:f>
      </x:c>
      <x:c r="IY66" s="27" t="str">
        <x:f>IF(C66="","",SUM(EL66,ER66,EX66,FD66,FJ66,FP66,FV66,GB66,GH66,GN66,GT66,GZ66,HF66,HL66))</x:f>
      </x:c>
      <x:c r="IZ66" s="27" t="str">
        <x:f>IF(C66="","",SUM(EM66,ES66,EY66,FE66,FK66,FQ66,FW66,GC66,GI66,GO66,GU66,HA66,HG66,HM66))</x:f>
      </x:c>
      <x:c r="JA66" s="27" t="str">
        <x:f>IF(C66="","",SUM(EN66,ET66,EZ66,FF66,FL66,FR66,FX66,GD66,GJ66,GP66,GV66,HB66,HH66,HN66))</x:f>
      </x:c>
      <x:c r="JB66" s="27" t="str">
        <x:f>IF(C66="","",SUM(EO66,EU66,FA66,FG66,FM66,FS66,FY66,GE66,GK66,GQ66,GW66,HC66,HI66,HO66))</x:f>
      </x:c>
      <x:c r="JC66" s="27" t="str">
        <x:f>IF(C66="","",0)</x:f>
      </x:c>
      <x:c r="JD66" s="27" t="str">
        <x:f>IF(C66="","",0)</x:f>
      </x:c>
      <x:c r="JE66" s="27" t="str">
        <x:f>IF(C66="","",0)</x:f>
      </x:c>
      <x:c r="JF66" s="27" t="str">
        <x:f>IF(C66="","",0)</x:f>
      </x:c>
      <x:c r="JG66" s="27" t="str">
        <x:f>IF(C66="","",0)</x:f>
      </x:c>
      <x:c r="JH66" s="27" t="str">
        <x:f>IF(C66="","",0)</x:f>
      </x:c>
      <x:c r="JI66" s="27" t="str">
        <x:f>IF(C66="","",HP66*1000000000+IW66*1000000+IQ66*10000+IK66*100+JC66+6/1000)</x:f>
      </x:c>
      <x:c r="JJ66" s="27" t="str">
        <x:f>IF(C66="","",HQ66*1000000000+IX66*1000000+IR66*10000+IL66*100+JD66+5/1000)</x:f>
      </x:c>
      <x:c r="JK66" s="27" t="str">
        <x:f>IF(C66="","",HR66*1000000000+IY66*1000000+IS66*10000+IM66*100+JE66+4/1000)</x:f>
      </x:c>
      <x:c r="JL66" s="27" t="str">
        <x:f>IF(C66="","",HS66*1000000000+IZ66*1000000+IT66*10000+IN66*100+JF66+3/1000)</x:f>
      </x:c>
      <x:c r="JM66" s="27" t="str">
        <x:f>IF(C66="","",HT66*1000000000+JA66*1000000+IU66*10000+IO66*100+JG66+2/1000)</x:f>
      </x:c>
      <x:c r="JN66" s="27" t="str">
        <x:f>IF(C66="","",HU66*1000000000+JB66*1000000+IV66*10000+IP66*100+JH66+1/1000)</x:f>
      </x:c>
    </x:row>
    <x:row r="67">
      <x:c r="A67" s="27"/>
      <x:c r="B67" s="28"/>
      <x:c r="C67" s="27"/>
      <x:c r="D67" s="27"/>
      <x:c r="E67" s="27"/>
      <x:c r="F67" s="27"/>
      <x:c r="G67" s="27"/>
      <x:c r="H67" s="27"/>
      <x:c r="I67" s="27"/>
      <x:c r="J67" s="27"/>
      <x:c r="K67" s="27"/>
      <x:c r="L67" s="27"/>
      <x:c r="M67" s="27"/>
      <x:c r="N67" s="27"/>
      <x:c r="O67" s="27"/>
      <x:c r="P67" s="27"/>
      <x:c r="Q67" s="27"/>
      <x:c r="R67" s="27"/>
      <x:c r="S67" s="27"/>
      <x:c r="T67" s="27"/>
      <x:c r="U67" s="27"/>
      <x:c r="V67" s="27"/>
      <x:c r="W67" s="27"/>
      <x:c r="X67" s="27"/>
      <x:c r="Y67" s="27"/>
      <x:c r="Z67" s="27"/>
      <x:c r="AA67" s="27"/>
      <x:c r="AB67" s="27"/>
      <x:c r="AC67" s="27"/>
      <x:c r="AD67" s="27"/>
      <x:c r="AE67" s="27"/>
      <x:c r="AF67" s="27"/>
      <x:c r="AG67" s="27"/>
      <x:c r="AH67" s="27"/>
      <x:c r="AI67" s="27"/>
      <x:c r="AJ67" s="27"/>
      <x:c r="AK67" s="27"/>
      <x:c r="AL67" s="27"/>
      <x:c r="AM67" s="27"/>
      <x:c r="AN67" s="27"/>
      <x:c r="AO67" s="27"/>
      <x:c r="AP67" s="27"/>
      <x:c r="AQ67" s="27"/>
      <x:c r="AR67" s="27"/>
      <x:c r="AS67" s="27"/>
      <x:c r="AT67" s="27"/>
      <x:c r="AU67" s="27"/>
      <x:c r="AV67" s="27"/>
      <x:c r="AW67" s="27"/>
      <x:c r="AX67" s="27"/>
      <x:c r="AY67" s="27"/>
      <x:c r="AZ67" s="27"/>
      <x:c r="BA67" s="27"/>
      <x:c r="BB67" s="27"/>
      <x:c r="BC67" s="27"/>
      <x:c r="BD67" s="27"/>
      <x:c r="BE67" s="27"/>
      <x:c r="BF67" s="27"/>
      <x:c r="BG67" s="27"/>
      <x:c r="BH67" s="27"/>
      <x:c r="BI67" s="27"/>
      <x:c r="BJ67" s="27"/>
      <x:c r="BK67" s="27"/>
      <x:c r="BL67" s="27"/>
      <x:c r="BM67" s="27"/>
      <x:c r="BN67" s="27"/>
      <x:c r="BO67" s="27"/>
      <x:c r="BP67" s="27"/>
      <x:c r="BQ67" s="27"/>
      <x:c r="BR67" s="27"/>
      <x:c r="BS67" s="27"/>
      <x:c r="BT67" s="27"/>
      <x:c r="BU67" s="27"/>
      <x:c r="BV67" s="27"/>
      <x:c r="BW67" s="27"/>
      <x:c r="BX67" s="27"/>
      <x:c r="BY67" s="27"/>
      <x:c r="BZ67" s="27"/>
      <x:c r="CA67" s="27"/>
      <x:c r="CB67" s="27"/>
      <x:c r="CC67" s="27"/>
      <x:c r="CD67" s="27"/>
      <x:c r="CE67" s="27"/>
      <x:c r="CF67" s="27"/>
      <x:c r="CG67" s="27"/>
      <x:c r="CH67" s="27"/>
      <x:c r="CI67" s="27"/>
      <x:c r="CJ67" s="27"/>
      <x:c r="CK67" s="27"/>
      <x:c r="CL67" s="27"/>
      <x:c r="CM67" s="27"/>
      <x:c r="CN67" s="27"/>
      <x:c r="CO67" s="27"/>
      <x:c r="CP67" s="27"/>
      <x:c r="CQ67" s="27"/>
      <x:c r="CR67" s="27"/>
      <x:c r="CS67" s="27"/>
      <x:c r="CT67" s="27"/>
      <x:c r="CU67" s="27"/>
      <x:c r="CV67" s="27"/>
      <x:c r="CW67" s="27"/>
      <x:c r="CX67" s="27"/>
      <x:c r="CY67" s="27"/>
      <x:c r="CZ67" s="27"/>
      <x:c r="DA67" s="27"/>
      <x:c r="DB67" s="27"/>
      <x:c r="DC67" s="27"/>
      <x:c r="DD67" s="27"/>
      <x:c r="DE67" s="27"/>
      <x:c r="DF67" s="27"/>
      <x:c r="DG67" s="27"/>
      <x:c r="DH67" s="27"/>
      <x:c r="DI67" s="27"/>
      <x:c r="DJ67" s="27"/>
      <x:c r="DK67" s="27"/>
      <x:c r="DL67" s="27"/>
      <x:c r="DM67" s="27"/>
      <x:c r="DN67" s="27"/>
      <x:c r="DO67" s="27"/>
      <x:c r="DP67" s="27"/>
      <x:c r="DQ67" s="27"/>
      <x:c r="DR67" s="27"/>
      <x:c r="DS67" s="27"/>
      <x:c r="DT67" s="27"/>
      <x:c r="DU67" s="27"/>
      <x:c r="DV67" s="27"/>
      <x:c r="DW67" s="27"/>
      <x:c r="DX67" s="27"/>
      <x:c r="DY67" s="27"/>
      <x:c r="DZ67" s="27"/>
      <x:c r="EA67" s="27"/>
      <x:c r="EB67" s="27"/>
      <x:c r="EC67" s="27"/>
      <x:c r="ED67" s="27"/>
      <x:c r="EE67" s="27"/>
      <x:c r="EF67" s="27"/>
      <x:c r="EG67" s="27"/>
      <x:c r="EH67" s="27"/>
      <x:c r="EI67" s="27"/>
      <x:c r="EJ67" s="27"/>
      <x:c r="EK67" s="27"/>
      <x:c r="EL67" s="27"/>
      <x:c r="EM67" s="27"/>
      <x:c r="EN67" s="27"/>
      <x:c r="EO67" s="27"/>
      <x:c r="EP67" s="27"/>
      <x:c r="EQ67" s="27"/>
      <x:c r="ER67" s="27"/>
      <x:c r="ES67" s="27"/>
      <x:c r="ET67" s="27"/>
      <x:c r="EU67" s="27"/>
      <x:c r="EV67" s="27"/>
      <x:c r="EW67" s="27"/>
      <x:c r="EX67" s="27"/>
      <x:c r="EY67" s="27"/>
      <x:c r="EZ67" s="27"/>
      <x:c r="FA67" s="27"/>
      <x:c r="FB67" s="27"/>
      <x:c r="FC67" s="27"/>
      <x:c r="FD67" s="27"/>
      <x:c r="FE67" s="27"/>
      <x:c r="FF67" s="27"/>
      <x:c r="FG67" s="27"/>
      <x:c r="FH67" s="27"/>
      <x:c r="FI67" s="27"/>
      <x:c r="FJ67" s="27"/>
      <x:c r="FK67" s="27"/>
      <x:c r="FL67" s="27"/>
      <x:c r="FM67" s="27"/>
      <x:c r="FN67" s="27"/>
      <x:c r="FO67" s="27"/>
      <x:c r="FP67" s="27"/>
      <x:c r="FQ67" s="27"/>
      <x:c r="FR67" s="27"/>
      <x:c r="FS67" s="27"/>
      <x:c r="FT67" s="27"/>
      <x:c r="FU67" s="27"/>
      <x:c r="FV67" s="27"/>
      <x:c r="FW67" s="27"/>
      <x:c r="FX67" s="27"/>
      <x:c r="FY67" s="27"/>
      <x:c r="FZ67" s="27"/>
      <x:c r="GA67" s="27"/>
      <x:c r="GB67" s="27"/>
      <x:c r="GC67" s="27"/>
      <x:c r="GD67" s="27"/>
      <x:c r="GE67" s="27"/>
      <x:c r="GF67" s="27"/>
      <x:c r="GG67" s="27"/>
      <x:c r="GH67" s="27"/>
      <x:c r="GI67" s="27"/>
      <x:c r="GJ67" s="27"/>
      <x:c r="GK67" s="27"/>
      <x:c r="GL67" s="27"/>
      <x:c r="GM67" s="27"/>
      <x:c r="GN67" s="27"/>
      <x:c r="GO67" s="27"/>
      <x:c r="GP67" s="27"/>
      <x:c r="GQ67" s="27"/>
      <x:c r="GR67" s="27"/>
      <x:c r="GS67" s="27"/>
      <x:c r="GT67" s="27"/>
      <x:c r="GU67" s="27"/>
      <x:c r="GV67" s="27"/>
      <x:c r="GW67" s="27"/>
      <x:c r="GX67" s="27"/>
      <x:c r="GY67" s="27"/>
      <x:c r="GZ67" s="27"/>
      <x:c r="HA67" s="27"/>
      <x:c r="HB67" s="27"/>
      <x:c r="HC67" s="27"/>
      <x:c r="HD67" s="27"/>
      <x:c r="HE67" s="27"/>
      <x:c r="HF67" s="27"/>
      <x:c r="HG67" s="27"/>
      <x:c r="HH67" s="27"/>
      <x:c r="HI67" s="27"/>
      <x:c r="HJ67" s="27"/>
      <x:c r="HK67" s="27"/>
      <x:c r="HL67" s="27"/>
      <x:c r="HM67" s="27"/>
      <x:c r="HN67" s="27"/>
      <x:c r="HO67" s="27"/>
      <x:c r="HP67" s="27" t="str">
        <x:f>IF(C67="","",SUM(H67,N67,T67,Z67,AF67,AL67,AR67,AX67,BD67,BJ67,BP67,BV67,CB67,CH67,CN67,CT67,CZ67,DF67,DL67,DR67,DX67,ED67,EJ67,EP67,EV67,FB67,FH67,FN67,FT67,FZ67,GF67,GL67,GR67,GX67,HD67,HJ67))</x:f>
      </x:c>
      <x:c r="HQ67" s="27" t="str">
        <x:f>IF(C67="","",SUM(I67,O67,U67,AA67,AG67,AM67,AS67,AY67,BE67,BK67,BQ67,BW67,CC67,CI67,CO67,CU67,DA67,DG67,DM67,DS67,DY67,EE67,EK67,EQ67,EW67,FC67,FI67,FO67,FU67,GA67,GG67,GM67,GS67,GY67,HE67,HK67))</x:f>
      </x:c>
      <x:c r="HR67" s="27" t="str">
        <x:f>IF(C67="","",SUM(J67,P67,V67,AB67,AH67,AN67,AT67,AZ67,BF67,BL67,BR67,BX67,CD67,CJ67,CP67,CV67,DB67,DH67,DN67,DT67,DZ67,EF67,EL67,ER67,EX67,FD67,FJ67,FP67,FV67,GB67,GH67,GN67,GT67,GZ67,HF67,HL67))</x:f>
      </x:c>
      <x:c r="HS67" s="27" t="str">
        <x:f>IF(C67="","",SUM(K67,Q67,W67,AC67,AI67,AO67,AU67,BA67,BG67,BM67,BS67,BY67,CE67,CK67,CQ67,CW67,DC67,DI67,DO67,DU67,EA67,EG67,EM67,ES67,EY67,FE67,FK67,FQ67,FW67,GC67,GI67,GO67,GU67,HA67,HG67,HM67))</x:f>
      </x:c>
      <x:c r="HT67" s="27" t="str">
        <x:f>IF(C67="","",SUM(L67,R67,X67,AD67,AJ67,AP67,AV67,BB67,BH67,BN67,BT67,BZ67,CF67,CL67,CR67,CX67,DD67,DJ67,DP67,DV67,EB67,EH67,EN67,ET67,EZ67,FF67,FL67,FR67,FX67,GD67,GJ67,GP67,GV67,HB67,HH67,HN67))</x:f>
      </x:c>
      <x:c r="HU67" s="27" t="str">
        <x:f>IF(C67="","",SUM(M67,S67,Y67,AE67,AK67,AQ67,AW67,BC67,BI67,BO67,BU67,CA67,CG67,CM67,CS67,CY67,DE67,DK67,DQ67,DW67,EC67,EI67,EO67,EU67,FA67,FG67,FM67,FS67,FY67,GE67,GK67,GQ67,GW67,HC67,HI67,HO67))</x:f>
      </x:c>
      <x:c r="HV67" s="27" t="str">
        <x:f>IF(C67="","",IF(JI67=LARGE(JI67:JN67,1),"R",IF(JJ67=LARGE(JI67:JN67,1),"I",IF(JK67=LARGE(JI67:JN67,1),"A",IF(JL67=LARGE(JI67:JN67,1),"S",IF(JM67=LARGE(JI67:JN67,1),"E",IF(JN67=LARGE(JI67:JN67,1),"C",""))))))&amp;IF(JI67=LARGE(JI67:JN67,2),"R",IF(JJ67=LARGE(JI67:JN67,2),"I",IF(JK67=LARGE(JI67:JN67,2),"A",IF(JL67=LARGE(JI67:JN67,2),"S",IF(JM67=LARGE(JI67:JN67,2),"E",IF(JN67=LARGE(JI67:JN67,2),"C",""))))))&amp;IF(JI67=LARGE(JI67:JN67,3),"R",IF(JJ67=LARGE(JI67:JN67,3),"I",IF(JK67=LARGE(JI67:JN67,3),"A",IF(JL67=LARGE(JI67:JN67,3),"S",IF(JM67=LARGE(JI67:JN67,3),"E",IF(JN67=LARGE(JI67:JN67,3),"C","")))))))</x:f>
      </x:c>
      <x:c r="HW67" s="27" t="str">
        <x:f>IF(C67="","",IF(JI67=LARGE(JI67:JN67,1),"นักปฏิบัติ",IF(JJ67=LARGE(JI67:JN67,1),"นักคิดวิเคราะห์",IF(JK67=LARGE(JI67:JN67,1),"นักสร้างสรรค์",IF(JL67=LARGE(JI67:JN67,1),"ผู้เข้าใจผู้คน",IF(JM67=LARGE(JI67:JN67,1),"ผู้นำการเปลี่ยนแปลง",IF(JN67=LARGE(JI67:JN67,1),"ผู้จัดระบบ","ผู้จัดระบบ")))))))</x:f>
      </x:c>
      <x:c r="HX67" s="27"/>
      <x:c r="HY67" s="27"/>
      <x:c r="HZ67" s="27"/>
      <x:c r="IA67" s="27"/>
      <x:c r="IB67" s="27"/>
      <x:c r="IC67" s="27"/>
      <x:c r="ID67" s="27"/>
      <x:c r="IE67" s="27"/>
      <x:c r="IF67" s="27"/>
      <x:c r="IG67" s="27"/>
      <x:c r="IH67" s="27"/>
      <x:c r="II67" s="27"/>
      <x:c r="IJ67" s="27"/>
      <x:c r="IK67" s="27" t="str">
        <x:f>IF(C67="","",SUM(H67,N67,T67,Z67,AF67,AL67,AR67,AX67,BD67,BJ67,BP67))</x:f>
      </x:c>
      <x:c r="IL67" s="27" t="str">
        <x:f>IF(C67="","",SUM(I67,O67,U67,AA67,AG67,AM67,AS67,AY67,BE67,BK67,BQ67))</x:f>
      </x:c>
      <x:c r="IM67" s="27" t="str">
        <x:f>IF(C67="","",SUM(J67,P67,V67,AB67,AH67,AN67,AT67,AZ67,BF67,BL67,BR67))</x:f>
      </x:c>
      <x:c r="IN67" s="27" t="str">
        <x:f>IF(C67="","",SUM(K67,Q67,W67,AC67,AI67,AO67,AU67,BA67,BG67,BM67,BS67))</x:f>
      </x:c>
      <x:c r="IO67" s="27" t="str">
        <x:f>IF(C67="","",SUM(L67,R67,X67,AD67,AJ67,AP67,AV67,BB67,BH67,BN67,BT67))</x:f>
      </x:c>
      <x:c r="IP67" s="27" t="str">
        <x:f>IF(C67="","",SUM(M67,S67,Y67,AE67,AK67,AQ67,AW67,BC67,BI67,BO67,BU67))</x:f>
      </x:c>
      <x:c r="IQ67" s="27" t="str">
        <x:f>IF(C67="","",SUM(BV67,CB67,CH67,CN67,CT67,CZ67,DF67,DL67,DR67,DX67,ED67))</x:f>
      </x:c>
      <x:c r="IR67" s="27" t="str">
        <x:f>IF(C67="","",SUM(BW67,CC67,CI67,CO67,CU67,DA67,DG67,DM67,DS67,DY67,EE67))</x:f>
      </x:c>
      <x:c r="IS67" s="27" t="str">
        <x:f>IF(C67="","",SUM(BX67,CD67,CJ67,CP67,CV67,DB67,DH67,DN67,DT67,DZ67,EF67))</x:f>
      </x:c>
      <x:c r="IT67" s="27" t="str">
        <x:f>IF(C67="","",SUM(BY67,CE67,CK67,CQ67,CW67,DC67,DI67,DO67,DU67,EA67,EG67))</x:f>
      </x:c>
      <x:c r="IU67" s="27" t="str">
        <x:f>IF(C67="","",SUM(BZ67,CF67,CL67,CR67,CX67,DD67,DJ67,DP67,DV67,EB67,EH67))</x:f>
      </x:c>
      <x:c r="IV67" s="27" t="str">
        <x:f>IF(C67="","",SUM(CA67,CG67,CM67,CS67,CY67,DE67,DK67,DQ67,DW67,EC67,EI67))</x:f>
      </x:c>
      <x:c r="IW67" s="27" t="str">
        <x:f>IF(C67="","",SUM(EJ67,EP67,EV67,FB67,FH67,FN67,FT67,FZ67,GF67,GL67,GR67,GX67,HD67,HJ67))</x:f>
      </x:c>
      <x:c r="IX67" s="27" t="str">
        <x:f>IF(C67="","",SUM(EK67,EQ67,EW67,FC67,FI67,FO67,FU67,GA67,GG67,GM67,GS67,GY67,HE67,HK67))</x:f>
      </x:c>
      <x:c r="IY67" s="27" t="str">
        <x:f>IF(C67="","",SUM(EL67,ER67,EX67,FD67,FJ67,FP67,FV67,GB67,GH67,GN67,GT67,GZ67,HF67,HL67))</x:f>
      </x:c>
      <x:c r="IZ67" s="27" t="str">
        <x:f>IF(C67="","",SUM(EM67,ES67,EY67,FE67,FK67,FQ67,FW67,GC67,GI67,GO67,GU67,HA67,HG67,HM67))</x:f>
      </x:c>
      <x:c r="JA67" s="27" t="str">
        <x:f>IF(C67="","",SUM(EN67,ET67,EZ67,FF67,FL67,FR67,FX67,GD67,GJ67,GP67,GV67,HB67,HH67,HN67))</x:f>
      </x:c>
      <x:c r="JB67" s="27" t="str">
        <x:f>IF(C67="","",SUM(EO67,EU67,FA67,FG67,FM67,FS67,FY67,GE67,GK67,GQ67,GW67,HC67,HI67,HO67))</x:f>
      </x:c>
      <x:c r="JC67" s="27" t="str">
        <x:f>IF(C67="","",0)</x:f>
      </x:c>
      <x:c r="JD67" s="27" t="str">
        <x:f>IF(C67="","",0)</x:f>
      </x:c>
      <x:c r="JE67" s="27" t="str">
        <x:f>IF(C67="","",0)</x:f>
      </x:c>
      <x:c r="JF67" s="27" t="str">
        <x:f>IF(C67="","",0)</x:f>
      </x:c>
      <x:c r="JG67" s="27" t="str">
        <x:f>IF(C67="","",0)</x:f>
      </x:c>
      <x:c r="JH67" s="27" t="str">
        <x:f>IF(C67="","",0)</x:f>
      </x:c>
      <x:c r="JI67" s="27" t="str">
        <x:f>IF(C67="","",HP67*1000000000+IW67*1000000+IQ67*10000+IK67*100+JC67+6/1000)</x:f>
      </x:c>
      <x:c r="JJ67" s="27" t="str">
        <x:f>IF(C67="","",HQ67*1000000000+IX67*1000000+IR67*10000+IL67*100+JD67+5/1000)</x:f>
      </x:c>
      <x:c r="JK67" s="27" t="str">
        <x:f>IF(C67="","",HR67*1000000000+IY67*1000000+IS67*10000+IM67*100+JE67+4/1000)</x:f>
      </x:c>
      <x:c r="JL67" s="27" t="str">
        <x:f>IF(C67="","",HS67*1000000000+IZ67*1000000+IT67*10000+IN67*100+JF67+3/1000)</x:f>
      </x:c>
      <x:c r="JM67" s="27" t="str">
        <x:f>IF(C67="","",HT67*1000000000+JA67*1000000+IU67*10000+IO67*100+JG67+2/1000)</x:f>
      </x:c>
      <x:c r="JN67" s="27" t="str">
        <x:f>IF(C67="","",HU67*1000000000+JB67*1000000+IV67*10000+IP67*100+JH67+1/1000)</x:f>
      </x:c>
    </x:row>
    <x:row r="68">
      <x:c r="A68" s="27"/>
      <x:c r="B68" s="28"/>
      <x:c r="C68" s="27"/>
      <x:c r="D68" s="27"/>
      <x:c r="E68" s="27"/>
      <x:c r="F68" s="27"/>
      <x:c r="G68" s="27"/>
      <x:c r="H68" s="27"/>
      <x:c r="I68" s="27"/>
      <x:c r="J68" s="27"/>
      <x:c r="K68" s="27"/>
      <x:c r="L68" s="27"/>
      <x:c r="M68" s="27"/>
      <x:c r="N68" s="27"/>
      <x:c r="O68" s="27"/>
      <x:c r="P68" s="27"/>
      <x:c r="Q68" s="27"/>
      <x:c r="R68" s="27"/>
      <x:c r="S68" s="27"/>
      <x:c r="T68" s="27"/>
      <x:c r="U68" s="27"/>
      <x:c r="V68" s="27"/>
      <x:c r="W68" s="27"/>
      <x:c r="X68" s="27"/>
      <x:c r="Y68" s="27"/>
      <x:c r="Z68" s="27"/>
      <x:c r="AA68" s="27"/>
      <x:c r="AB68" s="27"/>
      <x:c r="AC68" s="27"/>
      <x:c r="AD68" s="27"/>
      <x:c r="AE68" s="27"/>
      <x:c r="AF68" s="27"/>
      <x:c r="AG68" s="27"/>
      <x:c r="AH68" s="27"/>
      <x:c r="AI68" s="27"/>
      <x:c r="AJ68" s="27"/>
      <x:c r="AK68" s="27"/>
      <x:c r="AL68" s="27"/>
      <x:c r="AM68" s="27"/>
      <x:c r="AN68" s="27"/>
      <x:c r="AO68" s="27"/>
      <x:c r="AP68" s="27"/>
      <x:c r="AQ68" s="27"/>
      <x:c r="AR68" s="27"/>
      <x:c r="AS68" s="27"/>
      <x:c r="AT68" s="27"/>
      <x:c r="AU68" s="27"/>
      <x:c r="AV68" s="27"/>
      <x:c r="AW68" s="27"/>
      <x:c r="AX68" s="27"/>
      <x:c r="AY68" s="27"/>
      <x:c r="AZ68" s="27"/>
      <x:c r="BA68" s="27"/>
      <x:c r="BB68" s="27"/>
      <x:c r="BC68" s="27"/>
      <x:c r="BD68" s="27"/>
      <x:c r="BE68" s="27"/>
      <x:c r="BF68" s="27"/>
      <x:c r="BG68" s="27"/>
      <x:c r="BH68" s="27"/>
      <x:c r="BI68" s="27"/>
      <x:c r="BJ68" s="27"/>
      <x:c r="BK68" s="27"/>
      <x:c r="BL68" s="27"/>
      <x:c r="BM68" s="27"/>
      <x:c r="BN68" s="27"/>
      <x:c r="BO68" s="27"/>
      <x:c r="BP68" s="27"/>
      <x:c r="BQ68" s="27"/>
      <x:c r="BR68" s="27"/>
      <x:c r="BS68" s="27"/>
      <x:c r="BT68" s="27"/>
      <x:c r="BU68" s="27"/>
      <x:c r="BV68" s="27"/>
      <x:c r="BW68" s="27"/>
      <x:c r="BX68" s="27"/>
      <x:c r="BY68" s="27"/>
      <x:c r="BZ68" s="27"/>
      <x:c r="CA68" s="27"/>
      <x:c r="CB68" s="27"/>
      <x:c r="CC68" s="27"/>
      <x:c r="CD68" s="27"/>
      <x:c r="CE68" s="27"/>
      <x:c r="CF68" s="27"/>
      <x:c r="CG68" s="27"/>
      <x:c r="CH68" s="27"/>
      <x:c r="CI68" s="27"/>
      <x:c r="CJ68" s="27"/>
      <x:c r="CK68" s="27"/>
      <x:c r="CL68" s="27"/>
      <x:c r="CM68" s="27"/>
      <x:c r="CN68" s="27"/>
      <x:c r="CO68" s="27"/>
      <x:c r="CP68" s="27"/>
      <x:c r="CQ68" s="27"/>
      <x:c r="CR68" s="27"/>
      <x:c r="CS68" s="27"/>
      <x:c r="CT68" s="27"/>
      <x:c r="CU68" s="27"/>
      <x:c r="CV68" s="27"/>
      <x:c r="CW68" s="27"/>
      <x:c r="CX68" s="27"/>
      <x:c r="CY68" s="27"/>
      <x:c r="CZ68" s="27"/>
      <x:c r="DA68" s="27"/>
      <x:c r="DB68" s="27"/>
      <x:c r="DC68" s="27"/>
      <x:c r="DD68" s="27"/>
      <x:c r="DE68" s="27"/>
      <x:c r="DF68" s="27"/>
      <x:c r="DG68" s="27"/>
      <x:c r="DH68" s="27"/>
      <x:c r="DI68" s="27"/>
      <x:c r="DJ68" s="27"/>
      <x:c r="DK68" s="27"/>
      <x:c r="DL68" s="27"/>
      <x:c r="DM68" s="27"/>
      <x:c r="DN68" s="27"/>
      <x:c r="DO68" s="27"/>
      <x:c r="DP68" s="27"/>
      <x:c r="DQ68" s="27"/>
      <x:c r="DR68" s="27"/>
      <x:c r="DS68" s="27"/>
      <x:c r="DT68" s="27"/>
      <x:c r="DU68" s="27"/>
      <x:c r="DV68" s="27"/>
      <x:c r="DW68" s="27"/>
      <x:c r="DX68" s="27"/>
      <x:c r="DY68" s="27"/>
      <x:c r="DZ68" s="27"/>
      <x:c r="EA68" s="27"/>
      <x:c r="EB68" s="27"/>
      <x:c r="EC68" s="27"/>
      <x:c r="ED68" s="27"/>
      <x:c r="EE68" s="27"/>
      <x:c r="EF68" s="27"/>
      <x:c r="EG68" s="27"/>
      <x:c r="EH68" s="27"/>
      <x:c r="EI68" s="27"/>
      <x:c r="EJ68" s="27"/>
      <x:c r="EK68" s="27"/>
      <x:c r="EL68" s="27"/>
      <x:c r="EM68" s="27"/>
      <x:c r="EN68" s="27"/>
      <x:c r="EO68" s="27"/>
      <x:c r="EP68" s="27"/>
      <x:c r="EQ68" s="27"/>
      <x:c r="ER68" s="27"/>
      <x:c r="ES68" s="27"/>
      <x:c r="ET68" s="27"/>
      <x:c r="EU68" s="27"/>
      <x:c r="EV68" s="27"/>
      <x:c r="EW68" s="27"/>
      <x:c r="EX68" s="27"/>
      <x:c r="EY68" s="27"/>
      <x:c r="EZ68" s="27"/>
      <x:c r="FA68" s="27"/>
      <x:c r="FB68" s="27"/>
      <x:c r="FC68" s="27"/>
      <x:c r="FD68" s="27"/>
      <x:c r="FE68" s="27"/>
      <x:c r="FF68" s="27"/>
      <x:c r="FG68" s="27"/>
      <x:c r="FH68" s="27"/>
      <x:c r="FI68" s="27"/>
      <x:c r="FJ68" s="27"/>
      <x:c r="FK68" s="27"/>
      <x:c r="FL68" s="27"/>
      <x:c r="FM68" s="27"/>
      <x:c r="FN68" s="27"/>
      <x:c r="FO68" s="27"/>
      <x:c r="FP68" s="27"/>
      <x:c r="FQ68" s="27"/>
      <x:c r="FR68" s="27"/>
      <x:c r="FS68" s="27"/>
      <x:c r="FT68" s="27"/>
      <x:c r="FU68" s="27"/>
      <x:c r="FV68" s="27"/>
      <x:c r="FW68" s="27"/>
      <x:c r="FX68" s="27"/>
      <x:c r="FY68" s="27"/>
      <x:c r="FZ68" s="27"/>
      <x:c r="GA68" s="27"/>
      <x:c r="GB68" s="27"/>
      <x:c r="GC68" s="27"/>
      <x:c r="GD68" s="27"/>
      <x:c r="GE68" s="27"/>
      <x:c r="GF68" s="27"/>
      <x:c r="GG68" s="27"/>
      <x:c r="GH68" s="27"/>
      <x:c r="GI68" s="27"/>
      <x:c r="GJ68" s="27"/>
      <x:c r="GK68" s="27"/>
      <x:c r="GL68" s="27"/>
      <x:c r="GM68" s="27"/>
      <x:c r="GN68" s="27"/>
      <x:c r="GO68" s="27"/>
      <x:c r="GP68" s="27"/>
      <x:c r="GQ68" s="27"/>
      <x:c r="GR68" s="27"/>
      <x:c r="GS68" s="27"/>
      <x:c r="GT68" s="27"/>
      <x:c r="GU68" s="27"/>
      <x:c r="GV68" s="27"/>
      <x:c r="GW68" s="27"/>
      <x:c r="GX68" s="27"/>
      <x:c r="GY68" s="27"/>
      <x:c r="GZ68" s="27"/>
      <x:c r="HA68" s="27"/>
      <x:c r="HB68" s="27"/>
      <x:c r="HC68" s="27"/>
      <x:c r="HD68" s="27"/>
      <x:c r="HE68" s="27"/>
      <x:c r="HF68" s="27"/>
      <x:c r="HG68" s="27"/>
      <x:c r="HH68" s="27"/>
      <x:c r="HI68" s="27"/>
      <x:c r="HJ68" s="27"/>
      <x:c r="HK68" s="27"/>
      <x:c r="HL68" s="27"/>
      <x:c r="HM68" s="27"/>
      <x:c r="HN68" s="27"/>
      <x:c r="HO68" s="27"/>
      <x:c r="HP68" s="27" t="str">
        <x:f>IF(C68="","",SUM(H68,N68,T68,Z68,AF68,AL68,AR68,AX68,BD68,BJ68,BP68,BV68,CB68,CH68,CN68,CT68,CZ68,DF68,DL68,DR68,DX68,ED68,EJ68,EP68,EV68,FB68,FH68,FN68,FT68,FZ68,GF68,GL68,GR68,GX68,HD68,HJ68))</x:f>
      </x:c>
      <x:c r="HQ68" s="27" t="str">
        <x:f>IF(C68="","",SUM(I68,O68,U68,AA68,AG68,AM68,AS68,AY68,BE68,BK68,BQ68,BW68,CC68,CI68,CO68,CU68,DA68,DG68,DM68,DS68,DY68,EE68,EK68,EQ68,EW68,FC68,FI68,FO68,FU68,GA68,GG68,GM68,GS68,GY68,HE68,HK68))</x:f>
      </x:c>
      <x:c r="HR68" s="27" t="str">
        <x:f>IF(C68="","",SUM(J68,P68,V68,AB68,AH68,AN68,AT68,AZ68,BF68,BL68,BR68,BX68,CD68,CJ68,CP68,CV68,DB68,DH68,DN68,DT68,DZ68,EF68,EL68,ER68,EX68,FD68,FJ68,FP68,FV68,GB68,GH68,GN68,GT68,GZ68,HF68,HL68))</x:f>
      </x:c>
      <x:c r="HS68" s="27" t="str">
        <x:f>IF(C68="","",SUM(K68,Q68,W68,AC68,AI68,AO68,AU68,BA68,BG68,BM68,BS68,BY68,CE68,CK68,CQ68,CW68,DC68,DI68,DO68,DU68,EA68,EG68,EM68,ES68,EY68,FE68,FK68,FQ68,FW68,GC68,GI68,GO68,GU68,HA68,HG68,HM68))</x:f>
      </x:c>
      <x:c r="HT68" s="27" t="str">
        <x:f>IF(C68="","",SUM(L68,R68,X68,AD68,AJ68,AP68,AV68,BB68,BH68,BN68,BT68,BZ68,CF68,CL68,CR68,CX68,DD68,DJ68,DP68,DV68,EB68,EH68,EN68,ET68,EZ68,FF68,FL68,FR68,FX68,GD68,GJ68,GP68,GV68,HB68,HH68,HN68))</x:f>
      </x:c>
      <x:c r="HU68" s="27" t="str">
        <x:f>IF(C68="","",SUM(M68,S68,Y68,AE68,AK68,AQ68,AW68,BC68,BI68,BO68,BU68,CA68,CG68,CM68,CS68,CY68,DE68,DK68,DQ68,DW68,EC68,EI68,EO68,EU68,FA68,FG68,FM68,FS68,FY68,GE68,GK68,GQ68,GW68,HC68,HI68,HO68))</x:f>
      </x:c>
      <x:c r="HV68" s="27" t="str">
        <x:f>IF(C68="","",IF(JI68=LARGE(JI68:JN68,1),"R",IF(JJ68=LARGE(JI68:JN68,1),"I",IF(JK68=LARGE(JI68:JN68,1),"A",IF(JL68=LARGE(JI68:JN68,1),"S",IF(JM68=LARGE(JI68:JN68,1),"E",IF(JN68=LARGE(JI68:JN68,1),"C",""))))))&amp;IF(JI68=LARGE(JI68:JN68,2),"R",IF(JJ68=LARGE(JI68:JN68,2),"I",IF(JK68=LARGE(JI68:JN68,2),"A",IF(JL68=LARGE(JI68:JN68,2),"S",IF(JM68=LARGE(JI68:JN68,2),"E",IF(JN68=LARGE(JI68:JN68,2),"C",""))))))&amp;IF(JI68=LARGE(JI68:JN68,3),"R",IF(JJ68=LARGE(JI68:JN68,3),"I",IF(JK68=LARGE(JI68:JN68,3),"A",IF(JL68=LARGE(JI68:JN68,3),"S",IF(JM68=LARGE(JI68:JN68,3),"E",IF(JN68=LARGE(JI68:JN68,3),"C","")))))))</x:f>
      </x:c>
      <x:c r="HW68" s="27" t="str">
        <x:f>IF(C68="","",IF(JI68=LARGE(JI68:JN68,1),"นักปฏิบัติ",IF(JJ68=LARGE(JI68:JN68,1),"นักคิดวิเคราะห์",IF(JK68=LARGE(JI68:JN68,1),"นักสร้างสรรค์",IF(JL68=LARGE(JI68:JN68,1),"ผู้เข้าใจผู้คน",IF(JM68=LARGE(JI68:JN68,1),"ผู้นำการเปลี่ยนแปลง",IF(JN68=LARGE(JI68:JN68,1),"ผู้จัดระบบ","ผู้จัดระบบ")))))))</x:f>
      </x:c>
      <x:c r="HX68" s="27"/>
      <x:c r="HY68" s="27"/>
      <x:c r="HZ68" s="27"/>
      <x:c r="IA68" s="27"/>
      <x:c r="IB68" s="27"/>
      <x:c r="IC68" s="27"/>
      <x:c r="ID68" s="27"/>
      <x:c r="IE68" s="27"/>
      <x:c r="IF68" s="27"/>
      <x:c r="IG68" s="27"/>
      <x:c r="IH68" s="27"/>
      <x:c r="II68" s="27"/>
      <x:c r="IJ68" s="27"/>
      <x:c r="IK68" s="27" t="str">
        <x:f>IF(C68="","",SUM(H68,N68,T68,Z68,AF68,AL68,AR68,AX68,BD68,BJ68,BP68))</x:f>
      </x:c>
      <x:c r="IL68" s="27" t="str">
        <x:f>IF(C68="","",SUM(I68,O68,U68,AA68,AG68,AM68,AS68,AY68,BE68,BK68,BQ68))</x:f>
      </x:c>
      <x:c r="IM68" s="27" t="str">
        <x:f>IF(C68="","",SUM(J68,P68,V68,AB68,AH68,AN68,AT68,AZ68,BF68,BL68,BR68))</x:f>
      </x:c>
      <x:c r="IN68" s="27" t="str">
        <x:f>IF(C68="","",SUM(K68,Q68,W68,AC68,AI68,AO68,AU68,BA68,BG68,BM68,BS68))</x:f>
      </x:c>
      <x:c r="IO68" s="27" t="str">
        <x:f>IF(C68="","",SUM(L68,R68,X68,AD68,AJ68,AP68,AV68,BB68,BH68,BN68,BT68))</x:f>
      </x:c>
      <x:c r="IP68" s="27" t="str">
        <x:f>IF(C68="","",SUM(M68,S68,Y68,AE68,AK68,AQ68,AW68,BC68,BI68,BO68,BU68))</x:f>
      </x:c>
      <x:c r="IQ68" s="27" t="str">
        <x:f>IF(C68="","",SUM(BV68,CB68,CH68,CN68,CT68,CZ68,DF68,DL68,DR68,DX68,ED68))</x:f>
      </x:c>
      <x:c r="IR68" s="27" t="str">
        <x:f>IF(C68="","",SUM(BW68,CC68,CI68,CO68,CU68,DA68,DG68,DM68,DS68,DY68,EE68))</x:f>
      </x:c>
      <x:c r="IS68" s="27" t="str">
        <x:f>IF(C68="","",SUM(BX68,CD68,CJ68,CP68,CV68,DB68,DH68,DN68,DT68,DZ68,EF68))</x:f>
      </x:c>
      <x:c r="IT68" s="27" t="str">
        <x:f>IF(C68="","",SUM(BY68,CE68,CK68,CQ68,CW68,DC68,DI68,DO68,DU68,EA68,EG68))</x:f>
      </x:c>
      <x:c r="IU68" s="27" t="str">
        <x:f>IF(C68="","",SUM(BZ68,CF68,CL68,CR68,CX68,DD68,DJ68,DP68,DV68,EB68,EH68))</x:f>
      </x:c>
      <x:c r="IV68" s="27" t="str">
        <x:f>IF(C68="","",SUM(CA68,CG68,CM68,CS68,CY68,DE68,DK68,DQ68,DW68,EC68,EI68))</x:f>
      </x:c>
      <x:c r="IW68" s="27" t="str">
        <x:f>IF(C68="","",SUM(EJ68,EP68,EV68,FB68,FH68,FN68,FT68,FZ68,GF68,GL68,GR68,GX68,HD68,HJ68))</x:f>
      </x:c>
      <x:c r="IX68" s="27" t="str">
        <x:f>IF(C68="","",SUM(EK68,EQ68,EW68,FC68,FI68,FO68,FU68,GA68,GG68,GM68,GS68,GY68,HE68,HK68))</x:f>
      </x:c>
      <x:c r="IY68" s="27" t="str">
        <x:f>IF(C68="","",SUM(EL68,ER68,EX68,FD68,FJ68,FP68,FV68,GB68,GH68,GN68,GT68,GZ68,HF68,HL68))</x:f>
      </x:c>
      <x:c r="IZ68" s="27" t="str">
        <x:f>IF(C68="","",SUM(EM68,ES68,EY68,FE68,FK68,FQ68,FW68,GC68,GI68,GO68,GU68,HA68,HG68,HM68))</x:f>
      </x:c>
      <x:c r="JA68" s="27" t="str">
        <x:f>IF(C68="","",SUM(EN68,ET68,EZ68,FF68,FL68,FR68,FX68,GD68,GJ68,GP68,GV68,HB68,HH68,HN68))</x:f>
      </x:c>
      <x:c r="JB68" s="27" t="str">
        <x:f>IF(C68="","",SUM(EO68,EU68,FA68,FG68,FM68,FS68,FY68,GE68,GK68,GQ68,GW68,HC68,HI68,HO68))</x:f>
      </x:c>
      <x:c r="JC68" s="27" t="str">
        <x:f>IF(C68="","",0)</x:f>
      </x:c>
      <x:c r="JD68" s="27" t="str">
        <x:f>IF(C68="","",0)</x:f>
      </x:c>
      <x:c r="JE68" s="27" t="str">
        <x:f>IF(C68="","",0)</x:f>
      </x:c>
      <x:c r="JF68" s="27" t="str">
        <x:f>IF(C68="","",0)</x:f>
      </x:c>
      <x:c r="JG68" s="27" t="str">
        <x:f>IF(C68="","",0)</x:f>
      </x:c>
      <x:c r="JH68" s="27" t="str">
        <x:f>IF(C68="","",0)</x:f>
      </x:c>
      <x:c r="JI68" s="27" t="str">
        <x:f>IF(C68="","",HP68*1000000000+IW68*1000000+IQ68*10000+IK68*100+JC68+6/1000)</x:f>
      </x:c>
      <x:c r="JJ68" s="27" t="str">
        <x:f>IF(C68="","",HQ68*1000000000+IX68*1000000+IR68*10000+IL68*100+JD68+5/1000)</x:f>
      </x:c>
      <x:c r="JK68" s="27" t="str">
        <x:f>IF(C68="","",HR68*1000000000+IY68*1000000+IS68*10000+IM68*100+JE68+4/1000)</x:f>
      </x:c>
      <x:c r="JL68" s="27" t="str">
        <x:f>IF(C68="","",HS68*1000000000+IZ68*1000000+IT68*10000+IN68*100+JF68+3/1000)</x:f>
      </x:c>
      <x:c r="JM68" s="27" t="str">
        <x:f>IF(C68="","",HT68*1000000000+JA68*1000000+IU68*10000+IO68*100+JG68+2/1000)</x:f>
      </x:c>
      <x:c r="JN68" s="27" t="str">
        <x:f>IF(C68="","",HU68*1000000000+JB68*1000000+IV68*10000+IP68*100+JH68+1/1000)</x:f>
      </x:c>
    </x:row>
    <x:row r="69">
      <x:c r="A69" s="27"/>
      <x:c r="B69" s="28"/>
      <x:c r="C69" s="27"/>
      <x:c r="D69" s="27"/>
      <x:c r="E69" s="27"/>
      <x:c r="F69" s="27"/>
      <x:c r="G69" s="27"/>
      <x:c r="H69" s="27"/>
      <x:c r="I69" s="27"/>
      <x:c r="J69" s="27"/>
      <x:c r="K69" s="27"/>
      <x:c r="L69" s="27"/>
      <x:c r="M69" s="27"/>
      <x:c r="N69" s="27"/>
      <x:c r="O69" s="27"/>
      <x:c r="P69" s="27"/>
      <x:c r="Q69" s="27"/>
      <x:c r="R69" s="27"/>
      <x:c r="S69" s="27"/>
      <x:c r="T69" s="27"/>
      <x:c r="U69" s="27"/>
      <x:c r="V69" s="27"/>
      <x:c r="W69" s="27"/>
      <x:c r="X69" s="27"/>
      <x:c r="Y69" s="27"/>
      <x:c r="Z69" s="27"/>
      <x:c r="AA69" s="27"/>
      <x:c r="AB69" s="27"/>
      <x:c r="AC69" s="27"/>
      <x:c r="AD69" s="27"/>
      <x:c r="AE69" s="27"/>
      <x:c r="AF69" s="27"/>
      <x:c r="AG69" s="27"/>
      <x:c r="AH69" s="27"/>
      <x:c r="AI69" s="27"/>
      <x:c r="AJ69" s="27"/>
      <x:c r="AK69" s="27"/>
      <x:c r="AL69" s="27"/>
      <x:c r="AM69" s="27"/>
      <x:c r="AN69" s="27"/>
      <x:c r="AO69" s="27"/>
      <x:c r="AP69" s="27"/>
      <x:c r="AQ69" s="27"/>
      <x:c r="AR69" s="27"/>
      <x:c r="AS69" s="27"/>
      <x:c r="AT69" s="27"/>
      <x:c r="AU69" s="27"/>
      <x:c r="AV69" s="27"/>
      <x:c r="AW69" s="27"/>
      <x:c r="AX69" s="27"/>
      <x:c r="AY69" s="27"/>
      <x:c r="AZ69" s="27"/>
      <x:c r="BA69" s="27"/>
      <x:c r="BB69" s="27"/>
      <x:c r="BC69" s="27"/>
      <x:c r="BD69" s="27"/>
      <x:c r="BE69" s="27"/>
      <x:c r="BF69" s="27"/>
      <x:c r="BG69" s="27"/>
      <x:c r="BH69" s="27"/>
      <x:c r="BI69" s="27"/>
      <x:c r="BJ69" s="27"/>
      <x:c r="BK69" s="27"/>
      <x:c r="BL69" s="27"/>
      <x:c r="BM69" s="27"/>
      <x:c r="BN69" s="27"/>
      <x:c r="BO69" s="27"/>
      <x:c r="BP69" s="27"/>
      <x:c r="BQ69" s="27"/>
      <x:c r="BR69" s="27"/>
      <x:c r="BS69" s="27"/>
      <x:c r="BT69" s="27"/>
      <x:c r="BU69" s="27"/>
      <x:c r="BV69" s="27"/>
      <x:c r="BW69" s="27"/>
      <x:c r="BX69" s="27"/>
      <x:c r="BY69" s="27"/>
      <x:c r="BZ69" s="27"/>
      <x:c r="CA69" s="27"/>
      <x:c r="CB69" s="27"/>
      <x:c r="CC69" s="27"/>
      <x:c r="CD69" s="27"/>
      <x:c r="CE69" s="27"/>
      <x:c r="CF69" s="27"/>
      <x:c r="CG69" s="27"/>
      <x:c r="CH69" s="27"/>
      <x:c r="CI69" s="27"/>
      <x:c r="CJ69" s="27"/>
      <x:c r="CK69" s="27"/>
      <x:c r="CL69" s="27"/>
      <x:c r="CM69" s="27"/>
      <x:c r="CN69" s="27"/>
      <x:c r="CO69" s="27"/>
      <x:c r="CP69" s="27"/>
      <x:c r="CQ69" s="27"/>
      <x:c r="CR69" s="27"/>
      <x:c r="CS69" s="27"/>
      <x:c r="CT69" s="27"/>
      <x:c r="CU69" s="27"/>
      <x:c r="CV69" s="27"/>
      <x:c r="CW69" s="27"/>
      <x:c r="CX69" s="27"/>
      <x:c r="CY69" s="27"/>
      <x:c r="CZ69" s="27"/>
      <x:c r="DA69" s="27"/>
      <x:c r="DB69" s="27"/>
      <x:c r="DC69" s="27"/>
      <x:c r="DD69" s="27"/>
      <x:c r="DE69" s="27"/>
      <x:c r="DF69" s="27"/>
      <x:c r="DG69" s="27"/>
      <x:c r="DH69" s="27"/>
      <x:c r="DI69" s="27"/>
      <x:c r="DJ69" s="27"/>
      <x:c r="DK69" s="27"/>
      <x:c r="DL69" s="27"/>
      <x:c r="DM69" s="27"/>
      <x:c r="DN69" s="27"/>
      <x:c r="DO69" s="27"/>
      <x:c r="DP69" s="27"/>
      <x:c r="DQ69" s="27"/>
      <x:c r="DR69" s="27"/>
      <x:c r="DS69" s="27"/>
      <x:c r="DT69" s="27"/>
      <x:c r="DU69" s="27"/>
      <x:c r="DV69" s="27"/>
      <x:c r="DW69" s="27"/>
      <x:c r="DX69" s="27"/>
      <x:c r="DY69" s="27"/>
      <x:c r="DZ69" s="27"/>
      <x:c r="EA69" s="27"/>
      <x:c r="EB69" s="27"/>
      <x:c r="EC69" s="27"/>
      <x:c r="ED69" s="27"/>
      <x:c r="EE69" s="27"/>
      <x:c r="EF69" s="27"/>
      <x:c r="EG69" s="27"/>
      <x:c r="EH69" s="27"/>
      <x:c r="EI69" s="27"/>
      <x:c r="EJ69" s="27"/>
      <x:c r="EK69" s="27"/>
      <x:c r="EL69" s="27"/>
      <x:c r="EM69" s="27"/>
      <x:c r="EN69" s="27"/>
      <x:c r="EO69" s="27"/>
      <x:c r="EP69" s="27"/>
      <x:c r="EQ69" s="27"/>
      <x:c r="ER69" s="27"/>
      <x:c r="ES69" s="27"/>
      <x:c r="ET69" s="27"/>
      <x:c r="EU69" s="27"/>
      <x:c r="EV69" s="27"/>
      <x:c r="EW69" s="27"/>
      <x:c r="EX69" s="27"/>
      <x:c r="EY69" s="27"/>
      <x:c r="EZ69" s="27"/>
      <x:c r="FA69" s="27"/>
      <x:c r="FB69" s="27"/>
      <x:c r="FC69" s="27"/>
      <x:c r="FD69" s="27"/>
      <x:c r="FE69" s="27"/>
      <x:c r="FF69" s="27"/>
      <x:c r="FG69" s="27"/>
      <x:c r="FH69" s="27"/>
      <x:c r="FI69" s="27"/>
      <x:c r="FJ69" s="27"/>
      <x:c r="FK69" s="27"/>
      <x:c r="FL69" s="27"/>
      <x:c r="FM69" s="27"/>
      <x:c r="FN69" s="27"/>
      <x:c r="FO69" s="27"/>
      <x:c r="FP69" s="27"/>
      <x:c r="FQ69" s="27"/>
      <x:c r="FR69" s="27"/>
      <x:c r="FS69" s="27"/>
      <x:c r="FT69" s="27"/>
      <x:c r="FU69" s="27"/>
      <x:c r="FV69" s="27"/>
      <x:c r="FW69" s="27"/>
      <x:c r="FX69" s="27"/>
      <x:c r="FY69" s="27"/>
      <x:c r="FZ69" s="27"/>
      <x:c r="GA69" s="27"/>
      <x:c r="GB69" s="27"/>
      <x:c r="GC69" s="27"/>
      <x:c r="GD69" s="27"/>
      <x:c r="GE69" s="27"/>
      <x:c r="GF69" s="27"/>
      <x:c r="GG69" s="27"/>
      <x:c r="GH69" s="27"/>
      <x:c r="GI69" s="27"/>
      <x:c r="GJ69" s="27"/>
      <x:c r="GK69" s="27"/>
      <x:c r="GL69" s="27"/>
      <x:c r="GM69" s="27"/>
      <x:c r="GN69" s="27"/>
      <x:c r="GO69" s="27"/>
      <x:c r="GP69" s="27"/>
      <x:c r="GQ69" s="27"/>
      <x:c r="GR69" s="27"/>
      <x:c r="GS69" s="27"/>
      <x:c r="GT69" s="27"/>
      <x:c r="GU69" s="27"/>
      <x:c r="GV69" s="27"/>
      <x:c r="GW69" s="27"/>
      <x:c r="GX69" s="27"/>
      <x:c r="GY69" s="27"/>
      <x:c r="GZ69" s="27"/>
      <x:c r="HA69" s="27"/>
      <x:c r="HB69" s="27"/>
      <x:c r="HC69" s="27"/>
      <x:c r="HD69" s="27"/>
      <x:c r="HE69" s="27"/>
      <x:c r="HF69" s="27"/>
      <x:c r="HG69" s="27"/>
      <x:c r="HH69" s="27"/>
      <x:c r="HI69" s="27"/>
      <x:c r="HJ69" s="27"/>
      <x:c r="HK69" s="27"/>
      <x:c r="HL69" s="27"/>
      <x:c r="HM69" s="27"/>
      <x:c r="HN69" s="27"/>
      <x:c r="HO69" s="27"/>
      <x:c r="HP69" s="27" t="str">
        <x:f>IF(C69="","",SUM(H69,N69,T69,Z69,AF69,AL69,AR69,AX69,BD69,BJ69,BP69,BV69,CB69,CH69,CN69,CT69,CZ69,DF69,DL69,DR69,DX69,ED69,EJ69,EP69,EV69,FB69,FH69,FN69,FT69,FZ69,GF69,GL69,GR69,GX69,HD69,HJ69))</x:f>
      </x:c>
      <x:c r="HQ69" s="27" t="str">
        <x:f>IF(C69="","",SUM(I69,O69,U69,AA69,AG69,AM69,AS69,AY69,BE69,BK69,BQ69,BW69,CC69,CI69,CO69,CU69,DA69,DG69,DM69,DS69,DY69,EE69,EK69,EQ69,EW69,FC69,FI69,FO69,FU69,GA69,GG69,GM69,GS69,GY69,HE69,HK69))</x:f>
      </x:c>
      <x:c r="HR69" s="27" t="str">
        <x:f>IF(C69="","",SUM(J69,P69,V69,AB69,AH69,AN69,AT69,AZ69,BF69,BL69,BR69,BX69,CD69,CJ69,CP69,CV69,DB69,DH69,DN69,DT69,DZ69,EF69,EL69,ER69,EX69,FD69,FJ69,FP69,FV69,GB69,GH69,GN69,GT69,GZ69,HF69,HL69))</x:f>
      </x:c>
      <x:c r="HS69" s="27" t="str">
        <x:f>IF(C69="","",SUM(K69,Q69,W69,AC69,AI69,AO69,AU69,BA69,BG69,BM69,BS69,BY69,CE69,CK69,CQ69,CW69,DC69,DI69,DO69,DU69,EA69,EG69,EM69,ES69,EY69,FE69,FK69,FQ69,FW69,GC69,GI69,GO69,GU69,HA69,HG69,HM69))</x:f>
      </x:c>
      <x:c r="HT69" s="27" t="str">
        <x:f>IF(C69="","",SUM(L69,R69,X69,AD69,AJ69,AP69,AV69,BB69,BH69,BN69,BT69,BZ69,CF69,CL69,CR69,CX69,DD69,DJ69,DP69,DV69,EB69,EH69,EN69,ET69,EZ69,FF69,FL69,FR69,FX69,GD69,GJ69,GP69,GV69,HB69,HH69,HN69))</x:f>
      </x:c>
      <x:c r="HU69" s="27" t="str">
        <x:f>IF(C69="","",SUM(M69,S69,Y69,AE69,AK69,AQ69,AW69,BC69,BI69,BO69,BU69,CA69,CG69,CM69,CS69,CY69,DE69,DK69,DQ69,DW69,EC69,EI69,EO69,EU69,FA69,FG69,FM69,FS69,FY69,GE69,GK69,GQ69,GW69,HC69,HI69,HO69))</x:f>
      </x:c>
      <x:c r="HV69" s="27" t="str">
        <x:f>IF(C69="","",IF(JI69=LARGE(JI69:JN69,1),"R",IF(JJ69=LARGE(JI69:JN69,1),"I",IF(JK69=LARGE(JI69:JN69,1),"A",IF(JL69=LARGE(JI69:JN69,1),"S",IF(JM69=LARGE(JI69:JN69,1),"E",IF(JN69=LARGE(JI69:JN69,1),"C",""))))))&amp;IF(JI69=LARGE(JI69:JN69,2),"R",IF(JJ69=LARGE(JI69:JN69,2),"I",IF(JK69=LARGE(JI69:JN69,2),"A",IF(JL69=LARGE(JI69:JN69,2),"S",IF(JM69=LARGE(JI69:JN69,2),"E",IF(JN69=LARGE(JI69:JN69,2),"C",""))))))&amp;IF(JI69=LARGE(JI69:JN69,3),"R",IF(JJ69=LARGE(JI69:JN69,3),"I",IF(JK69=LARGE(JI69:JN69,3),"A",IF(JL69=LARGE(JI69:JN69,3),"S",IF(JM69=LARGE(JI69:JN69,3),"E",IF(JN69=LARGE(JI69:JN69,3),"C","")))))))</x:f>
      </x:c>
      <x:c r="HW69" s="27" t="str">
        <x:f>IF(C69="","",IF(JI69=LARGE(JI69:JN69,1),"นักปฏิบัติ",IF(JJ69=LARGE(JI69:JN69,1),"นักคิดวิเคราะห์",IF(JK69=LARGE(JI69:JN69,1),"นักสร้างสรรค์",IF(JL69=LARGE(JI69:JN69,1),"ผู้เข้าใจผู้คน",IF(JM69=LARGE(JI69:JN69,1),"ผู้นำการเปลี่ยนแปลง",IF(JN69=LARGE(JI69:JN69,1),"ผู้จัดระบบ","ผู้จัดระบบ")))))))</x:f>
      </x:c>
      <x:c r="HX69" s="27"/>
      <x:c r="HY69" s="27"/>
      <x:c r="HZ69" s="27"/>
      <x:c r="IA69" s="27"/>
      <x:c r="IB69" s="27"/>
      <x:c r="IC69" s="27"/>
      <x:c r="ID69" s="27"/>
      <x:c r="IE69" s="27"/>
      <x:c r="IF69" s="27"/>
      <x:c r="IG69" s="27"/>
      <x:c r="IH69" s="27"/>
      <x:c r="II69" s="27"/>
      <x:c r="IJ69" s="27"/>
      <x:c r="IK69" s="27" t="str">
        <x:f>IF(C69="","",SUM(H69,N69,T69,Z69,AF69,AL69,AR69,AX69,BD69,BJ69,BP69))</x:f>
      </x:c>
      <x:c r="IL69" s="27" t="str">
        <x:f>IF(C69="","",SUM(I69,O69,U69,AA69,AG69,AM69,AS69,AY69,BE69,BK69,BQ69))</x:f>
      </x:c>
      <x:c r="IM69" s="27" t="str">
        <x:f>IF(C69="","",SUM(J69,P69,V69,AB69,AH69,AN69,AT69,AZ69,BF69,BL69,BR69))</x:f>
      </x:c>
      <x:c r="IN69" s="27" t="str">
        <x:f>IF(C69="","",SUM(K69,Q69,W69,AC69,AI69,AO69,AU69,BA69,BG69,BM69,BS69))</x:f>
      </x:c>
      <x:c r="IO69" s="27" t="str">
        <x:f>IF(C69="","",SUM(L69,R69,X69,AD69,AJ69,AP69,AV69,BB69,BH69,BN69,BT69))</x:f>
      </x:c>
      <x:c r="IP69" s="27" t="str">
        <x:f>IF(C69="","",SUM(M69,S69,Y69,AE69,AK69,AQ69,AW69,BC69,BI69,BO69,BU69))</x:f>
      </x:c>
      <x:c r="IQ69" s="27" t="str">
        <x:f>IF(C69="","",SUM(BV69,CB69,CH69,CN69,CT69,CZ69,DF69,DL69,DR69,DX69,ED69))</x:f>
      </x:c>
      <x:c r="IR69" s="27" t="str">
        <x:f>IF(C69="","",SUM(BW69,CC69,CI69,CO69,CU69,DA69,DG69,DM69,DS69,DY69,EE69))</x:f>
      </x:c>
      <x:c r="IS69" s="27" t="str">
        <x:f>IF(C69="","",SUM(BX69,CD69,CJ69,CP69,CV69,DB69,DH69,DN69,DT69,DZ69,EF69))</x:f>
      </x:c>
      <x:c r="IT69" s="27" t="str">
        <x:f>IF(C69="","",SUM(BY69,CE69,CK69,CQ69,CW69,DC69,DI69,DO69,DU69,EA69,EG69))</x:f>
      </x:c>
      <x:c r="IU69" s="27" t="str">
        <x:f>IF(C69="","",SUM(BZ69,CF69,CL69,CR69,CX69,DD69,DJ69,DP69,DV69,EB69,EH69))</x:f>
      </x:c>
      <x:c r="IV69" s="27" t="str">
        <x:f>IF(C69="","",SUM(CA69,CG69,CM69,CS69,CY69,DE69,DK69,DQ69,DW69,EC69,EI69))</x:f>
      </x:c>
      <x:c r="IW69" s="27" t="str">
        <x:f>IF(C69="","",SUM(EJ69,EP69,EV69,FB69,FH69,FN69,FT69,FZ69,GF69,GL69,GR69,GX69,HD69,HJ69))</x:f>
      </x:c>
      <x:c r="IX69" s="27" t="str">
        <x:f>IF(C69="","",SUM(EK69,EQ69,EW69,FC69,FI69,FO69,FU69,GA69,GG69,GM69,GS69,GY69,HE69,HK69))</x:f>
      </x:c>
      <x:c r="IY69" s="27" t="str">
        <x:f>IF(C69="","",SUM(EL69,ER69,EX69,FD69,FJ69,FP69,FV69,GB69,GH69,GN69,GT69,GZ69,HF69,HL69))</x:f>
      </x:c>
      <x:c r="IZ69" s="27" t="str">
        <x:f>IF(C69="","",SUM(EM69,ES69,EY69,FE69,FK69,FQ69,FW69,GC69,GI69,GO69,GU69,HA69,HG69,HM69))</x:f>
      </x:c>
      <x:c r="JA69" s="27" t="str">
        <x:f>IF(C69="","",SUM(EN69,ET69,EZ69,FF69,FL69,FR69,FX69,GD69,GJ69,GP69,GV69,HB69,HH69,HN69))</x:f>
      </x:c>
      <x:c r="JB69" s="27" t="str">
        <x:f>IF(C69="","",SUM(EO69,EU69,FA69,FG69,FM69,FS69,FY69,GE69,GK69,GQ69,GW69,HC69,HI69,HO69))</x:f>
      </x:c>
      <x:c r="JC69" s="27" t="str">
        <x:f>IF(C69="","",0)</x:f>
      </x:c>
      <x:c r="JD69" s="27" t="str">
        <x:f>IF(C69="","",0)</x:f>
      </x:c>
      <x:c r="JE69" s="27" t="str">
        <x:f>IF(C69="","",0)</x:f>
      </x:c>
      <x:c r="JF69" s="27" t="str">
        <x:f>IF(C69="","",0)</x:f>
      </x:c>
      <x:c r="JG69" s="27" t="str">
        <x:f>IF(C69="","",0)</x:f>
      </x:c>
      <x:c r="JH69" s="27" t="str">
        <x:f>IF(C69="","",0)</x:f>
      </x:c>
      <x:c r="JI69" s="27" t="str">
        <x:f>IF(C69="","",HP69*1000000000+IW69*1000000+IQ69*10000+IK69*100+JC69+6/1000)</x:f>
      </x:c>
      <x:c r="JJ69" s="27" t="str">
        <x:f>IF(C69="","",HQ69*1000000000+IX69*1000000+IR69*10000+IL69*100+JD69+5/1000)</x:f>
      </x:c>
      <x:c r="JK69" s="27" t="str">
        <x:f>IF(C69="","",HR69*1000000000+IY69*1000000+IS69*10000+IM69*100+JE69+4/1000)</x:f>
      </x:c>
      <x:c r="JL69" s="27" t="str">
        <x:f>IF(C69="","",HS69*1000000000+IZ69*1000000+IT69*10000+IN69*100+JF69+3/1000)</x:f>
      </x:c>
      <x:c r="JM69" s="27" t="str">
        <x:f>IF(C69="","",HT69*1000000000+JA69*1000000+IU69*10000+IO69*100+JG69+2/1000)</x:f>
      </x:c>
      <x:c r="JN69" s="27" t="str">
        <x:f>IF(C69="","",HU69*1000000000+JB69*1000000+IV69*10000+IP69*100+JH69+1/1000)</x:f>
      </x:c>
    </x:row>
    <x:row r="70">
      <x:c r="A70" s="27"/>
      <x:c r="B70" s="28"/>
      <x:c r="C70" s="27"/>
      <x:c r="D70" s="27"/>
      <x:c r="E70" s="27"/>
      <x:c r="F70" s="27"/>
      <x:c r="G70" s="27"/>
      <x:c r="H70" s="27"/>
      <x:c r="I70" s="27"/>
      <x:c r="J70" s="27"/>
      <x:c r="K70" s="27"/>
      <x:c r="L70" s="27"/>
      <x:c r="M70" s="27"/>
      <x:c r="N70" s="27"/>
      <x:c r="O70" s="27"/>
      <x:c r="P70" s="27"/>
      <x:c r="Q70" s="27"/>
      <x:c r="R70" s="27"/>
      <x:c r="S70" s="27"/>
      <x:c r="T70" s="27"/>
      <x:c r="U70" s="27"/>
      <x:c r="V70" s="27"/>
      <x:c r="W70" s="27"/>
      <x:c r="X70" s="27"/>
      <x:c r="Y70" s="27"/>
      <x:c r="Z70" s="27"/>
      <x:c r="AA70" s="27"/>
      <x:c r="AB70" s="27"/>
      <x:c r="AC70" s="27"/>
      <x:c r="AD70" s="27"/>
      <x:c r="AE70" s="27"/>
      <x:c r="AF70" s="27"/>
      <x:c r="AG70" s="27"/>
      <x:c r="AH70" s="27"/>
      <x:c r="AI70" s="27"/>
      <x:c r="AJ70" s="27"/>
      <x:c r="AK70" s="27"/>
      <x:c r="AL70" s="27"/>
      <x:c r="AM70" s="27"/>
      <x:c r="AN70" s="27"/>
      <x:c r="AO70" s="27"/>
      <x:c r="AP70" s="27"/>
      <x:c r="AQ70" s="27"/>
      <x:c r="AR70" s="27"/>
      <x:c r="AS70" s="27"/>
      <x:c r="AT70" s="27"/>
      <x:c r="AU70" s="27"/>
      <x:c r="AV70" s="27"/>
      <x:c r="AW70" s="27"/>
      <x:c r="AX70" s="27"/>
      <x:c r="AY70" s="27"/>
      <x:c r="AZ70" s="27"/>
      <x:c r="BA70" s="27"/>
      <x:c r="BB70" s="27"/>
      <x:c r="BC70" s="27"/>
      <x:c r="BD70" s="27"/>
      <x:c r="BE70" s="27"/>
      <x:c r="BF70" s="27"/>
      <x:c r="BG70" s="27"/>
      <x:c r="BH70" s="27"/>
      <x:c r="BI70" s="27"/>
      <x:c r="BJ70" s="27"/>
      <x:c r="BK70" s="27"/>
      <x:c r="BL70" s="27"/>
      <x:c r="BM70" s="27"/>
      <x:c r="BN70" s="27"/>
      <x:c r="BO70" s="27"/>
      <x:c r="BP70" s="27"/>
      <x:c r="BQ70" s="27"/>
      <x:c r="BR70" s="27"/>
      <x:c r="BS70" s="27"/>
      <x:c r="BT70" s="27"/>
      <x:c r="BU70" s="27"/>
      <x:c r="BV70" s="27"/>
      <x:c r="BW70" s="27"/>
      <x:c r="BX70" s="27"/>
      <x:c r="BY70" s="27"/>
      <x:c r="BZ70" s="27"/>
      <x:c r="CA70" s="27"/>
      <x:c r="CB70" s="27"/>
      <x:c r="CC70" s="27"/>
      <x:c r="CD70" s="27"/>
      <x:c r="CE70" s="27"/>
      <x:c r="CF70" s="27"/>
      <x:c r="CG70" s="27"/>
      <x:c r="CH70" s="27"/>
      <x:c r="CI70" s="27"/>
      <x:c r="CJ70" s="27"/>
      <x:c r="CK70" s="27"/>
      <x:c r="CL70" s="27"/>
      <x:c r="CM70" s="27"/>
      <x:c r="CN70" s="27"/>
      <x:c r="CO70" s="27"/>
      <x:c r="CP70" s="27"/>
      <x:c r="CQ70" s="27"/>
      <x:c r="CR70" s="27"/>
      <x:c r="CS70" s="27"/>
      <x:c r="CT70" s="27"/>
      <x:c r="CU70" s="27"/>
      <x:c r="CV70" s="27"/>
      <x:c r="CW70" s="27"/>
      <x:c r="CX70" s="27"/>
      <x:c r="CY70" s="27"/>
      <x:c r="CZ70" s="27"/>
      <x:c r="DA70" s="27"/>
      <x:c r="DB70" s="27"/>
      <x:c r="DC70" s="27"/>
      <x:c r="DD70" s="27"/>
      <x:c r="DE70" s="27"/>
      <x:c r="DF70" s="27"/>
      <x:c r="DG70" s="27"/>
      <x:c r="DH70" s="27"/>
      <x:c r="DI70" s="27"/>
      <x:c r="DJ70" s="27"/>
      <x:c r="DK70" s="27"/>
      <x:c r="DL70" s="27"/>
      <x:c r="DM70" s="27"/>
      <x:c r="DN70" s="27"/>
      <x:c r="DO70" s="27"/>
      <x:c r="DP70" s="27"/>
      <x:c r="DQ70" s="27"/>
      <x:c r="DR70" s="27"/>
      <x:c r="DS70" s="27"/>
      <x:c r="DT70" s="27"/>
      <x:c r="DU70" s="27"/>
      <x:c r="DV70" s="27"/>
      <x:c r="DW70" s="27"/>
      <x:c r="DX70" s="27"/>
      <x:c r="DY70" s="27"/>
      <x:c r="DZ70" s="27"/>
      <x:c r="EA70" s="27"/>
      <x:c r="EB70" s="27"/>
      <x:c r="EC70" s="27"/>
      <x:c r="ED70" s="27"/>
      <x:c r="EE70" s="27"/>
      <x:c r="EF70" s="27"/>
      <x:c r="EG70" s="27"/>
      <x:c r="EH70" s="27"/>
      <x:c r="EI70" s="27"/>
      <x:c r="EJ70" s="27"/>
      <x:c r="EK70" s="27"/>
      <x:c r="EL70" s="27"/>
      <x:c r="EM70" s="27"/>
      <x:c r="EN70" s="27"/>
      <x:c r="EO70" s="27"/>
      <x:c r="EP70" s="27"/>
      <x:c r="EQ70" s="27"/>
      <x:c r="ER70" s="27"/>
      <x:c r="ES70" s="27"/>
      <x:c r="ET70" s="27"/>
      <x:c r="EU70" s="27"/>
      <x:c r="EV70" s="27"/>
      <x:c r="EW70" s="27"/>
      <x:c r="EX70" s="27"/>
      <x:c r="EY70" s="27"/>
      <x:c r="EZ70" s="27"/>
      <x:c r="FA70" s="27"/>
      <x:c r="FB70" s="27"/>
      <x:c r="FC70" s="27"/>
      <x:c r="FD70" s="27"/>
      <x:c r="FE70" s="27"/>
      <x:c r="FF70" s="27"/>
      <x:c r="FG70" s="27"/>
      <x:c r="FH70" s="27"/>
      <x:c r="FI70" s="27"/>
      <x:c r="FJ70" s="27"/>
      <x:c r="FK70" s="27"/>
      <x:c r="FL70" s="27"/>
      <x:c r="FM70" s="27"/>
      <x:c r="FN70" s="27"/>
      <x:c r="FO70" s="27"/>
      <x:c r="FP70" s="27"/>
      <x:c r="FQ70" s="27"/>
      <x:c r="FR70" s="27"/>
      <x:c r="FS70" s="27"/>
      <x:c r="FT70" s="27"/>
      <x:c r="FU70" s="27"/>
      <x:c r="FV70" s="27"/>
      <x:c r="FW70" s="27"/>
      <x:c r="FX70" s="27"/>
      <x:c r="FY70" s="27"/>
      <x:c r="FZ70" s="27"/>
      <x:c r="GA70" s="27"/>
      <x:c r="GB70" s="27"/>
      <x:c r="GC70" s="27"/>
      <x:c r="GD70" s="27"/>
      <x:c r="GE70" s="27"/>
      <x:c r="GF70" s="27"/>
      <x:c r="GG70" s="27"/>
      <x:c r="GH70" s="27"/>
      <x:c r="GI70" s="27"/>
      <x:c r="GJ70" s="27"/>
      <x:c r="GK70" s="27"/>
      <x:c r="GL70" s="27"/>
      <x:c r="GM70" s="27"/>
      <x:c r="GN70" s="27"/>
      <x:c r="GO70" s="27"/>
      <x:c r="GP70" s="27"/>
      <x:c r="GQ70" s="27"/>
      <x:c r="GR70" s="27"/>
      <x:c r="GS70" s="27"/>
      <x:c r="GT70" s="27"/>
      <x:c r="GU70" s="27"/>
      <x:c r="GV70" s="27"/>
      <x:c r="GW70" s="27"/>
      <x:c r="GX70" s="27"/>
      <x:c r="GY70" s="27"/>
      <x:c r="GZ70" s="27"/>
      <x:c r="HA70" s="27"/>
      <x:c r="HB70" s="27"/>
      <x:c r="HC70" s="27"/>
      <x:c r="HD70" s="27"/>
      <x:c r="HE70" s="27"/>
      <x:c r="HF70" s="27"/>
      <x:c r="HG70" s="27"/>
      <x:c r="HH70" s="27"/>
      <x:c r="HI70" s="27"/>
      <x:c r="HJ70" s="27"/>
      <x:c r="HK70" s="27"/>
      <x:c r="HL70" s="27"/>
      <x:c r="HM70" s="27"/>
      <x:c r="HN70" s="27"/>
      <x:c r="HO70" s="27"/>
      <x:c r="HP70" s="27" t="str">
        <x:f>IF(C70="","",SUM(H70,N70,T70,Z70,AF70,AL70,AR70,AX70,BD70,BJ70,BP70,BV70,CB70,CH70,CN70,CT70,CZ70,DF70,DL70,DR70,DX70,ED70,EJ70,EP70,EV70,FB70,FH70,FN70,FT70,FZ70,GF70,GL70,GR70,GX70,HD70,HJ70))</x:f>
      </x:c>
      <x:c r="HQ70" s="27" t="str">
        <x:f>IF(C70="","",SUM(I70,O70,U70,AA70,AG70,AM70,AS70,AY70,BE70,BK70,BQ70,BW70,CC70,CI70,CO70,CU70,DA70,DG70,DM70,DS70,DY70,EE70,EK70,EQ70,EW70,FC70,FI70,FO70,FU70,GA70,GG70,GM70,GS70,GY70,HE70,HK70))</x:f>
      </x:c>
      <x:c r="HR70" s="27" t="str">
        <x:f>IF(C70="","",SUM(J70,P70,V70,AB70,AH70,AN70,AT70,AZ70,BF70,BL70,BR70,BX70,CD70,CJ70,CP70,CV70,DB70,DH70,DN70,DT70,DZ70,EF70,EL70,ER70,EX70,FD70,FJ70,FP70,FV70,GB70,GH70,GN70,GT70,GZ70,HF70,HL70))</x:f>
      </x:c>
      <x:c r="HS70" s="27" t="str">
        <x:f>IF(C70="","",SUM(K70,Q70,W70,AC70,AI70,AO70,AU70,BA70,BG70,BM70,BS70,BY70,CE70,CK70,CQ70,CW70,DC70,DI70,DO70,DU70,EA70,EG70,EM70,ES70,EY70,FE70,FK70,FQ70,FW70,GC70,GI70,GO70,GU70,HA70,HG70,HM70))</x:f>
      </x:c>
      <x:c r="HT70" s="27" t="str">
        <x:f>IF(C70="","",SUM(L70,R70,X70,AD70,AJ70,AP70,AV70,BB70,BH70,BN70,BT70,BZ70,CF70,CL70,CR70,CX70,DD70,DJ70,DP70,DV70,EB70,EH70,EN70,ET70,EZ70,FF70,FL70,FR70,FX70,GD70,GJ70,GP70,GV70,HB70,HH70,HN70))</x:f>
      </x:c>
      <x:c r="HU70" s="27" t="str">
        <x:f>IF(C70="","",SUM(M70,S70,Y70,AE70,AK70,AQ70,AW70,BC70,BI70,BO70,BU70,CA70,CG70,CM70,CS70,CY70,DE70,DK70,DQ70,DW70,EC70,EI70,EO70,EU70,FA70,FG70,FM70,FS70,FY70,GE70,GK70,GQ70,GW70,HC70,HI70,HO70))</x:f>
      </x:c>
      <x:c r="HV70" s="27" t="str">
        <x:f>IF(C70="","",IF(JI70=LARGE(JI70:JN70,1),"R",IF(JJ70=LARGE(JI70:JN70,1),"I",IF(JK70=LARGE(JI70:JN70,1),"A",IF(JL70=LARGE(JI70:JN70,1),"S",IF(JM70=LARGE(JI70:JN70,1),"E",IF(JN70=LARGE(JI70:JN70,1),"C",""))))))&amp;IF(JI70=LARGE(JI70:JN70,2),"R",IF(JJ70=LARGE(JI70:JN70,2),"I",IF(JK70=LARGE(JI70:JN70,2),"A",IF(JL70=LARGE(JI70:JN70,2),"S",IF(JM70=LARGE(JI70:JN70,2),"E",IF(JN70=LARGE(JI70:JN70,2),"C",""))))))&amp;IF(JI70=LARGE(JI70:JN70,3),"R",IF(JJ70=LARGE(JI70:JN70,3),"I",IF(JK70=LARGE(JI70:JN70,3),"A",IF(JL70=LARGE(JI70:JN70,3),"S",IF(JM70=LARGE(JI70:JN70,3),"E",IF(JN70=LARGE(JI70:JN70,3),"C","")))))))</x:f>
      </x:c>
      <x:c r="HW70" s="27" t="str">
        <x:f>IF(C70="","",IF(JI70=LARGE(JI70:JN70,1),"นักปฏิบัติ",IF(JJ70=LARGE(JI70:JN70,1),"นักคิดวิเคราะห์",IF(JK70=LARGE(JI70:JN70,1),"นักสร้างสรรค์",IF(JL70=LARGE(JI70:JN70,1),"ผู้เข้าใจผู้คน",IF(JM70=LARGE(JI70:JN70,1),"ผู้นำการเปลี่ยนแปลง",IF(JN70=LARGE(JI70:JN70,1),"ผู้จัดระบบ","ผู้จัดระบบ")))))))</x:f>
      </x:c>
      <x:c r="HX70" s="27"/>
      <x:c r="HY70" s="27"/>
      <x:c r="HZ70" s="27"/>
      <x:c r="IA70" s="27"/>
      <x:c r="IB70" s="27"/>
      <x:c r="IC70" s="27"/>
      <x:c r="ID70" s="27"/>
      <x:c r="IE70" s="27"/>
      <x:c r="IF70" s="27"/>
      <x:c r="IG70" s="27"/>
      <x:c r="IH70" s="27"/>
      <x:c r="II70" s="27"/>
      <x:c r="IJ70" s="27"/>
      <x:c r="IK70" s="27" t="str">
        <x:f>IF(C70="","",SUM(H70,N70,T70,Z70,AF70,AL70,AR70,AX70,BD70,BJ70,BP70))</x:f>
      </x:c>
      <x:c r="IL70" s="27" t="str">
        <x:f>IF(C70="","",SUM(I70,O70,U70,AA70,AG70,AM70,AS70,AY70,BE70,BK70,BQ70))</x:f>
      </x:c>
      <x:c r="IM70" s="27" t="str">
        <x:f>IF(C70="","",SUM(J70,P70,V70,AB70,AH70,AN70,AT70,AZ70,BF70,BL70,BR70))</x:f>
      </x:c>
      <x:c r="IN70" s="27" t="str">
        <x:f>IF(C70="","",SUM(K70,Q70,W70,AC70,AI70,AO70,AU70,BA70,BG70,BM70,BS70))</x:f>
      </x:c>
      <x:c r="IO70" s="27" t="str">
        <x:f>IF(C70="","",SUM(L70,R70,X70,AD70,AJ70,AP70,AV70,BB70,BH70,BN70,BT70))</x:f>
      </x:c>
      <x:c r="IP70" s="27" t="str">
        <x:f>IF(C70="","",SUM(M70,S70,Y70,AE70,AK70,AQ70,AW70,BC70,BI70,BO70,BU70))</x:f>
      </x:c>
      <x:c r="IQ70" s="27" t="str">
        <x:f>IF(C70="","",SUM(BV70,CB70,CH70,CN70,CT70,CZ70,DF70,DL70,DR70,DX70,ED70))</x:f>
      </x:c>
      <x:c r="IR70" s="27" t="str">
        <x:f>IF(C70="","",SUM(BW70,CC70,CI70,CO70,CU70,DA70,DG70,DM70,DS70,DY70,EE70))</x:f>
      </x:c>
      <x:c r="IS70" s="27" t="str">
        <x:f>IF(C70="","",SUM(BX70,CD70,CJ70,CP70,CV70,DB70,DH70,DN70,DT70,DZ70,EF70))</x:f>
      </x:c>
      <x:c r="IT70" s="27" t="str">
        <x:f>IF(C70="","",SUM(BY70,CE70,CK70,CQ70,CW70,DC70,DI70,DO70,DU70,EA70,EG70))</x:f>
      </x:c>
      <x:c r="IU70" s="27" t="str">
        <x:f>IF(C70="","",SUM(BZ70,CF70,CL70,CR70,CX70,DD70,DJ70,DP70,DV70,EB70,EH70))</x:f>
      </x:c>
      <x:c r="IV70" s="27" t="str">
        <x:f>IF(C70="","",SUM(CA70,CG70,CM70,CS70,CY70,DE70,DK70,DQ70,DW70,EC70,EI70))</x:f>
      </x:c>
      <x:c r="IW70" s="27" t="str">
        <x:f>IF(C70="","",SUM(EJ70,EP70,EV70,FB70,FH70,FN70,FT70,FZ70,GF70,GL70,GR70,GX70,HD70,HJ70))</x:f>
      </x:c>
      <x:c r="IX70" s="27" t="str">
        <x:f>IF(C70="","",SUM(EK70,EQ70,EW70,FC70,FI70,FO70,FU70,GA70,GG70,GM70,GS70,GY70,HE70,HK70))</x:f>
      </x:c>
      <x:c r="IY70" s="27" t="str">
        <x:f>IF(C70="","",SUM(EL70,ER70,EX70,FD70,FJ70,FP70,FV70,GB70,GH70,GN70,GT70,GZ70,HF70,HL70))</x:f>
      </x:c>
      <x:c r="IZ70" s="27" t="str">
        <x:f>IF(C70="","",SUM(EM70,ES70,EY70,FE70,FK70,FQ70,FW70,GC70,GI70,GO70,GU70,HA70,HG70,HM70))</x:f>
      </x:c>
      <x:c r="JA70" s="27" t="str">
        <x:f>IF(C70="","",SUM(EN70,ET70,EZ70,FF70,FL70,FR70,FX70,GD70,GJ70,GP70,GV70,HB70,HH70,HN70))</x:f>
      </x:c>
      <x:c r="JB70" s="27" t="str">
        <x:f>IF(C70="","",SUM(EO70,EU70,FA70,FG70,FM70,FS70,FY70,GE70,GK70,GQ70,GW70,HC70,HI70,HO70))</x:f>
      </x:c>
      <x:c r="JC70" s="27" t="str">
        <x:f>IF(C70="","",0)</x:f>
      </x:c>
      <x:c r="JD70" s="27" t="str">
        <x:f>IF(C70="","",0)</x:f>
      </x:c>
      <x:c r="JE70" s="27" t="str">
        <x:f>IF(C70="","",0)</x:f>
      </x:c>
      <x:c r="JF70" s="27" t="str">
        <x:f>IF(C70="","",0)</x:f>
      </x:c>
      <x:c r="JG70" s="27" t="str">
        <x:f>IF(C70="","",0)</x:f>
      </x:c>
      <x:c r="JH70" s="27" t="str">
        <x:f>IF(C70="","",0)</x:f>
      </x:c>
      <x:c r="JI70" s="27" t="str">
        <x:f>IF(C70="","",HP70*1000000000+IW70*1000000+IQ70*10000+IK70*100+JC70+6/1000)</x:f>
      </x:c>
      <x:c r="JJ70" s="27" t="str">
        <x:f>IF(C70="","",HQ70*1000000000+IX70*1000000+IR70*10000+IL70*100+JD70+5/1000)</x:f>
      </x:c>
      <x:c r="JK70" s="27" t="str">
        <x:f>IF(C70="","",HR70*1000000000+IY70*1000000+IS70*10000+IM70*100+JE70+4/1000)</x:f>
      </x:c>
      <x:c r="JL70" s="27" t="str">
        <x:f>IF(C70="","",HS70*1000000000+IZ70*1000000+IT70*10000+IN70*100+JF70+3/1000)</x:f>
      </x:c>
      <x:c r="JM70" s="27" t="str">
        <x:f>IF(C70="","",HT70*1000000000+JA70*1000000+IU70*10000+IO70*100+JG70+2/1000)</x:f>
      </x:c>
      <x:c r="JN70" s="27" t="str">
        <x:f>IF(C70="","",HU70*1000000000+JB70*1000000+IV70*10000+IP70*100+JH70+1/1000)</x:f>
      </x:c>
    </x:row>
    <x:row r="71">
      <x:c r="A71" s="27"/>
      <x:c r="B71" s="28"/>
      <x:c r="C71" s="27"/>
      <x:c r="D71" s="27"/>
      <x:c r="E71" s="27"/>
      <x:c r="F71" s="27"/>
      <x:c r="G71" s="27"/>
      <x:c r="H71" s="27"/>
      <x:c r="I71" s="27"/>
      <x:c r="J71" s="27"/>
      <x:c r="K71" s="27"/>
      <x:c r="L71" s="27"/>
      <x:c r="M71" s="27"/>
      <x:c r="N71" s="27"/>
      <x:c r="O71" s="27"/>
      <x:c r="P71" s="27"/>
      <x:c r="Q71" s="27"/>
      <x:c r="R71" s="27"/>
      <x:c r="S71" s="27"/>
      <x:c r="T71" s="27"/>
      <x:c r="U71" s="27"/>
      <x:c r="V71" s="27"/>
      <x:c r="W71" s="27"/>
      <x:c r="X71" s="27"/>
      <x:c r="Y71" s="27"/>
      <x:c r="Z71" s="27"/>
      <x:c r="AA71" s="27"/>
      <x:c r="AB71" s="27"/>
      <x:c r="AC71" s="27"/>
      <x:c r="AD71" s="27"/>
      <x:c r="AE71" s="27"/>
      <x:c r="AF71" s="27"/>
      <x:c r="AG71" s="27"/>
      <x:c r="AH71" s="27"/>
      <x:c r="AI71" s="27"/>
      <x:c r="AJ71" s="27"/>
      <x:c r="AK71" s="27"/>
      <x:c r="AL71" s="27"/>
      <x:c r="AM71" s="27"/>
      <x:c r="AN71" s="27"/>
      <x:c r="AO71" s="27"/>
      <x:c r="AP71" s="27"/>
      <x:c r="AQ71" s="27"/>
      <x:c r="AR71" s="27"/>
      <x:c r="AS71" s="27"/>
      <x:c r="AT71" s="27"/>
      <x:c r="AU71" s="27"/>
      <x:c r="AV71" s="27"/>
      <x:c r="AW71" s="27"/>
      <x:c r="AX71" s="27"/>
      <x:c r="AY71" s="27"/>
      <x:c r="AZ71" s="27"/>
      <x:c r="BA71" s="27"/>
      <x:c r="BB71" s="27"/>
      <x:c r="BC71" s="27"/>
      <x:c r="BD71" s="27"/>
      <x:c r="BE71" s="27"/>
      <x:c r="BF71" s="27"/>
      <x:c r="BG71" s="27"/>
      <x:c r="BH71" s="27"/>
      <x:c r="BI71" s="27"/>
      <x:c r="BJ71" s="27"/>
      <x:c r="BK71" s="27"/>
      <x:c r="BL71" s="27"/>
      <x:c r="BM71" s="27"/>
      <x:c r="BN71" s="27"/>
      <x:c r="BO71" s="27"/>
      <x:c r="BP71" s="27"/>
      <x:c r="BQ71" s="27"/>
      <x:c r="BR71" s="27"/>
      <x:c r="BS71" s="27"/>
      <x:c r="BT71" s="27"/>
      <x:c r="BU71" s="27"/>
      <x:c r="BV71" s="27"/>
      <x:c r="BW71" s="27"/>
      <x:c r="BX71" s="27"/>
      <x:c r="BY71" s="27"/>
      <x:c r="BZ71" s="27"/>
      <x:c r="CA71" s="27"/>
      <x:c r="CB71" s="27"/>
      <x:c r="CC71" s="27"/>
      <x:c r="CD71" s="27"/>
      <x:c r="CE71" s="27"/>
      <x:c r="CF71" s="27"/>
      <x:c r="CG71" s="27"/>
      <x:c r="CH71" s="27"/>
      <x:c r="CI71" s="27"/>
      <x:c r="CJ71" s="27"/>
      <x:c r="CK71" s="27"/>
      <x:c r="CL71" s="27"/>
      <x:c r="CM71" s="27"/>
      <x:c r="CN71" s="27"/>
      <x:c r="CO71" s="27"/>
      <x:c r="CP71" s="27"/>
      <x:c r="CQ71" s="27"/>
      <x:c r="CR71" s="27"/>
      <x:c r="CS71" s="27"/>
      <x:c r="CT71" s="27"/>
      <x:c r="CU71" s="27"/>
      <x:c r="CV71" s="27"/>
      <x:c r="CW71" s="27"/>
      <x:c r="CX71" s="27"/>
      <x:c r="CY71" s="27"/>
      <x:c r="CZ71" s="27"/>
      <x:c r="DA71" s="27"/>
      <x:c r="DB71" s="27"/>
      <x:c r="DC71" s="27"/>
      <x:c r="DD71" s="27"/>
      <x:c r="DE71" s="27"/>
      <x:c r="DF71" s="27"/>
      <x:c r="DG71" s="27"/>
      <x:c r="DH71" s="27"/>
      <x:c r="DI71" s="27"/>
      <x:c r="DJ71" s="27"/>
      <x:c r="DK71" s="27"/>
      <x:c r="DL71" s="27"/>
      <x:c r="DM71" s="27"/>
      <x:c r="DN71" s="27"/>
      <x:c r="DO71" s="27"/>
      <x:c r="DP71" s="27"/>
      <x:c r="DQ71" s="27"/>
      <x:c r="DR71" s="27"/>
      <x:c r="DS71" s="27"/>
      <x:c r="DT71" s="27"/>
      <x:c r="DU71" s="27"/>
      <x:c r="DV71" s="27"/>
      <x:c r="DW71" s="27"/>
      <x:c r="DX71" s="27"/>
      <x:c r="DY71" s="27"/>
      <x:c r="DZ71" s="27"/>
      <x:c r="EA71" s="27"/>
      <x:c r="EB71" s="27"/>
      <x:c r="EC71" s="27"/>
      <x:c r="ED71" s="27"/>
      <x:c r="EE71" s="27"/>
      <x:c r="EF71" s="27"/>
      <x:c r="EG71" s="27"/>
      <x:c r="EH71" s="27"/>
      <x:c r="EI71" s="27"/>
      <x:c r="EJ71" s="27"/>
      <x:c r="EK71" s="27"/>
      <x:c r="EL71" s="27"/>
      <x:c r="EM71" s="27"/>
      <x:c r="EN71" s="27"/>
      <x:c r="EO71" s="27"/>
      <x:c r="EP71" s="27"/>
      <x:c r="EQ71" s="27"/>
      <x:c r="ER71" s="27"/>
      <x:c r="ES71" s="27"/>
      <x:c r="ET71" s="27"/>
      <x:c r="EU71" s="27"/>
      <x:c r="EV71" s="27"/>
      <x:c r="EW71" s="27"/>
      <x:c r="EX71" s="27"/>
      <x:c r="EY71" s="27"/>
      <x:c r="EZ71" s="27"/>
      <x:c r="FA71" s="27"/>
      <x:c r="FB71" s="27"/>
      <x:c r="FC71" s="27"/>
      <x:c r="FD71" s="27"/>
      <x:c r="FE71" s="27"/>
      <x:c r="FF71" s="27"/>
      <x:c r="FG71" s="27"/>
      <x:c r="FH71" s="27"/>
      <x:c r="FI71" s="27"/>
      <x:c r="FJ71" s="27"/>
      <x:c r="FK71" s="27"/>
      <x:c r="FL71" s="27"/>
      <x:c r="FM71" s="27"/>
      <x:c r="FN71" s="27"/>
      <x:c r="FO71" s="27"/>
      <x:c r="FP71" s="27"/>
      <x:c r="FQ71" s="27"/>
      <x:c r="FR71" s="27"/>
      <x:c r="FS71" s="27"/>
      <x:c r="FT71" s="27"/>
      <x:c r="FU71" s="27"/>
      <x:c r="FV71" s="27"/>
      <x:c r="FW71" s="27"/>
      <x:c r="FX71" s="27"/>
      <x:c r="FY71" s="27"/>
      <x:c r="FZ71" s="27"/>
      <x:c r="GA71" s="27"/>
      <x:c r="GB71" s="27"/>
      <x:c r="GC71" s="27"/>
      <x:c r="GD71" s="27"/>
      <x:c r="GE71" s="27"/>
      <x:c r="GF71" s="27"/>
      <x:c r="GG71" s="27"/>
      <x:c r="GH71" s="27"/>
      <x:c r="GI71" s="27"/>
      <x:c r="GJ71" s="27"/>
      <x:c r="GK71" s="27"/>
      <x:c r="GL71" s="27"/>
      <x:c r="GM71" s="27"/>
      <x:c r="GN71" s="27"/>
      <x:c r="GO71" s="27"/>
      <x:c r="GP71" s="27"/>
      <x:c r="GQ71" s="27"/>
      <x:c r="GR71" s="27"/>
      <x:c r="GS71" s="27"/>
      <x:c r="GT71" s="27"/>
      <x:c r="GU71" s="27"/>
      <x:c r="GV71" s="27"/>
      <x:c r="GW71" s="27"/>
      <x:c r="GX71" s="27"/>
      <x:c r="GY71" s="27"/>
      <x:c r="GZ71" s="27"/>
      <x:c r="HA71" s="27"/>
      <x:c r="HB71" s="27"/>
      <x:c r="HC71" s="27"/>
      <x:c r="HD71" s="27"/>
      <x:c r="HE71" s="27"/>
      <x:c r="HF71" s="27"/>
      <x:c r="HG71" s="27"/>
      <x:c r="HH71" s="27"/>
      <x:c r="HI71" s="27"/>
      <x:c r="HJ71" s="27"/>
      <x:c r="HK71" s="27"/>
      <x:c r="HL71" s="27"/>
      <x:c r="HM71" s="27"/>
      <x:c r="HN71" s="27"/>
      <x:c r="HO71" s="27"/>
      <x:c r="HP71" s="27" t="str">
        <x:f>IF(C71="","",SUM(H71,N71,T71,Z71,AF71,AL71,AR71,AX71,BD71,BJ71,BP71,BV71,CB71,CH71,CN71,CT71,CZ71,DF71,DL71,DR71,DX71,ED71,EJ71,EP71,EV71,FB71,FH71,FN71,FT71,FZ71,GF71,GL71,GR71,GX71,HD71,HJ71))</x:f>
      </x:c>
      <x:c r="HQ71" s="27" t="str">
        <x:f>IF(C71="","",SUM(I71,O71,U71,AA71,AG71,AM71,AS71,AY71,BE71,BK71,BQ71,BW71,CC71,CI71,CO71,CU71,DA71,DG71,DM71,DS71,DY71,EE71,EK71,EQ71,EW71,FC71,FI71,FO71,FU71,GA71,GG71,GM71,GS71,GY71,HE71,HK71))</x:f>
      </x:c>
      <x:c r="HR71" s="27" t="str">
        <x:f>IF(C71="","",SUM(J71,P71,V71,AB71,AH71,AN71,AT71,AZ71,BF71,BL71,BR71,BX71,CD71,CJ71,CP71,CV71,DB71,DH71,DN71,DT71,DZ71,EF71,EL71,ER71,EX71,FD71,FJ71,FP71,FV71,GB71,GH71,GN71,GT71,GZ71,HF71,HL71))</x:f>
      </x:c>
      <x:c r="HS71" s="27" t="str">
        <x:f>IF(C71="","",SUM(K71,Q71,W71,AC71,AI71,AO71,AU71,BA71,BG71,BM71,BS71,BY71,CE71,CK71,CQ71,CW71,DC71,DI71,DO71,DU71,EA71,EG71,EM71,ES71,EY71,FE71,FK71,FQ71,FW71,GC71,GI71,GO71,GU71,HA71,HG71,HM71))</x:f>
      </x:c>
      <x:c r="HT71" s="27" t="str">
        <x:f>IF(C71="","",SUM(L71,R71,X71,AD71,AJ71,AP71,AV71,BB71,BH71,BN71,BT71,BZ71,CF71,CL71,CR71,CX71,DD71,DJ71,DP71,DV71,EB71,EH71,EN71,ET71,EZ71,FF71,FL71,FR71,FX71,GD71,GJ71,GP71,GV71,HB71,HH71,HN71))</x:f>
      </x:c>
      <x:c r="HU71" s="27" t="str">
        <x:f>IF(C71="","",SUM(M71,S71,Y71,AE71,AK71,AQ71,AW71,BC71,BI71,BO71,BU71,CA71,CG71,CM71,CS71,CY71,DE71,DK71,DQ71,DW71,EC71,EI71,EO71,EU71,FA71,FG71,FM71,FS71,FY71,GE71,GK71,GQ71,GW71,HC71,HI71,HO71))</x:f>
      </x:c>
      <x:c r="HV71" s="27" t="str">
        <x:f>IF(C71="","",IF(JI71=LARGE(JI71:JN71,1),"R",IF(JJ71=LARGE(JI71:JN71,1),"I",IF(JK71=LARGE(JI71:JN71,1),"A",IF(JL71=LARGE(JI71:JN71,1),"S",IF(JM71=LARGE(JI71:JN71,1),"E",IF(JN71=LARGE(JI71:JN71,1),"C",""))))))&amp;IF(JI71=LARGE(JI71:JN71,2),"R",IF(JJ71=LARGE(JI71:JN71,2),"I",IF(JK71=LARGE(JI71:JN71,2),"A",IF(JL71=LARGE(JI71:JN71,2),"S",IF(JM71=LARGE(JI71:JN71,2),"E",IF(JN71=LARGE(JI71:JN71,2),"C",""))))))&amp;IF(JI71=LARGE(JI71:JN71,3),"R",IF(JJ71=LARGE(JI71:JN71,3),"I",IF(JK71=LARGE(JI71:JN71,3),"A",IF(JL71=LARGE(JI71:JN71,3),"S",IF(JM71=LARGE(JI71:JN71,3),"E",IF(JN71=LARGE(JI71:JN71,3),"C","")))))))</x:f>
      </x:c>
      <x:c r="HW71" s="27" t="str">
        <x:f>IF(C71="","",IF(JI71=LARGE(JI71:JN71,1),"นักปฏิบัติ",IF(JJ71=LARGE(JI71:JN71,1),"นักคิดวิเคราะห์",IF(JK71=LARGE(JI71:JN71,1),"นักสร้างสรรค์",IF(JL71=LARGE(JI71:JN71,1),"ผู้เข้าใจผู้คน",IF(JM71=LARGE(JI71:JN71,1),"ผู้นำการเปลี่ยนแปลง",IF(JN71=LARGE(JI71:JN71,1),"ผู้จัดระบบ","ผู้จัดระบบ")))))))</x:f>
      </x:c>
      <x:c r="HX71" s="27"/>
      <x:c r="HY71" s="27"/>
      <x:c r="HZ71" s="27"/>
      <x:c r="IA71" s="27"/>
      <x:c r="IB71" s="27"/>
      <x:c r="IC71" s="27"/>
      <x:c r="ID71" s="27"/>
      <x:c r="IE71" s="27"/>
      <x:c r="IF71" s="27"/>
      <x:c r="IG71" s="27"/>
      <x:c r="IH71" s="27"/>
      <x:c r="II71" s="27"/>
      <x:c r="IJ71" s="27"/>
      <x:c r="IK71" s="27" t="str">
        <x:f>IF(C71="","",SUM(H71,N71,T71,Z71,AF71,AL71,AR71,AX71,BD71,BJ71,BP71))</x:f>
      </x:c>
      <x:c r="IL71" s="27" t="str">
        <x:f>IF(C71="","",SUM(I71,O71,U71,AA71,AG71,AM71,AS71,AY71,BE71,BK71,BQ71))</x:f>
      </x:c>
      <x:c r="IM71" s="27" t="str">
        <x:f>IF(C71="","",SUM(J71,P71,V71,AB71,AH71,AN71,AT71,AZ71,BF71,BL71,BR71))</x:f>
      </x:c>
      <x:c r="IN71" s="27" t="str">
        <x:f>IF(C71="","",SUM(K71,Q71,W71,AC71,AI71,AO71,AU71,BA71,BG71,BM71,BS71))</x:f>
      </x:c>
      <x:c r="IO71" s="27" t="str">
        <x:f>IF(C71="","",SUM(L71,R71,X71,AD71,AJ71,AP71,AV71,BB71,BH71,BN71,BT71))</x:f>
      </x:c>
      <x:c r="IP71" s="27" t="str">
        <x:f>IF(C71="","",SUM(M71,S71,Y71,AE71,AK71,AQ71,AW71,BC71,BI71,BO71,BU71))</x:f>
      </x:c>
      <x:c r="IQ71" s="27" t="str">
        <x:f>IF(C71="","",SUM(BV71,CB71,CH71,CN71,CT71,CZ71,DF71,DL71,DR71,DX71,ED71))</x:f>
      </x:c>
      <x:c r="IR71" s="27" t="str">
        <x:f>IF(C71="","",SUM(BW71,CC71,CI71,CO71,CU71,DA71,DG71,DM71,DS71,DY71,EE71))</x:f>
      </x:c>
      <x:c r="IS71" s="27" t="str">
        <x:f>IF(C71="","",SUM(BX71,CD71,CJ71,CP71,CV71,DB71,DH71,DN71,DT71,DZ71,EF71))</x:f>
      </x:c>
      <x:c r="IT71" s="27" t="str">
        <x:f>IF(C71="","",SUM(BY71,CE71,CK71,CQ71,CW71,DC71,DI71,DO71,DU71,EA71,EG71))</x:f>
      </x:c>
      <x:c r="IU71" s="27" t="str">
        <x:f>IF(C71="","",SUM(BZ71,CF71,CL71,CR71,CX71,DD71,DJ71,DP71,DV71,EB71,EH71))</x:f>
      </x:c>
      <x:c r="IV71" s="27" t="str">
        <x:f>IF(C71="","",SUM(CA71,CG71,CM71,CS71,CY71,DE71,DK71,DQ71,DW71,EC71,EI71))</x:f>
      </x:c>
      <x:c r="IW71" s="27" t="str">
        <x:f>IF(C71="","",SUM(EJ71,EP71,EV71,FB71,FH71,FN71,FT71,FZ71,GF71,GL71,GR71,GX71,HD71,HJ71))</x:f>
      </x:c>
      <x:c r="IX71" s="27" t="str">
        <x:f>IF(C71="","",SUM(EK71,EQ71,EW71,FC71,FI71,FO71,FU71,GA71,GG71,GM71,GS71,GY71,HE71,HK71))</x:f>
      </x:c>
      <x:c r="IY71" s="27" t="str">
        <x:f>IF(C71="","",SUM(EL71,ER71,EX71,FD71,FJ71,FP71,FV71,GB71,GH71,GN71,GT71,GZ71,HF71,HL71))</x:f>
      </x:c>
      <x:c r="IZ71" s="27" t="str">
        <x:f>IF(C71="","",SUM(EM71,ES71,EY71,FE71,FK71,FQ71,FW71,GC71,GI71,GO71,GU71,HA71,HG71,HM71))</x:f>
      </x:c>
      <x:c r="JA71" s="27" t="str">
        <x:f>IF(C71="","",SUM(EN71,ET71,EZ71,FF71,FL71,FR71,FX71,GD71,GJ71,GP71,GV71,HB71,HH71,HN71))</x:f>
      </x:c>
      <x:c r="JB71" s="27" t="str">
        <x:f>IF(C71="","",SUM(EO71,EU71,FA71,FG71,FM71,FS71,FY71,GE71,GK71,GQ71,GW71,HC71,HI71,HO71))</x:f>
      </x:c>
      <x:c r="JC71" s="27" t="str">
        <x:f>IF(C71="","",0)</x:f>
      </x:c>
      <x:c r="JD71" s="27" t="str">
        <x:f>IF(C71="","",0)</x:f>
      </x:c>
      <x:c r="JE71" s="27" t="str">
        <x:f>IF(C71="","",0)</x:f>
      </x:c>
      <x:c r="JF71" s="27" t="str">
        <x:f>IF(C71="","",0)</x:f>
      </x:c>
      <x:c r="JG71" s="27" t="str">
        <x:f>IF(C71="","",0)</x:f>
      </x:c>
      <x:c r="JH71" s="27" t="str">
        <x:f>IF(C71="","",0)</x:f>
      </x:c>
      <x:c r="JI71" s="27" t="str">
        <x:f>IF(C71="","",HP71*1000000000+IW71*1000000+IQ71*10000+IK71*100+JC71+6/1000)</x:f>
      </x:c>
      <x:c r="JJ71" s="27" t="str">
        <x:f>IF(C71="","",HQ71*1000000000+IX71*1000000+IR71*10000+IL71*100+JD71+5/1000)</x:f>
      </x:c>
      <x:c r="JK71" s="27" t="str">
        <x:f>IF(C71="","",HR71*1000000000+IY71*1000000+IS71*10000+IM71*100+JE71+4/1000)</x:f>
      </x:c>
      <x:c r="JL71" s="27" t="str">
        <x:f>IF(C71="","",HS71*1000000000+IZ71*1000000+IT71*10000+IN71*100+JF71+3/1000)</x:f>
      </x:c>
      <x:c r="JM71" s="27" t="str">
        <x:f>IF(C71="","",HT71*1000000000+JA71*1000000+IU71*10000+IO71*100+JG71+2/1000)</x:f>
      </x:c>
      <x:c r="JN71" s="27" t="str">
        <x:f>IF(C71="","",HU71*1000000000+JB71*1000000+IV71*10000+IP71*100+JH71+1/1000)</x:f>
      </x:c>
    </x:row>
    <x:row r="72">
      <x:c r="A72" s="27"/>
      <x:c r="B72" s="28"/>
      <x:c r="C72" s="27"/>
      <x:c r="D72" s="27"/>
      <x:c r="E72" s="27"/>
      <x:c r="F72" s="27"/>
      <x:c r="G72" s="27"/>
      <x:c r="H72" s="27"/>
      <x:c r="I72" s="27"/>
      <x:c r="J72" s="27"/>
      <x:c r="K72" s="27"/>
      <x:c r="L72" s="27"/>
      <x:c r="M72" s="27"/>
      <x:c r="N72" s="27"/>
      <x:c r="O72" s="27"/>
      <x:c r="P72" s="27"/>
      <x:c r="Q72" s="27"/>
      <x:c r="R72" s="27"/>
      <x:c r="S72" s="27"/>
      <x:c r="T72" s="27"/>
      <x:c r="U72" s="27"/>
      <x:c r="V72" s="27"/>
      <x:c r="W72" s="27"/>
      <x:c r="X72" s="27"/>
      <x:c r="Y72" s="27"/>
      <x:c r="Z72" s="27"/>
      <x:c r="AA72" s="27"/>
      <x:c r="AB72" s="27"/>
      <x:c r="AC72" s="27"/>
      <x:c r="AD72" s="27"/>
      <x:c r="AE72" s="27"/>
      <x:c r="AF72" s="27"/>
      <x:c r="AG72" s="27"/>
      <x:c r="AH72" s="27"/>
      <x:c r="AI72" s="27"/>
      <x:c r="AJ72" s="27"/>
      <x:c r="AK72" s="27"/>
      <x:c r="AL72" s="27"/>
      <x:c r="AM72" s="27"/>
      <x:c r="AN72" s="27"/>
      <x:c r="AO72" s="27"/>
      <x:c r="AP72" s="27"/>
      <x:c r="AQ72" s="27"/>
      <x:c r="AR72" s="27"/>
      <x:c r="AS72" s="27"/>
      <x:c r="AT72" s="27"/>
      <x:c r="AU72" s="27"/>
      <x:c r="AV72" s="27"/>
      <x:c r="AW72" s="27"/>
      <x:c r="AX72" s="27"/>
      <x:c r="AY72" s="27"/>
      <x:c r="AZ72" s="27"/>
      <x:c r="BA72" s="27"/>
      <x:c r="BB72" s="27"/>
      <x:c r="BC72" s="27"/>
      <x:c r="BD72" s="27"/>
      <x:c r="BE72" s="27"/>
      <x:c r="BF72" s="27"/>
      <x:c r="BG72" s="27"/>
      <x:c r="BH72" s="27"/>
      <x:c r="BI72" s="27"/>
      <x:c r="BJ72" s="27"/>
      <x:c r="BK72" s="27"/>
      <x:c r="BL72" s="27"/>
      <x:c r="BM72" s="27"/>
      <x:c r="BN72" s="27"/>
      <x:c r="BO72" s="27"/>
      <x:c r="BP72" s="27"/>
      <x:c r="BQ72" s="27"/>
      <x:c r="BR72" s="27"/>
      <x:c r="BS72" s="27"/>
      <x:c r="BT72" s="27"/>
      <x:c r="BU72" s="27"/>
      <x:c r="BV72" s="27"/>
      <x:c r="BW72" s="27"/>
      <x:c r="BX72" s="27"/>
      <x:c r="BY72" s="27"/>
      <x:c r="BZ72" s="27"/>
      <x:c r="CA72" s="27"/>
      <x:c r="CB72" s="27"/>
      <x:c r="CC72" s="27"/>
      <x:c r="CD72" s="27"/>
      <x:c r="CE72" s="27"/>
      <x:c r="CF72" s="27"/>
      <x:c r="CG72" s="27"/>
      <x:c r="CH72" s="27"/>
      <x:c r="CI72" s="27"/>
      <x:c r="CJ72" s="27"/>
      <x:c r="CK72" s="27"/>
      <x:c r="CL72" s="27"/>
      <x:c r="CM72" s="27"/>
      <x:c r="CN72" s="27"/>
      <x:c r="CO72" s="27"/>
      <x:c r="CP72" s="27"/>
      <x:c r="CQ72" s="27"/>
      <x:c r="CR72" s="27"/>
      <x:c r="CS72" s="27"/>
      <x:c r="CT72" s="27"/>
      <x:c r="CU72" s="27"/>
      <x:c r="CV72" s="27"/>
      <x:c r="CW72" s="27"/>
      <x:c r="CX72" s="27"/>
      <x:c r="CY72" s="27"/>
      <x:c r="CZ72" s="27"/>
      <x:c r="DA72" s="27"/>
      <x:c r="DB72" s="27"/>
      <x:c r="DC72" s="27"/>
      <x:c r="DD72" s="27"/>
      <x:c r="DE72" s="27"/>
      <x:c r="DF72" s="27"/>
      <x:c r="DG72" s="27"/>
      <x:c r="DH72" s="27"/>
      <x:c r="DI72" s="27"/>
      <x:c r="DJ72" s="27"/>
      <x:c r="DK72" s="27"/>
      <x:c r="DL72" s="27"/>
      <x:c r="DM72" s="27"/>
      <x:c r="DN72" s="27"/>
      <x:c r="DO72" s="27"/>
      <x:c r="DP72" s="27"/>
      <x:c r="DQ72" s="27"/>
      <x:c r="DR72" s="27"/>
      <x:c r="DS72" s="27"/>
      <x:c r="DT72" s="27"/>
      <x:c r="DU72" s="27"/>
      <x:c r="DV72" s="27"/>
      <x:c r="DW72" s="27"/>
      <x:c r="DX72" s="27"/>
      <x:c r="DY72" s="27"/>
      <x:c r="DZ72" s="27"/>
      <x:c r="EA72" s="27"/>
      <x:c r="EB72" s="27"/>
      <x:c r="EC72" s="27"/>
      <x:c r="ED72" s="27"/>
      <x:c r="EE72" s="27"/>
      <x:c r="EF72" s="27"/>
      <x:c r="EG72" s="27"/>
      <x:c r="EH72" s="27"/>
      <x:c r="EI72" s="27"/>
      <x:c r="EJ72" s="27"/>
      <x:c r="EK72" s="27"/>
      <x:c r="EL72" s="27"/>
      <x:c r="EM72" s="27"/>
      <x:c r="EN72" s="27"/>
      <x:c r="EO72" s="27"/>
      <x:c r="EP72" s="27"/>
      <x:c r="EQ72" s="27"/>
      <x:c r="ER72" s="27"/>
      <x:c r="ES72" s="27"/>
      <x:c r="ET72" s="27"/>
      <x:c r="EU72" s="27"/>
      <x:c r="EV72" s="27"/>
      <x:c r="EW72" s="27"/>
      <x:c r="EX72" s="27"/>
      <x:c r="EY72" s="27"/>
      <x:c r="EZ72" s="27"/>
      <x:c r="FA72" s="27"/>
      <x:c r="FB72" s="27"/>
      <x:c r="FC72" s="27"/>
      <x:c r="FD72" s="27"/>
      <x:c r="FE72" s="27"/>
      <x:c r="FF72" s="27"/>
      <x:c r="FG72" s="27"/>
      <x:c r="FH72" s="27"/>
      <x:c r="FI72" s="27"/>
      <x:c r="FJ72" s="27"/>
      <x:c r="FK72" s="27"/>
      <x:c r="FL72" s="27"/>
      <x:c r="FM72" s="27"/>
      <x:c r="FN72" s="27"/>
      <x:c r="FO72" s="27"/>
      <x:c r="FP72" s="27"/>
      <x:c r="FQ72" s="27"/>
      <x:c r="FR72" s="27"/>
      <x:c r="FS72" s="27"/>
      <x:c r="FT72" s="27"/>
      <x:c r="FU72" s="27"/>
      <x:c r="FV72" s="27"/>
      <x:c r="FW72" s="27"/>
      <x:c r="FX72" s="27"/>
      <x:c r="FY72" s="27"/>
      <x:c r="FZ72" s="27"/>
      <x:c r="GA72" s="27"/>
      <x:c r="GB72" s="27"/>
      <x:c r="GC72" s="27"/>
      <x:c r="GD72" s="27"/>
      <x:c r="GE72" s="27"/>
      <x:c r="GF72" s="27"/>
      <x:c r="GG72" s="27"/>
      <x:c r="GH72" s="27"/>
      <x:c r="GI72" s="27"/>
      <x:c r="GJ72" s="27"/>
      <x:c r="GK72" s="27"/>
      <x:c r="GL72" s="27"/>
      <x:c r="GM72" s="27"/>
      <x:c r="GN72" s="27"/>
      <x:c r="GO72" s="27"/>
      <x:c r="GP72" s="27"/>
      <x:c r="GQ72" s="27"/>
      <x:c r="GR72" s="27"/>
      <x:c r="GS72" s="27"/>
      <x:c r="GT72" s="27"/>
      <x:c r="GU72" s="27"/>
      <x:c r="GV72" s="27"/>
      <x:c r="GW72" s="27"/>
      <x:c r="GX72" s="27"/>
      <x:c r="GY72" s="27"/>
      <x:c r="GZ72" s="27"/>
      <x:c r="HA72" s="27"/>
      <x:c r="HB72" s="27"/>
      <x:c r="HC72" s="27"/>
      <x:c r="HD72" s="27"/>
      <x:c r="HE72" s="27"/>
      <x:c r="HF72" s="27"/>
      <x:c r="HG72" s="27"/>
      <x:c r="HH72" s="27"/>
      <x:c r="HI72" s="27"/>
      <x:c r="HJ72" s="27"/>
      <x:c r="HK72" s="27"/>
      <x:c r="HL72" s="27"/>
      <x:c r="HM72" s="27"/>
      <x:c r="HN72" s="27"/>
      <x:c r="HO72" s="27"/>
      <x:c r="HP72" s="27" t="str">
        <x:f>IF(C72="","",SUM(H72,N72,T72,Z72,AF72,AL72,AR72,AX72,BD72,BJ72,BP72,BV72,CB72,CH72,CN72,CT72,CZ72,DF72,DL72,DR72,DX72,ED72,EJ72,EP72,EV72,FB72,FH72,FN72,FT72,FZ72,GF72,GL72,GR72,GX72,HD72,HJ72))</x:f>
      </x:c>
      <x:c r="HQ72" s="27" t="str">
        <x:f>IF(C72="","",SUM(I72,O72,U72,AA72,AG72,AM72,AS72,AY72,BE72,BK72,BQ72,BW72,CC72,CI72,CO72,CU72,DA72,DG72,DM72,DS72,DY72,EE72,EK72,EQ72,EW72,FC72,FI72,FO72,FU72,GA72,GG72,GM72,GS72,GY72,HE72,HK72))</x:f>
      </x:c>
      <x:c r="HR72" s="27" t="str">
        <x:f>IF(C72="","",SUM(J72,P72,V72,AB72,AH72,AN72,AT72,AZ72,BF72,BL72,BR72,BX72,CD72,CJ72,CP72,CV72,DB72,DH72,DN72,DT72,DZ72,EF72,EL72,ER72,EX72,FD72,FJ72,FP72,FV72,GB72,GH72,GN72,GT72,GZ72,HF72,HL72))</x:f>
      </x:c>
      <x:c r="HS72" s="27" t="str">
        <x:f>IF(C72="","",SUM(K72,Q72,W72,AC72,AI72,AO72,AU72,BA72,BG72,BM72,BS72,BY72,CE72,CK72,CQ72,CW72,DC72,DI72,DO72,DU72,EA72,EG72,EM72,ES72,EY72,FE72,FK72,FQ72,FW72,GC72,GI72,GO72,GU72,HA72,HG72,HM72))</x:f>
      </x:c>
      <x:c r="HT72" s="27" t="str">
        <x:f>IF(C72="","",SUM(L72,R72,X72,AD72,AJ72,AP72,AV72,BB72,BH72,BN72,BT72,BZ72,CF72,CL72,CR72,CX72,DD72,DJ72,DP72,DV72,EB72,EH72,EN72,ET72,EZ72,FF72,FL72,FR72,FX72,GD72,GJ72,GP72,GV72,HB72,HH72,HN72))</x:f>
      </x:c>
      <x:c r="HU72" s="27" t="str">
        <x:f>IF(C72="","",SUM(M72,S72,Y72,AE72,AK72,AQ72,AW72,BC72,BI72,BO72,BU72,CA72,CG72,CM72,CS72,CY72,DE72,DK72,DQ72,DW72,EC72,EI72,EO72,EU72,FA72,FG72,FM72,FS72,FY72,GE72,GK72,GQ72,GW72,HC72,HI72,HO72))</x:f>
      </x:c>
      <x:c r="HV72" s="27" t="str">
        <x:f>IF(C72="","",IF(JI72=LARGE(JI72:JN72,1),"R",IF(JJ72=LARGE(JI72:JN72,1),"I",IF(JK72=LARGE(JI72:JN72,1),"A",IF(JL72=LARGE(JI72:JN72,1),"S",IF(JM72=LARGE(JI72:JN72,1),"E",IF(JN72=LARGE(JI72:JN72,1),"C",""))))))&amp;IF(JI72=LARGE(JI72:JN72,2),"R",IF(JJ72=LARGE(JI72:JN72,2),"I",IF(JK72=LARGE(JI72:JN72,2),"A",IF(JL72=LARGE(JI72:JN72,2),"S",IF(JM72=LARGE(JI72:JN72,2),"E",IF(JN72=LARGE(JI72:JN72,2),"C",""))))))&amp;IF(JI72=LARGE(JI72:JN72,3),"R",IF(JJ72=LARGE(JI72:JN72,3),"I",IF(JK72=LARGE(JI72:JN72,3),"A",IF(JL72=LARGE(JI72:JN72,3),"S",IF(JM72=LARGE(JI72:JN72,3),"E",IF(JN72=LARGE(JI72:JN72,3),"C","")))))))</x:f>
      </x:c>
      <x:c r="HW72" s="27" t="str">
        <x:f>IF(C72="","",IF(JI72=LARGE(JI72:JN72,1),"นักปฏิบัติ",IF(JJ72=LARGE(JI72:JN72,1),"นักคิดวิเคราะห์",IF(JK72=LARGE(JI72:JN72,1),"นักสร้างสรรค์",IF(JL72=LARGE(JI72:JN72,1),"ผู้เข้าใจผู้คน",IF(JM72=LARGE(JI72:JN72,1),"ผู้นำการเปลี่ยนแปลง",IF(JN72=LARGE(JI72:JN72,1),"ผู้จัดระบบ","ผู้จัดระบบ")))))))</x:f>
      </x:c>
      <x:c r="HX72" s="27"/>
      <x:c r="HY72" s="27"/>
      <x:c r="HZ72" s="27"/>
      <x:c r="IA72" s="27"/>
      <x:c r="IB72" s="27"/>
      <x:c r="IC72" s="27"/>
      <x:c r="ID72" s="27"/>
      <x:c r="IE72" s="27"/>
      <x:c r="IF72" s="27"/>
      <x:c r="IG72" s="27"/>
      <x:c r="IH72" s="27"/>
      <x:c r="II72" s="27"/>
      <x:c r="IJ72" s="27"/>
      <x:c r="IK72" s="27" t="str">
        <x:f>IF(C72="","",SUM(H72,N72,T72,Z72,AF72,AL72,AR72,AX72,BD72,BJ72,BP72))</x:f>
      </x:c>
      <x:c r="IL72" s="27" t="str">
        <x:f>IF(C72="","",SUM(I72,O72,U72,AA72,AG72,AM72,AS72,AY72,BE72,BK72,BQ72))</x:f>
      </x:c>
      <x:c r="IM72" s="27" t="str">
        <x:f>IF(C72="","",SUM(J72,P72,V72,AB72,AH72,AN72,AT72,AZ72,BF72,BL72,BR72))</x:f>
      </x:c>
      <x:c r="IN72" s="27" t="str">
        <x:f>IF(C72="","",SUM(K72,Q72,W72,AC72,AI72,AO72,AU72,BA72,BG72,BM72,BS72))</x:f>
      </x:c>
      <x:c r="IO72" s="27" t="str">
        <x:f>IF(C72="","",SUM(L72,R72,X72,AD72,AJ72,AP72,AV72,BB72,BH72,BN72,BT72))</x:f>
      </x:c>
      <x:c r="IP72" s="27" t="str">
        <x:f>IF(C72="","",SUM(M72,S72,Y72,AE72,AK72,AQ72,AW72,BC72,BI72,BO72,BU72))</x:f>
      </x:c>
      <x:c r="IQ72" s="27" t="str">
        <x:f>IF(C72="","",SUM(BV72,CB72,CH72,CN72,CT72,CZ72,DF72,DL72,DR72,DX72,ED72))</x:f>
      </x:c>
      <x:c r="IR72" s="27" t="str">
        <x:f>IF(C72="","",SUM(BW72,CC72,CI72,CO72,CU72,DA72,DG72,DM72,DS72,DY72,EE72))</x:f>
      </x:c>
      <x:c r="IS72" s="27" t="str">
        <x:f>IF(C72="","",SUM(BX72,CD72,CJ72,CP72,CV72,DB72,DH72,DN72,DT72,DZ72,EF72))</x:f>
      </x:c>
      <x:c r="IT72" s="27" t="str">
        <x:f>IF(C72="","",SUM(BY72,CE72,CK72,CQ72,CW72,DC72,DI72,DO72,DU72,EA72,EG72))</x:f>
      </x:c>
      <x:c r="IU72" s="27" t="str">
        <x:f>IF(C72="","",SUM(BZ72,CF72,CL72,CR72,CX72,DD72,DJ72,DP72,DV72,EB72,EH72))</x:f>
      </x:c>
      <x:c r="IV72" s="27" t="str">
        <x:f>IF(C72="","",SUM(CA72,CG72,CM72,CS72,CY72,DE72,DK72,DQ72,DW72,EC72,EI72))</x:f>
      </x:c>
      <x:c r="IW72" s="27" t="str">
        <x:f>IF(C72="","",SUM(EJ72,EP72,EV72,FB72,FH72,FN72,FT72,FZ72,GF72,GL72,GR72,GX72,HD72,HJ72))</x:f>
      </x:c>
      <x:c r="IX72" s="27" t="str">
        <x:f>IF(C72="","",SUM(EK72,EQ72,EW72,FC72,FI72,FO72,FU72,GA72,GG72,GM72,GS72,GY72,HE72,HK72))</x:f>
      </x:c>
      <x:c r="IY72" s="27" t="str">
        <x:f>IF(C72="","",SUM(EL72,ER72,EX72,FD72,FJ72,FP72,FV72,GB72,GH72,GN72,GT72,GZ72,HF72,HL72))</x:f>
      </x:c>
      <x:c r="IZ72" s="27" t="str">
        <x:f>IF(C72="","",SUM(EM72,ES72,EY72,FE72,FK72,FQ72,FW72,GC72,GI72,GO72,GU72,HA72,HG72,HM72))</x:f>
      </x:c>
      <x:c r="JA72" s="27" t="str">
        <x:f>IF(C72="","",SUM(EN72,ET72,EZ72,FF72,FL72,FR72,FX72,GD72,GJ72,GP72,GV72,HB72,HH72,HN72))</x:f>
      </x:c>
      <x:c r="JB72" s="27" t="str">
        <x:f>IF(C72="","",SUM(EO72,EU72,FA72,FG72,FM72,FS72,FY72,GE72,GK72,GQ72,GW72,HC72,HI72,HO72))</x:f>
      </x:c>
      <x:c r="JC72" s="27" t="str">
        <x:f>IF(C72="","",0)</x:f>
      </x:c>
      <x:c r="JD72" s="27" t="str">
        <x:f>IF(C72="","",0)</x:f>
      </x:c>
      <x:c r="JE72" s="27" t="str">
        <x:f>IF(C72="","",0)</x:f>
      </x:c>
      <x:c r="JF72" s="27" t="str">
        <x:f>IF(C72="","",0)</x:f>
      </x:c>
      <x:c r="JG72" s="27" t="str">
        <x:f>IF(C72="","",0)</x:f>
      </x:c>
      <x:c r="JH72" s="27" t="str">
        <x:f>IF(C72="","",0)</x:f>
      </x:c>
      <x:c r="JI72" s="27" t="str">
        <x:f>IF(C72="","",HP72*1000000000+IW72*1000000+IQ72*10000+IK72*100+JC72+6/1000)</x:f>
      </x:c>
      <x:c r="JJ72" s="27" t="str">
        <x:f>IF(C72="","",HQ72*1000000000+IX72*1000000+IR72*10000+IL72*100+JD72+5/1000)</x:f>
      </x:c>
      <x:c r="JK72" s="27" t="str">
        <x:f>IF(C72="","",HR72*1000000000+IY72*1000000+IS72*10000+IM72*100+JE72+4/1000)</x:f>
      </x:c>
      <x:c r="JL72" s="27" t="str">
        <x:f>IF(C72="","",HS72*1000000000+IZ72*1000000+IT72*10000+IN72*100+JF72+3/1000)</x:f>
      </x:c>
      <x:c r="JM72" s="27" t="str">
        <x:f>IF(C72="","",HT72*1000000000+JA72*1000000+IU72*10000+IO72*100+JG72+2/1000)</x:f>
      </x:c>
      <x:c r="JN72" s="27" t="str">
        <x:f>IF(C72="","",HU72*1000000000+JB72*1000000+IV72*10000+IP72*100+JH72+1/1000)</x:f>
      </x:c>
    </x:row>
    <x:row r="73">
      <x:c r="A73" s="27"/>
      <x:c r="B73" s="28"/>
      <x:c r="C73" s="27"/>
      <x:c r="D73" s="27"/>
      <x:c r="E73" s="27"/>
      <x:c r="F73" s="27"/>
      <x:c r="G73" s="27"/>
      <x:c r="H73" s="27"/>
      <x:c r="I73" s="27"/>
      <x:c r="J73" s="27"/>
      <x:c r="K73" s="27"/>
      <x:c r="L73" s="27"/>
      <x:c r="M73" s="27"/>
      <x:c r="N73" s="27"/>
      <x:c r="O73" s="27"/>
      <x:c r="P73" s="27"/>
      <x:c r="Q73" s="27"/>
      <x:c r="R73" s="27"/>
      <x:c r="S73" s="27"/>
      <x:c r="T73" s="27"/>
      <x:c r="U73" s="27"/>
      <x:c r="V73" s="27"/>
      <x:c r="W73" s="27"/>
      <x:c r="X73" s="27"/>
      <x:c r="Y73" s="27"/>
      <x:c r="Z73" s="27"/>
      <x:c r="AA73" s="27"/>
      <x:c r="AB73" s="27"/>
      <x:c r="AC73" s="27"/>
      <x:c r="AD73" s="27"/>
      <x:c r="AE73" s="27"/>
      <x:c r="AF73" s="27"/>
      <x:c r="AG73" s="27"/>
      <x:c r="AH73" s="27"/>
      <x:c r="AI73" s="27"/>
      <x:c r="AJ73" s="27"/>
      <x:c r="AK73" s="27"/>
      <x:c r="AL73" s="27"/>
      <x:c r="AM73" s="27"/>
      <x:c r="AN73" s="27"/>
      <x:c r="AO73" s="27"/>
      <x:c r="AP73" s="27"/>
      <x:c r="AQ73" s="27"/>
      <x:c r="AR73" s="27"/>
      <x:c r="AS73" s="27"/>
      <x:c r="AT73" s="27"/>
      <x:c r="AU73" s="27"/>
      <x:c r="AV73" s="27"/>
      <x:c r="AW73" s="27"/>
      <x:c r="AX73" s="27"/>
      <x:c r="AY73" s="27"/>
      <x:c r="AZ73" s="27"/>
      <x:c r="BA73" s="27"/>
      <x:c r="BB73" s="27"/>
      <x:c r="BC73" s="27"/>
      <x:c r="BD73" s="27"/>
      <x:c r="BE73" s="27"/>
      <x:c r="BF73" s="27"/>
      <x:c r="BG73" s="27"/>
      <x:c r="BH73" s="27"/>
      <x:c r="BI73" s="27"/>
      <x:c r="BJ73" s="27"/>
      <x:c r="BK73" s="27"/>
      <x:c r="BL73" s="27"/>
      <x:c r="BM73" s="27"/>
      <x:c r="BN73" s="27"/>
      <x:c r="BO73" s="27"/>
      <x:c r="BP73" s="27"/>
      <x:c r="BQ73" s="27"/>
      <x:c r="BR73" s="27"/>
      <x:c r="BS73" s="27"/>
      <x:c r="BT73" s="27"/>
      <x:c r="BU73" s="27"/>
      <x:c r="BV73" s="27"/>
      <x:c r="BW73" s="27"/>
      <x:c r="BX73" s="27"/>
      <x:c r="BY73" s="27"/>
      <x:c r="BZ73" s="27"/>
      <x:c r="CA73" s="27"/>
      <x:c r="CB73" s="27"/>
      <x:c r="CC73" s="27"/>
      <x:c r="CD73" s="27"/>
      <x:c r="CE73" s="27"/>
      <x:c r="CF73" s="27"/>
      <x:c r="CG73" s="27"/>
      <x:c r="CH73" s="27"/>
      <x:c r="CI73" s="27"/>
      <x:c r="CJ73" s="27"/>
      <x:c r="CK73" s="27"/>
      <x:c r="CL73" s="27"/>
      <x:c r="CM73" s="27"/>
      <x:c r="CN73" s="27"/>
      <x:c r="CO73" s="27"/>
      <x:c r="CP73" s="27"/>
      <x:c r="CQ73" s="27"/>
      <x:c r="CR73" s="27"/>
      <x:c r="CS73" s="27"/>
      <x:c r="CT73" s="27"/>
      <x:c r="CU73" s="27"/>
      <x:c r="CV73" s="27"/>
      <x:c r="CW73" s="27"/>
      <x:c r="CX73" s="27"/>
      <x:c r="CY73" s="27"/>
      <x:c r="CZ73" s="27"/>
      <x:c r="DA73" s="27"/>
      <x:c r="DB73" s="27"/>
      <x:c r="DC73" s="27"/>
      <x:c r="DD73" s="27"/>
      <x:c r="DE73" s="27"/>
      <x:c r="DF73" s="27"/>
      <x:c r="DG73" s="27"/>
      <x:c r="DH73" s="27"/>
      <x:c r="DI73" s="27"/>
      <x:c r="DJ73" s="27"/>
      <x:c r="DK73" s="27"/>
      <x:c r="DL73" s="27"/>
      <x:c r="DM73" s="27"/>
      <x:c r="DN73" s="27"/>
      <x:c r="DO73" s="27"/>
      <x:c r="DP73" s="27"/>
      <x:c r="DQ73" s="27"/>
      <x:c r="DR73" s="27"/>
      <x:c r="DS73" s="27"/>
      <x:c r="DT73" s="27"/>
      <x:c r="DU73" s="27"/>
      <x:c r="DV73" s="27"/>
      <x:c r="DW73" s="27"/>
      <x:c r="DX73" s="27"/>
      <x:c r="DY73" s="27"/>
      <x:c r="DZ73" s="27"/>
      <x:c r="EA73" s="27"/>
      <x:c r="EB73" s="27"/>
      <x:c r="EC73" s="27"/>
      <x:c r="ED73" s="27"/>
      <x:c r="EE73" s="27"/>
      <x:c r="EF73" s="27"/>
      <x:c r="EG73" s="27"/>
      <x:c r="EH73" s="27"/>
      <x:c r="EI73" s="27"/>
      <x:c r="EJ73" s="27"/>
      <x:c r="EK73" s="27"/>
      <x:c r="EL73" s="27"/>
      <x:c r="EM73" s="27"/>
      <x:c r="EN73" s="27"/>
      <x:c r="EO73" s="27"/>
      <x:c r="EP73" s="27"/>
      <x:c r="EQ73" s="27"/>
      <x:c r="ER73" s="27"/>
      <x:c r="ES73" s="27"/>
      <x:c r="ET73" s="27"/>
      <x:c r="EU73" s="27"/>
      <x:c r="EV73" s="27"/>
      <x:c r="EW73" s="27"/>
      <x:c r="EX73" s="27"/>
      <x:c r="EY73" s="27"/>
      <x:c r="EZ73" s="27"/>
      <x:c r="FA73" s="27"/>
      <x:c r="FB73" s="27"/>
      <x:c r="FC73" s="27"/>
      <x:c r="FD73" s="27"/>
      <x:c r="FE73" s="27"/>
      <x:c r="FF73" s="27"/>
      <x:c r="FG73" s="27"/>
      <x:c r="FH73" s="27"/>
      <x:c r="FI73" s="27"/>
      <x:c r="FJ73" s="27"/>
      <x:c r="FK73" s="27"/>
      <x:c r="FL73" s="27"/>
      <x:c r="FM73" s="27"/>
      <x:c r="FN73" s="27"/>
      <x:c r="FO73" s="27"/>
      <x:c r="FP73" s="27"/>
      <x:c r="FQ73" s="27"/>
      <x:c r="FR73" s="27"/>
      <x:c r="FS73" s="27"/>
      <x:c r="FT73" s="27"/>
      <x:c r="FU73" s="27"/>
      <x:c r="FV73" s="27"/>
      <x:c r="FW73" s="27"/>
      <x:c r="FX73" s="27"/>
      <x:c r="FY73" s="27"/>
      <x:c r="FZ73" s="27"/>
      <x:c r="GA73" s="27"/>
      <x:c r="GB73" s="27"/>
      <x:c r="GC73" s="27"/>
      <x:c r="GD73" s="27"/>
      <x:c r="GE73" s="27"/>
      <x:c r="GF73" s="27"/>
      <x:c r="GG73" s="27"/>
      <x:c r="GH73" s="27"/>
      <x:c r="GI73" s="27"/>
      <x:c r="GJ73" s="27"/>
      <x:c r="GK73" s="27"/>
      <x:c r="GL73" s="27"/>
      <x:c r="GM73" s="27"/>
      <x:c r="GN73" s="27"/>
      <x:c r="GO73" s="27"/>
      <x:c r="GP73" s="27"/>
      <x:c r="GQ73" s="27"/>
      <x:c r="GR73" s="27"/>
      <x:c r="GS73" s="27"/>
      <x:c r="GT73" s="27"/>
      <x:c r="GU73" s="27"/>
      <x:c r="GV73" s="27"/>
      <x:c r="GW73" s="27"/>
      <x:c r="GX73" s="27"/>
      <x:c r="GY73" s="27"/>
      <x:c r="GZ73" s="27"/>
      <x:c r="HA73" s="27"/>
      <x:c r="HB73" s="27"/>
      <x:c r="HC73" s="27"/>
      <x:c r="HD73" s="27"/>
      <x:c r="HE73" s="27"/>
      <x:c r="HF73" s="27"/>
      <x:c r="HG73" s="27"/>
      <x:c r="HH73" s="27"/>
      <x:c r="HI73" s="27"/>
      <x:c r="HJ73" s="27"/>
      <x:c r="HK73" s="27"/>
      <x:c r="HL73" s="27"/>
      <x:c r="HM73" s="27"/>
      <x:c r="HN73" s="27"/>
      <x:c r="HO73" s="27"/>
      <x:c r="HP73" s="27" t="str">
        <x:f>IF(C73="","",SUM(H73,N73,T73,Z73,AF73,AL73,AR73,AX73,BD73,BJ73,BP73,BV73,CB73,CH73,CN73,CT73,CZ73,DF73,DL73,DR73,DX73,ED73,EJ73,EP73,EV73,FB73,FH73,FN73,FT73,FZ73,GF73,GL73,GR73,GX73,HD73,HJ73))</x:f>
      </x:c>
      <x:c r="HQ73" s="27" t="str">
        <x:f>IF(C73="","",SUM(I73,O73,U73,AA73,AG73,AM73,AS73,AY73,BE73,BK73,BQ73,BW73,CC73,CI73,CO73,CU73,DA73,DG73,DM73,DS73,DY73,EE73,EK73,EQ73,EW73,FC73,FI73,FO73,FU73,GA73,GG73,GM73,GS73,GY73,HE73,HK73))</x:f>
      </x:c>
      <x:c r="HR73" s="27" t="str">
        <x:f>IF(C73="","",SUM(J73,P73,V73,AB73,AH73,AN73,AT73,AZ73,BF73,BL73,BR73,BX73,CD73,CJ73,CP73,CV73,DB73,DH73,DN73,DT73,DZ73,EF73,EL73,ER73,EX73,FD73,FJ73,FP73,FV73,GB73,GH73,GN73,GT73,GZ73,HF73,HL73))</x:f>
      </x:c>
      <x:c r="HS73" s="27" t="str">
        <x:f>IF(C73="","",SUM(K73,Q73,W73,AC73,AI73,AO73,AU73,BA73,BG73,BM73,BS73,BY73,CE73,CK73,CQ73,CW73,DC73,DI73,DO73,DU73,EA73,EG73,EM73,ES73,EY73,FE73,FK73,FQ73,FW73,GC73,GI73,GO73,GU73,HA73,HG73,HM73))</x:f>
      </x:c>
      <x:c r="HT73" s="27" t="str">
        <x:f>IF(C73="","",SUM(L73,R73,X73,AD73,AJ73,AP73,AV73,BB73,BH73,BN73,BT73,BZ73,CF73,CL73,CR73,CX73,DD73,DJ73,DP73,DV73,EB73,EH73,EN73,ET73,EZ73,FF73,FL73,FR73,FX73,GD73,GJ73,GP73,GV73,HB73,HH73,HN73))</x:f>
      </x:c>
      <x:c r="HU73" s="27" t="str">
        <x:f>IF(C73="","",SUM(M73,S73,Y73,AE73,AK73,AQ73,AW73,BC73,BI73,BO73,BU73,CA73,CG73,CM73,CS73,CY73,DE73,DK73,DQ73,DW73,EC73,EI73,EO73,EU73,FA73,FG73,FM73,FS73,FY73,GE73,GK73,GQ73,GW73,HC73,HI73,HO73))</x:f>
      </x:c>
      <x:c r="HV73" s="27" t="str">
        <x:f>IF(C73="","",IF(JI73=LARGE(JI73:JN73,1),"R",IF(JJ73=LARGE(JI73:JN73,1),"I",IF(JK73=LARGE(JI73:JN73,1),"A",IF(JL73=LARGE(JI73:JN73,1),"S",IF(JM73=LARGE(JI73:JN73,1),"E",IF(JN73=LARGE(JI73:JN73,1),"C",""))))))&amp;IF(JI73=LARGE(JI73:JN73,2),"R",IF(JJ73=LARGE(JI73:JN73,2),"I",IF(JK73=LARGE(JI73:JN73,2),"A",IF(JL73=LARGE(JI73:JN73,2),"S",IF(JM73=LARGE(JI73:JN73,2),"E",IF(JN73=LARGE(JI73:JN73,2),"C",""))))))&amp;IF(JI73=LARGE(JI73:JN73,3),"R",IF(JJ73=LARGE(JI73:JN73,3),"I",IF(JK73=LARGE(JI73:JN73,3),"A",IF(JL73=LARGE(JI73:JN73,3),"S",IF(JM73=LARGE(JI73:JN73,3),"E",IF(JN73=LARGE(JI73:JN73,3),"C","")))))))</x:f>
      </x:c>
      <x:c r="HW73" s="27" t="str">
        <x:f>IF(C73="","",IF(JI73=LARGE(JI73:JN73,1),"นักปฏิบัติ",IF(JJ73=LARGE(JI73:JN73,1),"นักคิดวิเคราะห์",IF(JK73=LARGE(JI73:JN73,1),"นักสร้างสรรค์",IF(JL73=LARGE(JI73:JN73,1),"ผู้เข้าใจผู้คน",IF(JM73=LARGE(JI73:JN73,1),"ผู้นำการเปลี่ยนแปลง",IF(JN73=LARGE(JI73:JN73,1),"ผู้จัดระบบ","ผู้จัดระบบ")))))))</x:f>
      </x:c>
      <x:c r="HX73" s="27"/>
      <x:c r="HY73" s="27"/>
      <x:c r="HZ73" s="27"/>
      <x:c r="IA73" s="27"/>
      <x:c r="IB73" s="27"/>
      <x:c r="IC73" s="27"/>
      <x:c r="ID73" s="27"/>
      <x:c r="IE73" s="27"/>
      <x:c r="IF73" s="27"/>
      <x:c r="IG73" s="27"/>
      <x:c r="IH73" s="27"/>
      <x:c r="II73" s="27"/>
      <x:c r="IJ73" s="27"/>
      <x:c r="IK73" s="27" t="str">
        <x:f>IF(C73="","",SUM(H73,N73,T73,Z73,AF73,AL73,AR73,AX73,BD73,BJ73,BP73))</x:f>
      </x:c>
      <x:c r="IL73" s="27" t="str">
        <x:f>IF(C73="","",SUM(I73,O73,U73,AA73,AG73,AM73,AS73,AY73,BE73,BK73,BQ73))</x:f>
      </x:c>
      <x:c r="IM73" s="27" t="str">
        <x:f>IF(C73="","",SUM(J73,P73,V73,AB73,AH73,AN73,AT73,AZ73,BF73,BL73,BR73))</x:f>
      </x:c>
      <x:c r="IN73" s="27" t="str">
        <x:f>IF(C73="","",SUM(K73,Q73,W73,AC73,AI73,AO73,AU73,BA73,BG73,BM73,BS73))</x:f>
      </x:c>
      <x:c r="IO73" s="27" t="str">
        <x:f>IF(C73="","",SUM(L73,R73,X73,AD73,AJ73,AP73,AV73,BB73,BH73,BN73,BT73))</x:f>
      </x:c>
      <x:c r="IP73" s="27" t="str">
        <x:f>IF(C73="","",SUM(M73,S73,Y73,AE73,AK73,AQ73,AW73,BC73,BI73,BO73,BU73))</x:f>
      </x:c>
      <x:c r="IQ73" s="27" t="str">
        <x:f>IF(C73="","",SUM(BV73,CB73,CH73,CN73,CT73,CZ73,DF73,DL73,DR73,DX73,ED73))</x:f>
      </x:c>
      <x:c r="IR73" s="27" t="str">
        <x:f>IF(C73="","",SUM(BW73,CC73,CI73,CO73,CU73,DA73,DG73,DM73,DS73,DY73,EE73))</x:f>
      </x:c>
      <x:c r="IS73" s="27" t="str">
        <x:f>IF(C73="","",SUM(BX73,CD73,CJ73,CP73,CV73,DB73,DH73,DN73,DT73,DZ73,EF73))</x:f>
      </x:c>
      <x:c r="IT73" s="27" t="str">
        <x:f>IF(C73="","",SUM(BY73,CE73,CK73,CQ73,CW73,DC73,DI73,DO73,DU73,EA73,EG73))</x:f>
      </x:c>
      <x:c r="IU73" s="27" t="str">
        <x:f>IF(C73="","",SUM(BZ73,CF73,CL73,CR73,CX73,DD73,DJ73,DP73,DV73,EB73,EH73))</x:f>
      </x:c>
      <x:c r="IV73" s="27" t="str">
        <x:f>IF(C73="","",SUM(CA73,CG73,CM73,CS73,CY73,DE73,DK73,DQ73,DW73,EC73,EI73))</x:f>
      </x:c>
      <x:c r="IW73" s="27" t="str">
        <x:f>IF(C73="","",SUM(EJ73,EP73,EV73,FB73,FH73,FN73,FT73,FZ73,GF73,GL73,GR73,GX73,HD73,HJ73))</x:f>
      </x:c>
      <x:c r="IX73" s="27" t="str">
        <x:f>IF(C73="","",SUM(EK73,EQ73,EW73,FC73,FI73,FO73,FU73,GA73,GG73,GM73,GS73,GY73,HE73,HK73))</x:f>
      </x:c>
      <x:c r="IY73" s="27" t="str">
        <x:f>IF(C73="","",SUM(EL73,ER73,EX73,FD73,FJ73,FP73,FV73,GB73,GH73,GN73,GT73,GZ73,HF73,HL73))</x:f>
      </x:c>
      <x:c r="IZ73" s="27" t="str">
        <x:f>IF(C73="","",SUM(EM73,ES73,EY73,FE73,FK73,FQ73,FW73,GC73,GI73,GO73,GU73,HA73,HG73,HM73))</x:f>
      </x:c>
      <x:c r="JA73" s="27" t="str">
        <x:f>IF(C73="","",SUM(EN73,ET73,EZ73,FF73,FL73,FR73,FX73,GD73,GJ73,GP73,GV73,HB73,HH73,HN73))</x:f>
      </x:c>
      <x:c r="JB73" s="27" t="str">
        <x:f>IF(C73="","",SUM(EO73,EU73,FA73,FG73,FM73,FS73,FY73,GE73,GK73,GQ73,GW73,HC73,HI73,HO73))</x:f>
      </x:c>
      <x:c r="JC73" s="27" t="str">
        <x:f>IF(C73="","",0)</x:f>
      </x:c>
      <x:c r="JD73" s="27" t="str">
        <x:f>IF(C73="","",0)</x:f>
      </x:c>
      <x:c r="JE73" s="27" t="str">
        <x:f>IF(C73="","",0)</x:f>
      </x:c>
      <x:c r="JF73" s="27" t="str">
        <x:f>IF(C73="","",0)</x:f>
      </x:c>
      <x:c r="JG73" s="27" t="str">
        <x:f>IF(C73="","",0)</x:f>
      </x:c>
      <x:c r="JH73" s="27" t="str">
        <x:f>IF(C73="","",0)</x:f>
      </x:c>
      <x:c r="JI73" s="27" t="str">
        <x:f>IF(C73="","",HP73*1000000000+IW73*1000000+IQ73*10000+IK73*100+JC73+6/1000)</x:f>
      </x:c>
      <x:c r="JJ73" s="27" t="str">
        <x:f>IF(C73="","",HQ73*1000000000+IX73*1000000+IR73*10000+IL73*100+JD73+5/1000)</x:f>
      </x:c>
      <x:c r="JK73" s="27" t="str">
        <x:f>IF(C73="","",HR73*1000000000+IY73*1000000+IS73*10000+IM73*100+JE73+4/1000)</x:f>
      </x:c>
      <x:c r="JL73" s="27" t="str">
        <x:f>IF(C73="","",HS73*1000000000+IZ73*1000000+IT73*10000+IN73*100+JF73+3/1000)</x:f>
      </x:c>
      <x:c r="JM73" s="27" t="str">
        <x:f>IF(C73="","",HT73*1000000000+JA73*1000000+IU73*10000+IO73*100+JG73+2/1000)</x:f>
      </x:c>
      <x:c r="JN73" s="27" t="str">
        <x:f>IF(C73="","",HU73*1000000000+JB73*1000000+IV73*10000+IP73*100+JH73+1/1000)</x:f>
      </x:c>
    </x:row>
    <x:row r="74">
      <x:c r="A74" s="27"/>
      <x:c r="B74" s="28"/>
      <x:c r="C74" s="27"/>
      <x:c r="D74" s="27"/>
      <x:c r="E74" s="27"/>
      <x:c r="F74" s="27"/>
      <x:c r="G74" s="27"/>
      <x:c r="H74" s="27"/>
      <x:c r="I74" s="27"/>
      <x:c r="J74" s="27"/>
      <x:c r="K74" s="27"/>
      <x:c r="L74" s="27"/>
      <x:c r="M74" s="27"/>
      <x:c r="N74" s="27"/>
      <x:c r="O74" s="27"/>
      <x:c r="P74" s="27"/>
      <x:c r="Q74" s="27"/>
      <x:c r="R74" s="27"/>
      <x:c r="S74" s="27"/>
      <x:c r="T74" s="27"/>
      <x:c r="U74" s="27"/>
      <x:c r="V74" s="27"/>
      <x:c r="W74" s="27"/>
      <x:c r="X74" s="27"/>
      <x:c r="Y74" s="27"/>
      <x:c r="Z74" s="27"/>
      <x:c r="AA74" s="27"/>
      <x:c r="AB74" s="27"/>
      <x:c r="AC74" s="27"/>
      <x:c r="AD74" s="27"/>
      <x:c r="AE74" s="27"/>
      <x:c r="AF74" s="27"/>
      <x:c r="AG74" s="27"/>
      <x:c r="AH74" s="27"/>
      <x:c r="AI74" s="27"/>
      <x:c r="AJ74" s="27"/>
      <x:c r="AK74" s="27"/>
      <x:c r="AL74" s="27"/>
      <x:c r="AM74" s="27"/>
      <x:c r="AN74" s="27"/>
      <x:c r="AO74" s="27"/>
      <x:c r="AP74" s="27"/>
      <x:c r="AQ74" s="27"/>
      <x:c r="AR74" s="27"/>
      <x:c r="AS74" s="27"/>
      <x:c r="AT74" s="27"/>
      <x:c r="AU74" s="27"/>
      <x:c r="AV74" s="27"/>
      <x:c r="AW74" s="27"/>
      <x:c r="AX74" s="27"/>
      <x:c r="AY74" s="27"/>
      <x:c r="AZ74" s="27"/>
      <x:c r="BA74" s="27"/>
      <x:c r="BB74" s="27"/>
      <x:c r="BC74" s="27"/>
      <x:c r="BD74" s="27"/>
      <x:c r="BE74" s="27"/>
      <x:c r="BF74" s="27"/>
      <x:c r="BG74" s="27"/>
      <x:c r="BH74" s="27"/>
      <x:c r="BI74" s="27"/>
      <x:c r="BJ74" s="27"/>
      <x:c r="BK74" s="27"/>
      <x:c r="BL74" s="27"/>
      <x:c r="BM74" s="27"/>
      <x:c r="BN74" s="27"/>
      <x:c r="BO74" s="27"/>
      <x:c r="BP74" s="27"/>
      <x:c r="BQ74" s="27"/>
      <x:c r="BR74" s="27"/>
      <x:c r="BS74" s="27"/>
      <x:c r="BT74" s="27"/>
      <x:c r="BU74" s="27"/>
      <x:c r="BV74" s="27"/>
      <x:c r="BW74" s="27"/>
      <x:c r="BX74" s="27"/>
      <x:c r="BY74" s="27"/>
      <x:c r="BZ74" s="27"/>
      <x:c r="CA74" s="27"/>
      <x:c r="CB74" s="27"/>
      <x:c r="CC74" s="27"/>
      <x:c r="CD74" s="27"/>
      <x:c r="CE74" s="27"/>
      <x:c r="CF74" s="27"/>
      <x:c r="CG74" s="27"/>
      <x:c r="CH74" s="27"/>
      <x:c r="CI74" s="27"/>
      <x:c r="CJ74" s="27"/>
      <x:c r="CK74" s="27"/>
      <x:c r="CL74" s="27"/>
      <x:c r="CM74" s="27"/>
      <x:c r="CN74" s="27"/>
      <x:c r="CO74" s="27"/>
      <x:c r="CP74" s="27"/>
      <x:c r="CQ74" s="27"/>
      <x:c r="CR74" s="27"/>
      <x:c r="CS74" s="27"/>
      <x:c r="CT74" s="27"/>
      <x:c r="CU74" s="27"/>
      <x:c r="CV74" s="27"/>
      <x:c r="CW74" s="27"/>
      <x:c r="CX74" s="27"/>
      <x:c r="CY74" s="27"/>
      <x:c r="CZ74" s="27"/>
      <x:c r="DA74" s="27"/>
      <x:c r="DB74" s="27"/>
      <x:c r="DC74" s="27"/>
      <x:c r="DD74" s="27"/>
      <x:c r="DE74" s="27"/>
      <x:c r="DF74" s="27"/>
      <x:c r="DG74" s="27"/>
      <x:c r="DH74" s="27"/>
      <x:c r="DI74" s="27"/>
      <x:c r="DJ74" s="27"/>
      <x:c r="DK74" s="27"/>
      <x:c r="DL74" s="27"/>
      <x:c r="DM74" s="27"/>
      <x:c r="DN74" s="27"/>
      <x:c r="DO74" s="27"/>
      <x:c r="DP74" s="27"/>
      <x:c r="DQ74" s="27"/>
      <x:c r="DR74" s="27"/>
      <x:c r="DS74" s="27"/>
      <x:c r="DT74" s="27"/>
      <x:c r="DU74" s="27"/>
      <x:c r="DV74" s="27"/>
      <x:c r="DW74" s="27"/>
      <x:c r="DX74" s="27"/>
      <x:c r="DY74" s="27"/>
      <x:c r="DZ74" s="27"/>
      <x:c r="EA74" s="27"/>
      <x:c r="EB74" s="27"/>
      <x:c r="EC74" s="27"/>
      <x:c r="ED74" s="27"/>
      <x:c r="EE74" s="27"/>
      <x:c r="EF74" s="27"/>
      <x:c r="EG74" s="27"/>
      <x:c r="EH74" s="27"/>
      <x:c r="EI74" s="27"/>
      <x:c r="EJ74" s="27"/>
      <x:c r="EK74" s="27"/>
      <x:c r="EL74" s="27"/>
      <x:c r="EM74" s="27"/>
      <x:c r="EN74" s="27"/>
      <x:c r="EO74" s="27"/>
      <x:c r="EP74" s="27"/>
      <x:c r="EQ74" s="27"/>
      <x:c r="ER74" s="27"/>
      <x:c r="ES74" s="27"/>
      <x:c r="ET74" s="27"/>
      <x:c r="EU74" s="27"/>
      <x:c r="EV74" s="27"/>
      <x:c r="EW74" s="27"/>
      <x:c r="EX74" s="27"/>
      <x:c r="EY74" s="27"/>
      <x:c r="EZ74" s="27"/>
      <x:c r="FA74" s="27"/>
      <x:c r="FB74" s="27"/>
      <x:c r="FC74" s="27"/>
      <x:c r="FD74" s="27"/>
      <x:c r="FE74" s="27"/>
      <x:c r="FF74" s="27"/>
      <x:c r="FG74" s="27"/>
      <x:c r="FH74" s="27"/>
      <x:c r="FI74" s="27"/>
      <x:c r="FJ74" s="27"/>
      <x:c r="FK74" s="27"/>
      <x:c r="FL74" s="27"/>
      <x:c r="FM74" s="27"/>
      <x:c r="FN74" s="27"/>
      <x:c r="FO74" s="27"/>
      <x:c r="FP74" s="27"/>
      <x:c r="FQ74" s="27"/>
      <x:c r="FR74" s="27"/>
      <x:c r="FS74" s="27"/>
      <x:c r="FT74" s="27"/>
      <x:c r="FU74" s="27"/>
      <x:c r="FV74" s="27"/>
      <x:c r="FW74" s="27"/>
      <x:c r="FX74" s="27"/>
      <x:c r="FY74" s="27"/>
      <x:c r="FZ74" s="27"/>
      <x:c r="GA74" s="27"/>
      <x:c r="GB74" s="27"/>
      <x:c r="GC74" s="27"/>
      <x:c r="GD74" s="27"/>
      <x:c r="GE74" s="27"/>
      <x:c r="GF74" s="27"/>
      <x:c r="GG74" s="27"/>
      <x:c r="GH74" s="27"/>
      <x:c r="GI74" s="27"/>
      <x:c r="GJ74" s="27"/>
      <x:c r="GK74" s="27"/>
      <x:c r="GL74" s="27"/>
      <x:c r="GM74" s="27"/>
      <x:c r="GN74" s="27"/>
      <x:c r="GO74" s="27"/>
      <x:c r="GP74" s="27"/>
      <x:c r="GQ74" s="27"/>
      <x:c r="GR74" s="27"/>
      <x:c r="GS74" s="27"/>
      <x:c r="GT74" s="27"/>
      <x:c r="GU74" s="27"/>
      <x:c r="GV74" s="27"/>
      <x:c r="GW74" s="27"/>
      <x:c r="GX74" s="27"/>
      <x:c r="GY74" s="27"/>
      <x:c r="GZ74" s="27"/>
      <x:c r="HA74" s="27"/>
      <x:c r="HB74" s="27"/>
      <x:c r="HC74" s="27"/>
      <x:c r="HD74" s="27"/>
      <x:c r="HE74" s="27"/>
      <x:c r="HF74" s="27"/>
      <x:c r="HG74" s="27"/>
      <x:c r="HH74" s="27"/>
      <x:c r="HI74" s="27"/>
      <x:c r="HJ74" s="27"/>
      <x:c r="HK74" s="27"/>
      <x:c r="HL74" s="27"/>
      <x:c r="HM74" s="27"/>
      <x:c r="HN74" s="27"/>
      <x:c r="HO74" s="27"/>
      <x:c r="HP74" s="27" t="str">
        <x:f>IF(C74="","",SUM(H74,N74,T74,Z74,AF74,AL74,AR74,AX74,BD74,BJ74,BP74,BV74,CB74,CH74,CN74,CT74,CZ74,DF74,DL74,DR74,DX74,ED74,EJ74,EP74,EV74,FB74,FH74,FN74,FT74,FZ74,GF74,GL74,GR74,GX74,HD74,HJ74))</x:f>
      </x:c>
      <x:c r="HQ74" s="27" t="str">
        <x:f>IF(C74="","",SUM(I74,O74,U74,AA74,AG74,AM74,AS74,AY74,BE74,BK74,BQ74,BW74,CC74,CI74,CO74,CU74,DA74,DG74,DM74,DS74,DY74,EE74,EK74,EQ74,EW74,FC74,FI74,FO74,FU74,GA74,GG74,GM74,GS74,GY74,HE74,HK74))</x:f>
      </x:c>
      <x:c r="HR74" s="27" t="str">
        <x:f>IF(C74="","",SUM(J74,P74,V74,AB74,AH74,AN74,AT74,AZ74,BF74,BL74,BR74,BX74,CD74,CJ74,CP74,CV74,DB74,DH74,DN74,DT74,DZ74,EF74,EL74,ER74,EX74,FD74,FJ74,FP74,FV74,GB74,GH74,GN74,GT74,GZ74,HF74,HL74))</x:f>
      </x:c>
      <x:c r="HS74" s="27" t="str">
        <x:f>IF(C74="","",SUM(K74,Q74,W74,AC74,AI74,AO74,AU74,BA74,BG74,BM74,BS74,BY74,CE74,CK74,CQ74,CW74,DC74,DI74,DO74,DU74,EA74,EG74,EM74,ES74,EY74,FE74,FK74,FQ74,FW74,GC74,GI74,GO74,GU74,HA74,HG74,HM74))</x:f>
      </x:c>
      <x:c r="HT74" s="27" t="str">
        <x:f>IF(C74="","",SUM(L74,R74,X74,AD74,AJ74,AP74,AV74,BB74,BH74,BN74,BT74,BZ74,CF74,CL74,CR74,CX74,DD74,DJ74,DP74,DV74,EB74,EH74,EN74,ET74,EZ74,FF74,FL74,FR74,FX74,GD74,GJ74,GP74,GV74,HB74,HH74,HN74))</x:f>
      </x:c>
      <x:c r="HU74" s="27" t="str">
        <x:f>IF(C74="","",SUM(M74,S74,Y74,AE74,AK74,AQ74,AW74,BC74,BI74,BO74,BU74,CA74,CG74,CM74,CS74,CY74,DE74,DK74,DQ74,DW74,EC74,EI74,EO74,EU74,FA74,FG74,FM74,FS74,FY74,GE74,GK74,GQ74,GW74,HC74,HI74,HO74))</x:f>
      </x:c>
      <x:c r="HV74" s="27" t="str">
        <x:f>IF(C74="","",IF(JI74=LARGE(JI74:JN74,1),"R",IF(JJ74=LARGE(JI74:JN74,1),"I",IF(JK74=LARGE(JI74:JN74,1),"A",IF(JL74=LARGE(JI74:JN74,1),"S",IF(JM74=LARGE(JI74:JN74,1),"E",IF(JN74=LARGE(JI74:JN74,1),"C",""))))))&amp;IF(JI74=LARGE(JI74:JN74,2),"R",IF(JJ74=LARGE(JI74:JN74,2),"I",IF(JK74=LARGE(JI74:JN74,2),"A",IF(JL74=LARGE(JI74:JN74,2),"S",IF(JM74=LARGE(JI74:JN74,2),"E",IF(JN74=LARGE(JI74:JN74,2),"C",""))))))&amp;IF(JI74=LARGE(JI74:JN74,3),"R",IF(JJ74=LARGE(JI74:JN74,3),"I",IF(JK74=LARGE(JI74:JN74,3),"A",IF(JL74=LARGE(JI74:JN74,3),"S",IF(JM74=LARGE(JI74:JN74,3),"E",IF(JN74=LARGE(JI74:JN74,3),"C","")))))))</x:f>
      </x:c>
      <x:c r="HW74" s="27" t="str">
        <x:f>IF(C74="","",IF(JI74=LARGE(JI74:JN74,1),"นักปฏิบัติ",IF(JJ74=LARGE(JI74:JN74,1),"นักคิดวิเคราะห์",IF(JK74=LARGE(JI74:JN74,1),"นักสร้างสรรค์",IF(JL74=LARGE(JI74:JN74,1),"ผู้เข้าใจผู้คน",IF(JM74=LARGE(JI74:JN74,1),"ผู้นำการเปลี่ยนแปลง",IF(JN74=LARGE(JI74:JN74,1),"ผู้จัดระบบ","ผู้จัดระบบ")))))))</x:f>
      </x:c>
      <x:c r="HX74" s="27"/>
      <x:c r="HY74" s="27"/>
      <x:c r="HZ74" s="27"/>
      <x:c r="IA74" s="27"/>
      <x:c r="IB74" s="27"/>
      <x:c r="IC74" s="27"/>
      <x:c r="ID74" s="27"/>
      <x:c r="IE74" s="27"/>
      <x:c r="IF74" s="27"/>
      <x:c r="IG74" s="27"/>
      <x:c r="IH74" s="27"/>
      <x:c r="II74" s="27"/>
      <x:c r="IJ74" s="27"/>
      <x:c r="IK74" s="27" t="str">
        <x:f>IF(C74="","",SUM(H74,N74,T74,Z74,AF74,AL74,AR74,AX74,BD74,BJ74,BP74))</x:f>
      </x:c>
      <x:c r="IL74" s="27" t="str">
        <x:f>IF(C74="","",SUM(I74,O74,U74,AA74,AG74,AM74,AS74,AY74,BE74,BK74,BQ74))</x:f>
      </x:c>
      <x:c r="IM74" s="27" t="str">
        <x:f>IF(C74="","",SUM(J74,P74,V74,AB74,AH74,AN74,AT74,AZ74,BF74,BL74,BR74))</x:f>
      </x:c>
      <x:c r="IN74" s="27" t="str">
        <x:f>IF(C74="","",SUM(K74,Q74,W74,AC74,AI74,AO74,AU74,BA74,BG74,BM74,BS74))</x:f>
      </x:c>
      <x:c r="IO74" s="27" t="str">
        <x:f>IF(C74="","",SUM(L74,R74,X74,AD74,AJ74,AP74,AV74,BB74,BH74,BN74,BT74))</x:f>
      </x:c>
      <x:c r="IP74" s="27" t="str">
        <x:f>IF(C74="","",SUM(M74,S74,Y74,AE74,AK74,AQ74,AW74,BC74,BI74,BO74,BU74))</x:f>
      </x:c>
      <x:c r="IQ74" s="27" t="str">
        <x:f>IF(C74="","",SUM(BV74,CB74,CH74,CN74,CT74,CZ74,DF74,DL74,DR74,DX74,ED74))</x:f>
      </x:c>
      <x:c r="IR74" s="27" t="str">
        <x:f>IF(C74="","",SUM(BW74,CC74,CI74,CO74,CU74,DA74,DG74,DM74,DS74,DY74,EE74))</x:f>
      </x:c>
      <x:c r="IS74" s="27" t="str">
        <x:f>IF(C74="","",SUM(BX74,CD74,CJ74,CP74,CV74,DB74,DH74,DN74,DT74,DZ74,EF74))</x:f>
      </x:c>
      <x:c r="IT74" s="27" t="str">
        <x:f>IF(C74="","",SUM(BY74,CE74,CK74,CQ74,CW74,DC74,DI74,DO74,DU74,EA74,EG74))</x:f>
      </x:c>
      <x:c r="IU74" s="27" t="str">
        <x:f>IF(C74="","",SUM(BZ74,CF74,CL74,CR74,CX74,DD74,DJ74,DP74,DV74,EB74,EH74))</x:f>
      </x:c>
      <x:c r="IV74" s="27" t="str">
        <x:f>IF(C74="","",SUM(CA74,CG74,CM74,CS74,CY74,DE74,DK74,DQ74,DW74,EC74,EI74))</x:f>
      </x:c>
      <x:c r="IW74" s="27" t="str">
        <x:f>IF(C74="","",SUM(EJ74,EP74,EV74,FB74,FH74,FN74,FT74,FZ74,GF74,GL74,GR74,GX74,HD74,HJ74))</x:f>
      </x:c>
      <x:c r="IX74" s="27" t="str">
        <x:f>IF(C74="","",SUM(EK74,EQ74,EW74,FC74,FI74,FO74,FU74,GA74,GG74,GM74,GS74,GY74,HE74,HK74))</x:f>
      </x:c>
      <x:c r="IY74" s="27" t="str">
        <x:f>IF(C74="","",SUM(EL74,ER74,EX74,FD74,FJ74,FP74,FV74,GB74,GH74,GN74,GT74,GZ74,HF74,HL74))</x:f>
      </x:c>
      <x:c r="IZ74" s="27" t="str">
        <x:f>IF(C74="","",SUM(EM74,ES74,EY74,FE74,FK74,FQ74,FW74,GC74,GI74,GO74,GU74,HA74,HG74,HM74))</x:f>
      </x:c>
      <x:c r="JA74" s="27" t="str">
        <x:f>IF(C74="","",SUM(EN74,ET74,EZ74,FF74,FL74,FR74,FX74,GD74,GJ74,GP74,GV74,HB74,HH74,HN74))</x:f>
      </x:c>
      <x:c r="JB74" s="27" t="str">
        <x:f>IF(C74="","",SUM(EO74,EU74,FA74,FG74,FM74,FS74,FY74,GE74,GK74,GQ74,GW74,HC74,HI74,HO74))</x:f>
      </x:c>
      <x:c r="JC74" s="27" t="str">
        <x:f>IF(C74="","",0)</x:f>
      </x:c>
      <x:c r="JD74" s="27" t="str">
        <x:f>IF(C74="","",0)</x:f>
      </x:c>
      <x:c r="JE74" s="27" t="str">
        <x:f>IF(C74="","",0)</x:f>
      </x:c>
      <x:c r="JF74" s="27" t="str">
        <x:f>IF(C74="","",0)</x:f>
      </x:c>
      <x:c r="JG74" s="27" t="str">
        <x:f>IF(C74="","",0)</x:f>
      </x:c>
      <x:c r="JH74" s="27" t="str">
        <x:f>IF(C74="","",0)</x:f>
      </x:c>
      <x:c r="JI74" s="27" t="str">
        <x:f>IF(C74="","",HP74*1000000000+IW74*1000000+IQ74*10000+IK74*100+JC74+6/1000)</x:f>
      </x:c>
      <x:c r="JJ74" s="27" t="str">
        <x:f>IF(C74="","",HQ74*1000000000+IX74*1000000+IR74*10000+IL74*100+JD74+5/1000)</x:f>
      </x:c>
      <x:c r="JK74" s="27" t="str">
        <x:f>IF(C74="","",HR74*1000000000+IY74*1000000+IS74*10000+IM74*100+JE74+4/1000)</x:f>
      </x:c>
      <x:c r="JL74" s="27" t="str">
        <x:f>IF(C74="","",HS74*1000000000+IZ74*1000000+IT74*10000+IN74*100+JF74+3/1000)</x:f>
      </x:c>
      <x:c r="JM74" s="27" t="str">
        <x:f>IF(C74="","",HT74*1000000000+JA74*1000000+IU74*10000+IO74*100+JG74+2/1000)</x:f>
      </x:c>
      <x:c r="JN74" s="27" t="str">
        <x:f>IF(C74="","",HU74*1000000000+JB74*1000000+IV74*10000+IP74*100+JH74+1/1000)</x:f>
      </x:c>
    </x:row>
    <x:row r="75">
      <x:c r="A75" s="27"/>
      <x:c r="B75" s="28"/>
      <x:c r="C75" s="27"/>
      <x:c r="D75" s="27"/>
      <x:c r="E75" s="27"/>
      <x:c r="F75" s="27"/>
      <x:c r="G75" s="27"/>
      <x:c r="H75" s="27"/>
      <x:c r="I75" s="27"/>
      <x:c r="J75" s="27"/>
      <x:c r="K75" s="27"/>
      <x:c r="L75" s="27"/>
      <x:c r="M75" s="27"/>
      <x:c r="N75" s="27"/>
      <x:c r="O75" s="27"/>
      <x:c r="P75" s="27"/>
      <x:c r="Q75" s="27"/>
      <x:c r="R75" s="27"/>
      <x:c r="S75" s="27"/>
      <x:c r="T75" s="27"/>
      <x:c r="U75" s="27"/>
      <x:c r="V75" s="27"/>
      <x:c r="W75" s="27"/>
      <x:c r="X75" s="27"/>
      <x:c r="Y75" s="27"/>
      <x:c r="Z75" s="27"/>
      <x:c r="AA75" s="27"/>
      <x:c r="AB75" s="27"/>
      <x:c r="AC75" s="27"/>
      <x:c r="AD75" s="27"/>
      <x:c r="AE75" s="27"/>
      <x:c r="AF75" s="27"/>
      <x:c r="AG75" s="27"/>
      <x:c r="AH75" s="27"/>
      <x:c r="AI75" s="27"/>
      <x:c r="AJ75" s="27"/>
      <x:c r="AK75" s="27"/>
      <x:c r="AL75" s="27"/>
      <x:c r="AM75" s="27"/>
      <x:c r="AN75" s="27"/>
      <x:c r="AO75" s="27"/>
      <x:c r="AP75" s="27"/>
      <x:c r="AQ75" s="27"/>
      <x:c r="AR75" s="27"/>
      <x:c r="AS75" s="27"/>
      <x:c r="AT75" s="27"/>
      <x:c r="AU75" s="27"/>
      <x:c r="AV75" s="27"/>
      <x:c r="AW75" s="27"/>
      <x:c r="AX75" s="27"/>
      <x:c r="AY75" s="27"/>
      <x:c r="AZ75" s="27"/>
      <x:c r="BA75" s="27"/>
      <x:c r="BB75" s="27"/>
      <x:c r="BC75" s="27"/>
      <x:c r="BD75" s="27"/>
      <x:c r="BE75" s="27"/>
      <x:c r="BF75" s="27"/>
      <x:c r="BG75" s="27"/>
      <x:c r="BH75" s="27"/>
      <x:c r="BI75" s="27"/>
      <x:c r="BJ75" s="27"/>
      <x:c r="BK75" s="27"/>
      <x:c r="BL75" s="27"/>
      <x:c r="BM75" s="27"/>
      <x:c r="BN75" s="27"/>
      <x:c r="BO75" s="27"/>
      <x:c r="BP75" s="27"/>
      <x:c r="BQ75" s="27"/>
      <x:c r="BR75" s="27"/>
      <x:c r="BS75" s="27"/>
      <x:c r="BT75" s="27"/>
      <x:c r="BU75" s="27"/>
      <x:c r="BV75" s="27"/>
      <x:c r="BW75" s="27"/>
      <x:c r="BX75" s="27"/>
      <x:c r="BY75" s="27"/>
      <x:c r="BZ75" s="27"/>
      <x:c r="CA75" s="27"/>
      <x:c r="CB75" s="27"/>
      <x:c r="CC75" s="27"/>
      <x:c r="CD75" s="27"/>
      <x:c r="CE75" s="27"/>
      <x:c r="CF75" s="27"/>
      <x:c r="CG75" s="27"/>
      <x:c r="CH75" s="27"/>
      <x:c r="CI75" s="27"/>
      <x:c r="CJ75" s="27"/>
      <x:c r="CK75" s="27"/>
      <x:c r="CL75" s="27"/>
      <x:c r="CM75" s="27"/>
      <x:c r="CN75" s="27"/>
      <x:c r="CO75" s="27"/>
      <x:c r="CP75" s="27"/>
      <x:c r="CQ75" s="27"/>
      <x:c r="CR75" s="27"/>
      <x:c r="CS75" s="27"/>
      <x:c r="CT75" s="27"/>
      <x:c r="CU75" s="27"/>
      <x:c r="CV75" s="27"/>
      <x:c r="CW75" s="27"/>
      <x:c r="CX75" s="27"/>
      <x:c r="CY75" s="27"/>
      <x:c r="CZ75" s="27"/>
      <x:c r="DA75" s="27"/>
      <x:c r="DB75" s="27"/>
      <x:c r="DC75" s="27"/>
      <x:c r="DD75" s="27"/>
      <x:c r="DE75" s="27"/>
      <x:c r="DF75" s="27"/>
      <x:c r="DG75" s="27"/>
      <x:c r="DH75" s="27"/>
      <x:c r="DI75" s="27"/>
      <x:c r="DJ75" s="27"/>
      <x:c r="DK75" s="27"/>
      <x:c r="DL75" s="27"/>
      <x:c r="DM75" s="27"/>
      <x:c r="DN75" s="27"/>
      <x:c r="DO75" s="27"/>
      <x:c r="DP75" s="27"/>
      <x:c r="DQ75" s="27"/>
      <x:c r="DR75" s="27"/>
      <x:c r="DS75" s="27"/>
      <x:c r="DT75" s="27"/>
      <x:c r="DU75" s="27"/>
      <x:c r="DV75" s="27"/>
      <x:c r="DW75" s="27"/>
      <x:c r="DX75" s="27"/>
      <x:c r="DY75" s="27"/>
      <x:c r="DZ75" s="27"/>
      <x:c r="EA75" s="27"/>
      <x:c r="EB75" s="27"/>
      <x:c r="EC75" s="27"/>
      <x:c r="ED75" s="27"/>
      <x:c r="EE75" s="27"/>
      <x:c r="EF75" s="27"/>
      <x:c r="EG75" s="27"/>
      <x:c r="EH75" s="27"/>
      <x:c r="EI75" s="27"/>
      <x:c r="EJ75" s="27"/>
      <x:c r="EK75" s="27"/>
      <x:c r="EL75" s="27"/>
      <x:c r="EM75" s="27"/>
      <x:c r="EN75" s="27"/>
      <x:c r="EO75" s="27"/>
      <x:c r="EP75" s="27"/>
      <x:c r="EQ75" s="27"/>
      <x:c r="ER75" s="27"/>
      <x:c r="ES75" s="27"/>
      <x:c r="ET75" s="27"/>
      <x:c r="EU75" s="27"/>
      <x:c r="EV75" s="27"/>
      <x:c r="EW75" s="27"/>
      <x:c r="EX75" s="27"/>
      <x:c r="EY75" s="27"/>
      <x:c r="EZ75" s="27"/>
      <x:c r="FA75" s="27"/>
      <x:c r="FB75" s="27"/>
      <x:c r="FC75" s="27"/>
      <x:c r="FD75" s="27"/>
      <x:c r="FE75" s="27"/>
      <x:c r="FF75" s="27"/>
      <x:c r="FG75" s="27"/>
      <x:c r="FH75" s="27"/>
      <x:c r="FI75" s="27"/>
      <x:c r="FJ75" s="27"/>
      <x:c r="FK75" s="27"/>
      <x:c r="FL75" s="27"/>
      <x:c r="FM75" s="27"/>
      <x:c r="FN75" s="27"/>
      <x:c r="FO75" s="27"/>
      <x:c r="FP75" s="27"/>
      <x:c r="FQ75" s="27"/>
      <x:c r="FR75" s="27"/>
      <x:c r="FS75" s="27"/>
      <x:c r="FT75" s="27"/>
      <x:c r="FU75" s="27"/>
      <x:c r="FV75" s="27"/>
      <x:c r="FW75" s="27"/>
      <x:c r="FX75" s="27"/>
      <x:c r="FY75" s="27"/>
      <x:c r="FZ75" s="27"/>
      <x:c r="GA75" s="27"/>
      <x:c r="GB75" s="27"/>
      <x:c r="GC75" s="27"/>
      <x:c r="GD75" s="27"/>
      <x:c r="GE75" s="27"/>
      <x:c r="GF75" s="27"/>
      <x:c r="GG75" s="27"/>
      <x:c r="GH75" s="27"/>
      <x:c r="GI75" s="27"/>
      <x:c r="GJ75" s="27"/>
      <x:c r="GK75" s="27"/>
      <x:c r="GL75" s="27"/>
      <x:c r="GM75" s="27"/>
      <x:c r="GN75" s="27"/>
      <x:c r="GO75" s="27"/>
      <x:c r="GP75" s="27"/>
      <x:c r="GQ75" s="27"/>
      <x:c r="GR75" s="27"/>
      <x:c r="GS75" s="27"/>
      <x:c r="GT75" s="27"/>
      <x:c r="GU75" s="27"/>
      <x:c r="GV75" s="27"/>
      <x:c r="GW75" s="27"/>
      <x:c r="GX75" s="27"/>
      <x:c r="GY75" s="27"/>
      <x:c r="GZ75" s="27"/>
      <x:c r="HA75" s="27"/>
      <x:c r="HB75" s="27"/>
      <x:c r="HC75" s="27"/>
      <x:c r="HD75" s="27"/>
      <x:c r="HE75" s="27"/>
      <x:c r="HF75" s="27"/>
      <x:c r="HG75" s="27"/>
      <x:c r="HH75" s="27"/>
      <x:c r="HI75" s="27"/>
      <x:c r="HJ75" s="27"/>
      <x:c r="HK75" s="27"/>
      <x:c r="HL75" s="27"/>
      <x:c r="HM75" s="27"/>
      <x:c r="HN75" s="27"/>
      <x:c r="HO75" s="27"/>
      <x:c r="HP75" s="27" t="str">
        <x:f>IF(C75="","",SUM(H75,N75,T75,Z75,AF75,AL75,AR75,AX75,BD75,BJ75,BP75,BV75,CB75,CH75,CN75,CT75,CZ75,DF75,DL75,DR75,DX75,ED75,EJ75,EP75,EV75,FB75,FH75,FN75,FT75,FZ75,GF75,GL75,GR75,GX75,HD75,HJ75))</x:f>
      </x:c>
      <x:c r="HQ75" s="27" t="str">
        <x:f>IF(C75="","",SUM(I75,O75,U75,AA75,AG75,AM75,AS75,AY75,BE75,BK75,BQ75,BW75,CC75,CI75,CO75,CU75,DA75,DG75,DM75,DS75,DY75,EE75,EK75,EQ75,EW75,FC75,FI75,FO75,FU75,GA75,GG75,GM75,GS75,GY75,HE75,HK75))</x:f>
      </x:c>
      <x:c r="HR75" s="27" t="str">
        <x:f>IF(C75="","",SUM(J75,P75,V75,AB75,AH75,AN75,AT75,AZ75,BF75,BL75,BR75,BX75,CD75,CJ75,CP75,CV75,DB75,DH75,DN75,DT75,DZ75,EF75,EL75,ER75,EX75,FD75,FJ75,FP75,FV75,GB75,GH75,GN75,GT75,GZ75,HF75,HL75))</x:f>
      </x:c>
      <x:c r="HS75" s="27" t="str">
        <x:f>IF(C75="","",SUM(K75,Q75,W75,AC75,AI75,AO75,AU75,BA75,BG75,BM75,BS75,BY75,CE75,CK75,CQ75,CW75,DC75,DI75,DO75,DU75,EA75,EG75,EM75,ES75,EY75,FE75,FK75,FQ75,FW75,GC75,GI75,GO75,GU75,HA75,HG75,HM75))</x:f>
      </x:c>
      <x:c r="HT75" s="27" t="str">
        <x:f>IF(C75="","",SUM(L75,R75,X75,AD75,AJ75,AP75,AV75,BB75,BH75,BN75,BT75,BZ75,CF75,CL75,CR75,CX75,DD75,DJ75,DP75,DV75,EB75,EH75,EN75,ET75,EZ75,FF75,FL75,FR75,FX75,GD75,GJ75,GP75,GV75,HB75,HH75,HN75))</x:f>
      </x:c>
      <x:c r="HU75" s="27" t="str">
        <x:f>IF(C75="","",SUM(M75,S75,Y75,AE75,AK75,AQ75,AW75,BC75,BI75,BO75,BU75,CA75,CG75,CM75,CS75,CY75,DE75,DK75,DQ75,DW75,EC75,EI75,EO75,EU75,FA75,FG75,FM75,FS75,FY75,GE75,GK75,GQ75,GW75,HC75,HI75,HO75))</x:f>
      </x:c>
      <x:c r="HV75" s="27" t="str">
        <x:f>IF(C75="","",IF(JI75=LARGE(JI75:JN75,1),"R",IF(JJ75=LARGE(JI75:JN75,1),"I",IF(JK75=LARGE(JI75:JN75,1),"A",IF(JL75=LARGE(JI75:JN75,1),"S",IF(JM75=LARGE(JI75:JN75,1),"E",IF(JN75=LARGE(JI75:JN75,1),"C",""))))))&amp;IF(JI75=LARGE(JI75:JN75,2),"R",IF(JJ75=LARGE(JI75:JN75,2),"I",IF(JK75=LARGE(JI75:JN75,2),"A",IF(JL75=LARGE(JI75:JN75,2),"S",IF(JM75=LARGE(JI75:JN75,2),"E",IF(JN75=LARGE(JI75:JN75,2),"C",""))))))&amp;IF(JI75=LARGE(JI75:JN75,3),"R",IF(JJ75=LARGE(JI75:JN75,3),"I",IF(JK75=LARGE(JI75:JN75,3),"A",IF(JL75=LARGE(JI75:JN75,3),"S",IF(JM75=LARGE(JI75:JN75,3),"E",IF(JN75=LARGE(JI75:JN75,3),"C","")))))))</x:f>
      </x:c>
      <x:c r="HW75" s="27" t="str">
        <x:f>IF(C75="","",IF(JI75=LARGE(JI75:JN75,1),"นักปฏิบัติ",IF(JJ75=LARGE(JI75:JN75,1),"นักคิดวิเคราะห์",IF(JK75=LARGE(JI75:JN75,1),"นักสร้างสรรค์",IF(JL75=LARGE(JI75:JN75,1),"ผู้เข้าใจผู้คน",IF(JM75=LARGE(JI75:JN75,1),"ผู้นำการเปลี่ยนแปลง",IF(JN75=LARGE(JI75:JN75,1),"ผู้จัดระบบ","ผู้จัดระบบ")))))))</x:f>
      </x:c>
      <x:c r="HX75" s="27"/>
      <x:c r="HY75" s="27"/>
      <x:c r="HZ75" s="27"/>
      <x:c r="IA75" s="27"/>
      <x:c r="IB75" s="27"/>
      <x:c r="IC75" s="27"/>
      <x:c r="ID75" s="27"/>
      <x:c r="IE75" s="27"/>
      <x:c r="IF75" s="27"/>
      <x:c r="IG75" s="27"/>
      <x:c r="IH75" s="27"/>
      <x:c r="II75" s="27"/>
      <x:c r="IJ75" s="27"/>
      <x:c r="IK75" s="27" t="str">
        <x:f>IF(C75="","",SUM(H75,N75,T75,Z75,AF75,AL75,AR75,AX75,BD75,BJ75,BP75))</x:f>
      </x:c>
      <x:c r="IL75" s="27" t="str">
        <x:f>IF(C75="","",SUM(I75,O75,U75,AA75,AG75,AM75,AS75,AY75,BE75,BK75,BQ75))</x:f>
      </x:c>
      <x:c r="IM75" s="27" t="str">
        <x:f>IF(C75="","",SUM(J75,P75,V75,AB75,AH75,AN75,AT75,AZ75,BF75,BL75,BR75))</x:f>
      </x:c>
      <x:c r="IN75" s="27" t="str">
        <x:f>IF(C75="","",SUM(K75,Q75,W75,AC75,AI75,AO75,AU75,BA75,BG75,BM75,BS75))</x:f>
      </x:c>
      <x:c r="IO75" s="27" t="str">
        <x:f>IF(C75="","",SUM(L75,R75,X75,AD75,AJ75,AP75,AV75,BB75,BH75,BN75,BT75))</x:f>
      </x:c>
      <x:c r="IP75" s="27" t="str">
        <x:f>IF(C75="","",SUM(M75,S75,Y75,AE75,AK75,AQ75,AW75,BC75,BI75,BO75,BU75))</x:f>
      </x:c>
      <x:c r="IQ75" s="27" t="str">
        <x:f>IF(C75="","",SUM(BV75,CB75,CH75,CN75,CT75,CZ75,DF75,DL75,DR75,DX75,ED75))</x:f>
      </x:c>
      <x:c r="IR75" s="27" t="str">
        <x:f>IF(C75="","",SUM(BW75,CC75,CI75,CO75,CU75,DA75,DG75,DM75,DS75,DY75,EE75))</x:f>
      </x:c>
      <x:c r="IS75" s="27" t="str">
        <x:f>IF(C75="","",SUM(BX75,CD75,CJ75,CP75,CV75,DB75,DH75,DN75,DT75,DZ75,EF75))</x:f>
      </x:c>
      <x:c r="IT75" s="27" t="str">
        <x:f>IF(C75="","",SUM(BY75,CE75,CK75,CQ75,CW75,DC75,DI75,DO75,DU75,EA75,EG75))</x:f>
      </x:c>
      <x:c r="IU75" s="27" t="str">
        <x:f>IF(C75="","",SUM(BZ75,CF75,CL75,CR75,CX75,DD75,DJ75,DP75,DV75,EB75,EH75))</x:f>
      </x:c>
      <x:c r="IV75" s="27" t="str">
        <x:f>IF(C75="","",SUM(CA75,CG75,CM75,CS75,CY75,DE75,DK75,DQ75,DW75,EC75,EI75))</x:f>
      </x:c>
      <x:c r="IW75" s="27" t="str">
        <x:f>IF(C75="","",SUM(EJ75,EP75,EV75,FB75,FH75,FN75,FT75,FZ75,GF75,GL75,GR75,GX75,HD75,HJ75))</x:f>
      </x:c>
      <x:c r="IX75" s="27" t="str">
        <x:f>IF(C75="","",SUM(EK75,EQ75,EW75,FC75,FI75,FO75,FU75,GA75,GG75,GM75,GS75,GY75,HE75,HK75))</x:f>
      </x:c>
      <x:c r="IY75" s="27" t="str">
        <x:f>IF(C75="","",SUM(EL75,ER75,EX75,FD75,FJ75,FP75,FV75,GB75,GH75,GN75,GT75,GZ75,HF75,HL75))</x:f>
      </x:c>
      <x:c r="IZ75" s="27" t="str">
        <x:f>IF(C75="","",SUM(EM75,ES75,EY75,FE75,FK75,FQ75,FW75,GC75,GI75,GO75,GU75,HA75,HG75,HM75))</x:f>
      </x:c>
      <x:c r="JA75" s="27" t="str">
        <x:f>IF(C75="","",SUM(EN75,ET75,EZ75,FF75,FL75,FR75,FX75,GD75,GJ75,GP75,GV75,HB75,HH75,HN75))</x:f>
      </x:c>
      <x:c r="JB75" s="27" t="str">
        <x:f>IF(C75="","",SUM(EO75,EU75,FA75,FG75,FM75,FS75,FY75,GE75,GK75,GQ75,GW75,HC75,HI75,HO75))</x:f>
      </x:c>
      <x:c r="JC75" s="27" t="str">
        <x:f>IF(C75="","",0)</x:f>
      </x:c>
      <x:c r="JD75" s="27" t="str">
        <x:f>IF(C75="","",0)</x:f>
      </x:c>
      <x:c r="JE75" s="27" t="str">
        <x:f>IF(C75="","",0)</x:f>
      </x:c>
      <x:c r="JF75" s="27" t="str">
        <x:f>IF(C75="","",0)</x:f>
      </x:c>
      <x:c r="JG75" s="27" t="str">
        <x:f>IF(C75="","",0)</x:f>
      </x:c>
      <x:c r="JH75" s="27" t="str">
        <x:f>IF(C75="","",0)</x:f>
      </x:c>
      <x:c r="JI75" s="27" t="str">
        <x:f>IF(C75="","",HP75*1000000000+IW75*1000000+IQ75*10000+IK75*100+JC75+6/1000)</x:f>
      </x:c>
      <x:c r="JJ75" s="27" t="str">
        <x:f>IF(C75="","",HQ75*1000000000+IX75*1000000+IR75*10000+IL75*100+JD75+5/1000)</x:f>
      </x:c>
      <x:c r="JK75" s="27" t="str">
        <x:f>IF(C75="","",HR75*1000000000+IY75*1000000+IS75*10000+IM75*100+JE75+4/1000)</x:f>
      </x:c>
      <x:c r="JL75" s="27" t="str">
        <x:f>IF(C75="","",HS75*1000000000+IZ75*1000000+IT75*10000+IN75*100+JF75+3/1000)</x:f>
      </x:c>
      <x:c r="JM75" s="27" t="str">
        <x:f>IF(C75="","",HT75*1000000000+JA75*1000000+IU75*10000+IO75*100+JG75+2/1000)</x:f>
      </x:c>
      <x:c r="JN75" s="27" t="str">
        <x:f>IF(C75="","",HU75*1000000000+JB75*1000000+IV75*10000+IP75*100+JH75+1/1000)</x:f>
      </x:c>
    </x:row>
    <x:row r="76">
      <x:c r="A76" s="27"/>
      <x:c r="B76" s="28"/>
      <x:c r="C76" s="27"/>
      <x:c r="D76" s="27"/>
      <x:c r="E76" s="27"/>
      <x:c r="F76" s="27"/>
      <x:c r="G76" s="27"/>
      <x:c r="H76" s="27"/>
      <x:c r="I76" s="27"/>
      <x:c r="J76" s="27"/>
      <x:c r="K76" s="27"/>
      <x:c r="L76" s="27"/>
      <x:c r="M76" s="27"/>
      <x:c r="N76" s="27"/>
      <x:c r="O76" s="27"/>
      <x:c r="P76" s="27"/>
      <x:c r="Q76" s="27"/>
      <x:c r="R76" s="27"/>
      <x:c r="S76" s="27"/>
      <x:c r="T76" s="27"/>
      <x:c r="U76" s="27"/>
      <x:c r="V76" s="27"/>
      <x:c r="W76" s="27"/>
      <x:c r="X76" s="27"/>
      <x:c r="Y76" s="27"/>
      <x:c r="Z76" s="27"/>
      <x:c r="AA76" s="27"/>
      <x:c r="AB76" s="27"/>
      <x:c r="AC76" s="27"/>
      <x:c r="AD76" s="27"/>
      <x:c r="AE76" s="27"/>
      <x:c r="AF76" s="27"/>
      <x:c r="AG76" s="27"/>
      <x:c r="AH76" s="27"/>
      <x:c r="AI76" s="27"/>
      <x:c r="AJ76" s="27"/>
      <x:c r="AK76" s="27"/>
      <x:c r="AL76" s="27"/>
      <x:c r="AM76" s="27"/>
      <x:c r="AN76" s="27"/>
      <x:c r="AO76" s="27"/>
      <x:c r="AP76" s="27"/>
      <x:c r="AQ76" s="27"/>
      <x:c r="AR76" s="27"/>
      <x:c r="AS76" s="27"/>
      <x:c r="AT76" s="27"/>
      <x:c r="AU76" s="27"/>
      <x:c r="AV76" s="27"/>
      <x:c r="AW76" s="27"/>
      <x:c r="AX76" s="27"/>
      <x:c r="AY76" s="27"/>
      <x:c r="AZ76" s="27"/>
      <x:c r="BA76" s="27"/>
      <x:c r="BB76" s="27"/>
      <x:c r="BC76" s="27"/>
      <x:c r="BD76" s="27"/>
      <x:c r="BE76" s="27"/>
      <x:c r="BF76" s="27"/>
      <x:c r="BG76" s="27"/>
      <x:c r="BH76" s="27"/>
      <x:c r="BI76" s="27"/>
      <x:c r="BJ76" s="27"/>
      <x:c r="BK76" s="27"/>
      <x:c r="BL76" s="27"/>
      <x:c r="BM76" s="27"/>
      <x:c r="BN76" s="27"/>
      <x:c r="BO76" s="27"/>
      <x:c r="BP76" s="27"/>
      <x:c r="BQ76" s="27"/>
      <x:c r="BR76" s="27"/>
      <x:c r="BS76" s="27"/>
      <x:c r="BT76" s="27"/>
      <x:c r="BU76" s="27"/>
      <x:c r="BV76" s="27"/>
      <x:c r="BW76" s="27"/>
      <x:c r="BX76" s="27"/>
      <x:c r="BY76" s="27"/>
      <x:c r="BZ76" s="27"/>
      <x:c r="CA76" s="27"/>
      <x:c r="CB76" s="27"/>
      <x:c r="CC76" s="27"/>
      <x:c r="CD76" s="27"/>
      <x:c r="CE76" s="27"/>
      <x:c r="CF76" s="27"/>
      <x:c r="CG76" s="27"/>
      <x:c r="CH76" s="27"/>
      <x:c r="CI76" s="27"/>
      <x:c r="CJ76" s="27"/>
      <x:c r="CK76" s="27"/>
      <x:c r="CL76" s="27"/>
      <x:c r="CM76" s="27"/>
      <x:c r="CN76" s="27"/>
      <x:c r="CO76" s="27"/>
      <x:c r="CP76" s="27"/>
      <x:c r="CQ76" s="27"/>
      <x:c r="CR76" s="27"/>
      <x:c r="CS76" s="27"/>
      <x:c r="CT76" s="27"/>
      <x:c r="CU76" s="27"/>
      <x:c r="CV76" s="27"/>
      <x:c r="CW76" s="27"/>
      <x:c r="CX76" s="27"/>
      <x:c r="CY76" s="27"/>
      <x:c r="CZ76" s="27"/>
      <x:c r="DA76" s="27"/>
      <x:c r="DB76" s="27"/>
      <x:c r="DC76" s="27"/>
      <x:c r="DD76" s="27"/>
      <x:c r="DE76" s="27"/>
      <x:c r="DF76" s="27"/>
      <x:c r="DG76" s="27"/>
      <x:c r="DH76" s="27"/>
      <x:c r="DI76" s="27"/>
      <x:c r="DJ76" s="27"/>
      <x:c r="DK76" s="27"/>
      <x:c r="DL76" s="27"/>
      <x:c r="DM76" s="27"/>
      <x:c r="DN76" s="27"/>
      <x:c r="DO76" s="27"/>
      <x:c r="DP76" s="27"/>
      <x:c r="DQ76" s="27"/>
      <x:c r="DR76" s="27"/>
      <x:c r="DS76" s="27"/>
      <x:c r="DT76" s="27"/>
      <x:c r="DU76" s="27"/>
      <x:c r="DV76" s="27"/>
      <x:c r="DW76" s="27"/>
      <x:c r="DX76" s="27"/>
      <x:c r="DY76" s="27"/>
      <x:c r="DZ76" s="27"/>
      <x:c r="EA76" s="27"/>
      <x:c r="EB76" s="27"/>
      <x:c r="EC76" s="27"/>
      <x:c r="ED76" s="27"/>
      <x:c r="EE76" s="27"/>
      <x:c r="EF76" s="27"/>
      <x:c r="EG76" s="27"/>
      <x:c r="EH76" s="27"/>
      <x:c r="EI76" s="27"/>
      <x:c r="EJ76" s="27"/>
      <x:c r="EK76" s="27"/>
      <x:c r="EL76" s="27"/>
      <x:c r="EM76" s="27"/>
      <x:c r="EN76" s="27"/>
      <x:c r="EO76" s="27"/>
      <x:c r="EP76" s="27"/>
      <x:c r="EQ76" s="27"/>
      <x:c r="ER76" s="27"/>
      <x:c r="ES76" s="27"/>
      <x:c r="ET76" s="27"/>
      <x:c r="EU76" s="27"/>
      <x:c r="EV76" s="27"/>
      <x:c r="EW76" s="27"/>
      <x:c r="EX76" s="27"/>
      <x:c r="EY76" s="27"/>
      <x:c r="EZ76" s="27"/>
      <x:c r="FA76" s="27"/>
      <x:c r="FB76" s="27"/>
      <x:c r="FC76" s="27"/>
      <x:c r="FD76" s="27"/>
      <x:c r="FE76" s="27"/>
      <x:c r="FF76" s="27"/>
      <x:c r="FG76" s="27"/>
      <x:c r="FH76" s="27"/>
      <x:c r="FI76" s="27"/>
      <x:c r="FJ76" s="27"/>
      <x:c r="FK76" s="27"/>
      <x:c r="FL76" s="27"/>
      <x:c r="FM76" s="27"/>
      <x:c r="FN76" s="27"/>
      <x:c r="FO76" s="27"/>
      <x:c r="FP76" s="27"/>
      <x:c r="FQ76" s="27"/>
      <x:c r="FR76" s="27"/>
      <x:c r="FS76" s="27"/>
      <x:c r="FT76" s="27"/>
      <x:c r="FU76" s="27"/>
      <x:c r="FV76" s="27"/>
      <x:c r="FW76" s="27"/>
      <x:c r="FX76" s="27"/>
      <x:c r="FY76" s="27"/>
      <x:c r="FZ76" s="27"/>
      <x:c r="GA76" s="27"/>
      <x:c r="GB76" s="27"/>
      <x:c r="GC76" s="27"/>
      <x:c r="GD76" s="27"/>
      <x:c r="GE76" s="27"/>
      <x:c r="GF76" s="27"/>
      <x:c r="GG76" s="27"/>
      <x:c r="GH76" s="27"/>
      <x:c r="GI76" s="27"/>
      <x:c r="GJ76" s="27"/>
      <x:c r="GK76" s="27"/>
      <x:c r="GL76" s="27"/>
      <x:c r="GM76" s="27"/>
      <x:c r="GN76" s="27"/>
      <x:c r="GO76" s="27"/>
      <x:c r="GP76" s="27"/>
      <x:c r="GQ76" s="27"/>
      <x:c r="GR76" s="27"/>
      <x:c r="GS76" s="27"/>
      <x:c r="GT76" s="27"/>
      <x:c r="GU76" s="27"/>
      <x:c r="GV76" s="27"/>
      <x:c r="GW76" s="27"/>
      <x:c r="GX76" s="27"/>
      <x:c r="GY76" s="27"/>
      <x:c r="GZ76" s="27"/>
      <x:c r="HA76" s="27"/>
      <x:c r="HB76" s="27"/>
      <x:c r="HC76" s="27"/>
      <x:c r="HD76" s="27"/>
      <x:c r="HE76" s="27"/>
      <x:c r="HF76" s="27"/>
      <x:c r="HG76" s="27"/>
      <x:c r="HH76" s="27"/>
      <x:c r="HI76" s="27"/>
      <x:c r="HJ76" s="27"/>
      <x:c r="HK76" s="27"/>
      <x:c r="HL76" s="27"/>
      <x:c r="HM76" s="27"/>
      <x:c r="HN76" s="27"/>
      <x:c r="HO76" s="27"/>
      <x:c r="HP76" s="27" t="str">
        <x:f>IF(C76="","",SUM(H76,N76,T76,Z76,AF76,AL76,AR76,AX76,BD76,BJ76,BP76,BV76,CB76,CH76,CN76,CT76,CZ76,DF76,DL76,DR76,DX76,ED76,EJ76,EP76,EV76,FB76,FH76,FN76,FT76,FZ76,GF76,GL76,GR76,GX76,HD76,HJ76))</x:f>
      </x:c>
      <x:c r="HQ76" s="27" t="str">
        <x:f>IF(C76="","",SUM(I76,O76,U76,AA76,AG76,AM76,AS76,AY76,BE76,BK76,BQ76,BW76,CC76,CI76,CO76,CU76,DA76,DG76,DM76,DS76,DY76,EE76,EK76,EQ76,EW76,FC76,FI76,FO76,FU76,GA76,GG76,GM76,GS76,GY76,HE76,HK76))</x:f>
      </x:c>
      <x:c r="HR76" s="27" t="str">
        <x:f>IF(C76="","",SUM(J76,P76,V76,AB76,AH76,AN76,AT76,AZ76,BF76,BL76,BR76,BX76,CD76,CJ76,CP76,CV76,DB76,DH76,DN76,DT76,DZ76,EF76,EL76,ER76,EX76,FD76,FJ76,FP76,FV76,GB76,GH76,GN76,GT76,GZ76,HF76,HL76))</x:f>
      </x:c>
      <x:c r="HS76" s="27" t="str">
        <x:f>IF(C76="","",SUM(K76,Q76,W76,AC76,AI76,AO76,AU76,BA76,BG76,BM76,BS76,BY76,CE76,CK76,CQ76,CW76,DC76,DI76,DO76,DU76,EA76,EG76,EM76,ES76,EY76,FE76,FK76,FQ76,FW76,GC76,GI76,GO76,GU76,HA76,HG76,HM76))</x:f>
      </x:c>
      <x:c r="HT76" s="27" t="str">
        <x:f>IF(C76="","",SUM(L76,R76,X76,AD76,AJ76,AP76,AV76,BB76,BH76,BN76,BT76,BZ76,CF76,CL76,CR76,CX76,DD76,DJ76,DP76,DV76,EB76,EH76,EN76,ET76,EZ76,FF76,FL76,FR76,FX76,GD76,GJ76,GP76,GV76,HB76,HH76,HN76))</x:f>
      </x:c>
      <x:c r="HU76" s="27" t="str">
        <x:f>IF(C76="","",SUM(M76,S76,Y76,AE76,AK76,AQ76,AW76,BC76,BI76,BO76,BU76,CA76,CG76,CM76,CS76,CY76,DE76,DK76,DQ76,DW76,EC76,EI76,EO76,EU76,FA76,FG76,FM76,FS76,FY76,GE76,GK76,GQ76,GW76,HC76,HI76,HO76))</x:f>
      </x:c>
      <x:c r="HV76" s="27" t="str">
        <x:f>IF(C76="","",IF(JI76=LARGE(JI76:JN76,1),"R",IF(JJ76=LARGE(JI76:JN76,1),"I",IF(JK76=LARGE(JI76:JN76,1),"A",IF(JL76=LARGE(JI76:JN76,1),"S",IF(JM76=LARGE(JI76:JN76,1),"E",IF(JN76=LARGE(JI76:JN76,1),"C",""))))))&amp;IF(JI76=LARGE(JI76:JN76,2),"R",IF(JJ76=LARGE(JI76:JN76,2),"I",IF(JK76=LARGE(JI76:JN76,2),"A",IF(JL76=LARGE(JI76:JN76,2),"S",IF(JM76=LARGE(JI76:JN76,2),"E",IF(JN76=LARGE(JI76:JN76,2),"C",""))))))&amp;IF(JI76=LARGE(JI76:JN76,3),"R",IF(JJ76=LARGE(JI76:JN76,3),"I",IF(JK76=LARGE(JI76:JN76,3),"A",IF(JL76=LARGE(JI76:JN76,3),"S",IF(JM76=LARGE(JI76:JN76,3),"E",IF(JN76=LARGE(JI76:JN76,3),"C","")))))))</x:f>
      </x:c>
      <x:c r="HW76" s="27" t="str">
        <x:f>IF(C76="","",IF(JI76=LARGE(JI76:JN76,1),"นักปฏิบัติ",IF(JJ76=LARGE(JI76:JN76,1),"นักคิดวิเคราะห์",IF(JK76=LARGE(JI76:JN76,1),"นักสร้างสรรค์",IF(JL76=LARGE(JI76:JN76,1),"ผู้เข้าใจผู้คน",IF(JM76=LARGE(JI76:JN76,1),"ผู้นำการเปลี่ยนแปลง",IF(JN76=LARGE(JI76:JN76,1),"ผู้จัดระบบ","ผู้จัดระบบ")))))))</x:f>
      </x:c>
      <x:c r="HX76" s="27"/>
      <x:c r="HY76" s="27"/>
      <x:c r="HZ76" s="27"/>
      <x:c r="IA76" s="27"/>
      <x:c r="IB76" s="27"/>
      <x:c r="IC76" s="27"/>
      <x:c r="ID76" s="27"/>
      <x:c r="IE76" s="27"/>
      <x:c r="IF76" s="27"/>
      <x:c r="IG76" s="27"/>
      <x:c r="IH76" s="27"/>
      <x:c r="II76" s="27"/>
      <x:c r="IJ76" s="27"/>
      <x:c r="IK76" s="27" t="str">
        <x:f>IF(C76="","",SUM(H76,N76,T76,Z76,AF76,AL76,AR76,AX76,BD76,BJ76,BP76))</x:f>
      </x:c>
      <x:c r="IL76" s="27" t="str">
        <x:f>IF(C76="","",SUM(I76,O76,U76,AA76,AG76,AM76,AS76,AY76,BE76,BK76,BQ76))</x:f>
      </x:c>
      <x:c r="IM76" s="27" t="str">
        <x:f>IF(C76="","",SUM(J76,P76,V76,AB76,AH76,AN76,AT76,AZ76,BF76,BL76,BR76))</x:f>
      </x:c>
      <x:c r="IN76" s="27" t="str">
        <x:f>IF(C76="","",SUM(K76,Q76,W76,AC76,AI76,AO76,AU76,BA76,BG76,BM76,BS76))</x:f>
      </x:c>
      <x:c r="IO76" s="27" t="str">
        <x:f>IF(C76="","",SUM(L76,R76,X76,AD76,AJ76,AP76,AV76,BB76,BH76,BN76,BT76))</x:f>
      </x:c>
      <x:c r="IP76" s="27" t="str">
        <x:f>IF(C76="","",SUM(M76,S76,Y76,AE76,AK76,AQ76,AW76,BC76,BI76,BO76,BU76))</x:f>
      </x:c>
      <x:c r="IQ76" s="27" t="str">
        <x:f>IF(C76="","",SUM(BV76,CB76,CH76,CN76,CT76,CZ76,DF76,DL76,DR76,DX76,ED76))</x:f>
      </x:c>
      <x:c r="IR76" s="27" t="str">
        <x:f>IF(C76="","",SUM(BW76,CC76,CI76,CO76,CU76,DA76,DG76,DM76,DS76,DY76,EE76))</x:f>
      </x:c>
      <x:c r="IS76" s="27" t="str">
        <x:f>IF(C76="","",SUM(BX76,CD76,CJ76,CP76,CV76,DB76,DH76,DN76,DT76,DZ76,EF76))</x:f>
      </x:c>
      <x:c r="IT76" s="27" t="str">
        <x:f>IF(C76="","",SUM(BY76,CE76,CK76,CQ76,CW76,DC76,DI76,DO76,DU76,EA76,EG76))</x:f>
      </x:c>
      <x:c r="IU76" s="27" t="str">
        <x:f>IF(C76="","",SUM(BZ76,CF76,CL76,CR76,CX76,DD76,DJ76,DP76,DV76,EB76,EH76))</x:f>
      </x:c>
      <x:c r="IV76" s="27" t="str">
        <x:f>IF(C76="","",SUM(CA76,CG76,CM76,CS76,CY76,DE76,DK76,DQ76,DW76,EC76,EI76))</x:f>
      </x:c>
      <x:c r="IW76" s="27" t="str">
        <x:f>IF(C76="","",SUM(EJ76,EP76,EV76,FB76,FH76,FN76,FT76,FZ76,GF76,GL76,GR76,GX76,HD76,HJ76))</x:f>
      </x:c>
      <x:c r="IX76" s="27" t="str">
        <x:f>IF(C76="","",SUM(EK76,EQ76,EW76,FC76,FI76,FO76,FU76,GA76,GG76,GM76,GS76,GY76,HE76,HK76))</x:f>
      </x:c>
      <x:c r="IY76" s="27" t="str">
        <x:f>IF(C76="","",SUM(EL76,ER76,EX76,FD76,FJ76,FP76,FV76,GB76,GH76,GN76,GT76,GZ76,HF76,HL76))</x:f>
      </x:c>
      <x:c r="IZ76" s="27" t="str">
        <x:f>IF(C76="","",SUM(EM76,ES76,EY76,FE76,FK76,FQ76,FW76,GC76,GI76,GO76,GU76,HA76,HG76,HM76))</x:f>
      </x:c>
      <x:c r="JA76" s="27" t="str">
        <x:f>IF(C76="","",SUM(EN76,ET76,EZ76,FF76,FL76,FR76,FX76,GD76,GJ76,GP76,GV76,HB76,HH76,HN76))</x:f>
      </x:c>
      <x:c r="JB76" s="27" t="str">
        <x:f>IF(C76="","",SUM(EO76,EU76,FA76,FG76,FM76,FS76,FY76,GE76,GK76,GQ76,GW76,HC76,HI76,HO76))</x:f>
      </x:c>
      <x:c r="JC76" s="27" t="str">
        <x:f>IF(C76="","",0)</x:f>
      </x:c>
      <x:c r="JD76" s="27" t="str">
        <x:f>IF(C76="","",0)</x:f>
      </x:c>
      <x:c r="JE76" s="27" t="str">
        <x:f>IF(C76="","",0)</x:f>
      </x:c>
      <x:c r="JF76" s="27" t="str">
        <x:f>IF(C76="","",0)</x:f>
      </x:c>
      <x:c r="JG76" s="27" t="str">
        <x:f>IF(C76="","",0)</x:f>
      </x:c>
      <x:c r="JH76" s="27" t="str">
        <x:f>IF(C76="","",0)</x:f>
      </x:c>
      <x:c r="JI76" s="27" t="str">
        <x:f>IF(C76="","",HP76*1000000000+IW76*1000000+IQ76*10000+IK76*100+JC76+6/1000)</x:f>
      </x:c>
      <x:c r="JJ76" s="27" t="str">
        <x:f>IF(C76="","",HQ76*1000000000+IX76*1000000+IR76*10000+IL76*100+JD76+5/1000)</x:f>
      </x:c>
      <x:c r="JK76" s="27" t="str">
        <x:f>IF(C76="","",HR76*1000000000+IY76*1000000+IS76*10000+IM76*100+JE76+4/1000)</x:f>
      </x:c>
      <x:c r="JL76" s="27" t="str">
        <x:f>IF(C76="","",HS76*1000000000+IZ76*1000000+IT76*10000+IN76*100+JF76+3/1000)</x:f>
      </x:c>
      <x:c r="JM76" s="27" t="str">
        <x:f>IF(C76="","",HT76*1000000000+JA76*1000000+IU76*10000+IO76*100+JG76+2/1000)</x:f>
      </x:c>
      <x:c r="JN76" s="27" t="str">
        <x:f>IF(C76="","",HU76*1000000000+JB76*1000000+IV76*10000+IP76*100+JH76+1/1000)</x:f>
      </x:c>
    </x:row>
    <x:row r="77">
      <x:c r="A77" s="27"/>
      <x:c r="B77" s="28"/>
      <x:c r="C77" s="27"/>
      <x:c r="D77" s="27"/>
      <x:c r="E77" s="27"/>
      <x:c r="F77" s="27"/>
      <x:c r="G77" s="27"/>
      <x:c r="H77" s="27"/>
      <x:c r="I77" s="27"/>
      <x:c r="J77" s="27"/>
      <x:c r="K77" s="27"/>
      <x:c r="L77" s="27"/>
      <x:c r="M77" s="27"/>
      <x:c r="N77" s="27"/>
      <x:c r="O77" s="27"/>
      <x:c r="P77" s="27"/>
      <x:c r="Q77" s="27"/>
      <x:c r="R77" s="27"/>
      <x:c r="S77" s="27"/>
      <x:c r="T77" s="27"/>
      <x:c r="U77" s="27"/>
      <x:c r="V77" s="27"/>
      <x:c r="W77" s="27"/>
      <x:c r="X77" s="27"/>
      <x:c r="Y77" s="27"/>
      <x:c r="Z77" s="27"/>
      <x:c r="AA77" s="27"/>
      <x:c r="AB77" s="27"/>
      <x:c r="AC77" s="27"/>
      <x:c r="AD77" s="27"/>
      <x:c r="AE77" s="27"/>
      <x:c r="AF77" s="27"/>
      <x:c r="AG77" s="27"/>
      <x:c r="AH77" s="27"/>
      <x:c r="AI77" s="27"/>
      <x:c r="AJ77" s="27"/>
      <x:c r="AK77" s="27"/>
      <x:c r="AL77" s="27"/>
      <x:c r="AM77" s="27"/>
      <x:c r="AN77" s="27"/>
      <x:c r="AO77" s="27"/>
      <x:c r="AP77" s="27"/>
      <x:c r="AQ77" s="27"/>
      <x:c r="AR77" s="27"/>
      <x:c r="AS77" s="27"/>
      <x:c r="AT77" s="27"/>
      <x:c r="AU77" s="27"/>
      <x:c r="AV77" s="27"/>
      <x:c r="AW77" s="27"/>
      <x:c r="AX77" s="27"/>
      <x:c r="AY77" s="27"/>
      <x:c r="AZ77" s="27"/>
      <x:c r="BA77" s="27"/>
      <x:c r="BB77" s="27"/>
      <x:c r="BC77" s="27"/>
      <x:c r="BD77" s="27"/>
      <x:c r="BE77" s="27"/>
      <x:c r="BF77" s="27"/>
      <x:c r="BG77" s="27"/>
      <x:c r="BH77" s="27"/>
      <x:c r="BI77" s="27"/>
      <x:c r="BJ77" s="27"/>
      <x:c r="BK77" s="27"/>
      <x:c r="BL77" s="27"/>
      <x:c r="BM77" s="27"/>
      <x:c r="BN77" s="27"/>
      <x:c r="BO77" s="27"/>
      <x:c r="BP77" s="27"/>
      <x:c r="BQ77" s="27"/>
      <x:c r="BR77" s="27"/>
      <x:c r="BS77" s="27"/>
      <x:c r="BT77" s="27"/>
      <x:c r="BU77" s="27"/>
      <x:c r="BV77" s="27"/>
      <x:c r="BW77" s="27"/>
      <x:c r="BX77" s="27"/>
      <x:c r="BY77" s="27"/>
      <x:c r="BZ77" s="27"/>
      <x:c r="CA77" s="27"/>
      <x:c r="CB77" s="27"/>
      <x:c r="CC77" s="27"/>
      <x:c r="CD77" s="27"/>
      <x:c r="CE77" s="27"/>
      <x:c r="CF77" s="27"/>
      <x:c r="CG77" s="27"/>
      <x:c r="CH77" s="27"/>
      <x:c r="CI77" s="27"/>
      <x:c r="CJ77" s="27"/>
      <x:c r="CK77" s="27"/>
      <x:c r="CL77" s="27"/>
      <x:c r="CM77" s="27"/>
      <x:c r="CN77" s="27"/>
      <x:c r="CO77" s="27"/>
      <x:c r="CP77" s="27"/>
      <x:c r="CQ77" s="27"/>
      <x:c r="CR77" s="27"/>
      <x:c r="CS77" s="27"/>
      <x:c r="CT77" s="27"/>
      <x:c r="CU77" s="27"/>
      <x:c r="CV77" s="27"/>
      <x:c r="CW77" s="27"/>
      <x:c r="CX77" s="27"/>
      <x:c r="CY77" s="27"/>
      <x:c r="CZ77" s="27"/>
      <x:c r="DA77" s="27"/>
      <x:c r="DB77" s="27"/>
      <x:c r="DC77" s="27"/>
      <x:c r="DD77" s="27"/>
      <x:c r="DE77" s="27"/>
      <x:c r="DF77" s="27"/>
      <x:c r="DG77" s="27"/>
      <x:c r="DH77" s="27"/>
      <x:c r="DI77" s="27"/>
      <x:c r="DJ77" s="27"/>
      <x:c r="DK77" s="27"/>
      <x:c r="DL77" s="27"/>
      <x:c r="DM77" s="27"/>
      <x:c r="DN77" s="27"/>
      <x:c r="DO77" s="27"/>
      <x:c r="DP77" s="27"/>
      <x:c r="DQ77" s="27"/>
      <x:c r="DR77" s="27"/>
      <x:c r="DS77" s="27"/>
      <x:c r="DT77" s="27"/>
      <x:c r="DU77" s="27"/>
      <x:c r="DV77" s="27"/>
      <x:c r="DW77" s="27"/>
      <x:c r="DX77" s="27"/>
      <x:c r="DY77" s="27"/>
      <x:c r="DZ77" s="27"/>
      <x:c r="EA77" s="27"/>
      <x:c r="EB77" s="27"/>
      <x:c r="EC77" s="27"/>
      <x:c r="ED77" s="27"/>
      <x:c r="EE77" s="27"/>
      <x:c r="EF77" s="27"/>
      <x:c r="EG77" s="27"/>
      <x:c r="EH77" s="27"/>
      <x:c r="EI77" s="27"/>
      <x:c r="EJ77" s="27"/>
      <x:c r="EK77" s="27"/>
      <x:c r="EL77" s="27"/>
      <x:c r="EM77" s="27"/>
      <x:c r="EN77" s="27"/>
      <x:c r="EO77" s="27"/>
      <x:c r="EP77" s="27"/>
      <x:c r="EQ77" s="27"/>
      <x:c r="ER77" s="27"/>
      <x:c r="ES77" s="27"/>
      <x:c r="ET77" s="27"/>
      <x:c r="EU77" s="27"/>
      <x:c r="EV77" s="27"/>
      <x:c r="EW77" s="27"/>
      <x:c r="EX77" s="27"/>
      <x:c r="EY77" s="27"/>
      <x:c r="EZ77" s="27"/>
      <x:c r="FA77" s="27"/>
      <x:c r="FB77" s="27"/>
      <x:c r="FC77" s="27"/>
      <x:c r="FD77" s="27"/>
      <x:c r="FE77" s="27"/>
      <x:c r="FF77" s="27"/>
      <x:c r="FG77" s="27"/>
      <x:c r="FH77" s="27"/>
      <x:c r="FI77" s="27"/>
      <x:c r="FJ77" s="27"/>
      <x:c r="FK77" s="27"/>
      <x:c r="FL77" s="27"/>
      <x:c r="FM77" s="27"/>
      <x:c r="FN77" s="27"/>
      <x:c r="FO77" s="27"/>
      <x:c r="FP77" s="27"/>
      <x:c r="FQ77" s="27"/>
      <x:c r="FR77" s="27"/>
      <x:c r="FS77" s="27"/>
      <x:c r="FT77" s="27"/>
      <x:c r="FU77" s="27"/>
      <x:c r="FV77" s="27"/>
      <x:c r="FW77" s="27"/>
      <x:c r="FX77" s="27"/>
      <x:c r="FY77" s="27"/>
      <x:c r="FZ77" s="27"/>
      <x:c r="GA77" s="27"/>
      <x:c r="GB77" s="27"/>
      <x:c r="GC77" s="27"/>
      <x:c r="GD77" s="27"/>
      <x:c r="GE77" s="27"/>
      <x:c r="GF77" s="27"/>
      <x:c r="GG77" s="27"/>
      <x:c r="GH77" s="27"/>
      <x:c r="GI77" s="27"/>
      <x:c r="GJ77" s="27"/>
      <x:c r="GK77" s="27"/>
      <x:c r="GL77" s="27"/>
      <x:c r="GM77" s="27"/>
      <x:c r="GN77" s="27"/>
      <x:c r="GO77" s="27"/>
      <x:c r="GP77" s="27"/>
      <x:c r="GQ77" s="27"/>
      <x:c r="GR77" s="27"/>
      <x:c r="GS77" s="27"/>
      <x:c r="GT77" s="27"/>
      <x:c r="GU77" s="27"/>
      <x:c r="GV77" s="27"/>
      <x:c r="GW77" s="27"/>
      <x:c r="GX77" s="27"/>
      <x:c r="GY77" s="27"/>
      <x:c r="GZ77" s="27"/>
      <x:c r="HA77" s="27"/>
      <x:c r="HB77" s="27"/>
      <x:c r="HC77" s="27"/>
      <x:c r="HD77" s="27"/>
      <x:c r="HE77" s="27"/>
      <x:c r="HF77" s="27"/>
      <x:c r="HG77" s="27"/>
      <x:c r="HH77" s="27"/>
      <x:c r="HI77" s="27"/>
      <x:c r="HJ77" s="27"/>
      <x:c r="HK77" s="27"/>
      <x:c r="HL77" s="27"/>
      <x:c r="HM77" s="27"/>
      <x:c r="HN77" s="27"/>
      <x:c r="HO77" s="27"/>
      <x:c r="HP77" s="27" t="str">
        <x:f>IF(C77="","",SUM(H77,N77,T77,Z77,AF77,AL77,AR77,AX77,BD77,BJ77,BP77,BV77,CB77,CH77,CN77,CT77,CZ77,DF77,DL77,DR77,DX77,ED77,EJ77,EP77,EV77,FB77,FH77,FN77,FT77,FZ77,GF77,GL77,GR77,GX77,HD77,HJ77))</x:f>
      </x:c>
      <x:c r="HQ77" s="27" t="str">
        <x:f>IF(C77="","",SUM(I77,O77,U77,AA77,AG77,AM77,AS77,AY77,BE77,BK77,BQ77,BW77,CC77,CI77,CO77,CU77,DA77,DG77,DM77,DS77,DY77,EE77,EK77,EQ77,EW77,FC77,FI77,FO77,FU77,GA77,GG77,GM77,GS77,GY77,HE77,HK77))</x:f>
      </x:c>
      <x:c r="HR77" s="27" t="str">
        <x:f>IF(C77="","",SUM(J77,P77,V77,AB77,AH77,AN77,AT77,AZ77,BF77,BL77,BR77,BX77,CD77,CJ77,CP77,CV77,DB77,DH77,DN77,DT77,DZ77,EF77,EL77,ER77,EX77,FD77,FJ77,FP77,FV77,GB77,GH77,GN77,GT77,GZ77,HF77,HL77))</x:f>
      </x:c>
      <x:c r="HS77" s="27" t="str">
        <x:f>IF(C77="","",SUM(K77,Q77,W77,AC77,AI77,AO77,AU77,BA77,BG77,BM77,BS77,BY77,CE77,CK77,CQ77,CW77,DC77,DI77,DO77,DU77,EA77,EG77,EM77,ES77,EY77,FE77,FK77,FQ77,FW77,GC77,GI77,GO77,GU77,HA77,HG77,HM77))</x:f>
      </x:c>
      <x:c r="HT77" s="27" t="str">
        <x:f>IF(C77="","",SUM(L77,R77,X77,AD77,AJ77,AP77,AV77,BB77,BH77,BN77,BT77,BZ77,CF77,CL77,CR77,CX77,DD77,DJ77,DP77,DV77,EB77,EH77,EN77,ET77,EZ77,FF77,FL77,FR77,FX77,GD77,GJ77,GP77,GV77,HB77,HH77,HN77))</x:f>
      </x:c>
      <x:c r="HU77" s="27" t="str">
        <x:f>IF(C77="","",SUM(M77,S77,Y77,AE77,AK77,AQ77,AW77,BC77,BI77,BO77,BU77,CA77,CG77,CM77,CS77,CY77,DE77,DK77,DQ77,DW77,EC77,EI77,EO77,EU77,FA77,FG77,FM77,FS77,FY77,GE77,GK77,GQ77,GW77,HC77,HI77,HO77))</x:f>
      </x:c>
      <x:c r="HV77" s="27" t="str">
        <x:f>IF(C77="","",IF(JI77=LARGE(JI77:JN77,1),"R",IF(JJ77=LARGE(JI77:JN77,1),"I",IF(JK77=LARGE(JI77:JN77,1),"A",IF(JL77=LARGE(JI77:JN77,1),"S",IF(JM77=LARGE(JI77:JN77,1),"E",IF(JN77=LARGE(JI77:JN77,1),"C",""))))))&amp;IF(JI77=LARGE(JI77:JN77,2),"R",IF(JJ77=LARGE(JI77:JN77,2),"I",IF(JK77=LARGE(JI77:JN77,2),"A",IF(JL77=LARGE(JI77:JN77,2),"S",IF(JM77=LARGE(JI77:JN77,2),"E",IF(JN77=LARGE(JI77:JN77,2),"C",""))))))&amp;IF(JI77=LARGE(JI77:JN77,3),"R",IF(JJ77=LARGE(JI77:JN77,3),"I",IF(JK77=LARGE(JI77:JN77,3),"A",IF(JL77=LARGE(JI77:JN77,3),"S",IF(JM77=LARGE(JI77:JN77,3),"E",IF(JN77=LARGE(JI77:JN77,3),"C","")))))))</x:f>
      </x:c>
      <x:c r="HW77" s="27" t="str">
        <x:f>IF(C77="","",IF(JI77=LARGE(JI77:JN77,1),"นักปฏิบัติ",IF(JJ77=LARGE(JI77:JN77,1),"นักคิดวิเคราะห์",IF(JK77=LARGE(JI77:JN77,1),"นักสร้างสรรค์",IF(JL77=LARGE(JI77:JN77,1),"ผู้เข้าใจผู้คน",IF(JM77=LARGE(JI77:JN77,1),"ผู้นำการเปลี่ยนแปลง",IF(JN77=LARGE(JI77:JN77,1),"ผู้จัดระบบ","ผู้จัดระบบ")))))))</x:f>
      </x:c>
      <x:c r="HX77" s="27"/>
      <x:c r="HY77" s="27"/>
      <x:c r="HZ77" s="27"/>
      <x:c r="IA77" s="27"/>
      <x:c r="IB77" s="27"/>
      <x:c r="IC77" s="27"/>
      <x:c r="ID77" s="27"/>
      <x:c r="IE77" s="27"/>
      <x:c r="IF77" s="27"/>
      <x:c r="IG77" s="27"/>
      <x:c r="IH77" s="27"/>
      <x:c r="II77" s="27"/>
      <x:c r="IJ77" s="27"/>
      <x:c r="IK77" s="27" t="str">
        <x:f>IF(C77="","",SUM(H77,N77,T77,Z77,AF77,AL77,AR77,AX77,BD77,BJ77,BP77))</x:f>
      </x:c>
      <x:c r="IL77" s="27" t="str">
        <x:f>IF(C77="","",SUM(I77,O77,U77,AA77,AG77,AM77,AS77,AY77,BE77,BK77,BQ77))</x:f>
      </x:c>
      <x:c r="IM77" s="27" t="str">
        <x:f>IF(C77="","",SUM(J77,P77,V77,AB77,AH77,AN77,AT77,AZ77,BF77,BL77,BR77))</x:f>
      </x:c>
      <x:c r="IN77" s="27" t="str">
        <x:f>IF(C77="","",SUM(K77,Q77,W77,AC77,AI77,AO77,AU77,BA77,BG77,BM77,BS77))</x:f>
      </x:c>
      <x:c r="IO77" s="27" t="str">
        <x:f>IF(C77="","",SUM(L77,R77,X77,AD77,AJ77,AP77,AV77,BB77,BH77,BN77,BT77))</x:f>
      </x:c>
      <x:c r="IP77" s="27" t="str">
        <x:f>IF(C77="","",SUM(M77,S77,Y77,AE77,AK77,AQ77,AW77,BC77,BI77,BO77,BU77))</x:f>
      </x:c>
      <x:c r="IQ77" s="27" t="str">
        <x:f>IF(C77="","",SUM(BV77,CB77,CH77,CN77,CT77,CZ77,DF77,DL77,DR77,DX77,ED77))</x:f>
      </x:c>
      <x:c r="IR77" s="27" t="str">
        <x:f>IF(C77="","",SUM(BW77,CC77,CI77,CO77,CU77,DA77,DG77,DM77,DS77,DY77,EE77))</x:f>
      </x:c>
      <x:c r="IS77" s="27" t="str">
        <x:f>IF(C77="","",SUM(BX77,CD77,CJ77,CP77,CV77,DB77,DH77,DN77,DT77,DZ77,EF77))</x:f>
      </x:c>
      <x:c r="IT77" s="27" t="str">
        <x:f>IF(C77="","",SUM(BY77,CE77,CK77,CQ77,CW77,DC77,DI77,DO77,DU77,EA77,EG77))</x:f>
      </x:c>
      <x:c r="IU77" s="27" t="str">
        <x:f>IF(C77="","",SUM(BZ77,CF77,CL77,CR77,CX77,DD77,DJ77,DP77,DV77,EB77,EH77))</x:f>
      </x:c>
      <x:c r="IV77" s="27" t="str">
        <x:f>IF(C77="","",SUM(CA77,CG77,CM77,CS77,CY77,DE77,DK77,DQ77,DW77,EC77,EI77))</x:f>
      </x:c>
      <x:c r="IW77" s="27" t="str">
        <x:f>IF(C77="","",SUM(EJ77,EP77,EV77,FB77,FH77,FN77,FT77,FZ77,GF77,GL77,GR77,GX77,HD77,HJ77))</x:f>
      </x:c>
      <x:c r="IX77" s="27" t="str">
        <x:f>IF(C77="","",SUM(EK77,EQ77,EW77,FC77,FI77,FO77,FU77,GA77,GG77,GM77,GS77,GY77,HE77,HK77))</x:f>
      </x:c>
      <x:c r="IY77" s="27" t="str">
        <x:f>IF(C77="","",SUM(EL77,ER77,EX77,FD77,FJ77,FP77,FV77,GB77,GH77,GN77,GT77,GZ77,HF77,HL77))</x:f>
      </x:c>
      <x:c r="IZ77" s="27" t="str">
        <x:f>IF(C77="","",SUM(EM77,ES77,EY77,FE77,FK77,FQ77,FW77,GC77,GI77,GO77,GU77,HA77,HG77,HM77))</x:f>
      </x:c>
      <x:c r="JA77" s="27" t="str">
        <x:f>IF(C77="","",SUM(EN77,ET77,EZ77,FF77,FL77,FR77,FX77,GD77,GJ77,GP77,GV77,HB77,HH77,HN77))</x:f>
      </x:c>
      <x:c r="JB77" s="27" t="str">
        <x:f>IF(C77="","",SUM(EO77,EU77,FA77,FG77,FM77,FS77,FY77,GE77,GK77,GQ77,GW77,HC77,HI77,HO77))</x:f>
      </x:c>
      <x:c r="JC77" s="27" t="str">
        <x:f>IF(C77="","",0)</x:f>
      </x:c>
      <x:c r="JD77" s="27" t="str">
        <x:f>IF(C77="","",0)</x:f>
      </x:c>
      <x:c r="JE77" s="27" t="str">
        <x:f>IF(C77="","",0)</x:f>
      </x:c>
      <x:c r="JF77" s="27" t="str">
        <x:f>IF(C77="","",0)</x:f>
      </x:c>
      <x:c r="JG77" s="27" t="str">
        <x:f>IF(C77="","",0)</x:f>
      </x:c>
      <x:c r="JH77" s="27" t="str">
        <x:f>IF(C77="","",0)</x:f>
      </x:c>
      <x:c r="JI77" s="27" t="str">
        <x:f>IF(C77="","",HP77*1000000000+IW77*1000000+IQ77*10000+IK77*100+JC77+6/1000)</x:f>
      </x:c>
      <x:c r="JJ77" s="27" t="str">
        <x:f>IF(C77="","",HQ77*1000000000+IX77*1000000+IR77*10000+IL77*100+JD77+5/1000)</x:f>
      </x:c>
      <x:c r="JK77" s="27" t="str">
        <x:f>IF(C77="","",HR77*1000000000+IY77*1000000+IS77*10000+IM77*100+JE77+4/1000)</x:f>
      </x:c>
      <x:c r="JL77" s="27" t="str">
        <x:f>IF(C77="","",HS77*1000000000+IZ77*1000000+IT77*10000+IN77*100+JF77+3/1000)</x:f>
      </x:c>
      <x:c r="JM77" s="27" t="str">
        <x:f>IF(C77="","",HT77*1000000000+JA77*1000000+IU77*10000+IO77*100+JG77+2/1000)</x:f>
      </x:c>
      <x:c r="JN77" s="27" t="str">
        <x:f>IF(C77="","",HU77*1000000000+JB77*1000000+IV77*10000+IP77*100+JH77+1/1000)</x:f>
      </x:c>
    </x:row>
    <x:row r="78">
      <x:c r="A78" s="27"/>
      <x:c r="B78" s="28"/>
      <x:c r="C78" s="27"/>
      <x:c r="D78" s="27"/>
      <x:c r="E78" s="27"/>
      <x:c r="F78" s="27"/>
      <x:c r="G78" s="27"/>
      <x:c r="H78" s="27"/>
      <x:c r="I78" s="27"/>
      <x:c r="J78" s="27"/>
      <x:c r="K78" s="27"/>
      <x:c r="L78" s="27"/>
      <x:c r="M78" s="27"/>
      <x:c r="N78" s="27"/>
      <x:c r="O78" s="27"/>
      <x:c r="P78" s="27"/>
      <x:c r="Q78" s="27"/>
      <x:c r="R78" s="27"/>
      <x:c r="S78" s="27"/>
      <x:c r="T78" s="27"/>
      <x:c r="U78" s="27"/>
      <x:c r="V78" s="27"/>
      <x:c r="W78" s="27"/>
      <x:c r="X78" s="27"/>
      <x:c r="Y78" s="27"/>
      <x:c r="Z78" s="27"/>
      <x:c r="AA78" s="27"/>
      <x:c r="AB78" s="27"/>
      <x:c r="AC78" s="27"/>
      <x:c r="AD78" s="27"/>
      <x:c r="AE78" s="27"/>
      <x:c r="AF78" s="27"/>
      <x:c r="AG78" s="27"/>
      <x:c r="AH78" s="27"/>
      <x:c r="AI78" s="27"/>
      <x:c r="AJ78" s="27"/>
      <x:c r="AK78" s="27"/>
      <x:c r="AL78" s="27"/>
      <x:c r="AM78" s="27"/>
      <x:c r="AN78" s="27"/>
      <x:c r="AO78" s="27"/>
      <x:c r="AP78" s="27"/>
      <x:c r="AQ78" s="27"/>
      <x:c r="AR78" s="27"/>
      <x:c r="AS78" s="27"/>
      <x:c r="AT78" s="27"/>
      <x:c r="AU78" s="27"/>
      <x:c r="AV78" s="27"/>
      <x:c r="AW78" s="27"/>
      <x:c r="AX78" s="27"/>
      <x:c r="AY78" s="27"/>
      <x:c r="AZ78" s="27"/>
      <x:c r="BA78" s="27"/>
      <x:c r="BB78" s="27"/>
      <x:c r="BC78" s="27"/>
      <x:c r="BD78" s="27"/>
      <x:c r="BE78" s="27"/>
      <x:c r="BF78" s="27"/>
      <x:c r="BG78" s="27"/>
      <x:c r="BH78" s="27"/>
      <x:c r="BI78" s="27"/>
      <x:c r="BJ78" s="27"/>
      <x:c r="BK78" s="27"/>
      <x:c r="BL78" s="27"/>
      <x:c r="BM78" s="27"/>
      <x:c r="BN78" s="27"/>
      <x:c r="BO78" s="27"/>
      <x:c r="BP78" s="27"/>
      <x:c r="BQ78" s="27"/>
      <x:c r="BR78" s="27"/>
      <x:c r="BS78" s="27"/>
      <x:c r="BT78" s="27"/>
      <x:c r="BU78" s="27"/>
      <x:c r="BV78" s="27"/>
      <x:c r="BW78" s="27"/>
      <x:c r="BX78" s="27"/>
      <x:c r="BY78" s="27"/>
      <x:c r="BZ78" s="27"/>
      <x:c r="CA78" s="27"/>
      <x:c r="CB78" s="27"/>
      <x:c r="CC78" s="27"/>
      <x:c r="CD78" s="27"/>
      <x:c r="CE78" s="27"/>
      <x:c r="CF78" s="27"/>
      <x:c r="CG78" s="27"/>
      <x:c r="CH78" s="27"/>
      <x:c r="CI78" s="27"/>
      <x:c r="CJ78" s="27"/>
      <x:c r="CK78" s="27"/>
      <x:c r="CL78" s="27"/>
      <x:c r="CM78" s="27"/>
      <x:c r="CN78" s="27"/>
      <x:c r="CO78" s="27"/>
      <x:c r="CP78" s="27"/>
      <x:c r="CQ78" s="27"/>
      <x:c r="CR78" s="27"/>
      <x:c r="CS78" s="27"/>
      <x:c r="CT78" s="27"/>
      <x:c r="CU78" s="27"/>
      <x:c r="CV78" s="27"/>
      <x:c r="CW78" s="27"/>
      <x:c r="CX78" s="27"/>
      <x:c r="CY78" s="27"/>
      <x:c r="CZ78" s="27"/>
      <x:c r="DA78" s="27"/>
      <x:c r="DB78" s="27"/>
      <x:c r="DC78" s="27"/>
      <x:c r="DD78" s="27"/>
      <x:c r="DE78" s="27"/>
      <x:c r="DF78" s="27"/>
      <x:c r="DG78" s="27"/>
      <x:c r="DH78" s="27"/>
      <x:c r="DI78" s="27"/>
      <x:c r="DJ78" s="27"/>
      <x:c r="DK78" s="27"/>
      <x:c r="DL78" s="27"/>
      <x:c r="DM78" s="27"/>
      <x:c r="DN78" s="27"/>
      <x:c r="DO78" s="27"/>
      <x:c r="DP78" s="27"/>
      <x:c r="DQ78" s="27"/>
      <x:c r="DR78" s="27"/>
      <x:c r="DS78" s="27"/>
      <x:c r="DT78" s="27"/>
      <x:c r="DU78" s="27"/>
      <x:c r="DV78" s="27"/>
      <x:c r="DW78" s="27"/>
      <x:c r="DX78" s="27"/>
      <x:c r="DY78" s="27"/>
      <x:c r="DZ78" s="27"/>
      <x:c r="EA78" s="27"/>
      <x:c r="EB78" s="27"/>
      <x:c r="EC78" s="27"/>
      <x:c r="ED78" s="27"/>
      <x:c r="EE78" s="27"/>
      <x:c r="EF78" s="27"/>
      <x:c r="EG78" s="27"/>
      <x:c r="EH78" s="27"/>
      <x:c r="EI78" s="27"/>
      <x:c r="EJ78" s="27"/>
      <x:c r="EK78" s="27"/>
      <x:c r="EL78" s="27"/>
      <x:c r="EM78" s="27"/>
      <x:c r="EN78" s="27"/>
      <x:c r="EO78" s="27"/>
      <x:c r="EP78" s="27"/>
      <x:c r="EQ78" s="27"/>
      <x:c r="ER78" s="27"/>
      <x:c r="ES78" s="27"/>
      <x:c r="ET78" s="27"/>
      <x:c r="EU78" s="27"/>
      <x:c r="EV78" s="27"/>
      <x:c r="EW78" s="27"/>
      <x:c r="EX78" s="27"/>
      <x:c r="EY78" s="27"/>
      <x:c r="EZ78" s="27"/>
      <x:c r="FA78" s="27"/>
      <x:c r="FB78" s="27"/>
      <x:c r="FC78" s="27"/>
      <x:c r="FD78" s="27"/>
      <x:c r="FE78" s="27"/>
      <x:c r="FF78" s="27"/>
      <x:c r="FG78" s="27"/>
      <x:c r="FH78" s="27"/>
      <x:c r="FI78" s="27"/>
      <x:c r="FJ78" s="27"/>
      <x:c r="FK78" s="27"/>
      <x:c r="FL78" s="27"/>
      <x:c r="FM78" s="27"/>
      <x:c r="FN78" s="27"/>
      <x:c r="FO78" s="27"/>
      <x:c r="FP78" s="27"/>
      <x:c r="FQ78" s="27"/>
      <x:c r="FR78" s="27"/>
      <x:c r="FS78" s="27"/>
      <x:c r="FT78" s="27"/>
      <x:c r="FU78" s="27"/>
      <x:c r="FV78" s="27"/>
      <x:c r="FW78" s="27"/>
      <x:c r="FX78" s="27"/>
      <x:c r="FY78" s="27"/>
      <x:c r="FZ78" s="27"/>
      <x:c r="GA78" s="27"/>
      <x:c r="GB78" s="27"/>
      <x:c r="GC78" s="27"/>
      <x:c r="GD78" s="27"/>
      <x:c r="GE78" s="27"/>
      <x:c r="GF78" s="27"/>
      <x:c r="GG78" s="27"/>
      <x:c r="GH78" s="27"/>
      <x:c r="GI78" s="27"/>
      <x:c r="GJ78" s="27"/>
      <x:c r="GK78" s="27"/>
      <x:c r="GL78" s="27"/>
      <x:c r="GM78" s="27"/>
      <x:c r="GN78" s="27"/>
      <x:c r="GO78" s="27"/>
      <x:c r="GP78" s="27"/>
      <x:c r="GQ78" s="27"/>
      <x:c r="GR78" s="27"/>
      <x:c r="GS78" s="27"/>
      <x:c r="GT78" s="27"/>
      <x:c r="GU78" s="27"/>
      <x:c r="GV78" s="27"/>
      <x:c r="GW78" s="27"/>
      <x:c r="GX78" s="27"/>
      <x:c r="GY78" s="27"/>
      <x:c r="GZ78" s="27"/>
      <x:c r="HA78" s="27"/>
      <x:c r="HB78" s="27"/>
      <x:c r="HC78" s="27"/>
      <x:c r="HD78" s="27"/>
      <x:c r="HE78" s="27"/>
      <x:c r="HF78" s="27"/>
      <x:c r="HG78" s="27"/>
      <x:c r="HH78" s="27"/>
      <x:c r="HI78" s="27"/>
      <x:c r="HJ78" s="27"/>
      <x:c r="HK78" s="27"/>
      <x:c r="HL78" s="27"/>
      <x:c r="HM78" s="27"/>
      <x:c r="HN78" s="27"/>
      <x:c r="HO78" s="27"/>
      <x:c r="HP78" s="27" t="str">
        <x:f>IF(C78="","",SUM(H78,N78,T78,Z78,AF78,AL78,AR78,AX78,BD78,BJ78,BP78,BV78,CB78,CH78,CN78,CT78,CZ78,DF78,DL78,DR78,DX78,ED78,EJ78,EP78,EV78,FB78,FH78,FN78,FT78,FZ78,GF78,GL78,GR78,GX78,HD78,HJ78))</x:f>
      </x:c>
      <x:c r="HQ78" s="27" t="str">
        <x:f>IF(C78="","",SUM(I78,O78,U78,AA78,AG78,AM78,AS78,AY78,BE78,BK78,BQ78,BW78,CC78,CI78,CO78,CU78,DA78,DG78,DM78,DS78,DY78,EE78,EK78,EQ78,EW78,FC78,FI78,FO78,FU78,GA78,GG78,GM78,GS78,GY78,HE78,HK78))</x:f>
      </x:c>
      <x:c r="HR78" s="27" t="str">
        <x:f>IF(C78="","",SUM(J78,P78,V78,AB78,AH78,AN78,AT78,AZ78,BF78,BL78,BR78,BX78,CD78,CJ78,CP78,CV78,DB78,DH78,DN78,DT78,DZ78,EF78,EL78,ER78,EX78,FD78,FJ78,FP78,FV78,GB78,GH78,GN78,GT78,GZ78,HF78,HL78))</x:f>
      </x:c>
      <x:c r="HS78" s="27" t="str">
        <x:f>IF(C78="","",SUM(K78,Q78,W78,AC78,AI78,AO78,AU78,BA78,BG78,BM78,BS78,BY78,CE78,CK78,CQ78,CW78,DC78,DI78,DO78,DU78,EA78,EG78,EM78,ES78,EY78,FE78,FK78,FQ78,FW78,GC78,GI78,GO78,GU78,HA78,HG78,HM78))</x:f>
      </x:c>
      <x:c r="HT78" s="27" t="str">
        <x:f>IF(C78="","",SUM(L78,R78,X78,AD78,AJ78,AP78,AV78,BB78,BH78,BN78,BT78,BZ78,CF78,CL78,CR78,CX78,DD78,DJ78,DP78,DV78,EB78,EH78,EN78,ET78,EZ78,FF78,FL78,FR78,FX78,GD78,GJ78,GP78,GV78,HB78,HH78,HN78))</x:f>
      </x:c>
      <x:c r="HU78" s="27" t="str">
        <x:f>IF(C78="","",SUM(M78,S78,Y78,AE78,AK78,AQ78,AW78,BC78,BI78,BO78,BU78,CA78,CG78,CM78,CS78,CY78,DE78,DK78,DQ78,DW78,EC78,EI78,EO78,EU78,FA78,FG78,FM78,FS78,FY78,GE78,GK78,GQ78,GW78,HC78,HI78,HO78))</x:f>
      </x:c>
      <x:c r="HV78" s="27" t="str">
        <x:f>IF(C78="","",IF(JI78=LARGE(JI78:JN78,1),"R",IF(JJ78=LARGE(JI78:JN78,1),"I",IF(JK78=LARGE(JI78:JN78,1),"A",IF(JL78=LARGE(JI78:JN78,1),"S",IF(JM78=LARGE(JI78:JN78,1),"E",IF(JN78=LARGE(JI78:JN78,1),"C",""))))))&amp;IF(JI78=LARGE(JI78:JN78,2),"R",IF(JJ78=LARGE(JI78:JN78,2),"I",IF(JK78=LARGE(JI78:JN78,2),"A",IF(JL78=LARGE(JI78:JN78,2),"S",IF(JM78=LARGE(JI78:JN78,2),"E",IF(JN78=LARGE(JI78:JN78,2),"C",""))))))&amp;IF(JI78=LARGE(JI78:JN78,3),"R",IF(JJ78=LARGE(JI78:JN78,3),"I",IF(JK78=LARGE(JI78:JN78,3),"A",IF(JL78=LARGE(JI78:JN78,3),"S",IF(JM78=LARGE(JI78:JN78,3),"E",IF(JN78=LARGE(JI78:JN78,3),"C","")))))))</x:f>
      </x:c>
      <x:c r="HW78" s="27" t="str">
        <x:f>IF(C78="","",IF(JI78=LARGE(JI78:JN78,1),"นักปฏิบัติ",IF(JJ78=LARGE(JI78:JN78,1),"นักคิดวิเคราะห์",IF(JK78=LARGE(JI78:JN78,1),"นักสร้างสรรค์",IF(JL78=LARGE(JI78:JN78,1),"ผู้เข้าใจผู้คน",IF(JM78=LARGE(JI78:JN78,1),"ผู้นำการเปลี่ยนแปลง",IF(JN78=LARGE(JI78:JN78,1),"ผู้จัดระบบ","ผู้จัดระบบ")))))))</x:f>
      </x:c>
      <x:c r="HX78" s="27"/>
      <x:c r="HY78" s="27"/>
      <x:c r="HZ78" s="27"/>
      <x:c r="IA78" s="27"/>
      <x:c r="IB78" s="27"/>
      <x:c r="IC78" s="27"/>
      <x:c r="ID78" s="27"/>
      <x:c r="IE78" s="27"/>
      <x:c r="IF78" s="27"/>
      <x:c r="IG78" s="27"/>
      <x:c r="IH78" s="27"/>
      <x:c r="II78" s="27"/>
      <x:c r="IJ78" s="27"/>
      <x:c r="IK78" s="27" t="str">
        <x:f>IF(C78="","",SUM(H78,N78,T78,Z78,AF78,AL78,AR78,AX78,BD78,BJ78,BP78))</x:f>
      </x:c>
      <x:c r="IL78" s="27" t="str">
        <x:f>IF(C78="","",SUM(I78,O78,U78,AA78,AG78,AM78,AS78,AY78,BE78,BK78,BQ78))</x:f>
      </x:c>
      <x:c r="IM78" s="27" t="str">
        <x:f>IF(C78="","",SUM(J78,P78,V78,AB78,AH78,AN78,AT78,AZ78,BF78,BL78,BR78))</x:f>
      </x:c>
      <x:c r="IN78" s="27" t="str">
        <x:f>IF(C78="","",SUM(K78,Q78,W78,AC78,AI78,AO78,AU78,BA78,BG78,BM78,BS78))</x:f>
      </x:c>
      <x:c r="IO78" s="27" t="str">
        <x:f>IF(C78="","",SUM(L78,R78,X78,AD78,AJ78,AP78,AV78,BB78,BH78,BN78,BT78))</x:f>
      </x:c>
      <x:c r="IP78" s="27" t="str">
        <x:f>IF(C78="","",SUM(M78,S78,Y78,AE78,AK78,AQ78,AW78,BC78,BI78,BO78,BU78))</x:f>
      </x:c>
      <x:c r="IQ78" s="27" t="str">
        <x:f>IF(C78="","",SUM(BV78,CB78,CH78,CN78,CT78,CZ78,DF78,DL78,DR78,DX78,ED78))</x:f>
      </x:c>
      <x:c r="IR78" s="27" t="str">
        <x:f>IF(C78="","",SUM(BW78,CC78,CI78,CO78,CU78,DA78,DG78,DM78,DS78,DY78,EE78))</x:f>
      </x:c>
      <x:c r="IS78" s="27" t="str">
        <x:f>IF(C78="","",SUM(BX78,CD78,CJ78,CP78,CV78,DB78,DH78,DN78,DT78,DZ78,EF78))</x:f>
      </x:c>
      <x:c r="IT78" s="27" t="str">
        <x:f>IF(C78="","",SUM(BY78,CE78,CK78,CQ78,CW78,DC78,DI78,DO78,DU78,EA78,EG78))</x:f>
      </x:c>
      <x:c r="IU78" s="27" t="str">
        <x:f>IF(C78="","",SUM(BZ78,CF78,CL78,CR78,CX78,DD78,DJ78,DP78,DV78,EB78,EH78))</x:f>
      </x:c>
      <x:c r="IV78" s="27" t="str">
        <x:f>IF(C78="","",SUM(CA78,CG78,CM78,CS78,CY78,DE78,DK78,DQ78,DW78,EC78,EI78))</x:f>
      </x:c>
      <x:c r="IW78" s="27" t="str">
        <x:f>IF(C78="","",SUM(EJ78,EP78,EV78,FB78,FH78,FN78,FT78,FZ78,GF78,GL78,GR78,GX78,HD78,HJ78))</x:f>
      </x:c>
      <x:c r="IX78" s="27" t="str">
        <x:f>IF(C78="","",SUM(EK78,EQ78,EW78,FC78,FI78,FO78,FU78,GA78,GG78,GM78,GS78,GY78,HE78,HK78))</x:f>
      </x:c>
      <x:c r="IY78" s="27" t="str">
        <x:f>IF(C78="","",SUM(EL78,ER78,EX78,FD78,FJ78,FP78,FV78,GB78,GH78,GN78,GT78,GZ78,HF78,HL78))</x:f>
      </x:c>
      <x:c r="IZ78" s="27" t="str">
        <x:f>IF(C78="","",SUM(EM78,ES78,EY78,FE78,FK78,FQ78,FW78,GC78,GI78,GO78,GU78,HA78,HG78,HM78))</x:f>
      </x:c>
      <x:c r="JA78" s="27" t="str">
        <x:f>IF(C78="","",SUM(EN78,ET78,EZ78,FF78,FL78,FR78,FX78,GD78,GJ78,GP78,GV78,HB78,HH78,HN78))</x:f>
      </x:c>
      <x:c r="JB78" s="27" t="str">
        <x:f>IF(C78="","",SUM(EO78,EU78,FA78,FG78,FM78,FS78,FY78,GE78,GK78,GQ78,GW78,HC78,HI78,HO78))</x:f>
      </x:c>
      <x:c r="JC78" s="27" t="str">
        <x:f>IF(C78="","",0)</x:f>
      </x:c>
      <x:c r="JD78" s="27" t="str">
        <x:f>IF(C78="","",0)</x:f>
      </x:c>
      <x:c r="JE78" s="27" t="str">
        <x:f>IF(C78="","",0)</x:f>
      </x:c>
      <x:c r="JF78" s="27" t="str">
        <x:f>IF(C78="","",0)</x:f>
      </x:c>
      <x:c r="JG78" s="27" t="str">
        <x:f>IF(C78="","",0)</x:f>
      </x:c>
      <x:c r="JH78" s="27" t="str">
        <x:f>IF(C78="","",0)</x:f>
      </x:c>
      <x:c r="JI78" s="27" t="str">
        <x:f>IF(C78="","",HP78*1000000000+IW78*1000000+IQ78*10000+IK78*100+JC78+6/1000)</x:f>
      </x:c>
      <x:c r="JJ78" s="27" t="str">
        <x:f>IF(C78="","",HQ78*1000000000+IX78*1000000+IR78*10000+IL78*100+JD78+5/1000)</x:f>
      </x:c>
      <x:c r="JK78" s="27" t="str">
        <x:f>IF(C78="","",HR78*1000000000+IY78*1000000+IS78*10000+IM78*100+JE78+4/1000)</x:f>
      </x:c>
      <x:c r="JL78" s="27" t="str">
        <x:f>IF(C78="","",HS78*1000000000+IZ78*1000000+IT78*10000+IN78*100+JF78+3/1000)</x:f>
      </x:c>
      <x:c r="JM78" s="27" t="str">
        <x:f>IF(C78="","",HT78*1000000000+JA78*1000000+IU78*10000+IO78*100+JG78+2/1000)</x:f>
      </x:c>
      <x:c r="JN78" s="27" t="str">
        <x:f>IF(C78="","",HU78*1000000000+JB78*1000000+IV78*10000+IP78*100+JH78+1/1000)</x:f>
      </x:c>
    </x:row>
    <x:row r="79">
      <x:c r="A79" s="27"/>
      <x:c r="B79" s="28"/>
      <x:c r="C79" s="27"/>
      <x:c r="D79" s="27"/>
      <x:c r="E79" s="27"/>
      <x:c r="F79" s="27"/>
      <x:c r="G79" s="27"/>
      <x:c r="H79" s="27"/>
      <x:c r="I79" s="27"/>
      <x:c r="J79" s="27"/>
      <x:c r="K79" s="27"/>
      <x:c r="L79" s="27"/>
      <x:c r="M79" s="27"/>
      <x:c r="N79" s="27"/>
      <x:c r="O79" s="27"/>
      <x:c r="P79" s="27"/>
      <x:c r="Q79" s="27"/>
      <x:c r="R79" s="27"/>
      <x:c r="S79" s="27"/>
      <x:c r="T79" s="27"/>
      <x:c r="U79" s="27"/>
      <x:c r="V79" s="27"/>
      <x:c r="W79" s="27"/>
      <x:c r="X79" s="27"/>
      <x:c r="Y79" s="27"/>
      <x:c r="Z79" s="27"/>
      <x:c r="AA79" s="27"/>
      <x:c r="AB79" s="27"/>
      <x:c r="AC79" s="27"/>
      <x:c r="AD79" s="27"/>
      <x:c r="AE79" s="27"/>
      <x:c r="AF79" s="27"/>
      <x:c r="AG79" s="27"/>
      <x:c r="AH79" s="27"/>
      <x:c r="AI79" s="27"/>
      <x:c r="AJ79" s="27"/>
      <x:c r="AK79" s="27"/>
      <x:c r="AL79" s="27"/>
      <x:c r="AM79" s="27"/>
      <x:c r="AN79" s="27"/>
      <x:c r="AO79" s="27"/>
      <x:c r="AP79" s="27"/>
      <x:c r="AQ79" s="27"/>
      <x:c r="AR79" s="27"/>
      <x:c r="AS79" s="27"/>
      <x:c r="AT79" s="27"/>
      <x:c r="AU79" s="27"/>
      <x:c r="AV79" s="27"/>
      <x:c r="AW79" s="27"/>
      <x:c r="AX79" s="27"/>
      <x:c r="AY79" s="27"/>
      <x:c r="AZ79" s="27"/>
      <x:c r="BA79" s="27"/>
      <x:c r="BB79" s="27"/>
      <x:c r="BC79" s="27"/>
      <x:c r="BD79" s="27"/>
      <x:c r="BE79" s="27"/>
      <x:c r="BF79" s="27"/>
      <x:c r="BG79" s="27"/>
      <x:c r="BH79" s="27"/>
      <x:c r="BI79" s="27"/>
      <x:c r="BJ79" s="27"/>
      <x:c r="BK79" s="27"/>
      <x:c r="BL79" s="27"/>
      <x:c r="BM79" s="27"/>
      <x:c r="BN79" s="27"/>
      <x:c r="BO79" s="27"/>
      <x:c r="BP79" s="27"/>
      <x:c r="BQ79" s="27"/>
      <x:c r="BR79" s="27"/>
      <x:c r="BS79" s="27"/>
      <x:c r="BT79" s="27"/>
      <x:c r="BU79" s="27"/>
      <x:c r="BV79" s="27"/>
      <x:c r="BW79" s="27"/>
      <x:c r="BX79" s="27"/>
      <x:c r="BY79" s="27"/>
      <x:c r="BZ79" s="27"/>
      <x:c r="CA79" s="27"/>
      <x:c r="CB79" s="27"/>
      <x:c r="CC79" s="27"/>
      <x:c r="CD79" s="27"/>
      <x:c r="CE79" s="27"/>
      <x:c r="CF79" s="27"/>
      <x:c r="CG79" s="27"/>
      <x:c r="CH79" s="27"/>
      <x:c r="CI79" s="27"/>
      <x:c r="CJ79" s="27"/>
      <x:c r="CK79" s="27"/>
      <x:c r="CL79" s="27"/>
      <x:c r="CM79" s="27"/>
      <x:c r="CN79" s="27"/>
      <x:c r="CO79" s="27"/>
      <x:c r="CP79" s="27"/>
      <x:c r="CQ79" s="27"/>
      <x:c r="CR79" s="27"/>
      <x:c r="CS79" s="27"/>
      <x:c r="CT79" s="27"/>
      <x:c r="CU79" s="27"/>
      <x:c r="CV79" s="27"/>
      <x:c r="CW79" s="27"/>
      <x:c r="CX79" s="27"/>
      <x:c r="CY79" s="27"/>
      <x:c r="CZ79" s="27"/>
      <x:c r="DA79" s="27"/>
      <x:c r="DB79" s="27"/>
      <x:c r="DC79" s="27"/>
      <x:c r="DD79" s="27"/>
      <x:c r="DE79" s="27"/>
      <x:c r="DF79" s="27"/>
      <x:c r="DG79" s="27"/>
      <x:c r="DH79" s="27"/>
      <x:c r="DI79" s="27"/>
      <x:c r="DJ79" s="27"/>
      <x:c r="DK79" s="27"/>
      <x:c r="DL79" s="27"/>
      <x:c r="DM79" s="27"/>
      <x:c r="DN79" s="27"/>
      <x:c r="DO79" s="27"/>
      <x:c r="DP79" s="27"/>
      <x:c r="DQ79" s="27"/>
      <x:c r="DR79" s="27"/>
      <x:c r="DS79" s="27"/>
      <x:c r="DT79" s="27"/>
      <x:c r="DU79" s="27"/>
      <x:c r="DV79" s="27"/>
      <x:c r="DW79" s="27"/>
      <x:c r="DX79" s="27"/>
      <x:c r="DY79" s="27"/>
      <x:c r="DZ79" s="27"/>
      <x:c r="EA79" s="27"/>
      <x:c r="EB79" s="27"/>
      <x:c r="EC79" s="27"/>
      <x:c r="ED79" s="27"/>
      <x:c r="EE79" s="27"/>
      <x:c r="EF79" s="27"/>
      <x:c r="EG79" s="27"/>
      <x:c r="EH79" s="27"/>
      <x:c r="EI79" s="27"/>
      <x:c r="EJ79" s="27"/>
      <x:c r="EK79" s="27"/>
      <x:c r="EL79" s="27"/>
      <x:c r="EM79" s="27"/>
      <x:c r="EN79" s="27"/>
      <x:c r="EO79" s="27"/>
      <x:c r="EP79" s="27"/>
      <x:c r="EQ79" s="27"/>
      <x:c r="ER79" s="27"/>
      <x:c r="ES79" s="27"/>
      <x:c r="ET79" s="27"/>
      <x:c r="EU79" s="27"/>
      <x:c r="EV79" s="27"/>
      <x:c r="EW79" s="27"/>
      <x:c r="EX79" s="27"/>
      <x:c r="EY79" s="27"/>
      <x:c r="EZ79" s="27"/>
      <x:c r="FA79" s="27"/>
      <x:c r="FB79" s="27"/>
      <x:c r="FC79" s="27"/>
      <x:c r="FD79" s="27"/>
      <x:c r="FE79" s="27"/>
      <x:c r="FF79" s="27"/>
      <x:c r="FG79" s="27"/>
      <x:c r="FH79" s="27"/>
      <x:c r="FI79" s="27"/>
      <x:c r="FJ79" s="27"/>
      <x:c r="FK79" s="27"/>
      <x:c r="FL79" s="27"/>
      <x:c r="FM79" s="27"/>
      <x:c r="FN79" s="27"/>
      <x:c r="FO79" s="27"/>
      <x:c r="FP79" s="27"/>
      <x:c r="FQ79" s="27"/>
      <x:c r="FR79" s="27"/>
      <x:c r="FS79" s="27"/>
      <x:c r="FT79" s="27"/>
      <x:c r="FU79" s="27"/>
      <x:c r="FV79" s="27"/>
      <x:c r="FW79" s="27"/>
      <x:c r="FX79" s="27"/>
      <x:c r="FY79" s="27"/>
      <x:c r="FZ79" s="27"/>
      <x:c r="GA79" s="27"/>
      <x:c r="GB79" s="27"/>
      <x:c r="GC79" s="27"/>
      <x:c r="GD79" s="27"/>
      <x:c r="GE79" s="27"/>
      <x:c r="GF79" s="27"/>
      <x:c r="GG79" s="27"/>
      <x:c r="GH79" s="27"/>
      <x:c r="GI79" s="27"/>
      <x:c r="GJ79" s="27"/>
      <x:c r="GK79" s="27"/>
      <x:c r="GL79" s="27"/>
      <x:c r="GM79" s="27"/>
      <x:c r="GN79" s="27"/>
      <x:c r="GO79" s="27"/>
      <x:c r="GP79" s="27"/>
      <x:c r="GQ79" s="27"/>
      <x:c r="GR79" s="27"/>
      <x:c r="GS79" s="27"/>
      <x:c r="GT79" s="27"/>
      <x:c r="GU79" s="27"/>
      <x:c r="GV79" s="27"/>
      <x:c r="GW79" s="27"/>
      <x:c r="GX79" s="27"/>
      <x:c r="GY79" s="27"/>
      <x:c r="GZ79" s="27"/>
      <x:c r="HA79" s="27"/>
      <x:c r="HB79" s="27"/>
      <x:c r="HC79" s="27"/>
      <x:c r="HD79" s="27"/>
      <x:c r="HE79" s="27"/>
      <x:c r="HF79" s="27"/>
      <x:c r="HG79" s="27"/>
      <x:c r="HH79" s="27"/>
      <x:c r="HI79" s="27"/>
      <x:c r="HJ79" s="27"/>
      <x:c r="HK79" s="27"/>
      <x:c r="HL79" s="27"/>
      <x:c r="HM79" s="27"/>
      <x:c r="HN79" s="27"/>
      <x:c r="HO79" s="27"/>
      <x:c r="HP79" s="27" t="str">
        <x:f>IF(C79="","",SUM(H79,N79,T79,Z79,AF79,AL79,AR79,AX79,BD79,BJ79,BP79,BV79,CB79,CH79,CN79,CT79,CZ79,DF79,DL79,DR79,DX79,ED79,EJ79,EP79,EV79,FB79,FH79,FN79,FT79,FZ79,GF79,GL79,GR79,GX79,HD79,HJ79))</x:f>
      </x:c>
      <x:c r="HQ79" s="27" t="str">
        <x:f>IF(C79="","",SUM(I79,O79,U79,AA79,AG79,AM79,AS79,AY79,BE79,BK79,BQ79,BW79,CC79,CI79,CO79,CU79,DA79,DG79,DM79,DS79,DY79,EE79,EK79,EQ79,EW79,FC79,FI79,FO79,FU79,GA79,GG79,GM79,GS79,GY79,HE79,HK79))</x:f>
      </x:c>
      <x:c r="HR79" s="27" t="str">
        <x:f>IF(C79="","",SUM(J79,P79,V79,AB79,AH79,AN79,AT79,AZ79,BF79,BL79,BR79,BX79,CD79,CJ79,CP79,CV79,DB79,DH79,DN79,DT79,DZ79,EF79,EL79,ER79,EX79,FD79,FJ79,FP79,FV79,GB79,GH79,GN79,GT79,GZ79,HF79,HL79))</x:f>
      </x:c>
      <x:c r="HS79" s="27" t="str">
        <x:f>IF(C79="","",SUM(K79,Q79,W79,AC79,AI79,AO79,AU79,BA79,BG79,BM79,BS79,BY79,CE79,CK79,CQ79,CW79,DC79,DI79,DO79,DU79,EA79,EG79,EM79,ES79,EY79,FE79,FK79,FQ79,FW79,GC79,GI79,GO79,GU79,HA79,HG79,HM79))</x:f>
      </x:c>
      <x:c r="HT79" s="27" t="str">
        <x:f>IF(C79="","",SUM(L79,R79,X79,AD79,AJ79,AP79,AV79,BB79,BH79,BN79,BT79,BZ79,CF79,CL79,CR79,CX79,DD79,DJ79,DP79,DV79,EB79,EH79,EN79,ET79,EZ79,FF79,FL79,FR79,FX79,GD79,GJ79,GP79,GV79,HB79,HH79,HN79))</x:f>
      </x:c>
      <x:c r="HU79" s="27" t="str">
        <x:f>IF(C79="","",SUM(M79,S79,Y79,AE79,AK79,AQ79,AW79,BC79,BI79,BO79,BU79,CA79,CG79,CM79,CS79,CY79,DE79,DK79,DQ79,DW79,EC79,EI79,EO79,EU79,FA79,FG79,FM79,FS79,FY79,GE79,GK79,GQ79,GW79,HC79,HI79,HO79))</x:f>
      </x:c>
      <x:c r="HV79" s="27" t="str">
        <x:f>IF(C79="","",IF(JI79=LARGE(JI79:JN79,1),"R",IF(JJ79=LARGE(JI79:JN79,1),"I",IF(JK79=LARGE(JI79:JN79,1),"A",IF(JL79=LARGE(JI79:JN79,1),"S",IF(JM79=LARGE(JI79:JN79,1),"E",IF(JN79=LARGE(JI79:JN79,1),"C",""))))))&amp;IF(JI79=LARGE(JI79:JN79,2),"R",IF(JJ79=LARGE(JI79:JN79,2),"I",IF(JK79=LARGE(JI79:JN79,2),"A",IF(JL79=LARGE(JI79:JN79,2),"S",IF(JM79=LARGE(JI79:JN79,2),"E",IF(JN79=LARGE(JI79:JN79,2),"C",""))))))&amp;IF(JI79=LARGE(JI79:JN79,3),"R",IF(JJ79=LARGE(JI79:JN79,3),"I",IF(JK79=LARGE(JI79:JN79,3),"A",IF(JL79=LARGE(JI79:JN79,3),"S",IF(JM79=LARGE(JI79:JN79,3),"E",IF(JN79=LARGE(JI79:JN79,3),"C","")))))))</x:f>
      </x:c>
      <x:c r="HW79" s="27" t="str">
        <x:f>IF(C79="","",IF(JI79=LARGE(JI79:JN79,1),"นักปฏิบัติ",IF(JJ79=LARGE(JI79:JN79,1),"นักคิดวิเคราะห์",IF(JK79=LARGE(JI79:JN79,1),"นักสร้างสรรค์",IF(JL79=LARGE(JI79:JN79,1),"ผู้เข้าใจผู้คน",IF(JM79=LARGE(JI79:JN79,1),"ผู้นำการเปลี่ยนแปลง",IF(JN79=LARGE(JI79:JN79,1),"ผู้จัดระบบ","ผู้จัดระบบ")))))))</x:f>
      </x:c>
      <x:c r="HX79" s="27"/>
      <x:c r="HY79" s="27"/>
      <x:c r="HZ79" s="27"/>
      <x:c r="IA79" s="27"/>
      <x:c r="IB79" s="27"/>
      <x:c r="IC79" s="27"/>
      <x:c r="ID79" s="27"/>
      <x:c r="IE79" s="27"/>
      <x:c r="IF79" s="27"/>
      <x:c r="IG79" s="27"/>
      <x:c r="IH79" s="27"/>
      <x:c r="II79" s="27"/>
      <x:c r="IJ79" s="27"/>
      <x:c r="IK79" s="27" t="str">
        <x:f>IF(C79="","",SUM(H79,N79,T79,Z79,AF79,AL79,AR79,AX79,BD79,BJ79,BP79))</x:f>
      </x:c>
      <x:c r="IL79" s="27" t="str">
        <x:f>IF(C79="","",SUM(I79,O79,U79,AA79,AG79,AM79,AS79,AY79,BE79,BK79,BQ79))</x:f>
      </x:c>
      <x:c r="IM79" s="27" t="str">
        <x:f>IF(C79="","",SUM(J79,P79,V79,AB79,AH79,AN79,AT79,AZ79,BF79,BL79,BR79))</x:f>
      </x:c>
      <x:c r="IN79" s="27" t="str">
        <x:f>IF(C79="","",SUM(K79,Q79,W79,AC79,AI79,AO79,AU79,BA79,BG79,BM79,BS79))</x:f>
      </x:c>
      <x:c r="IO79" s="27" t="str">
        <x:f>IF(C79="","",SUM(L79,R79,X79,AD79,AJ79,AP79,AV79,BB79,BH79,BN79,BT79))</x:f>
      </x:c>
      <x:c r="IP79" s="27" t="str">
        <x:f>IF(C79="","",SUM(M79,S79,Y79,AE79,AK79,AQ79,AW79,BC79,BI79,BO79,BU79))</x:f>
      </x:c>
      <x:c r="IQ79" s="27" t="str">
        <x:f>IF(C79="","",SUM(BV79,CB79,CH79,CN79,CT79,CZ79,DF79,DL79,DR79,DX79,ED79))</x:f>
      </x:c>
      <x:c r="IR79" s="27" t="str">
        <x:f>IF(C79="","",SUM(BW79,CC79,CI79,CO79,CU79,DA79,DG79,DM79,DS79,DY79,EE79))</x:f>
      </x:c>
      <x:c r="IS79" s="27" t="str">
        <x:f>IF(C79="","",SUM(BX79,CD79,CJ79,CP79,CV79,DB79,DH79,DN79,DT79,DZ79,EF79))</x:f>
      </x:c>
      <x:c r="IT79" s="27" t="str">
        <x:f>IF(C79="","",SUM(BY79,CE79,CK79,CQ79,CW79,DC79,DI79,DO79,DU79,EA79,EG79))</x:f>
      </x:c>
      <x:c r="IU79" s="27" t="str">
        <x:f>IF(C79="","",SUM(BZ79,CF79,CL79,CR79,CX79,DD79,DJ79,DP79,DV79,EB79,EH79))</x:f>
      </x:c>
      <x:c r="IV79" s="27" t="str">
        <x:f>IF(C79="","",SUM(CA79,CG79,CM79,CS79,CY79,DE79,DK79,DQ79,DW79,EC79,EI79))</x:f>
      </x:c>
      <x:c r="IW79" s="27" t="str">
        <x:f>IF(C79="","",SUM(EJ79,EP79,EV79,FB79,FH79,FN79,FT79,FZ79,GF79,GL79,GR79,GX79,HD79,HJ79))</x:f>
      </x:c>
      <x:c r="IX79" s="27" t="str">
        <x:f>IF(C79="","",SUM(EK79,EQ79,EW79,FC79,FI79,FO79,FU79,GA79,GG79,GM79,GS79,GY79,HE79,HK79))</x:f>
      </x:c>
      <x:c r="IY79" s="27" t="str">
        <x:f>IF(C79="","",SUM(EL79,ER79,EX79,FD79,FJ79,FP79,FV79,GB79,GH79,GN79,GT79,GZ79,HF79,HL79))</x:f>
      </x:c>
      <x:c r="IZ79" s="27" t="str">
        <x:f>IF(C79="","",SUM(EM79,ES79,EY79,FE79,FK79,FQ79,FW79,GC79,GI79,GO79,GU79,HA79,HG79,HM79))</x:f>
      </x:c>
      <x:c r="JA79" s="27" t="str">
        <x:f>IF(C79="","",SUM(EN79,ET79,EZ79,FF79,FL79,FR79,FX79,GD79,GJ79,GP79,GV79,HB79,HH79,HN79))</x:f>
      </x:c>
      <x:c r="JB79" s="27" t="str">
        <x:f>IF(C79="","",SUM(EO79,EU79,FA79,FG79,FM79,FS79,FY79,GE79,GK79,GQ79,GW79,HC79,HI79,HO79))</x:f>
      </x:c>
      <x:c r="JC79" s="27" t="str">
        <x:f>IF(C79="","",0)</x:f>
      </x:c>
      <x:c r="JD79" s="27" t="str">
        <x:f>IF(C79="","",0)</x:f>
      </x:c>
      <x:c r="JE79" s="27" t="str">
        <x:f>IF(C79="","",0)</x:f>
      </x:c>
      <x:c r="JF79" s="27" t="str">
        <x:f>IF(C79="","",0)</x:f>
      </x:c>
      <x:c r="JG79" s="27" t="str">
        <x:f>IF(C79="","",0)</x:f>
      </x:c>
      <x:c r="JH79" s="27" t="str">
        <x:f>IF(C79="","",0)</x:f>
      </x:c>
      <x:c r="JI79" s="27" t="str">
        <x:f>IF(C79="","",HP79*1000000000+IW79*1000000+IQ79*10000+IK79*100+JC79+6/1000)</x:f>
      </x:c>
      <x:c r="JJ79" s="27" t="str">
        <x:f>IF(C79="","",HQ79*1000000000+IX79*1000000+IR79*10000+IL79*100+JD79+5/1000)</x:f>
      </x:c>
      <x:c r="JK79" s="27" t="str">
        <x:f>IF(C79="","",HR79*1000000000+IY79*1000000+IS79*10000+IM79*100+JE79+4/1000)</x:f>
      </x:c>
      <x:c r="JL79" s="27" t="str">
        <x:f>IF(C79="","",HS79*1000000000+IZ79*1000000+IT79*10000+IN79*100+JF79+3/1000)</x:f>
      </x:c>
      <x:c r="JM79" s="27" t="str">
        <x:f>IF(C79="","",HT79*1000000000+JA79*1000000+IU79*10000+IO79*100+JG79+2/1000)</x:f>
      </x:c>
      <x:c r="JN79" s="27" t="str">
        <x:f>IF(C79="","",HU79*1000000000+JB79*1000000+IV79*10000+IP79*100+JH79+1/1000)</x:f>
      </x:c>
    </x:row>
    <x:row r="80">
      <x:c r="A80" s="27"/>
      <x:c r="B80" s="28"/>
      <x:c r="C80" s="27"/>
      <x:c r="D80" s="27"/>
      <x:c r="E80" s="27"/>
      <x:c r="F80" s="27"/>
      <x:c r="G80" s="27"/>
      <x:c r="H80" s="27"/>
      <x:c r="I80" s="27"/>
      <x:c r="J80" s="27"/>
      <x:c r="K80" s="27"/>
      <x:c r="L80" s="27"/>
      <x:c r="M80" s="27"/>
      <x:c r="N80" s="27"/>
      <x:c r="O80" s="27"/>
      <x:c r="P80" s="27"/>
      <x:c r="Q80" s="27"/>
      <x:c r="R80" s="27"/>
      <x:c r="S80" s="27"/>
      <x:c r="T80" s="27"/>
      <x:c r="U80" s="27"/>
      <x:c r="V80" s="27"/>
      <x:c r="W80" s="27"/>
      <x:c r="X80" s="27"/>
      <x:c r="Y80" s="27"/>
      <x:c r="Z80" s="27"/>
      <x:c r="AA80" s="27"/>
      <x:c r="AB80" s="27"/>
      <x:c r="AC80" s="27"/>
      <x:c r="AD80" s="27"/>
      <x:c r="AE80" s="27"/>
      <x:c r="AF80" s="27"/>
      <x:c r="AG80" s="27"/>
      <x:c r="AH80" s="27"/>
      <x:c r="AI80" s="27"/>
      <x:c r="AJ80" s="27"/>
      <x:c r="AK80" s="27"/>
      <x:c r="AL80" s="27"/>
      <x:c r="AM80" s="27"/>
      <x:c r="AN80" s="27"/>
      <x:c r="AO80" s="27"/>
      <x:c r="AP80" s="27"/>
      <x:c r="AQ80" s="27"/>
      <x:c r="AR80" s="27"/>
      <x:c r="AS80" s="27"/>
      <x:c r="AT80" s="27"/>
      <x:c r="AU80" s="27"/>
      <x:c r="AV80" s="27"/>
      <x:c r="AW80" s="27"/>
      <x:c r="AX80" s="27"/>
      <x:c r="AY80" s="27"/>
      <x:c r="AZ80" s="27"/>
      <x:c r="BA80" s="27"/>
      <x:c r="BB80" s="27"/>
      <x:c r="BC80" s="27"/>
      <x:c r="BD80" s="27"/>
      <x:c r="BE80" s="27"/>
      <x:c r="BF80" s="27"/>
      <x:c r="BG80" s="27"/>
      <x:c r="BH80" s="27"/>
      <x:c r="BI80" s="27"/>
      <x:c r="BJ80" s="27"/>
      <x:c r="BK80" s="27"/>
      <x:c r="BL80" s="27"/>
      <x:c r="BM80" s="27"/>
      <x:c r="BN80" s="27"/>
      <x:c r="BO80" s="27"/>
      <x:c r="BP80" s="27"/>
      <x:c r="BQ80" s="27"/>
      <x:c r="BR80" s="27"/>
      <x:c r="BS80" s="27"/>
      <x:c r="BT80" s="27"/>
      <x:c r="BU80" s="27"/>
      <x:c r="BV80" s="27"/>
      <x:c r="BW80" s="27"/>
      <x:c r="BX80" s="27"/>
      <x:c r="BY80" s="27"/>
      <x:c r="BZ80" s="27"/>
      <x:c r="CA80" s="27"/>
      <x:c r="CB80" s="27"/>
      <x:c r="CC80" s="27"/>
      <x:c r="CD80" s="27"/>
      <x:c r="CE80" s="27"/>
      <x:c r="CF80" s="27"/>
      <x:c r="CG80" s="27"/>
      <x:c r="CH80" s="27"/>
      <x:c r="CI80" s="27"/>
      <x:c r="CJ80" s="27"/>
      <x:c r="CK80" s="27"/>
      <x:c r="CL80" s="27"/>
      <x:c r="CM80" s="27"/>
      <x:c r="CN80" s="27"/>
      <x:c r="CO80" s="27"/>
      <x:c r="CP80" s="27"/>
      <x:c r="CQ80" s="27"/>
      <x:c r="CR80" s="27"/>
      <x:c r="CS80" s="27"/>
      <x:c r="CT80" s="27"/>
      <x:c r="CU80" s="27"/>
      <x:c r="CV80" s="27"/>
      <x:c r="CW80" s="27"/>
      <x:c r="CX80" s="27"/>
      <x:c r="CY80" s="27"/>
      <x:c r="CZ80" s="27"/>
      <x:c r="DA80" s="27"/>
      <x:c r="DB80" s="27"/>
      <x:c r="DC80" s="27"/>
      <x:c r="DD80" s="27"/>
      <x:c r="DE80" s="27"/>
      <x:c r="DF80" s="27"/>
      <x:c r="DG80" s="27"/>
      <x:c r="DH80" s="27"/>
      <x:c r="DI80" s="27"/>
      <x:c r="DJ80" s="27"/>
      <x:c r="DK80" s="27"/>
      <x:c r="DL80" s="27"/>
      <x:c r="DM80" s="27"/>
      <x:c r="DN80" s="27"/>
      <x:c r="DO80" s="27"/>
      <x:c r="DP80" s="27"/>
      <x:c r="DQ80" s="27"/>
      <x:c r="DR80" s="27"/>
      <x:c r="DS80" s="27"/>
      <x:c r="DT80" s="27"/>
      <x:c r="DU80" s="27"/>
      <x:c r="DV80" s="27"/>
      <x:c r="DW80" s="27"/>
      <x:c r="DX80" s="27"/>
      <x:c r="DY80" s="27"/>
      <x:c r="DZ80" s="27"/>
      <x:c r="EA80" s="27"/>
      <x:c r="EB80" s="27"/>
      <x:c r="EC80" s="27"/>
      <x:c r="ED80" s="27"/>
      <x:c r="EE80" s="27"/>
      <x:c r="EF80" s="27"/>
      <x:c r="EG80" s="27"/>
      <x:c r="EH80" s="27"/>
      <x:c r="EI80" s="27"/>
      <x:c r="EJ80" s="27"/>
      <x:c r="EK80" s="27"/>
      <x:c r="EL80" s="27"/>
      <x:c r="EM80" s="27"/>
      <x:c r="EN80" s="27"/>
      <x:c r="EO80" s="27"/>
      <x:c r="EP80" s="27"/>
      <x:c r="EQ80" s="27"/>
      <x:c r="ER80" s="27"/>
      <x:c r="ES80" s="27"/>
      <x:c r="ET80" s="27"/>
      <x:c r="EU80" s="27"/>
      <x:c r="EV80" s="27"/>
      <x:c r="EW80" s="27"/>
      <x:c r="EX80" s="27"/>
      <x:c r="EY80" s="27"/>
      <x:c r="EZ80" s="27"/>
      <x:c r="FA80" s="27"/>
      <x:c r="FB80" s="27"/>
      <x:c r="FC80" s="27"/>
      <x:c r="FD80" s="27"/>
      <x:c r="FE80" s="27"/>
      <x:c r="FF80" s="27"/>
      <x:c r="FG80" s="27"/>
      <x:c r="FH80" s="27"/>
      <x:c r="FI80" s="27"/>
      <x:c r="FJ80" s="27"/>
      <x:c r="FK80" s="27"/>
      <x:c r="FL80" s="27"/>
      <x:c r="FM80" s="27"/>
      <x:c r="FN80" s="27"/>
      <x:c r="FO80" s="27"/>
      <x:c r="FP80" s="27"/>
      <x:c r="FQ80" s="27"/>
      <x:c r="FR80" s="27"/>
      <x:c r="FS80" s="27"/>
      <x:c r="FT80" s="27"/>
      <x:c r="FU80" s="27"/>
      <x:c r="FV80" s="27"/>
      <x:c r="FW80" s="27"/>
      <x:c r="FX80" s="27"/>
      <x:c r="FY80" s="27"/>
      <x:c r="FZ80" s="27"/>
      <x:c r="GA80" s="27"/>
      <x:c r="GB80" s="27"/>
      <x:c r="GC80" s="27"/>
      <x:c r="GD80" s="27"/>
      <x:c r="GE80" s="27"/>
      <x:c r="GF80" s="27"/>
      <x:c r="GG80" s="27"/>
      <x:c r="GH80" s="27"/>
      <x:c r="GI80" s="27"/>
      <x:c r="GJ80" s="27"/>
      <x:c r="GK80" s="27"/>
      <x:c r="GL80" s="27"/>
      <x:c r="GM80" s="27"/>
      <x:c r="GN80" s="27"/>
      <x:c r="GO80" s="27"/>
      <x:c r="GP80" s="27"/>
      <x:c r="GQ80" s="27"/>
      <x:c r="GR80" s="27"/>
      <x:c r="GS80" s="27"/>
      <x:c r="GT80" s="27"/>
      <x:c r="GU80" s="27"/>
      <x:c r="GV80" s="27"/>
      <x:c r="GW80" s="27"/>
      <x:c r="GX80" s="27"/>
      <x:c r="GY80" s="27"/>
      <x:c r="GZ80" s="27"/>
      <x:c r="HA80" s="27"/>
      <x:c r="HB80" s="27"/>
      <x:c r="HC80" s="27"/>
      <x:c r="HD80" s="27"/>
      <x:c r="HE80" s="27"/>
      <x:c r="HF80" s="27"/>
      <x:c r="HG80" s="27"/>
      <x:c r="HH80" s="27"/>
      <x:c r="HI80" s="27"/>
      <x:c r="HJ80" s="27"/>
      <x:c r="HK80" s="27"/>
      <x:c r="HL80" s="27"/>
      <x:c r="HM80" s="27"/>
      <x:c r="HN80" s="27"/>
      <x:c r="HO80" s="27"/>
      <x:c r="HP80" s="27" t="str">
        <x:f>IF(C80="","",SUM(H80,N80,T80,Z80,AF80,AL80,AR80,AX80,BD80,BJ80,BP80,BV80,CB80,CH80,CN80,CT80,CZ80,DF80,DL80,DR80,DX80,ED80,EJ80,EP80,EV80,FB80,FH80,FN80,FT80,FZ80,GF80,GL80,GR80,GX80,HD80,HJ80))</x:f>
      </x:c>
      <x:c r="HQ80" s="27" t="str">
        <x:f>IF(C80="","",SUM(I80,O80,U80,AA80,AG80,AM80,AS80,AY80,BE80,BK80,BQ80,BW80,CC80,CI80,CO80,CU80,DA80,DG80,DM80,DS80,DY80,EE80,EK80,EQ80,EW80,FC80,FI80,FO80,FU80,GA80,GG80,GM80,GS80,GY80,HE80,HK80))</x:f>
      </x:c>
      <x:c r="HR80" s="27" t="str">
        <x:f>IF(C80="","",SUM(J80,P80,V80,AB80,AH80,AN80,AT80,AZ80,BF80,BL80,BR80,BX80,CD80,CJ80,CP80,CV80,DB80,DH80,DN80,DT80,DZ80,EF80,EL80,ER80,EX80,FD80,FJ80,FP80,FV80,GB80,GH80,GN80,GT80,GZ80,HF80,HL80))</x:f>
      </x:c>
      <x:c r="HS80" s="27" t="str">
        <x:f>IF(C80="","",SUM(K80,Q80,W80,AC80,AI80,AO80,AU80,BA80,BG80,BM80,BS80,BY80,CE80,CK80,CQ80,CW80,DC80,DI80,DO80,DU80,EA80,EG80,EM80,ES80,EY80,FE80,FK80,FQ80,FW80,GC80,GI80,GO80,GU80,HA80,HG80,HM80))</x:f>
      </x:c>
      <x:c r="HT80" s="27" t="str">
        <x:f>IF(C80="","",SUM(L80,R80,X80,AD80,AJ80,AP80,AV80,BB80,BH80,BN80,BT80,BZ80,CF80,CL80,CR80,CX80,DD80,DJ80,DP80,DV80,EB80,EH80,EN80,ET80,EZ80,FF80,FL80,FR80,FX80,GD80,GJ80,GP80,GV80,HB80,HH80,HN80))</x:f>
      </x:c>
      <x:c r="HU80" s="27" t="str">
        <x:f>IF(C80="","",SUM(M80,S80,Y80,AE80,AK80,AQ80,AW80,BC80,BI80,BO80,BU80,CA80,CG80,CM80,CS80,CY80,DE80,DK80,DQ80,DW80,EC80,EI80,EO80,EU80,FA80,FG80,FM80,FS80,FY80,GE80,GK80,GQ80,GW80,HC80,HI80,HO80))</x:f>
      </x:c>
      <x:c r="HV80" s="27" t="str">
        <x:f>IF(C80="","",IF(JI80=LARGE(JI80:JN80,1),"R",IF(JJ80=LARGE(JI80:JN80,1),"I",IF(JK80=LARGE(JI80:JN80,1),"A",IF(JL80=LARGE(JI80:JN80,1),"S",IF(JM80=LARGE(JI80:JN80,1),"E",IF(JN80=LARGE(JI80:JN80,1),"C",""))))))&amp;IF(JI80=LARGE(JI80:JN80,2),"R",IF(JJ80=LARGE(JI80:JN80,2),"I",IF(JK80=LARGE(JI80:JN80,2),"A",IF(JL80=LARGE(JI80:JN80,2),"S",IF(JM80=LARGE(JI80:JN80,2),"E",IF(JN80=LARGE(JI80:JN80,2),"C",""))))))&amp;IF(JI80=LARGE(JI80:JN80,3),"R",IF(JJ80=LARGE(JI80:JN80,3),"I",IF(JK80=LARGE(JI80:JN80,3),"A",IF(JL80=LARGE(JI80:JN80,3),"S",IF(JM80=LARGE(JI80:JN80,3),"E",IF(JN80=LARGE(JI80:JN80,3),"C","")))))))</x:f>
      </x:c>
      <x:c r="HW80" s="27" t="str">
        <x:f>IF(C80="","",IF(JI80=LARGE(JI80:JN80,1),"นักปฏิบัติ",IF(JJ80=LARGE(JI80:JN80,1),"นักคิดวิเคราะห์",IF(JK80=LARGE(JI80:JN80,1),"นักสร้างสรรค์",IF(JL80=LARGE(JI80:JN80,1),"ผู้เข้าใจผู้คน",IF(JM80=LARGE(JI80:JN80,1),"ผู้นำการเปลี่ยนแปลง",IF(JN80=LARGE(JI80:JN80,1),"ผู้จัดระบบ","ผู้จัดระบบ")))))))</x:f>
      </x:c>
      <x:c r="HX80" s="27"/>
      <x:c r="HY80" s="27"/>
      <x:c r="HZ80" s="27"/>
      <x:c r="IA80" s="27"/>
      <x:c r="IB80" s="27"/>
      <x:c r="IC80" s="27"/>
      <x:c r="ID80" s="27"/>
      <x:c r="IE80" s="27"/>
      <x:c r="IF80" s="27"/>
      <x:c r="IG80" s="27"/>
      <x:c r="IH80" s="27"/>
      <x:c r="II80" s="27"/>
      <x:c r="IJ80" s="27"/>
      <x:c r="IK80" s="27" t="str">
        <x:f>IF(C80="","",SUM(H80,N80,T80,Z80,AF80,AL80,AR80,AX80,BD80,BJ80,BP80))</x:f>
      </x:c>
      <x:c r="IL80" s="27" t="str">
        <x:f>IF(C80="","",SUM(I80,O80,U80,AA80,AG80,AM80,AS80,AY80,BE80,BK80,BQ80))</x:f>
      </x:c>
      <x:c r="IM80" s="27" t="str">
        <x:f>IF(C80="","",SUM(J80,P80,V80,AB80,AH80,AN80,AT80,AZ80,BF80,BL80,BR80))</x:f>
      </x:c>
      <x:c r="IN80" s="27" t="str">
        <x:f>IF(C80="","",SUM(K80,Q80,W80,AC80,AI80,AO80,AU80,BA80,BG80,BM80,BS80))</x:f>
      </x:c>
      <x:c r="IO80" s="27" t="str">
        <x:f>IF(C80="","",SUM(L80,R80,X80,AD80,AJ80,AP80,AV80,BB80,BH80,BN80,BT80))</x:f>
      </x:c>
      <x:c r="IP80" s="27" t="str">
        <x:f>IF(C80="","",SUM(M80,S80,Y80,AE80,AK80,AQ80,AW80,BC80,BI80,BO80,BU80))</x:f>
      </x:c>
      <x:c r="IQ80" s="27" t="str">
        <x:f>IF(C80="","",SUM(BV80,CB80,CH80,CN80,CT80,CZ80,DF80,DL80,DR80,DX80,ED80))</x:f>
      </x:c>
      <x:c r="IR80" s="27" t="str">
        <x:f>IF(C80="","",SUM(BW80,CC80,CI80,CO80,CU80,DA80,DG80,DM80,DS80,DY80,EE80))</x:f>
      </x:c>
      <x:c r="IS80" s="27" t="str">
        <x:f>IF(C80="","",SUM(BX80,CD80,CJ80,CP80,CV80,DB80,DH80,DN80,DT80,DZ80,EF80))</x:f>
      </x:c>
      <x:c r="IT80" s="27" t="str">
        <x:f>IF(C80="","",SUM(BY80,CE80,CK80,CQ80,CW80,DC80,DI80,DO80,DU80,EA80,EG80))</x:f>
      </x:c>
      <x:c r="IU80" s="27" t="str">
        <x:f>IF(C80="","",SUM(BZ80,CF80,CL80,CR80,CX80,DD80,DJ80,DP80,DV80,EB80,EH80))</x:f>
      </x:c>
      <x:c r="IV80" s="27" t="str">
        <x:f>IF(C80="","",SUM(CA80,CG80,CM80,CS80,CY80,DE80,DK80,DQ80,DW80,EC80,EI80))</x:f>
      </x:c>
      <x:c r="IW80" s="27" t="str">
        <x:f>IF(C80="","",SUM(EJ80,EP80,EV80,FB80,FH80,FN80,FT80,FZ80,GF80,GL80,GR80,GX80,HD80,HJ80))</x:f>
      </x:c>
      <x:c r="IX80" s="27" t="str">
        <x:f>IF(C80="","",SUM(EK80,EQ80,EW80,FC80,FI80,FO80,FU80,GA80,GG80,GM80,GS80,GY80,HE80,HK80))</x:f>
      </x:c>
      <x:c r="IY80" s="27" t="str">
        <x:f>IF(C80="","",SUM(EL80,ER80,EX80,FD80,FJ80,FP80,FV80,GB80,GH80,GN80,GT80,GZ80,HF80,HL80))</x:f>
      </x:c>
      <x:c r="IZ80" s="27" t="str">
        <x:f>IF(C80="","",SUM(EM80,ES80,EY80,FE80,FK80,FQ80,FW80,GC80,GI80,GO80,GU80,HA80,HG80,HM80))</x:f>
      </x:c>
      <x:c r="JA80" s="27" t="str">
        <x:f>IF(C80="","",SUM(EN80,ET80,EZ80,FF80,FL80,FR80,FX80,GD80,GJ80,GP80,GV80,HB80,HH80,HN80))</x:f>
      </x:c>
      <x:c r="JB80" s="27" t="str">
        <x:f>IF(C80="","",SUM(EO80,EU80,FA80,FG80,FM80,FS80,FY80,GE80,GK80,GQ80,GW80,HC80,HI80,HO80))</x:f>
      </x:c>
      <x:c r="JC80" s="27" t="str">
        <x:f>IF(C80="","",0)</x:f>
      </x:c>
      <x:c r="JD80" s="27" t="str">
        <x:f>IF(C80="","",0)</x:f>
      </x:c>
      <x:c r="JE80" s="27" t="str">
        <x:f>IF(C80="","",0)</x:f>
      </x:c>
      <x:c r="JF80" s="27" t="str">
        <x:f>IF(C80="","",0)</x:f>
      </x:c>
      <x:c r="JG80" s="27" t="str">
        <x:f>IF(C80="","",0)</x:f>
      </x:c>
      <x:c r="JH80" s="27" t="str">
        <x:f>IF(C80="","",0)</x:f>
      </x:c>
      <x:c r="JI80" s="27" t="str">
        <x:f>IF(C80="","",HP80*1000000000+IW80*1000000+IQ80*10000+IK80*100+JC80+6/1000)</x:f>
      </x:c>
      <x:c r="JJ80" s="27" t="str">
        <x:f>IF(C80="","",HQ80*1000000000+IX80*1000000+IR80*10000+IL80*100+JD80+5/1000)</x:f>
      </x:c>
      <x:c r="JK80" s="27" t="str">
        <x:f>IF(C80="","",HR80*1000000000+IY80*1000000+IS80*10000+IM80*100+JE80+4/1000)</x:f>
      </x:c>
      <x:c r="JL80" s="27" t="str">
        <x:f>IF(C80="","",HS80*1000000000+IZ80*1000000+IT80*10000+IN80*100+JF80+3/1000)</x:f>
      </x:c>
      <x:c r="JM80" s="27" t="str">
        <x:f>IF(C80="","",HT80*1000000000+JA80*1000000+IU80*10000+IO80*100+JG80+2/1000)</x:f>
      </x:c>
      <x:c r="JN80" s="27" t="str">
        <x:f>IF(C80="","",HU80*1000000000+JB80*1000000+IV80*10000+IP80*100+JH80+1/1000)</x:f>
      </x:c>
    </x:row>
    <x:row r="81">
      <x:c r="A81" s="27"/>
      <x:c r="B81" s="28"/>
      <x:c r="C81" s="27"/>
      <x:c r="D81" s="27"/>
      <x:c r="E81" s="27"/>
      <x:c r="F81" s="27"/>
      <x:c r="G81" s="27"/>
      <x:c r="H81" s="27"/>
      <x:c r="I81" s="27"/>
      <x:c r="J81" s="27"/>
      <x:c r="K81" s="27"/>
      <x:c r="L81" s="27"/>
      <x:c r="M81" s="27"/>
      <x:c r="N81" s="27"/>
      <x:c r="O81" s="27"/>
      <x:c r="P81" s="27"/>
      <x:c r="Q81" s="27"/>
      <x:c r="R81" s="27"/>
      <x:c r="S81" s="27"/>
      <x:c r="T81" s="27"/>
      <x:c r="U81" s="27"/>
      <x:c r="V81" s="27"/>
      <x:c r="W81" s="27"/>
      <x:c r="X81" s="27"/>
      <x:c r="Y81" s="27"/>
      <x:c r="Z81" s="27"/>
      <x:c r="AA81" s="27"/>
      <x:c r="AB81" s="27"/>
      <x:c r="AC81" s="27"/>
      <x:c r="AD81" s="27"/>
      <x:c r="AE81" s="27"/>
      <x:c r="AF81" s="27"/>
      <x:c r="AG81" s="27"/>
      <x:c r="AH81" s="27"/>
      <x:c r="AI81" s="27"/>
      <x:c r="AJ81" s="27"/>
      <x:c r="AK81" s="27"/>
      <x:c r="AL81" s="27"/>
      <x:c r="AM81" s="27"/>
      <x:c r="AN81" s="27"/>
      <x:c r="AO81" s="27"/>
      <x:c r="AP81" s="27"/>
      <x:c r="AQ81" s="27"/>
      <x:c r="AR81" s="27"/>
      <x:c r="AS81" s="27"/>
      <x:c r="AT81" s="27"/>
      <x:c r="AU81" s="27"/>
      <x:c r="AV81" s="27"/>
      <x:c r="AW81" s="27"/>
      <x:c r="AX81" s="27"/>
      <x:c r="AY81" s="27"/>
      <x:c r="AZ81" s="27"/>
      <x:c r="BA81" s="27"/>
      <x:c r="BB81" s="27"/>
      <x:c r="BC81" s="27"/>
      <x:c r="BD81" s="27"/>
      <x:c r="BE81" s="27"/>
      <x:c r="BF81" s="27"/>
      <x:c r="BG81" s="27"/>
      <x:c r="BH81" s="27"/>
      <x:c r="BI81" s="27"/>
      <x:c r="BJ81" s="27"/>
      <x:c r="BK81" s="27"/>
      <x:c r="BL81" s="27"/>
      <x:c r="BM81" s="27"/>
      <x:c r="BN81" s="27"/>
      <x:c r="BO81" s="27"/>
      <x:c r="BP81" s="27"/>
      <x:c r="BQ81" s="27"/>
      <x:c r="BR81" s="27"/>
      <x:c r="BS81" s="27"/>
      <x:c r="BT81" s="27"/>
      <x:c r="BU81" s="27"/>
      <x:c r="BV81" s="27"/>
      <x:c r="BW81" s="27"/>
      <x:c r="BX81" s="27"/>
      <x:c r="BY81" s="27"/>
      <x:c r="BZ81" s="27"/>
      <x:c r="CA81" s="27"/>
      <x:c r="CB81" s="27"/>
      <x:c r="CC81" s="27"/>
      <x:c r="CD81" s="27"/>
      <x:c r="CE81" s="27"/>
      <x:c r="CF81" s="27"/>
      <x:c r="CG81" s="27"/>
      <x:c r="CH81" s="27"/>
      <x:c r="CI81" s="27"/>
      <x:c r="CJ81" s="27"/>
      <x:c r="CK81" s="27"/>
      <x:c r="CL81" s="27"/>
      <x:c r="CM81" s="27"/>
      <x:c r="CN81" s="27"/>
      <x:c r="CO81" s="27"/>
      <x:c r="CP81" s="27"/>
      <x:c r="CQ81" s="27"/>
      <x:c r="CR81" s="27"/>
      <x:c r="CS81" s="27"/>
      <x:c r="CT81" s="27"/>
      <x:c r="CU81" s="27"/>
      <x:c r="CV81" s="27"/>
      <x:c r="CW81" s="27"/>
      <x:c r="CX81" s="27"/>
      <x:c r="CY81" s="27"/>
      <x:c r="CZ81" s="27"/>
      <x:c r="DA81" s="27"/>
      <x:c r="DB81" s="27"/>
      <x:c r="DC81" s="27"/>
      <x:c r="DD81" s="27"/>
      <x:c r="DE81" s="27"/>
      <x:c r="DF81" s="27"/>
      <x:c r="DG81" s="27"/>
      <x:c r="DH81" s="27"/>
      <x:c r="DI81" s="27"/>
      <x:c r="DJ81" s="27"/>
      <x:c r="DK81" s="27"/>
      <x:c r="DL81" s="27"/>
      <x:c r="DM81" s="27"/>
      <x:c r="DN81" s="27"/>
      <x:c r="DO81" s="27"/>
      <x:c r="DP81" s="27"/>
      <x:c r="DQ81" s="27"/>
      <x:c r="DR81" s="27"/>
      <x:c r="DS81" s="27"/>
      <x:c r="DT81" s="27"/>
      <x:c r="DU81" s="27"/>
      <x:c r="DV81" s="27"/>
      <x:c r="DW81" s="27"/>
      <x:c r="DX81" s="27"/>
      <x:c r="DY81" s="27"/>
      <x:c r="DZ81" s="27"/>
      <x:c r="EA81" s="27"/>
      <x:c r="EB81" s="27"/>
      <x:c r="EC81" s="27"/>
      <x:c r="ED81" s="27"/>
      <x:c r="EE81" s="27"/>
      <x:c r="EF81" s="27"/>
      <x:c r="EG81" s="27"/>
      <x:c r="EH81" s="27"/>
      <x:c r="EI81" s="27"/>
      <x:c r="EJ81" s="27"/>
      <x:c r="EK81" s="27"/>
      <x:c r="EL81" s="27"/>
      <x:c r="EM81" s="27"/>
      <x:c r="EN81" s="27"/>
      <x:c r="EO81" s="27"/>
      <x:c r="EP81" s="27"/>
      <x:c r="EQ81" s="27"/>
      <x:c r="ER81" s="27"/>
      <x:c r="ES81" s="27"/>
      <x:c r="ET81" s="27"/>
      <x:c r="EU81" s="27"/>
      <x:c r="EV81" s="27"/>
      <x:c r="EW81" s="27"/>
      <x:c r="EX81" s="27"/>
      <x:c r="EY81" s="27"/>
      <x:c r="EZ81" s="27"/>
      <x:c r="FA81" s="27"/>
      <x:c r="FB81" s="27"/>
      <x:c r="FC81" s="27"/>
      <x:c r="FD81" s="27"/>
      <x:c r="FE81" s="27"/>
      <x:c r="FF81" s="27"/>
      <x:c r="FG81" s="27"/>
      <x:c r="FH81" s="27"/>
      <x:c r="FI81" s="27"/>
      <x:c r="FJ81" s="27"/>
      <x:c r="FK81" s="27"/>
      <x:c r="FL81" s="27"/>
      <x:c r="FM81" s="27"/>
      <x:c r="FN81" s="27"/>
      <x:c r="FO81" s="27"/>
      <x:c r="FP81" s="27"/>
      <x:c r="FQ81" s="27"/>
      <x:c r="FR81" s="27"/>
      <x:c r="FS81" s="27"/>
      <x:c r="FT81" s="27"/>
      <x:c r="FU81" s="27"/>
      <x:c r="FV81" s="27"/>
      <x:c r="FW81" s="27"/>
      <x:c r="FX81" s="27"/>
      <x:c r="FY81" s="27"/>
      <x:c r="FZ81" s="27"/>
      <x:c r="GA81" s="27"/>
      <x:c r="GB81" s="27"/>
      <x:c r="GC81" s="27"/>
      <x:c r="GD81" s="27"/>
      <x:c r="GE81" s="27"/>
      <x:c r="GF81" s="27"/>
      <x:c r="GG81" s="27"/>
      <x:c r="GH81" s="27"/>
      <x:c r="GI81" s="27"/>
      <x:c r="GJ81" s="27"/>
      <x:c r="GK81" s="27"/>
      <x:c r="GL81" s="27"/>
      <x:c r="GM81" s="27"/>
      <x:c r="GN81" s="27"/>
      <x:c r="GO81" s="27"/>
      <x:c r="GP81" s="27"/>
      <x:c r="GQ81" s="27"/>
      <x:c r="GR81" s="27"/>
      <x:c r="GS81" s="27"/>
      <x:c r="GT81" s="27"/>
      <x:c r="GU81" s="27"/>
      <x:c r="GV81" s="27"/>
      <x:c r="GW81" s="27"/>
      <x:c r="GX81" s="27"/>
      <x:c r="GY81" s="27"/>
      <x:c r="GZ81" s="27"/>
      <x:c r="HA81" s="27"/>
      <x:c r="HB81" s="27"/>
      <x:c r="HC81" s="27"/>
      <x:c r="HD81" s="27"/>
      <x:c r="HE81" s="27"/>
      <x:c r="HF81" s="27"/>
      <x:c r="HG81" s="27"/>
      <x:c r="HH81" s="27"/>
      <x:c r="HI81" s="27"/>
      <x:c r="HJ81" s="27"/>
      <x:c r="HK81" s="27"/>
      <x:c r="HL81" s="27"/>
      <x:c r="HM81" s="27"/>
      <x:c r="HN81" s="27"/>
      <x:c r="HO81" s="27"/>
      <x:c r="HP81" s="27" t="str">
        <x:f>IF(C81="","",SUM(H81,N81,T81,Z81,AF81,AL81,AR81,AX81,BD81,BJ81,BP81,BV81,CB81,CH81,CN81,CT81,CZ81,DF81,DL81,DR81,DX81,ED81,EJ81,EP81,EV81,FB81,FH81,FN81,FT81,FZ81,GF81,GL81,GR81,GX81,HD81,HJ81))</x:f>
      </x:c>
      <x:c r="HQ81" s="27" t="str">
        <x:f>IF(C81="","",SUM(I81,O81,U81,AA81,AG81,AM81,AS81,AY81,BE81,BK81,BQ81,BW81,CC81,CI81,CO81,CU81,DA81,DG81,DM81,DS81,DY81,EE81,EK81,EQ81,EW81,FC81,FI81,FO81,FU81,GA81,GG81,GM81,GS81,GY81,HE81,HK81))</x:f>
      </x:c>
      <x:c r="HR81" s="27" t="str">
        <x:f>IF(C81="","",SUM(J81,P81,V81,AB81,AH81,AN81,AT81,AZ81,BF81,BL81,BR81,BX81,CD81,CJ81,CP81,CV81,DB81,DH81,DN81,DT81,DZ81,EF81,EL81,ER81,EX81,FD81,FJ81,FP81,FV81,GB81,GH81,GN81,GT81,GZ81,HF81,HL81))</x:f>
      </x:c>
      <x:c r="HS81" s="27" t="str">
        <x:f>IF(C81="","",SUM(K81,Q81,W81,AC81,AI81,AO81,AU81,BA81,BG81,BM81,BS81,BY81,CE81,CK81,CQ81,CW81,DC81,DI81,DO81,DU81,EA81,EG81,EM81,ES81,EY81,FE81,FK81,FQ81,FW81,GC81,GI81,GO81,GU81,HA81,HG81,HM81))</x:f>
      </x:c>
      <x:c r="HT81" s="27" t="str">
        <x:f>IF(C81="","",SUM(L81,R81,X81,AD81,AJ81,AP81,AV81,BB81,BH81,BN81,BT81,BZ81,CF81,CL81,CR81,CX81,DD81,DJ81,DP81,DV81,EB81,EH81,EN81,ET81,EZ81,FF81,FL81,FR81,FX81,GD81,GJ81,GP81,GV81,HB81,HH81,HN81))</x:f>
      </x:c>
      <x:c r="HU81" s="27" t="str">
        <x:f>IF(C81="","",SUM(M81,S81,Y81,AE81,AK81,AQ81,AW81,BC81,BI81,BO81,BU81,CA81,CG81,CM81,CS81,CY81,DE81,DK81,DQ81,DW81,EC81,EI81,EO81,EU81,FA81,FG81,FM81,FS81,FY81,GE81,GK81,GQ81,GW81,HC81,HI81,HO81))</x:f>
      </x:c>
      <x:c r="HV81" s="27" t="str">
        <x:f>IF(C81="","",IF(JI81=LARGE(JI81:JN81,1),"R",IF(JJ81=LARGE(JI81:JN81,1),"I",IF(JK81=LARGE(JI81:JN81,1),"A",IF(JL81=LARGE(JI81:JN81,1),"S",IF(JM81=LARGE(JI81:JN81,1),"E",IF(JN81=LARGE(JI81:JN81,1),"C",""))))))&amp;IF(JI81=LARGE(JI81:JN81,2),"R",IF(JJ81=LARGE(JI81:JN81,2),"I",IF(JK81=LARGE(JI81:JN81,2),"A",IF(JL81=LARGE(JI81:JN81,2),"S",IF(JM81=LARGE(JI81:JN81,2),"E",IF(JN81=LARGE(JI81:JN81,2),"C",""))))))&amp;IF(JI81=LARGE(JI81:JN81,3),"R",IF(JJ81=LARGE(JI81:JN81,3),"I",IF(JK81=LARGE(JI81:JN81,3),"A",IF(JL81=LARGE(JI81:JN81,3),"S",IF(JM81=LARGE(JI81:JN81,3),"E",IF(JN81=LARGE(JI81:JN81,3),"C","")))))))</x:f>
      </x:c>
      <x:c r="HW81" s="27" t="str">
        <x:f>IF(C81="","",IF(JI81=LARGE(JI81:JN81,1),"นักปฏิบัติ",IF(JJ81=LARGE(JI81:JN81,1),"นักคิดวิเคราะห์",IF(JK81=LARGE(JI81:JN81,1),"นักสร้างสรรค์",IF(JL81=LARGE(JI81:JN81,1),"ผู้เข้าใจผู้คน",IF(JM81=LARGE(JI81:JN81,1),"ผู้นำการเปลี่ยนแปลง",IF(JN81=LARGE(JI81:JN81,1),"ผู้จัดระบบ","ผู้จัดระบบ")))))))</x:f>
      </x:c>
      <x:c r="HX81" s="27"/>
      <x:c r="HY81" s="27"/>
      <x:c r="HZ81" s="27"/>
      <x:c r="IA81" s="27"/>
      <x:c r="IB81" s="27"/>
      <x:c r="IC81" s="27"/>
      <x:c r="ID81" s="27"/>
      <x:c r="IE81" s="27"/>
      <x:c r="IF81" s="27"/>
      <x:c r="IG81" s="27"/>
      <x:c r="IH81" s="27"/>
      <x:c r="II81" s="27"/>
      <x:c r="IJ81" s="27"/>
      <x:c r="IK81" s="27" t="str">
        <x:f>IF(C81="","",SUM(H81,N81,T81,Z81,AF81,AL81,AR81,AX81,BD81,BJ81,BP81))</x:f>
      </x:c>
      <x:c r="IL81" s="27" t="str">
        <x:f>IF(C81="","",SUM(I81,O81,U81,AA81,AG81,AM81,AS81,AY81,BE81,BK81,BQ81))</x:f>
      </x:c>
      <x:c r="IM81" s="27" t="str">
        <x:f>IF(C81="","",SUM(J81,P81,V81,AB81,AH81,AN81,AT81,AZ81,BF81,BL81,BR81))</x:f>
      </x:c>
      <x:c r="IN81" s="27" t="str">
        <x:f>IF(C81="","",SUM(K81,Q81,W81,AC81,AI81,AO81,AU81,BA81,BG81,BM81,BS81))</x:f>
      </x:c>
      <x:c r="IO81" s="27" t="str">
        <x:f>IF(C81="","",SUM(L81,R81,X81,AD81,AJ81,AP81,AV81,BB81,BH81,BN81,BT81))</x:f>
      </x:c>
      <x:c r="IP81" s="27" t="str">
        <x:f>IF(C81="","",SUM(M81,S81,Y81,AE81,AK81,AQ81,AW81,BC81,BI81,BO81,BU81))</x:f>
      </x:c>
      <x:c r="IQ81" s="27" t="str">
        <x:f>IF(C81="","",SUM(BV81,CB81,CH81,CN81,CT81,CZ81,DF81,DL81,DR81,DX81,ED81))</x:f>
      </x:c>
      <x:c r="IR81" s="27" t="str">
        <x:f>IF(C81="","",SUM(BW81,CC81,CI81,CO81,CU81,DA81,DG81,DM81,DS81,DY81,EE81))</x:f>
      </x:c>
      <x:c r="IS81" s="27" t="str">
        <x:f>IF(C81="","",SUM(BX81,CD81,CJ81,CP81,CV81,DB81,DH81,DN81,DT81,DZ81,EF81))</x:f>
      </x:c>
      <x:c r="IT81" s="27" t="str">
        <x:f>IF(C81="","",SUM(BY81,CE81,CK81,CQ81,CW81,DC81,DI81,DO81,DU81,EA81,EG81))</x:f>
      </x:c>
      <x:c r="IU81" s="27" t="str">
        <x:f>IF(C81="","",SUM(BZ81,CF81,CL81,CR81,CX81,DD81,DJ81,DP81,DV81,EB81,EH81))</x:f>
      </x:c>
      <x:c r="IV81" s="27" t="str">
        <x:f>IF(C81="","",SUM(CA81,CG81,CM81,CS81,CY81,DE81,DK81,DQ81,DW81,EC81,EI81))</x:f>
      </x:c>
      <x:c r="IW81" s="27" t="str">
        <x:f>IF(C81="","",SUM(EJ81,EP81,EV81,FB81,FH81,FN81,FT81,FZ81,GF81,GL81,GR81,GX81,HD81,HJ81))</x:f>
      </x:c>
      <x:c r="IX81" s="27" t="str">
        <x:f>IF(C81="","",SUM(EK81,EQ81,EW81,FC81,FI81,FO81,FU81,GA81,GG81,GM81,GS81,GY81,HE81,HK81))</x:f>
      </x:c>
      <x:c r="IY81" s="27" t="str">
        <x:f>IF(C81="","",SUM(EL81,ER81,EX81,FD81,FJ81,FP81,FV81,GB81,GH81,GN81,GT81,GZ81,HF81,HL81))</x:f>
      </x:c>
      <x:c r="IZ81" s="27" t="str">
        <x:f>IF(C81="","",SUM(EM81,ES81,EY81,FE81,FK81,FQ81,FW81,GC81,GI81,GO81,GU81,HA81,HG81,HM81))</x:f>
      </x:c>
      <x:c r="JA81" s="27" t="str">
        <x:f>IF(C81="","",SUM(EN81,ET81,EZ81,FF81,FL81,FR81,FX81,GD81,GJ81,GP81,GV81,HB81,HH81,HN81))</x:f>
      </x:c>
      <x:c r="JB81" s="27" t="str">
        <x:f>IF(C81="","",SUM(EO81,EU81,FA81,FG81,FM81,FS81,FY81,GE81,GK81,GQ81,GW81,HC81,HI81,HO81))</x:f>
      </x:c>
      <x:c r="JC81" s="27" t="str">
        <x:f>IF(C81="","",0)</x:f>
      </x:c>
      <x:c r="JD81" s="27" t="str">
        <x:f>IF(C81="","",0)</x:f>
      </x:c>
      <x:c r="JE81" s="27" t="str">
        <x:f>IF(C81="","",0)</x:f>
      </x:c>
      <x:c r="JF81" s="27" t="str">
        <x:f>IF(C81="","",0)</x:f>
      </x:c>
      <x:c r="JG81" s="27" t="str">
        <x:f>IF(C81="","",0)</x:f>
      </x:c>
      <x:c r="JH81" s="27" t="str">
        <x:f>IF(C81="","",0)</x:f>
      </x:c>
      <x:c r="JI81" s="27" t="str">
        <x:f>IF(C81="","",HP81*1000000000+IW81*1000000+IQ81*10000+IK81*100+JC81+6/1000)</x:f>
      </x:c>
      <x:c r="JJ81" s="27" t="str">
        <x:f>IF(C81="","",HQ81*1000000000+IX81*1000000+IR81*10000+IL81*100+JD81+5/1000)</x:f>
      </x:c>
      <x:c r="JK81" s="27" t="str">
        <x:f>IF(C81="","",HR81*1000000000+IY81*1000000+IS81*10000+IM81*100+JE81+4/1000)</x:f>
      </x:c>
      <x:c r="JL81" s="27" t="str">
        <x:f>IF(C81="","",HS81*1000000000+IZ81*1000000+IT81*10000+IN81*100+JF81+3/1000)</x:f>
      </x:c>
      <x:c r="JM81" s="27" t="str">
        <x:f>IF(C81="","",HT81*1000000000+JA81*1000000+IU81*10000+IO81*100+JG81+2/1000)</x:f>
      </x:c>
      <x:c r="JN81" s="27" t="str">
        <x:f>IF(C81="","",HU81*1000000000+JB81*1000000+IV81*10000+IP81*100+JH81+1/1000)</x:f>
      </x:c>
    </x:row>
    <x:row r="82">
      <x:c r="A82" s="27"/>
      <x:c r="B82" s="28"/>
      <x:c r="C82" s="27"/>
      <x:c r="D82" s="27"/>
      <x:c r="E82" s="27"/>
      <x:c r="F82" s="27"/>
      <x:c r="G82" s="27"/>
      <x:c r="H82" s="27"/>
      <x:c r="I82" s="27"/>
      <x:c r="J82" s="27"/>
      <x:c r="K82" s="27"/>
      <x:c r="L82" s="27"/>
      <x:c r="M82" s="27"/>
      <x:c r="N82" s="27"/>
      <x:c r="O82" s="27"/>
      <x:c r="P82" s="27"/>
      <x:c r="Q82" s="27"/>
      <x:c r="R82" s="27"/>
      <x:c r="S82" s="27"/>
      <x:c r="T82" s="27"/>
      <x:c r="U82" s="27"/>
      <x:c r="V82" s="27"/>
      <x:c r="W82" s="27"/>
      <x:c r="X82" s="27"/>
      <x:c r="Y82" s="27"/>
      <x:c r="Z82" s="27"/>
      <x:c r="AA82" s="27"/>
      <x:c r="AB82" s="27"/>
      <x:c r="AC82" s="27"/>
      <x:c r="AD82" s="27"/>
      <x:c r="AE82" s="27"/>
      <x:c r="AF82" s="27"/>
      <x:c r="AG82" s="27"/>
      <x:c r="AH82" s="27"/>
      <x:c r="AI82" s="27"/>
      <x:c r="AJ82" s="27"/>
      <x:c r="AK82" s="27"/>
      <x:c r="AL82" s="27"/>
      <x:c r="AM82" s="27"/>
      <x:c r="AN82" s="27"/>
      <x:c r="AO82" s="27"/>
      <x:c r="AP82" s="27"/>
      <x:c r="AQ82" s="27"/>
      <x:c r="AR82" s="27"/>
      <x:c r="AS82" s="27"/>
      <x:c r="AT82" s="27"/>
      <x:c r="AU82" s="27"/>
      <x:c r="AV82" s="27"/>
      <x:c r="AW82" s="27"/>
      <x:c r="AX82" s="27"/>
      <x:c r="AY82" s="27"/>
      <x:c r="AZ82" s="27"/>
      <x:c r="BA82" s="27"/>
      <x:c r="BB82" s="27"/>
      <x:c r="BC82" s="27"/>
      <x:c r="BD82" s="27"/>
      <x:c r="BE82" s="27"/>
      <x:c r="BF82" s="27"/>
      <x:c r="BG82" s="27"/>
      <x:c r="BH82" s="27"/>
      <x:c r="BI82" s="27"/>
      <x:c r="BJ82" s="27"/>
      <x:c r="BK82" s="27"/>
      <x:c r="BL82" s="27"/>
      <x:c r="BM82" s="27"/>
      <x:c r="BN82" s="27"/>
      <x:c r="BO82" s="27"/>
      <x:c r="BP82" s="27"/>
      <x:c r="BQ82" s="27"/>
      <x:c r="BR82" s="27"/>
      <x:c r="BS82" s="27"/>
      <x:c r="BT82" s="27"/>
      <x:c r="BU82" s="27"/>
      <x:c r="BV82" s="27"/>
      <x:c r="BW82" s="27"/>
      <x:c r="BX82" s="27"/>
      <x:c r="BY82" s="27"/>
      <x:c r="BZ82" s="27"/>
      <x:c r="CA82" s="27"/>
      <x:c r="CB82" s="27"/>
      <x:c r="CC82" s="27"/>
      <x:c r="CD82" s="27"/>
      <x:c r="CE82" s="27"/>
      <x:c r="CF82" s="27"/>
      <x:c r="CG82" s="27"/>
      <x:c r="CH82" s="27"/>
      <x:c r="CI82" s="27"/>
      <x:c r="CJ82" s="27"/>
      <x:c r="CK82" s="27"/>
      <x:c r="CL82" s="27"/>
      <x:c r="CM82" s="27"/>
      <x:c r="CN82" s="27"/>
      <x:c r="CO82" s="27"/>
      <x:c r="CP82" s="27"/>
      <x:c r="CQ82" s="27"/>
      <x:c r="CR82" s="27"/>
      <x:c r="CS82" s="27"/>
      <x:c r="CT82" s="27"/>
      <x:c r="CU82" s="27"/>
      <x:c r="CV82" s="27"/>
      <x:c r="CW82" s="27"/>
      <x:c r="CX82" s="27"/>
      <x:c r="CY82" s="27"/>
      <x:c r="CZ82" s="27"/>
      <x:c r="DA82" s="27"/>
      <x:c r="DB82" s="27"/>
      <x:c r="DC82" s="27"/>
      <x:c r="DD82" s="27"/>
      <x:c r="DE82" s="27"/>
      <x:c r="DF82" s="27"/>
      <x:c r="DG82" s="27"/>
      <x:c r="DH82" s="27"/>
      <x:c r="DI82" s="27"/>
      <x:c r="DJ82" s="27"/>
      <x:c r="DK82" s="27"/>
      <x:c r="DL82" s="27"/>
      <x:c r="DM82" s="27"/>
      <x:c r="DN82" s="27"/>
      <x:c r="DO82" s="27"/>
      <x:c r="DP82" s="27"/>
      <x:c r="DQ82" s="27"/>
      <x:c r="DR82" s="27"/>
      <x:c r="DS82" s="27"/>
      <x:c r="DT82" s="27"/>
      <x:c r="DU82" s="27"/>
      <x:c r="DV82" s="27"/>
      <x:c r="DW82" s="27"/>
      <x:c r="DX82" s="27"/>
      <x:c r="DY82" s="27"/>
      <x:c r="DZ82" s="27"/>
      <x:c r="EA82" s="27"/>
      <x:c r="EB82" s="27"/>
      <x:c r="EC82" s="27"/>
      <x:c r="ED82" s="27"/>
      <x:c r="EE82" s="27"/>
      <x:c r="EF82" s="27"/>
      <x:c r="EG82" s="27"/>
      <x:c r="EH82" s="27"/>
      <x:c r="EI82" s="27"/>
      <x:c r="EJ82" s="27"/>
      <x:c r="EK82" s="27"/>
      <x:c r="EL82" s="27"/>
      <x:c r="EM82" s="27"/>
      <x:c r="EN82" s="27"/>
      <x:c r="EO82" s="27"/>
      <x:c r="EP82" s="27"/>
      <x:c r="EQ82" s="27"/>
      <x:c r="ER82" s="27"/>
      <x:c r="ES82" s="27"/>
      <x:c r="ET82" s="27"/>
      <x:c r="EU82" s="27"/>
      <x:c r="EV82" s="27"/>
      <x:c r="EW82" s="27"/>
      <x:c r="EX82" s="27"/>
      <x:c r="EY82" s="27"/>
      <x:c r="EZ82" s="27"/>
      <x:c r="FA82" s="27"/>
      <x:c r="FB82" s="27"/>
      <x:c r="FC82" s="27"/>
      <x:c r="FD82" s="27"/>
      <x:c r="FE82" s="27"/>
      <x:c r="FF82" s="27"/>
      <x:c r="FG82" s="27"/>
      <x:c r="FH82" s="27"/>
      <x:c r="FI82" s="27"/>
      <x:c r="FJ82" s="27"/>
      <x:c r="FK82" s="27"/>
      <x:c r="FL82" s="27"/>
      <x:c r="FM82" s="27"/>
      <x:c r="FN82" s="27"/>
      <x:c r="FO82" s="27"/>
      <x:c r="FP82" s="27"/>
      <x:c r="FQ82" s="27"/>
      <x:c r="FR82" s="27"/>
      <x:c r="FS82" s="27"/>
      <x:c r="FT82" s="27"/>
      <x:c r="FU82" s="27"/>
      <x:c r="FV82" s="27"/>
      <x:c r="FW82" s="27"/>
      <x:c r="FX82" s="27"/>
      <x:c r="FY82" s="27"/>
      <x:c r="FZ82" s="27"/>
      <x:c r="GA82" s="27"/>
      <x:c r="GB82" s="27"/>
      <x:c r="GC82" s="27"/>
      <x:c r="GD82" s="27"/>
      <x:c r="GE82" s="27"/>
      <x:c r="GF82" s="27"/>
      <x:c r="GG82" s="27"/>
      <x:c r="GH82" s="27"/>
      <x:c r="GI82" s="27"/>
      <x:c r="GJ82" s="27"/>
      <x:c r="GK82" s="27"/>
      <x:c r="GL82" s="27"/>
      <x:c r="GM82" s="27"/>
      <x:c r="GN82" s="27"/>
      <x:c r="GO82" s="27"/>
      <x:c r="GP82" s="27"/>
      <x:c r="GQ82" s="27"/>
      <x:c r="GR82" s="27"/>
      <x:c r="GS82" s="27"/>
      <x:c r="GT82" s="27"/>
      <x:c r="GU82" s="27"/>
      <x:c r="GV82" s="27"/>
      <x:c r="GW82" s="27"/>
      <x:c r="GX82" s="27"/>
      <x:c r="GY82" s="27"/>
      <x:c r="GZ82" s="27"/>
      <x:c r="HA82" s="27"/>
      <x:c r="HB82" s="27"/>
      <x:c r="HC82" s="27"/>
      <x:c r="HD82" s="27"/>
      <x:c r="HE82" s="27"/>
      <x:c r="HF82" s="27"/>
      <x:c r="HG82" s="27"/>
      <x:c r="HH82" s="27"/>
      <x:c r="HI82" s="27"/>
      <x:c r="HJ82" s="27"/>
      <x:c r="HK82" s="27"/>
      <x:c r="HL82" s="27"/>
      <x:c r="HM82" s="27"/>
      <x:c r="HN82" s="27"/>
      <x:c r="HO82" s="27"/>
      <x:c r="HP82" s="27" t="str">
        <x:f>IF(C82="","",SUM(H82,N82,T82,Z82,AF82,AL82,AR82,AX82,BD82,BJ82,BP82,BV82,CB82,CH82,CN82,CT82,CZ82,DF82,DL82,DR82,DX82,ED82,EJ82,EP82,EV82,FB82,FH82,FN82,FT82,FZ82,GF82,GL82,GR82,GX82,HD82,HJ82))</x:f>
      </x:c>
      <x:c r="HQ82" s="27" t="str">
        <x:f>IF(C82="","",SUM(I82,O82,U82,AA82,AG82,AM82,AS82,AY82,BE82,BK82,BQ82,BW82,CC82,CI82,CO82,CU82,DA82,DG82,DM82,DS82,DY82,EE82,EK82,EQ82,EW82,FC82,FI82,FO82,FU82,GA82,GG82,GM82,GS82,GY82,HE82,HK82))</x:f>
      </x:c>
      <x:c r="HR82" s="27" t="str">
        <x:f>IF(C82="","",SUM(J82,P82,V82,AB82,AH82,AN82,AT82,AZ82,BF82,BL82,BR82,BX82,CD82,CJ82,CP82,CV82,DB82,DH82,DN82,DT82,DZ82,EF82,EL82,ER82,EX82,FD82,FJ82,FP82,FV82,GB82,GH82,GN82,GT82,GZ82,HF82,HL82))</x:f>
      </x:c>
      <x:c r="HS82" s="27" t="str">
        <x:f>IF(C82="","",SUM(K82,Q82,W82,AC82,AI82,AO82,AU82,BA82,BG82,BM82,BS82,BY82,CE82,CK82,CQ82,CW82,DC82,DI82,DO82,DU82,EA82,EG82,EM82,ES82,EY82,FE82,FK82,FQ82,FW82,GC82,GI82,GO82,GU82,HA82,HG82,HM82))</x:f>
      </x:c>
      <x:c r="HT82" s="27" t="str">
        <x:f>IF(C82="","",SUM(L82,R82,X82,AD82,AJ82,AP82,AV82,BB82,BH82,BN82,BT82,BZ82,CF82,CL82,CR82,CX82,DD82,DJ82,DP82,DV82,EB82,EH82,EN82,ET82,EZ82,FF82,FL82,FR82,FX82,GD82,GJ82,GP82,GV82,HB82,HH82,HN82))</x:f>
      </x:c>
      <x:c r="HU82" s="27" t="str">
        <x:f>IF(C82="","",SUM(M82,S82,Y82,AE82,AK82,AQ82,AW82,BC82,BI82,BO82,BU82,CA82,CG82,CM82,CS82,CY82,DE82,DK82,DQ82,DW82,EC82,EI82,EO82,EU82,FA82,FG82,FM82,FS82,FY82,GE82,GK82,GQ82,GW82,HC82,HI82,HO82))</x:f>
      </x:c>
      <x:c r="HV82" s="27" t="str">
        <x:f>IF(C82="","",IF(JI82=LARGE(JI82:JN82,1),"R",IF(JJ82=LARGE(JI82:JN82,1),"I",IF(JK82=LARGE(JI82:JN82,1),"A",IF(JL82=LARGE(JI82:JN82,1),"S",IF(JM82=LARGE(JI82:JN82,1),"E",IF(JN82=LARGE(JI82:JN82,1),"C",""))))))&amp;IF(JI82=LARGE(JI82:JN82,2),"R",IF(JJ82=LARGE(JI82:JN82,2),"I",IF(JK82=LARGE(JI82:JN82,2),"A",IF(JL82=LARGE(JI82:JN82,2),"S",IF(JM82=LARGE(JI82:JN82,2),"E",IF(JN82=LARGE(JI82:JN82,2),"C",""))))))&amp;IF(JI82=LARGE(JI82:JN82,3),"R",IF(JJ82=LARGE(JI82:JN82,3),"I",IF(JK82=LARGE(JI82:JN82,3),"A",IF(JL82=LARGE(JI82:JN82,3),"S",IF(JM82=LARGE(JI82:JN82,3),"E",IF(JN82=LARGE(JI82:JN82,3),"C","")))))))</x:f>
      </x:c>
      <x:c r="HW82" s="27" t="str">
        <x:f>IF(C82="","",IF(JI82=LARGE(JI82:JN82,1),"นักปฏิบัติ",IF(JJ82=LARGE(JI82:JN82,1),"นักคิดวิเคราะห์",IF(JK82=LARGE(JI82:JN82,1),"นักสร้างสรรค์",IF(JL82=LARGE(JI82:JN82,1),"ผู้เข้าใจผู้คน",IF(JM82=LARGE(JI82:JN82,1),"ผู้นำการเปลี่ยนแปลง",IF(JN82=LARGE(JI82:JN82,1),"ผู้จัดระบบ","ผู้จัดระบบ")))))))</x:f>
      </x:c>
      <x:c r="HX82" s="27"/>
      <x:c r="HY82" s="27"/>
      <x:c r="HZ82" s="27"/>
      <x:c r="IA82" s="27"/>
      <x:c r="IB82" s="27"/>
      <x:c r="IC82" s="27"/>
      <x:c r="ID82" s="27"/>
      <x:c r="IE82" s="27"/>
      <x:c r="IF82" s="27"/>
      <x:c r="IG82" s="27"/>
      <x:c r="IH82" s="27"/>
      <x:c r="II82" s="27"/>
      <x:c r="IJ82" s="27"/>
      <x:c r="IK82" s="27" t="str">
        <x:f>IF(C82="","",SUM(H82,N82,T82,Z82,AF82,AL82,AR82,AX82,BD82,BJ82,BP82))</x:f>
      </x:c>
      <x:c r="IL82" s="27" t="str">
        <x:f>IF(C82="","",SUM(I82,O82,U82,AA82,AG82,AM82,AS82,AY82,BE82,BK82,BQ82))</x:f>
      </x:c>
      <x:c r="IM82" s="27" t="str">
        <x:f>IF(C82="","",SUM(J82,P82,V82,AB82,AH82,AN82,AT82,AZ82,BF82,BL82,BR82))</x:f>
      </x:c>
      <x:c r="IN82" s="27" t="str">
        <x:f>IF(C82="","",SUM(K82,Q82,W82,AC82,AI82,AO82,AU82,BA82,BG82,BM82,BS82))</x:f>
      </x:c>
      <x:c r="IO82" s="27" t="str">
        <x:f>IF(C82="","",SUM(L82,R82,X82,AD82,AJ82,AP82,AV82,BB82,BH82,BN82,BT82))</x:f>
      </x:c>
      <x:c r="IP82" s="27" t="str">
        <x:f>IF(C82="","",SUM(M82,S82,Y82,AE82,AK82,AQ82,AW82,BC82,BI82,BO82,BU82))</x:f>
      </x:c>
      <x:c r="IQ82" s="27" t="str">
        <x:f>IF(C82="","",SUM(BV82,CB82,CH82,CN82,CT82,CZ82,DF82,DL82,DR82,DX82,ED82))</x:f>
      </x:c>
      <x:c r="IR82" s="27" t="str">
        <x:f>IF(C82="","",SUM(BW82,CC82,CI82,CO82,CU82,DA82,DG82,DM82,DS82,DY82,EE82))</x:f>
      </x:c>
      <x:c r="IS82" s="27" t="str">
        <x:f>IF(C82="","",SUM(BX82,CD82,CJ82,CP82,CV82,DB82,DH82,DN82,DT82,DZ82,EF82))</x:f>
      </x:c>
      <x:c r="IT82" s="27" t="str">
        <x:f>IF(C82="","",SUM(BY82,CE82,CK82,CQ82,CW82,DC82,DI82,DO82,DU82,EA82,EG82))</x:f>
      </x:c>
      <x:c r="IU82" s="27" t="str">
        <x:f>IF(C82="","",SUM(BZ82,CF82,CL82,CR82,CX82,DD82,DJ82,DP82,DV82,EB82,EH82))</x:f>
      </x:c>
      <x:c r="IV82" s="27" t="str">
        <x:f>IF(C82="","",SUM(CA82,CG82,CM82,CS82,CY82,DE82,DK82,DQ82,DW82,EC82,EI82))</x:f>
      </x:c>
      <x:c r="IW82" s="27" t="str">
        <x:f>IF(C82="","",SUM(EJ82,EP82,EV82,FB82,FH82,FN82,FT82,FZ82,GF82,GL82,GR82,GX82,HD82,HJ82))</x:f>
      </x:c>
      <x:c r="IX82" s="27" t="str">
        <x:f>IF(C82="","",SUM(EK82,EQ82,EW82,FC82,FI82,FO82,FU82,GA82,GG82,GM82,GS82,GY82,HE82,HK82))</x:f>
      </x:c>
      <x:c r="IY82" s="27" t="str">
        <x:f>IF(C82="","",SUM(EL82,ER82,EX82,FD82,FJ82,FP82,FV82,GB82,GH82,GN82,GT82,GZ82,HF82,HL82))</x:f>
      </x:c>
      <x:c r="IZ82" s="27" t="str">
        <x:f>IF(C82="","",SUM(EM82,ES82,EY82,FE82,FK82,FQ82,FW82,GC82,GI82,GO82,GU82,HA82,HG82,HM82))</x:f>
      </x:c>
      <x:c r="JA82" s="27" t="str">
        <x:f>IF(C82="","",SUM(EN82,ET82,EZ82,FF82,FL82,FR82,FX82,GD82,GJ82,GP82,GV82,HB82,HH82,HN82))</x:f>
      </x:c>
      <x:c r="JB82" s="27" t="str">
        <x:f>IF(C82="","",SUM(EO82,EU82,FA82,FG82,FM82,FS82,FY82,GE82,GK82,GQ82,GW82,HC82,HI82,HO82))</x:f>
      </x:c>
      <x:c r="JC82" s="27" t="str">
        <x:f>IF(C82="","",0)</x:f>
      </x:c>
      <x:c r="JD82" s="27" t="str">
        <x:f>IF(C82="","",0)</x:f>
      </x:c>
      <x:c r="JE82" s="27" t="str">
        <x:f>IF(C82="","",0)</x:f>
      </x:c>
      <x:c r="JF82" s="27" t="str">
        <x:f>IF(C82="","",0)</x:f>
      </x:c>
      <x:c r="JG82" s="27" t="str">
        <x:f>IF(C82="","",0)</x:f>
      </x:c>
      <x:c r="JH82" s="27" t="str">
        <x:f>IF(C82="","",0)</x:f>
      </x:c>
      <x:c r="JI82" s="27" t="str">
        <x:f>IF(C82="","",HP82*1000000000+IW82*1000000+IQ82*10000+IK82*100+JC82+6/1000)</x:f>
      </x:c>
      <x:c r="JJ82" s="27" t="str">
        <x:f>IF(C82="","",HQ82*1000000000+IX82*1000000+IR82*10000+IL82*100+JD82+5/1000)</x:f>
      </x:c>
      <x:c r="JK82" s="27" t="str">
        <x:f>IF(C82="","",HR82*1000000000+IY82*1000000+IS82*10000+IM82*100+JE82+4/1000)</x:f>
      </x:c>
      <x:c r="JL82" s="27" t="str">
        <x:f>IF(C82="","",HS82*1000000000+IZ82*1000000+IT82*10000+IN82*100+JF82+3/1000)</x:f>
      </x:c>
      <x:c r="JM82" s="27" t="str">
        <x:f>IF(C82="","",HT82*1000000000+JA82*1000000+IU82*10000+IO82*100+JG82+2/1000)</x:f>
      </x:c>
      <x:c r="JN82" s="27" t="str">
        <x:f>IF(C82="","",HU82*1000000000+JB82*1000000+IV82*10000+IP82*100+JH82+1/1000)</x:f>
      </x:c>
    </x:row>
    <x:row r="83">
      <x:c r="A83" s="27"/>
      <x:c r="B83" s="28"/>
      <x:c r="C83" s="27"/>
      <x:c r="D83" s="27"/>
      <x:c r="E83" s="27"/>
      <x:c r="F83" s="27"/>
      <x:c r="G83" s="27"/>
      <x:c r="H83" s="27"/>
      <x:c r="I83" s="27"/>
      <x:c r="J83" s="27"/>
      <x:c r="K83" s="27"/>
      <x:c r="L83" s="27"/>
      <x:c r="M83" s="27"/>
      <x:c r="N83" s="27"/>
      <x:c r="O83" s="27"/>
      <x:c r="P83" s="27"/>
      <x:c r="Q83" s="27"/>
      <x:c r="R83" s="27"/>
      <x:c r="S83" s="27"/>
      <x:c r="T83" s="27"/>
      <x:c r="U83" s="27"/>
      <x:c r="V83" s="27"/>
      <x:c r="W83" s="27"/>
      <x:c r="X83" s="27"/>
      <x:c r="Y83" s="27"/>
      <x:c r="Z83" s="27"/>
      <x:c r="AA83" s="27"/>
      <x:c r="AB83" s="27"/>
      <x:c r="AC83" s="27"/>
      <x:c r="AD83" s="27"/>
      <x:c r="AE83" s="27"/>
      <x:c r="AF83" s="27"/>
      <x:c r="AG83" s="27"/>
      <x:c r="AH83" s="27"/>
      <x:c r="AI83" s="27"/>
      <x:c r="AJ83" s="27"/>
      <x:c r="AK83" s="27"/>
      <x:c r="AL83" s="27"/>
      <x:c r="AM83" s="27"/>
      <x:c r="AN83" s="27"/>
      <x:c r="AO83" s="27"/>
      <x:c r="AP83" s="27"/>
      <x:c r="AQ83" s="27"/>
      <x:c r="AR83" s="27"/>
      <x:c r="AS83" s="27"/>
      <x:c r="AT83" s="27"/>
      <x:c r="AU83" s="27"/>
      <x:c r="AV83" s="27"/>
      <x:c r="AW83" s="27"/>
      <x:c r="AX83" s="27"/>
      <x:c r="AY83" s="27"/>
      <x:c r="AZ83" s="27"/>
      <x:c r="BA83" s="27"/>
      <x:c r="BB83" s="27"/>
      <x:c r="BC83" s="27"/>
      <x:c r="BD83" s="27"/>
      <x:c r="BE83" s="27"/>
      <x:c r="BF83" s="27"/>
      <x:c r="BG83" s="27"/>
      <x:c r="BH83" s="27"/>
      <x:c r="BI83" s="27"/>
      <x:c r="BJ83" s="27"/>
      <x:c r="BK83" s="27"/>
      <x:c r="BL83" s="27"/>
      <x:c r="BM83" s="27"/>
      <x:c r="BN83" s="27"/>
      <x:c r="BO83" s="27"/>
      <x:c r="BP83" s="27"/>
      <x:c r="BQ83" s="27"/>
      <x:c r="BR83" s="27"/>
      <x:c r="BS83" s="27"/>
      <x:c r="BT83" s="27"/>
      <x:c r="BU83" s="27"/>
      <x:c r="BV83" s="27"/>
      <x:c r="BW83" s="27"/>
      <x:c r="BX83" s="27"/>
      <x:c r="BY83" s="27"/>
      <x:c r="BZ83" s="27"/>
      <x:c r="CA83" s="27"/>
      <x:c r="CB83" s="27"/>
      <x:c r="CC83" s="27"/>
      <x:c r="CD83" s="27"/>
      <x:c r="CE83" s="27"/>
      <x:c r="CF83" s="27"/>
      <x:c r="CG83" s="27"/>
      <x:c r="CH83" s="27"/>
      <x:c r="CI83" s="27"/>
      <x:c r="CJ83" s="27"/>
      <x:c r="CK83" s="27"/>
      <x:c r="CL83" s="27"/>
      <x:c r="CM83" s="27"/>
      <x:c r="CN83" s="27"/>
      <x:c r="CO83" s="27"/>
      <x:c r="CP83" s="27"/>
      <x:c r="CQ83" s="27"/>
      <x:c r="CR83" s="27"/>
      <x:c r="CS83" s="27"/>
      <x:c r="CT83" s="27"/>
      <x:c r="CU83" s="27"/>
      <x:c r="CV83" s="27"/>
      <x:c r="CW83" s="27"/>
      <x:c r="CX83" s="27"/>
      <x:c r="CY83" s="27"/>
      <x:c r="CZ83" s="27"/>
      <x:c r="DA83" s="27"/>
      <x:c r="DB83" s="27"/>
      <x:c r="DC83" s="27"/>
      <x:c r="DD83" s="27"/>
      <x:c r="DE83" s="27"/>
      <x:c r="DF83" s="27"/>
      <x:c r="DG83" s="27"/>
      <x:c r="DH83" s="27"/>
      <x:c r="DI83" s="27"/>
      <x:c r="DJ83" s="27"/>
      <x:c r="DK83" s="27"/>
      <x:c r="DL83" s="27"/>
      <x:c r="DM83" s="27"/>
      <x:c r="DN83" s="27"/>
      <x:c r="DO83" s="27"/>
      <x:c r="DP83" s="27"/>
      <x:c r="DQ83" s="27"/>
      <x:c r="DR83" s="27"/>
      <x:c r="DS83" s="27"/>
      <x:c r="DT83" s="27"/>
      <x:c r="DU83" s="27"/>
      <x:c r="DV83" s="27"/>
      <x:c r="DW83" s="27"/>
      <x:c r="DX83" s="27"/>
      <x:c r="DY83" s="27"/>
      <x:c r="DZ83" s="27"/>
      <x:c r="EA83" s="27"/>
      <x:c r="EB83" s="27"/>
      <x:c r="EC83" s="27"/>
      <x:c r="ED83" s="27"/>
      <x:c r="EE83" s="27"/>
      <x:c r="EF83" s="27"/>
      <x:c r="EG83" s="27"/>
      <x:c r="EH83" s="27"/>
      <x:c r="EI83" s="27"/>
      <x:c r="EJ83" s="27"/>
      <x:c r="EK83" s="27"/>
      <x:c r="EL83" s="27"/>
      <x:c r="EM83" s="27"/>
      <x:c r="EN83" s="27"/>
      <x:c r="EO83" s="27"/>
      <x:c r="EP83" s="27"/>
      <x:c r="EQ83" s="27"/>
      <x:c r="ER83" s="27"/>
      <x:c r="ES83" s="27"/>
      <x:c r="ET83" s="27"/>
      <x:c r="EU83" s="27"/>
      <x:c r="EV83" s="27"/>
      <x:c r="EW83" s="27"/>
      <x:c r="EX83" s="27"/>
      <x:c r="EY83" s="27"/>
      <x:c r="EZ83" s="27"/>
      <x:c r="FA83" s="27"/>
      <x:c r="FB83" s="27"/>
      <x:c r="FC83" s="27"/>
      <x:c r="FD83" s="27"/>
      <x:c r="FE83" s="27"/>
      <x:c r="FF83" s="27"/>
      <x:c r="FG83" s="27"/>
      <x:c r="FH83" s="27"/>
      <x:c r="FI83" s="27"/>
      <x:c r="FJ83" s="27"/>
      <x:c r="FK83" s="27"/>
      <x:c r="FL83" s="27"/>
      <x:c r="FM83" s="27"/>
      <x:c r="FN83" s="27"/>
      <x:c r="FO83" s="27"/>
      <x:c r="FP83" s="27"/>
      <x:c r="FQ83" s="27"/>
      <x:c r="FR83" s="27"/>
      <x:c r="FS83" s="27"/>
      <x:c r="FT83" s="27"/>
      <x:c r="FU83" s="27"/>
      <x:c r="FV83" s="27"/>
      <x:c r="FW83" s="27"/>
      <x:c r="FX83" s="27"/>
      <x:c r="FY83" s="27"/>
      <x:c r="FZ83" s="27"/>
      <x:c r="GA83" s="27"/>
      <x:c r="GB83" s="27"/>
      <x:c r="GC83" s="27"/>
      <x:c r="GD83" s="27"/>
      <x:c r="GE83" s="27"/>
      <x:c r="GF83" s="27"/>
      <x:c r="GG83" s="27"/>
      <x:c r="GH83" s="27"/>
      <x:c r="GI83" s="27"/>
      <x:c r="GJ83" s="27"/>
      <x:c r="GK83" s="27"/>
      <x:c r="GL83" s="27"/>
      <x:c r="GM83" s="27"/>
      <x:c r="GN83" s="27"/>
      <x:c r="GO83" s="27"/>
      <x:c r="GP83" s="27"/>
      <x:c r="GQ83" s="27"/>
      <x:c r="GR83" s="27"/>
      <x:c r="GS83" s="27"/>
      <x:c r="GT83" s="27"/>
      <x:c r="GU83" s="27"/>
      <x:c r="GV83" s="27"/>
      <x:c r="GW83" s="27"/>
      <x:c r="GX83" s="27"/>
      <x:c r="GY83" s="27"/>
      <x:c r="GZ83" s="27"/>
      <x:c r="HA83" s="27"/>
      <x:c r="HB83" s="27"/>
      <x:c r="HC83" s="27"/>
      <x:c r="HD83" s="27"/>
      <x:c r="HE83" s="27"/>
      <x:c r="HF83" s="27"/>
      <x:c r="HG83" s="27"/>
      <x:c r="HH83" s="27"/>
      <x:c r="HI83" s="27"/>
      <x:c r="HJ83" s="27"/>
      <x:c r="HK83" s="27"/>
      <x:c r="HL83" s="27"/>
      <x:c r="HM83" s="27"/>
      <x:c r="HN83" s="27"/>
      <x:c r="HO83" s="27"/>
      <x:c r="HP83" s="27" t="str">
        <x:f>IF(C83="","",SUM(H83,N83,T83,Z83,AF83,AL83,AR83,AX83,BD83,BJ83,BP83,BV83,CB83,CH83,CN83,CT83,CZ83,DF83,DL83,DR83,DX83,ED83,EJ83,EP83,EV83,FB83,FH83,FN83,FT83,FZ83,GF83,GL83,GR83,GX83,HD83,HJ83))</x:f>
      </x:c>
      <x:c r="HQ83" s="27" t="str">
        <x:f>IF(C83="","",SUM(I83,O83,U83,AA83,AG83,AM83,AS83,AY83,BE83,BK83,BQ83,BW83,CC83,CI83,CO83,CU83,DA83,DG83,DM83,DS83,DY83,EE83,EK83,EQ83,EW83,FC83,FI83,FO83,FU83,GA83,GG83,GM83,GS83,GY83,HE83,HK83))</x:f>
      </x:c>
      <x:c r="HR83" s="27" t="str">
        <x:f>IF(C83="","",SUM(J83,P83,V83,AB83,AH83,AN83,AT83,AZ83,BF83,BL83,BR83,BX83,CD83,CJ83,CP83,CV83,DB83,DH83,DN83,DT83,DZ83,EF83,EL83,ER83,EX83,FD83,FJ83,FP83,FV83,GB83,GH83,GN83,GT83,GZ83,HF83,HL83))</x:f>
      </x:c>
      <x:c r="HS83" s="27" t="str">
        <x:f>IF(C83="","",SUM(K83,Q83,W83,AC83,AI83,AO83,AU83,BA83,BG83,BM83,BS83,BY83,CE83,CK83,CQ83,CW83,DC83,DI83,DO83,DU83,EA83,EG83,EM83,ES83,EY83,FE83,FK83,FQ83,FW83,GC83,GI83,GO83,GU83,HA83,HG83,HM83))</x:f>
      </x:c>
      <x:c r="HT83" s="27" t="str">
        <x:f>IF(C83="","",SUM(L83,R83,X83,AD83,AJ83,AP83,AV83,BB83,BH83,BN83,BT83,BZ83,CF83,CL83,CR83,CX83,DD83,DJ83,DP83,DV83,EB83,EH83,EN83,ET83,EZ83,FF83,FL83,FR83,FX83,GD83,GJ83,GP83,GV83,HB83,HH83,HN83))</x:f>
      </x:c>
      <x:c r="HU83" s="27" t="str">
        <x:f>IF(C83="","",SUM(M83,S83,Y83,AE83,AK83,AQ83,AW83,BC83,BI83,BO83,BU83,CA83,CG83,CM83,CS83,CY83,DE83,DK83,DQ83,DW83,EC83,EI83,EO83,EU83,FA83,FG83,FM83,FS83,FY83,GE83,GK83,GQ83,GW83,HC83,HI83,HO83))</x:f>
      </x:c>
      <x:c r="HV83" s="27" t="str">
        <x:f>IF(C83="","",IF(JI83=LARGE(JI83:JN83,1),"R",IF(JJ83=LARGE(JI83:JN83,1),"I",IF(JK83=LARGE(JI83:JN83,1),"A",IF(JL83=LARGE(JI83:JN83,1),"S",IF(JM83=LARGE(JI83:JN83,1),"E",IF(JN83=LARGE(JI83:JN83,1),"C",""))))))&amp;IF(JI83=LARGE(JI83:JN83,2),"R",IF(JJ83=LARGE(JI83:JN83,2),"I",IF(JK83=LARGE(JI83:JN83,2),"A",IF(JL83=LARGE(JI83:JN83,2),"S",IF(JM83=LARGE(JI83:JN83,2),"E",IF(JN83=LARGE(JI83:JN83,2),"C",""))))))&amp;IF(JI83=LARGE(JI83:JN83,3),"R",IF(JJ83=LARGE(JI83:JN83,3),"I",IF(JK83=LARGE(JI83:JN83,3),"A",IF(JL83=LARGE(JI83:JN83,3),"S",IF(JM83=LARGE(JI83:JN83,3),"E",IF(JN83=LARGE(JI83:JN83,3),"C","")))))))</x:f>
      </x:c>
      <x:c r="HW83" s="27" t="str">
        <x:f>IF(C83="","",IF(JI83=LARGE(JI83:JN83,1),"นักปฏิบัติ",IF(JJ83=LARGE(JI83:JN83,1),"นักคิดวิเคราะห์",IF(JK83=LARGE(JI83:JN83,1),"นักสร้างสรรค์",IF(JL83=LARGE(JI83:JN83,1),"ผู้เข้าใจผู้คน",IF(JM83=LARGE(JI83:JN83,1),"ผู้นำการเปลี่ยนแปลง",IF(JN83=LARGE(JI83:JN83,1),"ผู้จัดระบบ","ผู้จัดระบบ")))))))</x:f>
      </x:c>
      <x:c r="HX83" s="27"/>
      <x:c r="HY83" s="27"/>
      <x:c r="HZ83" s="27"/>
      <x:c r="IA83" s="27"/>
      <x:c r="IB83" s="27"/>
      <x:c r="IC83" s="27"/>
      <x:c r="ID83" s="27"/>
      <x:c r="IE83" s="27"/>
      <x:c r="IF83" s="27"/>
      <x:c r="IG83" s="27"/>
      <x:c r="IH83" s="27"/>
      <x:c r="II83" s="27"/>
      <x:c r="IJ83" s="27"/>
      <x:c r="IK83" s="27" t="str">
        <x:f>IF(C83="","",SUM(H83,N83,T83,Z83,AF83,AL83,AR83,AX83,BD83,BJ83,BP83))</x:f>
      </x:c>
      <x:c r="IL83" s="27" t="str">
        <x:f>IF(C83="","",SUM(I83,O83,U83,AA83,AG83,AM83,AS83,AY83,BE83,BK83,BQ83))</x:f>
      </x:c>
      <x:c r="IM83" s="27" t="str">
        <x:f>IF(C83="","",SUM(J83,P83,V83,AB83,AH83,AN83,AT83,AZ83,BF83,BL83,BR83))</x:f>
      </x:c>
      <x:c r="IN83" s="27" t="str">
        <x:f>IF(C83="","",SUM(K83,Q83,W83,AC83,AI83,AO83,AU83,BA83,BG83,BM83,BS83))</x:f>
      </x:c>
      <x:c r="IO83" s="27" t="str">
        <x:f>IF(C83="","",SUM(L83,R83,X83,AD83,AJ83,AP83,AV83,BB83,BH83,BN83,BT83))</x:f>
      </x:c>
      <x:c r="IP83" s="27" t="str">
        <x:f>IF(C83="","",SUM(M83,S83,Y83,AE83,AK83,AQ83,AW83,BC83,BI83,BO83,BU83))</x:f>
      </x:c>
      <x:c r="IQ83" s="27" t="str">
        <x:f>IF(C83="","",SUM(BV83,CB83,CH83,CN83,CT83,CZ83,DF83,DL83,DR83,DX83,ED83))</x:f>
      </x:c>
      <x:c r="IR83" s="27" t="str">
        <x:f>IF(C83="","",SUM(BW83,CC83,CI83,CO83,CU83,DA83,DG83,DM83,DS83,DY83,EE83))</x:f>
      </x:c>
      <x:c r="IS83" s="27" t="str">
        <x:f>IF(C83="","",SUM(BX83,CD83,CJ83,CP83,CV83,DB83,DH83,DN83,DT83,DZ83,EF83))</x:f>
      </x:c>
      <x:c r="IT83" s="27" t="str">
        <x:f>IF(C83="","",SUM(BY83,CE83,CK83,CQ83,CW83,DC83,DI83,DO83,DU83,EA83,EG83))</x:f>
      </x:c>
      <x:c r="IU83" s="27" t="str">
        <x:f>IF(C83="","",SUM(BZ83,CF83,CL83,CR83,CX83,DD83,DJ83,DP83,DV83,EB83,EH83))</x:f>
      </x:c>
      <x:c r="IV83" s="27" t="str">
        <x:f>IF(C83="","",SUM(CA83,CG83,CM83,CS83,CY83,DE83,DK83,DQ83,DW83,EC83,EI83))</x:f>
      </x:c>
      <x:c r="IW83" s="27" t="str">
        <x:f>IF(C83="","",SUM(EJ83,EP83,EV83,FB83,FH83,FN83,FT83,FZ83,GF83,GL83,GR83,GX83,HD83,HJ83))</x:f>
      </x:c>
      <x:c r="IX83" s="27" t="str">
        <x:f>IF(C83="","",SUM(EK83,EQ83,EW83,FC83,FI83,FO83,FU83,GA83,GG83,GM83,GS83,GY83,HE83,HK83))</x:f>
      </x:c>
      <x:c r="IY83" s="27" t="str">
        <x:f>IF(C83="","",SUM(EL83,ER83,EX83,FD83,FJ83,FP83,FV83,GB83,GH83,GN83,GT83,GZ83,HF83,HL83))</x:f>
      </x:c>
      <x:c r="IZ83" s="27" t="str">
        <x:f>IF(C83="","",SUM(EM83,ES83,EY83,FE83,FK83,FQ83,FW83,GC83,GI83,GO83,GU83,HA83,HG83,HM83))</x:f>
      </x:c>
      <x:c r="JA83" s="27" t="str">
        <x:f>IF(C83="","",SUM(EN83,ET83,EZ83,FF83,FL83,FR83,FX83,GD83,GJ83,GP83,GV83,HB83,HH83,HN83))</x:f>
      </x:c>
      <x:c r="JB83" s="27" t="str">
        <x:f>IF(C83="","",SUM(EO83,EU83,FA83,FG83,FM83,FS83,FY83,GE83,GK83,GQ83,GW83,HC83,HI83,HO83))</x:f>
      </x:c>
      <x:c r="JC83" s="27" t="str">
        <x:f>IF(C83="","",0)</x:f>
      </x:c>
      <x:c r="JD83" s="27" t="str">
        <x:f>IF(C83="","",0)</x:f>
      </x:c>
      <x:c r="JE83" s="27" t="str">
        <x:f>IF(C83="","",0)</x:f>
      </x:c>
      <x:c r="JF83" s="27" t="str">
        <x:f>IF(C83="","",0)</x:f>
      </x:c>
      <x:c r="JG83" s="27" t="str">
        <x:f>IF(C83="","",0)</x:f>
      </x:c>
      <x:c r="JH83" s="27" t="str">
        <x:f>IF(C83="","",0)</x:f>
      </x:c>
      <x:c r="JI83" s="27" t="str">
        <x:f>IF(C83="","",HP83*1000000000+IW83*1000000+IQ83*10000+IK83*100+JC83+6/1000)</x:f>
      </x:c>
      <x:c r="JJ83" s="27" t="str">
        <x:f>IF(C83="","",HQ83*1000000000+IX83*1000000+IR83*10000+IL83*100+JD83+5/1000)</x:f>
      </x:c>
      <x:c r="JK83" s="27" t="str">
        <x:f>IF(C83="","",HR83*1000000000+IY83*1000000+IS83*10000+IM83*100+JE83+4/1000)</x:f>
      </x:c>
      <x:c r="JL83" s="27" t="str">
        <x:f>IF(C83="","",HS83*1000000000+IZ83*1000000+IT83*10000+IN83*100+JF83+3/1000)</x:f>
      </x:c>
      <x:c r="JM83" s="27" t="str">
        <x:f>IF(C83="","",HT83*1000000000+JA83*1000000+IU83*10000+IO83*100+JG83+2/1000)</x:f>
      </x:c>
      <x:c r="JN83" s="27" t="str">
        <x:f>IF(C83="","",HU83*1000000000+JB83*1000000+IV83*10000+IP83*100+JH83+1/1000)</x:f>
      </x:c>
    </x:row>
    <x:row r="84">
      <x:c r="A84" s="27"/>
      <x:c r="B84" s="28"/>
      <x:c r="C84" s="27"/>
      <x:c r="D84" s="27"/>
      <x:c r="E84" s="27"/>
      <x:c r="F84" s="27"/>
      <x:c r="G84" s="27"/>
      <x:c r="H84" s="27"/>
      <x:c r="I84" s="27"/>
      <x:c r="J84" s="27"/>
      <x:c r="K84" s="27"/>
      <x:c r="L84" s="27"/>
      <x:c r="M84" s="27"/>
      <x:c r="N84" s="27"/>
      <x:c r="O84" s="27"/>
      <x:c r="P84" s="27"/>
      <x:c r="Q84" s="27"/>
      <x:c r="R84" s="27"/>
      <x:c r="S84" s="27"/>
      <x:c r="T84" s="27"/>
      <x:c r="U84" s="27"/>
      <x:c r="V84" s="27"/>
      <x:c r="W84" s="27"/>
      <x:c r="X84" s="27"/>
      <x:c r="Y84" s="27"/>
      <x:c r="Z84" s="27"/>
      <x:c r="AA84" s="27"/>
      <x:c r="AB84" s="27"/>
      <x:c r="AC84" s="27"/>
      <x:c r="AD84" s="27"/>
      <x:c r="AE84" s="27"/>
      <x:c r="AF84" s="27"/>
      <x:c r="AG84" s="27"/>
      <x:c r="AH84" s="27"/>
      <x:c r="AI84" s="27"/>
      <x:c r="AJ84" s="27"/>
      <x:c r="AK84" s="27"/>
      <x:c r="AL84" s="27"/>
      <x:c r="AM84" s="27"/>
      <x:c r="AN84" s="27"/>
      <x:c r="AO84" s="27"/>
      <x:c r="AP84" s="27"/>
      <x:c r="AQ84" s="27"/>
      <x:c r="AR84" s="27"/>
      <x:c r="AS84" s="27"/>
      <x:c r="AT84" s="27"/>
      <x:c r="AU84" s="27"/>
      <x:c r="AV84" s="27"/>
      <x:c r="AW84" s="27"/>
      <x:c r="AX84" s="27"/>
      <x:c r="AY84" s="27"/>
      <x:c r="AZ84" s="27"/>
      <x:c r="BA84" s="27"/>
      <x:c r="BB84" s="27"/>
      <x:c r="BC84" s="27"/>
      <x:c r="BD84" s="27"/>
      <x:c r="BE84" s="27"/>
      <x:c r="BF84" s="27"/>
      <x:c r="BG84" s="27"/>
      <x:c r="BH84" s="27"/>
      <x:c r="BI84" s="27"/>
      <x:c r="BJ84" s="27"/>
      <x:c r="BK84" s="27"/>
      <x:c r="BL84" s="27"/>
      <x:c r="BM84" s="27"/>
      <x:c r="BN84" s="27"/>
      <x:c r="BO84" s="27"/>
      <x:c r="BP84" s="27"/>
      <x:c r="BQ84" s="27"/>
      <x:c r="BR84" s="27"/>
      <x:c r="BS84" s="27"/>
      <x:c r="BT84" s="27"/>
      <x:c r="BU84" s="27"/>
      <x:c r="BV84" s="27"/>
      <x:c r="BW84" s="27"/>
      <x:c r="BX84" s="27"/>
      <x:c r="BY84" s="27"/>
      <x:c r="BZ84" s="27"/>
      <x:c r="CA84" s="27"/>
      <x:c r="CB84" s="27"/>
      <x:c r="CC84" s="27"/>
      <x:c r="CD84" s="27"/>
      <x:c r="CE84" s="27"/>
      <x:c r="CF84" s="27"/>
      <x:c r="CG84" s="27"/>
      <x:c r="CH84" s="27"/>
      <x:c r="CI84" s="27"/>
      <x:c r="CJ84" s="27"/>
      <x:c r="CK84" s="27"/>
      <x:c r="CL84" s="27"/>
      <x:c r="CM84" s="27"/>
      <x:c r="CN84" s="27"/>
      <x:c r="CO84" s="27"/>
      <x:c r="CP84" s="27"/>
      <x:c r="CQ84" s="27"/>
      <x:c r="CR84" s="27"/>
      <x:c r="CS84" s="27"/>
      <x:c r="CT84" s="27"/>
      <x:c r="CU84" s="27"/>
      <x:c r="CV84" s="27"/>
      <x:c r="CW84" s="27"/>
      <x:c r="CX84" s="27"/>
      <x:c r="CY84" s="27"/>
      <x:c r="CZ84" s="27"/>
      <x:c r="DA84" s="27"/>
      <x:c r="DB84" s="27"/>
      <x:c r="DC84" s="27"/>
      <x:c r="DD84" s="27"/>
      <x:c r="DE84" s="27"/>
      <x:c r="DF84" s="27"/>
      <x:c r="DG84" s="27"/>
      <x:c r="DH84" s="27"/>
      <x:c r="DI84" s="27"/>
      <x:c r="DJ84" s="27"/>
      <x:c r="DK84" s="27"/>
      <x:c r="DL84" s="27"/>
      <x:c r="DM84" s="27"/>
      <x:c r="DN84" s="27"/>
      <x:c r="DO84" s="27"/>
      <x:c r="DP84" s="27"/>
      <x:c r="DQ84" s="27"/>
      <x:c r="DR84" s="27"/>
      <x:c r="DS84" s="27"/>
      <x:c r="DT84" s="27"/>
      <x:c r="DU84" s="27"/>
      <x:c r="DV84" s="27"/>
      <x:c r="DW84" s="27"/>
      <x:c r="DX84" s="27"/>
      <x:c r="DY84" s="27"/>
      <x:c r="DZ84" s="27"/>
      <x:c r="EA84" s="27"/>
      <x:c r="EB84" s="27"/>
      <x:c r="EC84" s="27"/>
      <x:c r="ED84" s="27"/>
      <x:c r="EE84" s="27"/>
      <x:c r="EF84" s="27"/>
      <x:c r="EG84" s="27"/>
      <x:c r="EH84" s="27"/>
      <x:c r="EI84" s="27"/>
      <x:c r="EJ84" s="27"/>
      <x:c r="EK84" s="27"/>
      <x:c r="EL84" s="27"/>
      <x:c r="EM84" s="27"/>
      <x:c r="EN84" s="27"/>
      <x:c r="EO84" s="27"/>
      <x:c r="EP84" s="27"/>
      <x:c r="EQ84" s="27"/>
      <x:c r="ER84" s="27"/>
      <x:c r="ES84" s="27"/>
      <x:c r="ET84" s="27"/>
      <x:c r="EU84" s="27"/>
      <x:c r="EV84" s="27"/>
      <x:c r="EW84" s="27"/>
      <x:c r="EX84" s="27"/>
      <x:c r="EY84" s="27"/>
      <x:c r="EZ84" s="27"/>
      <x:c r="FA84" s="27"/>
      <x:c r="FB84" s="27"/>
      <x:c r="FC84" s="27"/>
      <x:c r="FD84" s="27"/>
      <x:c r="FE84" s="27"/>
      <x:c r="FF84" s="27"/>
      <x:c r="FG84" s="27"/>
      <x:c r="FH84" s="27"/>
      <x:c r="FI84" s="27"/>
      <x:c r="FJ84" s="27"/>
      <x:c r="FK84" s="27"/>
      <x:c r="FL84" s="27"/>
      <x:c r="FM84" s="27"/>
      <x:c r="FN84" s="27"/>
      <x:c r="FO84" s="27"/>
      <x:c r="FP84" s="27"/>
      <x:c r="FQ84" s="27"/>
      <x:c r="FR84" s="27"/>
      <x:c r="FS84" s="27"/>
      <x:c r="FT84" s="27"/>
      <x:c r="FU84" s="27"/>
      <x:c r="FV84" s="27"/>
      <x:c r="FW84" s="27"/>
      <x:c r="FX84" s="27"/>
      <x:c r="FY84" s="27"/>
      <x:c r="FZ84" s="27"/>
      <x:c r="GA84" s="27"/>
      <x:c r="GB84" s="27"/>
      <x:c r="GC84" s="27"/>
      <x:c r="GD84" s="27"/>
      <x:c r="GE84" s="27"/>
      <x:c r="GF84" s="27"/>
      <x:c r="GG84" s="27"/>
      <x:c r="GH84" s="27"/>
      <x:c r="GI84" s="27"/>
      <x:c r="GJ84" s="27"/>
      <x:c r="GK84" s="27"/>
      <x:c r="GL84" s="27"/>
      <x:c r="GM84" s="27"/>
      <x:c r="GN84" s="27"/>
      <x:c r="GO84" s="27"/>
      <x:c r="GP84" s="27"/>
      <x:c r="GQ84" s="27"/>
      <x:c r="GR84" s="27"/>
      <x:c r="GS84" s="27"/>
      <x:c r="GT84" s="27"/>
      <x:c r="GU84" s="27"/>
      <x:c r="GV84" s="27"/>
      <x:c r="GW84" s="27"/>
      <x:c r="GX84" s="27"/>
      <x:c r="GY84" s="27"/>
      <x:c r="GZ84" s="27"/>
      <x:c r="HA84" s="27"/>
      <x:c r="HB84" s="27"/>
      <x:c r="HC84" s="27"/>
      <x:c r="HD84" s="27"/>
      <x:c r="HE84" s="27"/>
      <x:c r="HF84" s="27"/>
      <x:c r="HG84" s="27"/>
      <x:c r="HH84" s="27"/>
      <x:c r="HI84" s="27"/>
      <x:c r="HJ84" s="27"/>
      <x:c r="HK84" s="27"/>
      <x:c r="HL84" s="27"/>
      <x:c r="HM84" s="27"/>
      <x:c r="HN84" s="27"/>
      <x:c r="HO84" s="27"/>
      <x:c r="HP84" s="27" t="str">
        <x:f>IF(C84="","",SUM(H84,N84,T84,Z84,AF84,AL84,AR84,AX84,BD84,BJ84,BP84,BV84,CB84,CH84,CN84,CT84,CZ84,DF84,DL84,DR84,DX84,ED84,EJ84,EP84,EV84,FB84,FH84,FN84,FT84,FZ84,GF84,GL84,GR84,GX84,HD84,HJ84))</x:f>
      </x:c>
      <x:c r="HQ84" s="27" t="str">
        <x:f>IF(C84="","",SUM(I84,O84,U84,AA84,AG84,AM84,AS84,AY84,BE84,BK84,BQ84,BW84,CC84,CI84,CO84,CU84,DA84,DG84,DM84,DS84,DY84,EE84,EK84,EQ84,EW84,FC84,FI84,FO84,FU84,GA84,GG84,GM84,GS84,GY84,HE84,HK84))</x:f>
      </x:c>
      <x:c r="HR84" s="27" t="str">
        <x:f>IF(C84="","",SUM(J84,P84,V84,AB84,AH84,AN84,AT84,AZ84,BF84,BL84,BR84,BX84,CD84,CJ84,CP84,CV84,DB84,DH84,DN84,DT84,DZ84,EF84,EL84,ER84,EX84,FD84,FJ84,FP84,FV84,GB84,GH84,GN84,GT84,GZ84,HF84,HL84))</x:f>
      </x:c>
      <x:c r="HS84" s="27" t="str">
        <x:f>IF(C84="","",SUM(K84,Q84,W84,AC84,AI84,AO84,AU84,BA84,BG84,BM84,BS84,BY84,CE84,CK84,CQ84,CW84,DC84,DI84,DO84,DU84,EA84,EG84,EM84,ES84,EY84,FE84,FK84,FQ84,FW84,GC84,GI84,GO84,GU84,HA84,HG84,HM84))</x:f>
      </x:c>
      <x:c r="HT84" s="27" t="str">
        <x:f>IF(C84="","",SUM(L84,R84,X84,AD84,AJ84,AP84,AV84,BB84,BH84,BN84,BT84,BZ84,CF84,CL84,CR84,CX84,DD84,DJ84,DP84,DV84,EB84,EH84,EN84,ET84,EZ84,FF84,FL84,FR84,FX84,GD84,GJ84,GP84,GV84,HB84,HH84,HN84))</x:f>
      </x:c>
      <x:c r="HU84" s="27" t="str">
        <x:f>IF(C84="","",SUM(M84,S84,Y84,AE84,AK84,AQ84,AW84,BC84,BI84,BO84,BU84,CA84,CG84,CM84,CS84,CY84,DE84,DK84,DQ84,DW84,EC84,EI84,EO84,EU84,FA84,FG84,FM84,FS84,FY84,GE84,GK84,GQ84,GW84,HC84,HI84,HO84))</x:f>
      </x:c>
      <x:c r="HV84" s="27" t="str">
        <x:f>IF(C84="","",IF(JI84=LARGE(JI84:JN84,1),"R",IF(JJ84=LARGE(JI84:JN84,1),"I",IF(JK84=LARGE(JI84:JN84,1),"A",IF(JL84=LARGE(JI84:JN84,1),"S",IF(JM84=LARGE(JI84:JN84,1),"E",IF(JN84=LARGE(JI84:JN84,1),"C",""))))))&amp;IF(JI84=LARGE(JI84:JN84,2),"R",IF(JJ84=LARGE(JI84:JN84,2),"I",IF(JK84=LARGE(JI84:JN84,2),"A",IF(JL84=LARGE(JI84:JN84,2),"S",IF(JM84=LARGE(JI84:JN84,2),"E",IF(JN84=LARGE(JI84:JN84,2),"C",""))))))&amp;IF(JI84=LARGE(JI84:JN84,3),"R",IF(JJ84=LARGE(JI84:JN84,3),"I",IF(JK84=LARGE(JI84:JN84,3),"A",IF(JL84=LARGE(JI84:JN84,3),"S",IF(JM84=LARGE(JI84:JN84,3),"E",IF(JN84=LARGE(JI84:JN84,3),"C","")))))))</x:f>
      </x:c>
      <x:c r="HW84" s="27" t="str">
        <x:f>IF(C84="","",IF(JI84=LARGE(JI84:JN84,1),"นักปฏิบัติ",IF(JJ84=LARGE(JI84:JN84,1),"นักคิดวิเคราะห์",IF(JK84=LARGE(JI84:JN84,1),"นักสร้างสรรค์",IF(JL84=LARGE(JI84:JN84,1),"ผู้เข้าใจผู้คน",IF(JM84=LARGE(JI84:JN84,1),"ผู้นำการเปลี่ยนแปลง",IF(JN84=LARGE(JI84:JN84,1),"ผู้จัดระบบ","ผู้จัดระบบ")))))))</x:f>
      </x:c>
      <x:c r="HX84" s="27"/>
      <x:c r="HY84" s="27"/>
      <x:c r="HZ84" s="27"/>
      <x:c r="IA84" s="27"/>
      <x:c r="IB84" s="27"/>
      <x:c r="IC84" s="27"/>
      <x:c r="ID84" s="27"/>
      <x:c r="IE84" s="27"/>
      <x:c r="IF84" s="27"/>
      <x:c r="IG84" s="27"/>
      <x:c r="IH84" s="27"/>
      <x:c r="II84" s="27"/>
      <x:c r="IJ84" s="27"/>
      <x:c r="IK84" s="27" t="str">
        <x:f>IF(C84="","",SUM(H84,N84,T84,Z84,AF84,AL84,AR84,AX84,BD84,BJ84,BP84))</x:f>
      </x:c>
      <x:c r="IL84" s="27" t="str">
        <x:f>IF(C84="","",SUM(I84,O84,U84,AA84,AG84,AM84,AS84,AY84,BE84,BK84,BQ84))</x:f>
      </x:c>
      <x:c r="IM84" s="27" t="str">
        <x:f>IF(C84="","",SUM(J84,P84,V84,AB84,AH84,AN84,AT84,AZ84,BF84,BL84,BR84))</x:f>
      </x:c>
      <x:c r="IN84" s="27" t="str">
        <x:f>IF(C84="","",SUM(K84,Q84,W84,AC84,AI84,AO84,AU84,BA84,BG84,BM84,BS84))</x:f>
      </x:c>
      <x:c r="IO84" s="27" t="str">
        <x:f>IF(C84="","",SUM(L84,R84,X84,AD84,AJ84,AP84,AV84,BB84,BH84,BN84,BT84))</x:f>
      </x:c>
      <x:c r="IP84" s="27" t="str">
        <x:f>IF(C84="","",SUM(M84,S84,Y84,AE84,AK84,AQ84,AW84,BC84,BI84,BO84,BU84))</x:f>
      </x:c>
      <x:c r="IQ84" s="27" t="str">
        <x:f>IF(C84="","",SUM(BV84,CB84,CH84,CN84,CT84,CZ84,DF84,DL84,DR84,DX84,ED84))</x:f>
      </x:c>
      <x:c r="IR84" s="27" t="str">
        <x:f>IF(C84="","",SUM(BW84,CC84,CI84,CO84,CU84,DA84,DG84,DM84,DS84,DY84,EE84))</x:f>
      </x:c>
      <x:c r="IS84" s="27" t="str">
        <x:f>IF(C84="","",SUM(BX84,CD84,CJ84,CP84,CV84,DB84,DH84,DN84,DT84,DZ84,EF84))</x:f>
      </x:c>
      <x:c r="IT84" s="27" t="str">
        <x:f>IF(C84="","",SUM(BY84,CE84,CK84,CQ84,CW84,DC84,DI84,DO84,DU84,EA84,EG84))</x:f>
      </x:c>
      <x:c r="IU84" s="27" t="str">
        <x:f>IF(C84="","",SUM(BZ84,CF84,CL84,CR84,CX84,DD84,DJ84,DP84,DV84,EB84,EH84))</x:f>
      </x:c>
      <x:c r="IV84" s="27" t="str">
        <x:f>IF(C84="","",SUM(CA84,CG84,CM84,CS84,CY84,DE84,DK84,DQ84,DW84,EC84,EI84))</x:f>
      </x:c>
      <x:c r="IW84" s="27" t="str">
        <x:f>IF(C84="","",SUM(EJ84,EP84,EV84,FB84,FH84,FN84,FT84,FZ84,GF84,GL84,GR84,GX84,HD84,HJ84))</x:f>
      </x:c>
      <x:c r="IX84" s="27" t="str">
        <x:f>IF(C84="","",SUM(EK84,EQ84,EW84,FC84,FI84,FO84,FU84,GA84,GG84,GM84,GS84,GY84,HE84,HK84))</x:f>
      </x:c>
      <x:c r="IY84" s="27" t="str">
        <x:f>IF(C84="","",SUM(EL84,ER84,EX84,FD84,FJ84,FP84,FV84,GB84,GH84,GN84,GT84,GZ84,HF84,HL84))</x:f>
      </x:c>
      <x:c r="IZ84" s="27" t="str">
        <x:f>IF(C84="","",SUM(EM84,ES84,EY84,FE84,FK84,FQ84,FW84,GC84,GI84,GO84,GU84,HA84,HG84,HM84))</x:f>
      </x:c>
      <x:c r="JA84" s="27" t="str">
        <x:f>IF(C84="","",SUM(EN84,ET84,EZ84,FF84,FL84,FR84,FX84,GD84,GJ84,GP84,GV84,HB84,HH84,HN84))</x:f>
      </x:c>
      <x:c r="JB84" s="27" t="str">
        <x:f>IF(C84="","",SUM(EO84,EU84,FA84,FG84,FM84,FS84,FY84,GE84,GK84,GQ84,GW84,HC84,HI84,HO84))</x:f>
      </x:c>
      <x:c r="JC84" s="27" t="str">
        <x:f>IF(C84="","",0)</x:f>
      </x:c>
      <x:c r="JD84" s="27" t="str">
        <x:f>IF(C84="","",0)</x:f>
      </x:c>
      <x:c r="JE84" s="27" t="str">
        <x:f>IF(C84="","",0)</x:f>
      </x:c>
      <x:c r="JF84" s="27" t="str">
        <x:f>IF(C84="","",0)</x:f>
      </x:c>
      <x:c r="JG84" s="27" t="str">
        <x:f>IF(C84="","",0)</x:f>
      </x:c>
      <x:c r="JH84" s="27" t="str">
        <x:f>IF(C84="","",0)</x:f>
      </x:c>
      <x:c r="JI84" s="27" t="str">
        <x:f>IF(C84="","",HP84*1000000000+IW84*1000000+IQ84*10000+IK84*100+JC84+6/1000)</x:f>
      </x:c>
      <x:c r="JJ84" s="27" t="str">
        <x:f>IF(C84="","",HQ84*1000000000+IX84*1000000+IR84*10000+IL84*100+JD84+5/1000)</x:f>
      </x:c>
      <x:c r="JK84" s="27" t="str">
        <x:f>IF(C84="","",HR84*1000000000+IY84*1000000+IS84*10000+IM84*100+JE84+4/1000)</x:f>
      </x:c>
      <x:c r="JL84" s="27" t="str">
        <x:f>IF(C84="","",HS84*1000000000+IZ84*1000000+IT84*10000+IN84*100+JF84+3/1000)</x:f>
      </x:c>
      <x:c r="JM84" s="27" t="str">
        <x:f>IF(C84="","",HT84*1000000000+JA84*1000000+IU84*10000+IO84*100+JG84+2/1000)</x:f>
      </x:c>
      <x:c r="JN84" s="27" t="str">
        <x:f>IF(C84="","",HU84*1000000000+JB84*1000000+IV84*10000+IP84*100+JH84+1/1000)</x:f>
      </x:c>
    </x:row>
    <x:row r="85">
      <x:c r="A85" s="27"/>
      <x:c r="B85" s="28"/>
      <x:c r="C85" s="27"/>
      <x:c r="D85" s="27"/>
      <x:c r="E85" s="27"/>
      <x:c r="F85" s="27"/>
      <x:c r="G85" s="27"/>
      <x:c r="H85" s="27"/>
      <x:c r="I85" s="27"/>
      <x:c r="J85" s="27"/>
      <x:c r="K85" s="27"/>
      <x:c r="L85" s="27"/>
      <x:c r="M85" s="27"/>
      <x:c r="N85" s="27"/>
      <x:c r="O85" s="27"/>
      <x:c r="P85" s="27"/>
      <x:c r="Q85" s="27"/>
      <x:c r="R85" s="27"/>
      <x:c r="S85" s="27"/>
      <x:c r="T85" s="27"/>
      <x:c r="U85" s="27"/>
      <x:c r="V85" s="27"/>
      <x:c r="W85" s="27"/>
      <x:c r="X85" s="27"/>
      <x:c r="Y85" s="27"/>
      <x:c r="Z85" s="27"/>
      <x:c r="AA85" s="27"/>
      <x:c r="AB85" s="27"/>
      <x:c r="AC85" s="27"/>
      <x:c r="AD85" s="27"/>
      <x:c r="AE85" s="27"/>
      <x:c r="AF85" s="27"/>
      <x:c r="AG85" s="27"/>
      <x:c r="AH85" s="27"/>
      <x:c r="AI85" s="27"/>
      <x:c r="AJ85" s="27"/>
      <x:c r="AK85" s="27"/>
      <x:c r="AL85" s="27"/>
      <x:c r="AM85" s="27"/>
      <x:c r="AN85" s="27"/>
      <x:c r="AO85" s="27"/>
      <x:c r="AP85" s="27"/>
      <x:c r="AQ85" s="27"/>
      <x:c r="AR85" s="27"/>
      <x:c r="AS85" s="27"/>
      <x:c r="AT85" s="27"/>
      <x:c r="AU85" s="27"/>
      <x:c r="AV85" s="27"/>
      <x:c r="AW85" s="27"/>
      <x:c r="AX85" s="27"/>
      <x:c r="AY85" s="27"/>
      <x:c r="AZ85" s="27"/>
      <x:c r="BA85" s="27"/>
      <x:c r="BB85" s="27"/>
      <x:c r="BC85" s="27"/>
      <x:c r="BD85" s="27"/>
      <x:c r="BE85" s="27"/>
      <x:c r="BF85" s="27"/>
      <x:c r="BG85" s="27"/>
      <x:c r="BH85" s="27"/>
      <x:c r="BI85" s="27"/>
      <x:c r="BJ85" s="27"/>
      <x:c r="BK85" s="27"/>
      <x:c r="BL85" s="27"/>
      <x:c r="BM85" s="27"/>
      <x:c r="BN85" s="27"/>
      <x:c r="BO85" s="27"/>
      <x:c r="BP85" s="27"/>
      <x:c r="BQ85" s="27"/>
      <x:c r="BR85" s="27"/>
      <x:c r="BS85" s="27"/>
      <x:c r="BT85" s="27"/>
      <x:c r="BU85" s="27"/>
      <x:c r="BV85" s="27"/>
      <x:c r="BW85" s="27"/>
      <x:c r="BX85" s="27"/>
      <x:c r="BY85" s="27"/>
      <x:c r="BZ85" s="27"/>
      <x:c r="CA85" s="27"/>
      <x:c r="CB85" s="27"/>
      <x:c r="CC85" s="27"/>
      <x:c r="CD85" s="27"/>
      <x:c r="CE85" s="27"/>
      <x:c r="CF85" s="27"/>
      <x:c r="CG85" s="27"/>
      <x:c r="CH85" s="27"/>
      <x:c r="CI85" s="27"/>
      <x:c r="CJ85" s="27"/>
      <x:c r="CK85" s="27"/>
      <x:c r="CL85" s="27"/>
      <x:c r="CM85" s="27"/>
      <x:c r="CN85" s="27"/>
      <x:c r="CO85" s="27"/>
      <x:c r="CP85" s="27"/>
      <x:c r="CQ85" s="27"/>
      <x:c r="CR85" s="27"/>
      <x:c r="CS85" s="27"/>
      <x:c r="CT85" s="27"/>
      <x:c r="CU85" s="27"/>
      <x:c r="CV85" s="27"/>
      <x:c r="CW85" s="27"/>
      <x:c r="CX85" s="27"/>
      <x:c r="CY85" s="27"/>
      <x:c r="CZ85" s="27"/>
      <x:c r="DA85" s="27"/>
      <x:c r="DB85" s="27"/>
      <x:c r="DC85" s="27"/>
      <x:c r="DD85" s="27"/>
      <x:c r="DE85" s="27"/>
      <x:c r="DF85" s="27"/>
      <x:c r="DG85" s="27"/>
      <x:c r="DH85" s="27"/>
      <x:c r="DI85" s="27"/>
      <x:c r="DJ85" s="27"/>
      <x:c r="DK85" s="27"/>
      <x:c r="DL85" s="27"/>
      <x:c r="DM85" s="27"/>
      <x:c r="DN85" s="27"/>
      <x:c r="DO85" s="27"/>
      <x:c r="DP85" s="27"/>
      <x:c r="DQ85" s="27"/>
      <x:c r="DR85" s="27"/>
      <x:c r="DS85" s="27"/>
      <x:c r="DT85" s="27"/>
      <x:c r="DU85" s="27"/>
      <x:c r="DV85" s="27"/>
      <x:c r="DW85" s="27"/>
      <x:c r="DX85" s="27"/>
      <x:c r="DY85" s="27"/>
      <x:c r="DZ85" s="27"/>
      <x:c r="EA85" s="27"/>
      <x:c r="EB85" s="27"/>
      <x:c r="EC85" s="27"/>
      <x:c r="ED85" s="27"/>
      <x:c r="EE85" s="27"/>
      <x:c r="EF85" s="27"/>
      <x:c r="EG85" s="27"/>
      <x:c r="EH85" s="27"/>
      <x:c r="EI85" s="27"/>
      <x:c r="EJ85" s="27"/>
      <x:c r="EK85" s="27"/>
      <x:c r="EL85" s="27"/>
      <x:c r="EM85" s="27"/>
      <x:c r="EN85" s="27"/>
      <x:c r="EO85" s="27"/>
      <x:c r="EP85" s="27"/>
      <x:c r="EQ85" s="27"/>
      <x:c r="ER85" s="27"/>
      <x:c r="ES85" s="27"/>
      <x:c r="ET85" s="27"/>
      <x:c r="EU85" s="27"/>
      <x:c r="EV85" s="27"/>
      <x:c r="EW85" s="27"/>
      <x:c r="EX85" s="27"/>
      <x:c r="EY85" s="27"/>
      <x:c r="EZ85" s="27"/>
      <x:c r="FA85" s="27"/>
      <x:c r="FB85" s="27"/>
      <x:c r="FC85" s="27"/>
      <x:c r="FD85" s="27"/>
      <x:c r="FE85" s="27"/>
      <x:c r="FF85" s="27"/>
      <x:c r="FG85" s="27"/>
      <x:c r="FH85" s="27"/>
      <x:c r="FI85" s="27"/>
      <x:c r="FJ85" s="27"/>
      <x:c r="FK85" s="27"/>
      <x:c r="FL85" s="27"/>
      <x:c r="FM85" s="27"/>
      <x:c r="FN85" s="27"/>
      <x:c r="FO85" s="27"/>
      <x:c r="FP85" s="27"/>
      <x:c r="FQ85" s="27"/>
      <x:c r="FR85" s="27"/>
      <x:c r="FS85" s="27"/>
      <x:c r="FT85" s="27"/>
      <x:c r="FU85" s="27"/>
      <x:c r="FV85" s="27"/>
      <x:c r="FW85" s="27"/>
      <x:c r="FX85" s="27"/>
      <x:c r="FY85" s="27"/>
      <x:c r="FZ85" s="27"/>
      <x:c r="GA85" s="27"/>
      <x:c r="GB85" s="27"/>
      <x:c r="GC85" s="27"/>
      <x:c r="GD85" s="27"/>
      <x:c r="GE85" s="27"/>
      <x:c r="GF85" s="27"/>
      <x:c r="GG85" s="27"/>
      <x:c r="GH85" s="27"/>
      <x:c r="GI85" s="27"/>
      <x:c r="GJ85" s="27"/>
      <x:c r="GK85" s="27"/>
      <x:c r="GL85" s="27"/>
      <x:c r="GM85" s="27"/>
      <x:c r="GN85" s="27"/>
      <x:c r="GO85" s="27"/>
      <x:c r="GP85" s="27"/>
      <x:c r="GQ85" s="27"/>
      <x:c r="GR85" s="27"/>
      <x:c r="GS85" s="27"/>
      <x:c r="GT85" s="27"/>
      <x:c r="GU85" s="27"/>
      <x:c r="GV85" s="27"/>
      <x:c r="GW85" s="27"/>
      <x:c r="GX85" s="27"/>
      <x:c r="GY85" s="27"/>
      <x:c r="GZ85" s="27"/>
      <x:c r="HA85" s="27"/>
      <x:c r="HB85" s="27"/>
      <x:c r="HC85" s="27"/>
      <x:c r="HD85" s="27"/>
      <x:c r="HE85" s="27"/>
      <x:c r="HF85" s="27"/>
      <x:c r="HG85" s="27"/>
      <x:c r="HH85" s="27"/>
      <x:c r="HI85" s="27"/>
      <x:c r="HJ85" s="27"/>
      <x:c r="HK85" s="27"/>
      <x:c r="HL85" s="27"/>
      <x:c r="HM85" s="27"/>
      <x:c r="HN85" s="27"/>
      <x:c r="HO85" s="27"/>
      <x:c r="HP85" s="27" t="str">
        <x:f>IF(C85="","",SUM(H85,N85,T85,Z85,AF85,AL85,AR85,AX85,BD85,BJ85,BP85,BV85,CB85,CH85,CN85,CT85,CZ85,DF85,DL85,DR85,DX85,ED85,EJ85,EP85,EV85,FB85,FH85,FN85,FT85,FZ85,GF85,GL85,GR85,GX85,HD85,HJ85))</x:f>
      </x:c>
      <x:c r="HQ85" s="27" t="str">
        <x:f>IF(C85="","",SUM(I85,O85,U85,AA85,AG85,AM85,AS85,AY85,BE85,BK85,BQ85,BW85,CC85,CI85,CO85,CU85,DA85,DG85,DM85,DS85,DY85,EE85,EK85,EQ85,EW85,FC85,FI85,FO85,FU85,GA85,GG85,GM85,GS85,GY85,HE85,HK85))</x:f>
      </x:c>
      <x:c r="HR85" s="27" t="str">
        <x:f>IF(C85="","",SUM(J85,P85,V85,AB85,AH85,AN85,AT85,AZ85,BF85,BL85,BR85,BX85,CD85,CJ85,CP85,CV85,DB85,DH85,DN85,DT85,DZ85,EF85,EL85,ER85,EX85,FD85,FJ85,FP85,FV85,GB85,GH85,GN85,GT85,GZ85,HF85,HL85))</x:f>
      </x:c>
      <x:c r="HS85" s="27" t="str">
        <x:f>IF(C85="","",SUM(K85,Q85,W85,AC85,AI85,AO85,AU85,BA85,BG85,BM85,BS85,BY85,CE85,CK85,CQ85,CW85,DC85,DI85,DO85,DU85,EA85,EG85,EM85,ES85,EY85,FE85,FK85,FQ85,FW85,GC85,GI85,GO85,GU85,HA85,HG85,HM85))</x:f>
      </x:c>
      <x:c r="HT85" s="27" t="str">
        <x:f>IF(C85="","",SUM(L85,R85,X85,AD85,AJ85,AP85,AV85,BB85,BH85,BN85,BT85,BZ85,CF85,CL85,CR85,CX85,DD85,DJ85,DP85,DV85,EB85,EH85,EN85,ET85,EZ85,FF85,FL85,FR85,FX85,GD85,GJ85,GP85,GV85,HB85,HH85,HN85))</x:f>
      </x:c>
      <x:c r="HU85" s="27" t="str">
        <x:f>IF(C85="","",SUM(M85,S85,Y85,AE85,AK85,AQ85,AW85,BC85,BI85,BO85,BU85,CA85,CG85,CM85,CS85,CY85,DE85,DK85,DQ85,DW85,EC85,EI85,EO85,EU85,FA85,FG85,FM85,FS85,FY85,GE85,GK85,GQ85,GW85,HC85,HI85,HO85))</x:f>
      </x:c>
      <x:c r="HV85" s="27" t="str">
        <x:f>IF(C85="","",IF(JI85=LARGE(JI85:JN85,1),"R",IF(JJ85=LARGE(JI85:JN85,1),"I",IF(JK85=LARGE(JI85:JN85,1),"A",IF(JL85=LARGE(JI85:JN85,1),"S",IF(JM85=LARGE(JI85:JN85,1),"E",IF(JN85=LARGE(JI85:JN85,1),"C",""))))))&amp;IF(JI85=LARGE(JI85:JN85,2),"R",IF(JJ85=LARGE(JI85:JN85,2),"I",IF(JK85=LARGE(JI85:JN85,2),"A",IF(JL85=LARGE(JI85:JN85,2),"S",IF(JM85=LARGE(JI85:JN85,2),"E",IF(JN85=LARGE(JI85:JN85,2),"C",""))))))&amp;IF(JI85=LARGE(JI85:JN85,3),"R",IF(JJ85=LARGE(JI85:JN85,3),"I",IF(JK85=LARGE(JI85:JN85,3),"A",IF(JL85=LARGE(JI85:JN85,3),"S",IF(JM85=LARGE(JI85:JN85,3),"E",IF(JN85=LARGE(JI85:JN85,3),"C","")))))))</x:f>
      </x:c>
      <x:c r="HW85" s="27" t="str">
        <x:f>IF(C85="","",IF(JI85=LARGE(JI85:JN85,1),"นักปฏิบัติ",IF(JJ85=LARGE(JI85:JN85,1),"นักคิดวิเคราะห์",IF(JK85=LARGE(JI85:JN85,1),"นักสร้างสรรค์",IF(JL85=LARGE(JI85:JN85,1),"ผู้เข้าใจผู้คน",IF(JM85=LARGE(JI85:JN85,1),"ผู้นำการเปลี่ยนแปลง",IF(JN85=LARGE(JI85:JN85,1),"ผู้จัดระบบ","ผู้จัดระบบ")))))))</x:f>
      </x:c>
      <x:c r="HX85" s="27"/>
      <x:c r="HY85" s="27"/>
      <x:c r="HZ85" s="27"/>
      <x:c r="IA85" s="27"/>
      <x:c r="IB85" s="27"/>
      <x:c r="IC85" s="27"/>
      <x:c r="ID85" s="27"/>
      <x:c r="IE85" s="27"/>
      <x:c r="IF85" s="27"/>
      <x:c r="IG85" s="27"/>
      <x:c r="IH85" s="27"/>
      <x:c r="II85" s="27"/>
      <x:c r="IJ85" s="27"/>
      <x:c r="IK85" s="27" t="str">
        <x:f>IF(C85="","",SUM(H85,N85,T85,Z85,AF85,AL85,AR85,AX85,BD85,BJ85,BP85))</x:f>
      </x:c>
      <x:c r="IL85" s="27" t="str">
        <x:f>IF(C85="","",SUM(I85,O85,U85,AA85,AG85,AM85,AS85,AY85,BE85,BK85,BQ85))</x:f>
      </x:c>
      <x:c r="IM85" s="27" t="str">
        <x:f>IF(C85="","",SUM(J85,P85,V85,AB85,AH85,AN85,AT85,AZ85,BF85,BL85,BR85))</x:f>
      </x:c>
      <x:c r="IN85" s="27" t="str">
        <x:f>IF(C85="","",SUM(K85,Q85,W85,AC85,AI85,AO85,AU85,BA85,BG85,BM85,BS85))</x:f>
      </x:c>
      <x:c r="IO85" s="27" t="str">
        <x:f>IF(C85="","",SUM(L85,R85,X85,AD85,AJ85,AP85,AV85,BB85,BH85,BN85,BT85))</x:f>
      </x:c>
      <x:c r="IP85" s="27" t="str">
        <x:f>IF(C85="","",SUM(M85,S85,Y85,AE85,AK85,AQ85,AW85,BC85,BI85,BO85,BU85))</x:f>
      </x:c>
      <x:c r="IQ85" s="27" t="str">
        <x:f>IF(C85="","",SUM(BV85,CB85,CH85,CN85,CT85,CZ85,DF85,DL85,DR85,DX85,ED85))</x:f>
      </x:c>
      <x:c r="IR85" s="27" t="str">
        <x:f>IF(C85="","",SUM(BW85,CC85,CI85,CO85,CU85,DA85,DG85,DM85,DS85,DY85,EE85))</x:f>
      </x:c>
      <x:c r="IS85" s="27" t="str">
        <x:f>IF(C85="","",SUM(BX85,CD85,CJ85,CP85,CV85,DB85,DH85,DN85,DT85,DZ85,EF85))</x:f>
      </x:c>
      <x:c r="IT85" s="27" t="str">
        <x:f>IF(C85="","",SUM(BY85,CE85,CK85,CQ85,CW85,DC85,DI85,DO85,DU85,EA85,EG85))</x:f>
      </x:c>
      <x:c r="IU85" s="27" t="str">
        <x:f>IF(C85="","",SUM(BZ85,CF85,CL85,CR85,CX85,DD85,DJ85,DP85,DV85,EB85,EH85))</x:f>
      </x:c>
      <x:c r="IV85" s="27" t="str">
        <x:f>IF(C85="","",SUM(CA85,CG85,CM85,CS85,CY85,DE85,DK85,DQ85,DW85,EC85,EI85))</x:f>
      </x:c>
      <x:c r="IW85" s="27" t="str">
        <x:f>IF(C85="","",SUM(EJ85,EP85,EV85,FB85,FH85,FN85,FT85,FZ85,GF85,GL85,GR85,GX85,HD85,HJ85))</x:f>
      </x:c>
      <x:c r="IX85" s="27" t="str">
        <x:f>IF(C85="","",SUM(EK85,EQ85,EW85,FC85,FI85,FO85,FU85,GA85,GG85,GM85,GS85,GY85,HE85,HK85))</x:f>
      </x:c>
      <x:c r="IY85" s="27" t="str">
        <x:f>IF(C85="","",SUM(EL85,ER85,EX85,FD85,FJ85,FP85,FV85,GB85,GH85,GN85,GT85,GZ85,HF85,HL85))</x:f>
      </x:c>
      <x:c r="IZ85" s="27" t="str">
        <x:f>IF(C85="","",SUM(EM85,ES85,EY85,FE85,FK85,FQ85,FW85,GC85,GI85,GO85,GU85,HA85,HG85,HM85))</x:f>
      </x:c>
      <x:c r="JA85" s="27" t="str">
        <x:f>IF(C85="","",SUM(EN85,ET85,EZ85,FF85,FL85,FR85,FX85,GD85,GJ85,GP85,GV85,HB85,HH85,HN85))</x:f>
      </x:c>
      <x:c r="JB85" s="27" t="str">
        <x:f>IF(C85="","",SUM(EO85,EU85,FA85,FG85,FM85,FS85,FY85,GE85,GK85,GQ85,GW85,HC85,HI85,HO85))</x:f>
      </x:c>
      <x:c r="JC85" s="27" t="str">
        <x:f>IF(C85="","",0)</x:f>
      </x:c>
      <x:c r="JD85" s="27" t="str">
        <x:f>IF(C85="","",0)</x:f>
      </x:c>
      <x:c r="JE85" s="27" t="str">
        <x:f>IF(C85="","",0)</x:f>
      </x:c>
      <x:c r="JF85" s="27" t="str">
        <x:f>IF(C85="","",0)</x:f>
      </x:c>
      <x:c r="JG85" s="27" t="str">
        <x:f>IF(C85="","",0)</x:f>
      </x:c>
      <x:c r="JH85" s="27" t="str">
        <x:f>IF(C85="","",0)</x:f>
      </x:c>
      <x:c r="JI85" s="27" t="str">
        <x:f>IF(C85="","",HP85*1000000000+IW85*1000000+IQ85*10000+IK85*100+JC85+6/1000)</x:f>
      </x:c>
      <x:c r="JJ85" s="27" t="str">
        <x:f>IF(C85="","",HQ85*1000000000+IX85*1000000+IR85*10000+IL85*100+JD85+5/1000)</x:f>
      </x:c>
      <x:c r="JK85" s="27" t="str">
        <x:f>IF(C85="","",HR85*1000000000+IY85*1000000+IS85*10000+IM85*100+JE85+4/1000)</x:f>
      </x:c>
      <x:c r="JL85" s="27" t="str">
        <x:f>IF(C85="","",HS85*1000000000+IZ85*1000000+IT85*10000+IN85*100+JF85+3/1000)</x:f>
      </x:c>
      <x:c r="JM85" s="27" t="str">
        <x:f>IF(C85="","",HT85*1000000000+JA85*1000000+IU85*10000+IO85*100+JG85+2/1000)</x:f>
      </x:c>
      <x:c r="JN85" s="27" t="str">
        <x:f>IF(C85="","",HU85*1000000000+JB85*1000000+IV85*10000+IP85*100+JH85+1/1000)</x:f>
      </x:c>
    </x:row>
    <x:row r="86">
      <x:c r="A86" s="27"/>
      <x:c r="B86" s="28"/>
      <x:c r="C86" s="27"/>
      <x:c r="D86" s="27"/>
      <x:c r="E86" s="27"/>
      <x:c r="F86" s="27"/>
      <x:c r="G86" s="27"/>
      <x:c r="H86" s="27"/>
      <x:c r="I86" s="27"/>
      <x:c r="J86" s="27"/>
      <x:c r="K86" s="27"/>
      <x:c r="L86" s="27"/>
      <x:c r="M86" s="27"/>
      <x:c r="N86" s="27"/>
      <x:c r="O86" s="27"/>
      <x:c r="P86" s="27"/>
      <x:c r="Q86" s="27"/>
      <x:c r="R86" s="27"/>
      <x:c r="S86" s="27"/>
      <x:c r="T86" s="27"/>
      <x:c r="U86" s="27"/>
      <x:c r="V86" s="27"/>
      <x:c r="W86" s="27"/>
      <x:c r="X86" s="27"/>
      <x:c r="Y86" s="27"/>
      <x:c r="Z86" s="27"/>
      <x:c r="AA86" s="27"/>
      <x:c r="AB86" s="27"/>
      <x:c r="AC86" s="27"/>
      <x:c r="AD86" s="27"/>
      <x:c r="AE86" s="27"/>
      <x:c r="AF86" s="27"/>
      <x:c r="AG86" s="27"/>
      <x:c r="AH86" s="27"/>
      <x:c r="AI86" s="27"/>
      <x:c r="AJ86" s="27"/>
      <x:c r="AK86" s="27"/>
      <x:c r="AL86" s="27"/>
      <x:c r="AM86" s="27"/>
      <x:c r="AN86" s="27"/>
      <x:c r="AO86" s="27"/>
      <x:c r="AP86" s="27"/>
      <x:c r="AQ86" s="27"/>
      <x:c r="AR86" s="27"/>
      <x:c r="AS86" s="27"/>
      <x:c r="AT86" s="27"/>
      <x:c r="AU86" s="27"/>
      <x:c r="AV86" s="27"/>
      <x:c r="AW86" s="27"/>
      <x:c r="AX86" s="27"/>
      <x:c r="AY86" s="27"/>
      <x:c r="AZ86" s="27"/>
      <x:c r="BA86" s="27"/>
      <x:c r="BB86" s="27"/>
      <x:c r="BC86" s="27"/>
      <x:c r="BD86" s="27"/>
      <x:c r="BE86" s="27"/>
      <x:c r="BF86" s="27"/>
      <x:c r="BG86" s="27"/>
      <x:c r="BH86" s="27"/>
      <x:c r="BI86" s="27"/>
      <x:c r="BJ86" s="27"/>
      <x:c r="BK86" s="27"/>
      <x:c r="BL86" s="27"/>
      <x:c r="BM86" s="27"/>
      <x:c r="BN86" s="27"/>
      <x:c r="BO86" s="27"/>
      <x:c r="BP86" s="27"/>
      <x:c r="BQ86" s="27"/>
      <x:c r="BR86" s="27"/>
      <x:c r="BS86" s="27"/>
      <x:c r="BT86" s="27"/>
      <x:c r="BU86" s="27"/>
      <x:c r="BV86" s="27"/>
      <x:c r="BW86" s="27"/>
      <x:c r="BX86" s="27"/>
      <x:c r="BY86" s="27"/>
      <x:c r="BZ86" s="27"/>
      <x:c r="CA86" s="27"/>
      <x:c r="CB86" s="27"/>
      <x:c r="CC86" s="27"/>
      <x:c r="CD86" s="27"/>
      <x:c r="CE86" s="27"/>
      <x:c r="CF86" s="27"/>
      <x:c r="CG86" s="27"/>
      <x:c r="CH86" s="27"/>
      <x:c r="CI86" s="27"/>
      <x:c r="CJ86" s="27"/>
      <x:c r="CK86" s="27"/>
      <x:c r="CL86" s="27"/>
      <x:c r="CM86" s="27"/>
      <x:c r="CN86" s="27"/>
      <x:c r="CO86" s="27"/>
      <x:c r="CP86" s="27"/>
      <x:c r="CQ86" s="27"/>
      <x:c r="CR86" s="27"/>
      <x:c r="CS86" s="27"/>
      <x:c r="CT86" s="27"/>
      <x:c r="CU86" s="27"/>
      <x:c r="CV86" s="27"/>
      <x:c r="CW86" s="27"/>
      <x:c r="CX86" s="27"/>
      <x:c r="CY86" s="27"/>
      <x:c r="CZ86" s="27"/>
      <x:c r="DA86" s="27"/>
      <x:c r="DB86" s="27"/>
      <x:c r="DC86" s="27"/>
      <x:c r="DD86" s="27"/>
      <x:c r="DE86" s="27"/>
      <x:c r="DF86" s="27"/>
      <x:c r="DG86" s="27"/>
      <x:c r="DH86" s="27"/>
      <x:c r="DI86" s="27"/>
      <x:c r="DJ86" s="27"/>
      <x:c r="DK86" s="27"/>
      <x:c r="DL86" s="27"/>
      <x:c r="DM86" s="27"/>
      <x:c r="DN86" s="27"/>
      <x:c r="DO86" s="27"/>
      <x:c r="DP86" s="27"/>
      <x:c r="DQ86" s="27"/>
      <x:c r="DR86" s="27"/>
      <x:c r="DS86" s="27"/>
      <x:c r="DT86" s="27"/>
      <x:c r="DU86" s="27"/>
      <x:c r="DV86" s="27"/>
      <x:c r="DW86" s="27"/>
      <x:c r="DX86" s="27"/>
      <x:c r="DY86" s="27"/>
      <x:c r="DZ86" s="27"/>
      <x:c r="EA86" s="27"/>
      <x:c r="EB86" s="27"/>
      <x:c r="EC86" s="27"/>
      <x:c r="ED86" s="27"/>
      <x:c r="EE86" s="27"/>
      <x:c r="EF86" s="27"/>
      <x:c r="EG86" s="27"/>
      <x:c r="EH86" s="27"/>
      <x:c r="EI86" s="27"/>
      <x:c r="EJ86" s="27"/>
      <x:c r="EK86" s="27"/>
      <x:c r="EL86" s="27"/>
      <x:c r="EM86" s="27"/>
      <x:c r="EN86" s="27"/>
      <x:c r="EO86" s="27"/>
      <x:c r="EP86" s="27"/>
      <x:c r="EQ86" s="27"/>
      <x:c r="ER86" s="27"/>
      <x:c r="ES86" s="27"/>
      <x:c r="ET86" s="27"/>
      <x:c r="EU86" s="27"/>
      <x:c r="EV86" s="27"/>
      <x:c r="EW86" s="27"/>
      <x:c r="EX86" s="27"/>
      <x:c r="EY86" s="27"/>
      <x:c r="EZ86" s="27"/>
      <x:c r="FA86" s="27"/>
      <x:c r="FB86" s="27"/>
      <x:c r="FC86" s="27"/>
      <x:c r="FD86" s="27"/>
      <x:c r="FE86" s="27"/>
      <x:c r="FF86" s="27"/>
      <x:c r="FG86" s="27"/>
      <x:c r="FH86" s="27"/>
      <x:c r="FI86" s="27"/>
      <x:c r="FJ86" s="27"/>
      <x:c r="FK86" s="27"/>
      <x:c r="FL86" s="27"/>
      <x:c r="FM86" s="27"/>
      <x:c r="FN86" s="27"/>
      <x:c r="FO86" s="27"/>
      <x:c r="FP86" s="27"/>
      <x:c r="FQ86" s="27"/>
      <x:c r="FR86" s="27"/>
      <x:c r="FS86" s="27"/>
      <x:c r="FT86" s="27"/>
      <x:c r="FU86" s="27"/>
      <x:c r="FV86" s="27"/>
      <x:c r="FW86" s="27"/>
      <x:c r="FX86" s="27"/>
      <x:c r="FY86" s="27"/>
      <x:c r="FZ86" s="27"/>
      <x:c r="GA86" s="27"/>
      <x:c r="GB86" s="27"/>
      <x:c r="GC86" s="27"/>
      <x:c r="GD86" s="27"/>
      <x:c r="GE86" s="27"/>
      <x:c r="GF86" s="27"/>
      <x:c r="GG86" s="27"/>
      <x:c r="GH86" s="27"/>
      <x:c r="GI86" s="27"/>
      <x:c r="GJ86" s="27"/>
      <x:c r="GK86" s="27"/>
      <x:c r="GL86" s="27"/>
      <x:c r="GM86" s="27"/>
      <x:c r="GN86" s="27"/>
      <x:c r="GO86" s="27"/>
      <x:c r="GP86" s="27"/>
      <x:c r="GQ86" s="27"/>
      <x:c r="GR86" s="27"/>
      <x:c r="GS86" s="27"/>
      <x:c r="GT86" s="27"/>
      <x:c r="GU86" s="27"/>
      <x:c r="GV86" s="27"/>
      <x:c r="GW86" s="27"/>
      <x:c r="GX86" s="27"/>
      <x:c r="GY86" s="27"/>
      <x:c r="GZ86" s="27"/>
      <x:c r="HA86" s="27"/>
      <x:c r="HB86" s="27"/>
      <x:c r="HC86" s="27"/>
      <x:c r="HD86" s="27"/>
      <x:c r="HE86" s="27"/>
      <x:c r="HF86" s="27"/>
      <x:c r="HG86" s="27"/>
      <x:c r="HH86" s="27"/>
      <x:c r="HI86" s="27"/>
      <x:c r="HJ86" s="27"/>
      <x:c r="HK86" s="27"/>
      <x:c r="HL86" s="27"/>
      <x:c r="HM86" s="27"/>
      <x:c r="HN86" s="27"/>
      <x:c r="HO86" s="27"/>
      <x:c r="HP86" s="27" t="str">
        <x:f>IF(C86="","",SUM(H86,N86,T86,Z86,AF86,AL86,AR86,AX86,BD86,BJ86,BP86,BV86,CB86,CH86,CN86,CT86,CZ86,DF86,DL86,DR86,DX86,ED86,EJ86,EP86,EV86,FB86,FH86,FN86,FT86,FZ86,GF86,GL86,GR86,GX86,HD86,HJ86))</x:f>
      </x:c>
      <x:c r="HQ86" s="27" t="str">
        <x:f>IF(C86="","",SUM(I86,O86,U86,AA86,AG86,AM86,AS86,AY86,BE86,BK86,BQ86,BW86,CC86,CI86,CO86,CU86,DA86,DG86,DM86,DS86,DY86,EE86,EK86,EQ86,EW86,FC86,FI86,FO86,FU86,GA86,GG86,GM86,GS86,GY86,HE86,HK86))</x:f>
      </x:c>
      <x:c r="HR86" s="27" t="str">
        <x:f>IF(C86="","",SUM(J86,P86,V86,AB86,AH86,AN86,AT86,AZ86,BF86,BL86,BR86,BX86,CD86,CJ86,CP86,CV86,DB86,DH86,DN86,DT86,DZ86,EF86,EL86,ER86,EX86,FD86,FJ86,FP86,FV86,GB86,GH86,GN86,GT86,GZ86,HF86,HL86))</x:f>
      </x:c>
      <x:c r="HS86" s="27" t="str">
        <x:f>IF(C86="","",SUM(K86,Q86,W86,AC86,AI86,AO86,AU86,BA86,BG86,BM86,BS86,BY86,CE86,CK86,CQ86,CW86,DC86,DI86,DO86,DU86,EA86,EG86,EM86,ES86,EY86,FE86,FK86,FQ86,FW86,GC86,GI86,GO86,GU86,HA86,HG86,HM86))</x:f>
      </x:c>
      <x:c r="HT86" s="27" t="str">
        <x:f>IF(C86="","",SUM(L86,R86,X86,AD86,AJ86,AP86,AV86,BB86,BH86,BN86,BT86,BZ86,CF86,CL86,CR86,CX86,DD86,DJ86,DP86,DV86,EB86,EH86,EN86,ET86,EZ86,FF86,FL86,FR86,FX86,GD86,GJ86,GP86,GV86,HB86,HH86,HN86))</x:f>
      </x:c>
      <x:c r="HU86" s="27" t="str">
        <x:f>IF(C86="","",SUM(M86,S86,Y86,AE86,AK86,AQ86,AW86,BC86,BI86,BO86,BU86,CA86,CG86,CM86,CS86,CY86,DE86,DK86,DQ86,DW86,EC86,EI86,EO86,EU86,FA86,FG86,FM86,FS86,FY86,GE86,GK86,GQ86,GW86,HC86,HI86,HO86))</x:f>
      </x:c>
      <x:c r="HV86" s="27" t="str">
        <x:f>IF(C86="","",IF(JI86=LARGE(JI86:JN86,1),"R",IF(JJ86=LARGE(JI86:JN86,1),"I",IF(JK86=LARGE(JI86:JN86,1),"A",IF(JL86=LARGE(JI86:JN86,1),"S",IF(JM86=LARGE(JI86:JN86,1),"E",IF(JN86=LARGE(JI86:JN86,1),"C",""))))))&amp;IF(JI86=LARGE(JI86:JN86,2),"R",IF(JJ86=LARGE(JI86:JN86,2),"I",IF(JK86=LARGE(JI86:JN86,2),"A",IF(JL86=LARGE(JI86:JN86,2),"S",IF(JM86=LARGE(JI86:JN86,2),"E",IF(JN86=LARGE(JI86:JN86,2),"C",""))))))&amp;IF(JI86=LARGE(JI86:JN86,3),"R",IF(JJ86=LARGE(JI86:JN86,3),"I",IF(JK86=LARGE(JI86:JN86,3),"A",IF(JL86=LARGE(JI86:JN86,3),"S",IF(JM86=LARGE(JI86:JN86,3),"E",IF(JN86=LARGE(JI86:JN86,3),"C","")))))))</x:f>
      </x:c>
      <x:c r="HW86" s="27" t="str">
        <x:f>IF(C86="","",IF(JI86=LARGE(JI86:JN86,1),"นักปฏิบัติ",IF(JJ86=LARGE(JI86:JN86,1),"นักคิดวิเคราะห์",IF(JK86=LARGE(JI86:JN86,1),"นักสร้างสรรค์",IF(JL86=LARGE(JI86:JN86,1),"ผู้เข้าใจผู้คน",IF(JM86=LARGE(JI86:JN86,1),"ผู้นำการเปลี่ยนแปลง",IF(JN86=LARGE(JI86:JN86,1),"ผู้จัดระบบ","ผู้จัดระบบ")))))))</x:f>
      </x:c>
      <x:c r="HX86" s="27"/>
      <x:c r="HY86" s="27"/>
      <x:c r="HZ86" s="27"/>
      <x:c r="IA86" s="27"/>
      <x:c r="IB86" s="27"/>
      <x:c r="IC86" s="27"/>
      <x:c r="ID86" s="27"/>
      <x:c r="IE86" s="27"/>
      <x:c r="IF86" s="27"/>
      <x:c r="IG86" s="27"/>
      <x:c r="IH86" s="27"/>
      <x:c r="II86" s="27"/>
      <x:c r="IJ86" s="27"/>
      <x:c r="IK86" s="27" t="str">
        <x:f>IF(C86="","",SUM(H86,N86,T86,Z86,AF86,AL86,AR86,AX86,BD86,BJ86,BP86))</x:f>
      </x:c>
      <x:c r="IL86" s="27" t="str">
        <x:f>IF(C86="","",SUM(I86,O86,U86,AA86,AG86,AM86,AS86,AY86,BE86,BK86,BQ86))</x:f>
      </x:c>
      <x:c r="IM86" s="27" t="str">
        <x:f>IF(C86="","",SUM(J86,P86,V86,AB86,AH86,AN86,AT86,AZ86,BF86,BL86,BR86))</x:f>
      </x:c>
      <x:c r="IN86" s="27" t="str">
        <x:f>IF(C86="","",SUM(K86,Q86,W86,AC86,AI86,AO86,AU86,BA86,BG86,BM86,BS86))</x:f>
      </x:c>
      <x:c r="IO86" s="27" t="str">
        <x:f>IF(C86="","",SUM(L86,R86,X86,AD86,AJ86,AP86,AV86,BB86,BH86,BN86,BT86))</x:f>
      </x:c>
      <x:c r="IP86" s="27" t="str">
        <x:f>IF(C86="","",SUM(M86,S86,Y86,AE86,AK86,AQ86,AW86,BC86,BI86,BO86,BU86))</x:f>
      </x:c>
      <x:c r="IQ86" s="27" t="str">
        <x:f>IF(C86="","",SUM(BV86,CB86,CH86,CN86,CT86,CZ86,DF86,DL86,DR86,DX86,ED86))</x:f>
      </x:c>
      <x:c r="IR86" s="27" t="str">
        <x:f>IF(C86="","",SUM(BW86,CC86,CI86,CO86,CU86,DA86,DG86,DM86,DS86,DY86,EE86))</x:f>
      </x:c>
      <x:c r="IS86" s="27" t="str">
        <x:f>IF(C86="","",SUM(BX86,CD86,CJ86,CP86,CV86,DB86,DH86,DN86,DT86,DZ86,EF86))</x:f>
      </x:c>
      <x:c r="IT86" s="27" t="str">
        <x:f>IF(C86="","",SUM(BY86,CE86,CK86,CQ86,CW86,DC86,DI86,DO86,DU86,EA86,EG86))</x:f>
      </x:c>
      <x:c r="IU86" s="27" t="str">
        <x:f>IF(C86="","",SUM(BZ86,CF86,CL86,CR86,CX86,DD86,DJ86,DP86,DV86,EB86,EH86))</x:f>
      </x:c>
      <x:c r="IV86" s="27" t="str">
        <x:f>IF(C86="","",SUM(CA86,CG86,CM86,CS86,CY86,DE86,DK86,DQ86,DW86,EC86,EI86))</x:f>
      </x:c>
      <x:c r="IW86" s="27" t="str">
        <x:f>IF(C86="","",SUM(EJ86,EP86,EV86,FB86,FH86,FN86,FT86,FZ86,GF86,GL86,GR86,GX86,HD86,HJ86))</x:f>
      </x:c>
      <x:c r="IX86" s="27" t="str">
        <x:f>IF(C86="","",SUM(EK86,EQ86,EW86,FC86,FI86,FO86,FU86,GA86,GG86,GM86,GS86,GY86,HE86,HK86))</x:f>
      </x:c>
      <x:c r="IY86" s="27" t="str">
        <x:f>IF(C86="","",SUM(EL86,ER86,EX86,FD86,FJ86,FP86,FV86,GB86,GH86,GN86,GT86,GZ86,HF86,HL86))</x:f>
      </x:c>
      <x:c r="IZ86" s="27" t="str">
        <x:f>IF(C86="","",SUM(EM86,ES86,EY86,FE86,FK86,FQ86,FW86,GC86,GI86,GO86,GU86,HA86,HG86,HM86))</x:f>
      </x:c>
      <x:c r="JA86" s="27" t="str">
        <x:f>IF(C86="","",SUM(EN86,ET86,EZ86,FF86,FL86,FR86,FX86,GD86,GJ86,GP86,GV86,HB86,HH86,HN86))</x:f>
      </x:c>
      <x:c r="JB86" s="27" t="str">
        <x:f>IF(C86="","",SUM(EO86,EU86,FA86,FG86,FM86,FS86,FY86,GE86,GK86,GQ86,GW86,HC86,HI86,HO86))</x:f>
      </x:c>
      <x:c r="JC86" s="27" t="str">
        <x:f>IF(C86="","",0)</x:f>
      </x:c>
      <x:c r="JD86" s="27" t="str">
        <x:f>IF(C86="","",0)</x:f>
      </x:c>
      <x:c r="JE86" s="27" t="str">
        <x:f>IF(C86="","",0)</x:f>
      </x:c>
      <x:c r="JF86" s="27" t="str">
        <x:f>IF(C86="","",0)</x:f>
      </x:c>
      <x:c r="JG86" s="27" t="str">
        <x:f>IF(C86="","",0)</x:f>
      </x:c>
      <x:c r="JH86" s="27" t="str">
        <x:f>IF(C86="","",0)</x:f>
      </x:c>
      <x:c r="JI86" s="27" t="str">
        <x:f>IF(C86="","",HP86*1000000000+IW86*1000000+IQ86*10000+IK86*100+JC86+6/1000)</x:f>
      </x:c>
      <x:c r="JJ86" s="27" t="str">
        <x:f>IF(C86="","",HQ86*1000000000+IX86*1000000+IR86*10000+IL86*100+JD86+5/1000)</x:f>
      </x:c>
      <x:c r="JK86" s="27" t="str">
        <x:f>IF(C86="","",HR86*1000000000+IY86*1000000+IS86*10000+IM86*100+JE86+4/1000)</x:f>
      </x:c>
      <x:c r="JL86" s="27" t="str">
        <x:f>IF(C86="","",HS86*1000000000+IZ86*1000000+IT86*10000+IN86*100+JF86+3/1000)</x:f>
      </x:c>
      <x:c r="JM86" s="27" t="str">
        <x:f>IF(C86="","",HT86*1000000000+JA86*1000000+IU86*10000+IO86*100+JG86+2/1000)</x:f>
      </x:c>
      <x:c r="JN86" s="27" t="str">
        <x:f>IF(C86="","",HU86*1000000000+JB86*1000000+IV86*10000+IP86*100+JH86+1/1000)</x:f>
      </x:c>
    </x:row>
    <x:row r="87">
      <x:c r="A87" s="27"/>
      <x:c r="B87" s="28"/>
      <x:c r="C87" s="27"/>
      <x:c r="D87" s="27"/>
      <x:c r="E87" s="27"/>
      <x:c r="F87" s="27"/>
      <x:c r="G87" s="27"/>
      <x:c r="H87" s="27"/>
      <x:c r="I87" s="27"/>
      <x:c r="J87" s="27"/>
      <x:c r="K87" s="27"/>
      <x:c r="L87" s="27"/>
      <x:c r="M87" s="27"/>
      <x:c r="N87" s="27"/>
      <x:c r="O87" s="27"/>
      <x:c r="P87" s="27"/>
      <x:c r="Q87" s="27"/>
      <x:c r="R87" s="27"/>
      <x:c r="S87" s="27"/>
      <x:c r="T87" s="27"/>
      <x:c r="U87" s="27"/>
      <x:c r="V87" s="27"/>
      <x:c r="W87" s="27"/>
      <x:c r="X87" s="27"/>
      <x:c r="Y87" s="27"/>
      <x:c r="Z87" s="27"/>
      <x:c r="AA87" s="27"/>
      <x:c r="AB87" s="27"/>
      <x:c r="AC87" s="27"/>
      <x:c r="AD87" s="27"/>
      <x:c r="AE87" s="27"/>
      <x:c r="AF87" s="27"/>
      <x:c r="AG87" s="27"/>
      <x:c r="AH87" s="27"/>
      <x:c r="AI87" s="27"/>
      <x:c r="AJ87" s="27"/>
      <x:c r="AK87" s="27"/>
      <x:c r="AL87" s="27"/>
      <x:c r="AM87" s="27"/>
      <x:c r="AN87" s="27"/>
      <x:c r="AO87" s="27"/>
      <x:c r="AP87" s="27"/>
      <x:c r="AQ87" s="27"/>
      <x:c r="AR87" s="27"/>
      <x:c r="AS87" s="27"/>
      <x:c r="AT87" s="27"/>
      <x:c r="AU87" s="27"/>
      <x:c r="AV87" s="27"/>
      <x:c r="AW87" s="27"/>
      <x:c r="AX87" s="27"/>
      <x:c r="AY87" s="27"/>
      <x:c r="AZ87" s="27"/>
      <x:c r="BA87" s="27"/>
      <x:c r="BB87" s="27"/>
      <x:c r="BC87" s="27"/>
      <x:c r="BD87" s="27"/>
      <x:c r="BE87" s="27"/>
      <x:c r="BF87" s="27"/>
      <x:c r="BG87" s="27"/>
      <x:c r="BH87" s="27"/>
      <x:c r="BI87" s="27"/>
      <x:c r="BJ87" s="27"/>
      <x:c r="BK87" s="27"/>
      <x:c r="BL87" s="27"/>
      <x:c r="BM87" s="27"/>
      <x:c r="BN87" s="27"/>
      <x:c r="BO87" s="27"/>
      <x:c r="BP87" s="27"/>
      <x:c r="BQ87" s="27"/>
      <x:c r="BR87" s="27"/>
      <x:c r="BS87" s="27"/>
      <x:c r="BT87" s="27"/>
      <x:c r="BU87" s="27"/>
      <x:c r="BV87" s="27"/>
      <x:c r="BW87" s="27"/>
      <x:c r="BX87" s="27"/>
      <x:c r="BY87" s="27"/>
      <x:c r="BZ87" s="27"/>
      <x:c r="CA87" s="27"/>
      <x:c r="CB87" s="27"/>
      <x:c r="CC87" s="27"/>
      <x:c r="CD87" s="27"/>
      <x:c r="CE87" s="27"/>
      <x:c r="CF87" s="27"/>
      <x:c r="CG87" s="27"/>
      <x:c r="CH87" s="27"/>
      <x:c r="CI87" s="27"/>
      <x:c r="CJ87" s="27"/>
      <x:c r="CK87" s="27"/>
      <x:c r="CL87" s="27"/>
      <x:c r="CM87" s="27"/>
      <x:c r="CN87" s="27"/>
      <x:c r="CO87" s="27"/>
      <x:c r="CP87" s="27"/>
      <x:c r="CQ87" s="27"/>
      <x:c r="CR87" s="27"/>
      <x:c r="CS87" s="27"/>
      <x:c r="CT87" s="27"/>
      <x:c r="CU87" s="27"/>
      <x:c r="CV87" s="27"/>
      <x:c r="CW87" s="27"/>
      <x:c r="CX87" s="27"/>
      <x:c r="CY87" s="27"/>
      <x:c r="CZ87" s="27"/>
      <x:c r="DA87" s="27"/>
      <x:c r="DB87" s="27"/>
      <x:c r="DC87" s="27"/>
      <x:c r="DD87" s="27"/>
      <x:c r="DE87" s="27"/>
      <x:c r="DF87" s="27"/>
      <x:c r="DG87" s="27"/>
      <x:c r="DH87" s="27"/>
      <x:c r="DI87" s="27"/>
      <x:c r="DJ87" s="27"/>
      <x:c r="DK87" s="27"/>
      <x:c r="DL87" s="27"/>
      <x:c r="DM87" s="27"/>
      <x:c r="DN87" s="27"/>
      <x:c r="DO87" s="27"/>
      <x:c r="DP87" s="27"/>
      <x:c r="DQ87" s="27"/>
      <x:c r="DR87" s="27"/>
      <x:c r="DS87" s="27"/>
      <x:c r="DT87" s="27"/>
      <x:c r="DU87" s="27"/>
      <x:c r="DV87" s="27"/>
      <x:c r="DW87" s="27"/>
      <x:c r="DX87" s="27"/>
      <x:c r="DY87" s="27"/>
      <x:c r="DZ87" s="27"/>
      <x:c r="EA87" s="27"/>
      <x:c r="EB87" s="27"/>
      <x:c r="EC87" s="27"/>
      <x:c r="ED87" s="27"/>
      <x:c r="EE87" s="27"/>
      <x:c r="EF87" s="27"/>
      <x:c r="EG87" s="27"/>
      <x:c r="EH87" s="27"/>
      <x:c r="EI87" s="27"/>
      <x:c r="EJ87" s="27"/>
      <x:c r="EK87" s="27"/>
      <x:c r="EL87" s="27"/>
      <x:c r="EM87" s="27"/>
      <x:c r="EN87" s="27"/>
      <x:c r="EO87" s="27"/>
      <x:c r="EP87" s="27"/>
      <x:c r="EQ87" s="27"/>
      <x:c r="ER87" s="27"/>
      <x:c r="ES87" s="27"/>
      <x:c r="ET87" s="27"/>
      <x:c r="EU87" s="27"/>
      <x:c r="EV87" s="27"/>
      <x:c r="EW87" s="27"/>
      <x:c r="EX87" s="27"/>
      <x:c r="EY87" s="27"/>
      <x:c r="EZ87" s="27"/>
      <x:c r="FA87" s="27"/>
      <x:c r="FB87" s="27"/>
      <x:c r="FC87" s="27"/>
      <x:c r="FD87" s="27"/>
      <x:c r="FE87" s="27"/>
      <x:c r="FF87" s="27"/>
      <x:c r="FG87" s="27"/>
      <x:c r="FH87" s="27"/>
      <x:c r="FI87" s="27"/>
      <x:c r="FJ87" s="27"/>
      <x:c r="FK87" s="27"/>
      <x:c r="FL87" s="27"/>
      <x:c r="FM87" s="27"/>
      <x:c r="FN87" s="27"/>
      <x:c r="FO87" s="27"/>
      <x:c r="FP87" s="27"/>
      <x:c r="FQ87" s="27"/>
      <x:c r="FR87" s="27"/>
      <x:c r="FS87" s="27"/>
      <x:c r="FT87" s="27"/>
      <x:c r="FU87" s="27"/>
      <x:c r="FV87" s="27"/>
      <x:c r="FW87" s="27"/>
      <x:c r="FX87" s="27"/>
      <x:c r="FY87" s="27"/>
      <x:c r="FZ87" s="27"/>
      <x:c r="GA87" s="27"/>
      <x:c r="GB87" s="27"/>
      <x:c r="GC87" s="27"/>
      <x:c r="GD87" s="27"/>
      <x:c r="GE87" s="27"/>
      <x:c r="GF87" s="27"/>
      <x:c r="GG87" s="27"/>
      <x:c r="GH87" s="27"/>
      <x:c r="GI87" s="27"/>
      <x:c r="GJ87" s="27"/>
      <x:c r="GK87" s="27"/>
      <x:c r="GL87" s="27"/>
      <x:c r="GM87" s="27"/>
      <x:c r="GN87" s="27"/>
      <x:c r="GO87" s="27"/>
      <x:c r="GP87" s="27"/>
      <x:c r="GQ87" s="27"/>
      <x:c r="GR87" s="27"/>
      <x:c r="GS87" s="27"/>
      <x:c r="GT87" s="27"/>
      <x:c r="GU87" s="27"/>
      <x:c r="GV87" s="27"/>
      <x:c r="GW87" s="27"/>
      <x:c r="GX87" s="27"/>
      <x:c r="GY87" s="27"/>
      <x:c r="GZ87" s="27"/>
      <x:c r="HA87" s="27"/>
      <x:c r="HB87" s="27"/>
      <x:c r="HC87" s="27"/>
      <x:c r="HD87" s="27"/>
      <x:c r="HE87" s="27"/>
      <x:c r="HF87" s="27"/>
      <x:c r="HG87" s="27"/>
      <x:c r="HH87" s="27"/>
      <x:c r="HI87" s="27"/>
      <x:c r="HJ87" s="27"/>
      <x:c r="HK87" s="27"/>
      <x:c r="HL87" s="27"/>
      <x:c r="HM87" s="27"/>
      <x:c r="HN87" s="27"/>
      <x:c r="HO87" s="27"/>
      <x:c r="HP87" s="27" t="str">
        <x:f>IF(C87="","",SUM(H87,N87,T87,Z87,AF87,AL87,AR87,AX87,BD87,BJ87,BP87,BV87,CB87,CH87,CN87,CT87,CZ87,DF87,DL87,DR87,DX87,ED87,EJ87,EP87,EV87,FB87,FH87,FN87,FT87,FZ87,GF87,GL87,GR87,GX87,HD87,HJ87))</x:f>
      </x:c>
      <x:c r="HQ87" s="27" t="str">
        <x:f>IF(C87="","",SUM(I87,O87,U87,AA87,AG87,AM87,AS87,AY87,BE87,BK87,BQ87,BW87,CC87,CI87,CO87,CU87,DA87,DG87,DM87,DS87,DY87,EE87,EK87,EQ87,EW87,FC87,FI87,FO87,FU87,GA87,GG87,GM87,GS87,GY87,HE87,HK87))</x:f>
      </x:c>
      <x:c r="HR87" s="27" t="str">
        <x:f>IF(C87="","",SUM(J87,P87,V87,AB87,AH87,AN87,AT87,AZ87,BF87,BL87,BR87,BX87,CD87,CJ87,CP87,CV87,DB87,DH87,DN87,DT87,DZ87,EF87,EL87,ER87,EX87,FD87,FJ87,FP87,FV87,GB87,GH87,GN87,GT87,GZ87,HF87,HL87))</x:f>
      </x:c>
      <x:c r="HS87" s="27" t="str">
        <x:f>IF(C87="","",SUM(K87,Q87,W87,AC87,AI87,AO87,AU87,BA87,BG87,BM87,BS87,BY87,CE87,CK87,CQ87,CW87,DC87,DI87,DO87,DU87,EA87,EG87,EM87,ES87,EY87,FE87,FK87,FQ87,FW87,GC87,GI87,GO87,GU87,HA87,HG87,HM87))</x:f>
      </x:c>
      <x:c r="HT87" s="27" t="str">
        <x:f>IF(C87="","",SUM(L87,R87,X87,AD87,AJ87,AP87,AV87,BB87,BH87,BN87,BT87,BZ87,CF87,CL87,CR87,CX87,DD87,DJ87,DP87,DV87,EB87,EH87,EN87,ET87,EZ87,FF87,FL87,FR87,FX87,GD87,GJ87,GP87,GV87,HB87,HH87,HN87))</x:f>
      </x:c>
      <x:c r="HU87" s="27" t="str">
        <x:f>IF(C87="","",SUM(M87,S87,Y87,AE87,AK87,AQ87,AW87,BC87,BI87,BO87,BU87,CA87,CG87,CM87,CS87,CY87,DE87,DK87,DQ87,DW87,EC87,EI87,EO87,EU87,FA87,FG87,FM87,FS87,FY87,GE87,GK87,GQ87,GW87,HC87,HI87,HO87))</x:f>
      </x:c>
      <x:c r="HV87" s="27" t="str">
        <x:f>IF(C87="","",IF(JI87=LARGE(JI87:JN87,1),"R",IF(JJ87=LARGE(JI87:JN87,1),"I",IF(JK87=LARGE(JI87:JN87,1),"A",IF(JL87=LARGE(JI87:JN87,1),"S",IF(JM87=LARGE(JI87:JN87,1),"E",IF(JN87=LARGE(JI87:JN87,1),"C",""))))))&amp;IF(JI87=LARGE(JI87:JN87,2),"R",IF(JJ87=LARGE(JI87:JN87,2),"I",IF(JK87=LARGE(JI87:JN87,2),"A",IF(JL87=LARGE(JI87:JN87,2),"S",IF(JM87=LARGE(JI87:JN87,2),"E",IF(JN87=LARGE(JI87:JN87,2),"C",""))))))&amp;IF(JI87=LARGE(JI87:JN87,3),"R",IF(JJ87=LARGE(JI87:JN87,3),"I",IF(JK87=LARGE(JI87:JN87,3),"A",IF(JL87=LARGE(JI87:JN87,3),"S",IF(JM87=LARGE(JI87:JN87,3),"E",IF(JN87=LARGE(JI87:JN87,3),"C","")))))))</x:f>
      </x:c>
      <x:c r="HW87" s="27" t="str">
        <x:f>IF(C87="","",IF(JI87=LARGE(JI87:JN87,1),"นักปฏิบัติ",IF(JJ87=LARGE(JI87:JN87,1),"นักคิดวิเคราะห์",IF(JK87=LARGE(JI87:JN87,1),"นักสร้างสรรค์",IF(JL87=LARGE(JI87:JN87,1),"ผู้เข้าใจผู้คน",IF(JM87=LARGE(JI87:JN87,1),"ผู้นำการเปลี่ยนแปลง",IF(JN87=LARGE(JI87:JN87,1),"ผู้จัดระบบ","ผู้จัดระบบ")))))))</x:f>
      </x:c>
      <x:c r="HX87" s="27"/>
      <x:c r="HY87" s="27"/>
      <x:c r="HZ87" s="27"/>
      <x:c r="IA87" s="27"/>
      <x:c r="IB87" s="27"/>
      <x:c r="IC87" s="27"/>
      <x:c r="ID87" s="27"/>
      <x:c r="IE87" s="27"/>
      <x:c r="IF87" s="27"/>
      <x:c r="IG87" s="27"/>
      <x:c r="IH87" s="27"/>
      <x:c r="II87" s="27"/>
      <x:c r="IJ87" s="27"/>
      <x:c r="IK87" s="27" t="str">
        <x:f>IF(C87="","",SUM(H87,N87,T87,Z87,AF87,AL87,AR87,AX87,BD87,BJ87,BP87))</x:f>
      </x:c>
      <x:c r="IL87" s="27" t="str">
        <x:f>IF(C87="","",SUM(I87,O87,U87,AA87,AG87,AM87,AS87,AY87,BE87,BK87,BQ87))</x:f>
      </x:c>
      <x:c r="IM87" s="27" t="str">
        <x:f>IF(C87="","",SUM(J87,P87,V87,AB87,AH87,AN87,AT87,AZ87,BF87,BL87,BR87))</x:f>
      </x:c>
      <x:c r="IN87" s="27" t="str">
        <x:f>IF(C87="","",SUM(K87,Q87,W87,AC87,AI87,AO87,AU87,BA87,BG87,BM87,BS87))</x:f>
      </x:c>
      <x:c r="IO87" s="27" t="str">
        <x:f>IF(C87="","",SUM(L87,R87,X87,AD87,AJ87,AP87,AV87,BB87,BH87,BN87,BT87))</x:f>
      </x:c>
      <x:c r="IP87" s="27" t="str">
        <x:f>IF(C87="","",SUM(M87,S87,Y87,AE87,AK87,AQ87,AW87,BC87,BI87,BO87,BU87))</x:f>
      </x:c>
      <x:c r="IQ87" s="27" t="str">
        <x:f>IF(C87="","",SUM(BV87,CB87,CH87,CN87,CT87,CZ87,DF87,DL87,DR87,DX87,ED87))</x:f>
      </x:c>
      <x:c r="IR87" s="27" t="str">
        <x:f>IF(C87="","",SUM(BW87,CC87,CI87,CO87,CU87,DA87,DG87,DM87,DS87,DY87,EE87))</x:f>
      </x:c>
      <x:c r="IS87" s="27" t="str">
        <x:f>IF(C87="","",SUM(BX87,CD87,CJ87,CP87,CV87,DB87,DH87,DN87,DT87,DZ87,EF87))</x:f>
      </x:c>
      <x:c r="IT87" s="27" t="str">
        <x:f>IF(C87="","",SUM(BY87,CE87,CK87,CQ87,CW87,DC87,DI87,DO87,DU87,EA87,EG87))</x:f>
      </x:c>
      <x:c r="IU87" s="27" t="str">
        <x:f>IF(C87="","",SUM(BZ87,CF87,CL87,CR87,CX87,DD87,DJ87,DP87,DV87,EB87,EH87))</x:f>
      </x:c>
      <x:c r="IV87" s="27" t="str">
        <x:f>IF(C87="","",SUM(CA87,CG87,CM87,CS87,CY87,DE87,DK87,DQ87,DW87,EC87,EI87))</x:f>
      </x:c>
      <x:c r="IW87" s="27" t="str">
        <x:f>IF(C87="","",SUM(EJ87,EP87,EV87,FB87,FH87,FN87,FT87,FZ87,GF87,GL87,GR87,GX87,HD87,HJ87))</x:f>
      </x:c>
      <x:c r="IX87" s="27" t="str">
        <x:f>IF(C87="","",SUM(EK87,EQ87,EW87,FC87,FI87,FO87,FU87,GA87,GG87,GM87,GS87,GY87,HE87,HK87))</x:f>
      </x:c>
      <x:c r="IY87" s="27" t="str">
        <x:f>IF(C87="","",SUM(EL87,ER87,EX87,FD87,FJ87,FP87,FV87,GB87,GH87,GN87,GT87,GZ87,HF87,HL87))</x:f>
      </x:c>
      <x:c r="IZ87" s="27" t="str">
        <x:f>IF(C87="","",SUM(EM87,ES87,EY87,FE87,FK87,FQ87,FW87,GC87,GI87,GO87,GU87,HA87,HG87,HM87))</x:f>
      </x:c>
      <x:c r="JA87" s="27" t="str">
        <x:f>IF(C87="","",SUM(EN87,ET87,EZ87,FF87,FL87,FR87,FX87,GD87,GJ87,GP87,GV87,HB87,HH87,HN87))</x:f>
      </x:c>
      <x:c r="JB87" s="27" t="str">
        <x:f>IF(C87="","",SUM(EO87,EU87,FA87,FG87,FM87,FS87,FY87,GE87,GK87,GQ87,GW87,HC87,HI87,HO87))</x:f>
      </x:c>
      <x:c r="JC87" s="27" t="str">
        <x:f>IF(C87="","",0)</x:f>
      </x:c>
      <x:c r="JD87" s="27" t="str">
        <x:f>IF(C87="","",0)</x:f>
      </x:c>
      <x:c r="JE87" s="27" t="str">
        <x:f>IF(C87="","",0)</x:f>
      </x:c>
      <x:c r="JF87" s="27" t="str">
        <x:f>IF(C87="","",0)</x:f>
      </x:c>
      <x:c r="JG87" s="27" t="str">
        <x:f>IF(C87="","",0)</x:f>
      </x:c>
      <x:c r="JH87" s="27" t="str">
        <x:f>IF(C87="","",0)</x:f>
      </x:c>
      <x:c r="JI87" s="27" t="str">
        <x:f>IF(C87="","",HP87*1000000000+IW87*1000000+IQ87*10000+IK87*100+JC87+6/1000)</x:f>
      </x:c>
      <x:c r="JJ87" s="27" t="str">
        <x:f>IF(C87="","",HQ87*1000000000+IX87*1000000+IR87*10000+IL87*100+JD87+5/1000)</x:f>
      </x:c>
      <x:c r="JK87" s="27" t="str">
        <x:f>IF(C87="","",HR87*1000000000+IY87*1000000+IS87*10000+IM87*100+JE87+4/1000)</x:f>
      </x:c>
      <x:c r="JL87" s="27" t="str">
        <x:f>IF(C87="","",HS87*1000000000+IZ87*1000000+IT87*10000+IN87*100+JF87+3/1000)</x:f>
      </x:c>
      <x:c r="JM87" s="27" t="str">
        <x:f>IF(C87="","",HT87*1000000000+JA87*1000000+IU87*10000+IO87*100+JG87+2/1000)</x:f>
      </x:c>
      <x:c r="JN87" s="27" t="str">
        <x:f>IF(C87="","",HU87*1000000000+JB87*1000000+IV87*10000+IP87*100+JH87+1/1000)</x:f>
      </x:c>
    </x:row>
    <x:row r="88">
      <x:c r="A88" s="27"/>
      <x:c r="B88" s="28"/>
      <x:c r="C88" s="27"/>
      <x:c r="D88" s="27"/>
      <x:c r="E88" s="27"/>
      <x:c r="F88" s="27"/>
      <x:c r="G88" s="27"/>
      <x:c r="H88" s="27"/>
      <x:c r="I88" s="27"/>
      <x:c r="J88" s="27"/>
      <x:c r="K88" s="27"/>
      <x:c r="L88" s="27"/>
      <x:c r="M88" s="27"/>
      <x:c r="N88" s="27"/>
      <x:c r="O88" s="27"/>
      <x:c r="P88" s="27"/>
      <x:c r="Q88" s="27"/>
      <x:c r="R88" s="27"/>
      <x:c r="S88" s="27"/>
      <x:c r="T88" s="27"/>
      <x:c r="U88" s="27"/>
      <x:c r="V88" s="27"/>
      <x:c r="W88" s="27"/>
      <x:c r="X88" s="27"/>
      <x:c r="Y88" s="27"/>
      <x:c r="Z88" s="27"/>
      <x:c r="AA88" s="27"/>
      <x:c r="AB88" s="27"/>
      <x:c r="AC88" s="27"/>
      <x:c r="AD88" s="27"/>
      <x:c r="AE88" s="27"/>
      <x:c r="AF88" s="27"/>
      <x:c r="AG88" s="27"/>
      <x:c r="AH88" s="27"/>
      <x:c r="AI88" s="27"/>
      <x:c r="AJ88" s="27"/>
      <x:c r="AK88" s="27"/>
      <x:c r="AL88" s="27"/>
      <x:c r="AM88" s="27"/>
      <x:c r="AN88" s="27"/>
      <x:c r="AO88" s="27"/>
      <x:c r="AP88" s="27"/>
      <x:c r="AQ88" s="27"/>
      <x:c r="AR88" s="27"/>
      <x:c r="AS88" s="27"/>
      <x:c r="AT88" s="27"/>
      <x:c r="AU88" s="27"/>
      <x:c r="AV88" s="27"/>
      <x:c r="AW88" s="27"/>
      <x:c r="AX88" s="27"/>
      <x:c r="AY88" s="27"/>
      <x:c r="AZ88" s="27"/>
      <x:c r="BA88" s="27"/>
      <x:c r="BB88" s="27"/>
      <x:c r="BC88" s="27"/>
      <x:c r="BD88" s="27"/>
      <x:c r="BE88" s="27"/>
      <x:c r="BF88" s="27"/>
      <x:c r="BG88" s="27"/>
      <x:c r="BH88" s="27"/>
      <x:c r="BI88" s="27"/>
      <x:c r="BJ88" s="27"/>
      <x:c r="BK88" s="27"/>
      <x:c r="BL88" s="27"/>
      <x:c r="BM88" s="27"/>
      <x:c r="BN88" s="27"/>
      <x:c r="BO88" s="27"/>
      <x:c r="BP88" s="27"/>
      <x:c r="BQ88" s="27"/>
      <x:c r="BR88" s="27"/>
      <x:c r="BS88" s="27"/>
      <x:c r="BT88" s="27"/>
      <x:c r="BU88" s="27"/>
      <x:c r="BV88" s="27"/>
      <x:c r="BW88" s="27"/>
      <x:c r="BX88" s="27"/>
      <x:c r="BY88" s="27"/>
      <x:c r="BZ88" s="27"/>
      <x:c r="CA88" s="27"/>
      <x:c r="CB88" s="27"/>
      <x:c r="CC88" s="27"/>
      <x:c r="CD88" s="27"/>
      <x:c r="CE88" s="27"/>
      <x:c r="CF88" s="27"/>
      <x:c r="CG88" s="27"/>
      <x:c r="CH88" s="27"/>
      <x:c r="CI88" s="27"/>
      <x:c r="CJ88" s="27"/>
      <x:c r="CK88" s="27"/>
      <x:c r="CL88" s="27"/>
      <x:c r="CM88" s="27"/>
      <x:c r="CN88" s="27"/>
      <x:c r="CO88" s="27"/>
      <x:c r="CP88" s="27"/>
      <x:c r="CQ88" s="27"/>
      <x:c r="CR88" s="27"/>
      <x:c r="CS88" s="27"/>
      <x:c r="CT88" s="27"/>
      <x:c r="CU88" s="27"/>
      <x:c r="CV88" s="27"/>
      <x:c r="CW88" s="27"/>
      <x:c r="CX88" s="27"/>
      <x:c r="CY88" s="27"/>
      <x:c r="CZ88" s="27"/>
      <x:c r="DA88" s="27"/>
      <x:c r="DB88" s="27"/>
      <x:c r="DC88" s="27"/>
      <x:c r="DD88" s="27"/>
      <x:c r="DE88" s="27"/>
      <x:c r="DF88" s="27"/>
      <x:c r="DG88" s="27"/>
      <x:c r="DH88" s="27"/>
      <x:c r="DI88" s="27"/>
      <x:c r="DJ88" s="27"/>
      <x:c r="DK88" s="27"/>
      <x:c r="DL88" s="27"/>
      <x:c r="DM88" s="27"/>
      <x:c r="DN88" s="27"/>
      <x:c r="DO88" s="27"/>
      <x:c r="DP88" s="27"/>
      <x:c r="DQ88" s="27"/>
      <x:c r="DR88" s="27"/>
      <x:c r="DS88" s="27"/>
      <x:c r="DT88" s="27"/>
      <x:c r="DU88" s="27"/>
      <x:c r="DV88" s="27"/>
      <x:c r="DW88" s="27"/>
      <x:c r="DX88" s="27"/>
      <x:c r="DY88" s="27"/>
      <x:c r="DZ88" s="27"/>
      <x:c r="EA88" s="27"/>
      <x:c r="EB88" s="27"/>
      <x:c r="EC88" s="27"/>
      <x:c r="ED88" s="27"/>
      <x:c r="EE88" s="27"/>
      <x:c r="EF88" s="27"/>
      <x:c r="EG88" s="27"/>
      <x:c r="EH88" s="27"/>
      <x:c r="EI88" s="27"/>
      <x:c r="EJ88" s="27"/>
      <x:c r="EK88" s="27"/>
      <x:c r="EL88" s="27"/>
      <x:c r="EM88" s="27"/>
      <x:c r="EN88" s="27"/>
      <x:c r="EO88" s="27"/>
      <x:c r="EP88" s="27"/>
      <x:c r="EQ88" s="27"/>
      <x:c r="ER88" s="27"/>
      <x:c r="ES88" s="27"/>
      <x:c r="ET88" s="27"/>
      <x:c r="EU88" s="27"/>
      <x:c r="EV88" s="27"/>
      <x:c r="EW88" s="27"/>
      <x:c r="EX88" s="27"/>
      <x:c r="EY88" s="27"/>
      <x:c r="EZ88" s="27"/>
      <x:c r="FA88" s="27"/>
      <x:c r="FB88" s="27"/>
      <x:c r="FC88" s="27"/>
      <x:c r="FD88" s="27"/>
      <x:c r="FE88" s="27"/>
      <x:c r="FF88" s="27"/>
      <x:c r="FG88" s="27"/>
      <x:c r="FH88" s="27"/>
      <x:c r="FI88" s="27"/>
      <x:c r="FJ88" s="27"/>
      <x:c r="FK88" s="27"/>
      <x:c r="FL88" s="27"/>
      <x:c r="FM88" s="27"/>
      <x:c r="FN88" s="27"/>
      <x:c r="FO88" s="27"/>
      <x:c r="FP88" s="27"/>
      <x:c r="FQ88" s="27"/>
      <x:c r="FR88" s="27"/>
      <x:c r="FS88" s="27"/>
      <x:c r="FT88" s="27"/>
      <x:c r="FU88" s="27"/>
      <x:c r="FV88" s="27"/>
      <x:c r="FW88" s="27"/>
      <x:c r="FX88" s="27"/>
      <x:c r="FY88" s="27"/>
      <x:c r="FZ88" s="27"/>
      <x:c r="GA88" s="27"/>
      <x:c r="GB88" s="27"/>
      <x:c r="GC88" s="27"/>
      <x:c r="GD88" s="27"/>
      <x:c r="GE88" s="27"/>
      <x:c r="GF88" s="27"/>
      <x:c r="GG88" s="27"/>
      <x:c r="GH88" s="27"/>
      <x:c r="GI88" s="27"/>
      <x:c r="GJ88" s="27"/>
      <x:c r="GK88" s="27"/>
      <x:c r="GL88" s="27"/>
      <x:c r="GM88" s="27"/>
      <x:c r="GN88" s="27"/>
      <x:c r="GO88" s="27"/>
      <x:c r="GP88" s="27"/>
      <x:c r="GQ88" s="27"/>
      <x:c r="GR88" s="27"/>
      <x:c r="GS88" s="27"/>
      <x:c r="GT88" s="27"/>
      <x:c r="GU88" s="27"/>
      <x:c r="GV88" s="27"/>
      <x:c r="GW88" s="27"/>
      <x:c r="GX88" s="27"/>
      <x:c r="GY88" s="27"/>
      <x:c r="GZ88" s="27"/>
      <x:c r="HA88" s="27"/>
      <x:c r="HB88" s="27"/>
      <x:c r="HC88" s="27"/>
      <x:c r="HD88" s="27"/>
      <x:c r="HE88" s="27"/>
      <x:c r="HF88" s="27"/>
      <x:c r="HG88" s="27"/>
      <x:c r="HH88" s="27"/>
      <x:c r="HI88" s="27"/>
      <x:c r="HJ88" s="27"/>
      <x:c r="HK88" s="27"/>
      <x:c r="HL88" s="27"/>
      <x:c r="HM88" s="27"/>
      <x:c r="HN88" s="27"/>
      <x:c r="HO88" s="27"/>
      <x:c r="HP88" s="27" t="str">
        <x:f>IF(C88="","",SUM(H88,N88,T88,Z88,AF88,AL88,AR88,AX88,BD88,BJ88,BP88,BV88,CB88,CH88,CN88,CT88,CZ88,DF88,DL88,DR88,DX88,ED88,EJ88,EP88,EV88,FB88,FH88,FN88,FT88,FZ88,GF88,GL88,GR88,GX88,HD88,HJ88))</x:f>
      </x:c>
      <x:c r="HQ88" s="27" t="str">
        <x:f>IF(C88="","",SUM(I88,O88,U88,AA88,AG88,AM88,AS88,AY88,BE88,BK88,BQ88,BW88,CC88,CI88,CO88,CU88,DA88,DG88,DM88,DS88,DY88,EE88,EK88,EQ88,EW88,FC88,FI88,FO88,FU88,GA88,GG88,GM88,GS88,GY88,HE88,HK88))</x:f>
      </x:c>
      <x:c r="HR88" s="27" t="str">
        <x:f>IF(C88="","",SUM(J88,P88,V88,AB88,AH88,AN88,AT88,AZ88,BF88,BL88,BR88,BX88,CD88,CJ88,CP88,CV88,DB88,DH88,DN88,DT88,DZ88,EF88,EL88,ER88,EX88,FD88,FJ88,FP88,FV88,GB88,GH88,GN88,GT88,GZ88,HF88,HL88))</x:f>
      </x:c>
      <x:c r="HS88" s="27" t="str">
        <x:f>IF(C88="","",SUM(K88,Q88,W88,AC88,AI88,AO88,AU88,BA88,BG88,BM88,BS88,BY88,CE88,CK88,CQ88,CW88,DC88,DI88,DO88,DU88,EA88,EG88,EM88,ES88,EY88,FE88,FK88,FQ88,FW88,GC88,GI88,GO88,GU88,HA88,HG88,HM88))</x:f>
      </x:c>
      <x:c r="HT88" s="27" t="str">
        <x:f>IF(C88="","",SUM(L88,R88,X88,AD88,AJ88,AP88,AV88,BB88,BH88,BN88,BT88,BZ88,CF88,CL88,CR88,CX88,DD88,DJ88,DP88,DV88,EB88,EH88,EN88,ET88,EZ88,FF88,FL88,FR88,FX88,GD88,GJ88,GP88,GV88,HB88,HH88,HN88))</x:f>
      </x:c>
      <x:c r="HU88" s="27" t="str">
        <x:f>IF(C88="","",SUM(M88,S88,Y88,AE88,AK88,AQ88,AW88,BC88,BI88,BO88,BU88,CA88,CG88,CM88,CS88,CY88,DE88,DK88,DQ88,DW88,EC88,EI88,EO88,EU88,FA88,FG88,FM88,FS88,FY88,GE88,GK88,GQ88,GW88,HC88,HI88,HO88))</x:f>
      </x:c>
      <x:c r="HV88" s="27" t="str">
        <x:f>IF(C88="","",IF(JI88=LARGE(JI88:JN88,1),"R",IF(JJ88=LARGE(JI88:JN88,1),"I",IF(JK88=LARGE(JI88:JN88,1),"A",IF(JL88=LARGE(JI88:JN88,1),"S",IF(JM88=LARGE(JI88:JN88,1),"E",IF(JN88=LARGE(JI88:JN88,1),"C",""))))))&amp;IF(JI88=LARGE(JI88:JN88,2),"R",IF(JJ88=LARGE(JI88:JN88,2),"I",IF(JK88=LARGE(JI88:JN88,2),"A",IF(JL88=LARGE(JI88:JN88,2),"S",IF(JM88=LARGE(JI88:JN88,2),"E",IF(JN88=LARGE(JI88:JN88,2),"C",""))))))&amp;IF(JI88=LARGE(JI88:JN88,3),"R",IF(JJ88=LARGE(JI88:JN88,3),"I",IF(JK88=LARGE(JI88:JN88,3),"A",IF(JL88=LARGE(JI88:JN88,3),"S",IF(JM88=LARGE(JI88:JN88,3),"E",IF(JN88=LARGE(JI88:JN88,3),"C","")))))))</x:f>
      </x:c>
      <x:c r="HW88" s="27" t="str">
        <x:f>IF(C88="","",IF(JI88=LARGE(JI88:JN88,1),"นักปฏิบัติ",IF(JJ88=LARGE(JI88:JN88,1),"นักคิดวิเคราะห์",IF(JK88=LARGE(JI88:JN88,1),"นักสร้างสรรค์",IF(JL88=LARGE(JI88:JN88,1),"ผู้เข้าใจผู้คน",IF(JM88=LARGE(JI88:JN88,1),"ผู้นำการเปลี่ยนแปลง",IF(JN88=LARGE(JI88:JN88,1),"ผู้จัดระบบ","ผู้จัดระบบ")))))))</x:f>
      </x:c>
      <x:c r="HX88" s="27"/>
      <x:c r="HY88" s="27"/>
      <x:c r="HZ88" s="27"/>
      <x:c r="IA88" s="27"/>
      <x:c r="IB88" s="27"/>
      <x:c r="IC88" s="27"/>
      <x:c r="ID88" s="27"/>
      <x:c r="IE88" s="27"/>
      <x:c r="IF88" s="27"/>
      <x:c r="IG88" s="27"/>
      <x:c r="IH88" s="27"/>
      <x:c r="II88" s="27"/>
      <x:c r="IJ88" s="27"/>
      <x:c r="IK88" s="27" t="str">
        <x:f>IF(C88="","",SUM(H88,N88,T88,Z88,AF88,AL88,AR88,AX88,BD88,BJ88,BP88))</x:f>
      </x:c>
      <x:c r="IL88" s="27" t="str">
        <x:f>IF(C88="","",SUM(I88,O88,U88,AA88,AG88,AM88,AS88,AY88,BE88,BK88,BQ88))</x:f>
      </x:c>
      <x:c r="IM88" s="27" t="str">
        <x:f>IF(C88="","",SUM(J88,P88,V88,AB88,AH88,AN88,AT88,AZ88,BF88,BL88,BR88))</x:f>
      </x:c>
      <x:c r="IN88" s="27" t="str">
        <x:f>IF(C88="","",SUM(K88,Q88,W88,AC88,AI88,AO88,AU88,BA88,BG88,BM88,BS88))</x:f>
      </x:c>
      <x:c r="IO88" s="27" t="str">
        <x:f>IF(C88="","",SUM(L88,R88,X88,AD88,AJ88,AP88,AV88,BB88,BH88,BN88,BT88))</x:f>
      </x:c>
      <x:c r="IP88" s="27" t="str">
        <x:f>IF(C88="","",SUM(M88,S88,Y88,AE88,AK88,AQ88,AW88,BC88,BI88,BO88,BU88))</x:f>
      </x:c>
      <x:c r="IQ88" s="27" t="str">
        <x:f>IF(C88="","",SUM(BV88,CB88,CH88,CN88,CT88,CZ88,DF88,DL88,DR88,DX88,ED88))</x:f>
      </x:c>
      <x:c r="IR88" s="27" t="str">
        <x:f>IF(C88="","",SUM(BW88,CC88,CI88,CO88,CU88,DA88,DG88,DM88,DS88,DY88,EE88))</x:f>
      </x:c>
      <x:c r="IS88" s="27" t="str">
        <x:f>IF(C88="","",SUM(BX88,CD88,CJ88,CP88,CV88,DB88,DH88,DN88,DT88,DZ88,EF88))</x:f>
      </x:c>
      <x:c r="IT88" s="27" t="str">
        <x:f>IF(C88="","",SUM(BY88,CE88,CK88,CQ88,CW88,DC88,DI88,DO88,DU88,EA88,EG88))</x:f>
      </x:c>
      <x:c r="IU88" s="27" t="str">
        <x:f>IF(C88="","",SUM(BZ88,CF88,CL88,CR88,CX88,DD88,DJ88,DP88,DV88,EB88,EH88))</x:f>
      </x:c>
      <x:c r="IV88" s="27" t="str">
        <x:f>IF(C88="","",SUM(CA88,CG88,CM88,CS88,CY88,DE88,DK88,DQ88,DW88,EC88,EI88))</x:f>
      </x:c>
      <x:c r="IW88" s="27" t="str">
        <x:f>IF(C88="","",SUM(EJ88,EP88,EV88,FB88,FH88,FN88,FT88,FZ88,GF88,GL88,GR88,GX88,HD88,HJ88))</x:f>
      </x:c>
      <x:c r="IX88" s="27" t="str">
        <x:f>IF(C88="","",SUM(EK88,EQ88,EW88,FC88,FI88,FO88,FU88,GA88,GG88,GM88,GS88,GY88,HE88,HK88))</x:f>
      </x:c>
      <x:c r="IY88" s="27" t="str">
        <x:f>IF(C88="","",SUM(EL88,ER88,EX88,FD88,FJ88,FP88,FV88,GB88,GH88,GN88,GT88,GZ88,HF88,HL88))</x:f>
      </x:c>
      <x:c r="IZ88" s="27" t="str">
        <x:f>IF(C88="","",SUM(EM88,ES88,EY88,FE88,FK88,FQ88,FW88,GC88,GI88,GO88,GU88,HA88,HG88,HM88))</x:f>
      </x:c>
      <x:c r="JA88" s="27" t="str">
        <x:f>IF(C88="","",SUM(EN88,ET88,EZ88,FF88,FL88,FR88,FX88,GD88,GJ88,GP88,GV88,HB88,HH88,HN88))</x:f>
      </x:c>
      <x:c r="JB88" s="27" t="str">
        <x:f>IF(C88="","",SUM(EO88,EU88,FA88,FG88,FM88,FS88,FY88,GE88,GK88,GQ88,GW88,HC88,HI88,HO88))</x:f>
      </x:c>
      <x:c r="JC88" s="27" t="str">
        <x:f>IF(C88="","",0)</x:f>
      </x:c>
      <x:c r="JD88" s="27" t="str">
        <x:f>IF(C88="","",0)</x:f>
      </x:c>
      <x:c r="JE88" s="27" t="str">
        <x:f>IF(C88="","",0)</x:f>
      </x:c>
      <x:c r="JF88" s="27" t="str">
        <x:f>IF(C88="","",0)</x:f>
      </x:c>
      <x:c r="JG88" s="27" t="str">
        <x:f>IF(C88="","",0)</x:f>
      </x:c>
      <x:c r="JH88" s="27" t="str">
        <x:f>IF(C88="","",0)</x:f>
      </x:c>
      <x:c r="JI88" s="27" t="str">
        <x:f>IF(C88="","",HP88*1000000000+IW88*1000000+IQ88*10000+IK88*100+JC88+6/1000)</x:f>
      </x:c>
      <x:c r="JJ88" s="27" t="str">
        <x:f>IF(C88="","",HQ88*1000000000+IX88*1000000+IR88*10000+IL88*100+JD88+5/1000)</x:f>
      </x:c>
      <x:c r="JK88" s="27" t="str">
        <x:f>IF(C88="","",HR88*1000000000+IY88*1000000+IS88*10000+IM88*100+JE88+4/1000)</x:f>
      </x:c>
      <x:c r="JL88" s="27" t="str">
        <x:f>IF(C88="","",HS88*1000000000+IZ88*1000000+IT88*10000+IN88*100+JF88+3/1000)</x:f>
      </x:c>
      <x:c r="JM88" s="27" t="str">
        <x:f>IF(C88="","",HT88*1000000000+JA88*1000000+IU88*10000+IO88*100+JG88+2/1000)</x:f>
      </x:c>
      <x:c r="JN88" s="27" t="str">
        <x:f>IF(C88="","",HU88*1000000000+JB88*1000000+IV88*10000+IP88*100+JH88+1/1000)</x:f>
      </x:c>
    </x:row>
    <x:row r="89">
      <x:c r="A89" s="27"/>
      <x:c r="B89" s="28"/>
      <x:c r="C89" s="27"/>
      <x:c r="D89" s="27"/>
      <x:c r="E89" s="27"/>
      <x:c r="F89" s="27"/>
      <x:c r="G89" s="27"/>
      <x:c r="H89" s="27"/>
      <x:c r="I89" s="27"/>
      <x:c r="J89" s="27"/>
      <x:c r="K89" s="27"/>
      <x:c r="L89" s="27"/>
      <x:c r="M89" s="27"/>
      <x:c r="N89" s="27"/>
      <x:c r="O89" s="27"/>
      <x:c r="P89" s="27"/>
      <x:c r="Q89" s="27"/>
      <x:c r="R89" s="27"/>
      <x:c r="S89" s="27"/>
      <x:c r="T89" s="27"/>
      <x:c r="U89" s="27"/>
      <x:c r="V89" s="27"/>
      <x:c r="W89" s="27"/>
      <x:c r="X89" s="27"/>
      <x:c r="Y89" s="27"/>
      <x:c r="Z89" s="27"/>
      <x:c r="AA89" s="27"/>
      <x:c r="AB89" s="27"/>
      <x:c r="AC89" s="27"/>
      <x:c r="AD89" s="27"/>
      <x:c r="AE89" s="27"/>
      <x:c r="AF89" s="27"/>
      <x:c r="AG89" s="27"/>
      <x:c r="AH89" s="27"/>
      <x:c r="AI89" s="27"/>
      <x:c r="AJ89" s="27"/>
      <x:c r="AK89" s="27"/>
      <x:c r="AL89" s="27"/>
      <x:c r="AM89" s="27"/>
      <x:c r="AN89" s="27"/>
      <x:c r="AO89" s="27"/>
      <x:c r="AP89" s="27"/>
      <x:c r="AQ89" s="27"/>
      <x:c r="AR89" s="27"/>
      <x:c r="AS89" s="27"/>
      <x:c r="AT89" s="27"/>
      <x:c r="AU89" s="27"/>
      <x:c r="AV89" s="27"/>
      <x:c r="AW89" s="27"/>
      <x:c r="AX89" s="27"/>
      <x:c r="AY89" s="27"/>
      <x:c r="AZ89" s="27"/>
      <x:c r="BA89" s="27"/>
      <x:c r="BB89" s="27"/>
      <x:c r="BC89" s="27"/>
      <x:c r="BD89" s="27"/>
      <x:c r="BE89" s="27"/>
      <x:c r="BF89" s="27"/>
      <x:c r="BG89" s="27"/>
      <x:c r="BH89" s="27"/>
      <x:c r="BI89" s="27"/>
      <x:c r="BJ89" s="27"/>
      <x:c r="BK89" s="27"/>
      <x:c r="BL89" s="27"/>
      <x:c r="BM89" s="27"/>
      <x:c r="BN89" s="27"/>
      <x:c r="BO89" s="27"/>
      <x:c r="BP89" s="27"/>
      <x:c r="BQ89" s="27"/>
      <x:c r="BR89" s="27"/>
      <x:c r="BS89" s="27"/>
      <x:c r="BT89" s="27"/>
      <x:c r="BU89" s="27"/>
      <x:c r="BV89" s="27"/>
      <x:c r="BW89" s="27"/>
      <x:c r="BX89" s="27"/>
      <x:c r="BY89" s="27"/>
      <x:c r="BZ89" s="27"/>
      <x:c r="CA89" s="27"/>
      <x:c r="CB89" s="27"/>
      <x:c r="CC89" s="27"/>
      <x:c r="CD89" s="27"/>
      <x:c r="CE89" s="27"/>
      <x:c r="CF89" s="27"/>
      <x:c r="CG89" s="27"/>
      <x:c r="CH89" s="27"/>
      <x:c r="CI89" s="27"/>
      <x:c r="CJ89" s="27"/>
      <x:c r="CK89" s="27"/>
      <x:c r="CL89" s="27"/>
      <x:c r="CM89" s="27"/>
      <x:c r="CN89" s="27"/>
      <x:c r="CO89" s="27"/>
      <x:c r="CP89" s="27"/>
      <x:c r="CQ89" s="27"/>
      <x:c r="CR89" s="27"/>
      <x:c r="CS89" s="27"/>
      <x:c r="CT89" s="27"/>
      <x:c r="CU89" s="27"/>
      <x:c r="CV89" s="27"/>
      <x:c r="CW89" s="27"/>
      <x:c r="CX89" s="27"/>
      <x:c r="CY89" s="27"/>
      <x:c r="CZ89" s="27"/>
      <x:c r="DA89" s="27"/>
      <x:c r="DB89" s="27"/>
      <x:c r="DC89" s="27"/>
      <x:c r="DD89" s="27"/>
      <x:c r="DE89" s="27"/>
      <x:c r="DF89" s="27"/>
      <x:c r="DG89" s="27"/>
      <x:c r="DH89" s="27"/>
      <x:c r="DI89" s="27"/>
      <x:c r="DJ89" s="27"/>
      <x:c r="DK89" s="27"/>
      <x:c r="DL89" s="27"/>
      <x:c r="DM89" s="27"/>
      <x:c r="DN89" s="27"/>
      <x:c r="DO89" s="27"/>
      <x:c r="DP89" s="27"/>
      <x:c r="DQ89" s="27"/>
      <x:c r="DR89" s="27"/>
      <x:c r="DS89" s="27"/>
      <x:c r="DT89" s="27"/>
      <x:c r="DU89" s="27"/>
      <x:c r="DV89" s="27"/>
      <x:c r="DW89" s="27"/>
      <x:c r="DX89" s="27"/>
      <x:c r="DY89" s="27"/>
      <x:c r="DZ89" s="27"/>
      <x:c r="EA89" s="27"/>
      <x:c r="EB89" s="27"/>
      <x:c r="EC89" s="27"/>
      <x:c r="ED89" s="27"/>
      <x:c r="EE89" s="27"/>
      <x:c r="EF89" s="27"/>
      <x:c r="EG89" s="27"/>
      <x:c r="EH89" s="27"/>
      <x:c r="EI89" s="27"/>
      <x:c r="EJ89" s="27"/>
      <x:c r="EK89" s="27"/>
      <x:c r="EL89" s="27"/>
      <x:c r="EM89" s="27"/>
      <x:c r="EN89" s="27"/>
      <x:c r="EO89" s="27"/>
      <x:c r="EP89" s="27"/>
      <x:c r="EQ89" s="27"/>
      <x:c r="ER89" s="27"/>
      <x:c r="ES89" s="27"/>
      <x:c r="ET89" s="27"/>
      <x:c r="EU89" s="27"/>
      <x:c r="EV89" s="27"/>
      <x:c r="EW89" s="27"/>
      <x:c r="EX89" s="27"/>
      <x:c r="EY89" s="27"/>
      <x:c r="EZ89" s="27"/>
      <x:c r="FA89" s="27"/>
      <x:c r="FB89" s="27"/>
      <x:c r="FC89" s="27"/>
      <x:c r="FD89" s="27"/>
      <x:c r="FE89" s="27"/>
      <x:c r="FF89" s="27"/>
      <x:c r="FG89" s="27"/>
      <x:c r="FH89" s="27"/>
      <x:c r="FI89" s="27"/>
      <x:c r="FJ89" s="27"/>
      <x:c r="FK89" s="27"/>
      <x:c r="FL89" s="27"/>
      <x:c r="FM89" s="27"/>
      <x:c r="FN89" s="27"/>
      <x:c r="FO89" s="27"/>
      <x:c r="FP89" s="27"/>
      <x:c r="FQ89" s="27"/>
      <x:c r="FR89" s="27"/>
      <x:c r="FS89" s="27"/>
      <x:c r="FT89" s="27"/>
      <x:c r="FU89" s="27"/>
      <x:c r="FV89" s="27"/>
      <x:c r="FW89" s="27"/>
      <x:c r="FX89" s="27"/>
      <x:c r="FY89" s="27"/>
      <x:c r="FZ89" s="27"/>
      <x:c r="GA89" s="27"/>
      <x:c r="GB89" s="27"/>
      <x:c r="GC89" s="27"/>
      <x:c r="GD89" s="27"/>
      <x:c r="GE89" s="27"/>
      <x:c r="GF89" s="27"/>
      <x:c r="GG89" s="27"/>
      <x:c r="GH89" s="27"/>
      <x:c r="GI89" s="27"/>
      <x:c r="GJ89" s="27"/>
      <x:c r="GK89" s="27"/>
      <x:c r="GL89" s="27"/>
      <x:c r="GM89" s="27"/>
      <x:c r="GN89" s="27"/>
      <x:c r="GO89" s="27"/>
      <x:c r="GP89" s="27"/>
      <x:c r="GQ89" s="27"/>
      <x:c r="GR89" s="27"/>
      <x:c r="GS89" s="27"/>
      <x:c r="GT89" s="27"/>
      <x:c r="GU89" s="27"/>
      <x:c r="GV89" s="27"/>
      <x:c r="GW89" s="27"/>
      <x:c r="GX89" s="27"/>
      <x:c r="GY89" s="27"/>
      <x:c r="GZ89" s="27"/>
      <x:c r="HA89" s="27"/>
      <x:c r="HB89" s="27"/>
      <x:c r="HC89" s="27"/>
      <x:c r="HD89" s="27"/>
      <x:c r="HE89" s="27"/>
      <x:c r="HF89" s="27"/>
      <x:c r="HG89" s="27"/>
      <x:c r="HH89" s="27"/>
      <x:c r="HI89" s="27"/>
      <x:c r="HJ89" s="27"/>
      <x:c r="HK89" s="27"/>
      <x:c r="HL89" s="27"/>
      <x:c r="HM89" s="27"/>
      <x:c r="HN89" s="27"/>
      <x:c r="HO89" s="27"/>
      <x:c r="HP89" s="27" t="str">
        <x:f>IF(C89="","",SUM(H89,N89,T89,Z89,AF89,AL89,AR89,AX89,BD89,BJ89,BP89,BV89,CB89,CH89,CN89,CT89,CZ89,DF89,DL89,DR89,DX89,ED89,EJ89,EP89,EV89,FB89,FH89,FN89,FT89,FZ89,GF89,GL89,GR89,GX89,HD89,HJ89))</x:f>
      </x:c>
      <x:c r="HQ89" s="27" t="str">
        <x:f>IF(C89="","",SUM(I89,O89,U89,AA89,AG89,AM89,AS89,AY89,BE89,BK89,BQ89,BW89,CC89,CI89,CO89,CU89,DA89,DG89,DM89,DS89,DY89,EE89,EK89,EQ89,EW89,FC89,FI89,FO89,FU89,GA89,GG89,GM89,GS89,GY89,HE89,HK89))</x:f>
      </x:c>
      <x:c r="HR89" s="27" t="str">
        <x:f>IF(C89="","",SUM(J89,P89,V89,AB89,AH89,AN89,AT89,AZ89,BF89,BL89,BR89,BX89,CD89,CJ89,CP89,CV89,DB89,DH89,DN89,DT89,DZ89,EF89,EL89,ER89,EX89,FD89,FJ89,FP89,FV89,GB89,GH89,GN89,GT89,GZ89,HF89,HL89))</x:f>
      </x:c>
      <x:c r="HS89" s="27" t="str">
        <x:f>IF(C89="","",SUM(K89,Q89,W89,AC89,AI89,AO89,AU89,BA89,BG89,BM89,BS89,BY89,CE89,CK89,CQ89,CW89,DC89,DI89,DO89,DU89,EA89,EG89,EM89,ES89,EY89,FE89,FK89,FQ89,FW89,GC89,GI89,GO89,GU89,HA89,HG89,HM89))</x:f>
      </x:c>
      <x:c r="HT89" s="27" t="str">
        <x:f>IF(C89="","",SUM(L89,R89,X89,AD89,AJ89,AP89,AV89,BB89,BH89,BN89,BT89,BZ89,CF89,CL89,CR89,CX89,DD89,DJ89,DP89,DV89,EB89,EH89,EN89,ET89,EZ89,FF89,FL89,FR89,FX89,GD89,GJ89,GP89,GV89,HB89,HH89,HN89))</x:f>
      </x:c>
      <x:c r="HU89" s="27" t="str">
        <x:f>IF(C89="","",SUM(M89,S89,Y89,AE89,AK89,AQ89,AW89,BC89,BI89,BO89,BU89,CA89,CG89,CM89,CS89,CY89,DE89,DK89,DQ89,DW89,EC89,EI89,EO89,EU89,FA89,FG89,FM89,FS89,FY89,GE89,GK89,GQ89,GW89,HC89,HI89,HO89))</x:f>
      </x:c>
      <x:c r="HV89" s="27" t="str">
        <x:f>IF(C89="","",IF(JI89=LARGE(JI89:JN89,1),"R",IF(JJ89=LARGE(JI89:JN89,1),"I",IF(JK89=LARGE(JI89:JN89,1),"A",IF(JL89=LARGE(JI89:JN89,1),"S",IF(JM89=LARGE(JI89:JN89,1),"E",IF(JN89=LARGE(JI89:JN89,1),"C",""))))))&amp;IF(JI89=LARGE(JI89:JN89,2),"R",IF(JJ89=LARGE(JI89:JN89,2),"I",IF(JK89=LARGE(JI89:JN89,2),"A",IF(JL89=LARGE(JI89:JN89,2),"S",IF(JM89=LARGE(JI89:JN89,2),"E",IF(JN89=LARGE(JI89:JN89,2),"C",""))))))&amp;IF(JI89=LARGE(JI89:JN89,3),"R",IF(JJ89=LARGE(JI89:JN89,3),"I",IF(JK89=LARGE(JI89:JN89,3),"A",IF(JL89=LARGE(JI89:JN89,3),"S",IF(JM89=LARGE(JI89:JN89,3),"E",IF(JN89=LARGE(JI89:JN89,3),"C","")))))))</x:f>
      </x:c>
      <x:c r="HW89" s="27" t="str">
        <x:f>IF(C89="","",IF(JI89=LARGE(JI89:JN89,1),"นักปฏิบัติ",IF(JJ89=LARGE(JI89:JN89,1),"นักคิดวิเคราะห์",IF(JK89=LARGE(JI89:JN89,1),"นักสร้างสรรค์",IF(JL89=LARGE(JI89:JN89,1),"ผู้เข้าใจผู้คน",IF(JM89=LARGE(JI89:JN89,1),"ผู้นำการเปลี่ยนแปลง",IF(JN89=LARGE(JI89:JN89,1),"ผู้จัดระบบ","ผู้จัดระบบ")))))))</x:f>
      </x:c>
      <x:c r="HX89" s="27"/>
      <x:c r="HY89" s="27"/>
      <x:c r="HZ89" s="27"/>
      <x:c r="IA89" s="27"/>
      <x:c r="IB89" s="27"/>
      <x:c r="IC89" s="27"/>
      <x:c r="ID89" s="27"/>
      <x:c r="IE89" s="27"/>
      <x:c r="IF89" s="27"/>
      <x:c r="IG89" s="27"/>
      <x:c r="IH89" s="27"/>
      <x:c r="II89" s="27"/>
      <x:c r="IJ89" s="27"/>
      <x:c r="IK89" s="27" t="str">
        <x:f>IF(C89="","",SUM(H89,N89,T89,Z89,AF89,AL89,AR89,AX89,BD89,BJ89,BP89))</x:f>
      </x:c>
      <x:c r="IL89" s="27" t="str">
        <x:f>IF(C89="","",SUM(I89,O89,U89,AA89,AG89,AM89,AS89,AY89,BE89,BK89,BQ89))</x:f>
      </x:c>
      <x:c r="IM89" s="27" t="str">
        <x:f>IF(C89="","",SUM(J89,P89,V89,AB89,AH89,AN89,AT89,AZ89,BF89,BL89,BR89))</x:f>
      </x:c>
      <x:c r="IN89" s="27" t="str">
        <x:f>IF(C89="","",SUM(K89,Q89,W89,AC89,AI89,AO89,AU89,BA89,BG89,BM89,BS89))</x:f>
      </x:c>
      <x:c r="IO89" s="27" t="str">
        <x:f>IF(C89="","",SUM(L89,R89,X89,AD89,AJ89,AP89,AV89,BB89,BH89,BN89,BT89))</x:f>
      </x:c>
      <x:c r="IP89" s="27" t="str">
        <x:f>IF(C89="","",SUM(M89,S89,Y89,AE89,AK89,AQ89,AW89,BC89,BI89,BO89,BU89))</x:f>
      </x:c>
      <x:c r="IQ89" s="27" t="str">
        <x:f>IF(C89="","",SUM(BV89,CB89,CH89,CN89,CT89,CZ89,DF89,DL89,DR89,DX89,ED89))</x:f>
      </x:c>
      <x:c r="IR89" s="27" t="str">
        <x:f>IF(C89="","",SUM(BW89,CC89,CI89,CO89,CU89,DA89,DG89,DM89,DS89,DY89,EE89))</x:f>
      </x:c>
      <x:c r="IS89" s="27" t="str">
        <x:f>IF(C89="","",SUM(BX89,CD89,CJ89,CP89,CV89,DB89,DH89,DN89,DT89,DZ89,EF89))</x:f>
      </x:c>
      <x:c r="IT89" s="27" t="str">
        <x:f>IF(C89="","",SUM(BY89,CE89,CK89,CQ89,CW89,DC89,DI89,DO89,DU89,EA89,EG89))</x:f>
      </x:c>
      <x:c r="IU89" s="27" t="str">
        <x:f>IF(C89="","",SUM(BZ89,CF89,CL89,CR89,CX89,DD89,DJ89,DP89,DV89,EB89,EH89))</x:f>
      </x:c>
      <x:c r="IV89" s="27" t="str">
        <x:f>IF(C89="","",SUM(CA89,CG89,CM89,CS89,CY89,DE89,DK89,DQ89,DW89,EC89,EI89))</x:f>
      </x:c>
      <x:c r="IW89" s="27" t="str">
        <x:f>IF(C89="","",SUM(EJ89,EP89,EV89,FB89,FH89,FN89,FT89,FZ89,GF89,GL89,GR89,GX89,HD89,HJ89))</x:f>
      </x:c>
      <x:c r="IX89" s="27" t="str">
        <x:f>IF(C89="","",SUM(EK89,EQ89,EW89,FC89,FI89,FO89,FU89,GA89,GG89,GM89,GS89,GY89,HE89,HK89))</x:f>
      </x:c>
      <x:c r="IY89" s="27" t="str">
        <x:f>IF(C89="","",SUM(EL89,ER89,EX89,FD89,FJ89,FP89,FV89,GB89,GH89,GN89,GT89,GZ89,HF89,HL89))</x:f>
      </x:c>
      <x:c r="IZ89" s="27" t="str">
        <x:f>IF(C89="","",SUM(EM89,ES89,EY89,FE89,FK89,FQ89,FW89,GC89,GI89,GO89,GU89,HA89,HG89,HM89))</x:f>
      </x:c>
      <x:c r="JA89" s="27" t="str">
        <x:f>IF(C89="","",SUM(EN89,ET89,EZ89,FF89,FL89,FR89,FX89,GD89,GJ89,GP89,GV89,HB89,HH89,HN89))</x:f>
      </x:c>
      <x:c r="JB89" s="27" t="str">
        <x:f>IF(C89="","",SUM(EO89,EU89,FA89,FG89,FM89,FS89,FY89,GE89,GK89,GQ89,GW89,HC89,HI89,HO89))</x:f>
      </x:c>
      <x:c r="JC89" s="27" t="str">
        <x:f>IF(C89="","",0)</x:f>
      </x:c>
      <x:c r="JD89" s="27" t="str">
        <x:f>IF(C89="","",0)</x:f>
      </x:c>
      <x:c r="JE89" s="27" t="str">
        <x:f>IF(C89="","",0)</x:f>
      </x:c>
      <x:c r="JF89" s="27" t="str">
        <x:f>IF(C89="","",0)</x:f>
      </x:c>
      <x:c r="JG89" s="27" t="str">
        <x:f>IF(C89="","",0)</x:f>
      </x:c>
      <x:c r="JH89" s="27" t="str">
        <x:f>IF(C89="","",0)</x:f>
      </x:c>
      <x:c r="JI89" s="27" t="str">
        <x:f>IF(C89="","",HP89*1000000000+IW89*1000000+IQ89*10000+IK89*100+JC89+6/1000)</x:f>
      </x:c>
      <x:c r="JJ89" s="27" t="str">
        <x:f>IF(C89="","",HQ89*1000000000+IX89*1000000+IR89*10000+IL89*100+JD89+5/1000)</x:f>
      </x:c>
      <x:c r="JK89" s="27" t="str">
        <x:f>IF(C89="","",HR89*1000000000+IY89*1000000+IS89*10000+IM89*100+JE89+4/1000)</x:f>
      </x:c>
      <x:c r="JL89" s="27" t="str">
        <x:f>IF(C89="","",HS89*1000000000+IZ89*1000000+IT89*10000+IN89*100+JF89+3/1000)</x:f>
      </x:c>
      <x:c r="JM89" s="27" t="str">
        <x:f>IF(C89="","",HT89*1000000000+JA89*1000000+IU89*10000+IO89*100+JG89+2/1000)</x:f>
      </x:c>
      <x:c r="JN89" s="27" t="str">
        <x:f>IF(C89="","",HU89*1000000000+JB89*1000000+IV89*10000+IP89*100+JH89+1/1000)</x:f>
      </x:c>
    </x:row>
    <x:row r="90">
      <x:c r="A90" s="27"/>
      <x:c r="B90" s="28"/>
      <x:c r="C90" s="27"/>
      <x:c r="D90" s="27"/>
      <x:c r="E90" s="27"/>
      <x:c r="F90" s="27"/>
      <x:c r="G90" s="27"/>
      <x:c r="H90" s="27"/>
      <x:c r="I90" s="27"/>
      <x:c r="J90" s="27"/>
      <x:c r="K90" s="27"/>
      <x:c r="L90" s="27"/>
      <x:c r="M90" s="27"/>
      <x:c r="N90" s="27"/>
      <x:c r="O90" s="27"/>
      <x:c r="P90" s="27"/>
      <x:c r="Q90" s="27"/>
      <x:c r="R90" s="27"/>
      <x:c r="S90" s="27"/>
      <x:c r="T90" s="27"/>
      <x:c r="U90" s="27"/>
      <x:c r="V90" s="27"/>
      <x:c r="W90" s="27"/>
      <x:c r="X90" s="27"/>
      <x:c r="Y90" s="27"/>
      <x:c r="Z90" s="27"/>
      <x:c r="AA90" s="27"/>
      <x:c r="AB90" s="27"/>
      <x:c r="AC90" s="27"/>
      <x:c r="AD90" s="27"/>
      <x:c r="AE90" s="27"/>
      <x:c r="AF90" s="27"/>
      <x:c r="AG90" s="27"/>
      <x:c r="AH90" s="27"/>
      <x:c r="AI90" s="27"/>
      <x:c r="AJ90" s="27"/>
      <x:c r="AK90" s="27"/>
      <x:c r="AL90" s="27"/>
      <x:c r="AM90" s="27"/>
      <x:c r="AN90" s="27"/>
      <x:c r="AO90" s="27"/>
      <x:c r="AP90" s="27"/>
      <x:c r="AQ90" s="27"/>
      <x:c r="AR90" s="27"/>
      <x:c r="AS90" s="27"/>
      <x:c r="AT90" s="27"/>
      <x:c r="AU90" s="27"/>
      <x:c r="AV90" s="27"/>
      <x:c r="AW90" s="27"/>
      <x:c r="AX90" s="27"/>
      <x:c r="AY90" s="27"/>
      <x:c r="AZ90" s="27"/>
      <x:c r="BA90" s="27"/>
      <x:c r="BB90" s="27"/>
      <x:c r="BC90" s="27"/>
      <x:c r="BD90" s="27"/>
      <x:c r="BE90" s="27"/>
      <x:c r="BF90" s="27"/>
      <x:c r="BG90" s="27"/>
      <x:c r="BH90" s="27"/>
      <x:c r="BI90" s="27"/>
      <x:c r="BJ90" s="27"/>
      <x:c r="BK90" s="27"/>
      <x:c r="BL90" s="27"/>
      <x:c r="BM90" s="27"/>
      <x:c r="BN90" s="27"/>
      <x:c r="BO90" s="27"/>
      <x:c r="BP90" s="27"/>
      <x:c r="BQ90" s="27"/>
      <x:c r="BR90" s="27"/>
      <x:c r="BS90" s="27"/>
      <x:c r="BT90" s="27"/>
      <x:c r="BU90" s="27"/>
      <x:c r="BV90" s="27"/>
      <x:c r="BW90" s="27"/>
      <x:c r="BX90" s="27"/>
      <x:c r="BY90" s="27"/>
      <x:c r="BZ90" s="27"/>
      <x:c r="CA90" s="27"/>
      <x:c r="CB90" s="27"/>
      <x:c r="CC90" s="27"/>
      <x:c r="CD90" s="27"/>
      <x:c r="CE90" s="27"/>
      <x:c r="CF90" s="27"/>
      <x:c r="CG90" s="27"/>
      <x:c r="CH90" s="27"/>
      <x:c r="CI90" s="27"/>
      <x:c r="CJ90" s="27"/>
      <x:c r="CK90" s="27"/>
      <x:c r="CL90" s="27"/>
      <x:c r="CM90" s="27"/>
      <x:c r="CN90" s="27"/>
      <x:c r="CO90" s="27"/>
      <x:c r="CP90" s="27"/>
      <x:c r="CQ90" s="27"/>
      <x:c r="CR90" s="27"/>
      <x:c r="CS90" s="27"/>
      <x:c r="CT90" s="27"/>
      <x:c r="CU90" s="27"/>
      <x:c r="CV90" s="27"/>
      <x:c r="CW90" s="27"/>
      <x:c r="CX90" s="27"/>
      <x:c r="CY90" s="27"/>
      <x:c r="CZ90" s="27"/>
      <x:c r="DA90" s="27"/>
      <x:c r="DB90" s="27"/>
      <x:c r="DC90" s="27"/>
      <x:c r="DD90" s="27"/>
      <x:c r="DE90" s="27"/>
      <x:c r="DF90" s="27"/>
      <x:c r="DG90" s="27"/>
      <x:c r="DH90" s="27"/>
      <x:c r="DI90" s="27"/>
      <x:c r="DJ90" s="27"/>
      <x:c r="DK90" s="27"/>
      <x:c r="DL90" s="27"/>
      <x:c r="DM90" s="27"/>
      <x:c r="DN90" s="27"/>
      <x:c r="DO90" s="27"/>
      <x:c r="DP90" s="27"/>
      <x:c r="DQ90" s="27"/>
      <x:c r="DR90" s="27"/>
      <x:c r="DS90" s="27"/>
      <x:c r="DT90" s="27"/>
      <x:c r="DU90" s="27"/>
      <x:c r="DV90" s="27"/>
      <x:c r="DW90" s="27"/>
      <x:c r="DX90" s="27"/>
      <x:c r="DY90" s="27"/>
      <x:c r="DZ90" s="27"/>
      <x:c r="EA90" s="27"/>
      <x:c r="EB90" s="27"/>
      <x:c r="EC90" s="27"/>
      <x:c r="ED90" s="27"/>
      <x:c r="EE90" s="27"/>
      <x:c r="EF90" s="27"/>
      <x:c r="EG90" s="27"/>
      <x:c r="EH90" s="27"/>
      <x:c r="EI90" s="27"/>
      <x:c r="EJ90" s="27"/>
      <x:c r="EK90" s="27"/>
      <x:c r="EL90" s="27"/>
      <x:c r="EM90" s="27"/>
      <x:c r="EN90" s="27"/>
      <x:c r="EO90" s="27"/>
      <x:c r="EP90" s="27"/>
      <x:c r="EQ90" s="27"/>
      <x:c r="ER90" s="27"/>
      <x:c r="ES90" s="27"/>
      <x:c r="ET90" s="27"/>
      <x:c r="EU90" s="27"/>
      <x:c r="EV90" s="27"/>
      <x:c r="EW90" s="27"/>
      <x:c r="EX90" s="27"/>
      <x:c r="EY90" s="27"/>
      <x:c r="EZ90" s="27"/>
      <x:c r="FA90" s="27"/>
      <x:c r="FB90" s="27"/>
      <x:c r="FC90" s="27"/>
      <x:c r="FD90" s="27"/>
      <x:c r="FE90" s="27"/>
      <x:c r="FF90" s="27"/>
      <x:c r="FG90" s="27"/>
      <x:c r="FH90" s="27"/>
      <x:c r="FI90" s="27"/>
      <x:c r="FJ90" s="27"/>
      <x:c r="FK90" s="27"/>
      <x:c r="FL90" s="27"/>
      <x:c r="FM90" s="27"/>
      <x:c r="FN90" s="27"/>
      <x:c r="FO90" s="27"/>
      <x:c r="FP90" s="27"/>
      <x:c r="FQ90" s="27"/>
      <x:c r="FR90" s="27"/>
      <x:c r="FS90" s="27"/>
      <x:c r="FT90" s="27"/>
      <x:c r="FU90" s="27"/>
      <x:c r="FV90" s="27"/>
      <x:c r="FW90" s="27"/>
      <x:c r="FX90" s="27"/>
      <x:c r="FY90" s="27"/>
      <x:c r="FZ90" s="27"/>
      <x:c r="GA90" s="27"/>
      <x:c r="GB90" s="27"/>
      <x:c r="GC90" s="27"/>
      <x:c r="GD90" s="27"/>
      <x:c r="GE90" s="27"/>
      <x:c r="GF90" s="27"/>
      <x:c r="GG90" s="27"/>
      <x:c r="GH90" s="27"/>
      <x:c r="GI90" s="27"/>
      <x:c r="GJ90" s="27"/>
      <x:c r="GK90" s="27"/>
      <x:c r="GL90" s="27"/>
      <x:c r="GM90" s="27"/>
      <x:c r="GN90" s="27"/>
      <x:c r="GO90" s="27"/>
      <x:c r="GP90" s="27"/>
      <x:c r="GQ90" s="27"/>
      <x:c r="GR90" s="27"/>
      <x:c r="GS90" s="27"/>
      <x:c r="GT90" s="27"/>
      <x:c r="GU90" s="27"/>
      <x:c r="GV90" s="27"/>
      <x:c r="GW90" s="27"/>
      <x:c r="GX90" s="27"/>
      <x:c r="GY90" s="27"/>
      <x:c r="GZ90" s="27"/>
      <x:c r="HA90" s="27"/>
      <x:c r="HB90" s="27"/>
      <x:c r="HC90" s="27"/>
      <x:c r="HD90" s="27"/>
      <x:c r="HE90" s="27"/>
      <x:c r="HF90" s="27"/>
      <x:c r="HG90" s="27"/>
      <x:c r="HH90" s="27"/>
      <x:c r="HI90" s="27"/>
      <x:c r="HJ90" s="27"/>
      <x:c r="HK90" s="27"/>
      <x:c r="HL90" s="27"/>
      <x:c r="HM90" s="27"/>
      <x:c r="HN90" s="27"/>
      <x:c r="HO90" s="27"/>
      <x:c r="HP90" s="27" t="str">
        <x:f>IF(C90="","",SUM(H90,N90,T90,Z90,AF90,AL90,AR90,AX90,BD90,BJ90,BP90,BV90,CB90,CH90,CN90,CT90,CZ90,DF90,DL90,DR90,DX90,ED90,EJ90,EP90,EV90,FB90,FH90,FN90,FT90,FZ90,GF90,GL90,GR90,GX90,HD90,HJ90))</x:f>
      </x:c>
      <x:c r="HQ90" s="27" t="str">
        <x:f>IF(C90="","",SUM(I90,O90,U90,AA90,AG90,AM90,AS90,AY90,BE90,BK90,BQ90,BW90,CC90,CI90,CO90,CU90,DA90,DG90,DM90,DS90,DY90,EE90,EK90,EQ90,EW90,FC90,FI90,FO90,FU90,GA90,GG90,GM90,GS90,GY90,HE90,HK90))</x:f>
      </x:c>
      <x:c r="HR90" s="27" t="str">
        <x:f>IF(C90="","",SUM(J90,P90,V90,AB90,AH90,AN90,AT90,AZ90,BF90,BL90,BR90,BX90,CD90,CJ90,CP90,CV90,DB90,DH90,DN90,DT90,DZ90,EF90,EL90,ER90,EX90,FD90,FJ90,FP90,FV90,GB90,GH90,GN90,GT90,GZ90,HF90,HL90))</x:f>
      </x:c>
      <x:c r="HS90" s="27" t="str">
        <x:f>IF(C90="","",SUM(K90,Q90,W90,AC90,AI90,AO90,AU90,BA90,BG90,BM90,BS90,BY90,CE90,CK90,CQ90,CW90,DC90,DI90,DO90,DU90,EA90,EG90,EM90,ES90,EY90,FE90,FK90,FQ90,FW90,GC90,GI90,GO90,GU90,HA90,HG90,HM90))</x:f>
      </x:c>
      <x:c r="HT90" s="27" t="str">
        <x:f>IF(C90="","",SUM(L90,R90,X90,AD90,AJ90,AP90,AV90,BB90,BH90,BN90,BT90,BZ90,CF90,CL90,CR90,CX90,DD90,DJ90,DP90,DV90,EB90,EH90,EN90,ET90,EZ90,FF90,FL90,FR90,FX90,GD90,GJ90,GP90,GV90,HB90,HH90,HN90))</x:f>
      </x:c>
      <x:c r="HU90" s="27" t="str">
        <x:f>IF(C90="","",SUM(M90,S90,Y90,AE90,AK90,AQ90,AW90,BC90,BI90,BO90,BU90,CA90,CG90,CM90,CS90,CY90,DE90,DK90,DQ90,DW90,EC90,EI90,EO90,EU90,FA90,FG90,FM90,FS90,FY90,GE90,GK90,GQ90,GW90,HC90,HI90,HO90))</x:f>
      </x:c>
      <x:c r="HV90" s="27" t="str">
        <x:f>IF(C90="","",IF(JI90=LARGE(JI90:JN90,1),"R",IF(JJ90=LARGE(JI90:JN90,1),"I",IF(JK90=LARGE(JI90:JN90,1),"A",IF(JL90=LARGE(JI90:JN90,1),"S",IF(JM90=LARGE(JI90:JN90,1),"E",IF(JN90=LARGE(JI90:JN90,1),"C",""))))))&amp;IF(JI90=LARGE(JI90:JN90,2),"R",IF(JJ90=LARGE(JI90:JN90,2),"I",IF(JK90=LARGE(JI90:JN90,2),"A",IF(JL90=LARGE(JI90:JN90,2),"S",IF(JM90=LARGE(JI90:JN90,2),"E",IF(JN90=LARGE(JI90:JN90,2),"C",""))))))&amp;IF(JI90=LARGE(JI90:JN90,3),"R",IF(JJ90=LARGE(JI90:JN90,3),"I",IF(JK90=LARGE(JI90:JN90,3),"A",IF(JL90=LARGE(JI90:JN90,3),"S",IF(JM90=LARGE(JI90:JN90,3),"E",IF(JN90=LARGE(JI90:JN90,3),"C","")))))))</x:f>
      </x:c>
      <x:c r="HW90" s="27" t="str">
        <x:f>IF(C90="","",IF(JI90=LARGE(JI90:JN90,1),"นักปฏิบัติ",IF(JJ90=LARGE(JI90:JN90,1),"นักคิดวิเคราะห์",IF(JK90=LARGE(JI90:JN90,1),"นักสร้างสรรค์",IF(JL90=LARGE(JI90:JN90,1),"ผู้เข้าใจผู้คน",IF(JM90=LARGE(JI90:JN90,1),"ผู้นำการเปลี่ยนแปลง",IF(JN90=LARGE(JI90:JN90,1),"ผู้จัดระบบ","ผู้จัดระบบ")))))))</x:f>
      </x:c>
      <x:c r="HX90" s="27"/>
      <x:c r="HY90" s="27"/>
      <x:c r="HZ90" s="27"/>
      <x:c r="IA90" s="27"/>
      <x:c r="IB90" s="27"/>
      <x:c r="IC90" s="27"/>
      <x:c r="ID90" s="27"/>
      <x:c r="IE90" s="27"/>
      <x:c r="IF90" s="27"/>
      <x:c r="IG90" s="27"/>
      <x:c r="IH90" s="27"/>
      <x:c r="II90" s="27"/>
      <x:c r="IJ90" s="27"/>
      <x:c r="IK90" s="27" t="str">
        <x:f>IF(C90="","",SUM(H90,N90,T90,Z90,AF90,AL90,AR90,AX90,BD90,BJ90,BP90))</x:f>
      </x:c>
      <x:c r="IL90" s="27" t="str">
        <x:f>IF(C90="","",SUM(I90,O90,U90,AA90,AG90,AM90,AS90,AY90,BE90,BK90,BQ90))</x:f>
      </x:c>
      <x:c r="IM90" s="27" t="str">
        <x:f>IF(C90="","",SUM(J90,P90,V90,AB90,AH90,AN90,AT90,AZ90,BF90,BL90,BR90))</x:f>
      </x:c>
      <x:c r="IN90" s="27" t="str">
        <x:f>IF(C90="","",SUM(K90,Q90,W90,AC90,AI90,AO90,AU90,BA90,BG90,BM90,BS90))</x:f>
      </x:c>
      <x:c r="IO90" s="27" t="str">
        <x:f>IF(C90="","",SUM(L90,R90,X90,AD90,AJ90,AP90,AV90,BB90,BH90,BN90,BT90))</x:f>
      </x:c>
      <x:c r="IP90" s="27" t="str">
        <x:f>IF(C90="","",SUM(M90,S90,Y90,AE90,AK90,AQ90,AW90,BC90,BI90,BO90,BU90))</x:f>
      </x:c>
      <x:c r="IQ90" s="27" t="str">
        <x:f>IF(C90="","",SUM(BV90,CB90,CH90,CN90,CT90,CZ90,DF90,DL90,DR90,DX90,ED90))</x:f>
      </x:c>
      <x:c r="IR90" s="27" t="str">
        <x:f>IF(C90="","",SUM(BW90,CC90,CI90,CO90,CU90,DA90,DG90,DM90,DS90,DY90,EE90))</x:f>
      </x:c>
      <x:c r="IS90" s="27" t="str">
        <x:f>IF(C90="","",SUM(BX90,CD90,CJ90,CP90,CV90,DB90,DH90,DN90,DT90,DZ90,EF90))</x:f>
      </x:c>
      <x:c r="IT90" s="27" t="str">
        <x:f>IF(C90="","",SUM(BY90,CE90,CK90,CQ90,CW90,DC90,DI90,DO90,DU90,EA90,EG90))</x:f>
      </x:c>
      <x:c r="IU90" s="27" t="str">
        <x:f>IF(C90="","",SUM(BZ90,CF90,CL90,CR90,CX90,DD90,DJ90,DP90,DV90,EB90,EH90))</x:f>
      </x:c>
      <x:c r="IV90" s="27" t="str">
        <x:f>IF(C90="","",SUM(CA90,CG90,CM90,CS90,CY90,DE90,DK90,DQ90,DW90,EC90,EI90))</x:f>
      </x:c>
      <x:c r="IW90" s="27" t="str">
        <x:f>IF(C90="","",SUM(EJ90,EP90,EV90,FB90,FH90,FN90,FT90,FZ90,GF90,GL90,GR90,GX90,HD90,HJ90))</x:f>
      </x:c>
      <x:c r="IX90" s="27" t="str">
        <x:f>IF(C90="","",SUM(EK90,EQ90,EW90,FC90,FI90,FO90,FU90,GA90,GG90,GM90,GS90,GY90,HE90,HK90))</x:f>
      </x:c>
      <x:c r="IY90" s="27" t="str">
        <x:f>IF(C90="","",SUM(EL90,ER90,EX90,FD90,FJ90,FP90,FV90,GB90,GH90,GN90,GT90,GZ90,HF90,HL90))</x:f>
      </x:c>
      <x:c r="IZ90" s="27" t="str">
        <x:f>IF(C90="","",SUM(EM90,ES90,EY90,FE90,FK90,FQ90,FW90,GC90,GI90,GO90,GU90,HA90,HG90,HM90))</x:f>
      </x:c>
      <x:c r="JA90" s="27" t="str">
        <x:f>IF(C90="","",SUM(EN90,ET90,EZ90,FF90,FL90,FR90,FX90,GD90,GJ90,GP90,GV90,HB90,HH90,HN90))</x:f>
      </x:c>
      <x:c r="JB90" s="27" t="str">
        <x:f>IF(C90="","",SUM(EO90,EU90,FA90,FG90,FM90,FS90,FY90,GE90,GK90,GQ90,GW90,HC90,HI90,HO90))</x:f>
      </x:c>
      <x:c r="JC90" s="27" t="str">
        <x:f>IF(C90="","",0)</x:f>
      </x:c>
      <x:c r="JD90" s="27" t="str">
        <x:f>IF(C90="","",0)</x:f>
      </x:c>
      <x:c r="JE90" s="27" t="str">
        <x:f>IF(C90="","",0)</x:f>
      </x:c>
      <x:c r="JF90" s="27" t="str">
        <x:f>IF(C90="","",0)</x:f>
      </x:c>
      <x:c r="JG90" s="27" t="str">
        <x:f>IF(C90="","",0)</x:f>
      </x:c>
      <x:c r="JH90" s="27" t="str">
        <x:f>IF(C90="","",0)</x:f>
      </x:c>
      <x:c r="JI90" s="27" t="str">
        <x:f>IF(C90="","",HP90*1000000000+IW90*1000000+IQ90*10000+IK90*100+JC90+6/1000)</x:f>
      </x:c>
      <x:c r="JJ90" s="27" t="str">
        <x:f>IF(C90="","",HQ90*1000000000+IX90*1000000+IR90*10000+IL90*100+JD90+5/1000)</x:f>
      </x:c>
      <x:c r="JK90" s="27" t="str">
        <x:f>IF(C90="","",HR90*1000000000+IY90*1000000+IS90*10000+IM90*100+JE90+4/1000)</x:f>
      </x:c>
      <x:c r="JL90" s="27" t="str">
        <x:f>IF(C90="","",HS90*1000000000+IZ90*1000000+IT90*10000+IN90*100+JF90+3/1000)</x:f>
      </x:c>
      <x:c r="JM90" s="27" t="str">
        <x:f>IF(C90="","",HT90*1000000000+JA90*1000000+IU90*10000+IO90*100+JG90+2/1000)</x:f>
      </x:c>
      <x:c r="JN90" s="27" t="str">
        <x:f>IF(C90="","",HU90*1000000000+JB90*1000000+IV90*10000+IP90*100+JH90+1/1000)</x:f>
      </x:c>
    </x:row>
    <x:row r="91">
      <x:c r="A91" s="27"/>
      <x:c r="B91" s="28"/>
      <x:c r="C91" s="27"/>
      <x:c r="D91" s="27"/>
      <x:c r="E91" s="27"/>
      <x:c r="F91" s="27"/>
      <x:c r="G91" s="27"/>
      <x:c r="H91" s="27"/>
      <x:c r="I91" s="27"/>
      <x:c r="J91" s="27"/>
      <x:c r="K91" s="27"/>
      <x:c r="L91" s="27"/>
      <x:c r="M91" s="27"/>
      <x:c r="N91" s="27"/>
      <x:c r="O91" s="27"/>
      <x:c r="P91" s="27"/>
      <x:c r="Q91" s="27"/>
      <x:c r="R91" s="27"/>
      <x:c r="S91" s="27"/>
      <x:c r="T91" s="27"/>
      <x:c r="U91" s="27"/>
      <x:c r="V91" s="27"/>
      <x:c r="W91" s="27"/>
      <x:c r="X91" s="27"/>
      <x:c r="Y91" s="27"/>
      <x:c r="Z91" s="27"/>
      <x:c r="AA91" s="27"/>
      <x:c r="AB91" s="27"/>
      <x:c r="AC91" s="27"/>
      <x:c r="AD91" s="27"/>
      <x:c r="AE91" s="27"/>
      <x:c r="AF91" s="27"/>
      <x:c r="AG91" s="27"/>
      <x:c r="AH91" s="27"/>
      <x:c r="AI91" s="27"/>
      <x:c r="AJ91" s="27"/>
      <x:c r="AK91" s="27"/>
      <x:c r="AL91" s="27"/>
      <x:c r="AM91" s="27"/>
      <x:c r="AN91" s="27"/>
      <x:c r="AO91" s="27"/>
      <x:c r="AP91" s="27"/>
      <x:c r="AQ91" s="27"/>
      <x:c r="AR91" s="27"/>
      <x:c r="AS91" s="27"/>
      <x:c r="AT91" s="27"/>
      <x:c r="AU91" s="27"/>
      <x:c r="AV91" s="27"/>
      <x:c r="AW91" s="27"/>
      <x:c r="AX91" s="27"/>
      <x:c r="AY91" s="27"/>
      <x:c r="AZ91" s="27"/>
      <x:c r="BA91" s="27"/>
      <x:c r="BB91" s="27"/>
      <x:c r="BC91" s="27"/>
      <x:c r="BD91" s="27"/>
      <x:c r="BE91" s="27"/>
      <x:c r="BF91" s="27"/>
      <x:c r="BG91" s="27"/>
      <x:c r="BH91" s="27"/>
      <x:c r="BI91" s="27"/>
      <x:c r="BJ91" s="27"/>
      <x:c r="BK91" s="27"/>
      <x:c r="BL91" s="27"/>
      <x:c r="BM91" s="27"/>
      <x:c r="BN91" s="27"/>
      <x:c r="BO91" s="27"/>
      <x:c r="BP91" s="27"/>
      <x:c r="BQ91" s="27"/>
      <x:c r="BR91" s="27"/>
      <x:c r="BS91" s="27"/>
      <x:c r="BT91" s="27"/>
      <x:c r="BU91" s="27"/>
      <x:c r="BV91" s="27"/>
      <x:c r="BW91" s="27"/>
      <x:c r="BX91" s="27"/>
      <x:c r="BY91" s="27"/>
      <x:c r="BZ91" s="27"/>
      <x:c r="CA91" s="27"/>
      <x:c r="CB91" s="27"/>
      <x:c r="CC91" s="27"/>
      <x:c r="CD91" s="27"/>
      <x:c r="CE91" s="27"/>
      <x:c r="CF91" s="27"/>
      <x:c r="CG91" s="27"/>
      <x:c r="CH91" s="27"/>
      <x:c r="CI91" s="27"/>
      <x:c r="CJ91" s="27"/>
      <x:c r="CK91" s="27"/>
      <x:c r="CL91" s="27"/>
      <x:c r="CM91" s="27"/>
      <x:c r="CN91" s="27"/>
      <x:c r="CO91" s="27"/>
      <x:c r="CP91" s="27"/>
      <x:c r="CQ91" s="27"/>
      <x:c r="CR91" s="27"/>
      <x:c r="CS91" s="27"/>
      <x:c r="CT91" s="27"/>
      <x:c r="CU91" s="27"/>
      <x:c r="CV91" s="27"/>
      <x:c r="CW91" s="27"/>
      <x:c r="CX91" s="27"/>
      <x:c r="CY91" s="27"/>
      <x:c r="CZ91" s="27"/>
      <x:c r="DA91" s="27"/>
      <x:c r="DB91" s="27"/>
      <x:c r="DC91" s="27"/>
      <x:c r="DD91" s="27"/>
      <x:c r="DE91" s="27"/>
      <x:c r="DF91" s="27"/>
      <x:c r="DG91" s="27"/>
      <x:c r="DH91" s="27"/>
      <x:c r="DI91" s="27"/>
      <x:c r="DJ91" s="27"/>
      <x:c r="DK91" s="27"/>
      <x:c r="DL91" s="27"/>
      <x:c r="DM91" s="27"/>
      <x:c r="DN91" s="27"/>
      <x:c r="DO91" s="27"/>
      <x:c r="DP91" s="27"/>
      <x:c r="DQ91" s="27"/>
      <x:c r="DR91" s="27"/>
      <x:c r="DS91" s="27"/>
      <x:c r="DT91" s="27"/>
      <x:c r="DU91" s="27"/>
      <x:c r="DV91" s="27"/>
      <x:c r="DW91" s="27"/>
      <x:c r="DX91" s="27"/>
      <x:c r="DY91" s="27"/>
      <x:c r="DZ91" s="27"/>
      <x:c r="EA91" s="27"/>
      <x:c r="EB91" s="27"/>
      <x:c r="EC91" s="27"/>
      <x:c r="ED91" s="27"/>
      <x:c r="EE91" s="27"/>
      <x:c r="EF91" s="27"/>
      <x:c r="EG91" s="27"/>
      <x:c r="EH91" s="27"/>
      <x:c r="EI91" s="27"/>
      <x:c r="EJ91" s="27"/>
      <x:c r="EK91" s="27"/>
      <x:c r="EL91" s="27"/>
      <x:c r="EM91" s="27"/>
      <x:c r="EN91" s="27"/>
      <x:c r="EO91" s="27"/>
      <x:c r="EP91" s="27"/>
      <x:c r="EQ91" s="27"/>
      <x:c r="ER91" s="27"/>
      <x:c r="ES91" s="27"/>
      <x:c r="ET91" s="27"/>
      <x:c r="EU91" s="27"/>
      <x:c r="EV91" s="27"/>
      <x:c r="EW91" s="27"/>
      <x:c r="EX91" s="27"/>
      <x:c r="EY91" s="27"/>
      <x:c r="EZ91" s="27"/>
      <x:c r="FA91" s="27"/>
      <x:c r="FB91" s="27"/>
      <x:c r="FC91" s="27"/>
      <x:c r="FD91" s="27"/>
      <x:c r="FE91" s="27"/>
      <x:c r="FF91" s="27"/>
      <x:c r="FG91" s="27"/>
      <x:c r="FH91" s="27"/>
      <x:c r="FI91" s="27"/>
      <x:c r="FJ91" s="27"/>
      <x:c r="FK91" s="27"/>
      <x:c r="FL91" s="27"/>
      <x:c r="FM91" s="27"/>
      <x:c r="FN91" s="27"/>
      <x:c r="FO91" s="27"/>
      <x:c r="FP91" s="27"/>
      <x:c r="FQ91" s="27"/>
      <x:c r="FR91" s="27"/>
      <x:c r="FS91" s="27"/>
      <x:c r="FT91" s="27"/>
      <x:c r="FU91" s="27"/>
      <x:c r="FV91" s="27"/>
      <x:c r="FW91" s="27"/>
      <x:c r="FX91" s="27"/>
      <x:c r="FY91" s="27"/>
      <x:c r="FZ91" s="27"/>
      <x:c r="GA91" s="27"/>
      <x:c r="GB91" s="27"/>
      <x:c r="GC91" s="27"/>
      <x:c r="GD91" s="27"/>
      <x:c r="GE91" s="27"/>
      <x:c r="GF91" s="27"/>
      <x:c r="GG91" s="27"/>
      <x:c r="GH91" s="27"/>
      <x:c r="GI91" s="27"/>
      <x:c r="GJ91" s="27"/>
      <x:c r="GK91" s="27"/>
      <x:c r="GL91" s="27"/>
      <x:c r="GM91" s="27"/>
      <x:c r="GN91" s="27"/>
      <x:c r="GO91" s="27"/>
      <x:c r="GP91" s="27"/>
      <x:c r="GQ91" s="27"/>
      <x:c r="GR91" s="27"/>
      <x:c r="GS91" s="27"/>
      <x:c r="GT91" s="27"/>
      <x:c r="GU91" s="27"/>
      <x:c r="GV91" s="27"/>
      <x:c r="GW91" s="27"/>
      <x:c r="GX91" s="27"/>
      <x:c r="GY91" s="27"/>
      <x:c r="GZ91" s="27"/>
      <x:c r="HA91" s="27"/>
      <x:c r="HB91" s="27"/>
      <x:c r="HC91" s="27"/>
      <x:c r="HD91" s="27"/>
      <x:c r="HE91" s="27"/>
      <x:c r="HF91" s="27"/>
      <x:c r="HG91" s="27"/>
      <x:c r="HH91" s="27"/>
      <x:c r="HI91" s="27"/>
      <x:c r="HJ91" s="27"/>
      <x:c r="HK91" s="27"/>
      <x:c r="HL91" s="27"/>
      <x:c r="HM91" s="27"/>
      <x:c r="HN91" s="27"/>
      <x:c r="HO91" s="27"/>
      <x:c r="HP91" s="27" t="str">
        <x:f>IF(C91="","",SUM(H91,N91,T91,Z91,AF91,AL91,AR91,AX91,BD91,BJ91,BP91,BV91,CB91,CH91,CN91,CT91,CZ91,DF91,DL91,DR91,DX91,ED91,EJ91,EP91,EV91,FB91,FH91,FN91,FT91,FZ91,GF91,GL91,GR91,GX91,HD91,HJ91))</x:f>
      </x:c>
      <x:c r="HQ91" s="27" t="str">
        <x:f>IF(C91="","",SUM(I91,O91,U91,AA91,AG91,AM91,AS91,AY91,BE91,BK91,BQ91,BW91,CC91,CI91,CO91,CU91,DA91,DG91,DM91,DS91,DY91,EE91,EK91,EQ91,EW91,FC91,FI91,FO91,FU91,GA91,GG91,GM91,GS91,GY91,HE91,HK91))</x:f>
      </x:c>
      <x:c r="HR91" s="27" t="str">
        <x:f>IF(C91="","",SUM(J91,P91,V91,AB91,AH91,AN91,AT91,AZ91,BF91,BL91,BR91,BX91,CD91,CJ91,CP91,CV91,DB91,DH91,DN91,DT91,DZ91,EF91,EL91,ER91,EX91,FD91,FJ91,FP91,FV91,GB91,GH91,GN91,GT91,GZ91,HF91,HL91))</x:f>
      </x:c>
      <x:c r="HS91" s="27" t="str">
        <x:f>IF(C91="","",SUM(K91,Q91,W91,AC91,AI91,AO91,AU91,BA91,BG91,BM91,BS91,BY91,CE91,CK91,CQ91,CW91,DC91,DI91,DO91,DU91,EA91,EG91,EM91,ES91,EY91,FE91,FK91,FQ91,FW91,GC91,GI91,GO91,GU91,HA91,HG91,HM91))</x:f>
      </x:c>
      <x:c r="HT91" s="27" t="str">
        <x:f>IF(C91="","",SUM(L91,R91,X91,AD91,AJ91,AP91,AV91,BB91,BH91,BN91,BT91,BZ91,CF91,CL91,CR91,CX91,DD91,DJ91,DP91,DV91,EB91,EH91,EN91,ET91,EZ91,FF91,FL91,FR91,FX91,GD91,GJ91,GP91,GV91,HB91,HH91,HN91))</x:f>
      </x:c>
      <x:c r="HU91" s="27" t="str">
        <x:f>IF(C91="","",SUM(M91,S91,Y91,AE91,AK91,AQ91,AW91,BC91,BI91,BO91,BU91,CA91,CG91,CM91,CS91,CY91,DE91,DK91,DQ91,DW91,EC91,EI91,EO91,EU91,FA91,FG91,FM91,FS91,FY91,GE91,GK91,GQ91,GW91,HC91,HI91,HO91))</x:f>
      </x:c>
      <x:c r="HV91" s="27" t="str">
        <x:f>IF(C91="","",IF(JI91=LARGE(JI91:JN91,1),"R",IF(JJ91=LARGE(JI91:JN91,1),"I",IF(JK91=LARGE(JI91:JN91,1),"A",IF(JL91=LARGE(JI91:JN91,1),"S",IF(JM91=LARGE(JI91:JN91,1),"E",IF(JN91=LARGE(JI91:JN91,1),"C",""))))))&amp;IF(JI91=LARGE(JI91:JN91,2),"R",IF(JJ91=LARGE(JI91:JN91,2),"I",IF(JK91=LARGE(JI91:JN91,2),"A",IF(JL91=LARGE(JI91:JN91,2),"S",IF(JM91=LARGE(JI91:JN91,2),"E",IF(JN91=LARGE(JI91:JN91,2),"C",""))))))&amp;IF(JI91=LARGE(JI91:JN91,3),"R",IF(JJ91=LARGE(JI91:JN91,3),"I",IF(JK91=LARGE(JI91:JN91,3),"A",IF(JL91=LARGE(JI91:JN91,3),"S",IF(JM91=LARGE(JI91:JN91,3),"E",IF(JN91=LARGE(JI91:JN91,3),"C","")))))))</x:f>
      </x:c>
      <x:c r="HW91" s="27" t="str">
        <x:f>IF(C91="","",IF(JI91=LARGE(JI91:JN91,1),"นักปฏิบัติ",IF(JJ91=LARGE(JI91:JN91,1),"นักคิดวิเคราะห์",IF(JK91=LARGE(JI91:JN91,1),"นักสร้างสรรค์",IF(JL91=LARGE(JI91:JN91,1),"ผู้เข้าใจผู้คน",IF(JM91=LARGE(JI91:JN91,1),"ผู้นำการเปลี่ยนแปลง",IF(JN91=LARGE(JI91:JN91,1),"ผู้จัดระบบ","ผู้จัดระบบ")))))))</x:f>
      </x:c>
      <x:c r="HX91" s="27"/>
      <x:c r="HY91" s="27"/>
      <x:c r="HZ91" s="27"/>
      <x:c r="IA91" s="27"/>
      <x:c r="IB91" s="27"/>
      <x:c r="IC91" s="27"/>
      <x:c r="ID91" s="27"/>
      <x:c r="IE91" s="27"/>
      <x:c r="IF91" s="27"/>
      <x:c r="IG91" s="27"/>
      <x:c r="IH91" s="27"/>
      <x:c r="II91" s="27"/>
      <x:c r="IJ91" s="27"/>
      <x:c r="IK91" s="27" t="str">
        <x:f>IF(C91="","",SUM(H91,N91,T91,Z91,AF91,AL91,AR91,AX91,BD91,BJ91,BP91))</x:f>
      </x:c>
      <x:c r="IL91" s="27" t="str">
        <x:f>IF(C91="","",SUM(I91,O91,U91,AA91,AG91,AM91,AS91,AY91,BE91,BK91,BQ91))</x:f>
      </x:c>
      <x:c r="IM91" s="27" t="str">
        <x:f>IF(C91="","",SUM(J91,P91,V91,AB91,AH91,AN91,AT91,AZ91,BF91,BL91,BR91))</x:f>
      </x:c>
      <x:c r="IN91" s="27" t="str">
        <x:f>IF(C91="","",SUM(K91,Q91,W91,AC91,AI91,AO91,AU91,BA91,BG91,BM91,BS91))</x:f>
      </x:c>
      <x:c r="IO91" s="27" t="str">
        <x:f>IF(C91="","",SUM(L91,R91,X91,AD91,AJ91,AP91,AV91,BB91,BH91,BN91,BT91))</x:f>
      </x:c>
      <x:c r="IP91" s="27" t="str">
        <x:f>IF(C91="","",SUM(M91,S91,Y91,AE91,AK91,AQ91,AW91,BC91,BI91,BO91,BU91))</x:f>
      </x:c>
      <x:c r="IQ91" s="27" t="str">
        <x:f>IF(C91="","",SUM(BV91,CB91,CH91,CN91,CT91,CZ91,DF91,DL91,DR91,DX91,ED91))</x:f>
      </x:c>
      <x:c r="IR91" s="27" t="str">
        <x:f>IF(C91="","",SUM(BW91,CC91,CI91,CO91,CU91,DA91,DG91,DM91,DS91,DY91,EE91))</x:f>
      </x:c>
      <x:c r="IS91" s="27" t="str">
        <x:f>IF(C91="","",SUM(BX91,CD91,CJ91,CP91,CV91,DB91,DH91,DN91,DT91,DZ91,EF91))</x:f>
      </x:c>
      <x:c r="IT91" s="27" t="str">
        <x:f>IF(C91="","",SUM(BY91,CE91,CK91,CQ91,CW91,DC91,DI91,DO91,DU91,EA91,EG91))</x:f>
      </x:c>
      <x:c r="IU91" s="27" t="str">
        <x:f>IF(C91="","",SUM(BZ91,CF91,CL91,CR91,CX91,DD91,DJ91,DP91,DV91,EB91,EH91))</x:f>
      </x:c>
      <x:c r="IV91" s="27" t="str">
        <x:f>IF(C91="","",SUM(CA91,CG91,CM91,CS91,CY91,DE91,DK91,DQ91,DW91,EC91,EI91))</x:f>
      </x:c>
      <x:c r="IW91" s="27" t="str">
        <x:f>IF(C91="","",SUM(EJ91,EP91,EV91,FB91,FH91,FN91,FT91,FZ91,GF91,GL91,GR91,GX91,HD91,HJ91))</x:f>
      </x:c>
      <x:c r="IX91" s="27" t="str">
        <x:f>IF(C91="","",SUM(EK91,EQ91,EW91,FC91,FI91,FO91,FU91,GA91,GG91,GM91,GS91,GY91,HE91,HK91))</x:f>
      </x:c>
      <x:c r="IY91" s="27" t="str">
        <x:f>IF(C91="","",SUM(EL91,ER91,EX91,FD91,FJ91,FP91,FV91,GB91,GH91,GN91,GT91,GZ91,HF91,HL91))</x:f>
      </x:c>
      <x:c r="IZ91" s="27" t="str">
        <x:f>IF(C91="","",SUM(EM91,ES91,EY91,FE91,FK91,FQ91,FW91,GC91,GI91,GO91,GU91,HA91,HG91,HM91))</x:f>
      </x:c>
      <x:c r="JA91" s="27" t="str">
        <x:f>IF(C91="","",SUM(EN91,ET91,EZ91,FF91,FL91,FR91,FX91,GD91,GJ91,GP91,GV91,HB91,HH91,HN91))</x:f>
      </x:c>
      <x:c r="JB91" s="27" t="str">
        <x:f>IF(C91="","",SUM(EO91,EU91,FA91,FG91,FM91,FS91,FY91,GE91,GK91,GQ91,GW91,HC91,HI91,HO91))</x:f>
      </x:c>
      <x:c r="JC91" s="27" t="str">
        <x:f>IF(C91="","",0)</x:f>
      </x:c>
      <x:c r="JD91" s="27" t="str">
        <x:f>IF(C91="","",0)</x:f>
      </x:c>
      <x:c r="JE91" s="27" t="str">
        <x:f>IF(C91="","",0)</x:f>
      </x:c>
      <x:c r="JF91" s="27" t="str">
        <x:f>IF(C91="","",0)</x:f>
      </x:c>
      <x:c r="JG91" s="27" t="str">
        <x:f>IF(C91="","",0)</x:f>
      </x:c>
      <x:c r="JH91" s="27" t="str">
        <x:f>IF(C91="","",0)</x:f>
      </x:c>
      <x:c r="JI91" s="27" t="str">
        <x:f>IF(C91="","",HP91*1000000000+IW91*1000000+IQ91*10000+IK91*100+JC91+6/1000)</x:f>
      </x:c>
      <x:c r="JJ91" s="27" t="str">
        <x:f>IF(C91="","",HQ91*1000000000+IX91*1000000+IR91*10000+IL91*100+JD91+5/1000)</x:f>
      </x:c>
      <x:c r="JK91" s="27" t="str">
        <x:f>IF(C91="","",HR91*1000000000+IY91*1000000+IS91*10000+IM91*100+JE91+4/1000)</x:f>
      </x:c>
      <x:c r="JL91" s="27" t="str">
        <x:f>IF(C91="","",HS91*1000000000+IZ91*1000000+IT91*10000+IN91*100+JF91+3/1000)</x:f>
      </x:c>
      <x:c r="JM91" s="27" t="str">
        <x:f>IF(C91="","",HT91*1000000000+JA91*1000000+IU91*10000+IO91*100+JG91+2/1000)</x:f>
      </x:c>
      <x:c r="JN91" s="27" t="str">
        <x:f>IF(C91="","",HU91*1000000000+JB91*1000000+IV91*10000+IP91*100+JH91+1/1000)</x:f>
      </x:c>
    </x:row>
    <x:row r="92">
      <x:c r="A92" s="27"/>
      <x:c r="B92" s="28"/>
      <x:c r="C92" s="27"/>
      <x:c r="D92" s="27"/>
      <x:c r="E92" s="27"/>
      <x:c r="F92" s="27"/>
      <x:c r="G92" s="27"/>
      <x:c r="H92" s="27"/>
      <x:c r="I92" s="27"/>
      <x:c r="J92" s="27"/>
      <x:c r="K92" s="27"/>
      <x:c r="L92" s="27"/>
      <x:c r="M92" s="27"/>
      <x:c r="N92" s="27"/>
      <x:c r="O92" s="27"/>
      <x:c r="P92" s="27"/>
      <x:c r="Q92" s="27"/>
      <x:c r="R92" s="27"/>
      <x:c r="S92" s="27"/>
      <x:c r="T92" s="27"/>
      <x:c r="U92" s="27"/>
      <x:c r="V92" s="27"/>
      <x:c r="W92" s="27"/>
      <x:c r="X92" s="27"/>
      <x:c r="Y92" s="27"/>
      <x:c r="Z92" s="27"/>
      <x:c r="AA92" s="27"/>
      <x:c r="AB92" s="27"/>
      <x:c r="AC92" s="27"/>
      <x:c r="AD92" s="27"/>
      <x:c r="AE92" s="27"/>
      <x:c r="AF92" s="27"/>
      <x:c r="AG92" s="27"/>
      <x:c r="AH92" s="27"/>
      <x:c r="AI92" s="27"/>
      <x:c r="AJ92" s="27"/>
      <x:c r="AK92" s="27"/>
      <x:c r="AL92" s="27"/>
      <x:c r="AM92" s="27"/>
      <x:c r="AN92" s="27"/>
      <x:c r="AO92" s="27"/>
      <x:c r="AP92" s="27"/>
      <x:c r="AQ92" s="27"/>
      <x:c r="AR92" s="27"/>
      <x:c r="AS92" s="27"/>
      <x:c r="AT92" s="27"/>
      <x:c r="AU92" s="27"/>
      <x:c r="AV92" s="27"/>
      <x:c r="AW92" s="27"/>
      <x:c r="AX92" s="27"/>
      <x:c r="AY92" s="27"/>
      <x:c r="AZ92" s="27"/>
      <x:c r="BA92" s="27"/>
      <x:c r="BB92" s="27"/>
      <x:c r="BC92" s="27"/>
      <x:c r="BD92" s="27"/>
      <x:c r="BE92" s="27"/>
      <x:c r="BF92" s="27"/>
      <x:c r="BG92" s="27"/>
      <x:c r="BH92" s="27"/>
      <x:c r="BI92" s="27"/>
      <x:c r="BJ92" s="27"/>
      <x:c r="BK92" s="27"/>
      <x:c r="BL92" s="27"/>
      <x:c r="BM92" s="27"/>
      <x:c r="BN92" s="27"/>
      <x:c r="BO92" s="27"/>
      <x:c r="BP92" s="27"/>
      <x:c r="BQ92" s="27"/>
      <x:c r="BR92" s="27"/>
      <x:c r="BS92" s="27"/>
      <x:c r="BT92" s="27"/>
      <x:c r="BU92" s="27"/>
      <x:c r="BV92" s="27"/>
      <x:c r="BW92" s="27"/>
      <x:c r="BX92" s="27"/>
      <x:c r="BY92" s="27"/>
      <x:c r="BZ92" s="27"/>
      <x:c r="CA92" s="27"/>
      <x:c r="CB92" s="27"/>
      <x:c r="CC92" s="27"/>
      <x:c r="CD92" s="27"/>
      <x:c r="CE92" s="27"/>
      <x:c r="CF92" s="27"/>
      <x:c r="CG92" s="27"/>
      <x:c r="CH92" s="27"/>
      <x:c r="CI92" s="27"/>
      <x:c r="CJ92" s="27"/>
      <x:c r="CK92" s="27"/>
      <x:c r="CL92" s="27"/>
      <x:c r="CM92" s="27"/>
      <x:c r="CN92" s="27"/>
      <x:c r="CO92" s="27"/>
      <x:c r="CP92" s="27"/>
      <x:c r="CQ92" s="27"/>
      <x:c r="CR92" s="27"/>
      <x:c r="CS92" s="27"/>
      <x:c r="CT92" s="27"/>
      <x:c r="CU92" s="27"/>
      <x:c r="CV92" s="27"/>
      <x:c r="CW92" s="27"/>
      <x:c r="CX92" s="27"/>
      <x:c r="CY92" s="27"/>
      <x:c r="CZ92" s="27"/>
      <x:c r="DA92" s="27"/>
      <x:c r="DB92" s="27"/>
      <x:c r="DC92" s="27"/>
      <x:c r="DD92" s="27"/>
      <x:c r="DE92" s="27"/>
      <x:c r="DF92" s="27"/>
      <x:c r="DG92" s="27"/>
      <x:c r="DH92" s="27"/>
      <x:c r="DI92" s="27"/>
      <x:c r="DJ92" s="27"/>
      <x:c r="DK92" s="27"/>
      <x:c r="DL92" s="27"/>
      <x:c r="DM92" s="27"/>
      <x:c r="DN92" s="27"/>
      <x:c r="DO92" s="27"/>
      <x:c r="DP92" s="27"/>
      <x:c r="DQ92" s="27"/>
      <x:c r="DR92" s="27"/>
      <x:c r="DS92" s="27"/>
      <x:c r="DT92" s="27"/>
      <x:c r="DU92" s="27"/>
      <x:c r="DV92" s="27"/>
      <x:c r="DW92" s="27"/>
      <x:c r="DX92" s="27"/>
      <x:c r="DY92" s="27"/>
      <x:c r="DZ92" s="27"/>
      <x:c r="EA92" s="27"/>
      <x:c r="EB92" s="27"/>
      <x:c r="EC92" s="27"/>
      <x:c r="ED92" s="27"/>
      <x:c r="EE92" s="27"/>
      <x:c r="EF92" s="27"/>
      <x:c r="EG92" s="27"/>
      <x:c r="EH92" s="27"/>
      <x:c r="EI92" s="27"/>
      <x:c r="EJ92" s="27"/>
      <x:c r="EK92" s="27"/>
      <x:c r="EL92" s="27"/>
      <x:c r="EM92" s="27"/>
      <x:c r="EN92" s="27"/>
      <x:c r="EO92" s="27"/>
      <x:c r="EP92" s="27"/>
      <x:c r="EQ92" s="27"/>
      <x:c r="ER92" s="27"/>
      <x:c r="ES92" s="27"/>
      <x:c r="ET92" s="27"/>
      <x:c r="EU92" s="27"/>
      <x:c r="EV92" s="27"/>
      <x:c r="EW92" s="27"/>
      <x:c r="EX92" s="27"/>
      <x:c r="EY92" s="27"/>
      <x:c r="EZ92" s="27"/>
      <x:c r="FA92" s="27"/>
      <x:c r="FB92" s="27"/>
      <x:c r="FC92" s="27"/>
      <x:c r="FD92" s="27"/>
      <x:c r="FE92" s="27"/>
      <x:c r="FF92" s="27"/>
      <x:c r="FG92" s="27"/>
      <x:c r="FH92" s="27"/>
      <x:c r="FI92" s="27"/>
      <x:c r="FJ92" s="27"/>
      <x:c r="FK92" s="27"/>
      <x:c r="FL92" s="27"/>
      <x:c r="FM92" s="27"/>
      <x:c r="FN92" s="27"/>
      <x:c r="FO92" s="27"/>
      <x:c r="FP92" s="27"/>
      <x:c r="FQ92" s="27"/>
      <x:c r="FR92" s="27"/>
      <x:c r="FS92" s="27"/>
      <x:c r="FT92" s="27"/>
      <x:c r="FU92" s="27"/>
      <x:c r="FV92" s="27"/>
      <x:c r="FW92" s="27"/>
      <x:c r="FX92" s="27"/>
      <x:c r="FY92" s="27"/>
      <x:c r="FZ92" s="27"/>
      <x:c r="GA92" s="27"/>
      <x:c r="GB92" s="27"/>
      <x:c r="GC92" s="27"/>
      <x:c r="GD92" s="27"/>
      <x:c r="GE92" s="27"/>
      <x:c r="GF92" s="27"/>
      <x:c r="GG92" s="27"/>
      <x:c r="GH92" s="27"/>
      <x:c r="GI92" s="27"/>
      <x:c r="GJ92" s="27"/>
      <x:c r="GK92" s="27"/>
      <x:c r="GL92" s="27"/>
      <x:c r="GM92" s="27"/>
      <x:c r="GN92" s="27"/>
      <x:c r="GO92" s="27"/>
      <x:c r="GP92" s="27"/>
      <x:c r="GQ92" s="27"/>
      <x:c r="GR92" s="27"/>
      <x:c r="GS92" s="27"/>
      <x:c r="GT92" s="27"/>
      <x:c r="GU92" s="27"/>
      <x:c r="GV92" s="27"/>
      <x:c r="GW92" s="27"/>
      <x:c r="GX92" s="27"/>
      <x:c r="GY92" s="27"/>
      <x:c r="GZ92" s="27"/>
      <x:c r="HA92" s="27"/>
      <x:c r="HB92" s="27"/>
      <x:c r="HC92" s="27"/>
      <x:c r="HD92" s="27"/>
      <x:c r="HE92" s="27"/>
      <x:c r="HF92" s="27"/>
      <x:c r="HG92" s="27"/>
      <x:c r="HH92" s="27"/>
      <x:c r="HI92" s="27"/>
      <x:c r="HJ92" s="27"/>
      <x:c r="HK92" s="27"/>
      <x:c r="HL92" s="27"/>
      <x:c r="HM92" s="27"/>
      <x:c r="HN92" s="27"/>
      <x:c r="HO92" s="27"/>
      <x:c r="HP92" s="27" t="str">
        <x:f>IF(C92="","",SUM(H92,N92,T92,Z92,AF92,AL92,AR92,AX92,BD92,BJ92,BP92,BV92,CB92,CH92,CN92,CT92,CZ92,DF92,DL92,DR92,DX92,ED92,EJ92,EP92,EV92,FB92,FH92,FN92,FT92,FZ92,GF92,GL92,GR92,GX92,HD92,HJ92))</x:f>
      </x:c>
      <x:c r="HQ92" s="27" t="str">
        <x:f>IF(C92="","",SUM(I92,O92,U92,AA92,AG92,AM92,AS92,AY92,BE92,BK92,BQ92,BW92,CC92,CI92,CO92,CU92,DA92,DG92,DM92,DS92,DY92,EE92,EK92,EQ92,EW92,FC92,FI92,FO92,FU92,GA92,GG92,GM92,GS92,GY92,HE92,HK92))</x:f>
      </x:c>
      <x:c r="HR92" s="27" t="str">
        <x:f>IF(C92="","",SUM(J92,P92,V92,AB92,AH92,AN92,AT92,AZ92,BF92,BL92,BR92,BX92,CD92,CJ92,CP92,CV92,DB92,DH92,DN92,DT92,DZ92,EF92,EL92,ER92,EX92,FD92,FJ92,FP92,FV92,GB92,GH92,GN92,GT92,GZ92,HF92,HL92))</x:f>
      </x:c>
      <x:c r="HS92" s="27" t="str">
        <x:f>IF(C92="","",SUM(K92,Q92,W92,AC92,AI92,AO92,AU92,BA92,BG92,BM92,BS92,BY92,CE92,CK92,CQ92,CW92,DC92,DI92,DO92,DU92,EA92,EG92,EM92,ES92,EY92,FE92,FK92,FQ92,FW92,GC92,GI92,GO92,GU92,HA92,HG92,HM92))</x:f>
      </x:c>
      <x:c r="HT92" s="27" t="str">
        <x:f>IF(C92="","",SUM(L92,R92,X92,AD92,AJ92,AP92,AV92,BB92,BH92,BN92,BT92,BZ92,CF92,CL92,CR92,CX92,DD92,DJ92,DP92,DV92,EB92,EH92,EN92,ET92,EZ92,FF92,FL92,FR92,FX92,GD92,GJ92,GP92,GV92,HB92,HH92,HN92))</x:f>
      </x:c>
      <x:c r="HU92" s="27" t="str">
        <x:f>IF(C92="","",SUM(M92,S92,Y92,AE92,AK92,AQ92,AW92,BC92,BI92,BO92,BU92,CA92,CG92,CM92,CS92,CY92,DE92,DK92,DQ92,DW92,EC92,EI92,EO92,EU92,FA92,FG92,FM92,FS92,FY92,GE92,GK92,GQ92,GW92,HC92,HI92,HO92))</x:f>
      </x:c>
      <x:c r="HV92" s="27" t="str">
        <x:f>IF(C92="","",IF(JI92=LARGE(JI92:JN92,1),"R",IF(JJ92=LARGE(JI92:JN92,1),"I",IF(JK92=LARGE(JI92:JN92,1),"A",IF(JL92=LARGE(JI92:JN92,1),"S",IF(JM92=LARGE(JI92:JN92,1),"E",IF(JN92=LARGE(JI92:JN92,1),"C",""))))))&amp;IF(JI92=LARGE(JI92:JN92,2),"R",IF(JJ92=LARGE(JI92:JN92,2),"I",IF(JK92=LARGE(JI92:JN92,2),"A",IF(JL92=LARGE(JI92:JN92,2),"S",IF(JM92=LARGE(JI92:JN92,2),"E",IF(JN92=LARGE(JI92:JN92,2),"C",""))))))&amp;IF(JI92=LARGE(JI92:JN92,3),"R",IF(JJ92=LARGE(JI92:JN92,3),"I",IF(JK92=LARGE(JI92:JN92,3),"A",IF(JL92=LARGE(JI92:JN92,3),"S",IF(JM92=LARGE(JI92:JN92,3),"E",IF(JN92=LARGE(JI92:JN92,3),"C","")))))))</x:f>
      </x:c>
      <x:c r="HW92" s="27" t="str">
        <x:f>IF(C92="","",IF(JI92=LARGE(JI92:JN92,1),"นักปฏิบัติ",IF(JJ92=LARGE(JI92:JN92,1),"นักคิดวิเคราะห์",IF(JK92=LARGE(JI92:JN92,1),"นักสร้างสรรค์",IF(JL92=LARGE(JI92:JN92,1),"ผู้เข้าใจผู้คน",IF(JM92=LARGE(JI92:JN92,1),"ผู้นำการเปลี่ยนแปลง",IF(JN92=LARGE(JI92:JN92,1),"ผู้จัดระบบ","ผู้จัดระบบ")))))))</x:f>
      </x:c>
      <x:c r="HX92" s="27"/>
      <x:c r="HY92" s="27"/>
      <x:c r="HZ92" s="27"/>
      <x:c r="IA92" s="27"/>
      <x:c r="IB92" s="27"/>
      <x:c r="IC92" s="27"/>
      <x:c r="ID92" s="27"/>
      <x:c r="IE92" s="27"/>
      <x:c r="IF92" s="27"/>
      <x:c r="IG92" s="27"/>
      <x:c r="IH92" s="27"/>
      <x:c r="II92" s="27"/>
      <x:c r="IJ92" s="27"/>
      <x:c r="IK92" s="27" t="str">
        <x:f>IF(C92="","",SUM(H92,N92,T92,Z92,AF92,AL92,AR92,AX92,BD92,BJ92,BP92))</x:f>
      </x:c>
      <x:c r="IL92" s="27" t="str">
        <x:f>IF(C92="","",SUM(I92,O92,U92,AA92,AG92,AM92,AS92,AY92,BE92,BK92,BQ92))</x:f>
      </x:c>
      <x:c r="IM92" s="27" t="str">
        <x:f>IF(C92="","",SUM(J92,P92,V92,AB92,AH92,AN92,AT92,AZ92,BF92,BL92,BR92))</x:f>
      </x:c>
      <x:c r="IN92" s="27" t="str">
        <x:f>IF(C92="","",SUM(K92,Q92,W92,AC92,AI92,AO92,AU92,BA92,BG92,BM92,BS92))</x:f>
      </x:c>
      <x:c r="IO92" s="27" t="str">
        <x:f>IF(C92="","",SUM(L92,R92,X92,AD92,AJ92,AP92,AV92,BB92,BH92,BN92,BT92))</x:f>
      </x:c>
      <x:c r="IP92" s="27" t="str">
        <x:f>IF(C92="","",SUM(M92,S92,Y92,AE92,AK92,AQ92,AW92,BC92,BI92,BO92,BU92))</x:f>
      </x:c>
      <x:c r="IQ92" s="27" t="str">
        <x:f>IF(C92="","",SUM(BV92,CB92,CH92,CN92,CT92,CZ92,DF92,DL92,DR92,DX92,ED92))</x:f>
      </x:c>
      <x:c r="IR92" s="27" t="str">
        <x:f>IF(C92="","",SUM(BW92,CC92,CI92,CO92,CU92,DA92,DG92,DM92,DS92,DY92,EE92))</x:f>
      </x:c>
      <x:c r="IS92" s="27" t="str">
        <x:f>IF(C92="","",SUM(BX92,CD92,CJ92,CP92,CV92,DB92,DH92,DN92,DT92,DZ92,EF92))</x:f>
      </x:c>
      <x:c r="IT92" s="27" t="str">
        <x:f>IF(C92="","",SUM(BY92,CE92,CK92,CQ92,CW92,DC92,DI92,DO92,DU92,EA92,EG92))</x:f>
      </x:c>
      <x:c r="IU92" s="27" t="str">
        <x:f>IF(C92="","",SUM(BZ92,CF92,CL92,CR92,CX92,DD92,DJ92,DP92,DV92,EB92,EH92))</x:f>
      </x:c>
      <x:c r="IV92" s="27" t="str">
        <x:f>IF(C92="","",SUM(CA92,CG92,CM92,CS92,CY92,DE92,DK92,DQ92,DW92,EC92,EI92))</x:f>
      </x:c>
      <x:c r="IW92" s="27" t="str">
        <x:f>IF(C92="","",SUM(EJ92,EP92,EV92,FB92,FH92,FN92,FT92,FZ92,GF92,GL92,GR92,GX92,HD92,HJ92))</x:f>
      </x:c>
      <x:c r="IX92" s="27" t="str">
        <x:f>IF(C92="","",SUM(EK92,EQ92,EW92,FC92,FI92,FO92,FU92,GA92,GG92,GM92,GS92,GY92,HE92,HK92))</x:f>
      </x:c>
      <x:c r="IY92" s="27" t="str">
        <x:f>IF(C92="","",SUM(EL92,ER92,EX92,FD92,FJ92,FP92,FV92,GB92,GH92,GN92,GT92,GZ92,HF92,HL92))</x:f>
      </x:c>
      <x:c r="IZ92" s="27" t="str">
        <x:f>IF(C92="","",SUM(EM92,ES92,EY92,FE92,FK92,FQ92,FW92,GC92,GI92,GO92,GU92,HA92,HG92,HM92))</x:f>
      </x:c>
      <x:c r="JA92" s="27" t="str">
        <x:f>IF(C92="","",SUM(EN92,ET92,EZ92,FF92,FL92,FR92,FX92,GD92,GJ92,GP92,GV92,HB92,HH92,HN92))</x:f>
      </x:c>
      <x:c r="JB92" s="27" t="str">
        <x:f>IF(C92="","",SUM(EO92,EU92,FA92,FG92,FM92,FS92,FY92,GE92,GK92,GQ92,GW92,HC92,HI92,HO92))</x:f>
      </x:c>
      <x:c r="JC92" s="27" t="str">
        <x:f>IF(C92="","",0)</x:f>
      </x:c>
      <x:c r="JD92" s="27" t="str">
        <x:f>IF(C92="","",0)</x:f>
      </x:c>
      <x:c r="JE92" s="27" t="str">
        <x:f>IF(C92="","",0)</x:f>
      </x:c>
      <x:c r="JF92" s="27" t="str">
        <x:f>IF(C92="","",0)</x:f>
      </x:c>
      <x:c r="JG92" s="27" t="str">
        <x:f>IF(C92="","",0)</x:f>
      </x:c>
      <x:c r="JH92" s="27" t="str">
        <x:f>IF(C92="","",0)</x:f>
      </x:c>
      <x:c r="JI92" s="27" t="str">
        <x:f>IF(C92="","",HP92*1000000000+IW92*1000000+IQ92*10000+IK92*100+JC92+6/1000)</x:f>
      </x:c>
      <x:c r="JJ92" s="27" t="str">
        <x:f>IF(C92="","",HQ92*1000000000+IX92*1000000+IR92*10000+IL92*100+JD92+5/1000)</x:f>
      </x:c>
      <x:c r="JK92" s="27" t="str">
        <x:f>IF(C92="","",HR92*1000000000+IY92*1000000+IS92*10000+IM92*100+JE92+4/1000)</x:f>
      </x:c>
      <x:c r="JL92" s="27" t="str">
        <x:f>IF(C92="","",HS92*1000000000+IZ92*1000000+IT92*10000+IN92*100+JF92+3/1000)</x:f>
      </x:c>
      <x:c r="JM92" s="27" t="str">
        <x:f>IF(C92="","",HT92*1000000000+JA92*1000000+IU92*10000+IO92*100+JG92+2/1000)</x:f>
      </x:c>
      <x:c r="JN92" s="27" t="str">
        <x:f>IF(C92="","",HU92*1000000000+JB92*1000000+IV92*10000+IP92*100+JH92+1/1000)</x:f>
      </x:c>
    </x:row>
    <x:row r="93">
      <x:c r="A93" s="27"/>
      <x:c r="B93" s="28"/>
      <x:c r="C93" s="27"/>
      <x:c r="D93" s="27"/>
      <x:c r="E93" s="27"/>
      <x:c r="F93" s="27"/>
      <x:c r="G93" s="27"/>
      <x:c r="H93" s="27"/>
      <x:c r="I93" s="27"/>
      <x:c r="J93" s="27"/>
      <x:c r="K93" s="27"/>
      <x:c r="L93" s="27"/>
      <x:c r="M93" s="27"/>
      <x:c r="N93" s="27"/>
      <x:c r="O93" s="27"/>
      <x:c r="P93" s="27"/>
      <x:c r="Q93" s="27"/>
      <x:c r="R93" s="27"/>
      <x:c r="S93" s="27"/>
      <x:c r="T93" s="27"/>
      <x:c r="U93" s="27"/>
      <x:c r="V93" s="27"/>
      <x:c r="W93" s="27"/>
      <x:c r="X93" s="27"/>
      <x:c r="Y93" s="27"/>
      <x:c r="Z93" s="27"/>
      <x:c r="AA93" s="27"/>
      <x:c r="AB93" s="27"/>
      <x:c r="AC93" s="27"/>
      <x:c r="AD93" s="27"/>
      <x:c r="AE93" s="27"/>
      <x:c r="AF93" s="27"/>
      <x:c r="AG93" s="27"/>
      <x:c r="AH93" s="27"/>
      <x:c r="AI93" s="27"/>
      <x:c r="AJ93" s="27"/>
      <x:c r="AK93" s="27"/>
      <x:c r="AL93" s="27"/>
      <x:c r="AM93" s="27"/>
      <x:c r="AN93" s="27"/>
      <x:c r="AO93" s="27"/>
      <x:c r="AP93" s="27"/>
      <x:c r="AQ93" s="27"/>
      <x:c r="AR93" s="27"/>
      <x:c r="AS93" s="27"/>
      <x:c r="AT93" s="27"/>
      <x:c r="AU93" s="27"/>
      <x:c r="AV93" s="27"/>
      <x:c r="AW93" s="27"/>
      <x:c r="AX93" s="27"/>
      <x:c r="AY93" s="27"/>
      <x:c r="AZ93" s="27"/>
      <x:c r="BA93" s="27"/>
      <x:c r="BB93" s="27"/>
      <x:c r="BC93" s="27"/>
      <x:c r="BD93" s="27"/>
      <x:c r="BE93" s="27"/>
      <x:c r="BF93" s="27"/>
      <x:c r="BG93" s="27"/>
      <x:c r="BH93" s="27"/>
      <x:c r="BI93" s="27"/>
      <x:c r="BJ93" s="27"/>
      <x:c r="BK93" s="27"/>
      <x:c r="BL93" s="27"/>
      <x:c r="BM93" s="27"/>
      <x:c r="BN93" s="27"/>
      <x:c r="BO93" s="27"/>
      <x:c r="BP93" s="27"/>
      <x:c r="BQ93" s="27"/>
      <x:c r="BR93" s="27"/>
      <x:c r="BS93" s="27"/>
      <x:c r="BT93" s="27"/>
      <x:c r="BU93" s="27"/>
      <x:c r="BV93" s="27"/>
      <x:c r="BW93" s="27"/>
      <x:c r="BX93" s="27"/>
      <x:c r="BY93" s="27"/>
      <x:c r="BZ93" s="27"/>
      <x:c r="CA93" s="27"/>
      <x:c r="CB93" s="27"/>
      <x:c r="CC93" s="27"/>
      <x:c r="CD93" s="27"/>
      <x:c r="CE93" s="27"/>
      <x:c r="CF93" s="27"/>
      <x:c r="CG93" s="27"/>
      <x:c r="CH93" s="27"/>
      <x:c r="CI93" s="27"/>
      <x:c r="CJ93" s="27"/>
      <x:c r="CK93" s="27"/>
      <x:c r="CL93" s="27"/>
      <x:c r="CM93" s="27"/>
      <x:c r="CN93" s="27"/>
      <x:c r="CO93" s="27"/>
      <x:c r="CP93" s="27"/>
      <x:c r="CQ93" s="27"/>
      <x:c r="CR93" s="27"/>
      <x:c r="CS93" s="27"/>
      <x:c r="CT93" s="27"/>
      <x:c r="CU93" s="27"/>
      <x:c r="CV93" s="27"/>
      <x:c r="CW93" s="27"/>
      <x:c r="CX93" s="27"/>
      <x:c r="CY93" s="27"/>
      <x:c r="CZ93" s="27"/>
      <x:c r="DA93" s="27"/>
      <x:c r="DB93" s="27"/>
      <x:c r="DC93" s="27"/>
      <x:c r="DD93" s="27"/>
      <x:c r="DE93" s="27"/>
      <x:c r="DF93" s="27"/>
      <x:c r="DG93" s="27"/>
      <x:c r="DH93" s="27"/>
      <x:c r="DI93" s="27"/>
      <x:c r="DJ93" s="27"/>
      <x:c r="DK93" s="27"/>
      <x:c r="DL93" s="27"/>
      <x:c r="DM93" s="27"/>
      <x:c r="DN93" s="27"/>
      <x:c r="DO93" s="27"/>
      <x:c r="DP93" s="27"/>
      <x:c r="DQ93" s="27"/>
      <x:c r="DR93" s="27"/>
      <x:c r="DS93" s="27"/>
      <x:c r="DT93" s="27"/>
      <x:c r="DU93" s="27"/>
      <x:c r="DV93" s="27"/>
      <x:c r="DW93" s="27"/>
      <x:c r="DX93" s="27"/>
      <x:c r="DY93" s="27"/>
      <x:c r="DZ93" s="27"/>
      <x:c r="EA93" s="27"/>
      <x:c r="EB93" s="27"/>
      <x:c r="EC93" s="27"/>
      <x:c r="ED93" s="27"/>
      <x:c r="EE93" s="27"/>
      <x:c r="EF93" s="27"/>
      <x:c r="EG93" s="27"/>
      <x:c r="EH93" s="27"/>
      <x:c r="EI93" s="27"/>
      <x:c r="EJ93" s="27"/>
      <x:c r="EK93" s="27"/>
      <x:c r="EL93" s="27"/>
      <x:c r="EM93" s="27"/>
      <x:c r="EN93" s="27"/>
      <x:c r="EO93" s="27"/>
      <x:c r="EP93" s="27"/>
      <x:c r="EQ93" s="27"/>
      <x:c r="ER93" s="27"/>
      <x:c r="ES93" s="27"/>
      <x:c r="ET93" s="27"/>
      <x:c r="EU93" s="27"/>
      <x:c r="EV93" s="27"/>
      <x:c r="EW93" s="27"/>
      <x:c r="EX93" s="27"/>
      <x:c r="EY93" s="27"/>
      <x:c r="EZ93" s="27"/>
      <x:c r="FA93" s="27"/>
      <x:c r="FB93" s="27"/>
      <x:c r="FC93" s="27"/>
      <x:c r="FD93" s="27"/>
      <x:c r="FE93" s="27"/>
      <x:c r="FF93" s="27"/>
      <x:c r="FG93" s="27"/>
      <x:c r="FH93" s="27"/>
      <x:c r="FI93" s="27"/>
      <x:c r="FJ93" s="27"/>
      <x:c r="FK93" s="27"/>
      <x:c r="FL93" s="27"/>
      <x:c r="FM93" s="27"/>
      <x:c r="FN93" s="27"/>
      <x:c r="FO93" s="27"/>
      <x:c r="FP93" s="27"/>
      <x:c r="FQ93" s="27"/>
      <x:c r="FR93" s="27"/>
      <x:c r="FS93" s="27"/>
      <x:c r="FT93" s="27"/>
      <x:c r="FU93" s="27"/>
      <x:c r="FV93" s="27"/>
      <x:c r="FW93" s="27"/>
      <x:c r="FX93" s="27"/>
      <x:c r="FY93" s="27"/>
      <x:c r="FZ93" s="27"/>
      <x:c r="GA93" s="27"/>
      <x:c r="GB93" s="27"/>
      <x:c r="GC93" s="27"/>
      <x:c r="GD93" s="27"/>
      <x:c r="GE93" s="27"/>
      <x:c r="GF93" s="27"/>
      <x:c r="GG93" s="27"/>
      <x:c r="GH93" s="27"/>
      <x:c r="GI93" s="27"/>
      <x:c r="GJ93" s="27"/>
      <x:c r="GK93" s="27"/>
      <x:c r="GL93" s="27"/>
      <x:c r="GM93" s="27"/>
      <x:c r="GN93" s="27"/>
      <x:c r="GO93" s="27"/>
      <x:c r="GP93" s="27"/>
      <x:c r="GQ93" s="27"/>
      <x:c r="GR93" s="27"/>
      <x:c r="GS93" s="27"/>
      <x:c r="GT93" s="27"/>
      <x:c r="GU93" s="27"/>
      <x:c r="GV93" s="27"/>
      <x:c r="GW93" s="27"/>
      <x:c r="GX93" s="27"/>
      <x:c r="GY93" s="27"/>
      <x:c r="GZ93" s="27"/>
      <x:c r="HA93" s="27"/>
      <x:c r="HB93" s="27"/>
      <x:c r="HC93" s="27"/>
      <x:c r="HD93" s="27"/>
      <x:c r="HE93" s="27"/>
      <x:c r="HF93" s="27"/>
      <x:c r="HG93" s="27"/>
      <x:c r="HH93" s="27"/>
      <x:c r="HI93" s="27"/>
      <x:c r="HJ93" s="27"/>
      <x:c r="HK93" s="27"/>
      <x:c r="HL93" s="27"/>
      <x:c r="HM93" s="27"/>
      <x:c r="HN93" s="27"/>
      <x:c r="HO93" s="27"/>
      <x:c r="HP93" s="27" t="str">
        <x:f>IF(C93="","",SUM(H93,N93,T93,Z93,AF93,AL93,AR93,AX93,BD93,BJ93,BP93,BV93,CB93,CH93,CN93,CT93,CZ93,DF93,DL93,DR93,DX93,ED93,EJ93,EP93,EV93,FB93,FH93,FN93,FT93,FZ93,GF93,GL93,GR93,GX93,HD93,HJ93))</x:f>
      </x:c>
      <x:c r="HQ93" s="27" t="str">
        <x:f>IF(C93="","",SUM(I93,O93,U93,AA93,AG93,AM93,AS93,AY93,BE93,BK93,BQ93,BW93,CC93,CI93,CO93,CU93,DA93,DG93,DM93,DS93,DY93,EE93,EK93,EQ93,EW93,FC93,FI93,FO93,FU93,GA93,GG93,GM93,GS93,GY93,HE93,HK93))</x:f>
      </x:c>
      <x:c r="HR93" s="27" t="str">
        <x:f>IF(C93="","",SUM(J93,P93,V93,AB93,AH93,AN93,AT93,AZ93,BF93,BL93,BR93,BX93,CD93,CJ93,CP93,CV93,DB93,DH93,DN93,DT93,DZ93,EF93,EL93,ER93,EX93,FD93,FJ93,FP93,FV93,GB93,GH93,GN93,GT93,GZ93,HF93,HL93))</x:f>
      </x:c>
      <x:c r="HS93" s="27" t="str">
        <x:f>IF(C93="","",SUM(K93,Q93,W93,AC93,AI93,AO93,AU93,BA93,BG93,BM93,BS93,BY93,CE93,CK93,CQ93,CW93,DC93,DI93,DO93,DU93,EA93,EG93,EM93,ES93,EY93,FE93,FK93,FQ93,FW93,GC93,GI93,GO93,GU93,HA93,HG93,HM93))</x:f>
      </x:c>
      <x:c r="HT93" s="27" t="str">
        <x:f>IF(C93="","",SUM(L93,R93,X93,AD93,AJ93,AP93,AV93,BB93,BH93,BN93,BT93,BZ93,CF93,CL93,CR93,CX93,DD93,DJ93,DP93,DV93,EB93,EH93,EN93,ET93,EZ93,FF93,FL93,FR93,FX93,GD93,GJ93,GP93,GV93,HB93,HH93,HN93))</x:f>
      </x:c>
      <x:c r="HU93" s="27" t="str">
        <x:f>IF(C93="","",SUM(M93,S93,Y93,AE93,AK93,AQ93,AW93,BC93,BI93,BO93,BU93,CA93,CG93,CM93,CS93,CY93,DE93,DK93,DQ93,DW93,EC93,EI93,EO93,EU93,FA93,FG93,FM93,FS93,FY93,GE93,GK93,GQ93,GW93,HC93,HI93,HO93))</x:f>
      </x:c>
      <x:c r="HV93" s="27" t="str">
        <x:f>IF(C93="","",IF(JI93=LARGE(JI93:JN93,1),"R",IF(JJ93=LARGE(JI93:JN93,1),"I",IF(JK93=LARGE(JI93:JN93,1),"A",IF(JL93=LARGE(JI93:JN93,1),"S",IF(JM93=LARGE(JI93:JN93,1),"E",IF(JN93=LARGE(JI93:JN93,1),"C",""))))))&amp;IF(JI93=LARGE(JI93:JN93,2),"R",IF(JJ93=LARGE(JI93:JN93,2),"I",IF(JK93=LARGE(JI93:JN93,2),"A",IF(JL93=LARGE(JI93:JN93,2),"S",IF(JM93=LARGE(JI93:JN93,2),"E",IF(JN93=LARGE(JI93:JN93,2),"C",""))))))&amp;IF(JI93=LARGE(JI93:JN93,3),"R",IF(JJ93=LARGE(JI93:JN93,3),"I",IF(JK93=LARGE(JI93:JN93,3),"A",IF(JL93=LARGE(JI93:JN93,3),"S",IF(JM93=LARGE(JI93:JN93,3),"E",IF(JN93=LARGE(JI93:JN93,3),"C","")))))))</x:f>
      </x:c>
      <x:c r="HW93" s="27" t="str">
        <x:f>IF(C93="","",IF(JI93=LARGE(JI93:JN93,1),"นักปฏิบัติ",IF(JJ93=LARGE(JI93:JN93,1),"นักคิดวิเคราะห์",IF(JK93=LARGE(JI93:JN93,1),"นักสร้างสรรค์",IF(JL93=LARGE(JI93:JN93,1),"ผู้เข้าใจผู้คน",IF(JM93=LARGE(JI93:JN93,1),"ผู้นำการเปลี่ยนแปลง",IF(JN93=LARGE(JI93:JN93,1),"ผู้จัดระบบ","ผู้จัดระบบ")))))))</x:f>
      </x:c>
      <x:c r="HX93" s="27"/>
      <x:c r="HY93" s="27"/>
      <x:c r="HZ93" s="27"/>
      <x:c r="IA93" s="27"/>
      <x:c r="IB93" s="27"/>
      <x:c r="IC93" s="27"/>
      <x:c r="ID93" s="27"/>
      <x:c r="IE93" s="27"/>
      <x:c r="IF93" s="27"/>
      <x:c r="IG93" s="27"/>
      <x:c r="IH93" s="27"/>
      <x:c r="II93" s="27"/>
      <x:c r="IJ93" s="27"/>
      <x:c r="IK93" s="27" t="str">
        <x:f>IF(C93="","",SUM(H93,N93,T93,Z93,AF93,AL93,AR93,AX93,BD93,BJ93,BP93))</x:f>
      </x:c>
      <x:c r="IL93" s="27" t="str">
        <x:f>IF(C93="","",SUM(I93,O93,U93,AA93,AG93,AM93,AS93,AY93,BE93,BK93,BQ93))</x:f>
      </x:c>
      <x:c r="IM93" s="27" t="str">
        <x:f>IF(C93="","",SUM(J93,P93,V93,AB93,AH93,AN93,AT93,AZ93,BF93,BL93,BR93))</x:f>
      </x:c>
      <x:c r="IN93" s="27" t="str">
        <x:f>IF(C93="","",SUM(K93,Q93,W93,AC93,AI93,AO93,AU93,BA93,BG93,BM93,BS93))</x:f>
      </x:c>
      <x:c r="IO93" s="27" t="str">
        <x:f>IF(C93="","",SUM(L93,R93,X93,AD93,AJ93,AP93,AV93,BB93,BH93,BN93,BT93))</x:f>
      </x:c>
      <x:c r="IP93" s="27" t="str">
        <x:f>IF(C93="","",SUM(M93,S93,Y93,AE93,AK93,AQ93,AW93,BC93,BI93,BO93,BU93))</x:f>
      </x:c>
      <x:c r="IQ93" s="27" t="str">
        <x:f>IF(C93="","",SUM(BV93,CB93,CH93,CN93,CT93,CZ93,DF93,DL93,DR93,DX93,ED93))</x:f>
      </x:c>
      <x:c r="IR93" s="27" t="str">
        <x:f>IF(C93="","",SUM(BW93,CC93,CI93,CO93,CU93,DA93,DG93,DM93,DS93,DY93,EE93))</x:f>
      </x:c>
      <x:c r="IS93" s="27" t="str">
        <x:f>IF(C93="","",SUM(BX93,CD93,CJ93,CP93,CV93,DB93,DH93,DN93,DT93,DZ93,EF93))</x:f>
      </x:c>
      <x:c r="IT93" s="27" t="str">
        <x:f>IF(C93="","",SUM(BY93,CE93,CK93,CQ93,CW93,DC93,DI93,DO93,DU93,EA93,EG93))</x:f>
      </x:c>
      <x:c r="IU93" s="27" t="str">
        <x:f>IF(C93="","",SUM(BZ93,CF93,CL93,CR93,CX93,DD93,DJ93,DP93,DV93,EB93,EH93))</x:f>
      </x:c>
      <x:c r="IV93" s="27" t="str">
        <x:f>IF(C93="","",SUM(CA93,CG93,CM93,CS93,CY93,DE93,DK93,DQ93,DW93,EC93,EI93))</x:f>
      </x:c>
      <x:c r="IW93" s="27" t="str">
        <x:f>IF(C93="","",SUM(EJ93,EP93,EV93,FB93,FH93,FN93,FT93,FZ93,GF93,GL93,GR93,GX93,HD93,HJ93))</x:f>
      </x:c>
      <x:c r="IX93" s="27" t="str">
        <x:f>IF(C93="","",SUM(EK93,EQ93,EW93,FC93,FI93,FO93,FU93,GA93,GG93,GM93,GS93,GY93,HE93,HK93))</x:f>
      </x:c>
      <x:c r="IY93" s="27" t="str">
        <x:f>IF(C93="","",SUM(EL93,ER93,EX93,FD93,FJ93,FP93,FV93,GB93,GH93,GN93,GT93,GZ93,HF93,HL93))</x:f>
      </x:c>
      <x:c r="IZ93" s="27" t="str">
        <x:f>IF(C93="","",SUM(EM93,ES93,EY93,FE93,FK93,FQ93,FW93,GC93,GI93,GO93,GU93,HA93,HG93,HM93))</x:f>
      </x:c>
      <x:c r="JA93" s="27" t="str">
        <x:f>IF(C93="","",SUM(EN93,ET93,EZ93,FF93,FL93,FR93,FX93,GD93,GJ93,GP93,GV93,HB93,HH93,HN93))</x:f>
      </x:c>
      <x:c r="JB93" s="27" t="str">
        <x:f>IF(C93="","",SUM(EO93,EU93,FA93,FG93,FM93,FS93,FY93,GE93,GK93,GQ93,GW93,HC93,HI93,HO93))</x:f>
      </x:c>
      <x:c r="JC93" s="27" t="str">
        <x:f>IF(C93="","",0)</x:f>
      </x:c>
      <x:c r="JD93" s="27" t="str">
        <x:f>IF(C93="","",0)</x:f>
      </x:c>
      <x:c r="JE93" s="27" t="str">
        <x:f>IF(C93="","",0)</x:f>
      </x:c>
      <x:c r="JF93" s="27" t="str">
        <x:f>IF(C93="","",0)</x:f>
      </x:c>
      <x:c r="JG93" s="27" t="str">
        <x:f>IF(C93="","",0)</x:f>
      </x:c>
      <x:c r="JH93" s="27" t="str">
        <x:f>IF(C93="","",0)</x:f>
      </x:c>
      <x:c r="JI93" s="27" t="str">
        <x:f>IF(C93="","",HP93*1000000000+IW93*1000000+IQ93*10000+IK93*100+JC93+6/1000)</x:f>
      </x:c>
      <x:c r="JJ93" s="27" t="str">
        <x:f>IF(C93="","",HQ93*1000000000+IX93*1000000+IR93*10000+IL93*100+JD93+5/1000)</x:f>
      </x:c>
      <x:c r="JK93" s="27" t="str">
        <x:f>IF(C93="","",HR93*1000000000+IY93*1000000+IS93*10000+IM93*100+JE93+4/1000)</x:f>
      </x:c>
      <x:c r="JL93" s="27" t="str">
        <x:f>IF(C93="","",HS93*1000000000+IZ93*1000000+IT93*10000+IN93*100+JF93+3/1000)</x:f>
      </x:c>
      <x:c r="JM93" s="27" t="str">
        <x:f>IF(C93="","",HT93*1000000000+JA93*1000000+IU93*10000+IO93*100+JG93+2/1000)</x:f>
      </x:c>
      <x:c r="JN93" s="27" t="str">
        <x:f>IF(C93="","",HU93*1000000000+JB93*1000000+IV93*10000+IP93*100+JH93+1/1000)</x:f>
      </x:c>
    </x:row>
    <x:row r="94">
      <x:c r="A94" s="27"/>
      <x:c r="B94" s="28"/>
      <x:c r="C94" s="27"/>
      <x:c r="D94" s="27"/>
      <x:c r="E94" s="27"/>
      <x:c r="F94" s="27"/>
      <x:c r="G94" s="27"/>
      <x:c r="H94" s="27"/>
      <x:c r="I94" s="27"/>
      <x:c r="J94" s="27"/>
      <x:c r="K94" s="27"/>
      <x:c r="L94" s="27"/>
      <x:c r="M94" s="27"/>
      <x:c r="N94" s="27"/>
      <x:c r="O94" s="27"/>
      <x:c r="P94" s="27"/>
      <x:c r="Q94" s="27"/>
      <x:c r="R94" s="27"/>
      <x:c r="S94" s="27"/>
      <x:c r="T94" s="27"/>
      <x:c r="U94" s="27"/>
      <x:c r="V94" s="27"/>
      <x:c r="W94" s="27"/>
      <x:c r="X94" s="27"/>
      <x:c r="Y94" s="27"/>
      <x:c r="Z94" s="27"/>
      <x:c r="AA94" s="27"/>
      <x:c r="AB94" s="27"/>
      <x:c r="AC94" s="27"/>
      <x:c r="AD94" s="27"/>
      <x:c r="AE94" s="27"/>
      <x:c r="AF94" s="27"/>
      <x:c r="AG94" s="27"/>
      <x:c r="AH94" s="27"/>
      <x:c r="AI94" s="27"/>
      <x:c r="AJ94" s="27"/>
      <x:c r="AK94" s="27"/>
      <x:c r="AL94" s="27"/>
      <x:c r="AM94" s="27"/>
      <x:c r="AN94" s="27"/>
      <x:c r="AO94" s="27"/>
      <x:c r="AP94" s="27"/>
      <x:c r="AQ94" s="27"/>
      <x:c r="AR94" s="27"/>
      <x:c r="AS94" s="27"/>
      <x:c r="AT94" s="27"/>
      <x:c r="AU94" s="27"/>
      <x:c r="AV94" s="27"/>
      <x:c r="AW94" s="27"/>
      <x:c r="AX94" s="27"/>
      <x:c r="AY94" s="27"/>
      <x:c r="AZ94" s="27"/>
      <x:c r="BA94" s="27"/>
      <x:c r="BB94" s="27"/>
      <x:c r="BC94" s="27"/>
      <x:c r="BD94" s="27"/>
      <x:c r="BE94" s="27"/>
      <x:c r="BF94" s="27"/>
      <x:c r="BG94" s="27"/>
      <x:c r="BH94" s="27"/>
      <x:c r="BI94" s="27"/>
      <x:c r="BJ94" s="27"/>
      <x:c r="BK94" s="27"/>
      <x:c r="BL94" s="27"/>
      <x:c r="BM94" s="27"/>
      <x:c r="BN94" s="27"/>
      <x:c r="BO94" s="27"/>
      <x:c r="BP94" s="27"/>
      <x:c r="BQ94" s="27"/>
      <x:c r="BR94" s="27"/>
      <x:c r="BS94" s="27"/>
      <x:c r="BT94" s="27"/>
      <x:c r="BU94" s="27"/>
      <x:c r="BV94" s="27"/>
      <x:c r="BW94" s="27"/>
      <x:c r="BX94" s="27"/>
      <x:c r="BY94" s="27"/>
      <x:c r="BZ94" s="27"/>
      <x:c r="CA94" s="27"/>
      <x:c r="CB94" s="27"/>
      <x:c r="CC94" s="27"/>
      <x:c r="CD94" s="27"/>
      <x:c r="CE94" s="27"/>
      <x:c r="CF94" s="27"/>
      <x:c r="CG94" s="27"/>
      <x:c r="CH94" s="27"/>
      <x:c r="CI94" s="27"/>
      <x:c r="CJ94" s="27"/>
      <x:c r="CK94" s="27"/>
      <x:c r="CL94" s="27"/>
      <x:c r="CM94" s="27"/>
      <x:c r="CN94" s="27"/>
      <x:c r="CO94" s="27"/>
      <x:c r="CP94" s="27"/>
      <x:c r="CQ94" s="27"/>
      <x:c r="CR94" s="27"/>
      <x:c r="CS94" s="27"/>
      <x:c r="CT94" s="27"/>
      <x:c r="CU94" s="27"/>
      <x:c r="CV94" s="27"/>
      <x:c r="CW94" s="27"/>
      <x:c r="CX94" s="27"/>
      <x:c r="CY94" s="27"/>
      <x:c r="CZ94" s="27"/>
      <x:c r="DA94" s="27"/>
      <x:c r="DB94" s="27"/>
      <x:c r="DC94" s="27"/>
      <x:c r="DD94" s="27"/>
      <x:c r="DE94" s="27"/>
      <x:c r="DF94" s="27"/>
      <x:c r="DG94" s="27"/>
      <x:c r="DH94" s="27"/>
      <x:c r="DI94" s="27"/>
      <x:c r="DJ94" s="27"/>
      <x:c r="DK94" s="27"/>
      <x:c r="DL94" s="27"/>
      <x:c r="DM94" s="27"/>
      <x:c r="DN94" s="27"/>
      <x:c r="DO94" s="27"/>
      <x:c r="DP94" s="27"/>
      <x:c r="DQ94" s="27"/>
      <x:c r="DR94" s="27"/>
      <x:c r="DS94" s="27"/>
      <x:c r="DT94" s="27"/>
      <x:c r="DU94" s="27"/>
      <x:c r="DV94" s="27"/>
      <x:c r="DW94" s="27"/>
      <x:c r="DX94" s="27"/>
      <x:c r="DY94" s="27"/>
      <x:c r="DZ94" s="27"/>
      <x:c r="EA94" s="27"/>
      <x:c r="EB94" s="27"/>
      <x:c r="EC94" s="27"/>
      <x:c r="ED94" s="27"/>
      <x:c r="EE94" s="27"/>
      <x:c r="EF94" s="27"/>
      <x:c r="EG94" s="27"/>
      <x:c r="EH94" s="27"/>
      <x:c r="EI94" s="27"/>
      <x:c r="EJ94" s="27"/>
      <x:c r="EK94" s="27"/>
      <x:c r="EL94" s="27"/>
      <x:c r="EM94" s="27"/>
      <x:c r="EN94" s="27"/>
      <x:c r="EO94" s="27"/>
      <x:c r="EP94" s="27"/>
      <x:c r="EQ94" s="27"/>
      <x:c r="ER94" s="27"/>
      <x:c r="ES94" s="27"/>
      <x:c r="ET94" s="27"/>
      <x:c r="EU94" s="27"/>
      <x:c r="EV94" s="27"/>
      <x:c r="EW94" s="27"/>
      <x:c r="EX94" s="27"/>
      <x:c r="EY94" s="27"/>
      <x:c r="EZ94" s="27"/>
      <x:c r="FA94" s="27"/>
      <x:c r="FB94" s="27"/>
      <x:c r="FC94" s="27"/>
      <x:c r="FD94" s="27"/>
      <x:c r="FE94" s="27"/>
      <x:c r="FF94" s="27"/>
      <x:c r="FG94" s="27"/>
      <x:c r="FH94" s="27"/>
      <x:c r="FI94" s="27"/>
      <x:c r="FJ94" s="27"/>
      <x:c r="FK94" s="27"/>
      <x:c r="FL94" s="27"/>
      <x:c r="FM94" s="27"/>
      <x:c r="FN94" s="27"/>
      <x:c r="FO94" s="27"/>
      <x:c r="FP94" s="27"/>
      <x:c r="FQ94" s="27"/>
      <x:c r="FR94" s="27"/>
      <x:c r="FS94" s="27"/>
      <x:c r="FT94" s="27"/>
      <x:c r="FU94" s="27"/>
      <x:c r="FV94" s="27"/>
      <x:c r="FW94" s="27"/>
      <x:c r="FX94" s="27"/>
      <x:c r="FY94" s="27"/>
      <x:c r="FZ94" s="27"/>
      <x:c r="GA94" s="27"/>
      <x:c r="GB94" s="27"/>
      <x:c r="GC94" s="27"/>
      <x:c r="GD94" s="27"/>
      <x:c r="GE94" s="27"/>
      <x:c r="GF94" s="27"/>
      <x:c r="GG94" s="27"/>
      <x:c r="GH94" s="27"/>
      <x:c r="GI94" s="27"/>
      <x:c r="GJ94" s="27"/>
      <x:c r="GK94" s="27"/>
      <x:c r="GL94" s="27"/>
      <x:c r="GM94" s="27"/>
      <x:c r="GN94" s="27"/>
      <x:c r="GO94" s="27"/>
      <x:c r="GP94" s="27"/>
      <x:c r="GQ94" s="27"/>
      <x:c r="GR94" s="27"/>
      <x:c r="GS94" s="27"/>
      <x:c r="GT94" s="27"/>
      <x:c r="GU94" s="27"/>
      <x:c r="GV94" s="27"/>
      <x:c r="GW94" s="27"/>
      <x:c r="GX94" s="27"/>
      <x:c r="GY94" s="27"/>
      <x:c r="GZ94" s="27"/>
      <x:c r="HA94" s="27"/>
      <x:c r="HB94" s="27"/>
      <x:c r="HC94" s="27"/>
      <x:c r="HD94" s="27"/>
      <x:c r="HE94" s="27"/>
      <x:c r="HF94" s="27"/>
      <x:c r="HG94" s="27"/>
      <x:c r="HH94" s="27"/>
      <x:c r="HI94" s="27"/>
      <x:c r="HJ94" s="27"/>
      <x:c r="HK94" s="27"/>
      <x:c r="HL94" s="27"/>
      <x:c r="HM94" s="27"/>
      <x:c r="HN94" s="27"/>
      <x:c r="HO94" s="27"/>
      <x:c r="HP94" s="27" t="str">
        <x:f>IF(C94="","",SUM(H94,N94,T94,Z94,AF94,AL94,AR94,AX94,BD94,BJ94,BP94,BV94,CB94,CH94,CN94,CT94,CZ94,DF94,DL94,DR94,DX94,ED94,EJ94,EP94,EV94,FB94,FH94,FN94,FT94,FZ94,GF94,GL94,GR94,GX94,HD94,HJ94))</x:f>
      </x:c>
      <x:c r="HQ94" s="27" t="str">
        <x:f>IF(C94="","",SUM(I94,O94,U94,AA94,AG94,AM94,AS94,AY94,BE94,BK94,BQ94,BW94,CC94,CI94,CO94,CU94,DA94,DG94,DM94,DS94,DY94,EE94,EK94,EQ94,EW94,FC94,FI94,FO94,FU94,GA94,GG94,GM94,GS94,GY94,HE94,HK94))</x:f>
      </x:c>
      <x:c r="HR94" s="27" t="str">
        <x:f>IF(C94="","",SUM(J94,P94,V94,AB94,AH94,AN94,AT94,AZ94,BF94,BL94,BR94,BX94,CD94,CJ94,CP94,CV94,DB94,DH94,DN94,DT94,DZ94,EF94,EL94,ER94,EX94,FD94,FJ94,FP94,FV94,GB94,GH94,GN94,GT94,GZ94,HF94,HL94))</x:f>
      </x:c>
      <x:c r="HS94" s="27" t="str">
        <x:f>IF(C94="","",SUM(K94,Q94,W94,AC94,AI94,AO94,AU94,BA94,BG94,BM94,BS94,BY94,CE94,CK94,CQ94,CW94,DC94,DI94,DO94,DU94,EA94,EG94,EM94,ES94,EY94,FE94,FK94,FQ94,FW94,GC94,GI94,GO94,GU94,HA94,HG94,HM94))</x:f>
      </x:c>
      <x:c r="HT94" s="27" t="str">
        <x:f>IF(C94="","",SUM(L94,R94,X94,AD94,AJ94,AP94,AV94,BB94,BH94,BN94,BT94,BZ94,CF94,CL94,CR94,CX94,DD94,DJ94,DP94,DV94,EB94,EH94,EN94,ET94,EZ94,FF94,FL94,FR94,FX94,GD94,GJ94,GP94,GV94,HB94,HH94,HN94))</x:f>
      </x:c>
      <x:c r="HU94" s="27" t="str">
        <x:f>IF(C94="","",SUM(M94,S94,Y94,AE94,AK94,AQ94,AW94,BC94,BI94,BO94,BU94,CA94,CG94,CM94,CS94,CY94,DE94,DK94,DQ94,DW94,EC94,EI94,EO94,EU94,FA94,FG94,FM94,FS94,FY94,GE94,GK94,GQ94,GW94,HC94,HI94,HO94))</x:f>
      </x:c>
      <x:c r="HV94" s="27" t="str">
        <x:f>IF(C94="","",IF(JI94=LARGE(JI94:JN94,1),"R",IF(JJ94=LARGE(JI94:JN94,1),"I",IF(JK94=LARGE(JI94:JN94,1),"A",IF(JL94=LARGE(JI94:JN94,1),"S",IF(JM94=LARGE(JI94:JN94,1),"E",IF(JN94=LARGE(JI94:JN94,1),"C",""))))))&amp;IF(JI94=LARGE(JI94:JN94,2),"R",IF(JJ94=LARGE(JI94:JN94,2),"I",IF(JK94=LARGE(JI94:JN94,2),"A",IF(JL94=LARGE(JI94:JN94,2),"S",IF(JM94=LARGE(JI94:JN94,2),"E",IF(JN94=LARGE(JI94:JN94,2),"C",""))))))&amp;IF(JI94=LARGE(JI94:JN94,3),"R",IF(JJ94=LARGE(JI94:JN94,3),"I",IF(JK94=LARGE(JI94:JN94,3),"A",IF(JL94=LARGE(JI94:JN94,3),"S",IF(JM94=LARGE(JI94:JN94,3),"E",IF(JN94=LARGE(JI94:JN94,3),"C","")))))))</x:f>
      </x:c>
      <x:c r="HW94" s="27" t="str">
        <x:f>IF(C94="","",IF(JI94=LARGE(JI94:JN94,1),"นักปฏิบัติ",IF(JJ94=LARGE(JI94:JN94,1),"นักคิดวิเคราะห์",IF(JK94=LARGE(JI94:JN94,1),"นักสร้างสรรค์",IF(JL94=LARGE(JI94:JN94,1),"ผู้เข้าใจผู้คน",IF(JM94=LARGE(JI94:JN94,1),"ผู้นำการเปลี่ยนแปลง",IF(JN94=LARGE(JI94:JN94,1),"ผู้จัดระบบ","ผู้จัดระบบ")))))))</x:f>
      </x:c>
      <x:c r="HX94" s="27"/>
      <x:c r="HY94" s="27"/>
      <x:c r="HZ94" s="27"/>
      <x:c r="IA94" s="27"/>
      <x:c r="IB94" s="27"/>
      <x:c r="IC94" s="27"/>
      <x:c r="ID94" s="27"/>
      <x:c r="IE94" s="27"/>
      <x:c r="IF94" s="27"/>
      <x:c r="IG94" s="27"/>
      <x:c r="IH94" s="27"/>
      <x:c r="II94" s="27"/>
      <x:c r="IJ94" s="27"/>
      <x:c r="IK94" s="27" t="str">
        <x:f>IF(C94="","",SUM(H94,N94,T94,Z94,AF94,AL94,AR94,AX94,BD94,BJ94,BP94))</x:f>
      </x:c>
      <x:c r="IL94" s="27" t="str">
        <x:f>IF(C94="","",SUM(I94,O94,U94,AA94,AG94,AM94,AS94,AY94,BE94,BK94,BQ94))</x:f>
      </x:c>
      <x:c r="IM94" s="27" t="str">
        <x:f>IF(C94="","",SUM(J94,P94,V94,AB94,AH94,AN94,AT94,AZ94,BF94,BL94,BR94))</x:f>
      </x:c>
      <x:c r="IN94" s="27" t="str">
        <x:f>IF(C94="","",SUM(K94,Q94,W94,AC94,AI94,AO94,AU94,BA94,BG94,BM94,BS94))</x:f>
      </x:c>
      <x:c r="IO94" s="27" t="str">
        <x:f>IF(C94="","",SUM(L94,R94,X94,AD94,AJ94,AP94,AV94,BB94,BH94,BN94,BT94))</x:f>
      </x:c>
      <x:c r="IP94" s="27" t="str">
        <x:f>IF(C94="","",SUM(M94,S94,Y94,AE94,AK94,AQ94,AW94,BC94,BI94,BO94,BU94))</x:f>
      </x:c>
      <x:c r="IQ94" s="27" t="str">
        <x:f>IF(C94="","",SUM(BV94,CB94,CH94,CN94,CT94,CZ94,DF94,DL94,DR94,DX94,ED94))</x:f>
      </x:c>
      <x:c r="IR94" s="27" t="str">
        <x:f>IF(C94="","",SUM(BW94,CC94,CI94,CO94,CU94,DA94,DG94,DM94,DS94,DY94,EE94))</x:f>
      </x:c>
      <x:c r="IS94" s="27" t="str">
        <x:f>IF(C94="","",SUM(BX94,CD94,CJ94,CP94,CV94,DB94,DH94,DN94,DT94,DZ94,EF94))</x:f>
      </x:c>
      <x:c r="IT94" s="27" t="str">
        <x:f>IF(C94="","",SUM(BY94,CE94,CK94,CQ94,CW94,DC94,DI94,DO94,DU94,EA94,EG94))</x:f>
      </x:c>
      <x:c r="IU94" s="27" t="str">
        <x:f>IF(C94="","",SUM(BZ94,CF94,CL94,CR94,CX94,DD94,DJ94,DP94,DV94,EB94,EH94))</x:f>
      </x:c>
      <x:c r="IV94" s="27" t="str">
        <x:f>IF(C94="","",SUM(CA94,CG94,CM94,CS94,CY94,DE94,DK94,DQ94,DW94,EC94,EI94))</x:f>
      </x:c>
      <x:c r="IW94" s="27" t="str">
        <x:f>IF(C94="","",SUM(EJ94,EP94,EV94,FB94,FH94,FN94,FT94,FZ94,GF94,GL94,GR94,GX94,HD94,HJ94))</x:f>
      </x:c>
      <x:c r="IX94" s="27" t="str">
        <x:f>IF(C94="","",SUM(EK94,EQ94,EW94,FC94,FI94,FO94,FU94,GA94,GG94,GM94,GS94,GY94,HE94,HK94))</x:f>
      </x:c>
      <x:c r="IY94" s="27" t="str">
        <x:f>IF(C94="","",SUM(EL94,ER94,EX94,FD94,FJ94,FP94,FV94,GB94,GH94,GN94,GT94,GZ94,HF94,HL94))</x:f>
      </x:c>
      <x:c r="IZ94" s="27" t="str">
        <x:f>IF(C94="","",SUM(EM94,ES94,EY94,FE94,FK94,FQ94,FW94,GC94,GI94,GO94,GU94,HA94,HG94,HM94))</x:f>
      </x:c>
      <x:c r="JA94" s="27" t="str">
        <x:f>IF(C94="","",SUM(EN94,ET94,EZ94,FF94,FL94,FR94,FX94,GD94,GJ94,GP94,GV94,HB94,HH94,HN94))</x:f>
      </x:c>
      <x:c r="JB94" s="27" t="str">
        <x:f>IF(C94="","",SUM(EO94,EU94,FA94,FG94,FM94,FS94,FY94,GE94,GK94,GQ94,GW94,HC94,HI94,HO94))</x:f>
      </x:c>
      <x:c r="JC94" s="27" t="str">
        <x:f>IF(C94="","",0)</x:f>
      </x:c>
      <x:c r="JD94" s="27" t="str">
        <x:f>IF(C94="","",0)</x:f>
      </x:c>
      <x:c r="JE94" s="27" t="str">
        <x:f>IF(C94="","",0)</x:f>
      </x:c>
      <x:c r="JF94" s="27" t="str">
        <x:f>IF(C94="","",0)</x:f>
      </x:c>
      <x:c r="JG94" s="27" t="str">
        <x:f>IF(C94="","",0)</x:f>
      </x:c>
      <x:c r="JH94" s="27" t="str">
        <x:f>IF(C94="","",0)</x:f>
      </x:c>
      <x:c r="JI94" s="27" t="str">
        <x:f>IF(C94="","",HP94*1000000000+IW94*1000000+IQ94*10000+IK94*100+JC94+6/1000)</x:f>
      </x:c>
      <x:c r="JJ94" s="27" t="str">
        <x:f>IF(C94="","",HQ94*1000000000+IX94*1000000+IR94*10000+IL94*100+JD94+5/1000)</x:f>
      </x:c>
      <x:c r="JK94" s="27" t="str">
        <x:f>IF(C94="","",HR94*1000000000+IY94*1000000+IS94*10000+IM94*100+JE94+4/1000)</x:f>
      </x:c>
      <x:c r="JL94" s="27" t="str">
        <x:f>IF(C94="","",HS94*1000000000+IZ94*1000000+IT94*10000+IN94*100+JF94+3/1000)</x:f>
      </x:c>
      <x:c r="JM94" s="27" t="str">
        <x:f>IF(C94="","",HT94*1000000000+JA94*1000000+IU94*10000+IO94*100+JG94+2/1000)</x:f>
      </x:c>
      <x:c r="JN94" s="27" t="str">
        <x:f>IF(C94="","",HU94*1000000000+JB94*1000000+IV94*10000+IP94*100+JH94+1/1000)</x:f>
      </x:c>
    </x:row>
    <x:row r="95">
      <x:c r="A95" s="27"/>
      <x:c r="B95" s="28"/>
      <x:c r="C95" s="27"/>
      <x:c r="D95" s="27"/>
      <x:c r="E95" s="27"/>
      <x:c r="F95" s="27"/>
      <x:c r="G95" s="27"/>
      <x:c r="H95" s="27"/>
      <x:c r="I95" s="27"/>
      <x:c r="J95" s="27"/>
      <x:c r="K95" s="27"/>
      <x:c r="L95" s="27"/>
      <x:c r="M95" s="27"/>
      <x:c r="N95" s="27"/>
      <x:c r="O95" s="27"/>
      <x:c r="P95" s="27"/>
      <x:c r="Q95" s="27"/>
      <x:c r="R95" s="27"/>
      <x:c r="S95" s="27"/>
      <x:c r="T95" s="27"/>
      <x:c r="U95" s="27"/>
      <x:c r="V95" s="27"/>
      <x:c r="W95" s="27"/>
      <x:c r="X95" s="27"/>
      <x:c r="Y95" s="27"/>
      <x:c r="Z95" s="27"/>
      <x:c r="AA95" s="27"/>
      <x:c r="AB95" s="27"/>
      <x:c r="AC95" s="27"/>
      <x:c r="AD95" s="27"/>
      <x:c r="AE95" s="27"/>
      <x:c r="AF95" s="27"/>
      <x:c r="AG95" s="27"/>
      <x:c r="AH95" s="27"/>
      <x:c r="AI95" s="27"/>
      <x:c r="AJ95" s="27"/>
      <x:c r="AK95" s="27"/>
      <x:c r="AL95" s="27"/>
      <x:c r="AM95" s="27"/>
      <x:c r="AN95" s="27"/>
      <x:c r="AO95" s="27"/>
      <x:c r="AP95" s="27"/>
      <x:c r="AQ95" s="27"/>
      <x:c r="AR95" s="27"/>
      <x:c r="AS95" s="27"/>
      <x:c r="AT95" s="27"/>
      <x:c r="AU95" s="27"/>
      <x:c r="AV95" s="27"/>
      <x:c r="AW95" s="27"/>
      <x:c r="AX95" s="27"/>
      <x:c r="AY95" s="27"/>
      <x:c r="AZ95" s="27"/>
      <x:c r="BA95" s="27"/>
      <x:c r="BB95" s="27"/>
      <x:c r="BC95" s="27"/>
      <x:c r="BD95" s="27"/>
      <x:c r="BE95" s="27"/>
      <x:c r="BF95" s="27"/>
      <x:c r="BG95" s="27"/>
      <x:c r="BH95" s="27"/>
      <x:c r="BI95" s="27"/>
      <x:c r="BJ95" s="27"/>
      <x:c r="BK95" s="27"/>
      <x:c r="BL95" s="27"/>
      <x:c r="BM95" s="27"/>
      <x:c r="BN95" s="27"/>
      <x:c r="BO95" s="27"/>
      <x:c r="BP95" s="27"/>
      <x:c r="BQ95" s="27"/>
      <x:c r="BR95" s="27"/>
      <x:c r="BS95" s="27"/>
      <x:c r="BT95" s="27"/>
      <x:c r="BU95" s="27"/>
      <x:c r="BV95" s="27"/>
      <x:c r="BW95" s="27"/>
      <x:c r="BX95" s="27"/>
      <x:c r="BY95" s="27"/>
      <x:c r="BZ95" s="27"/>
      <x:c r="CA95" s="27"/>
      <x:c r="CB95" s="27"/>
      <x:c r="CC95" s="27"/>
      <x:c r="CD95" s="27"/>
      <x:c r="CE95" s="27"/>
      <x:c r="CF95" s="27"/>
      <x:c r="CG95" s="27"/>
      <x:c r="CH95" s="27"/>
      <x:c r="CI95" s="27"/>
      <x:c r="CJ95" s="27"/>
      <x:c r="CK95" s="27"/>
      <x:c r="CL95" s="27"/>
      <x:c r="CM95" s="27"/>
      <x:c r="CN95" s="27"/>
      <x:c r="CO95" s="27"/>
      <x:c r="CP95" s="27"/>
      <x:c r="CQ95" s="27"/>
      <x:c r="CR95" s="27"/>
      <x:c r="CS95" s="27"/>
      <x:c r="CT95" s="27"/>
      <x:c r="CU95" s="27"/>
      <x:c r="CV95" s="27"/>
      <x:c r="CW95" s="27"/>
      <x:c r="CX95" s="27"/>
      <x:c r="CY95" s="27"/>
      <x:c r="CZ95" s="27"/>
      <x:c r="DA95" s="27"/>
      <x:c r="DB95" s="27"/>
      <x:c r="DC95" s="27"/>
      <x:c r="DD95" s="27"/>
      <x:c r="DE95" s="27"/>
      <x:c r="DF95" s="27"/>
      <x:c r="DG95" s="27"/>
      <x:c r="DH95" s="27"/>
      <x:c r="DI95" s="27"/>
      <x:c r="DJ95" s="27"/>
      <x:c r="DK95" s="27"/>
      <x:c r="DL95" s="27"/>
      <x:c r="DM95" s="27"/>
      <x:c r="DN95" s="27"/>
      <x:c r="DO95" s="27"/>
      <x:c r="DP95" s="27"/>
      <x:c r="DQ95" s="27"/>
      <x:c r="DR95" s="27"/>
      <x:c r="DS95" s="27"/>
      <x:c r="DT95" s="27"/>
      <x:c r="DU95" s="27"/>
      <x:c r="DV95" s="27"/>
      <x:c r="DW95" s="27"/>
      <x:c r="DX95" s="27"/>
      <x:c r="DY95" s="27"/>
      <x:c r="DZ95" s="27"/>
      <x:c r="EA95" s="27"/>
      <x:c r="EB95" s="27"/>
      <x:c r="EC95" s="27"/>
      <x:c r="ED95" s="27"/>
      <x:c r="EE95" s="27"/>
      <x:c r="EF95" s="27"/>
      <x:c r="EG95" s="27"/>
      <x:c r="EH95" s="27"/>
      <x:c r="EI95" s="27"/>
      <x:c r="EJ95" s="27"/>
      <x:c r="EK95" s="27"/>
      <x:c r="EL95" s="27"/>
      <x:c r="EM95" s="27"/>
      <x:c r="EN95" s="27"/>
      <x:c r="EO95" s="27"/>
      <x:c r="EP95" s="27"/>
      <x:c r="EQ95" s="27"/>
      <x:c r="ER95" s="27"/>
      <x:c r="ES95" s="27"/>
      <x:c r="ET95" s="27"/>
      <x:c r="EU95" s="27"/>
      <x:c r="EV95" s="27"/>
      <x:c r="EW95" s="27"/>
      <x:c r="EX95" s="27"/>
      <x:c r="EY95" s="27"/>
      <x:c r="EZ95" s="27"/>
      <x:c r="FA95" s="27"/>
      <x:c r="FB95" s="27"/>
      <x:c r="FC95" s="27"/>
      <x:c r="FD95" s="27"/>
      <x:c r="FE95" s="27"/>
      <x:c r="FF95" s="27"/>
      <x:c r="FG95" s="27"/>
      <x:c r="FH95" s="27"/>
      <x:c r="FI95" s="27"/>
      <x:c r="FJ95" s="27"/>
      <x:c r="FK95" s="27"/>
      <x:c r="FL95" s="27"/>
      <x:c r="FM95" s="27"/>
      <x:c r="FN95" s="27"/>
      <x:c r="FO95" s="27"/>
      <x:c r="FP95" s="27"/>
      <x:c r="FQ95" s="27"/>
      <x:c r="FR95" s="27"/>
      <x:c r="FS95" s="27"/>
      <x:c r="FT95" s="27"/>
      <x:c r="FU95" s="27"/>
      <x:c r="FV95" s="27"/>
      <x:c r="FW95" s="27"/>
      <x:c r="FX95" s="27"/>
      <x:c r="FY95" s="27"/>
      <x:c r="FZ95" s="27"/>
      <x:c r="GA95" s="27"/>
      <x:c r="GB95" s="27"/>
      <x:c r="GC95" s="27"/>
      <x:c r="GD95" s="27"/>
      <x:c r="GE95" s="27"/>
      <x:c r="GF95" s="27"/>
      <x:c r="GG95" s="27"/>
      <x:c r="GH95" s="27"/>
      <x:c r="GI95" s="27"/>
      <x:c r="GJ95" s="27"/>
      <x:c r="GK95" s="27"/>
      <x:c r="GL95" s="27"/>
      <x:c r="GM95" s="27"/>
      <x:c r="GN95" s="27"/>
      <x:c r="GO95" s="27"/>
      <x:c r="GP95" s="27"/>
      <x:c r="GQ95" s="27"/>
      <x:c r="GR95" s="27"/>
      <x:c r="GS95" s="27"/>
      <x:c r="GT95" s="27"/>
      <x:c r="GU95" s="27"/>
      <x:c r="GV95" s="27"/>
      <x:c r="GW95" s="27"/>
      <x:c r="GX95" s="27"/>
      <x:c r="GY95" s="27"/>
      <x:c r="GZ95" s="27"/>
      <x:c r="HA95" s="27"/>
      <x:c r="HB95" s="27"/>
      <x:c r="HC95" s="27"/>
      <x:c r="HD95" s="27"/>
      <x:c r="HE95" s="27"/>
      <x:c r="HF95" s="27"/>
      <x:c r="HG95" s="27"/>
      <x:c r="HH95" s="27"/>
      <x:c r="HI95" s="27"/>
      <x:c r="HJ95" s="27"/>
      <x:c r="HK95" s="27"/>
      <x:c r="HL95" s="27"/>
      <x:c r="HM95" s="27"/>
      <x:c r="HN95" s="27"/>
      <x:c r="HO95" s="27"/>
      <x:c r="HP95" s="27" t="str">
        <x:f>IF(C95="","",SUM(H95,N95,T95,Z95,AF95,AL95,AR95,AX95,BD95,BJ95,BP95,BV95,CB95,CH95,CN95,CT95,CZ95,DF95,DL95,DR95,DX95,ED95,EJ95,EP95,EV95,FB95,FH95,FN95,FT95,FZ95,GF95,GL95,GR95,GX95,HD95,HJ95))</x:f>
      </x:c>
      <x:c r="HQ95" s="27" t="str">
        <x:f>IF(C95="","",SUM(I95,O95,U95,AA95,AG95,AM95,AS95,AY95,BE95,BK95,BQ95,BW95,CC95,CI95,CO95,CU95,DA95,DG95,DM95,DS95,DY95,EE95,EK95,EQ95,EW95,FC95,FI95,FO95,FU95,GA95,GG95,GM95,GS95,GY95,HE95,HK95))</x:f>
      </x:c>
      <x:c r="HR95" s="27" t="str">
        <x:f>IF(C95="","",SUM(J95,P95,V95,AB95,AH95,AN95,AT95,AZ95,BF95,BL95,BR95,BX95,CD95,CJ95,CP95,CV95,DB95,DH95,DN95,DT95,DZ95,EF95,EL95,ER95,EX95,FD95,FJ95,FP95,FV95,GB95,GH95,GN95,GT95,GZ95,HF95,HL95))</x:f>
      </x:c>
      <x:c r="HS95" s="27" t="str">
        <x:f>IF(C95="","",SUM(K95,Q95,W95,AC95,AI95,AO95,AU95,BA95,BG95,BM95,BS95,BY95,CE95,CK95,CQ95,CW95,DC95,DI95,DO95,DU95,EA95,EG95,EM95,ES95,EY95,FE95,FK95,FQ95,FW95,GC95,GI95,GO95,GU95,HA95,HG95,HM95))</x:f>
      </x:c>
      <x:c r="HT95" s="27" t="str">
        <x:f>IF(C95="","",SUM(L95,R95,X95,AD95,AJ95,AP95,AV95,BB95,BH95,BN95,BT95,BZ95,CF95,CL95,CR95,CX95,DD95,DJ95,DP95,DV95,EB95,EH95,EN95,ET95,EZ95,FF95,FL95,FR95,FX95,GD95,GJ95,GP95,GV95,HB95,HH95,HN95))</x:f>
      </x:c>
      <x:c r="HU95" s="27" t="str">
        <x:f>IF(C95="","",SUM(M95,S95,Y95,AE95,AK95,AQ95,AW95,BC95,BI95,BO95,BU95,CA95,CG95,CM95,CS95,CY95,DE95,DK95,DQ95,DW95,EC95,EI95,EO95,EU95,FA95,FG95,FM95,FS95,FY95,GE95,GK95,GQ95,GW95,HC95,HI95,HO95))</x:f>
      </x:c>
      <x:c r="HV95" s="27" t="str">
        <x:f>IF(C95="","",IF(JI95=LARGE(JI95:JN95,1),"R",IF(JJ95=LARGE(JI95:JN95,1),"I",IF(JK95=LARGE(JI95:JN95,1),"A",IF(JL95=LARGE(JI95:JN95,1),"S",IF(JM95=LARGE(JI95:JN95,1),"E",IF(JN95=LARGE(JI95:JN95,1),"C",""))))))&amp;IF(JI95=LARGE(JI95:JN95,2),"R",IF(JJ95=LARGE(JI95:JN95,2),"I",IF(JK95=LARGE(JI95:JN95,2),"A",IF(JL95=LARGE(JI95:JN95,2),"S",IF(JM95=LARGE(JI95:JN95,2),"E",IF(JN95=LARGE(JI95:JN95,2),"C",""))))))&amp;IF(JI95=LARGE(JI95:JN95,3),"R",IF(JJ95=LARGE(JI95:JN95,3),"I",IF(JK95=LARGE(JI95:JN95,3),"A",IF(JL95=LARGE(JI95:JN95,3),"S",IF(JM95=LARGE(JI95:JN95,3),"E",IF(JN95=LARGE(JI95:JN95,3),"C","")))))))</x:f>
      </x:c>
      <x:c r="HW95" s="27" t="str">
        <x:f>IF(C95="","",IF(JI95=LARGE(JI95:JN95,1),"นักปฏิบัติ",IF(JJ95=LARGE(JI95:JN95,1),"นักคิดวิเคราะห์",IF(JK95=LARGE(JI95:JN95,1),"นักสร้างสรรค์",IF(JL95=LARGE(JI95:JN95,1),"ผู้เข้าใจผู้คน",IF(JM95=LARGE(JI95:JN95,1),"ผู้นำการเปลี่ยนแปลง",IF(JN95=LARGE(JI95:JN95,1),"ผู้จัดระบบ","ผู้จัดระบบ")))))))</x:f>
      </x:c>
      <x:c r="HX95" s="27"/>
      <x:c r="HY95" s="27"/>
      <x:c r="HZ95" s="27"/>
      <x:c r="IA95" s="27"/>
      <x:c r="IB95" s="27"/>
      <x:c r="IC95" s="27"/>
      <x:c r="ID95" s="27"/>
      <x:c r="IE95" s="27"/>
      <x:c r="IF95" s="27"/>
      <x:c r="IG95" s="27"/>
      <x:c r="IH95" s="27"/>
      <x:c r="II95" s="27"/>
      <x:c r="IJ95" s="27"/>
      <x:c r="IK95" s="27" t="str">
        <x:f>IF(C95="","",SUM(H95,N95,T95,Z95,AF95,AL95,AR95,AX95,BD95,BJ95,BP95))</x:f>
      </x:c>
      <x:c r="IL95" s="27" t="str">
        <x:f>IF(C95="","",SUM(I95,O95,U95,AA95,AG95,AM95,AS95,AY95,BE95,BK95,BQ95))</x:f>
      </x:c>
      <x:c r="IM95" s="27" t="str">
        <x:f>IF(C95="","",SUM(J95,P95,V95,AB95,AH95,AN95,AT95,AZ95,BF95,BL95,BR95))</x:f>
      </x:c>
      <x:c r="IN95" s="27" t="str">
        <x:f>IF(C95="","",SUM(K95,Q95,W95,AC95,AI95,AO95,AU95,BA95,BG95,BM95,BS95))</x:f>
      </x:c>
      <x:c r="IO95" s="27" t="str">
        <x:f>IF(C95="","",SUM(L95,R95,X95,AD95,AJ95,AP95,AV95,BB95,BH95,BN95,BT95))</x:f>
      </x:c>
      <x:c r="IP95" s="27" t="str">
        <x:f>IF(C95="","",SUM(M95,S95,Y95,AE95,AK95,AQ95,AW95,BC95,BI95,BO95,BU95))</x:f>
      </x:c>
      <x:c r="IQ95" s="27" t="str">
        <x:f>IF(C95="","",SUM(BV95,CB95,CH95,CN95,CT95,CZ95,DF95,DL95,DR95,DX95,ED95))</x:f>
      </x:c>
      <x:c r="IR95" s="27" t="str">
        <x:f>IF(C95="","",SUM(BW95,CC95,CI95,CO95,CU95,DA95,DG95,DM95,DS95,DY95,EE95))</x:f>
      </x:c>
      <x:c r="IS95" s="27" t="str">
        <x:f>IF(C95="","",SUM(BX95,CD95,CJ95,CP95,CV95,DB95,DH95,DN95,DT95,DZ95,EF95))</x:f>
      </x:c>
      <x:c r="IT95" s="27" t="str">
        <x:f>IF(C95="","",SUM(BY95,CE95,CK95,CQ95,CW95,DC95,DI95,DO95,DU95,EA95,EG95))</x:f>
      </x:c>
      <x:c r="IU95" s="27" t="str">
        <x:f>IF(C95="","",SUM(BZ95,CF95,CL95,CR95,CX95,DD95,DJ95,DP95,DV95,EB95,EH95))</x:f>
      </x:c>
      <x:c r="IV95" s="27" t="str">
        <x:f>IF(C95="","",SUM(CA95,CG95,CM95,CS95,CY95,DE95,DK95,DQ95,DW95,EC95,EI95))</x:f>
      </x:c>
      <x:c r="IW95" s="27" t="str">
        <x:f>IF(C95="","",SUM(EJ95,EP95,EV95,FB95,FH95,FN95,FT95,FZ95,GF95,GL95,GR95,GX95,HD95,HJ95))</x:f>
      </x:c>
      <x:c r="IX95" s="27" t="str">
        <x:f>IF(C95="","",SUM(EK95,EQ95,EW95,FC95,FI95,FO95,FU95,GA95,GG95,GM95,GS95,GY95,HE95,HK95))</x:f>
      </x:c>
      <x:c r="IY95" s="27" t="str">
        <x:f>IF(C95="","",SUM(EL95,ER95,EX95,FD95,FJ95,FP95,FV95,GB95,GH95,GN95,GT95,GZ95,HF95,HL95))</x:f>
      </x:c>
      <x:c r="IZ95" s="27" t="str">
        <x:f>IF(C95="","",SUM(EM95,ES95,EY95,FE95,FK95,FQ95,FW95,GC95,GI95,GO95,GU95,HA95,HG95,HM95))</x:f>
      </x:c>
      <x:c r="JA95" s="27" t="str">
        <x:f>IF(C95="","",SUM(EN95,ET95,EZ95,FF95,FL95,FR95,FX95,GD95,GJ95,GP95,GV95,HB95,HH95,HN95))</x:f>
      </x:c>
      <x:c r="JB95" s="27" t="str">
        <x:f>IF(C95="","",SUM(EO95,EU95,FA95,FG95,FM95,FS95,FY95,GE95,GK95,GQ95,GW95,HC95,HI95,HO95))</x:f>
      </x:c>
      <x:c r="JC95" s="27" t="str">
        <x:f>IF(C95="","",0)</x:f>
      </x:c>
      <x:c r="JD95" s="27" t="str">
        <x:f>IF(C95="","",0)</x:f>
      </x:c>
      <x:c r="JE95" s="27" t="str">
        <x:f>IF(C95="","",0)</x:f>
      </x:c>
      <x:c r="JF95" s="27" t="str">
        <x:f>IF(C95="","",0)</x:f>
      </x:c>
      <x:c r="JG95" s="27" t="str">
        <x:f>IF(C95="","",0)</x:f>
      </x:c>
      <x:c r="JH95" s="27" t="str">
        <x:f>IF(C95="","",0)</x:f>
      </x:c>
      <x:c r="JI95" s="27" t="str">
        <x:f>IF(C95="","",HP95*1000000000+IW95*1000000+IQ95*10000+IK95*100+JC95+6/1000)</x:f>
      </x:c>
      <x:c r="JJ95" s="27" t="str">
        <x:f>IF(C95="","",HQ95*1000000000+IX95*1000000+IR95*10000+IL95*100+JD95+5/1000)</x:f>
      </x:c>
      <x:c r="JK95" s="27" t="str">
        <x:f>IF(C95="","",HR95*1000000000+IY95*1000000+IS95*10000+IM95*100+JE95+4/1000)</x:f>
      </x:c>
      <x:c r="JL95" s="27" t="str">
        <x:f>IF(C95="","",HS95*1000000000+IZ95*1000000+IT95*10000+IN95*100+JF95+3/1000)</x:f>
      </x:c>
      <x:c r="JM95" s="27" t="str">
        <x:f>IF(C95="","",HT95*1000000000+JA95*1000000+IU95*10000+IO95*100+JG95+2/1000)</x:f>
      </x:c>
      <x:c r="JN95" s="27" t="str">
        <x:f>IF(C95="","",HU95*1000000000+JB95*1000000+IV95*10000+IP95*100+JH95+1/1000)</x:f>
      </x:c>
    </x:row>
    <x:row r="96">
      <x:c r="A96" s="27"/>
      <x:c r="B96" s="28"/>
      <x:c r="C96" s="27"/>
      <x:c r="D96" s="27"/>
      <x:c r="E96" s="27"/>
      <x:c r="F96" s="27"/>
      <x:c r="G96" s="27"/>
      <x:c r="H96" s="27"/>
      <x:c r="I96" s="27"/>
      <x:c r="J96" s="27"/>
      <x:c r="K96" s="27"/>
      <x:c r="L96" s="27"/>
      <x:c r="M96" s="27"/>
      <x:c r="N96" s="27"/>
      <x:c r="O96" s="27"/>
      <x:c r="P96" s="27"/>
      <x:c r="Q96" s="27"/>
      <x:c r="R96" s="27"/>
      <x:c r="S96" s="27"/>
      <x:c r="T96" s="27"/>
      <x:c r="U96" s="27"/>
      <x:c r="V96" s="27"/>
      <x:c r="W96" s="27"/>
      <x:c r="X96" s="27"/>
      <x:c r="Y96" s="27"/>
      <x:c r="Z96" s="27"/>
      <x:c r="AA96" s="27"/>
      <x:c r="AB96" s="27"/>
      <x:c r="AC96" s="27"/>
      <x:c r="AD96" s="27"/>
      <x:c r="AE96" s="27"/>
      <x:c r="AF96" s="27"/>
      <x:c r="AG96" s="27"/>
      <x:c r="AH96" s="27"/>
      <x:c r="AI96" s="27"/>
      <x:c r="AJ96" s="27"/>
      <x:c r="AK96" s="27"/>
      <x:c r="AL96" s="27"/>
      <x:c r="AM96" s="27"/>
      <x:c r="AN96" s="27"/>
      <x:c r="AO96" s="27"/>
      <x:c r="AP96" s="27"/>
      <x:c r="AQ96" s="27"/>
      <x:c r="AR96" s="27"/>
      <x:c r="AS96" s="27"/>
      <x:c r="AT96" s="27"/>
      <x:c r="AU96" s="27"/>
      <x:c r="AV96" s="27"/>
      <x:c r="AW96" s="27"/>
      <x:c r="AX96" s="27"/>
      <x:c r="AY96" s="27"/>
      <x:c r="AZ96" s="27"/>
      <x:c r="BA96" s="27"/>
      <x:c r="BB96" s="27"/>
      <x:c r="BC96" s="27"/>
      <x:c r="BD96" s="27"/>
      <x:c r="BE96" s="27"/>
      <x:c r="BF96" s="27"/>
      <x:c r="BG96" s="27"/>
      <x:c r="BH96" s="27"/>
      <x:c r="BI96" s="27"/>
      <x:c r="BJ96" s="27"/>
      <x:c r="BK96" s="27"/>
      <x:c r="BL96" s="27"/>
      <x:c r="BM96" s="27"/>
      <x:c r="BN96" s="27"/>
      <x:c r="BO96" s="27"/>
      <x:c r="BP96" s="27"/>
      <x:c r="BQ96" s="27"/>
      <x:c r="BR96" s="27"/>
      <x:c r="BS96" s="27"/>
      <x:c r="BT96" s="27"/>
      <x:c r="BU96" s="27"/>
      <x:c r="BV96" s="27"/>
      <x:c r="BW96" s="27"/>
      <x:c r="BX96" s="27"/>
      <x:c r="BY96" s="27"/>
      <x:c r="BZ96" s="27"/>
      <x:c r="CA96" s="27"/>
      <x:c r="CB96" s="27"/>
      <x:c r="CC96" s="27"/>
      <x:c r="CD96" s="27"/>
      <x:c r="CE96" s="27"/>
      <x:c r="CF96" s="27"/>
      <x:c r="CG96" s="27"/>
      <x:c r="CH96" s="27"/>
      <x:c r="CI96" s="27"/>
      <x:c r="CJ96" s="27"/>
      <x:c r="CK96" s="27"/>
      <x:c r="CL96" s="27"/>
      <x:c r="CM96" s="27"/>
      <x:c r="CN96" s="27"/>
      <x:c r="CO96" s="27"/>
      <x:c r="CP96" s="27"/>
      <x:c r="CQ96" s="27"/>
      <x:c r="CR96" s="27"/>
      <x:c r="CS96" s="27"/>
      <x:c r="CT96" s="27"/>
      <x:c r="CU96" s="27"/>
      <x:c r="CV96" s="27"/>
      <x:c r="CW96" s="27"/>
      <x:c r="CX96" s="27"/>
      <x:c r="CY96" s="27"/>
      <x:c r="CZ96" s="27"/>
      <x:c r="DA96" s="27"/>
      <x:c r="DB96" s="27"/>
      <x:c r="DC96" s="27"/>
      <x:c r="DD96" s="27"/>
      <x:c r="DE96" s="27"/>
      <x:c r="DF96" s="27"/>
      <x:c r="DG96" s="27"/>
      <x:c r="DH96" s="27"/>
      <x:c r="DI96" s="27"/>
      <x:c r="DJ96" s="27"/>
      <x:c r="DK96" s="27"/>
      <x:c r="DL96" s="27"/>
      <x:c r="DM96" s="27"/>
      <x:c r="DN96" s="27"/>
      <x:c r="DO96" s="27"/>
      <x:c r="DP96" s="27"/>
      <x:c r="DQ96" s="27"/>
      <x:c r="DR96" s="27"/>
      <x:c r="DS96" s="27"/>
      <x:c r="DT96" s="27"/>
      <x:c r="DU96" s="27"/>
      <x:c r="DV96" s="27"/>
      <x:c r="DW96" s="27"/>
      <x:c r="DX96" s="27"/>
      <x:c r="DY96" s="27"/>
      <x:c r="DZ96" s="27"/>
      <x:c r="EA96" s="27"/>
      <x:c r="EB96" s="27"/>
      <x:c r="EC96" s="27"/>
      <x:c r="ED96" s="27"/>
      <x:c r="EE96" s="27"/>
      <x:c r="EF96" s="27"/>
      <x:c r="EG96" s="27"/>
      <x:c r="EH96" s="27"/>
      <x:c r="EI96" s="27"/>
      <x:c r="EJ96" s="27"/>
      <x:c r="EK96" s="27"/>
      <x:c r="EL96" s="27"/>
      <x:c r="EM96" s="27"/>
      <x:c r="EN96" s="27"/>
      <x:c r="EO96" s="27"/>
      <x:c r="EP96" s="27"/>
      <x:c r="EQ96" s="27"/>
      <x:c r="ER96" s="27"/>
      <x:c r="ES96" s="27"/>
      <x:c r="ET96" s="27"/>
      <x:c r="EU96" s="27"/>
      <x:c r="EV96" s="27"/>
      <x:c r="EW96" s="27"/>
      <x:c r="EX96" s="27"/>
      <x:c r="EY96" s="27"/>
      <x:c r="EZ96" s="27"/>
      <x:c r="FA96" s="27"/>
      <x:c r="FB96" s="27"/>
      <x:c r="FC96" s="27"/>
      <x:c r="FD96" s="27"/>
      <x:c r="FE96" s="27"/>
      <x:c r="FF96" s="27"/>
      <x:c r="FG96" s="27"/>
      <x:c r="FH96" s="27"/>
      <x:c r="FI96" s="27"/>
      <x:c r="FJ96" s="27"/>
      <x:c r="FK96" s="27"/>
      <x:c r="FL96" s="27"/>
      <x:c r="FM96" s="27"/>
      <x:c r="FN96" s="27"/>
      <x:c r="FO96" s="27"/>
      <x:c r="FP96" s="27"/>
      <x:c r="FQ96" s="27"/>
      <x:c r="FR96" s="27"/>
      <x:c r="FS96" s="27"/>
      <x:c r="FT96" s="27"/>
      <x:c r="FU96" s="27"/>
      <x:c r="FV96" s="27"/>
      <x:c r="FW96" s="27"/>
      <x:c r="FX96" s="27"/>
      <x:c r="FY96" s="27"/>
      <x:c r="FZ96" s="27"/>
      <x:c r="GA96" s="27"/>
      <x:c r="GB96" s="27"/>
      <x:c r="GC96" s="27"/>
      <x:c r="GD96" s="27"/>
      <x:c r="GE96" s="27"/>
      <x:c r="GF96" s="27"/>
      <x:c r="GG96" s="27"/>
      <x:c r="GH96" s="27"/>
      <x:c r="GI96" s="27"/>
      <x:c r="GJ96" s="27"/>
      <x:c r="GK96" s="27"/>
      <x:c r="GL96" s="27"/>
      <x:c r="GM96" s="27"/>
      <x:c r="GN96" s="27"/>
      <x:c r="GO96" s="27"/>
      <x:c r="GP96" s="27"/>
      <x:c r="GQ96" s="27"/>
      <x:c r="GR96" s="27"/>
      <x:c r="GS96" s="27"/>
      <x:c r="GT96" s="27"/>
      <x:c r="GU96" s="27"/>
      <x:c r="GV96" s="27"/>
      <x:c r="GW96" s="27"/>
      <x:c r="GX96" s="27"/>
      <x:c r="GY96" s="27"/>
      <x:c r="GZ96" s="27"/>
      <x:c r="HA96" s="27"/>
      <x:c r="HB96" s="27"/>
      <x:c r="HC96" s="27"/>
      <x:c r="HD96" s="27"/>
      <x:c r="HE96" s="27"/>
      <x:c r="HF96" s="27"/>
      <x:c r="HG96" s="27"/>
      <x:c r="HH96" s="27"/>
      <x:c r="HI96" s="27"/>
      <x:c r="HJ96" s="27"/>
      <x:c r="HK96" s="27"/>
      <x:c r="HL96" s="27"/>
      <x:c r="HM96" s="27"/>
      <x:c r="HN96" s="27"/>
      <x:c r="HO96" s="27"/>
      <x:c r="HP96" s="27" t="str">
        <x:f>IF(C96="","",SUM(H96,N96,T96,Z96,AF96,AL96,AR96,AX96,BD96,BJ96,BP96,BV96,CB96,CH96,CN96,CT96,CZ96,DF96,DL96,DR96,DX96,ED96,EJ96,EP96,EV96,FB96,FH96,FN96,FT96,FZ96,GF96,GL96,GR96,GX96,HD96,HJ96))</x:f>
      </x:c>
      <x:c r="HQ96" s="27" t="str">
        <x:f>IF(C96="","",SUM(I96,O96,U96,AA96,AG96,AM96,AS96,AY96,BE96,BK96,BQ96,BW96,CC96,CI96,CO96,CU96,DA96,DG96,DM96,DS96,DY96,EE96,EK96,EQ96,EW96,FC96,FI96,FO96,FU96,GA96,GG96,GM96,GS96,GY96,HE96,HK96))</x:f>
      </x:c>
      <x:c r="HR96" s="27" t="str">
        <x:f>IF(C96="","",SUM(J96,P96,V96,AB96,AH96,AN96,AT96,AZ96,BF96,BL96,BR96,BX96,CD96,CJ96,CP96,CV96,DB96,DH96,DN96,DT96,DZ96,EF96,EL96,ER96,EX96,FD96,FJ96,FP96,FV96,GB96,GH96,GN96,GT96,GZ96,HF96,HL96))</x:f>
      </x:c>
      <x:c r="HS96" s="27" t="str">
        <x:f>IF(C96="","",SUM(K96,Q96,W96,AC96,AI96,AO96,AU96,BA96,BG96,BM96,BS96,BY96,CE96,CK96,CQ96,CW96,DC96,DI96,DO96,DU96,EA96,EG96,EM96,ES96,EY96,FE96,FK96,FQ96,FW96,GC96,GI96,GO96,GU96,HA96,HG96,HM96))</x:f>
      </x:c>
      <x:c r="HT96" s="27" t="str">
        <x:f>IF(C96="","",SUM(L96,R96,X96,AD96,AJ96,AP96,AV96,BB96,BH96,BN96,BT96,BZ96,CF96,CL96,CR96,CX96,DD96,DJ96,DP96,DV96,EB96,EH96,EN96,ET96,EZ96,FF96,FL96,FR96,FX96,GD96,GJ96,GP96,GV96,HB96,HH96,HN96))</x:f>
      </x:c>
      <x:c r="HU96" s="27" t="str">
        <x:f>IF(C96="","",SUM(M96,S96,Y96,AE96,AK96,AQ96,AW96,BC96,BI96,BO96,BU96,CA96,CG96,CM96,CS96,CY96,DE96,DK96,DQ96,DW96,EC96,EI96,EO96,EU96,FA96,FG96,FM96,FS96,FY96,GE96,GK96,GQ96,GW96,HC96,HI96,HO96))</x:f>
      </x:c>
      <x:c r="HV96" s="27" t="str">
        <x:f>IF(C96="","",IF(JI96=LARGE(JI96:JN96,1),"R",IF(JJ96=LARGE(JI96:JN96,1),"I",IF(JK96=LARGE(JI96:JN96,1),"A",IF(JL96=LARGE(JI96:JN96,1),"S",IF(JM96=LARGE(JI96:JN96,1),"E",IF(JN96=LARGE(JI96:JN96,1),"C",""))))))&amp;IF(JI96=LARGE(JI96:JN96,2),"R",IF(JJ96=LARGE(JI96:JN96,2),"I",IF(JK96=LARGE(JI96:JN96,2),"A",IF(JL96=LARGE(JI96:JN96,2),"S",IF(JM96=LARGE(JI96:JN96,2),"E",IF(JN96=LARGE(JI96:JN96,2),"C",""))))))&amp;IF(JI96=LARGE(JI96:JN96,3),"R",IF(JJ96=LARGE(JI96:JN96,3),"I",IF(JK96=LARGE(JI96:JN96,3),"A",IF(JL96=LARGE(JI96:JN96,3),"S",IF(JM96=LARGE(JI96:JN96,3),"E",IF(JN96=LARGE(JI96:JN96,3),"C","")))))))</x:f>
      </x:c>
      <x:c r="HW96" s="27" t="str">
        <x:f>IF(C96="","",IF(JI96=LARGE(JI96:JN96,1),"นักปฏิบัติ",IF(JJ96=LARGE(JI96:JN96,1),"นักคิดวิเคราะห์",IF(JK96=LARGE(JI96:JN96,1),"นักสร้างสรรค์",IF(JL96=LARGE(JI96:JN96,1),"ผู้เข้าใจผู้คน",IF(JM96=LARGE(JI96:JN96,1),"ผู้นำการเปลี่ยนแปลง",IF(JN96=LARGE(JI96:JN96,1),"ผู้จัดระบบ","ผู้จัดระบบ")))))))</x:f>
      </x:c>
      <x:c r="HX96" s="27"/>
      <x:c r="HY96" s="27"/>
      <x:c r="HZ96" s="27"/>
      <x:c r="IA96" s="27"/>
      <x:c r="IB96" s="27"/>
      <x:c r="IC96" s="27"/>
      <x:c r="ID96" s="27"/>
      <x:c r="IE96" s="27"/>
      <x:c r="IF96" s="27"/>
      <x:c r="IG96" s="27"/>
      <x:c r="IH96" s="27"/>
      <x:c r="II96" s="27"/>
      <x:c r="IJ96" s="27"/>
      <x:c r="IK96" s="27" t="str">
        <x:f>IF(C96="","",SUM(H96,N96,T96,Z96,AF96,AL96,AR96,AX96,BD96,BJ96,BP96))</x:f>
      </x:c>
      <x:c r="IL96" s="27" t="str">
        <x:f>IF(C96="","",SUM(I96,O96,U96,AA96,AG96,AM96,AS96,AY96,BE96,BK96,BQ96))</x:f>
      </x:c>
      <x:c r="IM96" s="27" t="str">
        <x:f>IF(C96="","",SUM(J96,P96,V96,AB96,AH96,AN96,AT96,AZ96,BF96,BL96,BR96))</x:f>
      </x:c>
      <x:c r="IN96" s="27" t="str">
        <x:f>IF(C96="","",SUM(K96,Q96,W96,AC96,AI96,AO96,AU96,BA96,BG96,BM96,BS96))</x:f>
      </x:c>
      <x:c r="IO96" s="27" t="str">
        <x:f>IF(C96="","",SUM(L96,R96,X96,AD96,AJ96,AP96,AV96,BB96,BH96,BN96,BT96))</x:f>
      </x:c>
      <x:c r="IP96" s="27" t="str">
        <x:f>IF(C96="","",SUM(M96,S96,Y96,AE96,AK96,AQ96,AW96,BC96,BI96,BO96,BU96))</x:f>
      </x:c>
      <x:c r="IQ96" s="27" t="str">
        <x:f>IF(C96="","",SUM(BV96,CB96,CH96,CN96,CT96,CZ96,DF96,DL96,DR96,DX96,ED96))</x:f>
      </x:c>
      <x:c r="IR96" s="27" t="str">
        <x:f>IF(C96="","",SUM(BW96,CC96,CI96,CO96,CU96,DA96,DG96,DM96,DS96,DY96,EE96))</x:f>
      </x:c>
      <x:c r="IS96" s="27" t="str">
        <x:f>IF(C96="","",SUM(BX96,CD96,CJ96,CP96,CV96,DB96,DH96,DN96,DT96,DZ96,EF96))</x:f>
      </x:c>
      <x:c r="IT96" s="27" t="str">
        <x:f>IF(C96="","",SUM(BY96,CE96,CK96,CQ96,CW96,DC96,DI96,DO96,DU96,EA96,EG96))</x:f>
      </x:c>
      <x:c r="IU96" s="27" t="str">
        <x:f>IF(C96="","",SUM(BZ96,CF96,CL96,CR96,CX96,DD96,DJ96,DP96,DV96,EB96,EH96))</x:f>
      </x:c>
      <x:c r="IV96" s="27" t="str">
        <x:f>IF(C96="","",SUM(CA96,CG96,CM96,CS96,CY96,DE96,DK96,DQ96,DW96,EC96,EI96))</x:f>
      </x:c>
      <x:c r="IW96" s="27" t="str">
        <x:f>IF(C96="","",SUM(EJ96,EP96,EV96,FB96,FH96,FN96,FT96,FZ96,GF96,GL96,GR96,GX96,HD96,HJ96))</x:f>
      </x:c>
      <x:c r="IX96" s="27" t="str">
        <x:f>IF(C96="","",SUM(EK96,EQ96,EW96,FC96,FI96,FO96,FU96,GA96,GG96,GM96,GS96,GY96,HE96,HK96))</x:f>
      </x:c>
      <x:c r="IY96" s="27" t="str">
        <x:f>IF(C96="","",SUM(EL96,ER96,EX96,FD96,FJ96,FP96,FV96,GB96,GH96,GN96,GT96,GZ96,HF96,HL96))</x:f>
      </x:c>
      <x:c r="IZ96" s="27" t="str">
        <x:f>IF(C96="","",SUM(EM96,ES96,EY96,FE96,FK96,FQ96,FW96,GC96,GI96,GO96,GU96,HA96,HG96,HM96))</x:f>
      </x:c>
      <x:c r="JA96" s="27" t="str">
        <x:f>IF(C96="","",SUM(EN96,ET96,EZ96,FF96,FL96,FR96,FX96,GD96,GJ96,GP96,GV96,HB96,HH96,HN96))</x:f>
      </x:c>
      <x:c r="JB96" s="27" t="str">
        <x:f>IF(C96="","",SUM(EO96,EU96,FA96,FG96,FM96,FS96,FY96,GE96,GK96,GQ96,GW96,HC96,HI96,HO96))</x:f>
      </x:c>
      <x:c r="JC96" s="27" t="str">
        <x:f>IF(C96="","",0)</x:f>
      </x:c>
      <x:c r="JD96" s="27" t="str">
        <x:f>IF(C96="","",0)</x:f>
      </x:c>
      <x:c r="JE96" s="27" t="str">
        <x:f>IF(C96="","",0)</x:f>
      </x:c>
      <x:c r="JF96" s="27" t="str">
        <x:f>IF(C96="","",0)</x:f>
      </x:c>
      <x:c r="JG96" s="27" t="str">
        <x:f>IF(C96="","",0)</x:f>
      </x:c>
      <x:c r="JH96" s="27" t="str">
        <x:f>IF(C96="","",0)</x:f>
      </x:c>
      <x:c r="JI96" s="27" t="str">
        <x:f>IF(C96="","",HP96*1000000000+IW96*1000000+IQ96*10000+IK96*100+JC96+6/1000)</x:f>
      </x:c>
      <x:c r="JJ96" s="27" t="str">
        <x:f>IF(C96="","",HQ96*1000000000+IX96*1000000+IR96*10000+IL96*100+JD96+5/1000)</x:f>
      </x:c>
      <x:c r="JK96" s="27" t="str">
        <x:f>IF(C96="","",HR96*1000000000+IY96*1000000+IS96*10000+IM96*100+JE96+4/1000)</x:f>
      </x:c>
      <x:c r="JL96" s="27" t="str">
        <x:f>IF(C96="","",HS96*1000000000+IZ96*1000000+IT96*10000+IN96*100+JF96+3/1000)</x:f>
      </x:c>
      <x:c r="JM96" s="27" t="str">
        <x:f>IF(C96="","",HT96*1000000000+JA96*1000000+IU96*10000+IO96*100+JG96+2/1000)</x:f>
      </x:c>
      <x:c r="JN96" s="27" t="str">
        <x:f>IF(C96="","",HU96*1000000000+JB96*1000000+IV96*10000+IP96*100+JH96+1/1000)</x:f>
      </x:c>
    </x:row>
    <x:row r="97">
      <x:c r="A97" s="27"/>
      <x:c r="B97" s="28"/>
      <x:c r="C97" s="27"/>
      <x:c r="D97" s="27"/>
      <x:c r="E97" s="27"/>
      <x:c r="F97" s="27"/>
      <x:c r="G97" s="27"/>
      <x:c r="H97" s="27"/>
      <x:c r="I97" s="27"/>
      <x:c r="J97" s="27"/>
      <x:c r="K97" s="27"/>
      <x:c r="L97" s="27"/>
      <x:c r="M97" s="27"/>
      <x:c r="N97" s="27"/>
      <x:c r="O97" s="27"/>
      <x:c r="P97" s="27"/>
      <x:c r="Q97" s="27"/>
      <x:c r="R97" s="27"/>
      <x:c r="S97" s="27"/>
      <x:c r="T97" s="27"/>
      <x:c r="U97" s="27"/>
      <x:c r="V97" s="27"/>
      <x:c r="W97" s="27"/>
      <x:c r="X97" s="27"/>
      <x:c r="Y97" s="27"/>
      <x:c r="Z97" s="27"/>
      <x:c r="AA97" s="27"/>
      <x:c r="AB97" s="27"/>
      <x:c r="AC97" s="27"/>
      <x:c r="AD97" s="27"/>
      <x:c r="AE97" s="27"/>
      <x:c r="AF97" s="27"/>
      <x:c r="AG97" s="27"/>
      <x:c r="AH97" s="27"/>
      <x:c r="AI97" s="27"/>
      <x:c r="AJ97" s="27"/>
      <x:c r="AK97" s="27"/>
      <x:c r="AL97" s="27"/>
      <x:c r="AM97" s="27"/>
      <x:c r="AN97" s="27"/>
      <x:c r="AO97" s="27"/>
      <x:c r="AP97" s="27"/>
      <x:c r="AQ97" s="27"/>
      <x:c r="AR97" s="27"/>
      <x:c r="AS97" s="27"/>
      <x:c r="AT97" s="27"/>
      <x:c r="AU97" s="27"/>
      <x:c r="AV97" s="27"/>
      <x:c r="AW97" s="27"/>
      <x:c r="AX97" s="27"/>
      <x:c r="AY97" s="27"/>
      <x:c r="AZ97" s="27"/>
      <x:c r="BA97" s="27"/>
      <x:c r="BB97" s="27"/>
      <x:c r="BC97" s="27"/>
      <x:c r="BD97" s="27"/>
      <x:c r="BE97" s="27"/>
      <x:c r="BF97" s="27"/>
      <x:c r="BG97" s="27"/>
      <x:c r="BH97" s="27"/>
      <x:c r="BI97" s="27"/>
      <x:c r="BJ97" s="27"/>
      <x:c r="BK97" s="27"/>
      <x:c r="BL97" s="27"/>
      <x:c r="BM97" s="27"/>
      <x:c r="BN97" s="27"/>
      <x:c r="BO97" s="27"/>
      <x:c r="BP97" s="27"/>
      <x:c r="BQ97" s="27"/>
      <x:c r="BR97" s="27"/>
      <x:c r="BS97" s="27"/>
      <x:c r="BT97" s="27"/>
      <x:c r="BU97" s="27"/>
      <x:c r="BV97" s="27"/>
      <x:c r="BW97" s="27"/>
      <x:c r="BX97" s="27"/>
      <x:c r="BY97" s="27"/>
      <x:c r="BZ97" s="27"/>
      <x:c r="CA97" s="27"/>
      <x:c r="CB97" s="27"/>
      <x:c r="CC97" s="27"/>
      <x:c r="CD97" s="27"/>
      <x:c r="CE97" s="27"/>
      <x:c r="CF97" s="27"/>
      <x:c r="CG97" s="27"/>
      <x:c r="CH97" s="27"/>
      <x:c r="CI97" s="27"/>
      <x:c r="CJ97" s="27"/>
      <x:c r="CK97" s="27"/>
      <x:c r="CL97" s="27"/>
      <x:c r="CM97" s="27"/>
      <x:c r="CN97" s="27"/>
      <x:c r="CO97" s="27"/>
      <x:c r="CP97" s="27"/>
      <x:c r="CQ97" s="27"/>
      <x:c r="CR97" s="27"/>
      <x:c r="CS97" s="27"/>
      <x:c r="CT97" s="27"/>
      <x:c r="CU97" s="27"/>
      <x:c r="CV97" s="27"/>
      <x:c r="CW97" s="27"/>
      <x:c r="CX97" s="27"/>
      <x:c r="CY97" s="27"/>
      <x:c r="CZ97" s="27"/>
      <x:c r="DA97" s="27"/>
      <x:c r="DB97" s="27"/>
      <x:c r="DC97" s="27"/>
      <x:c r="DD97" s="27"/>
      <x:c r="DE97" s="27"/>
      <x:c r="DF97" s="27"/>
      <x:c r="DG97" s="27"/>
      <x:c r="DH97" s="27"/>
      <x:c r="DI97" s="27"/>
      <x:c r="DJ97" s="27"/>
      <x:c r="DK97" s="27"/>
      <x:c r="DL97" s="27"/>
      <x:c r="DM97" s="27"/>
      <x:c r="DN97" s="27"/>
      <x:c r="DO97" s="27"/>
      <x:c r="DP97" s="27"/>
      <x:c r="DQ97" s="27"/>
      <x:c r="DR97" s="27"/>
      <x:c r="DS97" s="27"/>
      <x:c r="DT97" s="27"/>
      <x:c r="DU97" s="27"/>
      <x:c r="DV97" s="27"/>
      <x:c r="DW97" s="27"/>
      <x:c r="DX97" s="27"/>
      <x:c r="DY97" s="27"/>
      <x:c r="DZ97" s="27"/>
      <x:c r="EA97" s="27"/>
      <x:c r="EB97" s="27"/>
      <x:c r="EC97" s="27"/>
      <x:c r="ED97" s="27"/>
      <x:c r="EE97" s="27"/>
      <x:c r="EF97" s="27"/>
      <x:c r="EG97" s="27"/>
      <x:c r="EH97" s="27"/>
      <x:c r="EI97" s="27"/>
      <x:c r="EJ97" s="27"/>
      <x:c r="EK97" s="27"/>
      <x:c r="EL97" s="27"/>
      <x:c r="EM97" s="27"/>
      <x:c r="EN97" s="27"/>
      <x:c r="EO97" s="27"/>
      <x:c r="EP97" s="27"/>
      <x:c r="EQ97" s="27"/>
      <x:c r="ER97" s="27"/>
      <x:c r="ES97" s="27"/>
      <x:c r="ET97" s="27"/>
      <x:c r="EU97" s="27"/>
      <x:c r="EV97" s="27"/>
      <x:c r="EW97" s="27"/>
      <x:c r="EX97" s="27"/>
      <x:c r="EY97" s="27"/>
      <x:c r="EZ97" s="27"/>
      <x:c r="FA97" s="27"/>
      <x:c r="FB97" s="27"/>
      <x:c r="FC97" s="27"/>
      <x:c r="FD97" s="27"/>
      <x:c r="FE97" s="27"/>
      <x:c r="FF97" s="27"/>
      <x:c r="FG97" s="27"/>
      <x:c r="FH97" s="27"/>
      <x:c r="FI97" s="27"/>
      <x:c r="FJ97" s="27"/>
      <x:c r="FK97" s="27"/>
      <x:c r="FL97" s="27"/>
      <x:c r="FM97" s="27"/>
      <x:c r="FN97" s="27"/>
      <x:c r="FO97" s="27"/>
      <x:c r="FP97" s="27"/>
      <x:c r="FQ97" s="27"/>
      <x:c r="FR97" s="27"/>
      <x:c r="FS97" s="27"/>
      <x:c r="FT97" s="27"/>
      <x:c r="FU97" s="27"/>
      <x:c r="FV97" s="27"/>
      <x:c r="FW97" s="27"/>
      <x:c r="FX97" s="27"/>
      <x:c r="FY97" s="27"/>
      <x:c r="FZ97" s="27"/>
      <x:c r="GA97" s="27"/>
      <x:c r="GB97" s="27"/>
      <x:c r="GC97" s="27"/>
      <x:c r="GD97" s="27"/>
      <x:c r="GE97" s="27"/>
      <x:c r="GF97" s="27"/>
      <x:c r="GG97" s="27"/>
      <x:c r="GH97" s="27"/>
      <x:c r="GI97" s="27"/>
      <x:c r="GJ97" s="27"/>
      <x:c r="GK97" s="27"/>
      <x:c r="GL97" s="27"/>
      <x:c r="GM97" s="27"/>
      <x:c r="GN97" s="27"/>
      <x:c r="GO97" s="27"/>
      <x:c r="GP97" s="27"/>
      <x:c r="GQ97" s="27"/>
      <x:c r="GR97" s="27"/>
      <x:c r="GS97" s="27"/>
      <x:c r="GT97" s="27"/>
      <x:c r="GU97" s="27"/>
      <x:c r="GV97" s="27"/>
      <x:c r="GW97" s="27"/>
      <x:c r="GX97" s="27"/>
      <x:c r="GY97" s="27"/>
      <x:c r="GZ97" s="27"/>
      <x:c r="HA97" s="27"/>
      <x:c r="HB97" s="27"/>
      <x:c r="HC97" s="27"/>
      <x:c r="HD97" s="27"/>
      <x:c r="HE97" s="27"/>
      <x:c r="HF97" s="27"/>
      <x:c r="HG97" s="27"/>
      <x:c r="HH97" s="27"/>
      <x:c r="HI97" s="27"/>
      <x:c r="HJ97" s="27"/>
      <x:c r="HK97" s="27"/>
      <x:c r="HL97" s="27"/>
      <x:c r="HM97" s="27"/>
      <x:c r="HN97" s="27"/>
      <x:c r="HO97" s="27"/>
      <x:c r="HP97" s="27" t="str">
        <x:f>IF(C97="","",SUM(H97,N97,T97,Z97,AF97,AL97,AR97,AX97,BD97,BJ97,BP97,BV97,CB97,CH97,CN97,CT97,CZ97,DF97,DL97,DR97,DX97,ED97,EJ97,EP97,EV97,FB97,FH97,FN97,FT97,FZ97,GF97,GL97,GR97,GX97,HD97,HJ97))</x:f>
      </x:c>
      <x:c r="HQ97" s="27" t="str">
        <x:f>IF(C97="","",SUM(I97,O97,U97,AA97,AG97,AM97,AS97,AY97,BE97,BK97,BQ97,BW97,CC97,CI97,CO97,CU97,DA97,DG97,DM97,DS97,DY97,EE97,EK97,EQ97,EW97,FC97,FI97,FO97,FU97,GA97,GG97,GM97,GS97,GY97,HE97,HK97))</x:f>
      </x:c>
      <x:c r="HR97" s="27" t="str">
        <x:f>IF(C97="","",SUM(J97,P97,V97,AB97,AH97,AN97,AT97,AZ97,BF97,BL97,BR97,BX97,CD97,CJ97,CP97,CV97,DB97,DH97,DN97,DT97,DZ97,EF97,EL97,ER97,EX97,FD97,FJ97,FP97,FV97,GB97,GH97,GN97,GT97,GZ97,HF97,HL97))</x:f>
      </x:c>
      <x:c r="HS97" s="27" t="str">
        <x:f>IF(C97="","",SUM(K97,Q97,W97,AC97,AI97,AO97,AU97,BA97,BG97,BM97,BS97,BY97,CE97,CK97,CQ97,CW97,DC97,DI97,DO97,DU97,EA97,EG97,EM97,ES97,EY97,FE97,FK97,FQ97,FW97,GC97,GI97,GO97,GU97,HA97,HG97,HM97))</x:f>
      </x:c>
      <x:c r="HT97" s="27" t="str">
        <x:f>IF(C97="","",SUM(L97,R97,X97,AD97,AJ97,AP97,AV97,BB97,BH97,BN97,BT97,BZ97,CF97,CL97,CR97,CX97,DD97,DJ97,DP97,DV97,EB97,EH97,EN97,ET97,EZ97,FF97,FL97,FR97,FX97,GD97,GJ97,GP97,GV97,HB97,HH97,HN97))</x:f>
      </x:c>
      <x:c r="HU97" s="27" t="str">
        <x:f>IF(C97="","",SUM(M97,S97,Y97,AE97,AK97,AQ97,AW97,BC97,BI97,BO97,BU97,CA97,CG97,CM97,CS97,CY97,DE97,DK97,DQ97,DW97,EC97,EI97,EO97,EU97,FA97,FG97,FM97,FS97,FY97,GE97,GK97,GQ97,GW97,HC97,HI97,HO97))</x:f>
      </x:c>
      <x:c r="HV97" s="27" t="str">
        <x:f>IF(C97="","",IF(JI97=LARGE(JI97:JN97,1),"R",IF(JJ97=LARGE(JI97:JN97,1),"I",IF(JK97=LARGE(JI97:JN97,1),"A",IF(JL97=LARGE(JI97:JN97,1),"S",IF(JM97=LARGE(JI97:JN97,1),"E",IF(JN97=LARGE(JI97:JN97,1),"C",""))))))&amp;IF(JI97=LARGE(JI97:JN97,2),"R",IF(JJ97=LARGE(JI97:JN97,2),"I",IF(JK97=LARGE(JI97:JN97,2),"A",IF(JL97=LARGE(JI97:JN97,2),"S",IF(JM97=LARGE(JI97:JN97,2),"E",IF(JN97=LARGE(JI97:JN97,2),"C",""))))))&amp;IF(JI97=LARGE(JI97:JN97,3),"R",IF(JJ97=LARGE(JI97:JN97,3),"I",IF(JK97=LARGE(JI97:JN97,3),"A",IF(JL97=LARGE(JI97:JN97,3),"S",IF(JM97=LARGE(JI97:JN97,3),"E",IF(JN97=LARGE(JI97:JN97,3),"C","")))))))</x:f>
      </x:c>
      <x:c r="HW97" s="27" t="str">
        <x:f>IF(C97="","",IF(JI97=LARGE(JI97:JN97,1),"นักปฏิบัติ",IF(JJ97=LARGE(JI97:JN97,1),"นักคิดวิเคราะห์",IF(JK97=LARGE(JI97:JN97,1),"นักสร้างสรรค์",IF(JL97=LARGE(JI97:JN97,1),"ผู้เข้าใจผู้คน",IF(JM97=LARGE(JI97:JN97,1),"ผู้นำการเปลี่ยนแปลง",IF(JN97=LARGE(JI97:JN97,1),"ผู้จัดระบบ","ผู้จัดระบบ")))))))</x:f>
      </x:c>
      <x:c r="HX97" s="27"/>
      <x:c r="HY97" s="27"/>
      <x:c r="HZ97" s="27"/>
      <x:c r="IA97" s="27"/>
      <x:c r="IB97" s="27"/>
      <x:c r="IC97" s="27"/>
      <x:c r="ID97" s="27"/>
      <x:c r="IE97" s="27"/>
      <x:c r="IF97" s="27"/>
      <x:c r="IG97" s="27"/>
      <x:c r="IH97" s="27"/>
      <x:c r="II97" s="27"/>
      <x:c r="IJ97" s="27"/>
      <x:c r="IK97" s="27" t="str">
        <x:f>IF(C97="","",SUM(H97,N97,T97,Z97,AF97,AL97,AR97,AX97,BD97,BJ97,BP97))</x:f>
      </x:c>
      <x:c r="IL97" s="27" t="str">
        <x:f>IF(C97="","",SUM(I97,O97,U97,AA97,AG97,AM97,AS97,AY97,BE97,BK97,BQ97))</x:f>
      </x:c>
      <x:c r="IM97" s="27" t="str">
        <x:f>IF(C97="","",SUM(J97,P97,V97,AB97,AH97,AN97,AT97,AZ97,BF97,BL97,BR97))</x:f>
      </x:c>
      <x:c r="IN97" s="27" t="str">
        <x:f>IF(C97="","",SUM(K97,Q97,W97,AC97,AI97,AO97,AU97,BA97,BG97,BM97,BS97))</x:f>
      </x:c>
      <x:c r="IO97" s="27" t="str">
        <x:f>IF(C97="","",SUM(L97,R97,X97,AD97,AJ97,AP97,AV97,BB97,BH97,BN97,BT97))</x:f>
      </x:c>
      <x:c r="IP97" s="27" t="str">
        <x:f>IF(C97="","",SUM(M97,S97,Y97,AE97,AK97,AQ97,AW97,BC97,BI97,BO97,BU97))</x:f>
      </x:c>
      <x:c r="IQ97" s="27" t="str">
        <x:f>IF(C97="","",SUM(BV97,CB97,CH97,CN97,CT97,CZ97,DF97,DL97,DR97,DX97,ED97))</x:f>
      </x:c>
      <x:c r="IR97" s="27" t="str">
        <x:f>IF(C97="","",SUM(BW97,CC97,CI97,CO97,CU97,DA97,DG97,DM97,DS97,DY97,EE97))</x:f>
      </x:c>
      <x:c r="IS97" s="27" t="str">
        <x:f>IF(C97="","",SUM(BX97,CD97,CJ97,CP97,CV97,DB97,DH97,DN97,DT97,DZ97,EF97))</x:f>
      </x:c>
      <x:c r="IT97" s="27" t="str">
        <x:f>IF(C97="","",SUM(BY97,CE97,CK97,CQ97,CW97,DC97,DI97,DO97,DU97,EA97,EG97))</x:f>
      </x:c>
      <x:c r="IU97" s="27" t="str">
        <x:f>IF(C97="","",SUM(BZ97,CF97,CL97,CR97,CX97,DD97,DJ97,DP97,DV97,EB97,EH97))</x:f>
      </x:c>
      <x:c r="IV97" s="27" t="str">
        <x:f>IF(C97="","",SUM(CA97,CG97,CM97,CS97,CY97,DE97,DK97,DQ97,DW97,EC97,EI97))</x:f>
      </x:c>
      <x:c r="IW97" s="27" t="str">
        <x:f>IF(C97="","",SUM(EJ97,EP97,EV97,FB97,FH97,FN97,FT97,FZ97,GF97,GL97,GR97,GX97,HD97,HJ97))</x:f>
      </x:c>
      <x:c r="IX97" s="27" t="str">
        <x:f>IF(C97="","",SUM(EK97,EQ97,EW97,FC97,FI97,FO97,FU97,GA97,GG97,GM97,GS97,GY97,HE97,HK97))</x:f>
      </x:c>
      <x:c r="IY97" s="27" t="str">
        <x:f>IF(C97="","",SUM(EL97,ER97,EX97,FD97,FJ97,FP97,FV97,GB97,GH97,GN97,GT97,GZ97,HF97,HL97))</x:f>
      </x:c>
      <x:c r="IZ97" s="27" t="str">
        <x:f>IF(C97="","",SUM(EM97,ES97,EY97,FE97,FK97,FQ97,FW97,GC97,GI97,GO97,GU97,HA97,HG97,HM97))</x:f>
      </x:c>
      <x:c r="JA97" s="27" t="str">
        <x:f>IF(C97="","",SUM(EN97,ET97,EZ97,FF97,FL97,FR97,FX97,GD97,GJ97,GP97,GV97,HB97,HH97,HN97))</x:f>
      </x:c>
      <x:c r="JB97" s="27" t="str">
        <x:f>IF(C97="","",SUM(EO97,EU97,FA97,FG97,FM97,FS97,FY97,GE97,GK97,GQ97,GW97,HC97,HI97,HO97))</x:f>
      </x:c>
      <x:c r="JC97" s="27" t="str">
        <x:f>IF(C97="","",0)</x:f>
      </x:c>
      <x:c r="JD97" s="27" t="str">
        <x:f>IF(C97="","",0)</x:f>
      </x:c>
      <x:c r="JE97" s="27" t="str">
        <x:f>IF(C97="","",0)</x:f>
      </x:c>
      <x:c r="JF97" s="27" t="str">
        <x:f>IF(C97="","",0)</x:f>
      </x:c>
      <x:c r="JG97" s="27" t="str">
        <x:f>IF(C97="","",0)</x:f>
      </x:c>
      <x:c r="JH97" s="27" t="str">
        <x:f>IF(C97="","",0)</x:f>
      </x:c>
      <x:c r="JI97" s="27" t="str">
        <x:f>IF(C97="","",HP97*1000000000+IW97*1000000+IQ97*10000+IK97*100+JC97+6/1000)</x:f>
      </x:c>
      <x:c r="JJ97" s="27" t="str">
        <x:f>IF(C97="","",HQ97*1000000000+IX97*1000000+IR97*10000+IL97*100+JD97+5/1000)</x:f>
      </x:c>
      <x:c r="JK97" s="27" t="str">
        <x:f>IF(C97="","",HR97*1000000000+IY97*1000000+IS97*10000+IM97*100+JE97+4/1000)</x:f>
      </x:c>
      <x:c r="JL97" s="27" t="str">
        <x:f>IF(C97="","",HS97*1000000000+IZ97*1000000+IT97*10000+IN97*100+JF97+3/1000)</x:f>
      </x:c>
      <x:c r="JM97" s="27" t="str">
        <x:f>IF(C97="","",HT97*1000000000+JA97*1000000+IU97*10000+IO97*100+JG97+2/1000)</x:f>
      </x:c>
      <x:c r="JN97" s="27" t="str">
        <x:f>IF(C97="","",HU97*1000000000+JB97*1000000+IV97*10000+IP97*100+JH97+1/1000)</x:f>
      </x:c>
    </x:row>
    <x:row r="98">
      <x:c r="A98" s="27"/>
      <x:c r="B98" s="28"/>
      <x:c r="C98" s="27"/>
      <x:c r="D98" s="27"/>
      <x:c r="E98" s="27"/>
      <x:c r="F98" s="27"/>
      <x:c r="G98" s="27"/>
      <x:c r="H98" s="27"/>
      <x:c r="I98" s="27"/>
      <x:c r="J98" s="27"/>
      <x:c r="K98" s="27"/>
      <x:c r="L98" s="27"/>
      <x:c r="M98" s="27"/>
      <x:c r="N98" s="27"/>
      <x:c r="O98" s="27"/>
      <x:c r="P98" s="27"/>
      <x:c r="Q98" s="27"/>
      <x:c r="R98" s="27"/>
      <x:c r="S98" s="27"/>
      <x:c r="T98" s="27"/>
      <x:c r="U98" s="27"/>
      <x:c r="V98" s="27"/>
      <x:c r="W98" s="27"/>
      <x:c r="X98" s="27"/>
      <x:c r="Y98" s="27"/>
      <x:c r="Z98" s="27"/>
      <x:c r="AA98" s="27"/>
      <x:c r="AB98" s="27"/>
      <x:c r="AC98" s="27"/>
      <x:c r="AD98" s="27"/>
      <x:c r="AE98" s="27"/>
      <x:c r="AF98" s="27"/>
      <x:c r="AG98" s="27"/>
      <x:c r="AH98" s="27"/>
      <x:c r="AI98" s="27"/>
      <x:c r="AJ98" s="27"/>
      <x:c r="AK98" s="27"/>
      <x:c r="AL98" s="27"/>
      <x:c r="AM98" s="27"/>
      <x:c r="AN98" s="27"/>
      <x:c r="AO98" s="27"/>
      <x:c r="AP98" s="27"/>
      <x:c r="AQ98" s="27"/>
      <x:c r="AR98" s="27"/>
      <x:c r="AS98" s="27"/>
      <x:c r="AT98" s="27"/>
      <x:c r="AU98" s="27"/>
      <x:c r="AV98" s="27"/>
      <x:c r="AW98" s="27"/>
      <x:c r="AX98" s="27"/>
      <x:c r="AY98" s="27"/>
      <x:c r="AZ98" s="27"/>
      <x:c r="BA98" s="27"/>
      <x:c r="BB98" s="27"/>
      <x:c r="BC98" s="27"/>
      <x:c r="BD98" s="27"/>
      <x:c r="BE98" s="27"/>
      <x:c r="BF98" s="27"/>
      <x:c r="BG98" s="27"/>
      <x:c r="BH98" s="27"/>
      <x:c r="BI98" s="27"/>
      <x:c r="BJ98" s="27"/>
      <x:c r="BK98" s="27"/>
      <x:c r="BL98" s="27"/>
      <x:c r="BM98" s="27"/>
      <x:c r="BN98" s="27"/>
      <x:c r="BO98" s="27"/>
      <x:c r="BP98" s="27"/>
      <x:c r="BQ98" s="27"/>
      <x:c r="BR98" s="27"/>
      <x:c r="BS98" s="27"/>
      <x:c r="BT98" s="27"/>
      <x:c r="BU98" s="27"/>
      <x:c r="BV98" s="27"/>
      <x:c r="BW98" s="27"/>
      <x:c r="BX98" s="27"/>
      <x:c r="BY98" s="27"/>
      <x:c r="BZ98" s="27"/>
      <x:c r="CA98" s="27"/>
      <x:c r="CB98" s="27"/>
      <x:c r="CC98" s="27"/>
      <x:c r="CD98" s="27"/>
      <x:c r="CE98" s="27"/>
      <x:c r="CF98" s="27"/>
      <x:c r="CG98" s="27"/>
      <x:c r="CH98" s="27"/>
      <x:c r="CI98" s="27"/>
      <x:c r="CJ98" s="27"/>
      <x:c r="CK98" s="27"/>
      <x:c r="CL98" s="27"/>
      <x:c r="CM98" s="27"/>
      <x:c r="CN98" s="27"/>
      <x:c r="CO98" s="27"/>
      <x:c r="CP98" s="27"/>
      <x:c r="CQ98" s="27"/>
      <x:c r="CR98" s="27"/>
      <x:c r="CS98" s="27"/>
      <x:c r="CT98" s="27"/>
      <x:c r="CU98" s="27"/>
      <x:c r="CV98" s="27"/>
      <x:c r="CW98" s="27"/>
      <x:c r="CX98" s="27"/>
      <x:c r="CY98" s="27"/>
      <x:c r="CZ98" s="27"/>
      <x:c r="DA98" s="27"/>
      <x:c r="DB98" s="27"/>
      <x:c r="DC98" s="27"/>
      <x:c r="DD98" s="27"/>
      <x:c r="DE98" s="27"/>
      <x:c r="DF98" s="27"/>
      <x:c r="DG98" s="27"/>
      <x:c r="DH98" s="27"/>
      <x:c r="DI98" s="27"/>
      <x:c r="DJ98" s="27"/>
      <x:c r="DK98" s="27"/>
      <x:c r="DL98" s="27"/>
      <x:c r="DM98" s="27"/>
      <x:c r="DN98" s="27"/>
      <x:c r="DO98" s="27"/>
      <x:c r="DP98" s="27"/>
      <x:c r="DQ98" s="27"/>
      <x:c r="DR98" s="27"/>
      <x:c r="DS98" s="27"/>
      <x:c r="DT98" s="27"/>
      <x:c r="DU98" s="27"/>
      <x:c r="DV98" s="27"/>
      <x:c r="DW98" s="27"/>
      <x:c r="DX98" s="27"/>
      <x:c r="DY98" s="27"/>
      <x:c r="DZ98" s="27"/>
      <x:c r="EA98" s="27"/>
      <x:c r="EB98" s="27"/>
      <x:c r="EC98" s="27"/>
      <x:c r="ED98" s="27"/>
      <x:c r="EE98" s="27"/>
      <x:c r="EF98" s="27"/>
      <x:c r="EG98" s="27"/>
      <x:c r="EH98" s="27"/>
      <x:c r="EI98" s="27"/>
      <x:c r="EJ98" s="27"/>
      <x:c r="EK98" s="27"/>
      <x:c r="EL98" s="27"/>
      <x:c r="EM98" s="27"/>
      <x:c r="EN98" s="27"/>
      <x:c r="EO98" s="27"/>
      <x:c r="EP98" s="27"/>
      <x:c r="EQ98" s="27"/>
      <x:c r="ER98" s="27"/>
      <x:c r="ES98" s="27"/>
      <x:c r="ET98" s="27"/>
      <x:c r="EU98" s="27"/>
      <x:c r="EV98" s="27"/>
      <x:c r="EW98" s="27"/>
      <x:c r="EX98" s="27"/>
      <x:c r="EY98" s="27"/>
      <x:c r="EZ98" s="27"/>
      <x:c r="FA98" s="27"/>
      <x:c r="FB98" s="27"/>
      <x:c r="FC98" s="27"/>
      <x:c r="FD98" s="27"/>
      <x:c r="FE98" s="27"/>
      <x:c r="FF98" s="27"/>
      <x:c r="FG98" s="27"/>
      <x:c r="FH98" s="27"/>
      <x:c r="FI98" s="27"/>
      <x:c r="FJ98" s="27"/>
      <x:c r="FK98" s="27"/>
      <x:c r="FL98" s="27"/>
      <x:c r="FM98" s="27"/>
      <x:c r="FN98" s="27"/>
      <x:c r="FO98" s="27"/>
      <x:c r="FP98" s="27"/>
      <x:c r="FQ98" s="27"/>
      <x:c r="FR98" s="27"/>
      <x:c r="FS98" s="27"/>
      <x:c r="FT98" s="27"/>
      <x:c r="FU98" s="27"/>
      <x:c r="FV98" s="27"/>
      <x:c r="FW98" s="27"/>
      <x:c r="FX98" s="27"/>
      <x:c r="FY98" s="27"/>
      <x:c r="FZ98" s="27"/>
      <x:c r="GA98" s="27"/>
      <x:c r="GB98" s="27"/>
      <x:c r="GC98" s="27"/>
      <x:c r="GD98" s="27"/>
      <x:c r="GE98" s="27"/>
      <x:c r="GF98" s="27"/>
      <x:c r="GG98" s="27"/>
      <x:c r="GH98" s="27"/>
      <x:c r="GI98" s="27"/>
      <x:c r="GJ98" s="27"/>
      <x:c r="GK98" s="27"/>
      <x:c r="GL98" s="27"/>
      <x:c r="GM98" s="27"/>
      <x:c r="GN98" s="27"/>
      <x:c r="GO98" s="27"/>
      <x:c r="GP98" s="27"/>
      <x:c r="GQ98" s="27"/>
      <x:c r="GR98" s="27"/>
      <x:c r="GS98" s="27"/>
      <x:c r="GT98" s="27"/>
      <x:c r="GU98" s="27"/>
      <x:c r="GV98" s="27"/>
      <x:c r="GW98" s="27"/>
      <x:c r="GX98" s="27"/>
      <x:c r="GY98" s="27"/>
      <x:c r="GZ98" s="27"/>
      <x:c r="HA98" s="27"/>
      <x:c r="HB98" s="27"/>
      <x:c r="HC98" s="27"/>
      <x:c r="HD98" s="27"/>
      <x:c r="HE98" s="27"/>
      <x:c r="HF98" s="27"/>
      <x:c r="HG98" s="27"/>
      <x:c r="HH98" s="27"/>
      <x:c r="HI98" s="27"/>
      <x:c r="HJ98" s="27"/>
      <x:c r="HK98" s="27"/>
      <x:c r="HL98" s="27"/>
      <x:c r="HM98" s="27"/>
      <x:c r="HN98" s="27"/>
      <x:c r="HO98" s="27"/>
      <x:c r="HP98" s="27" t="str">
        <x:f>IF(C98="","",SUM(H98,N98,T98,Z98,AF98,AL98,AR98,AX98,BD98,BJ98,BP98,BV98,CB98,CH98,CN98,CT98,CZ98,DF98,DL98,DR98,DX98,ED98,EJ98,EP98,EV98,FB98,FH98,FN98,FT98,FZ98,GF98,GL98,GR98,GX98,HD98,HJ98))</x:f>
      </x:c>
      <x:c r="HQ98" s="27" t="str">
        <x:f>IF(C98="","",SUM(I98,O98,U98,AA98,AG98,AM98,AS98,AY98,BE98,BK98,BQ98,BW98,CC98,CI98,CO98,CU98,DA98,DG98,DM98,DS98,DY98,EE98,EK98,EQ98,EW98,FC98,FI98,FO98,FU98,GA98,GG98,GM98,GS98,GY98,HE98,HK98))</x:f>
      </x:c>
      <x:c r="HR98" s="27" t="str">
        <x:f>IF(C98="","",SUM(J98,P98,V98,AB98,AH98,AN98,AT98,AZ98,BF98,BL98,BR98,BX98,CD98,CJ98,CP98,CV98,DB98,DH98,DN98,DT98,DZ98,EF98,EL98,ER98,EX98,FD98,FJ98,FP98,FV98,GB98,GH98,GN98,GT98,GZ98,HF98,HL98))</x:f>
      </x:c>
      <x:c r="HS98" s="27" t="str">
        <x:f>IF(C98="","",SUM(K98,Q98,W98,AC98,AI98,AO98,AU98,BA98,BG98,BM98,BS98,BY98,CE98,CK98,CQ98,CW98,DC98,DI98,DO98,DU98,EA98,EG98,EM98,ES98,EY98,FE98,FK98,FQ98,FW98,GC98,GI98,GO98,GU98,HA98,HG98,HM98))</x:f>
      </x:c>
      <x:c r="HT98" s="27" t="str">
        <x:f>IF(C98="","",SUM(L98,R98,X98,AD98,AJ98,AP98,AV98,BB98,BH98,BN98,BT98,BZ98,CF98,CL98,CR98,CX98,DD98,DJ98,DP98,DV98,EB98,EH98,EN98,ET98,EZ98,FF98,FL98,FR98,FX98,GD98,GJ98,GP98,GV98,HB98,HH98,HN98))</x:f>
      </x:c>
      <x:c r="HU98" s="27" t="str">
        <x:f>IF(C98="","",SUM(M98,S98,Y98,AE98,AK98,AQ98,AW98,BC98,BI98,BO98,BU98,CA98,CG98,CM98,CS98,CY98,DE98,DK98,DQ98,DW98,EC98,EI98,EO98,EU98,FA98,FG98,FM98,FS98,FY98,GE98,GK98,GQ98,GW98,HC98,HI98,HO98))</x:f>
      </x:c>
      <x:c r="HV98" s="27" t="str">
        <x:f>IF(C98="","",IF(JI98=LARGE(JI98:JN98,1),"R",IF(JJ98=LARGE(JI98:JN98,1),"I",IF(JK98=LARGE(JI98:JN98,1),"A",IF(JL98=LARGE(JI98:JN98,1),"S",IF(JM98=LARGE(JI98:JN98,1),"E",IF(JN98=LARGE(JI98:JN98,1),"C",""))))))&amp;IF(JI98=LARGE(JI98:JN98,2),"R",IF(JJ98=LARGE(JI98:JN98,2),"I",IF(JK98=LARGE(JI98:JN98,2),"A",IF(JL98=LARGE(JI98:JN98,2),"S",IF(JM98=LARGE(JI98:JN98,2),"E",IF(JN98=LARGE(JI98:JN98,2),"C",""))))))&amp;IF(JI98=LARGE(JI98:JN98,3),"R",IF(JJ98=LARGE(JI98:JN98,3),"I",IF(JK98=LARGE(JI98:JN98,3),"A",IF(JL98=LARGE(JI98:JN98,3),"S",IF(JM98=LARGE(JI98:JN98,3),"E",IF(JN98=LARGE(JI98:JN98,3),"C","")))))))</x:f>
      </x:c>
      <x:c r="HW98" s="27" t="str">
        <x:f>IF(C98="","",IF(JI98=LARGE(JI98:JN98,1),"นักปฏิบัติ",IF(JJ98=LARGE(JI98:JN98,1),"นักคิดวิเคราะห์",IF(JK98=LARGE(JI98:JN98,1),"นักสร้างสรรค์",IF(JL98=LARGE(JI98:JN98,1),"ผู้เข้าใจผู้คน",IF(JM98=LARGE(JI98:JN98,1),"ผู้นำการเปลี่ยนแปลง",IF(JN98=LARGE(JI98:JN98,1),"ผู้จัดระบบ","ผู้จัดระบบ")))))))</x:f>
      </x:c>
      <x:c r="HX98" s="27"/>
      <x:c r="HY98" s="27"/>
      <x:c r="HZ98" s="27"/>
      <x:c r="IA98" s="27"/>
      <x:c r="IB98" s="27"/>
      <x:c r="IC98" s="27"/>
      <x:c r="ID98" s="27"/>
      <x:c r="IE98" s="27"/>
      <x:c r="IF98" s="27"/>
      <x:c r="IG98" s="27"/>
      <x:c r="IH98" s="27"/>
      <x:c r="II98" s="27"/>
      <x:c r="IJ98" s="27"/>
      <x:c r="IK98" s="27" t="str">
        <x:f>IF(C98="","",SUM(H98,N98,T98,Z98,AF98,AL98,AR98,AX98,BD98,BJ98,BP98))</x:f>
      </x:c>
      <x:c r="IL98" s="27" t="str">
        <x:f>IF(C98="","",SUM(I98,O98,U98,AA98,AG98,AM98,AS98,AY98,BE98,BK98,BQ98))</x:f>
      </x:c>
      <x:c r="IM98" s="27" t="str">
        <x:f>IF(C98="","",SUM(J98,P98,V98,AB98,AH98,AN98,AT98,AZ98,BF98,BL98,BR98))</x:f>
      </x:c>
      <x:c r="IN98" s="27" t="str">
        <x:f>IF(C98="","",SUM(K98,Q98,W98,AC98,AI98,AO98,AU98,BA98,BG98,BM98,BS98))</x:f>
      </x:c>
      <x:c r="IO98" s="27" t="str">
        <x:f>IF(C98="","",SUM(L98,R98,X98,AD98,AJ98,AP98,AV98,BB98,BH98,BN98,BT98))</x:f>
      </x:c>
      <x:c r="IP98" s="27" t="str">
        <x:f>IF(C98="","",SUM(M98,S98,Y98,AE98,AK98,AQ98,AW98,BC98,BI98,BO98,BU98))</x:f>
      </x:c>
      <x:c r="IQ98" s="27" t="str">
        <x:f>IF(C98="","",SUM(BV98,CB98,CH98,CN98,CT98,CZ98,DF98,DL98,DR98,DX98,ED98))</x:f>
      </x:c>
      <x:c r="IR98" s="27" t="str">
        <x:f>IF(C98="","",SUM(BW98,CC98,CI98,CO98,CU98,DA98,DG98,DM98,DS98,DY98,EE98))</x:f>
      </x:c>
      <x:c r="IS98" s="27" t="str">
        <x:f>IF(C98="","",SUM(BX98,CD98,CJ98,CP98,CV98,DB98,DH98,DN98,DT98,DZ98,EF98))</x:f>
      </x:c>
      <x:c r="IT98" s="27" t="str">
        <x:f>IF(C98="","",SUM(BY98,CE98,CK98,CQ98,CW98,DC98,DI98,DO98,DU98,EA98,EG98))</x:f>
      </x:c>
      <x:c r="IU98" s="27" t="str">
        <x:f>IF(C98="","",SUM(BZ98,CF98,CL98,CR98,CX98,DD98,DJ98,DP98,DV98,EB98,EH98))</x:f>
      </x:c>
      <x:c r="IV98" s="27" t="str">
        <x:f>IF(C98="","",SUM(CA98,CG98,CM98,CS98,CY98,DE98,DK98,DQ98,DW98,EC98,EI98))</x:f>
      </x:c>
      <x:c r="IW98" s="27" t="str">
        <x:f>IF(C98="","",SUM(EJ98,EP98,EV98,FB98,FH98,FN98,FT98,FZ98,GF98,GL98,GR98,GX98,HD98,HJ98))</x:f>
      </x:c>
      <x:c r="IX98" s="27" t="str">
        <x:f>IF(C98="","",SUM(EK98,EQ98,EW98,FC98,FI98,FO98,FU98,GA98,GG98,GM98,GS98,GY98,HE98,HK98))</x:f>
      </x:c>
      <x:c r="IY98" s="27" t="str">
        <x:f>IF(C98="","",SUM(EL98,ER98,EX98,FD98,FJ98,FP98,FV98,GB98,GH98,GN98,GT98,GZ98,HF98,HL98))</x:f>
      </x:c>
      <x:c r="IZ98" s="27" t="str">
        <x:f>IF(C98="","",SUM(EM98,ES98,EY98,FE98,FK98,FQ98,FW98,GC98,GI98,GO98,GU98,HA98,HG98,HM98))</x:f>
      </x:c>
      <x:c r="JA98" s="27" t="str">
        <x:f>IF(C98="","",SUM(EN98,ET98,EZ98,FF98,FL98,FR98,FX98,GD98,GJ98,GP98,GV98,HB98,HH98,HN98))</x:f>
      </x:c>
      <x:c r="JB98" s="27" t="str">
        <x:f>IF(C98="","",SUM(EO98,EU98,FA98,FG98,FM98,FS98,FY98,GE98,GK98,GQ98,GW98,HC98,HI98,HO98))</x:f>
      </x:c>
      <x:c r="JC98" s="27" t="str">
        <x:f>IF(C98="","",0)</x:f>
      </x:c>
      <x:c r="JD98" s="27" t="str">
        <x:f>IF(C98="","",0)</x:f>
      </x:c>
      <x:c r="JE98" s="27" t="str">
        <x:f>IF(C98="","",0)</x:f>
      </x:c>
      <x:c r="JF98" s="27" t="str">
        <x:f>IF(C98="","",0)</x:f>
      </x:c>
      <x:c r="JG98" s="27" t="str">
        <x:f>IF(C98="","",0)</x:f>
      </x:c>
      <x:c r="JH98" s="27" t="str">
        <x:f>IF(C98="","",0)</x:f>
      </x:c>
      <x:c r="JI98" s="27" t="str">
        <x:f>IF(C98="","",HP98*1000000000+IW98*1000000+IQ98*10000+IK98*100+JC98+6/1000)</x:f>
      </x:c>
      <x:c r="JJ98" s="27" t="str">
        <x:f>IF(C98="","",HQ98*1000000000+IX98*1000000+IR98*10000+IL98*100+JD98+5/1000)</x:f>
      </x:c>
      <x:c r="JK98" s="27" t="str">
        <x:f>IF(C98="","",HR98*1000000000+IY98*1000000+IS98*10000+IM98*100+JE98+4/1000)</x:f>
      </x:c>
      <x:c r="JL98" s="27" t="str">
        <x:f>IF(C98="","",HS98*1000000000+IZ98*1000000+IT98*10000+IN98*100+JF98+3/1000)</x:f>
      </x:c>
      <x:c r="JM98" s="27" t="str">
        <x:f>IF(C98="","",HT98*1000000000+JA98*1000000+IU98*10000+IO98*100+JG98+2/1000)</x:f>
      </x:c>
      <x:c r="JN98" s="27" t="str">
        <x:f>IF(C98="","",HU98*1000000000+JB98*1000000+IV98*10000+IP98*100+JH98+1/1000)</x:f>
      </x:c>
    </x:row>
    <x:row r="99">
      <x:c r="A99" s="27"/>
      <x:c r="B99" s="28"/>
      <x:c r="C99" s="27"/>
      <x:c r="D99" s="27"/>
      <x:c r="E99" s="27"/>
      <x:c r="F99" s="27"/>
      <x:c r="G99" s="27"/>
      <x:c r="H99" s="27"/>
      <x:c r="I99" s="27"/>
      <x:c r="J99" s="27"/>
      <x:c r="K99" s="27"/>
      <x:c r="L99" s="27"/>
      <x:c r="M99" s="27"/>
      <x:c r="N99" s="27"/>
      <x:c r="O99" s="27"/>
      <x:c r="P99" s="27"/>
      <x:c r="Q99" s="27"/>
      <x:c r="R99" s="27"/>
      <x:c r="S99" s="27"/>
      <x:c r="T99" s="27"/>
      <x:c r="U99" s="27"/>
      <x:c r="V99" s="27"/>
      <x:c r="W99" s="27"/>
      <x:c r="X99" s="27"/>
      <x:c r="Y99" s="27"/>
      <x:c r="Z99" s="27"/>
      <x:c r="AA99" s="27"/>
      <x:c r="AB99" s="27"/>
      <x:c r="AC99" s="27"/>
      <x:c r="AD99" s="27"/>
      <x:c r="AE99" s="27"/>
      <x:c r="AF99" s="27"/>
      <x:c r="AG99" s="27"/>
      <x:c r="AH99" s="27"/>
      <x:c r="AI99" s="27"/>
      <x:c r="AJ99" s="27"/>
      <x:c r="AK99" s="27"/>
      <x:c r="AL99" s="27"/>
      <x:c r="AM99" s="27"/>
      <x:c r="AN99" s="27"/>
      <x:c r="AO99" s="27"/>
      <x:c r="AP99" s="27"/>
      <x:c r="AQ99" s="27"/>
      <x:c r="AR99" s="27"/>
      <x:c r="AS99" s="27"/>
      <x:c r="AT99" s="27"/>
      <x:c r="AU99" s="27"/>
      <x:c r="AV99" s="27"/>
      <x:c r="AW99" s="27"/>
      <x:c r="AX99" s="27"/>
      <x:c r="AY99" s="27"/>
      <x:c r="AZ99" s="27"/>
      <x:c r="BA99" s="27"/>
      <x:c r="BB99" s="27"/>
      <x:c r="BC99" s="27"/>
      <x:c r="BD99" s="27"/>
      <x:c r="BE99" s="27"/>
      <x:c r="BF99" s="27"/>
      <x:c r="BG99" s="27"/>
      <x:c r="BH99" s="27"/>
      <x:c r="BI99" s="27"/>
      <x:c r="BJ99" s="27"/>
      <x:c r="BK99" s="27"/>
      <x:c r="BL99" s="27"/>
      <x:c r="BM99" s="27"/>
      <x:c r="BN99" s="27"/>
      <x:c r="BO99" s="27"/>
      <x:c r="BP99" s="27"/>
      <x:c r="BQ99" s="27"/>
      <x:c r="BR99" s="27"/>
      <x:c r="BS99" s="27"/>
      <x:c r="BT99" s="27"/>
      <x:c r="BU99" s="27"/>
      <x:c r="BV99" s="27"/>
      <x:c r="BW99" s="27"/>
      <x:c r="BX99" s="27"/>
      <x:c r="BY99" s="27"/>
      <x:c r="BZ99" s="27"/>
      <x:c r="CA99" s="27"/>
      <x:c r="CB99" s="27"/>
      <x:c r="CC99" s="27"/>
      <x:c r="CD99" s="27"/>
      <x:c r="CE99" s="27"/>
      <x:c r="CF99" s="27"/>
      <x:c r="CG99" s="27"/>
      <x:c r="CH99" s="27"/>
      <x:c r="CI99" s="27"/>
      <x:c r="CJ99" s="27"/>
      <x:c r="CK99" s="27"/>
      <x:c r="CL99" s="27"/>
      <x:c r="CM99" s="27"/>
      <x:c r="CN99" s="27"/>
      <x:c r="CO99" s="27"/>
      <x:c r="CP99" s="27"/>
      <x:c r="CQ99" s="27"/>
      <x:c r="CR99" s="27"/>
      <x:c r="CS99" s="27"/>
      <x:c r="CT99" s="27"/>
      <x:c r="CU99" s="27"/>
      <x:c r="CV99" s="27"/>
      <x:c r="CW99" s="27"/>
      <x:c r="CX99" s="27"/>
      <x:c r="CY99" s="27"/>
      <x:c r="CZ99" s="27"/>
      <x:c r="DA99" s="27"/>
      <x:c r="DB99" s="27"/>
      <x:c r="DC99" s="27"/>
      <x:c r="DD99" s="27"/>
      <x:c r="DE99" s="27"/>
      <x:c r="DF99" s="27"/>
      <x:c r="DG99" s="27"/>
      <x:c r="DH99" s="27"/>
      <x:c r="DI99" s="27"/>
      <x:c r="DJ99" s="27"/>
      <x:c r="DK99" s="27"/>
      <x:c r="DL99" s="27"/>
      <x:c r="DM99" s="27"/>
      <x:c r="DN99" s="27"/>
      <x:c r="DO99" s="27"/>
      <x:c r="DP99" s="27"/>
      <x:c r="DQ99" s="27"/>
      <x:c r="DR99" s="27"/>
      <x:c r="DS99" s="27"/>
      <x:c r="DT99" s="27"/>
      <x:c r="DU99" s="27"/>
      <x:c r="DV99" s="27"/>
      <x:c r="DW99" s="27"/>
      <x:c r="DX99" s="27"/>
      <x:c r="DY99" s="27"/>
      <x:c r="DZ99" s="27"/>
      <x:c r="EA99" s="27"/>
      <x:c r="EB99" s="27"/>
      <x:c r="EC99" s="27"/>
      <x:c r="ED99" s="27"/>
      <x:c r="EE99" s="27"/>
      <x:c r="EF99" s="27"/>
      <x:c r="EG99" s="27"/>
      <x:c r="EH99" s="27"/>
      <x:c r="EI99" s="27"/>
      <x:c r="EJ99" s="27"/>
      <x:c r="EK99" s="27"/>
      <x:c r="EL99" s="27"/>
      <x:c r="EM99" s="27"/>
      <x:c r="EN99" s="27"/>
      <x:c r="EO99" s="27"/>
      <x:c r="EP99" s="27"/>
      <x:c r="EQ99" s="27"/>
      <x:c r="ER99" s="27"/>
      <x:c r="ES99" s="27"/>
      <x:c r="ET99" s="27"/>
      <x:c r="EU99" s="27"/>
      <x:c r="EV99" s="27"/>
      <x:c r="EW99" s="27"/>
      <x:c r="EX99" s="27"/>
      <x:c r="EY99" s="27"/>
      <x:c r="EZ99" s="27"/>
      <x:c r="FA99" s="27"/>
      <x:c r="FB99" s="27"/>
      <x:c r="FC99" s="27"/>
      <x:c r="FD99" s="27"/>
      <x:c r="FE99" s="27"/>
      <x:c r="FF99" s="27"/>
      <x:c r="FG99" s="27"/>
      <x:c r="FH99" s="27"/>
      <x:c r="FI99" s="27"/>
      <x:c r="FJ99" s="27"/>
      <x:c r="FK99" s="27"/>
      <x:c r="FL99" s="27"/>
      <x:c r="FM99" s="27"/>
      <x:c r="FN99" s="27"/>
      <x:c r="FO99" s="27"/>
      <x:c r="FP99" s="27"/>
      <x:c r="FQ99" s="27"/>
      <x:c r="FR99" s="27"/>
      <x:c r="FS99" s="27"/>
      <x:c r="FT99" s="27"/>
      <x:c r="FU99" s="27"/>
      <x:c r="FV99" s="27"/>
      <x:c r="FW99" s="27"/>
      <x:c r="FX99" s="27"/>
      <x:c r="FY99" s="27"/>
      <x:c r="FZ99" s="27"/>
      <x:c r="GA99" s="27"/>
      <x:c r="GB99" s="27"/>
      <x:c r="GC99" s="27"/>
      <x:c r="GD99" s="27"/>
      <x:c r="GE99" s="27"/>
      <x:c r="GF99" s="27"/>
      <x:c r="GG99" s="27"/>
      <x:c r="GH99" s="27"/>
      <x:c r="GI99" s="27"/>
      <x:c r="GJ99" s="27"/>
      <x:c r="GK99" s="27"/>
      <x:c r="GL99" s="27"/>
      <x:c r="GM99" s="27"/>
      <x:c r="GN99" s="27"/>
      <x:c r="GO99" s="27"/>
      <x:c r="GP99" s="27"/>
      <x:c r="GQ99" s="27"/>
      <x:c r="GR99" s="27"/>
      <x:c r="GS99" s="27"/>
      <x:c r="GT99" s="27"/>
      <x:c r="GU99" s="27"/>
      <x:c r="GV99" s="27"/>
      <x:c r="GW99" s="27"/>
      <x:c r="GX99" s="27"/>
      <x:c r="GY99" s="27"/>
      <x:c r="GZ99" s="27"/>
      <x:c r="HA99" s="27"/>
      <x:c r="HB99" s="27"/>
      <x:c r="HC99" s="27"/>
      <x:c r="HD99" s="27"/>
      <x:c r="HE99" s="27"/>
      <x:c r="HF99" s="27"/>
      <x:c r="HG99" s="27"/>
      <x:c r="HH99" s="27"/>
      <x:c r="HI99" s="27"/>
      <x:c r="HJ99" s="27"/>
      <x:c r="HK99" s="27"/>
      <x:c r="HL99" s="27"/>
      <x:c r="HM99" s="27"/>
      <x:c r="HN99" s="27"/>
      <x:c r="HO99" s="27"/>
      <x:c r="HP99" s="27" t="str">
        <x:f>IF(C99="","",SUM(H99,N99,T99,Z99,AF99,AL99,AR99,AX99,BD99,BJ99,BP99,BV99,CB99,CH99,CN99,CT99,CZ99,DF99,DL99,DR99,DX99,ED99,EJ99,EP99,EV99,FB99,FH99,FN99,FT99,FZ99,GF99,GL99,GR99,GX99,HD99,HJ99))</x:f>
      </x:c>
      <x:c r="HQ99" s="27" t="str">
        <x:f>IF(C99="","",SUM(I99,O99,U99,AA99,AG99,AM99,AS99,AY99,BE99,BK99,BQ99,BW99,CC99,CI99,CO99,CU99,DA99,DG99,DM99,DS99,DY99,EE99,EK99,EQ99,EW99,FC99,FI99,FO99,FU99,GA99,GG99,GM99,GS99,GY99,HE99,HK99))</x:f>
      </x:c>
      <x:c r="HR99" s="27" t="str">
        <x:f>IF(C99="","",SUM(J99,P99,V99,AB99,AH99,AN99,AT99,AZ99,BF99,BL99,BR99,BX99,CD99,CJ99,CP99,CV99,DB99,DH99,DN99,DT99,DZ99,EF99,EL99,ER99,EX99,FD99,FJ99,FP99,FV99,GB99,GH99,GN99,GT99,GZ99,HF99,HL99))</x:f>
      </x:c>
      <x:c r="HS99" s="27" t="str">
        <x:f>IF(C99="","",SUM(K99,Q99,W99,AC99,AI99,AO99,AU99,BA99,BG99,BM99,BS99,BY99,CE99,CK99,CQ99,CW99,DC99,DI99,DO99,DU99,EA99,EG99,EM99,ES99,EY99,FE99,FK99,FQ99,FW99,GC99,GI99,GO99,GU99,HA99,HG99,HM99))</x:f>
      </x:c>
      <x:c r="HT99" s="27" t="str">
        <x:f>IF(C99="","",SUM(L99,R99,X99,AD99,AJ99,AP99,AV99,BB99,BH99,BN99,BT99,BZ99,CF99,CL99,CR99,CX99,DD99,DJ99,DP99,DV99,EB99,EH99,EN99,ET99,EZ99,FF99,FL99,FR99,FX99,GD99,GJ99,GP99,GV99,HB99,HH99,HN99))</x:f>
      </x:c>
      <x:c r="HU99" s="27" t="str">
        <x:f>IF(C99="","",SUM(M99,S99,Y99,AE99,AK99,AQ99,AW99,BC99,BI99,BO99,BU99,CA99,CG99,CM99,CS99,CY99,DE99,DK99,DQ99,DW99,EC99,EI99,EO99,EU99,FA99,FG99,FM99,FS99,FY99,GE99,GK99,GQ99,GW99,HC99,HI99,HO99))</x:f>
      </x:c>
      <x:c r="HV99" s="27" t="str">
        <x:f>IF(C99="","",IF(JI99=LARGE(JI99:JN99,1),"R",IF(JJ99=LARGE(JI99:JN99,1),"I",IF(JK99=LARGE(JI99:JN99,1),"A",IF(JL99=LARGE(JI99:JN99,1),"S",IF(JM99=LARGE(JI99:JN99,1),"E",IF(JN99=LARGE(JI99:JN99,1),"C",""))))))&amp;IF(JI99=LARGE(JI99:JN99,2),"R",IF(JJ99=LARGE(JI99:JN99,2),"I",IF(JK99=LARGE(JI99:JN99,2),"A",IF(JL99=LARGE(JI99:JN99,2),"S",IF(JM99=LARGE(JI99:JN99,2),"E",IF(JN99=LARGE(JI99:JN99,2),"C",""))))))&amp;IF(JI99=LARGE(JI99:JN99,3),"R",IF(JJ99=LARGE(JI99:JN99,3),"I",IF(JK99=LARGE(JI99:JN99,3),"A",IF(JL99=LARGE(JI99:JN99,3),"S",IF(JM99=LARGE(JI99:JN99,3),"E",IF(JN99=LARGE(JI99:JN99,3),"C","")))))))</x:f>
      </x:c>
      <x:c r="HW99" s="27" t="str">
        <x:f>IF(C99="","",IF(JI99=LARGE(JI99:JN99,1),"นักปฏิบัติ",IF(JJ99=LARGE(JI99:JN99,1),"นักคิดวิเคราะห์",IF(JK99=LARGE(JI99:JN99,1),"นักสร้างสรรค์",IF(JL99=LARGE(JI99:JN99,1),"ผู้เข้าใจผู้คน",IF(JM99=LARGE(JI99:JN99,1),"ผู้นำการเปลี่ยนแปลง",IF(JN99=LARGE(JI99:JN99,1),"ผู้จัดระบบ","ผู้จัดระบบ")))))))</x:f>
      </x:c>
      <x:c r="HX99" s="27"/>
      <x:c r="HY99" s="27"/>
      <x:c r="HZ99" s="27"/>
      <x:c r="IA99" s="27"/>
      <x:c r="IB99" s="27"/>
      <x:c r="IC99" s="27"/>
      <x:c r="ID99" s="27"/>
      <x:c r="IE99" s="27"/>
      <x:c r="IF99" s="27"/>
      <x:c r="IG99" s="27"/>
      <x:c r="IH99" s="27"/>
      <x:c r="II99" s="27"/>
      <x:c r="IJ99" s="27"/>
      <x:c r="IK99" s="27" t="str">
        <x:f>IF(C99="","",SUM(H99,N99,T99,Z99,AF99,AL99,AR99,AX99,BD99,BJ99,BP99))</x:f>
      </x:c>
      <x:c r="IL99" s="27" t="str">
        <x:f>IF(C99="","",SUM(I99,O99,U99,AA99,AG99,AM99,AS99,AY99,BE99,BK99,BQ99))</x:f>
      </x:c>
      <x:c r="IM99" s="27" t="str">
        <x:f>IF(C99="","",SUM(J99,P99,V99,AB99,AH99,AN99,AT99,AZ99,BF99,BL99,BR99))</x:f>
      </x:c>
      <x:c r="IN99" s="27" t="str">
        <x:f>IF(C99="","",SUM(K99,Q99,W99,AC99,AI99,AO99,AU99,BA99,BG99,BM99,BS99))</x:f>
      </x:c>
      <x:c r="IO99" s="27" t="str">
        <x:f>IF(C99="","",SUM(L99,R99,X99,AD99,AJ99,AP99,AV99,BB99,BH99,BN99,BT99))</x:f>
      </x:c>
      <x:c r="IP99" s="27" t="str">
        <x:f>IF(C99="","",SUM(M99,S99,Y99,AE99,AK99,AQ99,AW99,BC99,BI99,BO99,BU99))</x:f>
      </x:c>
      <x:c r="IQ99" s="27" t="str">
        <x:f>IF(C99="","",SUM(BV99,CB99,CH99,CN99,CT99,CZ99,DF99,DL99,DR99,DX99,ED99))</x:f>
      </x:c>
      <x:c r="IR99" s="27" t="str">
        <x:f>IF(C99="","",SUM(BW99,CC99,CI99,CO99,CU99,DA99,DG99,DM99,DS99,DY99,EE99))</x:f>
      </x:c>
      <x:c r="IS99" s="27" t="str">
        <x:f>IF(C99="","",SUM(BX99,CD99,CJ99,CP99,CV99,DB99,DH99,DN99,DT99,DZ99,EF99))</x:f>
      </x:c>
      <x:c r="IT99" s="27" t="str">
        <x:f>IF(C99="","",SUM(BY99,CE99,CK99,CQ99,CW99,DC99,DI99,DO99,DU99,EA99,EG99))</x:f>
      </x:c>
      <x:c r="IU99" s="27" t="str">
        <x:f>IF(C99="","",SUM(BZ99,CF99,CL99,CR99,CX99,DD99,DJ99,DP99,DV99,EB99,EH99))</x:f>
      </x:c>
      <x:c r="IV99" s="27" t="str">
        <x:f>IF(C99="","",SUM(CA99,CG99,CM99,CS99,CY99,DE99,DK99,DQ99,DW99,EC99,EI99))</x:f>
      </x:c>
      <x:c r="IW99" s="27" t="str">
        <x:f>IF(C99="","",SUM(EJ99,EP99,EV99,FB99,FH99,FN99,FT99,FZ99,GF99,GL99,GR99,GX99,HD99,HJ99))</x:f>
      </x:c>
      <x:c r="IX99" s="27" t="str">
        <x:f>IF(C99="","",SUM(EK99,EQ99,EW99,FC99,FI99,FO99,FU99,GA99,GG99,GM99,GS99,GY99,HE99,HK99))</x:f>
      </x:c>
      <x:c r="IY99" s="27" t="str">
        <x:f>IF(C99="","",SUM(EL99,ER99,EX99,FD99,FJ99,FP99,FV99,GB99,GH99,GN99,GT99,GZ99,HF99,HL99))</x:f>
      </x:c>
      <x:c r="IZ99" s="27" t="str">
        <x:f>IF(C99="","",SUM(EM99,ES99,EY99,FE99,FK99,FQ99,FW99,GC99,GI99,GO99,GU99,HA99,HG99,HM99))</x:f>
      </x:c>
      <x:c r="JA99" s="27" t="str">
        <x:f>IF(C99="","",SUM(EN99,ET99,EZ99,FF99,FL99,FR99,FX99,GD99,GJ99,GP99,GV99,HB99,HH99,HN99))</x:f>
      </x:c>
      <x:c r="JB99" s="27" t="str">
        <x:f>IF(C99="","",SUM(EO99,EU99,FA99,FG99,FM99,FS99,FY99,GE99,GK99,GQ99,GW99,HC99,HI99,HO99))</x:f>
      </x:c>
      <x:c r="JC99" s="27" t="str">
        <x:f>IF(C99="","",0)</x:f>
      </x:c>
      <x:c r="JD99" s="27" t="str">
        <x:f>IF(C99="","",0)</x:f>
      </x:c>
      <x:c r="JE99" s="27" t="str">
        <x:f>IF(C99="","",0)</x:f>
      </x:c>
      <x:c r="JF99" s="27" t="str">
        <x:f>IF(C99="","",0)</x:f>
      </x:c>
      <x:c r="JG99" s="27" t="str">
        <x:f>IF(C99="","",0)</x:f>
      </x:c>
      <x:c r="JH99" s="27" t="str">
        <x:f>IF(C99="","",0)</x:f>
      </x:c>
      <x:c r="JI99" s="27" t="str">
        <x:f>IF(C99="","",HP99*1000000000+IW99*1000000+IQ99*10000+IK99*100+JC99+6/1000)</x:f>
      </x:c>
      <x:c r="JJ99" s="27" t="str">
        <x:f>IF(C99="","",HQ99*1000000000+IX99*1000000+IR99*10000+IL99*100+JD99+5/1000)</x:f>
      </x:c>
      <x:c r="JK99" s="27" t="str">
        <x:f>IF(C99="","",HR99*1000000000+IY99*1000000+IS99*10000+IM99*100+JE99+4/1000)</x:f>
      </x:c>
      <x:c r="JL99" s="27" t="str">
        <x:f>IF(C99="","",HS99*1000000000+IZ99*1000000+IT99*10000+IN99*100+JF99+3/1000)</x:f>
      </x:c>
      <x:c r="JM99" s="27" t="str">
        <x:f>IF(C99="","",HT99*1000000000+JA99*1000000+IU99*10000+IO99*100+JG99+2/1000)</x:f>
      </x:c>
      <x:c r="JN99" s="27" t="str">
        <x:f>IF(C99="","",HU99*1000000000+JB99*1000000+IV99*10000+IP99*100+JH99+1/1000)</x:f>
      </x:c>
    </x:row>
    <x:row r="100">
      <x:c r="A100" s="27"/>
      <x:c r="B100" s="28"/>
      <x:c r="C100" s="27"/>
      <x:c r="D100" s="27"/>
      <x:c r="E100" s="27"/>
      <x:c r="F100" s="27"/>
      <x:c r="G100" s="27"/>
      <x:c r="H100" s="27"/>
      <x:c r="I100" s="27"/>
      <x:c r="J100" s="27"/>
      <x:c r="K100" s="27"/>
      <x:c r="L100" s="27"/>
      <x:c r="M100" s="27"/>
      <x:c r="N100" s="27"/>
      <x:c r="O100" s="27"/>
      <x:c r="P100" s="27"/>
      <x:c r="Q100" s="27"/>
      <x:c r="R100" s="27"/>
      <x:c r="S100" s="27"/>
      <x:c r="T100" s="27"/>
      <x:c r="U100" s="27"/>
      <x:c r="V100" s="27"/>
      <x:c r="W100" s="27"/>
      <x:c r="X100" s="27"/>
      <x:c r="Y100" s="27"/>
      <x:c r="Z100" s="27"/>
      <x:c r="AA100" s="27"/>
      <x:c r="AB100" s="27"/>
      <x:c r="AC100" s="27"/>
      <x:c r="AD100" s="27"/>
      <x:c r="AE100" s="27"/>
      <x:c r="AF100" s="27"/>
      <x:c r="AG100" s="27"/>
      <x:c r="AH100" s="27"/>
      <x:c r="AI100" s="27"/>
      <x:c r="AJ100" s="27"/>
      <x:c r="AK100" s="27"/>
      <x:c r="AL100" s="27"/>
      <x:c r="AM100" s="27"/>
      <x:c r="AN100" s="27"/>
      <x:c r="AO100" s="27"/>
      <x:c r="AP100" s="27"/>
      <x:c r="AQ100" s="27"/>
      <x:c r="AR100" s="27"/>
      <x:c r="AS100" s="27"/>
      <x:c r="AT100" s="27"/>
      <x:c r="AU100" s="27"/>
      <x:c r="AV100" s="27"/>
      <x:c r="AW100" s="27"/>
      <x:c r="AX100" s="27"/>
      <x:c r="AY100" s="27"/>
      <x:c r="AZ100" s="27"/>
      <x:c r="BA100" s="27"/>
      <x:c r="BB100" s="27"/>
      <x:c r="BC100" s="27"/>
      <x:c r="BD100" s="27"/>
      <x:c r="BE100" s="27"/>
      <x:c r="BF100" s="27"/>
      <x:c r="BG100" s="27"/>
      <x:c r="BH100" s="27"/>
      <x:c r="BI100" s="27"/>
      <x:c r="BJ100" s="27"/>
      <x:c r="BK100" s="27"/>
      <x:c r="BL100" s="27"/>
      <x:c r="BM100" s="27"/>
      <x:c r="BN100" s="27"/>
      <x:c r="BO100" s="27"/>
      <x:c r="BP100" s="27"/>
      <x:c r="BQ100" s="27"/>
      <x:c r="BR100" s="27"/>
      <x:c r="BS100" s="27"/>
      <x:c r="BT100" s="27"/>
      <x:c r="BU100" s="27"/>
      <x:c r="BV100" s="27"/>
      <x:c r="BW100" s="27"/>
      <x:c r="BX100" s="27"/>
      <x:c r="BY100" s="27"/>
      <x:c r="BZ100" s="27"/>
      <x:c r="CA100" s="27"/>
      <x:c r="CB100" s="27"/>
      <x:c r="CC100" s="27"/>
      <x:c r="CD100" s="27"/>
      <x:c r="CE100" s="27"/>
      <x:c r="CF100" s="27"/>
      <x:c r="CG100" s="27"/>
      <x:c r="CH100" s="27"/>
      <x:c r="CI100" s="27"/>
      <x:c r="CJ100" s="27"/>
      <x:c r="CK100" s="27"/>
      <x:c r="CL100" s="27"/>
      <x:c r="CM100" s="27"/>
      <x:c r="CN100" s="27"/>
      <x:c r="CO100" s="27"/>
      <x:c r="CP100" s="27"/>
      <x:c r="CQ100" s="27"/>
      <x:c r="CR100" s="27"/>
      <x:c r="CS100" s="27"/>
      <x:c r="CT100" s="27"/>
      <x:c r="CU100" s="27"/>
      <x:c r="CV100" s="27"/>
      <x:c r="CW100" s="27"/>
      <x:c r="CX100" s="27"/>
      <x:c r="CY100" s="27"/>
      <x:c r="CZ100" s="27"/>
      <x:c r="DA100" s="27"/>
      <x:c r="DB100" s="27"/>
      <x:c r="DC100" s="27"/>
      <x:c r="DD100" s="27"/>
      <x:c r="DE100" s="27"/>
      <x:c r="DF100" s="27"/>
      <x:c r="DG100" s="27"/>
      <x:c r="DH100" s="27"/>
      <x:c r="DI100" s="27"/>
      <x:c r="DJ100" s="27"/>
      <x:c r="DK100" s="27"/>
      <x:c r="DL100" s="27"/>
      <x:c r="DM100" s="27"/>
      <x:c r="DN100" s="27"/>
      <x:c r="DO100" s="27"/>
      <x:c r="DP100" s="27"/>
      <x:c r="DQ100" s="27"/>
      <x:c r="DR100" s="27"/>
      <x:c r="DS100" s="27"/>
      <x:c r="DT100" s="27"/>
      <x:c r="DU100" s="27"/>
      <x:c r="DV100" s="27"/>
      <x:c r="DW100" s="27"/>
      <x:c r="DX100" s="27"/>
      <x:c r="DY100" s="27"/>
      <x:c r="DZ100" s="27"/>
      <x:c r="EA100" s="27"/>
      <x:c r="EB100" s="27"/>
      <x:c r="EC100" s="27"/>
      <x:c r="ED100" s="27"/>
      <x:c r="EE100" s="27"/>
      <x:c r="EF100" s="27"/>
      <x:c r="EG100" s="27"/>
      <x:c r="EH100" s="27"/>
      <x:c r="EI100" s="27"/>
      <x:c r="EJ100" s="27"/>
      <x:c r="EK100" s="27"/>
      <x:c r="EL100" s="27"/>
      <x:c r="EM100" s="27"/>
      <x:c r="EN100" s="27"/>
      <x:c r="EO100" s="27"/>
      <x:c r="EP100" s="27"/>
      <x:c r="EQ100" s="27"/>
      <x:c r="ER100" s="27"/>
      <x:c r="ES100" s="27"/>
      <x:c r="ET100" s="27"/>
      <x:c r="EU100" s="27"/>
      <x:c r="EV100" s="27"/>
      <x:c r="EW100" s="27"/>
      <x:c r="EX100" s="27"/>
      <x:c r="EY100" s="27"/>
      <x:c r="EZ100" s="27"/>
      <x:c r="FA100" s="27"/>
      <x:c r="FB100" s="27"/>
      <x:c r="FC100" s="27"/>
      <x:c r="FD100" s="27"/>
      <x:c r="FE100" s="27"/>
      <x:c r="FF100" s="27"/>
      <x:c r="FG100" s="27"/>
      <x:c r="FH100" s="27"/>
      <x:c r="FI100" s="27"/>
      <x:c r="FJ100" s="27"/>
      <x:c r="FK100" s="27"/>
      <x:c r="FL100" s="27"/>
      <x:c r="FM100" s="27"/>
      <x:c r="FN100" s="27"/>
      <x:c r="FO100" s="27"/>
      <x:c r="FP100" s="27"/>
      <x:c r="FQ100" s="27"/>
      <x:c r="FR100" s="27"/>
      <x:c r="FS100" s="27"/>
      <x:c r="FT100" s="27"/>
      <x:c r="FU100" s="27"/>
      <x:c r="FV100" s="27"/>
      <x:c r="FW100" s="27"/>
      <x:c r="FX100" s="27"/>
      <x:c r="FY100" s="27"/>
      <x:c r="FZ100" s="27"/>
      <x:c r="GA100" s="27"/>
      <x:c r="GB100" s="27"/>
      <x:c r="GC100" s="27"/>
      <x:c r="GD100" s="27"/>
      <x:c r="GE100" s="27"/>
      <x:c r="GF100" s="27"/>
      <x:c r="GG100" s="27"/>
      <x:c r="GH100" s="27"/>
      <x:c r="GI100" s="27"/>
      <x:c r="GJ100" s="27"/>
      <x:c r="GK100" s="27"/>
      <x:c r="GL100" s="27"/>
      <x:c r="GM100" s="27"/>
      <x:c r="GN100" s="27"/>
      <x:c r="GO100" s="27"/>
      <x:c r="GP100" s="27"/>
      <x:c r="GQ100" s="27"/>
      <x:c r="GR100" s="27"/>
      <x:c r="GS100" s="27"/>
      <x:c r="GT100" s="27"/>
      <x:c r="GU100" s="27"/>
      <x:c r="GV100" s="27"/>
      <x:c r="GW100" s="27"/>
      <x:c r="GX100" s="27"/>
      <x:c r="GY100" s="27"/>
      <x:c r="GZ100" s="27"/>
      <x:c r="HA100" s="27"/>
      <x:c r="HB100" s="27"/>
      <x:c r="HC100" s="27"/>
      <x:c r="HD100" s="27"/>
      <x:c r="HE100" s="27"/>
      <x:c r="HF100" s="27"/>
      <x:c r="HG100" s="27"/>
      <x:c r="HH100" s="27"/>
      <x:c r="HI100" s="27"/>
      <x:c r="HJ100" s="27"/>
      <x:c r="HK100" s="27"/>
      <x:c r="HL100" s="27"/>
      <x:c r="HM100" s="27"/>
      <x:c r="HN100" s="27"/>
      <x:c r="HO100" s="27"/>
      <x:c r="HP100" s="27" t="str">
        <x:f>IF(C100="","",SUM(H100,N100,T100,Z100,AF100,AL100,AR100,AX100,BD100,BJ100,BP100,BV100,CB100,CH100,CN100,CT100,CZ100,DF100,DL100,DR100,DX100,ED100,EJ100,EP100,EV100,FB100,FH100,FN100,FT100,FZ100,GF100,GL100,GR100,GX100,HD100,HJ100))</x:f>
      </x:c>
      <x:c r="HQ100" s="27" t="str">
        <x:f>IF(C100="","",SUM(I100,O100,U100,AA100,AG100,AM100,AS100,AY100,BE100,BK100,BQ100,BW100,CC100,CI100,CO100,CU100,DA100,DG100,DM100,DS100,DY100,EE100,EK100,EQ100,EW100,FC100,FI100,FO100,FU100,GA100,GG100,GM100,GS100,GY100,HE100,HK100))</x:f>
      </x:c>
      <x:c r="HR100" s="27" t="str">
        <x:f>IF(C100="","",SUM(J100,P100,V100,AB100,AH100,AN100,AT100,AZ100,BF100,BL100,BR100,BX100,CD100,CJ100,CP100,CV100,DB100,DH100,DN100,DT100,DZ100,EF100,EL100,ER100,EX100,FD100,FJ100,FP100,FV100,GB100,GH100,GN100,GT100,GZ100,HF100,HL100))</x:f>
      </x:c>
      <x:c r="HS100" s="27" t="str">
        <x:f>IF(C100="","",SUM(K100,Q100,W100,AC100,AI100,AO100,AU100,BA100,BG100,BM100,BS100,BY100,CE100,CK100,CQ100,CW100,DC100,DI100,DO100,DU100,EA100,EG100,EM100,ES100,EY100,FE100,FK100,FQ100,FW100,GC100,GI100,GO100,GU100,HA100,HG100,HM100))</x:f>
      </x:c>
      <x:c r="HT100" s="27" t="str">
        <x:f>IF(C100="","",SUM(L100,R100,X100,AD100,AJ100,AP100,AV100,BB100,BH100,BN100,BT100,BZ100,CF100,CL100,CR100,CX100,DD100,DJ100,DP100,DV100,EB100,EH100,EN100,ET100,EZ100,FF100,FL100,FR100,FX100,GD100,GJ100,GP100,GV100,HB100,HH100,HN100))</x:f>
      </x:c>
      <x:c r="HU100" s="27" t="str">
        <x:f>IF(C100="","",SUM(M100,S100,Y100,AE100,AK100,AQ100,AW100,BC100,BI100,BO100,BU100,CA100,CG100,CM100,CS100,CY100,DE100,DK100,DQ100,DW100,EC100,EI100,EO100,EU100,FA100,FG100,FM100,FS100,FY100,GE100,GK100,GQ100,GW100,HC100,HI100,HO100))</x:f>
      </x:c>
      <x:c r="HV100" s="27" t="str">
        <x:f>IF(C100="","",IF(JI100=LARGE(JI100:JN100,1),"R",IF(JJ100=LARGE(JI100:JN100,1),"I",IF(JK100=LARGE(JI100:JN100,1),"A",IF(JL100=LARGE(JI100:JN100,1),"S",IF(JM100=LARGE(JI100:JN100,1),"E",IF(JN100=LARGE(JI100:JN100,1),"C",""))))))&amp;IF(JI100=LARGE(JI100:JN100,2),"R",IF(JJ100=LARGE(JI100:JN100,2),"I",IF(JK100=LARGE(JI100:JN100,2),"A",IF(JL100=LARGE(JI100:JN100,2),"S",IF(JM100=LARGE(JI100:JN100,2),"E",IF(JN100=LARGE(JI100:JN100,2),"C",""))))))&amp;IF(JI100=LARGE(JI100:JN100,3),"R",IF(JJ100=LARGE(JI100:JN100,3),"I",IF(JK100=LARGE(JI100:JN100,3),"A",IF(JL100=LARGE(JI100:JN100,3),"S",IF(JM100=LARGE(JI100:JN100,3),"E",IF(JN100=LARGE(JI100:JN100,3),"C","")))))))</x:f>
      </x:c>
      <x:c r="HW100" s="27" t="str">
        <x:f>IF(C100="","",IF(JI100=LARGE(JI100:JN100,1),"นักปฏิบัติ",IF(JJ100=LARGE(JI100:JN100,1),"นักคิดวิเคราะห์",IF(JK100=LARGE(JI100:JN100,1),"นักสร้างสรรค์",IF(JL100=LARGE(JI100:JN100,1),"ผู้เข้าใจผู้คน",IF(JM100=LARGE(JI100:JN100,1),"ผู้นำการเปลี่ยนแปลง",IF(JN100=LARGE(JI100:JN100,1),"ผู้จัดระบบ","ผู้จัดระบบ")))))))</x:f>
      </x:c>
      <x:c r="HX100" s="27"/>
      <x:c r="HY100" s="27"/>
      <x:c r="HZ100" s="27"/>
      <x:c r="IA100" s="27"/>
      <x:c r="IB100" s="27"/>
      <x:c r="IC100" s="27"/>
      <x:c r="ID100" s="27"/>
      <x:c r="IE100" s="27"/>
      <x:c r="IF100" s="27"/>
      <x:c r="IG100" s="27"/>
      <x:c r="IH100" s="27"/>
      <x:c r="II100" s="27"/>
      <x:c r="IJ100" s="27"/>
      <x:c r="IK100" s="27" t="str">
        <x:f>IF(C100="","",SUM(H100,N100,T100,Z100,AF100,AL100,AR100,AX100,BD100,BJ100,BP100))</x:f>
      </x:c>
      <x:c r="IL100" s="27" t="str">
        <x:f>IF(C100="","",SUM(I100,O100,U100,AA100,AG100,AM100,AS100,AY100,BE100,BK100,BQ100))</x:f>
      </x:c>
      <x:c r="IM100" s="27" t="str">
        <x:f>IF(C100="","",SUM(J100,P100,V100,AB100,AH100,AN100,AT100,AZ100,BF100,BL100,BR100))</x:f>
      </x:c>
      <x:c r="IN100" s="27" t="str">
        <x:f>IF(C100="","",SUM(K100,Q100,W100,AC100,AI100,AO100,AU100,BA100,BG100,BM100,BS100))</x:f>
      </x:c>
      <x:c r="IO100" s="27" t="str">
        <x:f>IF(C100="","",SUM(L100,R100,X100,AD100,AJ100,AP100,AV100,BB100,BH100,BN100,BT100))</x:f>
      </x:c>
      <x:c r="IP100" s="27" t="str">
        <x:f>IF(C100="","",SUM(M100,S100,Y100,AE100,AK100,AQ100,AW100,BC100,BI100,BO100,BU100))</x:f>
      </x:c>
      <x:c r="IQ100" s="27" t="str">
        <x:f>IF(C100="","",SUM(BV100,CB100,CH100,CN100,CT100,CZ100,DF100,DL100,DR100,DX100,ED100))</x:f>
      </x:c>
      <x:c r="IR100" s="27" t="str">
        <x:f>IF(C100="","",SUM(BW100,CC100,CI100,CO100,CU100,DA100,DG100,DM100,DS100,DY100,EE100))</x:f>
      </x:c>
      <x:c r="IS100" s="27" t="str">
        <x:f>IF(C100="","",SUM(BX100,CD100,CJ100,CP100,CV100,DB100,DH100,DN100,DT100,DZ100,EF100))</x:f>
      </x:c>
      <x:c r="IT100" s="27" t="str">
        <x:f>IF(C100="","",SUM(BY100,CE100,CK100,CQ100,CW100,DC100,DI100,DO100,DU100,EA100,EG100))</x:f>
      </x:c>
      <x:c r="IU100" s="27" t="str">
        <x:f>IF(C100="","",SUM(BZ100,CF100,CL100,CR100,CX100,DD100,DJ100,DP100,DV100,EB100,EH100))</x:f>
      </x:c>
      <x:c r="IV100" s="27" t="str">
        <x:f>IF(C100="","",SUM(CA100,CG100,CM100,CS100,CY100,DE100,DK100,DQ100,DW100,EC100,EI100))</x:f>
      </x:c>
      <x:c r="IW100" s="27" t="str">
        <x:f>IF(C100="","",SUM(EJ100,EP100,EV100,FB100,FH100,FN100,FT100,FZ100,GF100,GL100,GR100,GX100,HD100,HJ100))</x:f>
      </x:c>
      <x:c r="IX100" s="27" t="str">
        <x:f>IF(C100="","",SUM(EK100,EQ100,EW100,FC100,FI100,FO100,FU100,GA100,GG100,GM100,GS100,GY100,HE100,HK100))</x:f>
      </x:c>
      <x:c r="IY100" s="27" t="str">
        <x:f>IF(C100="","",SUM(EL100,ER100,EX100,FD100,FJ100,FP100,FV100,GB100,GH100,GN100,GT100,GZ100,HF100,HL100))</x:f>
      </x:c>
      <x:c r="IZ100" s="27" t="str">
        <x:f>IF(C100="","",SUM(EM100,ES100,EY100,FE100,FK100,FQ100,FW100,GC100,GI100,GO100,GU100,HA100,HG100,HM100))</x:f>
      </x:c>
      <x:c r="JA100" s="27" t="str">
        <x:f>IF(C100="","",SUM(EN100,ET100,EZ100,FF100,FL100,FR100,FX100,GD100,GJ100,GP100,GV100,HB100,HH100,HN100))</x:f>
      </x:c>
      <x:c r="JB100" s="27" t="str">
        <x:f>IF(C100="","",SUM(EO100,EU100,FA100,FG100,FM100,FS100,FY100,GE100,GK100,GQ100,GW100,HC100,HI100,HO100))</x:f>
      </x:c>
      <x:c r="JC100" s="27" t="str">
        <x:f>IF(C100="","",0)</x:f>
      </x:c>
      <x:c r="JD100" s="27" t="str">
        <x:f>IF(C100="","",0)</x:f>
      </x:c>
      <x:c r="JE100" s="27" t="str">
        <x:f>IF(C100="","",0)</x:f>
      </x:c>
      <x:c r="JF100" s="27" t="str">
        <x:f>IF(C100="","",0)</x:f>
      </x:c>
      <x:c r="JG100" s="27" t="str">
        <x:f>IF(C100="","",0)</x:f>
      </x:c>
      <x:c r="JH100" s="27" t="str">
        <x:f>IF(C100="","",0)</x:f>
      </x:c>
      <x:c r="JI100" s="27" t="str">
        <x:f>IF(C100="","",HP100*1000000000+IW100*1000000+IQ100*10000+IK100*100+JC100+6/1000)</x:f>
      </x:c>
      <x:c r="JJ100" s="27" t="str">
        <x:f>IF(C100="","",HQ100*1000000000+IX100*1000000+IR100*10000+IL100*100+JD100+5/1000)</x:f>
      </x:c>
      <x:c r="JK100" s="27" t="str">
        <x:f>IF(C100="","",HR100*1000000000+IY100*1000000+IS100*10000+IM100*100+JE100+4/1000)</x:f>
      </x:c>
      <x:c r="JL100" s="27" t="str">
        <x:f>IF(C100="","",HS100*1000000000+IZ100*1000000+IT100*10000+IN100*100+JF100+3/1000)</x:f>
      </x:c>
      <x:c r="JM100" s="27" t="str">
        <x:f>IF(C100="","",HT100*1000000000+JA100*1000000+IU100*10000+IO100*100+JG100+2/1000)</x:f>
      </x:c>
      <x:c r="JN100" s="27" t="str">
        <x:f>IF(C100="","",HU100*1000000000+JB100*1000000+IV100*10000+IP100*100+JH100+1/1000)</x:f>
      </x:c>
    </x:row>
    <x:row r="101">
      <x:c r="A101" s="27"/>
      <x:c r="B101" s="28"/>
      <x:c r="C101" s="27"/>
      <x:c r="D101" s="27"/>
      <x:c r="E101" s="27"/>
      <x:c r="F101" s="27"/>
      <x:c r="G101" s="27"/>
      <x:c r="H101" s="27"/>
      <x:c r="I101" s="27"/>
      <x:c r="J101" s="27"/>
      <x:c r="K101" s="27"/>
      <x:c r="L101" s="27"/>
      <x:c r="M101" s="27"/>
      <x:c r="N101" s="27"/>
      <x:c r="O101" s="27"/>
      <x:c r="P101" s="27"/>
      <x:c r="Q101" s="27"/>
      <x:c r="R101" s="27"/>
      <x:c r="S101" s="27"/>
      <x:c r="T101" s="27"/>
      <x:c r="U101" s="27"/>
      <x:c r="V101" s="27"/>
      <x:c r="W101" s="27"/>
      <x:c r="X101" s="27"/>
      <x:c r="Y101" s="27"/>
      <x:c r="Z101" s="27"/>
      <x:c r="AA101" s="27"/>
      <x:c r="AB101" s="27"/>
      <x:c r="AC101" s="27"/>
      <x:c r="AD101" s="27"/>
      <x:c r="AE101" s="27"/>
      <x:c r="AF101" s="27"/>
      <x:c r="AG101" s="27"/>
      <x:c r="AH101" s="27"/>
      <x:c r="AI101" s="27"/>
      <x:c r="AJ101" s="27"/>
      <x:c r="AK101" s="27"/>
      <x:c r="AL101" s="27"/>
      <x:c r="AM101" s="27"/>
      <x:c r="AN101" s="27"/>
      <x:c r="AO101" s="27"/>
      <x:c r="AP101" s="27"/>
      <x:c r="AQ101" s="27"/>
      <x:c r="AR101" s="27"/>
      <x:c r="AS101" s="27"/>
      <x:c r="AT101" s="27"/>
      <x:c r="AU101" s="27"/>
      <x:c r="AV101" s="27"/>
      <x:c r="AW101" s="27"/>
      <x:c r="AX101" s="27"/>
      <x:c r="AY101" s="27"/>
      <x:c r="AZ101" s="27"/>
      <x:c r="BA101" s="27"/>
      <x:c r="BB101" s="27"/>
      <x:c r="BC101" s="27"/>
      <x:c r="BD101" s="27"/>
      <x:c r="BE101" s="27"/>
      <x:c r="BF101" s="27"/>
      <x:c r="BG101" s="27"/>
      <x:c r="BH101" s="27"/>
      <x:c r="BI101" s="27"/>
      <x:c r="BJ101" s="27"/>
      <x:c r="BK101" s="27"/>
      <x:c r="BL101" s="27"/>
      <x:c r="BM101" s="27"/>
      <x:c r="BN101" s="27"/>
      <x:c r="BO101" s="27"/>
      <x:c r="BP101" s="27"/>
      <x:c r="BQ101" s="27"/>
      <x:c r="BR101" s="27"/>
      <x:c r="BS101" s="27"/>
      <x:c r="BT101" s="27"/>
      <x:c r="BU101" s="27"/>
      <x:c r="BV101" s="27"/>
      <x:c r="BW101" s="27"/>
      <x:c r="BX101" s="27"/>
      <x:c r="BY101" s="27"/>
      <x:c r="BZ101" s="27"/>
      <x:c r="CA101" s="27"/>
      <x:c r="CB101" s="27"/>
      <x:c r="CC101" s="27"/>
      <x:c r="CD101" s="27"/>
      <x:c r="CE101" s="27"/>
      <x:c r="CF101" s="27"/>
      <x:c r="CG101" s="27"/>
      <x:c r="CH101" s="27"/>
      <x:c r="CI101" s="27"/>
      <x:c r="CJ101" s="27"/>
      <x:c r="CK101" s="27"/>
      <x:c r="CL101" s="27"/>
      <x:c r="CM101" s="27"/>
      <x:c r="CN101" s="27"/>
      <x:c r="CO101" s="27"/>
      <x:c r="CP101" s="27"/>
      <x:c r="CQ101" s="27"/>
      <x:c r="CR101" s="27"/>
      <x:c r="CS101" s="27"/>
      <x:c r="CT101" s="27"/>
      <x:c r="CU101" s="27"/>
      <x:c r="CV101" s="27"/>
      <x:c r="CW101" s="27"/>
      <x:c r="CX101" s="27"/>
      <x:c r="CY101" s="27"/>
      <x:c r="CZ101" s="27"/>
      <x:c r="DA101" s="27"/>
      <x:c r="DB101" s="27"/>
      <x:c r="DC101" s="27"/>
      <x:c r="DD101" s="27"/>
      <x:c r="DE101" s="27"/>
      <x:c r="DF101" s="27"/>
      <x:c r="DG101" s="27"/>
      <x:c r="DH101" s="27"/>
      <x:c r="DI101" s="27"/>
      <x:c r="DJ101" s="27"/>
      <x:c r="DK101" s="27"/>
      <x:c r="DL101" s="27"/>
      <x:c r="DM101" s="27"/>
      <x:c r="DN101" s="27"/>
      <x:c r="DO101" s="27"/>
      <x:c r="DP101" s="27"/>
      <x:c r="DQ101" s="27"/>
      <x:c r="DR101" s="27"/>
      <x:c r="DS101" s="27"/>
      <x:c r="DT101" s="27"/>
      <x:c r="DU101" s="27"/>
      <x:c r="DV101" s="27"/>
      <x:c r="DW101" s="27"/>
      <x:c r="DX101" s="27"/>
      <x:c r="DY101" s="27"/>
      <x:c r="DZ101" s="27"/>
      <x:c r="EA101" s="27"/>
      <x:c r="EB101" s="27"/>
      <x:c r="EC101" s="27"/>
      <x:c r="ED101" s="27"/>
      <x:c r="EE101" s="27"/>
      <x:c r="EF101" s="27"/>
      <x:c r="EG101" s="27"/>
      <x:c r="EH101" s="27"/>
      <x:c r="EI101" s="27"/>
      <x:c r="EJ101" s="27"/>
      <x:c r="EK101" s="27"/>
      <x:c r="EL101" s="27"/>
      <x:c r="EM101" s="27"/>
      <x:c r="EN101" s="27"/>
      <x:c r="EO101" s="27"/>
      <x:c r="EP101" s="27"/>
      <x:c r="EQ101" s="27"/>
      <x:c r="ER101" s="27"/>
      <x:c r="ES101" s="27"/>
      <x:c r="ET101" s="27"/>
      <x:c r="EU101" s="27"/>
      <x:c r="EV101" s="27"/>
      <x:c r="EW101" s="27"/>
      <x:c r="EX101" s="27"/>
      <x:c r="EY101" s="27"/>
      <x:c r="EZ101" s="27"/>
      <x:c r="FA101" s="27"/>
      <x:c r="FB101" s="27"/>
      <x:c r="FC101" s="27"/>
      <x:c r="FD101" s="27"/>
      <x:c r="FE101" s="27"/>
      <x:c r="FF101" s="27"/>
      <x:c r="FG101" s="27"/>
      <x:c r="FH101" s="27"/>
      <x:c r="FI101" s="27"/>
      <x:c r="FJ101" s="27"/>
      <x:c r="FK101" s="27"/>
      <x:c r="FL101" s="27"/>
      <x:c r="FM101" s="27"/>
      <x:c r="FN101" s="27"/>
      <x:c r="FO101" s="27"/>
      <x:c r="FP101" s="27"/>
      <x:c r="FQ101" s="27"/>
      <x:c r="FR101" s="27"/>
      <x:c r="FS101" s="27"/>
      <x:c r="FT101" s="27"/>
      <x:c r="FU101" s="27"/>
      <x:c r="FV101" s="27"/>
      <x:c r="FW101" s="27"/>
      <x:c r="FX101" s="27"/>
      <x:c r="FY101" s="27"/>
      <x:c r="FZ101" s="27"/>
      <x:c r="GA101" s="27"/>
      <x:c r="GB101" s="27"/>
      <x:c r="GC101" s="27"/>
      <x:c r="GD101" s="27"/>
      <x:c r="GE101" s="27"/>
      <x:c r="GF101" s="27"/>
      <x:c r="GG101" s="27"/>
      <x:c r="GH101" s="27"/>
      <x:c r="GI101" s="27"/>
      <x:c r="GJ101" s="27"/>
      <x:c r="GK101" s="27"/>
      <x:c r="GL101" s="27"/>
      <x:c r="GM101" s="27"/>
      <x:c r="GN101" s="27"/>
      <x:c r="GO101" s="27"/>
      <x:c r="GP101" s="27"/>
      <x:c r="GQ101" s="27"/>
      <x:c r="GR101" s="27"/>
      <x:c r="GS101" s="27"/>
      <x:c r="GT101" s="27"/>
      <x:c r="GU101" s="27"/>
      <x:c r="GV101" s="27"/>
      <x:c r="GW101" s="27"/>
      <x:c r="GX101" s="27"/>
      <x:c r="GY101" s="27"/>
      <x:c r="GZ101" s="27"/>
      <x:c r="HA101" s="27"/>
      <x:c r="HB101" s="27"/>
      <x:c r="HC101" s="27"/>
      <x:c r="HD101" s="27"/>
      <x:c r="HE101" s="27"/>
      <x:c r="HF101" s="27"/>
      <x:c r="HG101" s="27"/>
      <x:c r="HH101" s="27"/>
      <x:c r="HI101" s="27"/>
      <x:c r="HJ101" s="27"/>
      <x:c r="HK101" s="27"/>
      <x:c r="HL101" s="27"/>
      <x:c r="HM101" s="27"/>
      <x:c r="HN101" s="27"/>
      <x:c r="HO101" s="27"/>
      <x:c r="HP101" s="27" t="str">
        <x:f>IF(C101="","",SUM(H101,N101,T101,Z101,AF101,AL101,AR101,AX101,BD101,BJ101,BP101,BV101,CB101,CH101,CN101,CT101,CZ101,DF101,DL101,DR101,DX101,ED101,EJ101,EP101,EV101,FB101,FH101,FN101,FT101,FZ101,GF101,GL101,GR101,GX101,HD101,HJ101))</x:f>
      </x:c>
      <x:c r="HQ101" s="27" t="str">
        <x:f>IF(C101="","",SUM(I101,O101,U101,AA101,AG101,AM101,AS101,AY101,BE101,BK101,BQ101,BW101,CC101,CI101,CO101,CU101,DA101,DG101,DM101,DS101,DY101,EE101,EK101,EQ101,EW101,FC101,FI101,FO101,FU101,GA101,GG101,GM101,GS101,GY101,HE101,HK101))</x:f>
      </x:c>
      <x:c r="HR101" s="27" t="str">
        <x:f>IF(C101="","",SUM(J101,P101,V101,AB101,AH101,AN101,AT101,AZ101,BF101,BL101,BR101,BX101,CD101,CJ101,CP101,CV101,DB101,DH101,DN101,DT101,DZ101,EF101,EL101,ER101,EX101,FD101,FJ101,FP101,FV101,GB101,GH101,GN101,GT101,GZ101,HF101,HL101))</x:f>
      </x:c>
      <x:c r="HS101" s="27" t="str">
        <x:f>IF(C101="","",SUM(K101,Q101,W101,AC101,AI101,AO101,AU101,BA101,BG101,BM101,BS101,BY101,CE101,CK101,CQ101,CW101,DC101,DI101,DO101,DU101,EA101,EG101,EM101,ES101,EY101,FE101,FK101,FQ101,FW101,GC101,GI101,GO101,GU101,HA101,HG101,HM101))</x:f>
      </x:c>
      <x:c r="HT101" s="27" t="str">
        <x:f>IF(C101="","",SUM(L101,R101,X101,AD101,AJ101,AP101,AV101,BB101,BH101,BN101,BT101,BZ101,CF101,CL101,CR101,CX101,DD101,DJ101,DP101,DV101,EB101,EH101,EN101,ET101,EZ101,FF101,FL101,FR101,FX101,GD101,GJ101,GP101,GV101,HB101,HH101,HN101))</x:f>
      </x:c>
      <x:c r="HU101" s="27" t="str">
        <x:f>IF(C101="","",SUM(M101,S101,Y101,AE101,AK101,AQ101,AW101,BC101,BI101,BO101,BU101,CA101,CG101,CM101,CS101,CY101,DE101,DK101,DQ101,DW101,EC101,EI101,EO101,EU101,FA101,FG101,FM101,FS101,FY101,GE101,GK101,GQ101,GW101,HC101,HI101,HO101))</x:f>
      </x:c>
      <x:c r="HV101" s="27" t="str">
        <x:f>IF(C101="","",IF(JI101=LARGE(JI101:JN101,1),"R",IF(JJ101=LARGE(JI101:JN101,1),"I",IF(JK101=LARGE(JI101:JN101,1),"A",IF(JL101=LARGE(JI101:JN101,1),"S",IF(JM101=LARGE(JI101:JN101,1),"E",IF(JN101=LARGE(JI101:JN101,1),"C",""))))))&amp;IF(JI101=LARGE(JI101:JN101,2),"R",IF(JJ101=LARGE(JI101:JN101,2),"I",IF(JK101=LARGE(JI101:JN101,2),"A",IF(JL101=LARGE(JI101:JN101,2),"S",IF(JM101=LARGE(JI101:JN101,2),"E",IF(JN101=LARGE(JI101:JN101,2),"C",""))))))&amp;IF(JI101=LARGE(JI101:JN101,3),"R",IF(JJ101=LARGE(JI101:JN101,3),"I",IF(JK101=LARGE(JI101:JN101,3),"A",IF(JL101=LARGE(JI101:JN101,3),"S",IF(JM101=LARGE(JI101:JN101,3),"E",IF(JN101=LARGE(JI101:JN101,3),"C","")))))))</x:f>
      </x:c>
      <x:c r="HW101" s="27" t="str">
        <x:f>IF(C101="","",IF(JI101=LARGE(JI101:JN101,1),"นักปฏิบัติ",IF(JJ101=LARGE(JI101:JN101,1),"นักคิดวิเคราะห์",IF(JK101=LARGE(JI101:JN101,1),"นักสร้างสรรค์",IF(JL101=LARGE(JI101:JN101,1),"ผู้เข้าใจผู้คน",IF(JM101=LARGE(JI101:JN101,1),"ผู้นำการเปลี่ยนแปลง",IF(JN101=LARGE(JI101:JN101,1),"ผู้จัดระบบ","ผู้จัดระบบ")))))))</x:f>
      </x:c>
      <x:c r="HX101" s="27"/>
      <x:c r="HY101" s="27"/>
      <x:c r="HZ101" s="27"/>
      <x:c r="IA101" s="27"/>
      <x:c r="IB101" s="27"/>
      <x:c r="IC101" s="27"/>
      <x:c r="ID101" s="27"/>
      <x:c r="IE101" s="27"/>
      <x:c r="IF101" s="27"/>
      <x:c r="IG101" s="27"/>
      <x:c r="IH101" s="27"/>
      <x:c r="II101" s="27"/>
      <x:c r="IJ101" s="27"/>
      <x:c r="IK101" s="27" t="str">
        <x:f>IF(C101="","",SUM(H101,N101,T101,Z101,AF101,AL101,AR101,AX101,BD101,BJ101,BP101))</x:f>
      </x:c>
      <x:c r="IL101" s="27" t="str">
        <x:f>IF(C101="","",SUM(I101,O101,U101,AA101,AG101,AM101,AS101,AY101,BE101,BK101,BQ101))</x:f>
      </x:c>
      <x:c r="IM101" s="27" t="str">
        <x:f>IF(C101="","",SUM(J101,P101,V101,AB101,AH101,AN101,AT101,AZ101,BF101,BL101,BR101))</x:f>
      </x:c>
      <x:c r="IN101" s="27" t="str">
        <x:f>IF(C101="","",SUM(K101,Q101,W101,AC101,AI101,AO101,AU101,BA101,BG101,BM101,BS101))</x:f>
      </x:c>
      <x:c r="IO101" s="27" t="str">
        <x:f>IF(C101="","",SUM(L101,R101,X101,AD101,AJ101,AP101,AV101,BB101,BH101,BN101,BT101))</x:f>
      </x:c>
      <x:c r="IP101" s="27" t="str">
        <x:f>IF(C101="","",SUM(M101,S101,Y101,AE101,AK101,AQ101,AW101,BC101,BI101,BO101,BU101))</x:f>
      </x:c>
      <x:c r="IQ101" s="27" t="str">
        <x:f>IF(C101="","",SUM(BV101,CB101,CH101,CN101,CT101,CZ101,DF101,DL101,DR101,DX101,ED101))</x:f>
      </x:c>
      <x:c r="IR101" s="27" t="str">
        <x:f>IF(C101="","",SUM(BW101,CC101,CI101,CO101,CU101,DA101,DG101,DM101,DS101,DY101,EE101))</x:f>
      </x:c>
      <x:c r="IS101" s="27" t="str">
        <x:f>IF(C101="","",SUM(BX101,CD101,CJ101,CP101,CV101,DB101,DH101,DN101,DT101,DZ101,EF101))</x:f>
      </x:c>
      <x:c r="IT101" s="27" t="str">
        <x:f>IF(C101="","",SUM(BY101,CE101,CK101,CQ101,CW101,DC101,DI101,DO101,DU101,EA101,EG101))</x:f>
      </x:c>
      <x:c r="IU101" s="27" t="str">
        <x:f>IF(C101="","",SUM(BZ101,CF101,CL101,CR101,CX101,DD101,DJ101,DP101,DV101,EB101,EH101))</x:f>
      </x:c>
      <x:c r="IV101" s="27" t="str">
        <x:f>IF(C101="","",SUM(CA101,CG101,CM101,CS101,CY101,DE101,DK101,DQ101,DW101,EC101,EI101))</x:f>
      </x:c>
      <x:c r="IW101" s="27" t="str">
        <x:f>IF(C101="","",SUM(EJ101,EP101,EV101,FB101,FH101,FN101,FT101,FZ101,GF101,GL101,GR101,GX101,HD101,HJ101))</x:f>
      </x:c>
      <x:c r="IX101" s="27" t="str">
        <x:f>IF(C101="","",SUM(EK101,EQ101,EW101,FC101,FI101,FO101,FU101,GA101,GG101,GM101,GS101,GY101,HE101,HK101))</x:f>
      </x:c>
      <x:c r="IY101" s="27" t="str">
        <x:f>IF(C101="","",SUM(EL101,ER101,EX101,FD101,FJ101,FP101,FV101,GB101,GH101,GN101,GT101,GZ101,HF101,HL101))</x:f>
      </x:c>
      <x:c r="IZ101" s="27" t="str">
        <x:f>IF(C101="","",SUM(EM101,ES101,EY101,FE101,FK101,FQ101,FW101,GC101,GI101,GO101,GU101,HA101,HG101,HM101))</x:f>
      </x:c>
      <x:c r="JA101" s="27" t="str">
        <x:f>IF(C101="","",SUM(EN101,ET101,EZ101,FF101,FL101,FR101,FX101,GD101,GJ101,GP101,GV101,HB101,HH101,HN101))</x:f>
      </x:c>
      <x:c r="JB101" s="27" t="str">
        <x:f>IF(C101="","",SUM(EO101,EU101,FA101,FG101,FM101,FS101,FY101,GE101,GK101,GQ101,GW101,HC101,HI101,HO101))</x:f>
      </x:c>
      <x:c r="JC101" s="27" t="str">
        <x:f>IF(C101="","",0)</x:f>
      </x:c>
      <x:c r="JD101" s="27" t="str">
        <x:f>IF(C101="","",0)</x:f>
      </x:c>
      <x:c r="JE101" s="27" t="str">
        <x:f>IF(C101="","",0)</x:f>
      </x:c>
      <x:c r="JF101" s="27" t="str">
        <x:f>IF(C101="","",0)</x:f>
      </x:c>
      <x:c r="JG101" s="27" t="str">
        <x:f>IF(C101="","",0)</x:f>
      </x:c>
      <x:c r="JH101" s="27" t="str">
        <x:f>IF(C101="","",0)</x:f>
      </x:c>
      <x:c r="JI101" s="27" t="str">
        <x:f>IF(C101="","",HP101*1000000000+IW101*1000000+IQ101*10000+IK101*100+JC101+6/1000)</x:f>
      </x:c>
      <x:c r="JJ101" s="27" t="str">
        <x:f>IF(C101="","",HQ101*1000000000+IX101*1000000+IR101*10000+IL101*100+JD101+5/1000)</x:f>
      </x:c>
      <x:c r="JK101" s="27" t="str">
        <x:f>IF(C101="","",HR101*1000000000+IY101*1000000+IS101*10000+IM101*100+JE101+4/1000)</x:f>
      </x:c>
      <x:c r="JL101" s="27" t="str">
        <x:f>IF(C101="","",HS101*1000000000+IZ101*1000000+IT101*10000+IN101*100+JF101+3/1000)</x:f>
      </x:c>
      <x:c r="JM101" s="27" t="str">
        <x:f>IF(C101="","",HT101*1000000000+JA101*1000000+IU101*10000+IO101*100+JG101+2/1000)</x:f>
      </x:c>
      <x:c r="JN101" s="27" t="str">
        <x:f>IF(C101="","",HU101*1000000000+JB101*1000000+IV101*10000+IP101*100+JH101+1/1000)</x:f>
      </x:c>
    </x:row>
    <x:row r="102">
      <x:c r="A102" s="27"/>
      <x:c r="B102" s="28"/>
      <x:c r="C102" s="27"/>
      <x:c r="D102" s="27"/>
      <x:c r="E102" s="27"/>
      <x:c r="F102" s="27"/>
      <x:c r="G102" s="27"/>
      <x:c r="H102" s="27"/>
      <x:c r="I102" s="27"/>
      <x:c r="J102" s="27"/>
      <x:c r="K102" s="27"/>
      <x:c r="L102" s="27"/>
      <x:c r="M102" s="27"/>
      <x:c r="N102" s="27"/>
      <x:c r="O102" s="27"/>
      <x:c r="P102" s="27"/>
      <x:c r="Q102" s="27"/>
      <x:c r="R102" s="27"/>
      <x:c r="S102" s="27"/>
      <x:c r="T102" s="27"/>
      <x:c r="U102" s="27"/>
      <x:c r="V102" s="27"/>
      <x:c r="W102" s="27"/>
      <x:c r="X102" s="27"/>
      <x:c r="Y102" s="27"/>
      <x:c r="Z102" s="27"/>
      <x:c r="AA102" s="27"/>
      <x:c r="AB102" s="27"/>
      <x:c r="AC102" s="27"/>
      <x:c r="AD102" s="27"/>
      <x:c r="AE102" s="27"/>
      <x:c r="AF102" s="27"/>
      <x:c r="AG102" s="27"/>
      <x:c r="AH102" s="27"/>
      <x:c r="AI102" s="27"/>
      <x:c r="AJ102" s="27"/>
      <x:c r="AK102" s="27"/>
      <x:c r="AL102" s="27"/>
      <x:c r="AM102" s="27"/>
      <x:c r="AN102" s="27"/>
      <x:c r="AO102" s="27"/>
      <x:c r="AP102" s="27"/>
      <x:c r="AQ102" s="27"/>
      <x:c r="AR102" s="27"/>
      <x:c r="AS102" s="27"/>
      <x:c r="AT102" s="27"/>
      <x:c r="AU102" s="27"/>
      <x:c r="AV102" s="27"/>
      <x:c r="AW102" s="27"/>
      <x:c r="AX102" s="27"/>
      <x:c r="AY102" s="27"/>
      <x:c r="AZ102" s="27"/>
      <x:c r="BA102" s="27"/>
      <x:c r="BB102" s="27"/>
      <x:c r="BC102" s="27"/>
      <x:c r="BD102" s="27"/>
      <x:c r="BE102" s="27"/>
      <x:c r="BF102" s="27"/>
      <x:c r="BG102" s="27"/>
      <x:c r="BH102" s="27"/>
      <x:c r="BI102" s="27"/>
      <x:c r="BJ102" s="27"/>
      <x:c r="BK102" s="27"/>
      <x:c r="BL102" s="27"/>
      <x:c r="BM102" s="27"/>
      <x:c r="BN102" s="27"/>
      <x:c r="BO102" s="27"/>
      <x:c r="BP102" s="27"/>
      <x:c r="BQ102" s="27"/>
      <x:c r="BR102" s="27"/>
      <x:c r="BS102" s="27"/>
      <x:c r="BT102" s="27"/>
      <x:c r="BU102" s="27"/>
      <x:c r="BV102" s="27"/>
      <x:c r="BW102" s="27"/>
      <x:c r="BX102" s="27"/>
      <x:c r="BY102" s="27"/>
      <x:c r="BZ102" s="27"/>
      <x:c r="CA102" s="27"/>
      <x:c r="CB102" s="27"/>
      <x:c r="CC102" s="27"/>
      <x:c r="CD102" s="27"/>
      <x:c r="CE102" s="27"/>
      <x:c r="CF102" s="27"/>
      <x:c r="CG102" s="27"/>
      <x:c r="CH102" s="27"/>
      <x:c r="CI102" s="27"/>
      <x:c r="CJ102" s="27"/>
      <x:c r="CK102" s="27"/>
      <x:c r="CL102" s="27"/>
      <x:c r="CM102" s="27"/>
      <x:c r="CN102" s="27"/>
      <x:c r="CO102" s="27"/>
      <x:c r="CP102" s="27"/>
      <x:c r="CQ102" s="27"/>
      <x:c r="CR102" s="27"/>
      <x:c r="CS102" s="27"/>
      <x:c r="CT102" s="27"/>
      <x:c r="CU102" s="27"/>
      <x:c r="CV102" s="27"/>
      <x:c r="CW102" s="27"/>
      <x:c r="CX102" s="27"/>
      <x:c r="CY102" s="27"/>
      <x:c r="CZ102" s="27"/>
      <x:c r="DA102" s="27"/>
      <x:c r="DB102" s="27"/>
      <x:c r="DC102" s="27"/>
      <x:c r="DD102" s="27"/>
      <x:c r="DE102" s="27"/>
      <x:c r="DF102" s="27"/>
      <x:c r="DG102" s="27"/>
      <x:c r="DH102" s="27"/>
      <x:c r="DI102" s="27"/>
      <x:c r="DJ102" s="27"/>
      <x:c r="DK102" s="27"/>
      <x:c r="DL102" s="27"/>
      <x:c r="DM102" s="27"/>
      <x:c r="DN102" s="27"/>
      <x:c r="DO102" s="27"/>
      <x:c r="DP102" s="27"/>
      <x:c r="DQ102" s="27"/>
      <x:c r="DR102" s="27"/>
      <x:c r="DS102" s="27"/>
      <x:c r="DT102" s="27"/>
      <x:c r="DU102" s="27"/>
      <x:c r="DV102" s="27"/>
      <x:c r="DW102" s="27"/>
      <x:c r="DX102" s="27"/>
      <x:c r="DY102" s="27"/>
      <x:c r="DZ102" s="27"/>
      <x:c r="EA102" s="27"/>
      <x:c r="EB102" s="27"/>
      <x:c r="EC102" s="27"/>
      <x:c r="ED102" s="27"/>
      <x:c r="EE102" s="27"/>
      <x:c r="EF102" s="27"/>
      <x:c r="EG102" s="27"/>
      <x:c r="EH102" s="27"/>
      <x:c r="EI102" s="27"/>
      <x:c r="EJ102" s="27"/>
      <x:c r="EK102" s="27"/>
      <x:c r="EL102" s="27"/>
      <x:c r="EM102" s="27"/>
      <x:c r="EN102" s="27"/>
      <x:c r="EO102" s="27"/>
      <x:c r="EP102" s="27"/>
      <x:c r="EQ102" s="27"/>
      <x:c r="ER102" s="27"/>
      <x:c r="ES102" s="27"/>
      <x:c r="ET102" s="27"/>
      <x:c r="EU102" s="27"/>
      <x:c r="EV102" s="27"/>
      <x:c r="EW102" s="27"/>
      <x:c r="EX102" s="27"/>
      <x:c r="EY102" s="27"/>
      <x:c r="EZ102" s="27"/>
      <x:c r="FA102" s="27"/>
      <x:c r="FB102" s="27"/>
      <x:c r="FC102" s="27"/>
      <x:c r="FD102" s="27"/>
      <x:c r="FE102" s="27"/>
      <x:c r="FF102" s="27"/>
      <x:c r="FG102" s="27"/>
      <x:c r="FH102" s="27"/>
      <x:c r="FI102" s="27"/>
      <x:c r="FJ102" s="27"/>
      <x:c r="FK102" s="27"/>
      <x:c r="FL102" s="27"/>
      <x:c r="FM102" s="27"/>
      <x:c r="FN102" s="27"/>
      <x:c r="FO102" s="27"/>
      <x:c r="FP102" s="27"/>
      <x:c r="FQ102" s="27"/>
      <x:c r="FR102" s="27"/>
      <x:c r="FS102" s="27"/>
      <x:c r="FT102" s="27"/>
      <x:c r="FU102" s="27"/>
      <x:c r="FV102" s="27"/>
      <x:c r="FW102" s="27"/>
      <x:c r="FX102" s="27"/>
      <x:c r="FY102" s="27"/>
      <x:c r="FZ102" s="27"/>
      <x:c r="GA102" s="27"/>
      <x:c r="GB102" s="27"/>
      <x:c r="GC102" s="27"/>
      <x:c r="GD102" s="27"/>
      <x:c r="GE102" s="27"/>
      <x:c r="GF102" s="27"/>
      <x:c r="GG102" s="27"/>
      <x:c r="GH102" s="27"/>
      <x:c r="GI102" s="27"/>
      <x:c r="GJ102" s="27"/>
      <x:c r="GK102" s="27"/>
      <x:c r="GL102" s="27"/>
      <x:c r="GM102" s="27"/>
      <x:c r="GN102" s="27"/>
      <x:c r="GO102" s="27"/>
      <x:c r="GP102" s="27"/>
      <x:c r="GQ102" s="27"/>
      <x:c r="GR102" s="27"/>
      <x:c r="GS102" s="27"/>
      <x:c r="GT102" s="27"/>
      <x:c r="GU102" s="27"/>
      <x:c r="GV102" s="27"/>
      <x:c r="GW102" s="27"/>
      <x:c r="GX102" s="27"/>
      <x:c r="GY102" s="27"/>
      <x:c r="GZ102" s="27"/>
      <x:c r="HA102" s="27"/>
      <x:c r="HB102" s="27"/>
      <x:c r="HC102" s="27"/>
      <x:c r="HD102" s="27"/>
      <x:c r="HE102" s="27"/>
      <x:c r="HF102" s="27"/>
      <x:c r="HG102" s="27"/>
      <x:c r="HH102" s="27"/>
      <x:c r="HI102" s="27"/>
      <x:c r="HJ102" s="27"/>
      <x:c r="HK102" s="27"/>
      <x:c r="HL102" s="27"/>
      <x:c r="HM102" s="27"/>
      <x:c r="HN102" s="27"/>
      <x:c r="HO102" s="27"/>
      <x:c r="HP102" s="27" t="str">
        <x:f>IF(C102="","",SUM(H102,N102,T102,Z102,AF102,AL102,AR102,AX102,BD102,BJ102,BP102,BV102,CB102,CH102,CN102,CT102,CZ102,DF102,DL102,DR102,DX102,ED102,EJ102,EP102,EV102,FB102,FH102,FN102,FT102,FZ102,GF102,GL102,GR102,GX102,HD102,HJ102))</x:f>
      </x:c>
      <x:c r="HQ102" s="27" t="str">
        <x:f>IF(C102="","",SUM(I102,O102,U102,AA102,AG102,AM102,AS102,AY102,BE102,BK102,BQ102,BW102,CC102,CI102,CO102,CU102,DA102,DG102,DM102,DS102,DY102,EE102,EK102,EQ102,EW102,FC102,FI102,FO102,FU102,GA102,GG102,GM102,GS102,GY102,HE102,HK102))</x:f>
      </x:c>
      <x:c r="HR102" s="27" t="str">
        <x:f>IF(C102="","",SUM(J102,P102,V102,AB102,AH102,AN102,AT102,AZ102,BF102,BL102,BR102,BX102,CD102,CJ102,CP102,CV102,DB102,DH102,DN102,DT102,DZ102,EF102,EL102,ER102,EX102,FD102,FJ102,FP102,FV102,GB102,GH102,GN102,GT102,GZ102,HF102,HL102))</x:f>
      </x:c>
      <x:c r="HS102" s="27" t="str">
        <x:f>IF(C102="","",SUM(K102,Q102,W102,AC102,AI102,AO102,AU102,BA102,BG102,BM102,BS102,BY102,CE102,CK102,CQ102,CW102,DC102,DI102,DO102,DU102,EA102,EG102,EM102,ES102,EY102,FE102,FK102,FQ102,FW102,GC102,GI102,GO102,GU102,HA102,HG102,HM102))</x:f>
      </x:c>
      <x:c r="HT102" s="27" t="str">
        <x:f>IF(C102="","",SUM(L102,R102,X102,AD102,AJ102,AP102,AV102,BB102,BH102,BN102,BT102,BZ102,CF102,CL102,CR102,CX102,DD102,DJ102,DP102,DV102,EB102,EH102,EN102,ET102,EZ102,FF102,FL102,FR102,FX102,GD102,GJ102,GP102,GV102,HB102,HH102,HN102))</x:f>
      </x:c>
      <x:c r="HU102" s="27" t="str">
        <x:f>IF(C102="","",SUM(M102,S102,Y102,AE102,AK102,AQ102,AW102,BC102,BI102,BO102,BU102,CA102,CG102,CM102,CS102,CY102,DE102,DK102,DQ102,DW102,EC102,EI102,EO102,EU102,FA102,FG102,FM102,FS102,FY102,GE102,GK102,GQ102,GW102,HC102,HI102,HO102))</x:f>
      </x:c>
      <x:c r="HV102" s="27" t="str">
        <x:f>IF(C102="","",IF(JI102=LARGE(JI102:JN102,1),"R",IF(JJ102=LARGE(JI102:JN102,1),"I",IF(JK102=LARGE(JI102:JN102,1),"A",IF(JL102=LARGE(JI102:JN102,1),"S",IF(JM102=LARGE(JI102:JN102,1),"E",IF(JN102=LARGE(JI102:JN102,1),"C",""))))))&amp;IF(JI102=LARGE(JI102:JN102,2),"R",IF(JJ102=LARGE(JI102:JN102,2),"I",IF(JK102=LARGE(JI102:JN102,2),"A",IF(JL102=LARGE(JI102:JN102,2),"S",IF(JM102=LARGE(JI102:JN102,2),"E",IF(JN102=LARGE(JI102:JN102,2),"C",""))))))&amp;IF(JI102=LARGE(JI102:JN102,3),"R",IF(JJ102=LARGE(JI102:JN102,3),"I",IF(JK102=LARGE(JI102:JN102,3),"A",IF(JL102=LARGE(JI102:JN102,3),"S",IF(JM102=LARGE(JI102:JN102,3),"E",IF(JN102=LARGE(JI102:JN102,3),"C","")))))))</x:f>
      </x:c>
      <x:c r="HW102" s="27" t="str">
        <x:f>IF(C102="","",IF(JI102=LARGE(JI102:JN102,1),"นักปฏิบัติ",IF(JJ102=LARGE(JI102:JN102,1),"นักคิดวิเคราะห์",IF(JK102=LARGE(JI102:JN102,1),"นักสร้างสรรค์",IF(JL102=LARGE(JI102:JN102,1),"ผู้เข้าใจผู้คน",IF(JM102=LARGE(JI102:JN102,1),"ผู้นำการเปลี่ยนแปลง",IF(JN102=LARGE(JI102:JN102,1),"ผู้จัดระบบ","ผู้จัดระบบ")))))))</x:f>
      </x:c>
      <x:c r="HX102" s="27"/>
      <x:c r="HY102" s="27"/>
      <x:c r="HZ102" s="27"/>
      <x:c r="IA102" s="27"/>
      <x:c r="IB102" s="27"/>
      <x:c r="IC102" s="27"/>
      <x:c r="ID102" s="27"/>
      <x:c r="IE102" s="27"/>
      <x:c r="IF102" s="27"/>
      <x:c r="IG102" s="27"/>
      <x:c r="IH102" s="27"/>
      <x:c r="II102" s="27"/>
      <x:c r="IJ102" s="27"/>
      <x:c r="IK102" s="27" t="str">
        <x:f>IF(C102="","",SUM(H102,N102,T102,Z102,AF102,AL102,AR102,AX102,BD102,BJ102,BP102))</x:f>
      </x:c>
      <x:c r="IL102" s="27" t="str">
        <x:f>IF(C102="","",SUM(I102,O102,U102,AA102,AG102,AM102,AS102,AY102,BE102,BK102,BQ102))</x:f>
      </x:c>
      <x:c r="IM102" s="27" t="str">
        <x:f>IF(C102="","",SUM(J102,P102,V102,AB102,AH102,AN102,AT102,AZ102,BF102,BL102,BR102))</x:f>
      </x:c>
      <x:c r="IN102" s="27" t="str">
        <x:f>IF(C102="","",SUM(K102,Q102,W102,AC102,AI102,AO102,AU102,BA102,BG102,BM102,BS102))</x:f>
      </x:c>
      <x:c r="IO102" s="27" t="str">
        <x:f>IF(C102="","",SUM(L102,R102,X102,AD102,AJ102,AP102,AV102,BB102,BH102,BN102,BT102))</x:f>
      </x:c>
      <x:c r="IP102" s="27" t="str">
        <x:f>IF(C102="","",SUM(M102,S102,Y102,AE102,AK102,AQ102,AW102,BC102,BI102,BO102,BU102))</x:f>
      </x:c>
      <x:c r="IQ102" s="27" t="str">
        <x:f>IF(C102="","",SUM(BV102,CB102,CH102,CN102,CT102,CZ102,DF102,DL102,DR102,DX102,ED102))</x:f>
      </x:c>
      <x:c r="IR102" s="27" t="str">
        <x:f>IF(C102="","",SUM(BW102,CC102,CI102,CO102,CU102,DA102,DG102,DM102,DS102,DY102,EE102))</x:f>
      </x:c>
      <x:c r="IS102" s="27" t="str">
        <x:f>IF(C102="","",SUM(BX102,CD102,CJ102,CP102,CV102,DB102,DH102,DN102,DT102,DZ102,EF102))</x:f>
      </x:c>
      <x:c r="IT102" s="27" t="str">
        <x:f>IF(C102="","",SUM(BY102,CE102,CK102,CQ102,CW102,DC102,DI102,DO102,DU102,EA102,EG102))</x:f>
      </x:c>
      <x:c r="IU102" s="27" t="str">
        <x:f>IF(C102="","",SUM(BZ102,CF102,CL102,CR102,CX102,DD102,DJ102,DP102,DV102,EB102,EH102))</x:f>
      </x:c>
      <x:c r="IV102" s="27" t="str">
        <x:f>IF(C102="","",SUM(CA102,CG102,CM102,CS102,CY102,DE102,DK102,DQ102,DW102,EC102,EI102))</x:f>
      </x:c>
      <x:c r="IW102" s="27" t="str">
        <x:f>IF(C102="","",SUM(EJ102,EP102,EV102,FB102,FH102,FN102,FT102,FZ102,GF102,GL102,GR102,GX102,HD102,HJ102))</x:f>
      </x:c>
      <x:c r="IX102" s="27" t="str">
        <x:f>IF(C102="","",SUM(EK102,EQ102,EW102,FC102,FI102,FO102,FU102,GA102,GG102,GM102,GS102,GY102,HE102,HK102))</x:f>
      </x:c>
      <x:c r="IY102" s="27" t="str">
        <x:f>IF(C102="","",SUM(EL102,ER102,EX102,FD102,FJ102,FP102,FV102,GB102,GH102,GN102,GT102,GZ102,HF102,HL102))</x:f>
      </x:c>
      <x:c r="IZ102" s="27" t="str">
        <x:f>IF(C102="","",SUM(EM102,ES102,EY102,FE102,FK102,FQ102,FW102,GC102,GI102,GO102,GU102,HA102,HG102,HM102))</x:f>
      </x:c>
      <x:c r="JA102" s="27" t="str">
        <x:f>IF(C102="","",SUM(EN102,ET102,EZ102,FF102,FL102,FR102,FX102,GD102,GJ102,GP102,GV102,HB102,HH102,HN102))</x:f>
      </x:c>
      <x:c r="JB102" s="27" t="str">
        <x:f>IF(C102="","",SUM(EO102,EU102,FA102,FG102,FM102,FS102,FY102,GE102,GK102,GQ102,GW102,HC102,HI102,HO102))</x:f>
      </x:c>
      <x:c r="JC102" s="27" t="str">
        <x:f>IF(C102="","",0)</x:f>
      </x:c>
      <x:c r="JD102" s="27" t="str">
        <x:f>IF(C102="","",0)</x:f>
      </x:c>
      <x:c r="JE102" s="27" t="str">
        <x:f>IF(C102="","",0)</x:f>
      </x:c>
      <x:c r="JF102" s="27" t="str">
        <x:f>IF(C102="","",0)</x:f>
      </x:c>
      <x:c r="JG102" s="27" t="str">
        <x:f>IF(C102="","",0)</x:f>
      </x:c>
      <x:c r="JH102" s="27" t="str">
        <x:f>IF(C102="","",0)</x:f>
      </x:c>
      <x:c r="JI102" s="27" t="str">
        <x:f>IF(C102="","",HP102*1000000000+IW102*1000000+IQ102*10000+IK102*100+JC102+6/1000)</x:f>
      </x:c>
      <x:c r="JJ102" s="27" t="str">
        <x:f>IF(C102="","",HQ102*1000000000+IX102*1000000+IR102*10000+IL102*100+JD102+5/1000)</x:f>
      </x:c>
      <x:c r="JK102" s="27" t="str">
        <x:f>IF(C102="","",HR102*1000000000+IY102*1000000+IS102*10000+IM102*100+JE102+4/1000)</x:f>
      </x:c>
      <x:c r="JL102" s="27" t="str">
        <x:f>IF(C102="","",HS102*1000000000+IZ102*1000000+IT102*10000+IN102*100+JF102+3/1000)</x:f>
      </x:c>
      <x:c r="JM102" s="27" t="str">
        <x:f>IF(C102="","",HT102*1000000000+JA102*1000000+IU102*10000+IO102*100+JG102+2/1000)</x:f>
      </x:c>
      <x:c r="JN102" s="27" t="str">
        <x:f>IF(C102="","",HU102*1000000000+JB102*1000000+IV102*10000+IP102*100+JH102+1/1000)</x:f>
      </x:c>
    </x:row>
    <x:row r="103">
      <x:c r="A103" s="27"/>
      <x:c r="B103" s="28"/>
      <x:c r="C103" s="27"/>
      <x:c r="D103" s="27"/>
      <x:c r="E103" s="27"/>
      <x:c r="F103" s="27"/>
      <x:c r="G103" s="27"/>
      <x:c r="H103" s="27"/>
      <x:c r="I103" s="27"/>
      <x:c r="J103" s="27"/>
      <x:c r="K103" s="27"/>
      <x:c r="L103" s="27"/>
      <x:c r="M103" s="27"/>
      <x:c r="N103" s="27"/>
      <x:c r="O103" s="27"/>
      <x:c r="P103" s="27"/>
      <x:c r="Q103" s="27"/>
      <x:c r="R103" s="27"/>
      <x:c r="S103" s="27"/>
      <x:c r="T103" s="27"/>
      <x:c r="U103" s="27"/>
      <x:c r="V103" s="27"/>
      <x:c r="W103" s="27"/>
      <x:c r="X103" s="27"/>
      <x:c r="Y103" s="27"/>
      <x:c r="Z103" s="27"/>
      <x:c r="AA103" s="27"/>
      <x:c r="AB103" s="27"/>
      <x:c r="AC103" s="27"/>
      <x:c r="AD103" s="27"/>
      <x:c r="AE103" s="27"/>
      <x:c r="AF103" s="27"/>
      <x:c r="AG103" s="27"/>
      <x:c r="AH103" s="27"/>
      <x:c r="AI103" s="27"/>
      <x:c r="AJ103" s="27"/>
      <x:c r="AK103" s="27"/>
      <x:c r="AL103" s="27"/>
      <x:c r="AM103" s="27"/>
      <x:c r="AN103" s="27"/>
      <x:c r="AO103" s="27"/>
      <x:c r="AP103" s="27"/>
      <x:c r="AQ103" s="27"/>
      <x:c r="AR103" s="27"/>
      <x:c r="AS103" s="27"/>
      <x:c r="AT103" s="27"/>
      <x:c r="AU103" s="27"/>
      <x:c r="AV103" s="27"/>
      <x:c r="AW103" s="27"/>
      <x:c r="AX103" s="27"/>
      <x:c r="AY103" s="27"/>
      <x:c r="AZ103" s="27"/>
      <x:c r="BA103" s="27"/>
      <x:c r="BB103" s="27"/>
      <x:c r="BC103" s="27"/>
      <x:c r="BD103" s="27"/>
      <x:c r="BE103" s="27"/>
      <x:c r="BF103" s="27"/>
      <x:c r="BG103" s="27"/>
      <x:c r="BH103" s="27"/>
      <x:c r="BI103" s="27"/>
      <x:c r="BJ103" s="27"/>
      <x:c r="BK103" s="27"/>
      <x:c r="BL103" s="27"/>
      <x:c r="BM103" s="27"/>
      <x:c r="BN103" s="27"/>
      <x:c r="BO103" s="27"/>
      <x:c r="BP103" s="27"/>
      <x:c r="BQ103" s="27"/>
      <x:c r="BR103" s="27"/>
      <x:c r="BS103" s="27"/>
      <x:c r="BT103" s="27"/>
      <x:c r="BU103" s="27"/>
      <x:c r="BV103" s="27"/>
      <x:c r="BW103" s="27"/>
      <x:c r="BX103" s="27"/>
      <x:c r="BY103" s="27"/>
      <x:c r="BZ103" s="27"/>
      <x:c r="CA103" s="27"/>
      <x:c r="CB103" s="27"/>
      <x:c r="CC103" s="27"/>
      <x:c r="CD103" s="27"/>
      <x:c r="CE103" s="27"/>
      <x:c r="CF103" s="27"/>
      <x:c r="CG103" s="27"/>
      <x:c r="CH103" s="27"/>
      <x:c r="CI103" s="27"/>
      <x:c r="CJ103" s="27"/>
      <x:c r="CK103" s="27"/>
      <x:c r="CL103" s="27"/>
      <x:c r="CM103" s="27"/>
      <x:c r="CN103" s="27"/>
      <x:c r="CO103" s="27"/>
      <x:c r="CP103" s="27"/>
      <x:c r="CQ103" s="27"/>
      <x:c r="CR103" s="27"/>
      <x:c r="CS103" s="27"/>
      <x:c r="CT103" s="27"/>
      <x:c r="CU103" s="27"/>
      <x:c r="CV103" s="27"/>
      <x:c r="CW103" s="27"/>
      <x:c r="CX103" s="27"/>
      <x:c r="CY103" s="27"/>
      <x:c r="CZ103" s="27"/>
      <x:c r="DA103" s="27"/>
      <x:c r="DB103" s="27"/>
      <x:c r="DC103" s="27"/>
      <x:c r="DD103" s="27"/>
      <x:c r="DE103" s="27"/>
      <x:c r="DF103" s="27"/>
      <x:c r="DG103" s="27"/>
      <x:c r="DH103" s="27"/>
      <x:c r="DI103" s="27"/>
      <x:c r="DJ103" s="27"/>
      <x:c r="DK103" s="27"/>
      <x:c r="DL103" s="27"/>
      <x:c r="DM103" s="27"/>
      <x:c r="DN103" s="27"/>
      <x:c r="DO103" s="27"/>
      <x:c r="DP103" s="27"/>
      <x:c r="DQ103" s="27"/>
      <x:c r="DR103" s="27"/>
      <x:c r="DS103" s="27"/>
      <x:c r="DT103" s="27"/>
      <x:c r="DU103" s="27"/>
      <x:c r="DV103" s="27"/>
      <x:c r="DW103" s="27"/>
      <x:c r="DX103" s="27"/>
      <x:c r="DY103" s="27"/>
      <x:c r="DZ103" s="27"/>
      <x:c r="EA103" s="27"/>
      <x:c r="EB103" s="27"/>
      <x:c r="EC103" s="27"/>
      <x:c r="ED103" s="27"/>
      <x:c r="EE103" s="27"/>
      <x:c r="EF103" s="27"/>
      <x:c r="EG103" s="27"/>
      <x:c r="EH103" s="27"/>
      <x:c r="EI103" s="27"/>
      <x:c r="EJ103" s="27"/>
      <x:c r="EK103" s="27"/>
      <x:c r="EL103" s="27"/>
      <x:c r="EM103" s="27"/>
      <x:c r="EN103" s="27"/>
      <x:c r="EO103" s="27"/>
      <x:c r="EP103" s="27"/>
      <x:c r="EQ103" s="27"/>
      <x:c r="ER103" s="27"/>
      <x:c r="ES103" s="27"/>
      <x:c r="ET103" s="27"/>
      <x:c r="EU103" s="27"/>
      <x:c r="EV103" s="27"/>
      <x:c r="EW103" s="27"/>
      <x:c r="EX103" s="27"/>
      <x:c r="EY103" s="27"/>
      <x:c r="EZ103" s="27"/>
      <x:c r="FA103" s="27"/>
      <x:c r="FB103" s="27"/>
      <x:c r="FC103" s="27"/>
      <x:c r="FD103" s="27"/>
      <x:c r="FE103" s="27"/>
      <x:c r="FF103" s="27"/>
      <x:c r="FG103" s="27"/>
      <x:c r="FH103" s="27"/>
      <x:c r="FI103" s="27"/>
      <x:c r="FJ103" s="27"/>
      <x:c r="FK103" s="27"/>
      <x:c r="FL103" s="27"/>
      <x:c r="FM103" s="27"/>
      <x:c r="FN103" s="27"/>
      <x:c r="FO103" s="27"/>
      <x:c r="FP103" s="27"/>
      <x:c r="FQ103" s="27"/>
      <x:c r="FR103" s="27"/>
      <x:c r="FS103" s="27"/>
      <x:c r="FT103" s="27"/>
      <x:c r="FU103" s="27"/>
      <x:c r="FV103" s="27"/>
      <x:c r="FW103" s="27"/>
      <x:c r="FX103" s="27"/>
      <x:c r="FY103" s="27"/>
      <x:c r="FZ103" s="27"/>
      <x:c r="GA103" s="27"/>
      <x:c r="GB103" s="27"/>
      <x:c r="GC103" s="27"/>
      <x:c r="GD103" s="27"/>
      <x:c r="GE103" s="27"/>
      <x:c r="GF103" s="27"/>
      <x:c r="GG103" s="27"/>
      <x:c r="GH103" s="27"/>
      <x:c r="GI103" s="27"/>
      <x:c r="GJ103" s="27"/>
      <x:c r="GK103" s="27"/>
      <x:c r="GL103" s="27"/>
      <x:c r="GM103" s="27"/>
      <x:c r="GN103" s="27"/>
      <x:c r="GO103" s="27"/>
      <x:c r="GP103" s="27"/>
      <x:c r="GQ103" s="27"/>
      <x:c r="GR103" s="27"/>
      <x:c r="GS103" s="27"/>
      <x:c r="GT103" s="27"/>
      <x:c r="GU103" s="27"/>
      <x:c r="GV103" s="27"/>
      <x:c r="GW103" s="27"/>
      <x:c r="GX103" s="27"/>
      <x:c r="GY103" s="27"/>
      <x:c r="GZ103" s="27"/>
      <x:c r="HA103" s="27"/>
      <x:c r="HB103" s="27"/>
      <x:c r="HC103" s="27"/>
      <x:c r="HD103" s="27"/>
      <x:c r="HE103" s="27"/>
      <x:c r="HF103" s="27"/>
      <x:c r="HG103" s="27"/>
      <x:c r="HH103" s="27"/>
      <x:c r="HI103" s="27"/>
      <x:c r="HJ103" s="27"/>
      <x:c r="HK103" s="27"/>
      <x:c r="HL103" s="27"/>
      <x:c r="HM103" s="27"/>
      <x:c r="HN103" s="27"/>
      <x:c r="HO103" s="27"/>
      <x:c r="HP103" s="27" t="str">
        <x:f>IF(C103="","",SUM(H103,N103,T103,Z103,AF103,AL103,AR103,AX103,BD103,BJ103,BP103,BV103,CB103,CH103,CN103,CT103,CZ103,DF103,DL103,DR103,DX103,ED103,EJ103,EP103,EV103,FB103,FH103,FN103,FT103,FZ103,GF103,GL103,GR103,GX103,HD103,HJ103))</x:f>
      </x:c>
      <x:c r="HQ103" s="27" t="str">
        <x:f>IF(C103="","",SUM(I103,O103,U103,AA103,AG103,AM103,AS103,AY103,BE103,BK103,BQ103,BW103,CC103,CI103,CO103,CU103,DA103,DG103,DM103,DS103,DY103,EE103,EK103,EQ103,EW103,FC103,FI103,FO103,FU103,GA103,GG103,GM103,GS103,GY103,HE103,HK103))</x:f>
      </x:c>
      <x:c r="HR103" s="27" t="str">
        <x:f>IF(C103="","",SUM(J103,P103,V103,AB103,AH103,AN103,AT103,AZ103,BF103,BL103,BR103,BX103,CD103,CJ103,CP103,CV103,DB103,DH103,DN103,DT103,DZ103,EF103,EL103,ER103,EX103,FD103,FJ103,FP103,FV103,GB103,GH103,GN103,GT103,GZ103,HF103,HL103))</x:f>
      </x:c>
      <x:c r="HS103" s="27" t="str">
        <x:f>IF(C103="","",SUM(K103,Q103,W103,AC103,AI103,AO103,AU103,BA103,BG103,BM103,BS103,BY103,CE103,CK103,CQ103,CW103,DC103,DI103,DO103,DU103,EA103,EG103,EM103,ES103,EY103,FE103,FK103,FQ103,FW103,GC103,GI103,GO103,GU103,HA103,HG103,HM103))</x:f>
      </x:c>
      <x:c r="HT103" s="27" t="str">
        <x:f>IF(C103="","",SUM(L103,R103,X103,AD103,AJ103,AP103,AV103,BB103,BH103,BN103,BT103,BZ103,CF103,CL103,CR103,CX103,DD103,DJ103,DP103,DV103,EB103,EH103,EN103,ET103,EZ103,FF103,FL103,FR103,FX103,GD103,GJ103,GP103,GV103,HB103,HH103,HN103))</x:f>
      </x:c>
      <x:c r="HU103" s="27" t="str">
        <x:f>IF(C103="","",SUM(M103,S103,Y103,AE103,AK103,AQ103,AW103,BC103,BI103,BO103,BU103,CA103,CG103,CM103,CS103,CY103,DE103,DK103,DQ103,DW103,EC103,EI103,EO103,EU103,FA103,FG103,FM103,FS103,FY103,GE103,GK103,GQ103,GW103,HC103,HI103,HO103))</x:f>
      </x:c>
      <x:c r="HV103" s="27" t="str">
        <x:f>IF(C103="","",IF(JI103=LARGE(JI103:JN103,1),"R",IF(JJ103=LARGE(JI103:JN103,1),"I",IF(JK103=LARGE(JI103:JN103,1),"A",IF(JL103=LARGE(JI103:JN103,1),"S",IF(JM103=LARGE(JI103:JN103,1),"E",IF(JN103=LARGE(JI103:JN103,1),"C",""))))))&amp;IF(JI103=LARGE(JI103:JN103,2),"R",IF(JJ103=LARGE(JI103:JN103,2),"I",IF(JK103=LARGE(JI103:JN103,2),"A",IF(JL103=LARGE(JI103:JN103,2),"S",IF(JM103=LARGE(JI103:JN103,2),"E",IF(JN103=LARGE(JI103:JN103,2),"C",""))))))&amp;IF(JI103=LARGE(JI103:JN103,3),"R",IF(JJ103=LARGE(JI103:JN103,3),"I",IF(JK103=LARGE(JI103:JN103,3),"A",IF(JL103=LARGE(JI103:JN103,3),"S",IF(JM103=LARGE(JI103:JN103,3),"E",IF(JN103=LARGE(JI103:JN103,3),"C","")))))))</x:f>
      </x:c>
      <x:c r="HW103" s="27" t="str">
        <x:f>IF(C103="","",IF(JI103=LARGE(JI103:JN103,1),"นักปฏิบัติ",IF(JJ103=LARGE(JI103:JN103,1),"นักคิดวิเคราะห์",IF(JK103=LARGE(JI103:JN103,1),"นักสร้างสรรค์",IF(JL103=LARGE(JI103:JN103,1),"ผู้เข้าใจผู้คน",IF(JM103=LARGE(JI103:JN103,1),"ผู้นำการเปลี่ยนแปลง",IF(JN103=LARGE(JI103:JN103,1),"ผู้จัดระบบ","ผู้จัดระบบ")))))))</x:f>
      </x:c>
      <x:c r="HX103" s="27"/>
      <x:c r="HY103" s="27"/>
      <x:c r="HZ103" s="27"/>
      <x:c r="IA103" s="27"/>
      <x:c r="IB103" s="27"/>
      <x:c r="IC103" s="27"/>
      <x:c r="ID103" s="27"/>
      <x:c r="IE103" s="27"/>
      <x:c r="IF103" s="27"/>
      <x:c r="IG103" s="27"/>
      <x:c r="IH103" s="27"/>
      <x:c r="II103" s="27"/>
      <x:c r="IJ103" s="27"/>
      <x:c r="IK103" s="27" t="str">
        <x:f>IF(C103="","",SUM(H103,N103,T103,Z103,AF103,AL103,AR103,AX103,BD103,BJ103,BP103))</x:f>
      </x:c>
      <x:c r="IL103" s="27" t="str">
        <x:f>IF(C103="","",SUM(I103,O103,U103,AA103,AG103,AM103,AS103,AY103,BE103,BK103,BQ103))</x:f>
      </x:c>
      <x:c r="IM103" s="27" t="str">
        <x:f>IF(C103="","",SUM(J103,P103,V103,AB103,AH103,AN103,AT103,AZ103,BF103,BL103,BR103))</x:f>
      </x:c>
      <x:c r="IN103" s="27" t="str">
        <x:f>IF(C103="","",SUM(K103,Q103,W103,AC103,AI103,AO103,AU103,BA103,BG103,BM103,BS103))</x:f>
      </x:c>
      <x:c r="IO103" s="27" t="str">
        <x:f>IF(C103="","",SUM(L103,R103,X103,AD103,AJ103,AP103,AV103,BB103,BH103,BN103,BT103))</x:f>
      </x:c>
      <x:c r="IP103" s="27" t="str">
        <x:f>IF(C103="","",SUM(M103,S103,Y103,AE103,AK103,AQ103,AW103,BC103,BI103,BO103,BU103))</x:f>
      </x:c>
      <x:c r="IQ103" s="27" t="str">
        <x:f>IF(C103="","",SUM(BV103,CB103,CH103,CN103,CT103,CZ103,DF103,DL103,DR103,DX103,ED103))</x:f>
      </x:c>
      <x:c r="IR103" s="27" t="str">
        <x:f>IF(C103="","",SUM(BW103,CC103,CI103,CO103,CU103,DA103,DG103,DM103,DS103,DY103,EE103))</x:f>
      </x:c>
      <x:c r="IS103" s="27" t="str">
        <x:f>IF(C103="","",SUM(BX103,CD103,CJ103,CP103,CV103,DB103,DH103,DN103,DT103,DZ103,EF103))</x:f>
      </x:c>
      <x:c r="IT103" s="27" t="str">
        <x:f>IF(C103="","",SUM(BY103,CE103,CK103,CQ103,CW103,DC103,DI103,DO103,DU103,EA103,EG103))</x:f>
      </x:c>
      <x:c r="IU103" s="27" t="str">
        <x:f>IF(C103="","",SUM(BZ103,CF103,CL103,CR103,CX103,DD103,DJ103,DP103,DV103,EB103,EH103))</x:f>
      </x:c>
      <x:c r="IV103" s="27" t="str">
        <x:f>IF(C103="","",SUM(CA103,CG103,CM103,CS103,CY103,DE103,DK103,DQ103,DW103,EC103,EI103))</x:f>
      </x:c>
      <x:c r="IW103" s="27" t="str">
        <x:f>IF(C103="","",SUM(EJ103,EP103,EV103,FB103,FH103,FN103,FT103,FZ103,GF103,GL103,GR103,GX103,HD103,HJ103))</x:f>
      </x:c>
      <x:c r="IX103" s="27" t="str">
        <x:f>IF(C103="","",SUM(EK103,EQ103,EW103,FC103,FI103,FO103,FU103,GA103,GG103,GM103,GS103,GY103,HE103,HK103))</x:f>
      </x:c>
      <x:c r="IY103" s="27" t="str">
        <x:f>IF(C103="","",SUM(EL103,ER103,EX103,FD103,FJ103,FP103,FV103,GB103,GH103,GN103,GT103,GZ103,HF103,HL103))</x:f>
      </x:c>
      <x:c r="IZ103" s="27" t="str">
        <x:f>IF(C103="","",SUM(EM103,ES103,EY103,FE103,FK103,FQ103,FW103,GC103,GI103,GO103,GU103,HA103,HG103,HM103))</x:f>
      </x:c>
      <x:c r="JA103" s="27" t="str">
        <x:f>IF(C103="","",SUM(EN103,ET103,EZ103,FF103,FL103,FR103,FX103,GD103,GJ103,GP103,GV103,HB103,HH103,HN103))</x:f>
      </x:c>
      <x:c r="JB103" s="27" t="str">
        <x:f>IF(C103="","",SUM(EO103,EU103,FA103,FG103,FM103,FS103,FY103,GE103,GK103,GQ103,GW103,HC103,HI103,HO103))</x:f>
      </x:c>
      <x:c r="JC103" s="27" t="str">
        <x:f>IF(C103="","",0)</x:f>
      </x:c>
      <x:c r="JD103" s="27" t="str">
        <x:f>IF(C103="","",0)</x:f>
      </x:c>
      <x:c r="JE103" s="27" t="str">
        <x:f>IF(C103="","",0)</x:f>
      </x:c>
      <x:c r="JF103" s="27" t="str">
        <x:f>IF(C103="","",0)</x:f>
      </x:c>
      <x:c r="JG103" s="27" t="str">
        <x:f>IF(C103="","",0)</x:f>
      </x:c>
      <x:c r="JH103" s="27" t="str">
        <x:f>IF(C103="","",0)</x:f>
      </x:c>
      <x:c r="JI103" s="27" t="str">
        <x:f>IF(C103="","",HP103*1000000000+IW103*1000000+IQ103*10000+IK103*100+JC103+6/1000)</x:f>
      </x:c>
      <x:c r="JJ103" s="27" t="str">
        <x:f>IF(C103="","",HQ103*1000000000+IX103*1000000+IR103*10000+IL103*100+JD103+5/1000)</x:f>
      </x:c>
      <x:c r="JK103" s="27" t="str">
        <x:f>IF(C103="","",HR103*1000000000+IY103*1000000+IS103*10000+IM103*100+JE103+4/1000)</x:f>
      </x:c>
      <x:c r="JL103" s="27" t="str">
        <x:f>IF(C103="","",HS103*1000000000+IZ103*1000000+IT103*10000+IN103*100+JF103+3/1000)</x:f>
      </x:c>
      <x:c r="JM103" s="27" t="str">
        <x:f>IF(C103="","",HT103*1000000000+JA103*1000000+IU103*10000+IO103*100+JG103+2/1000)</x:f>
      </x:c>
      <x:c r="JN103" s="27" t="str">
        <x:f>IF(C103="","",HU103*1000000000+JB103*1000000+IV103*10000+IP103*100+JH103+1/1000)</x:f>
      </x:c>
    </x:row>
    <x:row r="104">
      <x:c r="A104" s="27"/>
      <x:c r="B104" s="28"/>
      <x:c r="C104" s="27"/>
      <x:c r="D104" s="27"/>
      <x:c r="E104" s="27"/>
      <x:c r="F104" s="27"/>
      <x:c r="G104" s="27"/>
      <x:c r="H104" s="27"/>
      <x:c r="I104" s="27"/>
      <x:c r="J104" s="27"/>
      <x:c r="K104" s="27"/>
      <x:c r="L104" s="27"/>
      <x:c r="M104" s="27"/>
      <x:c r="N104" s="27"/>
      <x:c r="O104" s="27"/>
      <x:c r="P104" s="27"/>
      <x:c r="Q104" s="27"/>
      <x:c r="R104" s="27"/>
      <x:c r="S104" s="27"/>
      <x:c r="T104" s="27"/>
      <x:c r="U104" s="27"/>
      <x:c r="V104" s="27"/>
      <x:c r="W104" s="27"/>
      <x:c r="X104" s="27"/>
      <x:c r="Y104" s="27"/>
      <x:c r="Z104" s="27"/>
      <x:c r="AA104" s="27"/>
      <x:c r="AB104" s="27"/>
      <x:c r="AC104" s="27"/>
      <x:c r="AD104" s="27"/>
      <x:c r="AE104" s="27"/>
      <x:c r="AF104" s="27"/>
      <x:c r="AG104" s="27"/>
      <x:c r="AH104" s="27"/>
      <x:c r="AI104" s="27"/>
      <x:c r="AJ104" s="27"/>
      <x:c r="AK104" s="27"/>
      <x:c r="AL104" s="27"/>
      <x:c r="AM104" s="27"/>
      <x:c r="AN104" s="27"/>
      <x:c r="AO104" s="27"/>
      <x:c r="AP104" s="27"/>
      <x:c r="AQ104" s="27"/>
      <x:c r="AR104" s="27"/>
      <x:c r="AS104" s="27"/>
      <x:c r="AT104" s="27"/>
      <x:c r="AU104" s="27"/>
      <x:c r="AV104" s="27"/>
      <x:c r="AW104" s="27"/>
      <x:c r="AX104" s="27"/>
      <x:c r="AY104" s="27"/>
      <x:c r="AZ104" s="27"/>
      <x:c r="BA104" s="27"/>
      <x:c r="BB104" s="27"/>
      <x:c r="BC104" s="27"/>
      <x:c r="BD104" s="27"/>
      <x:c r="BE104" s="27"/>
      <x:c r="BF104" s="27"/>
      <x:c r="BG104" s="27"/>
      <x:c r="BH104" s="27"/>
      <x:c r="BI104" s="27"/>
      <x:c r="BJ104" s="27"/>
      <x:c r="BK104" s="27"/>
      <x:c r="BL104" s="27"/>
      <x:c r="BM104" s="27"/>
      <x:c r="BN104" s="27"/>
      <x:c r="BO104" s="27"/>
      <x:c r="BP104" s="27"/>
      <x:c r="BQ104" s="27"/>
      <x:c r="BR104" s="27"/>
      <x:c r="BS104" s="27"/>
      <x:c r="BT104" s="27"/>
      <x:c r="BU104" s="27"/>
      <x:c r="BV104" s="27"/>
      <x:c r="BW104" s="27"/>
      <x:c r="BX104" s="27"/>
      <x:c r="BY104" s="27"/>
      <x:c r="BZ104" s="27"/>
      <x:c r="CA104" s="27"/>
      <x:c r="CB104" s="27"/>
      <x:c r="CC104" s="27"/>
      <x:c r="CD104" s="27"/>
      <x:c r="CE104" s="27"/>
      <x:c r="CF104" s="27"/>
      <x:c r="CG104" s="27"/>
      <x:c r="CH104" s="27"/>
      <x:c r="CI104" s="27"/>
      <x:c r="CJ104" s="27"/>
      <x:c r="CK104" s="27"/>
      <x:c r="CL104" s="27"/>
      <x:c r="CM104" s="27"/>
      <x:c r="CN104" s="27"/>
      <x:c r="CO104" s="27"/>
      <x:c r="CP104" s="27"/>
      <x:c r="CQ104" s="27"/>
      <x:c r="CR104" s="27"/>
      <x:c r="CS104" s="27"/>
      <x:c r="CT104" s="27"/>
      <x:c r="CU104" s="27"/>
      <x:c r="CV104" s="27"/>
      <x:c r="CW104" s="27"/>
      <x:c r="CX104" s="27"/>
      <x:c r="CY104" s="27"/>
      <x:c r="CZ104" s="27"/>
      <x:c r="DA104" s="27"/>
      <x:c r="DB104" s="27"/>
      <x:c r="DC104" s="27"/>
      <x:c r="DD104" s="27"/>
      <x:c r="DE104" s="27"/>
      <x:c r="DF104" s="27"/>
      <x:c r="DG104" s="27"/>
      <x:c r="DH104" s="27"/>
      <x:c r="DI104" s="27"/>
      <x:c r="DJ104" s="27"/>
      <x:c r="DK104" s="27"/>
      <x:c r="DL104" s="27"/>
      <x:c r="DM104" s="27"/>
      <x:c r="DN104" s="27"/>
      <x:c r="DO104" s="27"/>
      <x:c r="DP104" s="27"/>
      <x:c r="DQ104" s="27"/>
      <x:c r="DR104" s="27"/>
      <x:c r="DS104" s="27"/>
      <x:c r="DT104" s="27"/>
      <x:c r="DU104" s="27"/>
      <x:c r="DV104" s="27"/>
      <x:c r="DW104" s="27"/>
      <x:c r="DX104" s="27"/>
      <x:c r="DY104" s="27"/>
      <x:c r="DZ104" s="27"/>
      <x:c r="EA104" s="27"/>
      <x:c r="EB104" s="27"/>
      <x:c r="EC104" s="27"/>
      <x:c r="ED104" s="27"/>
      <x:c r="EE104" s="27"/>
      <x:c r="EF104" s="27"/>
      <x:c r="EG104" s="27"/>
      <x:c r="EH104" s="27"/>
      <x:c r="EI104" s="27"/>
      <x:c r="EJ104" s="27"/>
      <x:c r="EK104" s="27"/>
      <x:c r="EL104" s="27"/>
      <x:c r="EM104" s="27"/>
      <x:c r="EN104" s="27"/>
      <x:c r="EO104" s="27"/>
      <x:c r="EP104" s="27"/>
      <x:c r="EQ104" s="27"/>
      <x:c r="ER104" s="27"/>
      <x:c r="ES104" s="27"/>
      <x:c r="ET104" s="27"/>
      <x:c r="EU104" s="27"/>
      <x:c r="EV104" s="27"/>
      <x:c r="EW104" s="27"/>
      <x:c r="EX104" s="27"/>
      <x:c r="EY104" s="27"/>
      <x:c r="EZ104" s="27"/>
      <x:c r="FA104" s="27"/>
      <x:c r="FB104" s="27"/>
      <x:c r="FC104" s="27"/>
      <x:c r="FD104" s="27"/>
      <x:c r="FE104" s="27"/>
      <x:c r="FF104" s="27"/>
      <x:c r="FG104" s="27"/>
      <x:c r="FH104" s="27"/>
      <x:c r="FI104" s="27"/>
      <x:c r="FJ104" s="27"/>
      <x:c r="FK104" s="27"/>
      <x:c r="FL104" s="27"/>
      <x:c r="FM104" s="27"/>
      <x:c r="FN104" s="27"/>
      <x:c r="FO104" s="27"/>
      <x:c r="FP104" s="27"/>
      <x:c r="FQ104" s="27"/>
      <x:c r="FR104" s="27"/>
      <x:c r="FS104" s="27"/>
      <x:c r="FT104" s="27"/>
      <x:c r="FU104" s="27"/>
      <x:c r="FV104" s="27"/>
      <x:c r="FW104" s="27"/>
      <x:c r="FX104" s="27"/>
      <x:c r="FY104" s="27"/>
      <x:c r="FZ104" s="27"/>
      <x:c r="GA104" s="27"/>
      <x:c r="GB104" s="27"/>
      <x:c r="GC104" s="27"/>
      <x:c r="GD104" s="27"/>
      <x:c r="GE104" s="27"/>
      <x:c r="GF104" s="27"/>
      <x:c r="GG104" s="27"/>
      <x:c r="GH104" s="27"/>
      <x:c r="GI104" s="27"/>
      <x:c r="GJ104" s="27"/>
      <x:c r="GK104" s="27"/>
      <x:c r="GL104" s="27"/>
      <x:c r="GM104" s="27"/>
      <x:c r="GN104" s="27"/>
      <x:c r="GO104" s="27"/>
      <x:c r="GP104" s="27"/>
      <x:c r="GQ104" s="27"/>
      <x:c r="GR104" s="27"/>
      <x:c r="GS104" s="27"/>
      <x:c r="GT104" s="27"/>
      <x:c r="GU104" s="27"/>
      <x:c r="GV104" s="27"/>
      <x:c r="GW104" s="27"/>
      <x:c r="GX104" s="27"/>
      <x:c r="GY104" s="27"/>
      <x:c r="GZ104" s="27"/>
      <x:c r="HA104" s="27"/>
      <x:c r="HB104" s="27"/>
      <x:c r="HC104" s="27"/>
      <x:c r="HD104" s="27"/>
      <x:c r="HE104" s="27"/>
      <x:c r="HF104" s="27"/>
      <x:c r="HG104" s="27"/>
      <x:c r="HH104" s="27"/>
      <x:c r="HI104" s="27"/>
      <x:c r="HJ104" s="27"/>
      <x:c r="HK104" s="27"/>
      <x:c r="HL104" s="27"/>
      <x:c r="HM104" s="27"/>
      <x:c r="HN104" s="27"/>
      <x:c r="HO104" s="27"/>
      <x:c r="HP104" s="27" t="str">
        <x:f>IF(C104="","",SUM(H104,N104,T104,Z104,AF104,AL104,AR104,AX104,BD104,BJ104,BP104,BV104,CB104,CH104,CN104,CT104,CZ104,DF104,DL104,DR104,DX104,ED104,EJ104,EP104,EV104,FB104,FH104,FN104,FT104,FZ104,GF104,GL104,GR104,GX104,HD104,HJ104))</x:f>
      </x:c>
      <x:c r="HQ104" s="27" t="str">
        <x:f>IF(C104="","",SUM(I104,O104,U104,AA104,AG104,AM104,AS104,AY104,BE104,BK104,BQ104,BW104,CC104,CI104,CO104,CU104,DA104,DG104,DM104,DS104,DY104,EE104,EK104,EQ104,EW104,FC104,FI104,FO104,FU104,GA104,GG104,GM104,GS104,GY104,HE104,HK104))</x:f>
      </x:c>
      <x:c r="HR104" s="27" t="str">
        <x:f>IF(C104="","",SUM(J104,P104,V104,AB104,AH104,AN104,AT104,AZ104,BF104,BL104,BR104,BX104,CD104,CJ104,CP104,CV104,DB104,DH104,DN104,DT104,DZ104,EF104,EL104,ER104,EX104,FD104,FJ104,FP104,FV104,GB104,GH104,GN104,GT104,GZ104,HF104,HL104))</x:f>
      </x:c>
      <x:c r="HS104" s="27" t="str">
        <x:f>IF(C104="","",SUM(K104,Q104,W104,AC104,AI104,AO104,AU104,BA104,BG104,BM104,BS104,BY104,CE104,CK104,CQ104,CW104,DC104,DI104,DO104,DU104,EA104,EG104,EM104,ES104,EY104,FE104,FK104,FQ104,FW104,GC104,GI104,GO104,GU104,HA104,HG104,HM104))</x:f>
      </x:c>
      <x:c r="HT104" s="27" t="str">
        <x:f>IF(C104="","",SUM(L104,R104,X104,AD104,AJ104,AP104,AV104,BB104,BH104,BN104,BT104,BZ104,CF104,CL104,CR104,CX104,DD104,DJ104,DP104,DV104,EB104,EH104,EN104,ET104,EZ104,FF104,FL104,FR104,FX104,GD104,GJ104,GP104,GV104,HB104,HH104,HN104))</x:f>
      </x:c>
      <x:c r="HU104" s="27" t="str">
        <x:f>IF(C104="","",SUM(M104,S104,Y104,AE104,AK104,AQ104,AW104,BC104,BI104,BO104,BU104,CA104,CG104,CM104,CS104,CY104,DE104,DK104,DQ104,DW104,EC104,EI104,EO104,EU104,FA104,FG104,FM104,FS104,FY104,GE104,GK104,GQ104,GW104,HC104,HI104,HO104))</x:f>
      </x:c>
      <x:c r="HV104" s="27" t="str">
        <x:f>IF(C104="","",IF(JI104=LARGE(JI104:JN104,1),"R",IF(JJ104=LARGE(JI104:JN104,1),"I",IF(JK104=LARGE(JI104:JN104,1),"A",IF(JL104=LARGE(JI104:JN104,1),"S",IF(JM104=LARGE(JI104:JN104,1),"E",IF(JN104=LARGE(JI104:JN104,1),"C",""))))))&amp;IF(JI104=LARGE(JI104:JN104,2),"R",IF(JJ104=LARGE(JI104:JN104,2),"I",IF(JK104=LARGE(JI104:JN104,2),"A",IF(JL104=LARGE(JI104:JN104,2),"S",IF(JM104=LARGE(JI104:JN104,2),"E",IF(JN104=LARGE(JI104:JN104,2),"C",""))))))&amp;IF(JI104=LARGE(JI104:JN104,3),"R",IF(JJ104=LARGE(JI104:JN104,3),"I",IF(JK104=LARGE(JI104:JN104,3),"A",IF(JL104=LARGE(JI104:JN104,3),"S",IF(JM104=LARGE(JI104:JN104,3),"E",IF(JN104=LARGE(JI104:JN104,3),"C","")))))))</x:f>
      </x:c>
      <x:c r="HW104" s="27" t="str">
        <x:f>IF(C104="","",IF(JI104=LARGE(JI104:JN104,1),"นักปฏิบัติ",IF(JJ104=LARGE(JI104:JN104,1),"นักคิดวิเคราะห์",IF(JK104=LARGE(JI104:JN104,1),"นักสร้างสรรค์",IF(JL104=LARGE(JI104:JN104,1),"ผู้เข้าใจผู้คน",IF(JM104=LARGE(JI104:JN104,1),"ผู้นำการเปลี่ยนแปลง",IF(JN104=LARGE(JI104:JN104,1),"ผู้จัดระบบ","ผู้จัดระบบ")))))))</x:f>
      </x:c>
      <x:c r="HX104" s="27"/>
      <x:c r="HY104" s="27"/>
      <x:c r="HZ104" s="27"/>
      <x:c r="IA104" s="27"/>
      <x:c r="IB104" s="27"/>
      <x:c r="IC104" s="27"/>
      <x:c r="ID104" s="27"/>
      <x:c r="IE104" s="27"/>
      <x:c r="IF104" s="27"/>
      <x:c r="IG104" s="27"/>
      <x:c r="IH104" s="27"/>
      <x:c r="II104" s="27"/>
      <x:c r="IJ104" s="27"/>
      <x:c r="IK104" s="27" t="str">
        <x:f>IF(C104="","",SUM(H104,N104,T104,Z104,AF104,AL104,AR104,AX104,BD104,BJ104,BP104))</x:f>
      </x:c>
      <x:c r="IL104" s="27" t="str">
        <x:f>IF(C104="","",SUM(I104,O104,U104,AA104,AG104,AM104,AS104,AY104,BE104,BK104,BQ104))</x:f>
      </x:c>
      <x:c r="IM104" s="27" t="str">
        <x:f>IF(C104="","",SUM(J104,P104,V104,AB104,AH104,AN104,AT104,AZ104,BF104,BL104,BR104))</x:f>
      </x:c>
      <x:c r="IN104" s="27" t="str">
        <x:f>IF(C104="","",SUM(K104,Q104,W104,AC104,AI104,AO104,AU104,BA104,BG104,BM104,BS104))</x:f>
      </x:c>
      <x:c r="IO104" s="27" t="str">
        <x:f>IF(C104="","",SUM(L104,R104,X104,AD104,AJ104,AP104,AV104,BB104,BH104,BN104,BT104))</x:f>
      </x:c>
      <x:c r="IP104" s="27" t="str">
        <x:f>IF(C104="","",SUM(M104,S104,Y104,AE104,AK104,AQ104,AW104,BC104,BI104,BO104,BU104))</x:f>
      </x:c>
      <x:c r="IQ104" s="27" t="str">
        <x:f>IF(C104="","",SUM(BV104,CB104,CH104,CN104,CT104,CZ104,DF104,DL104,DR104,DX104,ED104))</x:f>
      </x:c>
      <x:c r="IR104" s="27" t="str">
        <x:f>IF(C104="","",SUM(BW104,CC104,CI104,CO104,CU104,DA104,DG104,DM104,DS104,DY104,EE104))</x:f>
      </x:c>
      <x:c r="IS104" s="27" t="str">
        <x:f>IF(C104="","",SUM(BX104,CD104,CJ104,CP104,CV104,DB104,DH104,DN104,DT104,DZ104,EF104))</x:f>
      </x:c>
      <x:c r="IT104" s="27" t="str">
        <x:f>IF(C104="","",SUM(BY104,CE104,CK104,CQ104,CW104,DC104,DI104,DO104,DU104,EA104,EG104))</x:f>
      </x:c>
      <x:c r="IU104" s="27" t="str">
        <x:f>IF(C104="","",SUM(BZ104,CF104,CL104,CR104,CX104,DD104,DJ104,DP104,DV104,EB104,EH104))</x:f>
      </x:c>
      <x:c r="IV104" s="27" t="str">
        <x:f>IF(C104="","",SUM(CA104,CG104,CM104,CS104,CY104,DE104,DK104,DQ104,DW104,EC104,EI104))</x:f>
      </x:c>
      <x:c r="IW104" s="27" t="str">
        <x:f>IF(C104="","",SUM(EJ104,EP104,EV104,FB104,FH104,FN104,FT104,FZ104,GF104,GL104,GR104,GX104,HD104,HJ104))</x:f>
      </x:c>
      <x:c r="IX104" s="27" t="str">
        <x:f>IF(C104="","",SUM(EK104,EQ104,EW104,FC104,FI104,FO104,FU104,GA104,GG104,GM104,GS104,GY104,HE104,HK104))</x:f>
      </x:c>
      <x:c r="IY104" s="27" t="str">
        <x:f>IF(C104="","",SUM(EL104,ER104,EX104,FD104,FJ104,FP104,FV104,GB104,GH104,GN104,GT104,GZ104,HF104,HL104))</x:f>
      </x:c>
      <x:c r="IZ104" s="27" t="str">
        <x:f>IF(C104="","",SUM(EM104,ES104,EY104,FE104,FK104,FQ104,FW104,GC104,GI104,GO104,GU104,HA104,HG104,HM104))</x:f>
      </x:c>
      <x:c r="JA104" s="27" t="str">
        <x:f>IF(C104="","",SUM(EN104,ET104,EZ104,FF104,FL104,FR104,FX104,GD104,GJ104,GP104,GV104,HB104,HH104,HN104))</x:f>
      </x:c>
      <x:c r="JB104" s="27" t="str">
        <x:f>IF(C104="","",SUM(EO104,EU104,FA104,FG104,FM104,FS104,FY104,GE104,GK104,GQ104,GW104,HC104,HI104,HO104))</x:f>
      </x:c>
      <x:c r="JC104" s="27" t="str">
        <x:f>IF(C104="","",0)</x:f>
      </x:c>
      <x:c r="JD104" s="27" t="str">
        <x:f>IF(C104="","",0)</x:f>
      </x:c>
      <x:c r="JE104" s="27" t="str">
        <x:f>IF(C104="","",0)</x:f>
      </x:c>
      <x:c r="JF104" s="27" t="str">
        <x:f>IF(C104="","",0)</x:f>
      </x:c>
      <x:c r="JG104" s="27" t="str">
        <x:f>IF(C104="","",0)</x:f>
      </x:c>
      <x:c r="JH104" s="27" t="str">
        <x:f>IF(C104="","",0)</x:f>
      </x:c>
      <x:c r="JI104" s="27" t="str">
        <x:f>IF(C104="","",HP104*1000000000+IW104*1000000+IQ104*10000+IK104*100+JC104+6/1000)</x:f>
      </x:c>
      <x:c r="JJ104" s="27" t="str">
        <x:f>IF(C104="","",HQ104*1000000000+IX104*1000000+IR104*10000+IL104*100+JD104+5/1000)</x:f>
      </x:c>
      <x:c r="JK104" s="27" t="str">
        <x:f>IF(C104="","",HR104*1000000000+IY104*1000000+IS104*10000+IM104*100+JE104+4/1000)</x:f>
      </x:c>
      <x:c r="JL104" s="27" t="str">
        <x:f>IF(C104="","",HS104*1000000000+IZ104*1000000+IT104*10000+IN104*100+JF104+3/1000)</x:f>
      </x:c>
      <x:c r="JM104" s="27" t="str">
        <x:f>IF(C104="","",HT104*1000000000+JA104*1000000+IU104*10000+IO104*100+JG104+2/1000)</x:f>
      </x:c>
      <x:c r="JN104" s="27" t="str">
        <x:f>IF(C104="","",HU104*1000000000+JB104*1000000+IV104*10000+IP104*100+JH104+1/1000)</x:f>
      </x:c>
    </x:row>
    <x:row r="105">
      <x:c r="A105" s="27"/>
      <x:c r="B105" s="28"/>
      <x:c r="C105" s="27"/>
      <x:c r="D105" s="27"/>
      <x:c r="E105" s="27"/>
      <x:c r="F105" s="27"/>
      <x:c r="G105" s="27"/>
      <x:c r="H105" s="27"/>
      <x:c r="I105" s="27"/>
      <x:c r="J105" s="27"/>
      <x:c r="K105" s="27"/>
      <x:c r="L105" s="27"/>
      <x:c r="M105" s="27"/>
      <x:c r="N105" s="27"/>
      <x:c r="O105" s="27"/>
      <x:c r="P105" s="27"/>
      <x:c r="Q105" s="27"/>
      <x:c r="R105" s="27"/>
      <x:c r="S105" s="27"/>
      <x:c r="T105" s="27"/>
      <x:c r="U105" s="27"/>
      <x:c r="V105" s="27"/>
      <x:c r="W105" s="27"/>
      <x:c r="X105" s="27"/>
      <x:c r="Y105" s="27"/>
      <x:c r="Z105" s="27"/>
      <x:c r="AA105" s="27"/>
      <x:c r="AB105" s="27"/>
      <x:c r="AC105" s="27"/>
      <x:c r="AD105" s="27"/>
      <x:c r="AE105" s="27"/>
      <x:c r="AF105" s="27"/>
      <x:c r="AG105" s="27"/>
      <x:c r="AH105" s="27"/>
      <x:c r="AI105" s="27"/>
      <x:c r="AJ105" s="27"/>
      <x:c r="AK105" s="27"/>
      <x:c r="AL105" s="27"/>
      <x:c r="AM105" s="27"/>
      <x:c r="AN105" s="27"/>
      <x:c r="AO105" s="27"/>
      <x:c r="AP105" s="27"/>
      <x:c r="AQ105" s="27"/>
      <x:c r="AR105" s="27"/>
      <x:c r="AS105" s="27"/>
      <x:c r="AT105" s="27"/>
      <x:c r="AU105" s="27"/>
      <x:c r="AV105" s="27"/>
      <x:c r="AW105" s="27"/>
      <x:c r="AX105" s="27"/>
      <x:c r="AY105" s="27"/>
      <x:c r="AZ105" s="27"/>
      <x:c r="BA105" s="27"/>
      <x:c r="BB105" s="27"/>
      <x:c r="BC105" s="27"/>
      <x:c r="BD105" s="27"/>
      <x:c r="BE105" s="27"/>
      <x:c r="BF105" s="27"/>
      <x:c r="BG105" s="27"/>
      <x:c r="BH105" s="27"/>
      <x:c r="BI105" s="27"/>
      <x:c r="BJ105" s="27"/>
      <x:c r="BK105" s="27"/>
      <x:c r="BL105" s="27"/>
      <x:c r="BM105" s="27"/>
      <x:c r="BN105" s="27"/>
      <x:c r="BO105" s="27"/>
      <x:c r="BP105" s="27"/>
      <x:c r="BQ105" s="27"/>
      <x:c r="BR105" s="27"/>
      <x:c r="BS105" s="27"/>
      <x:c r="BT105" s="27"/>
      <x:c r="BU105" s="27"/>
      <x:c r="BV105" s="27"/>
      <x:c r="BW105" s="27"/>
      <x:c r="BX105" s="27"/>
      <x:c r="BY105" s="27"/>
      <x:c r="BZ105" s="27"/>
      <x:c r="CA105" s="27"/>
      <x:c r="CB105" s="27"/>
      <x:c r="CC105" s="27"/>
      <x:c r="CD105" s="27"/>
      <x:c r="CE105" s="27"/>
      <x:c r="CF105" s="27"/>
      <x:c r="CG105" s="27"/>
      <x:c r="CH105" s="27"/>
      <x:c r="CI105" s="27"/>
      <x:c r="CJ105" s="27"/>
      <x:c r="CK105" s="27"/>
      <x:c r="CL105" s="27"/>
      <x:c r="CM105" s="27"/>
      <x:c r="CN105" s="27"/>
      <x:c r="CO105" s="27"/>
      <x:c r="CP105" s="27"/>
      <x:c r="CQ105" s="27"/>
      <x:c r="CR105" s="27"/>
      <x:c r="CS105" s="27"/>
      <x:c r="CT105" s="27"/>
      <x:c r="CU105" s="27"/>
      <x:c r="CV105" s="27"/>
      <x:c r="CW105" s="27"/>
      <x:c r="CX105" s="27"/>
      <x:c r="CY105" s="27"/>
      <x:c r="CZ105" s="27"/>
      <x:c r="DA105" s="27"/>
      <x:c r="DB105" s="27"/>
      <x:c r="DC105" s="27"/>
      <x:c r="DD105" s="27"/>
      <x:c r="DE105" s="27"/>
      <x:c r="DF105" s="27"/>
      <x:c r="DG105" s="27"/>
      <x:c r="DH105" s="27"/>
      <x:c r="DI105" s="27"/>
      <x:c r="DJ105" s="27"/>
      <x:c r="DK105" s="27"/>
      <x:c r="DL105" s="27"/>
      <x:c r="DM105" s="27"/>
      <x:c r="DN105" s="27"/>
      <x:c r="DO105" s="27"/>
      <x:c r="DP105" s="27"/>
      <x:c r="DQ105" s="27"/>
      <x:c r="DR105" s="27"/>
      <x:c r="DS105" s="27"/>
      <x:c r="DT105" s="27"/>
      <x:c r="DU105" s="27"/>
      <x:c r="DV105" s="27"/>
      <x:c r="DW105" s="27"/>
      <x:c r="DX105" s="27"/>
      <x:c r="DY105" s="27"/>
      <x:c r="DZ105" s="27"/>
      <x:c r="EA105" s="27"/>
      <x:c r="EB105" s="27"/>
      <x:c r="EC105" s="27"/>
      <x:c r="ED105" s="27"/>
      <x:c r="EE105" s="27"/>
      <x:c r="EF105" s="27"/>
      <x:c r="EG105" s="27"/>
      <x:c r="EH105" s="27"/>
      <x:c r="EI105" s="27"/>
      <x:c r="EJ105" s="27"/>
      <x:c r="EK105" s="27"/>
      <x:c r="EL105" s="27"/>
      <x:c r="EM105" s="27"/>
      <x:c r="EN105" s="27"/>
      <x:c r="EO105" s="27"/>
      <x:c r="EP105" s="27"/>
      <x:c r="EQ105" s="27"/>
      <x:c r="ER105" s="27"/>
      <x:c r="ES105" s="27"/>
      <x:c r="ET105" s="27"/>
      <x:c r="EU105" s="27"/>
      <x:c r="EV105" s="27"/>
      <x:c r="EW105" s="27"/>
      <x:c r="EX105" s="27"/>
      <x:c r="EY105" s="27"/>
      <x:c r="EZ105" s="27"/>
      <x:c r="FA105" s="27"/>
      <x:c r="FB105" s="27"/>
      <x:c r="FC105" s="27"/>
      <x:c r="FD105" s="27"/>
      <x:c r="FE105" s="27"/>
      <x:c r="FF105" s="27"/>
      <x:c r="FG105" s="27"/>
      <x:c r="FH105" s="27"/>
      <x:c r="FI105" s="27"/>
      <x:c r="FJ105" s="27"/>
      <x:c r="FK105" s="27"/>
      <x:c r="FL105" s="27"/>
      <x:c r="FM105" s="27"/>
      <x:c r="FN105" s="27"/>
      <x:c r="FO105" s="27"/>
      <x:c r="FP105" s="27"/>
      <x:c r="FQ105" s="27"/>
      <x:c r="FR105" s="27"/>
      <x:c r="FS105" s="27"/>
      <x:c r="FT105" s="27"/>
      <x:c r="FU105" s="27"/>
      <x:c r="FV105" s="27"/>
      <x:c r="FW105" s="27"/>
      <x:c r="FX105" s="27"/>
      <x:c r="FY105" s="27"/>
      <x:c r="FZ105" s="27"/>
      <x:c r="GA105" s="27"/>
      <x:c r="GB105" s="27"/>
      <x:c r="GC105" s="27"/>
      <x:c r="GD105" s="27"/>
      <x:c r="GE105" s="27"/>
      <x:c r="GF105" s="27"/>
      <x:c r="GG105" s="27"/>
      <x:c r="GH105" s="27"/>
      <x:c r="GI105" s="27"/>
      <x:c r="GJ105" s="27"/>
      <x:c r="GK105" s="27"/>
      <x:c r="GL105" s="27"/>
      <x:c r="GM105" s="27"/>
      <x:c r="GN105" s="27"/>
      <x:c r="GO105" s="27"/>
      <x:c r="GP105" s="27"/>
      <x:c r="GQ105" s="27"/>
      <x:c r="GR105" s="27"/>
      <x:c r="GS105" s="27"/>
      <x:c r="GT105" s="27"/>
      <x:c r="GU105" s="27"/>
      <x:c r="GV105" s="27"/>
      <x:c r="GW105" s="27"/>
      <x:c r="GX105" s="27"/>
      <x:c r="GY105" s="27"/>
      <x:c r="GZ105" s="27"/>
      <x:c r="HA105" s="27"/>
      <x:c r="HB105" s="27"/>
      <x:c r="HC105" s="27"/>
      <x:c r="HD105" s="27"/>
      <x:c r="HE105" s="27"/>
      <x:c r="HF105" s="27"/>
      <x:c r="HG105" s="27"/>
      <x:c r="HH105" s="27"/>
      <x:c r="HI105" s="27"/>
      <x:c r="HJ105" s="27"/>
      <x:c r="HK105" s="27"/>
      <x:c r="HL105" s="27"/>
      <x:c r="HM105" s="27"/>
      <x:c r="HN105" s="27"/>
      <x:c r="HO105" s="27"/>
      <x:c r="HP105" s="27" t="str">
        <x:f>IF(C105="","",SUM(H105,N105,T105,Z105,AF105,AL105,AR105,AX105,BD105,BJ105,BP105,BV105,CB105,CH105,CN105,CT105,CZ105,DF105,DL105,DR105,DX105,ED105,EJ105,EP105,EV105,FB105,FH105,FN105,FT105,FZ105,GF105,GL105,GR105,GX105,HD105,HJ105))</x:f>
      </x:c>
      <x:c r="HQ105" s="27" t="str">
        <x:f>IF(C105="","",SUM(I105,O105,U105,AA105,AG105,AM105,AS105,AY105,BE105,BK105,BQ105,BW105,CC105,CI105,CO105,CU105,DA105,DG105,DM105,DS105,DY105,EE105,EK105,EQ105,EW105,FC105,FI105,FO105,FU105,GA105,GG105,GM105,GS105,GY105,HE105,HK105))</x:f>
      </x:c>
      <x:c r="HR105" s="27" t="str">
        <x:f>IF(C105="","",SUM(J105,P105,V105,AB105,AH105,AN105,AT105,AZ105,BF105,BL105,BR105,BX105,CD105,CJ105,CP105,CV105,DB105,DH105,DN105,DT105,DZ105,EF105,EL105,ER105,EX105,FD105,FJ105,FP105,FV105,GB105,GH105,GN105,GT105,GZ105,HF105,HL105))</x:f>
      </x:c>
      <x:c r="HS105" s="27" t="str">
        <x:f>IF(C105="","",SUM(K105,Q105,W105,AC105,AI105,AO105,AU105,BA105,BG105,BM105,BS105,BY105,CE105,CK105,CQ105,CW105,DC105,DI105,DO105,DU105,EA105,EG105,EM105,ES105,EY105,FE105,FK105,FQ105,FW105,GC105,GI105,GO105,GU105,HA105,HG105,HM105))</x:f>
      </x:c>
      <x:c r="HT105" s="27" t="str">
        <x:f>IF(C105="","",SUM(L105,R105,X105,AD105,AJ105,AP105,AV105,BB105,BH105,BN105,BT105,BZ105,CF105,CL105,CR105,CX105,DD105,DJ105,DP105,DV105,EB105,EH105,EN105,ET105,EZ105,FF105,FL105,FR105,FX105,GD105,GJ105,GP105,GV105,HB105,HH105,HN105))</x:f>
      </x:c>
      <x:c r="HU105" s="27" t="str">
        <x:f>IF(C105="","",SUM(M105,S105,Y105,AE105,AK105,AQ105,AW105,BC105,BI105,BO105,BU105,CA105,CG105,CM105,CS105,CY105,DE105,DK105,DQ105,DW105,EC105,EI105,EO105,EU105,FA105,FG105,FM105,FS105,FY105,GE105,GK105,GQ105,GW105,HC105,HI105,HO105))</x:f>
      </x:c>
      <x:c r="HV105" s="27" t="str">
        <x:f>IF(C105="","",IF(JI105=LARGE(JI105:JN105,1),"R",IF(JJ105=LARGE(JI105:JN105,1),"I",IF(JK105=LARGE(JI105:JN105,1),"A",IF(JL105=LARGE(JI105:JN105,1),"S",IF(JM105=LARGE(JI105:JN105,1),"E",IF(JN105=LARGE(JI105:JN105,1),"C",""))))))&amp;IF(JI105=LARGE(JI105:JN105,2),"R",IF(JJ105=LARGE(JI105:JN105,2),"I",IF(JK105=LARGE(JI105:JN105,2),"A",IF(JL105=LARGE(JI105:JN105,2),"S",IF(JM105=LARGE(JI105:JN105,2),"E",IF(JN105=LARGE(JI105:JN105,2),"C",""))))))&amp;IF(JI105=LARGE(JI105:JN105,3),"R",IF(JJ105=LARGE(JI105:JN105,3),"I",IF(JK105=LARGE(JI105:JN105,3),"A",IF(JL105=LARGE(JI105:JN105,3),"S",IF(JM105=LARGE(JI105:JN105,3),"E",IF(JN105=LARGE(JI105:JN105,3),"C","")))))))</x:f>
      </x:c>
      <x:c r="HW105" s="27" t="str">
        <x:f>IF(C105="","",IF(JI105=LARGE(JI105:JN105,1),"นักปฏิบัติ",IF(JJ105=LARGE(JI105:JN105,1),"นักคิดวิเคราะห์",IF(JK105=LARGE(JI105:JN105,1),"นักสร้างสรรค์",IF(JL105=LARGE(JI105:JN105,1),"ผู้เข้าใจผู้คน",IF(JM105=LARGE(JI105:JN105,1),"ผู้นำการเปลี่ยนแปลง",IF(JN105=LARGE(JI105:JN105,1),"ผู้จัดระบบ","ผู้จัดระบบ")))))))</x:f>
      </x:c>
      <x:c r="HX105" s="27"/>
      <x:c r="HY105" s="27"/>
      <x:c r="HZ105" s="27"/>
      <x:c r="IA105" s="27"/>
      <x:c r="IB105" s="27"/>
      <x:c r="IC105" s="27"/>
      <x:c r="ID105" s="27"/>
      <x:c r="IE105" s="27"/>
      <x:c r="IF105" s="27"/>
      <x:c r="IG105" s="27"/>
      <x:c r="IH105" s="27"/>
      <x:c r="II105" s="27"/>
      <x:c r="IJ105" s="27"/>
      <x:c r="IK105" s="27" t="str">
        <x:f>IF(C105="","",SUM(H105,N105,T105,Z105,AF105,AL105,AR105,AX105,BD105,BJ105,BP105))</x:f>
      </x:c>
      <x:c r="IL105" s="27" t="str">
        <x:f>IF(C105="","",SUM(I105,O105,U105,AA105,AG105,AM105,AS105,AY105,BE105,BK105,BQ105))</x:f>
      </x:c>
      <x:c r="IM105" s="27" t="str">
        <x:f>IF(C105="","",SUM(J105,P105,V105,AB105,AH105,AN105,AT105,AZ105,BF105,BL105,BR105))</x:f>
      </x:c>
      <x:c r="IN105" s="27" t="str">
        <x:f>IF(C105="","",SUM(K105,Q105,W105,AC105,AI105,AO105,AU105,BA105,BG105,BM105,BS105))</x:f>
      </x:c>
      <x:c r="IO105" s="27" t="str">
        <x:f>IF(C105="","",SUM(L105,R105,X105,AD105,AJ105,AP105,AV105,BB105,BH105,BN105,BT105))</x:f>
      </x:c>
      <x:c r="IP105" s="27" t="str">
        <x:f>IF(C105="","",SUM(M105,S105,Y105,AE105,AK105,AQ105,AW105,BC105,BI105,BO105,BU105))</x:f>
      </x:c>
      <x:c r="IQ105" s="27" t="str">
        <x:f>IF(C105="","",SUM(BV105,CB105,CH105,CN105,CT105,CZ105,DF105,DL105,DR105,DX105,ED105))</x:f>
      </x:c>
      <x:c r="IR105" s="27" t="str">
        <x:f>IF(C105="","",SUM(BW105,CC105,CI105,CO105,CU105,DA105,DG105,DM105,DS105,DY105,EE105))</x:f>
      </x:c>
      <x:c r="IS105" s="27" t="str">
        <x:f>IF(C105="","",SUM(BX105,CD105,CJ105,CP105,CV105,DB105,DH105,DN105,DT105,DZ105,EF105))</x:f>
      </x:c>
      <x:c r="IT105" s="27" t="str">
        <x:f>IF(C105="","",SUM(BY105,CE105,CK105,CQ105,CW105,DC105,DI105,DO105,DU105,EA105,EG105))</x:f>
      </x:c>
      <x:c r="IU105" s="27" t="str">
        <x:f>IF(C105="","",SUM(BZ105,CF105,CL105,CR105,CX105,DD105,DJ105,DP105,DV105,EB105,EH105))</x:f>
      </x:c>
      <x:c r="IV105" s="27" t="str">
        <x:f>IF(C105="","",SUM(CA105,CG105,CM105,CS105,CY105,DE105,DK105,DQ105,DW105,EC105,EI105))</x:f>
      </x:c>
      <x:c r="IW105" s="27" t="str">
        <x:f>IF(C105="","",SUM(EJ105,EP105,EV105,FB105,FH105,FN105,FT105,FZ105,GF105,GL105,GR105,GX105,HD105,HJ105))</x:f>
      </x:c>
      <x:c r="IX105" s="27" t="str">
        <x:f>IF(C105="","",SUM(EK105,EQ105,EW105,FC105,FI105,FO105,FU105,GA105,GG105,GM105,GS105,GY105,HE105,HK105))</x:f>
      </x:c>
      <x:c r="IY105" s="27" t="str">
        <x:f>IF(C105="","",SUM(EL105,ER105,EX105,FD105,FJ105,FP105,FV105,GB105,GH105,GN105,GT105,GZ105,HF105,HL105))</x:f>
      </x:c>
      <x:c r="IZ105" s="27" t="str">
        <x:f>IF(C105="","",SUM(EM105,ES105,EY105,FE105,FK105,FQ105,FW105,GC105,GI105,GO105,GU105,HA105,HG105,HM105))</x:f>
      </x:c>
      <x:c r="JA105" s="27" t="str">
        <x:f>IF(C105="","",SUM(EN105,ET105,EZ105,FF105,FL105,FR105,FX105,GD105,GJ105,GP105,GV105,HB105,HH105,HN105))</x:f>
      </x:c>
      <x:c r="JB105" s="27" t="str">
        <x:f>IF(C105="","",SUM(EO105,EU105,FA105,FG105,FM105,FS105,FY105,GE105,GK105,GQ105,GW105,HC105,HI105,HO105))</x:f>
      </x:c>
      <x:c r="JC105" s="27" t="str">
        <x:f>IF(C105="","",0)</x:f>
      </x:c>
      <x:c r="JD105" s="27" t="str">
        <x:f>IF(C105="","",0)</x:f>
      </x:c>
      <x:c r="JE105" s="27" t="str">
        <x:f>IF(C105="","",0)</x:f>
      </x:c>
      <x:c r="JF105" s="27" t="str">
        <x:f>IF(C105="","",0)</x:f>
      </x:c>
      <x:c r="JG105" s="27" t="str">
        <x:f>IF(C105="","",0)</x:f>
      </x:c>
      <x:c r="JH105" s="27" t="str">
        <x:f>IF(C105="","",0)</x:f>
      </x:c>
      <x:c r="JI105" s="27" t="str">
        <x:f>IF(C105="","",HP105*1000000000+IW105*1000000+IQ105*10000+IK105*100+JC105+6/1000)</x:f>
      </x:c>
      <x:c r="JJ105" s="27" t="str">
        <x:f>IF(C105="","",HQ105*1000000000+IX105*1000000+IR105*10000+IL105*100+JD105+5/1000)</x:f>
      </x:c>
      <x:c r="JK105" s="27" t="str">
        <x:f>IF(C105="","",HR105*1000000000+IY105*1000000+IS105*10000+IM105*100+JE105+4/1000)</x:f>
      </x:c>
      <x:c r="JL105" s="27" t="str">
        <x:f>IF(C105="","",HS105*1000000000+IZ105*1000000+IT105*10000+IN105*100+JF105+3/1000)</x:f>
      </x:c>
      <x:c r="JM105" s="27" t="str">
        <x:f>IF(C105="","",HT105*1000000000+JA105*1000000+IU105*10000+IO105*100+JG105+2/1000)</x:f>
      </x:c>
      <x:c r="JN105" s="27" t="str">
        <x:f>IF(C105="","",HU105*1000000000+JB105*1000000+IV105*10000+IP105*100+JH105+1/1000)</x:f>
      </x:c>
    </x:row>
    <x:row r="106">
      <x:c r="A106" s="27"/>
      <x:c r="B106" s="28"/>
      <x:c r="C106" s="27"/>
      <x:c r="D106" s="27"/>
      <x:c r="E106" s="27"/>
      <x:c r="F106" s="27"/>
      <x:c r="G106" s="27"/>
      <x:c r="H106" s="27"/>
      <x:c r="I106" s="27"/>
      <x:c r="J106" s="27"/>
      <x:c r="K106" s="27"/>
      <x:c r="L106" s="27"/>
      <x:c r="M106" s="27"/>
      <x:c r="N106" s="27"/>
      <x:c r="O106" s="27"/>
      <x:c r="P106" s="27"/>
      <x:c r="Q106" s="27"/>
      <x:c r="R106" s="27"/>
      <x:c r="S106" s="27"/>
      <x:c r="T106" s="27"/>
      <x:c r="U106" s="27"/>
      <x:c r="V106" s="27"/>
      <x:c r="W106" s="27"/>
      <x:c r="X106" s="27"/>
      <x:c r="Y106" s="27"/>
      <x:c r="Z106" s="27"/>
      <x:c r="AA106" s="27"/>
      <x:c r="AB106" s="27"/>
      <x:c r="AC106" s="27"/>
      <x:c r="AD106" s="27"/>
      <x:c r="AE106" s="27"/>
      <x:c r="AF106" s="27"/>
      <x:c r="AG106" s="27"/>
      <x:c r="AH106" s="27"/>
      <x:c r="AI106" s="27"/>
      <x:c r="AJ106" s="27"/>
      <x:c r="AK106" s="27"/>
      <x:c r="AL106" s="27"/>
      <x:c r="AM106" s="27"/>
      <x:c r="AN106" s="27"/>
      <x:c r="AO106" s="27"/>
      <x:c r="AP106" s="27"/>
      <x:c r="AQ106" s="27"/>
      <x:c r="AR106" s="27"/>
      <x:c r="AS106" s="27"/>
      <x:c r="AT106" s="27"/>
      <x:c r="AU106" s="27"/>
      <x:c r="AV106" s="27"/>
      <x:c r="AW106" s="27"/>
      <x:c r="AX106" s="27"/>
      <x:c r="AY106" s="27"/>
      <x:c r="AZ106" s="27"/>
      <x:c r="BA106" s="27"/>
      <x:c r="BB106" s="27"/>
      <x:c r="BC106" s="27"/>
      <x:c r="BD106" s="27"/>
      <x:c r="BE106" s="27"/>
      <x:c r="BF106" s="27"/>
      <x:c r="BG106" s="27"/>
      <x:c r="BH106" s="27"/>
      <x:c r="BI106" s="27"/>
      <x:c r="BJ106" s="27"/>
      <x:c r="BK106" s="27"/>
      <x:c r="BL106" s="27"/>
      <x:c r="BM106" s="27"/>
      <x:c r="BN106" s="27"/>
      <x:c r="BO106" s="27"/>
      <x:c r="BP106" s="27"/>
      <x:c r="BQ106" s="27"/>
      <x:c r="BR106" s="27"/>
      <x:c r="BS106" s="27"/>
      <x:c r="BT106" s="27"/>
      <x:c r="BU106" s="27"/>
      <x:c r="BV106" s="27"/>
      <x:c r="BW106" s="27"/>
      <x:c r="BX106" s="27"/>
      <x:c r="BY106" s="27"/>
      <x:c r="BZ106" s="27"/>
      <x:c r="CA106" s="27"/>
      <x:c r="CB106" s="27"/>
      <x:c r="CC106" s="27"/>
      <x:c r="CD106" s="27"/>
      <x:c r="CE106" s="27"/>
      <x:c r="CF106" s="27"/>
      <x:c r="CG106" s="27"/>
      <x:c r="CH106" s="27"/>
      <x:c r="CI106" s="27"/>
      <x:c r="CJ106" s="27"/>
      <x:c r="CK106" s="27"/>
      <x:c r="CL106" s="27"/>
      <x:c r="CM106" s="27"/>
      <x:c r="CN106" s="27"/>
      <x:c r="CO106" s="27"/>
      <x:c r="CP106" s="27"/>
      <x:c r="CQ106" s="27"/>
      <x:c r="CR106" s="27"/>
      <x:c r="CS106" s="27"/>
      <x:c r="CT106" s="27"/>
      <x:c r="CU106" s="27"/>
      <x:c r="CV106" s="27"/>
      <x:c r="CW106" s="27"/>
      <x:c r="CX106" s="27"/>
      <x:c r="CY106" s="27"/>
      <x:c r="CZ106" s="27"/>
      <x:c r="DA106" s="27"/>
      <x:c r="DB106" s="27"/>
      <x:c r="DC106" s="27"/>
      <x:c r="DD106" s="27"/>
      <x:c r="DE106" s="27"/>
      <x:c r="DF106" s="27"/>
      <x:c r="DG106" s="27"/>
      <x:c r="DH106" s="27"/>
      <x:c r="DI106" s="27"/>
      <x:c r="DJ106" s="27"/>
      <x:c r="DK106" s="27"/>
      <x:c r="DL106" s="27"/>
      <x:c r="DM106" s="27"/>
      <x:c r="DN106" s="27"/>
      <x:c r="DO106" s="27"/>
      <x:c r="DP106" s="27"/>
      <x:c r="DQ106" s="27"/>
      <x:c r="DR106" s="27"/>
      <x:c r="DS106" s="27"/>
      <x:c r="DT106" s="27"/>
      <x:c r="DU106" s="27"/>
      <x:c r="DV106" s="27"/>
      <x:c r="DW106" s="27"/>
      <x:c r="DX106" s="27"/>
      <x:c r="DY106" s="27"/>
      <x:c r="DZ106" s="27"/>
      <x:c r="EA106" s="27"/>
      <x:c r="EB106" s="27"/>
      <x:c r="EC106" s="27"/>
      <x:c r="ED106" s="27"/>
      <x:c r="EE106" s="27"/>
      <x:c r="EF106" s="27"/>
      <x:c r="EG106" s="27"/>
      <x:c r="EH106" s="27"/>
      <x:c r="EI106" s="27"/>
      <x:c r="EJ106" s="27"/>
      <x:c r="EK106" s="27"/>
      <x:c r="EL106" s="27"/>
      <x:c r="EM106" s="27"/>
      <x:c r="EN106" s="27"/>
      <x:c r="EO106" s="27"/>
      <x:c r="EP106" s="27"/>
      <x:c r="EQ106" s="27"/>
      <x:c r="ER106" s="27"/>
      <x:c r="ES106" s="27"/>
      <x:c r="ET106" s="27"/>
      <x:c r="EU106" s="27"/>
      <x:c r="EV106" s="27"/>
      <x:c r="EW106" s="27"/>
      <x:c r="EX106" s="27"/>
      <x:c r="EY106" s="27"/>
      <x:c r="EZ106" s="27"/>
      <x:c r="FA106" s="27"/>
      <x:c r="FB106" s="27"/>
      <x:c r="FC106" s="27"/>
      <x:c r="FD106" s="27"/>
      <x:c r="FE106" s="27"/>
      <x:c r="FF106" s="27"/>
      <x:c r="FG106" s="27"/>
      <x:c r="FH106" s="27"/>
      <x:c r="FI106" s="27"/>
      <x:c r="FJ106" s="27"/>
      <x:c r="FK106" s="27"/>
      <x:c r="FL106" s="27"/>
      <x:c r="FM106" s="27"/>
      <x:c r="FN106" s="27"/>
      <x:c r="FO106" s="27"/>
      <x:c r="FP106" s="27"/>
      <x:c r="FQ106" s="27"/>
      <x:c r="FR106" s="27"/>
      <x:c r="FS106" s="27"/>
      <x:c r="FT106" s="27"/>
      <x:c r="FU106" s="27"/>
      <x:c r="FV106" s="27"/>
      <x:c r="FW106" s="27"/>
      <x:c r="FX106" s="27"/>
      <x:c r="FY106" s="27"/>
      <x:c r="FZ106" s="27"/>
      <x:c r="GA106" s="27"/>
      <x:c r="GB106" s="27"/>
      <x:c r="GC106" s="27"/>
      <x:c r="GD106" s="27"/>
      <x:c r="GE106" s="27"/>
      <x:c r="GF106" s="27"/>
      <x:c r="GG106" s="27"/>
      <x:c r="GH106" s="27"/>
      <x:c r="GI106" s="27"/>
      <x:c r="GJ106" s="27"/>
      <x:c r="GK106" s="27"/>
      <x:c r="GL106" s="27"/>
      <x:c r="GM106" s="27"/>
      <x:c r="GN106" s="27"/>
      <x:c r="GO106" s="27"/>
      <x:c r="GP106" s="27"/>
      <x:c r="GQ106" s="27"/>
      <x:c r="GR106" s="27"/>
      <x:c r="GS106" s="27"/>
      <x:c r="GT106" s="27"/>
      <x:c r="GU106" s="27"/>
      <x:c r="GV106" s="27"/>
      <x:c r="GW106" s="27"/>
      <x:c r="GX106" s="27"/>
      <x:c r="GY106" s="27"/>
      <x:c r="GZ106" s="27"/>
      <x:c r="HA106" s="27"/>
      <x:c r="HB106" s="27"/>
      <x:c r="HC106" s="27"/>
      <x:c r="HD106" s="27"/>
      <x:c r="HE106" s="27"/>
      <x:c r="HF106" s="27"/>
      <x:c r="HG106" s="27"/>
      <x:c r="HH106" s="27"/>
      <x:c r="HI106" s="27"/>
      <x:c r="HJ106" s="27"/>
      <x:c r="HK106" s="27"/>
      <x:c r="HL106" s="27"/>
      <x:c r="HM106" s="27"/>
      <x:c r="HN106" s="27"/>
      <x:c r="HO106" s="27"/>
      <x:c r="HP106" s="27" t="str">
        <x:f>IF(C106="","",SUM(H106,N106,T106,Z106,AF106,AL106,AR106,AX106,BD106,BJ106,BP106,BV106,CB106,CH106,CN106,CT106,CZ106,DF106,DL106,DR106,DX106,ED106,EJ106,EP106,EV106,FB106,FH106,FN106,FT106,FZ106,GF106,GL106,GR106,GX106,HD106,HJ106))</x:f>
      </x:c>
      <x:c r="HQ106" s="27" t="str">
        <x:f>IF(C106="","",SUM(I106,O106,U106,AA106,AG106,AM106,AS106,AY106,BE106,BK106,BQ106,BW106,CC106,CI106,CO106,CU106,DA106,DG106,DM106,DS106,DY106,EE106,EK106,EQ106,EW106,FC106,FI106,FO106,FU106,GA106,GG106,GM106,GS106,GY106,HE106,HK106))</x:f>
      </x:c>
      <x:c r="HR106" s="27" t="str">
        <x:f>IF(C106="","",SUM(J106,P106,V106,AB106,AH106,AN106,AT106,AZ106,BF106,BL106,BR106,BX106,CD106,CJ106,CP106,CV106,DB106,DH106,DN106,DT106,DZ106,EF106,EL106,ER106,EX106,FD106,FJ106,FP106,FV106,GB106,GH106,GN106,GT106,GZ106,HF106,HL106))</x:f>
      </x:c>
      <x:c r="HS106" s="27" t="str">
        <x:f>IF(C106="","",SUM(K106,Q106,W106,AC106,AI106,AO106,AU106,BA106,BG106,BM106,BS106,BY106,CE106,CK106,CQ106,CW106,DC106,DI106,DO106,DU106,EA106,EG106,EM106,ES106,EY106,FE106,FK106,FQ106,FW106,GC106,GI106,GO106,GU106,HA106,HG106,HM106))</x:f>
      </x:c>
      <x:c r="HT106" s="27" t="str">
        <x:f>IF(C106="","",SUM(L106,R106,X106,AD106,AJ106,AP106,AV106,BB106,BH106,BN106,BT106,BZ106,CF106,CL106,CR106,CX106,DD106,DJ106,DP106,DV106,EB106,EH106,EN106,ET106,EZ106,FF106,FL106,FR106,FX106,GD106,GJ106,GP106,GV106,HB106,HH106,HN106))</x:f>
      </x:c>
      <x:c r="HU106" s="27" t="str">
        <x:f>IF(C106="","",SUM(M106,S106,Y106,AE106,AK106,AQ106,AW106,BC106,BI106,BO106,BU106,CA106,CG106,CM106,CS106,CY106,DE106,DK106,DQ106,DW106,EC106,EI106,EO106,EU106,FA106,FG106,FM106,FS106,FY106,GE106,GK106,GQ106,GW106,HC106,HI106,HO106))</x:f>
      </x:c>
      <x:c r="HV106" s="27" t="str">
        <x:f>IF(C106="","",IF(JI106=LARGE(JI106:JN106,1),"R",IF(JJ106=LARGE(JI106:JN106,1),"I",IF(JK106=LARGE(JI106:JN106,1),"A",IF(JL106=LARGE(JI106:JN106,1),"S",IF(JM106=LARGE(JI106:JN106,1),"E",IF(JN106=LARGE(JI106:JN106,1),"C",""))))))&amp;IF(JI106=LARGE(JI106:JN106,2),"R",IF(JJ106=LARGE(JI106:JN106,2),"I",IF(JK106=LARGE(JI106:JN106,2),"A",IF(JL106=LARGE(JI106:JN106,2),"S",IF(JM106=LARGE(JI106:JN106,2),"E",IF(JN106=LARGE(JI106:JN106,2),"C",""))))))&amp;IF(JI106=LARGE(JI106:JN106,3),"R",IF(JJ106=LARGE(JI106:JN106,3),"I",IF(JK106=LARGE(JI106:JN106,3),"A",IF(JL106=LARGE(JI106:JN106,3),"S",IF(JM106=LARGE(JI106:JN106,3),"E",IF(JN106=LARGE(JI106:JN106,3),"C","")))))))</x:f>
      </x:c>
      <x:c r="HW106" s="27" t="str">
        <x:f>IF(C106="","",IF(JI106=LARGE(JI106:JN106,1),"นักปฏิบัติ",IF(JJ106=LARGE(JI106:JN106,1),"นักคิดวิเคราะห์",IF(JK106=LARGE(JI106:JN106,1),"นักสร้างสรรค์",IF(JL106=LARGE(JI106:JN106,1),"ผู้เข้าใจผู้คน",IF(JM106=LARGE(JI106:JN106,1),"ผู้นำการเปลี่ยนแปลง",IF(JN106=LARGE(JI106:JN106,1),"ผู้จัดระบบ","ผู้จัดระบบ")))))))</x:f>
      </x:c>
      <x:c r="HX106" s="27"/>
      <x:c r="HY106" s="27"/>
      <x:c r="HZ106" s="27"/>
      <x:c r="IA106" s="27"/>
      <x:c r="IB106" s="27"/>
      <x:c r="IC106" s="27"/>
      <x:c r="ID106" s="27"/>
      <x:c r="IE106" s="27"/>
      <x:c r="IF106" s="27"/>
      <x:c r="IG106" s="27"/>
      <x:c r="IH106" s="27"/>
      <x:c r="II106" s="27"/>
      <x:c r="IJ106" s="27"/>
      <x:c r="IK106" s="27" t="str">
        <x:f>IF(C106="","",SUM(H106,N106,T106,Z106,AF106,AL106,AR106,AX106,BD106,BJ106,BP106))</x:f>
      </x:c>
      <x:c r="IL106" s="27" t="str">
        <x:f>IF(C106="","",SUM(I106,O106,U106,AA106,AG106,AM106,AS106,AY106,BE106,BK106,BQ106))</x:f>
      </x:c>
      <x:c r="IM106" s="27" t="str">
        <x:f>IF(C106="","",SUM(J106,P106,V106,AB106,AH106,AN106,AT106,AZ106,BF106,BL106,BR106))</x:f>
      </x:c>
      <x:c r="IN106" s="27" t="str">
        <x:f>IF(C106="","",SUM(K106,Q106,W106,AC106,AI106,AO106,AU106,BA106,BG106,BM106,BS106))</x:f>
      </x:c>
      <x:c r="IO106" s="27" t="str">
        <x:f>IF(C106="","",SUM(L106,R106,X106,AD106,AJ106,AP106,AV106,BB106,BH106,BN106,BT106))</x:f>
      </x:c>
      <x:c r="IP106" s="27" t="str">
        <x:f>IF(C106="","",SUM(M106,S106,Y106,AE106,AK106,AQ106,AW106,BC106,BI106,BO106,BU106))</x:f>
      </x:c>
      <x:c r="IQ106" s="27" t="str">
        <x:f>IF(C106="","",SUM(BV106,CB106,CH106,CN106,CT106,CZ106,DF106,DL106,DR106,DX106,ED106))</x:f>
      </x:c>
      <x:c r="IR106" s="27" t="str">
        <x:f>IF(C106="","",SUM(BW106,CC106,CI106,CO106,CU106,DA106,DG106,DM106,DS106,DY106,EE106))</x:f>
      </x:c>
      <x:c r="IS106" s="27" t="str">
        <x:f>IF(C106="","",SUM(BX106,CD106,CJ106,CP106,CV106,DB106,DH106,DN106,DT106,DZ106,EF106))</x:f>
      </x:c>
      <x:c r="IT106" s="27" t="str">
        <x:f>IF(C106="","",SUM(BY106,CE106,CK106,CQ106,CW106,DC106,DI106,DO106,DU106,EA106,EG106))</x:f>
      </x:c>
      <x:c r="IU106" s="27" t="str">
        <x:f>IF(C106="","",SUM(BZ106,CF106,CL106,CR106,CX106,DD106,DJ106,DP106,DV106,EB106,EH106))</x:f>
      </x:c>
      <x:c r="IV106" s="27" t="str">
        <x:f>IF(C106="","",SUM(CA106,CG106,CM106,CS106,CY106,DE106,DK106,DQ106,DW106,EC106,EI106))</x:f>
      </x:c>
      <x:c r="IW106" s="27" t="str">
        <x:f>IF(C106="","",SUM(EJ106,EP106,EV106,FB106,FH106,FN106,FT106,FZ106,GF106,GL106,GR106,GX106,HD106,HJ106))</x:f>
      </x:c>
      <x:c r="IX106" s="27" t="str">
        <x:f>IF(C106="","",SUM(EK106,EQ106,EW106,FC106,FI106,FO106,FU106,GA106,GG106,GM106,GS106,GY106,HE106,HK106))</x:f>
      </x:c>
      <x:c r="IY106" s="27" t="str">
        <x:f>IF(C106="","",SUM(EL106,ER106,EX106,FD106,FJ106,FP106,FV106,GB106,GH106,GN106,GT106,GZ106,HF106,HL106))</x:f>
      </x:c>
      <x:c r="IZ106" s="27" t="str">
        <x:f>IF(C106="","",SUM(EM106,ES106,EY106,FE106,FK106,FQ106,FW106,GC106,GI106,GO106,GU106,HA106,HG106,HM106))</x:f>
      </x:c>
      <x:c r="JA106" s="27" t="str">
        <x:f>IF(C106="","",SUM(EN106,ET106,EZ106,FF106,FL106,FR106,FX106,GD106,GJ106,GP106,GV106,HB106,HH106,HN106))</x:f>
      </x:c>
      <x:c r="JB106" s="27" t="str">
        <x:f>IF(C106="","",SUM(EO106,EU106,FA106,FG106,FM106,FS106,FY106,GE106,GK106,GQ106,GW106,HC106,HI106,HO106))</x:f>
      </x:c>
      <x:c r="JC106" s="27" t="str">
        <x:f>IF(C106="","",0)</x:f>
      </x:c>
      <x:c r="JD106" s="27" t="str">
        <x:f>IF(C106="","",0)</x:f>
      </x:c>
      <x:c r="JE106" s="27" t="str">
        <x:f>IF(C106="","",0)</x:f>
      </x:c>
      <x:c r="JF106" s="27" t="str">
        <x:f>IF(C106="","",0)</x:f>
      </x:c>
      <x:c r="JG106" s="27" t="str">
        <x:f>IF(C106="","",0)</x:f>
      </x:c>
      <x:c r="JH106" s="27" t="str">
        <x:f>IF(C106="","",0)</x:f>
      </x:c>
      <x:c r="JI106" s="27" t="str">
        <x:f>IF(C106="","",HP106*1000000000+IW106*1000000+IQ106*10000+IK106*100+JC106+6/1000)</x:f>
      </x:c>
      <x:c r="JJ106" s="27" t="str">
        <x:f>IF(C106="","",HQ106*1000000000+IX106*1000000+IR106*10000+IL106*100+JD106+5/1000)</x:f>
      </x:c>
      <x:c r="JK106" s="27" t="str">
        <x:f>IF(C106="","",HR106*1000000000+IY106*1000000+IS106*10000+IM106*100+JE106+4/1000)</x:f>
      </x:c>
      <x:c r="JL106" s="27" t="str">
        <x:f>IF(C106="","",HS106*1000000000+IZ106*1000000+IT106*10000+IN106*100+JF106+3/1000)</x:f>
      </x:c>
      <x:c r="JM106" s="27" t="str">
        <x:f>IF(C106="","",HT106*1000000000+JA106*1000000+IU106*10000+IO106*100+JG106+2/1000)</x:f>
      </x:c>
      <x:c r="JN106" s="27" t="str">
        <x:f>IF(C106="","",HU106*1000000000+JB106*1000000+IV106*10000+IP106*100+JH106+1/1000)</x:f>
      </x:c>
    </x:row>
    <x:row r="107">
      <x:c r="A107" s="27"/>
      <x:c r="B107" s="28"/>
      <x:c r="C107" s="27"/>
      <x:c r="D107" s="27"/>
      <x:c r="E107" s="27"/>
      <x:c r="F107" s="27"/>
      <x:c r="G107" s="27"/>
      <x:c r="H107" s="27"/>
      <x:c r="I107" s="27"/>
      <x:c r="J107" s="27"/>
      <x:c r="K107" s="27"/>
      <x:c r="L107" s="27"/>
      <x:c r="M107" s="27"/>
      <x:c r="N107" s="27"/>
      <x:c r="O107" s="27"/>
      <x:c r="P107" s="27"/>
      <x:c r="Q107" s="27"/>
      <x:c r="R107" s="27"/>
      <x:c r="S107" s="27"/>
      <x:c r="T107" s="27"/>
      <x:c r="U107" s="27"/>
      <x:c r="V107" s="27"/>
      <x:c r="W107" s="27"/>
      <x:c r="X107" s="27"/>
      <x:c r="Y107" s="27"/>
      <x:c r="Z107" s="27"/>
      <x:c r="AA107" s="27"/>
      <x:c r="AB107" s="27"/>
      <x:c r="AC107" s="27"/>
      <x:c r="AD107" s="27"/>
      <x:c r="AE107" s="27"/>
      <x:c r="AF107" s="27"/>
      <x:c r="AG107" s="27"/>
      <x:c r="AH107" s="27"/>
      <x:c r="AI107" s="27"/>
      <x:c r="AJ107" s="27"/>
      <x:c r="AK107" s="27"/>
      <x:c r="AL107" s="27"/>
      <x:c r="AM107" s="27"/>
      <x:c r="AN107" s="27"/>
      <x:c r="AO107" s="27"/>
      <x:c r="AP107" s="27"/>
      <x:c r="AQ107" s="27"/>
      <x:c r="AR107" s="27"/>
      <x:c r="AS107" s="27"/>
      <x:c r="AT107" s="27"/>
      <x:c r="AU107" s="27"/>
      <x:c r="AV107" s="27"/>
      <x:c r="AW107" s="27"/>
      <x:c r="AX107" s="27"/>
      <x:c r="AY107" s="27"/>
      <x:c r="AZ107" s="27"/>
      <x:c r="BA107" s="27"/>
      <x:c r="BB107" s="27"/>
      <x:c r="BC107" s="27"/>
      <x:c r="BD107" s="27"/>
      <x:c r="BE107" s="27"/>
      <x:c r="BF107" s="27"/>
      <x:c r="BG107" s="27"/>
      <x:c r="BH107" s="27"/>
      <x:c r="BI107" s="27"/>
      <x:c r="BJ107" s="27"/>
      <x:c r="BK107" s="27"/>
      <x:c r="BL107" s="27"/>
      <x:c r="BM107" s="27"/>
      <x:c r="BN107" s="27"/>
      <x:c r="BO107" s="27"/>
      <x:c r="BP107" s="27"/>
      <x:c r="BQ107" s="27"/>
      <x:c r="BR107" s="27"/>
      <x:c r="BS107" s="27"/>
      <x:c r="BT107" s="27"/>
      <x:c r="BU107" s="27"/>
      <x:c r="BV107" s="27"/>
      <x:c r="BW107" s="27"/>
      <x:c r="BX107" s="27"/>
      <x:c r="BY107" s="27"/>
      <x:c r="BZ107" s="27"/>
      <x:c r="CA107" s="27"/>
      <x:c r="CB107" s="27"/>
      <x:c r="CC107" s="27"/>
      <x:c r="CD107" s="27"/>
      <x:c r="CE107" s="27"/>
      <x:c r="CF107" s="27"/>
      <x:c r="CG107" s="27"/>
      <x:c r="CH107" s="27"/>
      <x:c r="CI107" s="27"/>
      <x:c r="CJ107" s="27"/>
      <x:c r="CK107" s="27"/>
      <x:c r="CL107" s="27"/>
      <x:c r="CM107" s="27"/>
      <x:c r="CN107" s="27"/>
      <x:c r="CO107" s="27"/>
      <x:c r="CP107" s="27"/>
      <x:c r="CQ107" s="27"/>
      <x:c r="CR107" s="27"/>
      <x:c r="CS107" s="27"/>
      <x:c r="CT107" s="27"/>
      <x:c r="CU107" s="27"/>
      <x:c r="CV107" s="27"/>
      <x:c r="CW107" s="27"/>
      <x:c r="CX107" s="27"/>
      <x:c r="CY107" s="27"/>
      <x:c r="CZ107" s="27"/>
      <x:c r="DA107" s="27"/>
      <x:c r="DB107" s="27"/>
      <x:c r="DC107" s="27"/>
      <x:c r="DD107" s="27"/>
      <x:c r="DE107" s="27"/>
      <x:c r="DF107" s="27"/>
      <x:c r="DG107" s="27"/>
      <x:c r="DH107" s="27"/>
      <x:c r="DI107" s="27"/>
      <x:c r="DJ107" s="27"/>
      <x:c r="DK107" s="27"/>
      <x:c r="DL107" s="27"/>
      <x:c r="DM107" s="27"/>
      <x:c r="DN107" s="27"/>
      <x:c r="DO107" s="27"/>
      <x:c r="DP107" s="27"/>
      <x:c r="DQ107" s="27"/>
      <x:c r="DR107" s="27"/>
      <x:c r="DS107" s="27"/>
      <x:c r="DT107" s="27"/>
      <x:c r="DU107" s="27"/>
      <x:c r="DV107" s="27"/>
      <x:c r="DW107" s="27"/>
      <x:c r="DX107" s="27"/>
      <x:c r="DY107" s="27"/>
      <x:c r="DZ107" s="27"/>
      <x:c r="EA107" s="27"/>
      <x:c r="EB107" s="27"/>
      <x:c r="EC107" s="27"/>
      <x:c r="ED107" s="27"/>
      <x:c r="EE107" s="27"/>
      <x:c r="EF107" s="27"/>
      <x:c r="EG107" s="27"/>
      <x:c r="EH107" s="27"/>
      <x:c r="EI107" s="27"/>
      <x:c r="EJ107" s="27"/>
      <x:c r="EK107" s="27"/>
      <x:c r="EL107" s="27"/>
      <x:c r="EM107" s="27"/>
      <x:c r="EN107" s="27"/>
      <x:c r="EO107" s="27"/>
      <x:c r="EP107" s="27"/>
      <x:c r="EQ107" s="27"/>
      <x:c r="ER107" s="27"/>
      <x:c r="ES107" s="27"/>
      <x:c r="ET107" s="27"/>
      <x:c r="EU107" s="27"/>
      <x:c r="EV107" s="27"/>
      <x:c r="EW107" s="27"/>
      <x:c r="EX107" s="27"/>
      <x:c r="EY107" s="27"/>
      <x:c r="EZ107" s="27"/>
      <x:c r="FA107" s="27"/>
      <x:c r="FB107" s="27"/>
      <x:c r="FC107" s="27"/>
      <x:c r="FD107" s="27"/>
      <x:c r="FE107" s="27"/>
      <x:c r="FF107" s="27"/>
      <x:c r="FG107" s="27"/>
      <x:c r="FH107" s="27"/>
      <x:c r="FI107" s="27"/>
      <x:c r="FJ107" s="27"/>
      <x:c r="FK107" s="27"/>
      <x:c r="FL107" s="27"/>
      <x:c r="FM107" s="27"/>
      <x:c r="FN107" s="27"/>
      <x:c r="FO107" s="27"/>
      <x:c r="FP107" s="27"/>
      <x:c r="FQ107" s="27"/>
      <x:c r="FR107" s="27"/>
      <x:c r="FS107" s="27"/>
      <x:c r="FT107" s="27"/>
      <x:c r="FU107" s="27"/>
      <x:c r="FV107" s="27"/>
      <x:c r="FW107" s="27"/>
      <x:c r="FX107" s="27"/>
      <x:c r="FY107" s="27"/>
      <x:c r="FZ107" s="27"/>
      <x:c r="GA107" s="27"/>
      <x:c r="GB107" s="27"/>
      <x:c r="GC107" s="27"/>
      <x:c r="GD107" s="27"/>
      <x:c r="GE107" s="27"/>
      <x:c r="GF107" s="27"/>
      <x:c r="GG107" s="27"/>
      <x:c r="GH107" s="27"/>
      <x:c r="GI107" s="27"/>
      <x:c r="GJ107" s="27"/>
      <x:c r="GK107" s="27"/>
      <x:c r="GL107" s="27"/>
      <x:c r="GM107" s="27"/>
      <x:c r="GN107" s="27"/>
      <x:c r="GO107" s="27"/>
      <x:c r="GP107" s="27"/>
      <x:c r="GQ107" s="27"/>
      <x:c r="GR107" s="27"/>
      <x:c r="GS107" s="27"/>
      <x:c r="GT107" s="27"/>
      <x:c r="GU107" s="27"/>
      <x:c r="GV107" s="27"/>
      <x:c r="GW107" s="27"/>
      <x:c r="GX107" s="27"/>
      <x:c r="GY107" s="27"/>
      <x:c r="GZ107" s="27"/>
      <x:c r="HA107" s="27"/>
      <x:c r="HB107" s="27"/>
      <x:c r="HC107" s="27"/>
      <x:c r="HD107" s="27"/>
      <x:c r="HE107" s="27"/>
      <x:c r="HF107" s="27"/>
      <x:c r="HG107" s="27"/>
      <x:c r="HH107" s="27"/>
      <x:c r="HI107" s="27"/>
      <x:c r="HJ107" s="27"/>
      <x:c r="HK107" s="27"/>
      <x:c r="HL107" s="27"/>
      <x:c r="HM107" s="27"/>
      <x:c r="HN107" s="27"/>
      <x:c r="HO107" s="27"/>
      <x:c r="HP107" s="27" t="str">
        <x:f>IF(C107="","",SUM(H107,N107,T107,Z107,AF107,AL107,AR107,AX107,BD107,BJ107,BP107,BV107,CB107,CH107,CN107,CT107,CZ107,DF107,DL107,DR107,DX107,ED107,EJ107,EP107,EV107,FB107,FH107,FN107,FT107,FZ107,GF107,GL107,GR107,GX107,HD107,HJ107))</x:f>
      </x:c>
      <x:c r="HQ107" s="27" t="str">
        <x:f>IF(C107="","",SUM(I107,O107,U107,AA107,AG107,AM107,AS107,AY107,BE107,BK107,BQ107,BW107,CC107,CI107,CO107,CU107,DA107,DG107,DM107,DS107,DY107,EE107,EK107,EQ107,EW107,FC107,FI107,FO107,FU107,GA107,GG107,GM107,GS107,GY107,HE107,HK107))</x:f>
      </x:c>
      <x:c r="HR107" s="27" t="str">
        <x:f>IF(C107="","",SUM(J107,P107,V107,AB107,AH107,AN107,AT107,AZ107,BF107,BL107,BR107,BX107,CD107,CJ107,CP107,CV107,DB107,DH107,DN107,DT107,DZ107,EF107,EL107,ER107,EX107,FD107,FJ107,FP107,FV107,GB107,GH107,GN107,GT107,GZ107,HF107,HL107))</x:f>
      </x:c>
      <x:c r="HS107" s="27" t="str">
        <x:f>IF(C107="","",SUM(K107,Q107,W107,AC107,AI107,AO107,AU107,BA107,BG107,BM107,BS107,BY107,CE107,CK107,CQ107,CW107,DC107,DI107,DO107,DU107,EA107,EG107,EM107,ES107,EY107,FE107,FK107,FQ107,FW107,GC107,GI107,GO107,GU107,HA107,HG107,HM107))</x:f>
      </x:c>
      <x:c r="HT107" s="27" t="str">
        <x:f>IF(C107="","",SUM(L107,R107,X107,AD107,AJ107,AP107,AV107,BB107,BH107,BN107,BT107,BZ107,CF107,CL107,CR107,CX107,DD107,DJ107,DP107,DV107,EB107,EH107,EN107,ET107,EZ107,FF107,FL107,FR107,FX107,GD107,GJ107,GP107,GV107,HB107,HH107,HN107))</x:f>
      </x:c>
      <x:c r="HU107" s="27" t="str">
        <x:f>IF(C107="","",SUM(M107,S107,Y107,AE107,AK107,AQ107,AW107,BC107,BI107,BO107,BU107,CA107,CG107,CM107,CS107,CY107,DE107,DK107,DQ107,DW107,EC107,EI107,EO107,EU107,FA107,FG107,FM107,FS107,FY107,GE107,GK107,GQ107,GW107,HC107,HI107,HO107))</x:f>
      </x:c>
      <x:c r="HV107" s="27" t="str">
        <x:f>IF(C107="","",IF(JI107=LARGE(JI107:JN107,1),"R",IF(JJ107=LARGE(JI107:JN107,1),"I",IF(JK107=LARGE(JI107:JN107,1),"A",IF(JL107=LARGE(JI107:JN107,1),"S",IF(JM107=LARGE(JI107:JN107,1),"E",IF(JN107=LARGE(JI107:JN107,1),"C",""))))))&amp;IF(JI107=LARGE(JI107:JN107,2),"R",IF(JJ107=LARGE(JI107:JN107,2),"I",IF(JK107=LARGE(JI107:JN107,2),"A",IF(JL107=LARGE(JI107:JN107,2),"S",IF(JM107=LARGE(JI107:JN107,2),"E",IF(JN107=LARGE(JI107:JN107,2),"C",""))))))&amp;IF(JI107=LARGE(JI107:JN107,3),"R",IF(JJ107=LARGE(JI107:JN107,3),"I",IF(JK107=LARGE(JI107:JN107,3),"A",IF(JL107=LARGE(JI107:JN107,3),"S",IF(JM107=LARGE(JI107:JN107,3),"E",IF(JN107=LARGE(JI107:JN107,3),"C","")))))))</x:f>
      </x:c>
      <x:c r="HW107" s="27" t="str">
        <x:f>IF(C107="","",IF(JI107=LARGE(JI107:JN107,1),"นักปฏิบัติ",IF(JJ107=LARGE(JI107:JN107,1),"นักคิดวิเคราะห์",IF(JK107=LARGE(JI107:JN107,1),"นักสร้างสรรค์",IF(JL107=LARGE(JI107:JN107,1),"ผู้เข้าใจผู้คน",IF(JM107=LARGE(JI107:JN107,1),"ผู้นำการเปลี่ยนแปลง",IF(JN107=LARGE(JI107:JN107,1),"ผู้จัดระบบ","ผู้จัดระบบ")))))))</x:f>
      </x:c>
      <x:c r="HX107" s="27"/>
      <x:c r="HY107" s="27"/>
      <x:c r="HZ107" s="27"/>
      <x:c r="IA107" s="27"/>
      <x:c r="IB107" s="27"/>
      <x:c r="IC107" s="27"/>
      <x:c r="ID107" s="27"/>
      <x:c r="IE107" s="27"/>
      <x:c r="IF107" s="27"/>
      <x:c r="IG107" s="27"/>
      <x:c r="IH107" s="27"/>
      <x:c r="II107" s="27"/>
      <x:c r="IJ107" s="27"/>
      <x:c r="IK107" s="27" t="str">
        <x:f>IF(C107="","",SUM(H107,N107,T107,Z107,AF107,AL107,AR107,AX107,BD107,BJ107,BP107))</x:f>
      </x:c>
      <x:c r="IL107" s="27" t="str">
        <x:f>IF(C107="","",SUM(I107,O107,U107,AA107,AG107,AM107,AS107,AY107,BE107,BK107,BQ107))</x:f>
      </x:c>
      <x:c r="IM107" s="27" t="str">
        <x:f>IF(C107="","",SUM(J107,P107,V107,AB107,AH107,AN107,AT107,AZ107,BF107,BL107,BR107))</x:f>
      </x:c>
      <x:c r="IN107" s="27" t="str">
        <x:f>IF(C107="","",SUM(K107,Q107,W107,AC107,AI107,AO107,AU107,BA107,BG107,BM107,BS107))</x:f>
      </x:c>
      <x:c r="IO107" s="27" t="str">
        <x:f>IF(C107="","",SUM(L107,R107,X107,AD107,AJ107,AP107,AV107,BB107,BH107,BN107,BT107))</x:f>
      </x:c>
      <x:c r="IP107" s="27" t="str">
        <x:f>IF(C107="","",SUM(M107,S107,Y107,AE107,AK107,AQ107,AW107,BC107,BI107,BO107,BU107))</x:f>
      </x:c>
      <x:c r="IQ107" s="27" t="str">
        <x:f>IF(C107="","",SUM(BV107,CB107,CH107,CN107,CT107,CZ107,DF107,DL107,DR107,DX107,ED107))</x:f>
      </x:c>
      <x:c r="IR107" s="27" t="str">
        <x:f>IF(C107="","",SUM(BW107,CC107,CI107,CO107,CU107,DA107,DG107,DM107,DS107,DY107,EE107))</x:f>
      </x:c>
      <x:c r="IS107" s="27" t="str">
        <x:f>IF(C107="","",SUM(BX107,CD107,CJ107,CP107,CV107,DB107,DH107,DN107,DT107,DZ107,EF107))</x:f>
      </x:c>
      <x:c r="IT107" s="27" t="str">
        <x:f>IF(C107="","",SUM(BY107,CE107,CK107,CQ107,CW107,DC107,DI107,DO107,DU107,EA107,EG107))</x:f>
      </x:c>
      <x:c r="IU107" s="27" t="str">
        <x:f>IF(C107="","",SUM(BZ107,CF107,CL107,CR107,CX107,DD107,DJ107,DP107,DV107,EB107,EH107))</x:f>
      </x:c>
      <x:c r="IV107" s="27" t="str">
        <x:f>IF(C107="","",SUM(CA107,CG107,CM107,CS107,CY107,DE107,DK107,DQ107,DW107,EC107,EI107))</x:f>
      </x:c>
      <x:c r="IW107" s="27" t="str">
        <x:f>IF(C107="","",SUM(EJ107,EP107,EV107,FB107,FH107,FN107,FT107,FZ107,GF107,GL107,GR107,GX107,HD107,HJ107))</x:f>
      </x:c>
      <x:c r="IX107" s="27" t="str">
        <x:f>IF(C107="","",SUM(EK107,EQ107,EW107,FC107,FI107,FO107,FU107,GA107,GG107,GM107,GS107,GY107,HE107,HK107))</x:f>
      </x:c>
      <x:c r="IY107" s="27" t="str">
        <x:f>IF(C107="","",SUM(EL107,ER107,EX107,FD107,FJ107,FP107,FV107,GB107,GH107,GN107,GT107,GZ107,HF107,HL107))</x:f>
      </x:c>
      <x:c r="IZ107" s="27" t="str">
        <x:f>IF(C107="","",SUM(EM107,ES107,EY107,FE107,FK107,FQ107,FW107,GC107,GI107,GO107,GU107,HA107,HG107,HM107))</x:f>
      </x:c>
      <x:c r="JA107" s="27" t="str">
        <x:f>IF(C107="","",SUM(EN107,ET107,EZ107,FF107,FL107,FR107,FX107,GD107,GJ107,GP107,GV107,HB107,HH107,HN107))</x:f>
      </x:c>
      <x:c r="JB107" s="27" t="str">
        <x:f>IF(C107="","",SUM(EO107,EU107,FA107,FG107,FM107,FS107,FY107,GE107,GK107,GQ107,GW107,HC107,HI107,HO107))</x:f>
      </x:c>
      <x:c r="JC107" s="27" t="str">
        <x:f>IF(C107="","",0)</x:f>
      </x:c>
      <x:c r="JD107" s="27" t="str">
        <x:f>IF(C107="","",0)</x:f>
      </x:c>
      <x:c r="JE107" s="27" t="str">
        <x:f>IF(C107="","",0)</x:f>
      </x:c>
      <x:c r="JF107" s="27" t="str">
        <x:f>IF(C107="","",0)</x:f>
      </x:c>
      <x:c r="JG107" s="27" t="str">
        <x:f>IF(C107="","",0)</x:f>
      </x:c>
      <x:c r="JH107" s="27" t="str">
        <x:f>IF(C107="","",0)</x:f>
      </x:c>
      <x:c r="JI107" s="27" t="str">
        <x:f>IF(C107="","",HP107*1000000000+IW107*1000000+IQ107*10000+IK107*100+JC107+6/1000)</x:f>
      </x:c>
      <x:c r="JJ107" s="27" t="str">
        <x:f>IF(C107="","",HQ107*1000000000+IX107*1000000+IR107*10000+IL107*100+JD107+5/1000)</x:f>
      </x:c>
      <x:c r="JK107" s="27" t="str">
        <x:f>IF(C107="","",HR107*1000000000+IY107*1000000+IS107*10000+IM107*100+JE107+4/1000)</x:f>
      </x:c>
      <x:c r="JL107" s="27" t="str">
        <x:f>IF(C107="","",HS107*1000000000+IZ107*1000000+IT107*10000+IN107*100+JF107+3/1000)</x:f>
      </x:c>
      <x:c r="JM107" s="27" t="str">
        <x:f>IF(C107="","",HT107*1000000000+JA107*1000000+IU107*10000+IO107*100+JG107+2/1000)</x:f>
      </x:c>
      <x:c r="JN107" s="27" t="str">
        <x:f>IF(C107="","",HU107*1000000000+JB107*1000000+IV107*10000+IP107*100+JH107+1/1000)</x:f>
      </x:c>
    </x:row>
    <x:row r="108">
      <x:c r="A108" s="27"/>
      <x:c r="B108" s="28"/>
      <x:c r="C108" s="27"/>
      <x:c r="D108" s="27"/>
      <x:c r="E108" s="27"/>
      <x:c r="F108" s="27"/>
      <x:c r="G108" s="27"/>
      <x:c r="H108" s="27"/>
      <x:c r="I108" s="27"/>
      <x:c r="J108" s="27"/>
      <x:c r="K108" s="27"/>
      <x:c r="L108" s="27"/>
      <x:c r="M108" s="27"/>
      <x:c r="N108" s="27"/>
      <x:c r="O108" s="27"/>
      <x:c r="P108" s="27"/>
      <x:c r="Q108" s="27"/>
      <x:c r="R108" s="27"/>
      <x:c r="S108" s="27"/>
      <x:c r="T108" s="27"/>
      <x:c r="U108" s="27"/>
      <x:c r="V108" s="27"/>
      <x:c r="W108" s="27"/>
      <x:c r="X108" s="27"/>
      <x:c r="Y108" s="27"/>
      <x:c r="Z108" s="27"/>
      <x:c r="AA108" s="27"/>
      <x:c r="AB108" s="27"/>
      <x:c r="AC108" s="27"/>
      <x:c r="AD108" s="27"/>
      <x:c r="AE108" s="27"/>
      <x:c r="AF108" s="27"/>
      <x:c r="AG108" s="27"/>
      <x:c r="AH108" s="27"/>
      <x:c r="AI108" s="27"/>
      <x:c r="AJ108" s="27"/>
      <x:c r="AK108" s="27"/>
      <x:c r="AL108" s="27"/>
      <x:c r="AM108" s="27"/>
      <x:c r="AN108" s="27"/>
      <x:c r="AO108" s="27"/>
      <x:c r="AP108" s="27"/>
      <x:c r="AQ108" s="27"/>
      <x:c r="AR108" s="27"/>
      <x:c r="AS108" s="27"/>
      <x:c r="AT108" s="27"/>
      <x:c r="AU108" s="27"/>
      <x:c r="AV108" s="27"/>
      <x:c r="AW108" s="27"/>
      <x:c r="AX108" s="27"/>
      <x:c r="AY108" s="27"/>
      <x:c r="AZ108" s="27"/>
      <x:c r="BA108" s="27"/>
      <x:c r="BB108" s="27"/>
      <x:c r="BC108" s="27"/>
      <x:c r="BD108" s="27"/>
      <x:c r="BE108" s="27"/>
      <x:c r="BF108" s="27"/>
      <x:c r="BG108" s="27"/>
      <x:c r="BH108" s="27"/>
      <x:c r="BI108" s="27"/>
      <x:c r="BJ108" s="27"/>
      <x:c r="BK108" s="27"/>
      <x:c r="BL108" s="27"/>
      <x:c r="BM108" s="27"/>
      <x:c r="BN108" s="27"/>
      <x:c r="BO108" s="27"/>
      <x:c r="BP108" s="27"/>
      <x:c r="BQ108" s="27"/>
      <x:c r="BR108" s="27"/>
      <x:c r="BS108" s="27"/>
      <x:c r="BT108" s="27"/>
      <x:c r="BU108" s="27"/>
      <x:c r="BV108" s="27"/>
      <x:c r="BW108" s="27"/>
      <x:c r="BX108" s="27"/>
      <x:c r="BY108" s="27"/>
      <x:c r="BZ108" s="27"/>
      <x:c r="CA108" s="27"/>
      <x:c r="CB108" s="27"/>
      <x:c r="CC108" s="27"/>
      <x:c r="CD108" s="27"/>
      <x:c r="CE108" s="27"/>
      <x:c r="CF108" s="27"/>
      <x:c r="CG108" s="27"/>
      <x:c r="CH108" s="27"/>
      <x:c r="CI108" s="27"/>
      <x:c r="CJ108" s="27"/>
      <x:c r="CK108" s="27"/>
      <x:c r="CL108" s="27"/>
      <x:c r="CM108" s="27"/>
      <x:c r="CN108" s="27"/>
      <x:c r="CO108" s="27"/>
      <x:c r="CP108" s="27"/>
      <x:c r="CQ108" s="27"/>
      <x:c r="CR108" s="27"/>
      <x:c r="CS108" s="27"/>
      <x:c r="CT108" s="27"/>
      <x:c r="CU108" s="27"/>
      <x:c r="CV108" s="27"/>
      <x:c r="CW108" s="27"/>
      <x:c r="CX108" s="27"/>
      <x:c r="CY108" s="27"/>
      <x:c r="CZ108" s="27"/>
      <x:c r="DA108" s="27"/>
      <x:c r="DB108" s="27"/>
      <x:c r="DC108" s="27"/>
      <x:c r="DD108" s="27"/>
      <x:c r="DE108" s="27"/>
      <x:c r="DF108" s="27"/>
      <x:c r="DG108" s="27"/>
      <x:c r="DH108" s="27"/>
      <x:c r="DI108" s="27"/>
      <x:c r="DJ108" s="27"/>
      <x:c r="DK108" s="27"/>
      <x:c r="DL108" s="27"/>
      <x:c r="DM108" s="27"/>
      <x:c r="DN108" s="27"/>
      <x:c r="DO108" s="27"/>
      <x:c r="DP108" s="27"/>
      <x:c r="DQ108" s="27"/>
      <x:c r="DR108" s="27"/>
      <x:c r="DS108" s="27"/>
      <x:c r="DT108" s="27"/>
      <x:c r="DU108" s="27"/>
      <x:c r="DV108" s="27"/>
      <x:c r="DW108" s="27"/>
      <x:c r="DX108" s="27"/>
      <x:c r="DY108" s="27"/>
      <x:c r="DZ108" s="27"/>
      <x:c r="EA108" s="27"/>
      <x:c r="EB108" s="27"/>
      <x:c r="EC108" s="27"/>
      <x:c r="ED108" s="27"/>
      <x:c r="EE108" s="27"/>
      <x:c r="EF108" s="27"/>
      <x:c r="EG108" s="27"/>
      <x:c r="EH108" s="27"/>
      <x:c r="EI108" s="27"/>
      <x:c r="EJ108" s="27"/>
      <x:c r="EK108" s="27"/>
      <x:c r="EL108" s="27"/>
      <x:c r="EM108" s="27"/>
      <x:c r="EN108" s="27"/>
      <x:c r="EO108" s="27"/>
      <x:c r="EP108" s="27"/>
      <x:c r="EQ108" s="27"/>
      <x:c r="ER108" s="27"/>
      <x:c r="ES108" s="27"/>
      <x:c r="ET108" s="27"/>
      <x:c r="EU108" s="27"/>
      <x:c r="EV108" s="27"/>
      <x:c r="EW108" s="27"/>
      <x:c r="EX108" s="27"/>
      <x:c r="EY108" s="27"/>
      <x:c r="EZ108" s="27"/>
      <x:c r="FA108" s="27"/>
      <x:c r="FB108" s="27"/>
      <x:c r="FC108" s="27"/>
      <x:c r="FD108" s="27"/>
      <x:c r="FE108" s="27"/>
      <x:c r="FF108" s="27"/>
      <x:c r="FG108" s="27"/>
      <x:c r="FH108" s="27"/>
      <x:c r="FI108" s="27"/>
      <x:c r="FJ108" s="27"/>
      <x:c r="FK108" s="27"/>
      <x:c r="FL108" s="27"/>
      <x:c r="FM108" s="27"/>
      <x:c r="FN108" s="27"/>
      <x:c r="FO108" s="27"/>
      <x:c r="FP108" s="27"/>
      <x:c r="FQ108" s="27"/>
      <x:c r="FR108" s="27"/>
      <x:c r="FS108" s="27"/>
      <x:c r="FT108" s="27"/>
      <x:c r="FU108" s="27"/>
      <x:c r="FV108" s="27"/>
      <x:c r="FW108" s="27"/>
      <x:c r="FX108" s="27"/>
      <x:c r="FY108" s="27"/>
      <x:c r="FZ108" s="27"/>
      <x:c r="GA108" s="27"/>
      <x:c r="GB108" s="27"/>
      <x:c r="GC108" s="27"/>
      <x:c r="GD108" s="27"/>
      <x:c r="GE108" s="27"/>
      <x:c r="GF108" s="27"/>
      <x:c r="GG108" s="27"/>
      <x:c r="GH108" s="27"/>
      <x:c r="GI108" s="27"/>
      <x:c r="GJ108" s="27"/>
      <x:c r="GK108" s="27"/>
      <x:c r="GL108" s="27"/>
      <x:c r="GM108" s="27"/>
      <x:c r="GN108" s="27"/>
      <x:c r="GO108" s="27"/>
      <x:c r="GP108" s="27"/>
      <x:c r="GQ108" s="27"/>
      <x:c r="GR108" s="27"/>
      <x:c r="GS108" s="27"/>
      <x:c r="GT108" s="27"/>
      <x:c r="GU108" s="27"/>
      <x:c r="GV108" s="27"/>
      <x:c r="GW108" s="27"/>
      <x:c r="GX108" s="27"/>
      <x:c r="GY108" s="27"/>
      <x:c r="GZ108" s="27"/>
      <x:c r="HA108" s="27"/>
      <x:c r="HB108" s="27"/>
      <x:c r="HC108" s="27"/>
      <x:c r="HD108" s="27"/>
      <x:c r="HE108" s="27"/>
      <x:c r="HF108" s="27"/>
      <x:c r="HG108" s="27"/>
      <x:c r="HH108" s="27"/>
      <x:c r="HI108" s="27"/>
      <x:c r="HJ108" s="27"/>
      <x:c r="HK108" s="27"/>
      <x:c r="HL108" s="27"/>
      <x:c r="HM108" s="27"/>
      <x:c r="HN108" s="27"/>
      <x:c r="HO108" s="27"/>
      <x:c r="HP108" s="27" t="str">
        <x:f>IF(C108="","",SUM(H108,N108,T108,Z108,AF108,AL108,AR108,AX108,BD108,BJ108,BP108,BV108,CB108,CH108,CN108,CT108,CZ108,DF108,DL108,DR108,DX108,ED108,EJ108,EP108,EV108,FB108,FH108,FN108,FT108,FZ108,GF108,GL108,GR108,GX108,HD108,HJ108))</x:f>
      </x:c>
      <x:c r="HQ108" s="27" t="str">
        <x:f>IF(C108="","",SUM(I108,O108,U108,AA108,AG108,AM108,AS108,AY108,BE108,BK108,BQ108,BW108,CC108,CI108,CO108,CU108,DA108,DG108,DM108,DS108,DY108,EE108,EK108,EQ108,EW108,FC108,FI108,FO108,FU108,GA108,GG108,GM108,GS108,GY108,HE108,HK108))</x:f>
      </x:c>
      <x:c r="HR108" s="27" t="str">
        <x:f>IF(C108="","",SUM(J108,P108,V108,AB108,AH108,AN108,AT108,AZ108,BF108,BL108,BR108,BX108,CD108,CJ108,CP108,CV108,DB108,DH108,DN108,DT108,DZ108,EF108,EL108,ER108,EX108,FD108,FJ108,FP108,FV108,GB108,GH108,GN108,GT108,GZ108,HF108,HL108))</x:f>
      </x:c>
      <x:c r="HS108" s="27" t="str">
        <x:f>IF(C108="","",SUM(K108,Q108,W108,AC108,AI108,AO108,AU108,BA108,BG108,BM108,BS108,BY108,CE108,CK108,CQ108,CW108,DC108,DI108,DO108,DU108,EA108,EG108,EM108,ES108,EY108,FE108,FK108,FQ108,FW108,GC108,GI108,GO108,GU108,HA108,HG108,HM108))</x:f>
      </x:c>
      <x:c r="HT108" s="27" t="str">
        <x:f>IF(C108="","",SUM(L108,R108,X108,AD108,AJ108,AP108,AV108,BB108,BH108,BN108,BT108,BZ108,CF108,CL108,CR108,CX108,DD108,DJ108,DP108,DV108,EB108,EH108,EN108,ET108,EZ108,FF108,FL108,FR108,FX108,GD108,GJ108,GP108,GV108,HB108,HH108,HN108))</x:f>
      </x:c>
      <x:c r="HU108" s="27" t="str">
        <x:f>IF(C108="","",SUM(M108,S108,Y108,AE108,AK108,AQ108,AW108,BC108,BI108,BO108,BU108,CA108,CG108,CM108,CS108,CY108,DE108,DK108,DQ108,DW108,EC108,EI108,EO108,EU108,FA108,FG108,FM108,FS108,FY108,GE108,GK108,GQ108,GW108,HC108,HI108,HO108))</x:f>
      </x:c>
      <x:c r="HV108" s="27" t="str">
        <x:f>IF(C108="","",IF(JI108=LARGE(JI108:JN108,1),"R",IF(JJ108=LARGE(JI108:JN108,1),"I",IF(JK108=LARGE(JI108:JN108,1),"A",IF(JL108=LARGE(JI108:JN108,1),"S",IF(JM108=LARGE(JI108:JN108,1),"E",IF(JN108=LARGE(JI108:JN108,1),"C",""))))))&amp;IF(JI108=LARGE(JI108:JN108,2),"R",IF(JJ108=LARGE(JI108:JN108,2),"I",IF(JK108=LARGE(JI108:JN108,2),"A",IF(JL108=LARGE(JI108:JN108,2),"S",IF(JM108=LARGE(JI108:JN108,2),"E",IF(JN108=LARGE(JI108:JN108,2),"C",""))))))&amp;IF(JI108=LARGE(JI108:JN108,3),"R",IF(JJ108=LARGE(JI108:JN108,3),"I",IF(JK108=LARGE(JI108:JN108,3),"A",IF(JL108=LARGE(JI108:JN108,3),"S",IF(JM108=LARGE(JI108:JN108,3),"E",IF(JN108=LARGE(JI108:JN108,3),"C","")))))))</x:f>
      </x:c>
      <x:c r="HW108" s="27" t="str">
        <x:f>IF(C108="","",IF(JI108=LARGE(JI108:JN108,1),"นักปฏิบัติ",IF(JJ108=LARGE(JI108:JN108,1),"นักคิดวิเคราะห์",IF(JK108=LARGE(JI108:JN108,1),"นักสร้างสรรค์",IF(JL108=LARGE(JI108:JN108,1),"ผู้เข้าใจผู้คน",IF(JM108=LARGE(JI108:JN108,1),"ผู้นำการเปลี่ยนแปลง",IF(JN108=LARGE(JI108:JN108,1),"ผู้จัดระบบ","ผู้จัดระบบ")))))))</x:f>
      </x:c>
      <x:c r="HX108" s="27"/>
      <x:c r="HY108" s="27"/>
      <x:c r="HZ108" s="27"/>
      <x:c r="IA108" s="27"/>
      <x:c r="IB108" s="27"/>
      <x:c r="IC108" s="27"/>
      <x:c r="ID108" s="27"/>
      <x:c r="IE108" s="27"/>
      <x:c r="IF108" s="27"/>
      <x:c r="IG108" s="27"/>
      <x:c r="IH108" s="27"/>
      <x:c r="II108" s="27"/>
      <x:c r="IJ108" s="27"/>
      <x:c r="IK108" s="27" t="str">
        <x:f>IF(C108="","",SUM(H108,N108,T108,Z108,AF108,AL108,AR108,AX108,BD108,BJ108,BP108))</x:f>
      </x:c>
      <x:c r="IL108" s="27" t="str">
        <x:f>IF(C108="","",SUM(I108,O108,U108,AA108,AG108,AM108,AS108,AY108,BE108,BK108,BQ108))</x:f>
      </x:c>
      <x:c r="IM108" s="27" t="str">
        <x:f>IF(C108="","",SUM(J108,P108,V108,AB108,AH108,AN108,AT108,AZ108,BF108,BL108,BR108))</x:f>
      </x:c>
      <x:c r="IN108" s="27" t="str">
        <x:f>IF(C108="","",SUM(K108,Q108,W108,AC108,AI108,AO108,AU108,BA108,BG108,BM108,BS108))</x:f>
      </x:c>
      <x:c r="IO108" s="27" t="str">
        <x:f>IF(C108="","",SUM(L108,R108,X108,AD108,AJ108,AP108,AV108,BB108,BH108,BN108,BT108))</x:f>
      </x:c>
      <x:c r="IP108" s="27" t="str">
        <x:f>IF(C108="","",SUM(M108,S108,Y108,AE108,AK108,AQ108,AW108,BC108,BI108,BO108,BU108))</x:f>
      </x:c>
      <x:c r="IQ108" s="27" t="str">
        <x:f>IF(C108="","",SUM(BV108,CB108,CH108,CN108,CT108,CZ108,DF108,DL108,DR108,DX108,ED108))</x:f>
      </x:c>
      <x:c r="IR108" s="27" t="str">
        <x:f>IF(C108="","",SUM(BW108,CC108,CI108,CO108,CU108,DA108,DG108,DM108,DS108,DY108,EE108))</x:f>
      </x:c>
      <x:c r="IS108" s="27" t="str">
        <x:f>IF(C108="","",SUM(BX108,CD108,CJ108,CP108,CV108,DB108,DH108,DN108,DT108,DZ108,EF108))</x:f>
      </x:c>
      <x:c r="IT108" s="27" t="str">
        <x:f>IF(C108="","",SUM(BY108,CE108,CK108,CQ108,CW108,DC108,DI108,DO108,DU108,EA108,EG108))</x:f>
      </x:c>
      <x:c r="IU108" s="27" t="str">
        <x:f>IF(C108="","",SUM(BZ108,CF108,CL108,CR108,CX108,DD108,DJ108,DP108,DV108,EB108,EH108))</x:f>
      </x:c>
      <x:c r="IV108" s="27" t="str">
        <x:f>IF(C108="","",SUM(CA108,CG108,CM108,CS108,CY108,DE108,DK108,DQ108,DW108,EC108,EI108))</x:f>
      </x:c>
      <x:c r="IW108" s="27" t="str">
        <x:f>IF(C108="","",SUM(EJ108,EP108,EV108,FB108,FH108,FN108,FT108,FZ108,GF108,GL108,GR108,GX108,HD108,HJ108))</x:f>
      </x:c>
      <x:c r="IX108" s="27" t="str">
        <x:f>IF(C108="","",SUM(EK108,EQ108,EW108,FC108,FI108,FO108,FU108,GA108,GG108,GM108,GS108,GY108,HE108,HK108))</x:f>
      </x:c>
      <x:c r="IY108" s="27" t="str">
        <x:f>IF(C108="","",SUM(EL108,ER108,EX108,FD108,FJ108,FP108,FV108,GB108,GH108,GN108,GT108,GZ108,HF108,HL108))</x:f>
      </x:c>
      <x:c r="IZ108" s="27" t="str">
        <x:f>IF(C108="","",SUM(EM108,ES108,EY108,FE108,FK108,FQ108,FW108,GC108,GI108,GO108,GU108,HA108,HG108,HM108))</x:f>
      </x:c>
      <x:c r="JA108" s="27" t="str">
        <x:f>IF(C108="","",SUM(EN108,ET108,EZ108,FF108,FL108,FR108,FX108,GD108,GJ108,GP108,GV108,HB108,HH108,HN108))</x:f>
      </x:c>
      <x:c r="JB108" s="27" t="str">
        <x:f>IF(C108="","",SUM(EO108,EU108,FA108,FG108,FM108,FS108,FY108,GE108,GK108,GQ108,GW108,HC108,HI108,HO108))</x:f>
      </x:c>
      <x:c r="JC108" s="27" t="str">
        <x:f>IF(C108="","",0)</x:f>
      </x:c>
      <x:c r="JD108" s="27" t="str">
        <x:f>IF(C108="","",0)</x:f>
      </x:c>
      <x:c r="JE108" s="27" t="str">
        <x:f>IF(C108="","",0)</x:f>
      </x:c>
      <x:c r="JF108" s="27" t="str">
        <x:f>IF(C108="","",0)</x:f>
      </x:c>
      <x:c r="JG108" s="27" t="str">
        <x:f>IF(C108="","",0)</x:f>
      </x:c>
      <x:c r="JH108" s="27" t="str">
        <x:f>IF(C108="","",0)</x:f>
      </x:c>
      <x:c r="JI108" s="27" t="str">
        <x:f>IF(C108="","",HP108*1000000000+IW108*1000000+IQ108*10000+IK108*100+JC108+6/1000)</x:f>
      </x:c>
      <x:c r="JJ108" s="27" t="str">
        <x:f>IF(C108="","",HQ108*1000000000+IX108*1000000+IR108*10000+IL108*100+JD108+5/1000)</x:f>
      </x:c>
      <x:c r="JK108" s="27" t="str">
        <x:f>IF(C108="","",HR108*1000000000+IY108*1000000+IS108*10000+IM108*100+JE108+4/1000)</x:f>
      </x:c>
      <x:c r="JL108" s="27" t="str">
        <x:f>IF(C108="","",HS108*1000000000+IZ108*1000000+IT108*10000+IN108*100+JF108+3/1000)</x:f>
      </x:c>
      <x:c r="JM108" s="27" t="str">
        <x:f>IF(C108="","",HT108*1000000000+JA108*1000000+IU108*10000+IO108*100+JG108+2/1000)</x:f>
      </x:c>
      <x:c r="JN108" s="27" t="str">
        <x:f>IF(C108="","",HU108*1000000000+JB108*1000000+IV108*10000+IP108*100+JH108+1/1000)</x:f>
      </x:c>
    </x:row>
    <x:row r="109">
      <x:c r="A109" s="27"/>
      <x:c r="B109" s="28"/>
      <x:c r="C109" s="27"/>
      <x:c r="D109" s="27"/>
      <x:c r="E109" s="27"/>
      <x:c r="F109" s="27"/>
      <x:c r="G109" s="27"/>
      <x:c r="H109" s="27"/>
      <x:c r="I109" s="27"/>
      <x:c r="J109" s="27"/>
      <x:c r="K109" s="27"/>
      <x:c r="L109" s="27"/>
      <x:c r="M109" s="27"/>
      <x:c r="N109" s="27"/>
      <x:c r="O109" s="27"/>
      <x:c r="P109" s="27"/>
      <x:c r="Q109" s="27"/>
      <x:c r="R109" s="27"/>
      <x:c r="S109" s="27"/>
      <x:c r="T109" s="27"/>
      <x:c r="U109" s="27"/>
      <x:c r="V109" s="27"/>
      <x:c r="W109" s="27"/>
      <x:c r="X109" s="27"/>
      <x:c r="Y109" s="27"/>
      <x:c r="Z109" s="27"/>
      <x:c r="AA109" s="27"/>
      <x:c r="AB109" s="27"/>
      <x:c r="AC109" s="27"/>
      <x:c r="AD109" s="27"/>
      <x:c r="AE109" s="27"/>
      <x:c r="AF109" s="27"/>
      <x:c r="AG109" s="27"/>
      <x:c r="AH109" s="27"/>
      <x:c r="AI109" s="27"/>
      <x:c r="AJ109" s="27"/>
      <x:c r="AK109" s="27"/>
      <x:c r="AL109" s="27"/>
      <x:c r="AM109" s="27"/>
      <x:c r="AN109" s="27"/>
      <x:c r="AO109" s="27"/>
      <x:c r="AP109" s="27"/>
      <x:c r="AQ109" s="27"/>
      <x:c r="AR109" s="27"/>
      <x:c r="AS109" s="27"/>
      <x:c r="AT109" s="27"/>
      <x:c r="AU109" s="27"/>
      <x:c r="AV109" s="27"/>
      <x:c r="AW109" s="27"/>
      <x:c r="AX109" s="27"/>
      <x:c r="AY109" s="27"/>
      <x:c r="AZ109" s="27"/>
      <x:c r="BA109" s="27"/>
      <x:c r="BB109" s="27"/>
      <x:c r="BC109" s="27"/>
      <x:c r="BD109" s="27"/>
      <x:c r="BE109" s="27"/>
      <x:c r="BF109" s="27"/>
      <x:c r="BG109" s="27"/>
      <x:c r="BH109" s="27"/>
      <x:c r="BI109" s="27"/>
      <x:c r="BJ109" s="27"/>
      <x:c r="BK109" s="27"/>
      <x:c r="BL109" s="27"/>
      <x:c r="BM109" s="27"/>
      <x:c r="BN109" s="27"/>
      <x:c r="BO109" s="27"/>
      <x:c r="BP109" s="27"/>
      <x:c r="BQ109" s="27"/>
      <x:c r="BR109" s="27"/>
      <x:c r="BS109" s="27"/>
      <x:c r="BT109" s="27"/>
      <x:c r="BU109" s="27"/>
      <x:c r="BV109" s="27"/>
      <x:c r="BW109" s="27"/>
      <x:c r="BX109" s="27"/>
      <x:c r="BY109" s="27"/>
      <x:c r="BZ109" s="27"/>
      <x:c r="CA109" s="27"/>
      <x:c r="CB109" s="27"/>
      <x:c r="CC109" s="27"/>
      <x:c r="CD109" s="27"/>
      <x:c r="CE109" s="27"/>
      <x:c r="CF109" s="27"/>
      <x:c r="CG109" s="27"/>
      <x:c r="CH109" s="27"/>
      <x:c r="CI109" s="27"/>
      <x:c r="CJ109" s="27"/>
      <x:c r="CK109" s="27"/>
      <x:c r="CL109" s="27"/>
      <x:c r="CM109" s="27"/>
      <x:c r="CN109" s="27"/>
      <x:c r="CO109" s="27"/>
      <x:c r="CP109" s="27"/>
      <x:c r="CQ109" s="27"/>
      <x:c r="CR109" s="27"/>
      <x:c r="CS109" s="27"/>
      <x:c r="CT109" s="27"/>
      <x:c r="CU109" s="27"/>
      <x:c r="CV109" s="27"/>
      <x:c r="CW109" s="27"/>
      <x:c r="CX109" s="27"/>
      <x:c r="CY109" s="27"/>
      <x:c r="CZ109" s="27"/>
      <x:c r="DA109" s="27"/>
      <x:c r="DB109" s="27"/>
      <x:c r="DC109" s="27"/>
      <x:c r="DD109" s="27"/>
      <x:c r="DE109" s="27"/>
      <x:c r="DF109" s="27"/>
      <x:c r="DG109" s="27"/>
      <x:c r="DH109" s="27"/>
      <x:c r="DI109" s="27"/>
      <x:c r="DJ109" s="27"/>
      <x:c r="DK109" s="27"/>
      <x:c r="DL109" s="27"/>
      <x:c r="DM109" s="27"/>
      <x:c r="DN109" s="27"/>
      <x:c r="DO109" s="27"/>
      <x:c r="DP109" s="27"/>
      <x:c r="DQ109" s="27"/>
      <x:c r="DR109" s="27"/>
      <x:c r="DS109" s="27"/>
      <x:c r="DT109" s="27"/>
      <x:c r="DU109" s="27"/>
      <x:c r="DV109" s="27"/>
      <x:c r="DW109" s="27"/>
      <x:c r="DX109" s="27"/>
      <x:c r="DY109" s="27"/>
      <x:c r="DZ109" s="27"/>
      <x:c r="EA109" s="27"/>
      <x:c r="EB109" s="27"/>
      <x:c r="EC109" s="27"/>
      <x:c r="ED109" s="27"/>
      <x:c r="EE109" s="27"/>
      <x:c r="EF109" s="27"/>
      <x:c r="EG109" s="27"/>
      <x:c r="EH109" s="27"/>
      <x:c r="EI109" s="27"/>
      <x:c r="EJ109" s="27"/>
      <x:c r="EK109" s="27"/>
      <x:c r="EL109" s="27"/>
      <x:c r="EM109" s="27"/>
      <x:c r="EN109" s="27"/>
      <x:c r="EO109" s="27"/>
      <x:c r="EP109" s="27"/>
      <x:c r="EQ109" s="27"/>
      <x:c r="ER109" s="27"/>
      <x:c r="ES109" s="27"/>
      <x:c r="ET109" s="27"/>
      <x:c r="EU109" s="27"/>
      <x:c r="EV109" s="27"/>
      <x:c r="EW109" s="27"/>
      <x:c r="EX109" s="27"/>
      <x:c r="EY109" s="27"/>
      <x:c r="EZ109" s="27"/>
      <x:c r="FA109" s="27"/>
      <x:c r="FB109" s="27"/>
      <x:c r="FC109" s="27"/>
      <x:c r="FD109" s="27"/>
      <x:c r="FE109" s="27"/>
      <x:c r="FF109" s="27"/>
      <x:c r="FG109" s="27"/>
      <x:c r="FH109" s="27"/>
      <x:c r="FI109" s="27"/>
      <x:c r="FJ109" s="27"/>
      <x:c r="FK109" s="27"/>
      <x:c r="FL109" s="27"/>
      <x:c r="FM109" s="27"/>
      <x:c r="FN109" s="27"/>
      <x:c r="FO109" s="27"/>
      <x:c r="FP109" s="27"/>
      <x:c r="FQ109" s="27"/>
      <x:c r="FR109" s="27"/>
      <x:c r="FS109" s="27"/>
      <x:c r="FT109" s="27"/>
      <x:c r="FU109" s="27"/>
      <x:c r="FV109" s="27"/>
      <x:c r="FW109" s="27"/>
      <x:c r="FX109" s="27"/>
      <x:c r="FY109" s="27"/>
      <x:c r="FZ109" s="27"/>
      <x:c r="GA109" s="27"/>
      <x:c r="GB109" s="27"/>
      <x:c r="GC109" s="27"/>
      <x:c r="GD109" s="27"/>
      <x:c r="GE109" s="27"/>
      <x:c r="GF109" s="27"/>
      <x:c r="GG109" s="27"/>
      <x:c r="GH109" s="27"/>
      <x:c r="GI109" s="27"/>
      <x:c r="GJ109" s="27"/>
      <x:c r="GK109" s="27"/>
      <x:c r="GL109" s="27"/>
      <x:c r="GM109" s="27"/>
      <x:c r="GN109" s="27"/>
      <x:c r="GO109" s="27"/>
      <x:c r="GP109" s="27"/>
      <x:c r="GQ109" s="27"/>
      <x:c r="GR109" s="27"/>
      <x:c r="GS109" s="27"/>
      <x:c r="GT109" s="27"/>
      <x:c r="GU109" s="27"/>
      <x:c r="GV109" s="27"/>
      <x:c r="GW109" s="27"/>
      <x:c r="GX109" s="27"/>
      <x:c r="GY109" s="27"/>
      <x:c r="GZ109" s="27"/>
      <x:c r="HA109" s="27"/>
      <x:c r="HB109" s="27"/>
      <x:c r="HC109" s="27"/>
      <x:c r="HD109" s="27"/>
      <x:c r="HE109" s="27"/>
      <x:c r="HF109" s="27"/>
      <x:c r="HG109" s="27"/>
      <x:c r="HH109" s="27"/>
      <x:c r="HI109" s="27"/>
      <x:c r="HJ109" s="27"/>
      <x:c r="HK109" s="27"/>
      <x:c r="HL109" s="27"/>
      <x:c r="HM109" s="27"/>
      <x:c r="HN109" s="27"/>
      <x:c r="HO109" s="27"/>
      <x:c r="HP109" s="27" t="str">
        <x:f>IF(C109="","",SUM(H109,N109,T109,Z109,AF109,AL109,AR109,AX109,BD109,BJ109,BP109,BV109,CB109,CH109,CN109,CT109,CZ109,DF109,DL109,DR109,DX109,ED109,EJ109,EP109,EV109,FB109,FH109,FN109,FT109,FZ109,GF109,GL109,GR109,GX109,HD109,HJ109))</x:f>
      </x:c>
      <x:c r="HQ109" s="27" t="str">
        <x:f>IF(C109="","",SUM(I109,O109,U109,AA109,AG109,AM109,AS109,AY109,BE109,BK109,BQ109,BW109,CC109,CI109,CO109,CU109,DA109,DG109,DM109,DS109,DY109,EE109,EK109,EQ109,EW109,FC109,FI109,FO109,FU109,GA109,GG109,GM109,GS109,GY109,HE109,HK109))</x:f>
      </x:c>
      <x:c r="HR109" s="27" t="str">
        <x:f>IF(C109="","",SUM(J109,P109,V109,AB109,AH109,AN109,AT109,AZ109,BF109,BL109,BR109,BX109,CD109,CJ109,CP109,CV109,DB109,DH109,DN109,DT109,DZ109,EF109,EL109,ER109,EX109,FD109,FJ109,FP109,FV109,GB109,GH109,GN109,GT109,GZ109,HF109,HL109))</x:f>
      </x:c>
      <x:c r="HS109" s="27" t="str">
        <x:f>IF(C109="","",SUM(K109,Q109,W109,AC109,AI109,AO109,AU109,BA109,BG109,BM109,BS109,BY109,CE109,CK109,CQ109,CW109,DC109,DI109,DO109,DU109,EA109,EG109,EM109,ES109,EY109,FE109,FK109,FQ109,FW109,GC109,GI109,GO109,GU109,HA109,HG109,HM109))</x:f>
      </x:c>
      <x:c r="HT109" s="27" t="str">
        <x:f>IF(C109="","",SUM(L109,R109,X109,AD109,AJ109,AP109,AV109,BB109,BH109,BN109,BT109,BZ109,CF109,CL109,CR109,CX109,DD109,DJ109,DP109,DV109,EB109,EH109,EN109,ET109,EZ109,FF109,FL109,FR109,FX109,GD109,GJ109,GP109,GV109,HB109,HH109,HN109))</x:f>
      </x:c>
      <x:c r="HU109" s="27" t="str">
        <x:f>IF(C109="","",SUM(M109,S109,Y109,AE109,AK109,AQ109,AW109,BC109,BI109,BO109,BU109,CA109,CG109,CM109,CS109,CY109,DE109,DK109,DQ109,DW109,EC109,EI109,EO109,EU109,FA109,FG109,FM109,FS109,FY109,GE109,GK109,GQ109,GW109,HC109,HI109,HO109))</x:f>
      </x:c>
      <x:c r="HV109" s="27" t="str">
        <x:f>IF(C109="","",IF(JI109=LARGE(JI109:JN109,1),"R",IF(JJ109=LARGE(JI109:JN109,1),"I",IF(JK109=LARGE(JI109:JN109,1),"A",IF(JL109=LARGE(JI109:JN109,1),"S",IF(JM109=LARGE(JI109:JN109,1),"E",IF(JN109=LARGE(JI109:JN109,1),"C",""))))))&amp;IF(JI109=LARGE(JI109:JN109,2),"R",IF(JJ109=LARGE(JI109:JN109,2),"I",IF(JK109=LARGE(JI109:JN109,2),"A",IF(JL109=LARGE(JI109:JN109,2),"S",IF(JM109=LARGE(JI109:JN109,2),"E",IF(JN109=LARGE(JI109:JN109,2),"C",""))))))&amp;IF(JI109=LARGE(JI109:JN109,3),"R",IF(JJ109=LARGE(JI109:JN109,3),"I",IF(JK109=LARGE(JI109:JN109,3),"A",IF(JL109=LARGE(JI109:JN109,3),"S",IF(JM109=LARGE(JI109:JN109,3),"E",IF(JN109=LARGE(JI109:JN109,3),"C","")))))))</x:f>
      </x:c>
      <x:c r="HW109" s="27" t="str">
        <x:f>IF(C109="","",IF(JI109=LARGE(JI109:JN109,1),"นักปฏิบัติ",IF(JJ109=LARGE(JI109:JN109,1),"นักคิดวิเคราะห์",IF(JK109=LARGE(JI109:JN109,1),"นักสร้างสรรค์",IF(JL109=LARGE(JI109:JN109,1),"ผู้เข้าใจผู้คน",IF(JM109=LARGE(JI109:JN109,1),"ผู้นำการเปลี่ยนแปลง",IF(JN109=LARGE(JI109:JN109,1),"ผู้จัดระบบ","ผู้จัดระบบ")))))))</x:f>
      </x:c>
      <x:c r="HX109" s="27"/>
      <x:c r="HY109" s="27"/>
      <x:c r="HZ109" s="27"/>
      <x:c r="IA109" s="27"/>
      <x:c r="IB109" s="27"/>
      <x:c r="IC109" s="27"/>
      <x:c r="ID109" s="27"/>
      <x:c r="IE109" s="27"/>
      <x:c r="IF109" s="27"/>
      <x:c r="IG109" s="27"/>
      <x:c r="IH109" s="27"/>
      <x:c r="II109" s="27"/>
      <x:c r="IJ109" s="27"/>
      <x:c r="IK109" s="27" t="str">
        <x:f>IF(C109="","",SUM(H109,N109,T109,Z109,AF109,AL109,AR109,AX109,BD109,BJ109,BP109))</x:f>
      </x:c>
      <x:c r="IL109" s="27" t="str">
        <x:f>IF(C109="","",SUM(I109,O109,U109,AA109,AG109,AM109,AS109,AY109,BE109,BK109,BQ109))</x:f>
      </x:c>
      <x:c r="IM109" s="27" t="str">
        <x:f>IF(C109="","",SUM(J109,P109,V109,AB109,AH109,AN109,AT109,AZ109,BF109,BL109,BR109))</x:f>
      </x:c>
      <x:c r="IN109" s="27" t="str">
        <x:f>IF(C109="","",SUM(K109,Q109,W109,AC109,AI109,AO109,AU109,BA109,BG109,BM109,BS109))</x:f>
      </x:c>
      <x:c r="IO109" s="27" t="str">
        <x:f>IF(C109="","",SUM(L109,R109,X109,AD109,AJ109,AP109,AV109,BB109,BH109,BN109,BT109))</x:f>
      </x:c>
      <x:c r="IP109" s="27" t="str">
        <x:f>IF(C109="","",SUM(M109,S109,Y109,AE109,AK109,AQ109,AW109,BC109,BI109,BO109,BU109))</x:f>
      </x:c>
      <x:c r="IQ109" s="27" t="str">
        <x:f>IF(C109="","",SUM(BV109,CB109,CH109,CN109,CT109,CZ109,DF109,DL109,DR109,DX109,ED109))</x:f>
      </x:c>
      <x:c r="IR109" s="27" t="str">
        <x:f>IF(C109="","",SUM(BW109,CC109,CI109,CO109,CU109,DA109,DG109,DM109,DS109,DY109,EE109))</x:f>
      </x:c>
      <x:c r="IS109" s="27" t="str">
        <x:f>IF(C109="","",SUM(BX109,CD109,CJ109,CP109,CV109,DB109,DH109,DN109,DT109,DZ109,EF109))</x:f>
      </x:c>
      <x:c r="IT109" s="27" t="str">
        <x:f>IF(C109="","",SUM(BY109,CE109,CK109,CQ109,CW109,DC109,DI109,DO109,DU109,EA109,EG109))</x:f>
      </x:c>
      <x:c r="IU109" s="27" t="str">
        <x:f>IF(C109="","",SUM(BZ109,CF109,CL109,CR109,CX109,DD109,DJ109,DP109,DV109,EB109,EH109))</x:f>
      </x:c>
      <x:c r="IV109" s="27" t="str">
        <x:f>IF(C109="","",SUM(CA109,CG109,CM109,CS109,CY109,DE109,DK109,DQ109,DW109,EC109,EI109))</x:f>
      </x:c>
      <x:c r="IW109" s="27" t="str">
        <x:f>IF(C109="","",SUM(EJ109,EP109,EV109,FB109,FH109,FN109,FT109,FZ109,GF109,GL109,GR109,GX109,HD109,HJ109))</x:f>
      </x:c>
      <x:c r="IX109" s="27" t="str">
        <x:f>IF(C109="","",SUM(EK109,EQ109,EW109,FC109,FI109,FO109,FU109,GA109,GG109,GM109,GS109,GY109,HE109,HK109))</x:f>
      </x:c>
      <x:c r="IY109" s="27" t="str">
        <x:f>IF(C109="","",SUM(EL109,ER109,EX109,FD109,FJ109,FP109,FV109,GB109,GH109,GN109,GT109,GZ109,HF109,HL109))</x:f>
      </x:c>
      <x:c r="IZ109" s="27" t="str">
        <x:f>IF(C109="","",SUM(EM109,ES109,EY109,FE109,FK109,FQ109,FW109,GC109,GI109,GO109,GU109,HA109,HG109,HM109))</x:f>
      </x:c>
      <x:c r="JA109" s="27" t="str">
        <x:f>IF(C109="","",SUM(EN109,ET109,EZ109,FF109,FL109,FR109,FX109,GD109,GJ109,GP109,GV109,HB109,HH109,HN109))</x:f>
      </x:c>
      <x:c r="JB109" s="27" t="str">
        <x:f>IF(C109="","",SUM(EO109,EU109,FA109,FG109,FM109,FS109,FY109,GE109,GK109,GQ109,GW109,HC109,HI109,HO109))</x:f>
      </x:c>
      <x:c r="JC109" s="27" t="str">
        <x:f>IF(C109="","",0)</x:f>
      </x:c>
      <x:c r="JD109" s="27" t="str">
        <x:f>IF(C109="","",0)</x:f>
      </x:c>
      <x:c r="JE109" s="27" t="str">
        <x:f>IF(C109="","",0)</x:f>
      </x:c>
      <x:c r="JF109" s="27" t="str">
        <x:f>IF(C109="","",0)</x:f>
      </x:c>
      <x:c r="JG109" s="27" t="str">
        <x:f>IF(C109="","",0)</x:f>
      </x:c>
      <x:c r="JH109" s="27" t="str">
        <x:f>IF(C109="","",0)</x:f>
      </x:c>
      <x:c r="JI109" s="27" t="str">
        <x:f>IF(C109="","",HP109*1000000000+IW109*1000000+IQ109*10000+IK109*100+JC109+6/1000)</x:f>
      </x:c>
      <x:c r="JJ109" s="27" t="str">
        <x:f>IF(C109="","",HQ109*1000000000+IX109*1000000+IR109*10000+IL109*100+JD109+5/1000)</x:f>
      </x:c>
      <x:c r="JK109" s="27" t="str">
        <x:f>IF(C109="","",HR109*1000000000+IY109*1000000+IS109*10000+IM109*100+JE109+4/1000)</x:f>
      </x:c>
      <x:c r="JL109" s="27" t="str">
        <x:f>IF(C109="","",HS109*1000000000+IZ109*1000000+IT109*10000+IN109*100+JF109+3/1000)</x:f>
      </x:c>
      <x:c r="JM109" s="27" t="str">
        <x:f>IF(C109="","",HT109*1000000000+JA109*1000000+IU109*10000+IO109*100+JG109+2/1000)</x:f>
      </x:c>
      <x:c r="JN109" s="27" t="str">
        <x:f>IF(C109="","",HU109*1000000000+JB109*1000000+IV109*10000+IP109*100+JH109+1/1000)</x:f>
      </x:c>
    </x:row>
    <x:row r="110">
      <x:c r="A110" s="27"/>
      <x:c r="B110" s="28"/>
      <x:c r="C110" s="27"/>
      <x:c r="D110" s="27"/>
      <x:c r="E110" s="27"/>
      <x:c r="F110" s="27"/>
      <x:c r="G110" s="27"/>
      <x:c r="H110" s="27"/>
      <x:c r="I110" s="27"/>
      <x:c r="J110" s="27"/>
      <x:c r="K110" s="27"/>
      <x:c r="L110" s="27"/>
      <x:c r="M110" s="27"/>
      <x:c r="N110" s="27"/>
      <x:c r="O110" s="27"/>
      <x:c r="P110" s="27"/>
      <x:c r="Q110" s="27"/>
      <x:c r="R110" s="27"/>
      <x:c r="S110" s="27"/>
      <x:c r="T110" s="27"/>
      <x:c r="U110" s="27"/>
      <x:c r="V110" s="27"/>
      <x:c r="W110" s="27"/>
      <x:c r="X110" s="27"/>
      <x:c r="Y110" s="27"/>
      <x:c r="Z110" s="27"/>
      <x:c r="AA110" s="27"/>
      <x:c r="AB110" s="27"/>
      <x:c r="AC110" s="27"/>
      <x:c r="AD110" s="27"/>
      <x:c r="AE110" s="27"/>
      <x:c r="AF110" s="27"/>
      <x:c r="AG110" s="27"/>
      <x:c r="AH110" s="27"/>
      <x:c r="AI110" s="27"/>
      <x:c r="AJ110" s="27"/>
      <x:c r="AK110" s="27"/>
      <x:c r="AL110" s="27"/>
      <x:c r="AM110" s="27"/>
      <x:c r="AN110" s="27"/>
      <x:c r="AO110" s="27"/>
      <x:c r="AP110" s="27"/>
      <x:c r="AQ110" s="27"/>
      <x:c r="AR110" s="27"/>
      <x:c r="AS110" s="27"/>
      <x:c r="AT110" s="27"/>
      <x:c r="AU110" s="27"/>
      <x:c r="AV110" s="27"/>
      <x:c r="AW110" s="27"/>
      <x:c r="AX110" s="27"/>
      <x:c r="AY110" s="27"/>
      <x:c r="AZ110" s="27"/>
      <x:c r="BA110" s="27"/>
      <x:c r="BB110" s="27"/>
      <x:c r="BC110" s="27"/>
      <x:c r="BD110" s="27"/>
      <x:c r="BE110" s="27"/>
      <x:c r="BF110" s="27"/>
      <x:c r="BG110" s="27"/>
      <x:c r="BH110" s="27"/>
      <x:c r="BI110" s="27"/>
      <x:c r="BJ110" s="27"/>
      <x:c r="BK110" s="27"/>
      <x:c r="BL110" s="27"/>
      <x:c r="BM110" s="27"/>
      <x:c r="BN110" s="27"/>
      <x:c r="BO110" s="27"/>
      <x:c r="BP110" s="27"/>
      <x:c r="BQ110" s="27"/>
      <x:c r="BR110" s="27"/>
      <x:c r="BS110" s="27"/>
      <x:c r="BT110" s="27"/>
      <x:c r="BU110" s="27"/>
      <x:c r="BV110" s="27"/>
      <x:c r="BW110" s="27"/>
      <x:c r="BX110" s="27"/>
      <x:c r="BY110" s="27"/>
      <x:c r="BZ110" s="27"/>
      <x:c r="CA110" s="27"/>
      <x:c r="CB110" s="27"/>
      <x:c r="CC110" s="27"/>
      <x:c r="CD110" s="27"/>
      <x:c r="CE110" s="27"/>
      <x:c r="CF110" s="27"/>
      <x:c r="CG110" s="27"/>
      <x:c r="CH110" s="27"/>
      <x:c r="CI110" s="27"/>
      <x:c r="CJ110" s="27"/>
      <x:c r="CK110" s="27"/>
      <x:c r="CL110" s="27"/>
      <x:c r="CM110" s="27"/>
      <x:c r="CN110" s="27"/>
      <x:c r="CO110" s="27"/>
      <x:c r="CP110" s="27"/>
      <x:c r="CQ110" s="27"/>
      <x:c r="CR110" s="27"/>
      <x:c r="CS110" s="27"/>
      <x:c r="CT110" s="27"/>
      <x:c r="CU110" s="27"/>
      <x:c r="CV110" s="27"/>
      <x:c r="CW110" s="27"/>
      <x:c r="CX110" s="27"/>
      <x:c r="CY110" s="27"/>
      <x:c r="CZ110" s="27"/>
      <x:c r="DA110" s="27"/>
      <x:c r="DB110" s="27"/>
      <x:c r="DC110" s="27"/>
      <x:c r="DD110" s="27"/>
      <x:c r="DE110" s="27"/>
      <x:c r="DF110" s="27"/>
      <x:c r="DG110" s="27"/>
      <x:c r="DH110" s="27"/>
      <x:c r="DI110" s="27"/>
      <x:c r="DJ110" s="27"/>
      <x:c r="DK110" s="27"/>
      <x:c r="DL110" s="27"/>
      <x:c r="DM110" s="27"/>
      <x:c r="DN110" s="27"/>
      <x:c r="DO110" s="27"/>
      <x:c r="DP110" s="27"/>
      <x:c r="DQ110" s="27"/>
      <x:c r="DR110" s="27"/>
      <x:c r="DS110" s="27"/>
      <x:c r="DT110" s="27"/>
      <x:c r="DU110" s="27"/>
      <x:c r="DV110" s="27"/>
      <x:c r="DW110" s="27"/>
      <x:c r="DX110" s="27"/>
      <x:c r="DY110" s="27"/>
      <x:c r="DZ110" s="27"/>
      <x:c r="EA110" s="27"/>
      <x:c r="EB110" s="27"/>
      <x:c r="EC110" s="27"/>
      <x:c r="ED110" s="27"/>
      <x:c r="EE110" s="27"/>
      <x:c r="EF110" s="27"/>
      <x:c r="EG110" s="27"/>
      <x:c r="EH110" s="27"/>
      <x:c r="EI110" s="27"/>
      <x:c r="EJ110" s="27"/>
      <x:c r="EK110" s="27"/>
      <x:c r="EL110" s="27"/>
      <x:c r="EM110" s="27"/>
      <x:c r="EN110" s="27"/>
      <x:c r="EO110" s="27"/>
      <x:c r="EP110" s="27"/>
      <x:c r="EQ110" s="27"/>
      <x:c r="ER110" s="27"/>
      <x:c r="ES110" s="27"/>
      <x:c r="ET110" s="27"/>
      <x:c r="EU110" s="27"/>
      <x:c r="EV110" s="27"/>
      <x:c r="EW110" s="27"/>
      <x:c r="EX110" s="27"/>
      <x:c r="EY110" s="27"/>
      <x:c r="EZ110" s="27"/>
      <x:c r="FA110" s="27"/>
      <x:c r="FB110" s="27"/>
      <x:c r="FC110" s="27"/>
      <x:c r="FD110" s="27"/>
      <x:c r="FE110" s="27"/>
      <x:c r="FF110" s="27"/>
      <x:c r="FG110" s="27"/>
      <x:c r="FH110" s="27"/>
      <x:c r="FI110" s="27"/>
      <x:c r="FJ110" s="27"/>
      <x:c r="FK110" s="27"/>
      <x:c r="FL110" s="27"/>
      <x:c r="FM110" s="27"/>
      <x:c r="FN110" s="27"/>
      <x:c r="FO110" s="27"/>
      <x:c r="FP110" s="27"/>
      <x:c r="FQ110" s="27"/>
      <x:c r="FR110" s="27"/>
      <x:c r="FS110" s="27"/>
      <x:c r="FT110" s="27"/>
      <x:c r="FU110" s="27"/>
      <x:c r="FV110" s="27"/>
      <x:c r="FW110" s="27"/>
      <x:c r="FX110" s="27"/>
      <x:c r="FY110" s="27"/>
      <x:c r="FZ110" s="27"/>
      <x:c r="GA110" s="27"/>
      <x:c r="GB110" s="27"/>
      <x:c r="GC110" s="27"/>
      <x:c r="GD110" s="27"/>
      <x:c r="GE110" s="27"/>
      <x:c r="GF110" s="27"/>
      <x:c r="GG110" s="27"/>
      <x:c r="GH110" s="27"/>
      <x:c r="GI110" s="27"/>
      <x:c r="GJ110" s="27"/>
      <x:c r="GK110" s="27"/>
      <x:c r="GL110" s="27"/>
      <x:c r="GM110" s="27"/>
      <x:c r="GN110" s="27"/>
      <x:c r="GO110" s="27"/>
      <x:c r="GP110" s="27"/>
      <x:c r="GQ110" s="27"/>
      <x:c r="GR110" s="27"/>
      <x:c r="GS110" s="27"/>
      <x:c r="GT110" s="27"/>
      <x:c r="GU110" s="27"/>
      <x:c r="GV110" s="27"/>
      <x:c r="GW110" s="27"/>
      <x:c r="GX110" s="27"/>
      <x:c r="GY110" s="27"/>
      <x:c r="GZ110" s="27"/>
      <x:c r="HA110" s="27"/>
      <x:c r="HB110" s="27"/>
      <x:c r="HC110" s="27"/>
      <x:c r="HD110" s="27"/>
      <x:c r="HE110" s="27"/>
      <x:c r="HF110" s="27"/>
      <x:c r="HG110" s="27"/>
      <x:c r="HH110" s="27"/>
      <x:c r="HI110" s="27"/>
      <x:c r="HJ110" s="27"/>
      <x:c r="HK110" s="27"/>
      <x:c r="HL110" s="27"/>
      <x:c r="HM110" s="27"/>
      <x:c r="HN110" s="27"/>
      <x:c r="HO110" s="27"/>
      <x:c r="HP110" s="27" t="str">
        <x:f>IF(C110="","",SUM(H110,N110,T110,Z110,AF110,AL110,AR110,AX110,BD110,BJ110,BP110,BV110,CB110,CH110,CN110,CT110,CZ110,DF110,DL110,DR110,DX110,ED110,EJ110,EP110,EV110,FB110,FH110,FN110,FT110,FZ110,GF110,GL110,GR110,GX110,HD110,HJ110))</x:f>
      </x:c>
      <x:c r="HQ110" s="27" t="str">
        <x:f>IF(C110="","",SUM(I110,O110,U110,AA110,AG110,AM110,AS110,AY110,BE110,BK110,BQ110,BW110,CC110,CI110,CO110,CU110,DA110,DG110,DM110,DS110,DY110,EE110,EK110,EQ110,EW110,FC110,FI110,FO110,FU110,GA110,GG110,GM110,GS110,GY110,HE110,HK110))</x:f>
      </x:c>
      <x:c r="HR110" s="27" t="str">
        <x:f>IF(C110="","",SUM(J110,P110,V110,AB110,AH110,AN110,AT110,AZ110,BF110,BL110,BR110,BX110,CD110,CJ110,CP110,CV110,DB110,DH110,DN110,DT110,DZ110,EF110,EL110,ER110,EX110,FD110,FJ110,FP110,FV110,GB110,GH110,GN110,GT110,GZ110,HF110,HL110))</x:f>
      </x:c>
      <x:c r="HS110" s="27" t="str">
        <x:f>IF(C110="","",SUM(K110,Q110,W110,AC110,AI110,AO110,AU110,BA110,BG110,BM110,BS110,BY110,CE110,CK110,CQ110,CW110,DC110,DI110,DO110,DU110,EA110,EG110,EM110,ES110,EY110,FE110,FK110,FQ110,FW110,GC110,GI110,GO110,GU110,HA110,HG110,HM110))</x:f>
      </x:c>
      <x:c r="HT110" s="27" t="str">
        <x:f>IF(C110="","",SUM(L110,R110,X110,AD110,AJ110,AP110,AV110,BB110,BH110,BN110,BT110,BZ110,CF110,CL110,CR110,CX110,DD110,DJ110,DP110,DV110,EB110,EH110,EN110,ET110,EZ110,FF110,FL110,FR110,FX110,GD110,GJ110,GP110,GV110,HB110,HH110,HN110))</x:f>
      </x:c>
      <x:c r="HU110" s="27" t="str">
        <x:f>IF(C110="","",SUM(M110,S110,Y110,AE110,AK110,AQ110,AW110,BC110,BI110,BO110,BU110,CA110,CG110,CM110,CS110,CY110,DE110,DK110,DQ110,DW110,EC110,EI110,EO110,EU110,FA110,FG110,FM110,FS110,FY110,GE110,GK110,GQ110,GW110,HC110,HI110,HO110))</x:f>
      </x:c>
      <x:c r="HV110" s="27" t="str">
        <x:f>IF(C110="","",IF(JI110=LARGE(JI110:JN110,1),"R",IF(JJ110=LARGE(JI110:JN110,1),"I",IF(JK110=LARGE(JI110:JN110,1),"A",IF(JL110=LARGE(JI110:JN110,1),"S",IF(JM110=LARGE(JI110:JN110,1),"E",IF(JN110=LARGE(JI110:JN110,1),"C",""))))))&amp;IF(JI110=LARGE(JI110:JN110,2),"R",IF(JJ110=LARGE(JI110:JN110,2),"I",IF(JK110=LARGE(JI110:JN110,2),"A",IF(JL110=LARGE(JI110:JN110,2),"S",IF(JM110=LARGE(JI110:JN110,2),"E",IF(JN110=LARGE(JI110:JN110,2),"C",""))))))&amp;IF(JI110=LARGE(JI110:JN110,3),"R",IF(JJ110=LARGE(JI110:JN110,3),"I",IF(JK110=LARGE(JI110:JN110,3),"A",IF(JL110=LARGE(JI110:JN110,3),"S",IF(JM110=LARGE(JI110:JN110,3),"E",IF(JN110=LARGE(JI110:JN110,3),"C","")))))))</x:f>
      </x:c>
      <x:c r="HW110" s="27" t="str">
        <x:f>IF(C110="","",IF(JI110=LARGE(JI110:JN110,1),"นักปฏิบัติ",IF(JJ110=LARGE(JI110:JN110,1),"นักคิดวิเคราะห์",IF(JK110=LARGE(JI110:JN110,1),"นักสร้างสรรค์",IF(JL110=LARGE(JI110:JN110,1),"ผู้เข้าใจผู้คน",IF(JM110=LARGE(JI110:JN110,1),"ผู้นำการเปลี่ยนแปลง",IF(JN110=LARGE(JI110:JN110,1),"ผู้จัดระบบ","ผู้จัดระบบ")))))))</x:f>
      </x:c>
      <x:c r="HX110" s="27"/>
      <x:c r="HY110" s="27"/>
      <x:c r="HZ110" s="27"/>
      <x:c r="IA110" s="27"/>
      <x:c r="IB110" s="27"/>
      <x:c r="IC110" s="27"/>
      <x:c r="ID110" s="27"/>
      <x:c r="IE110" s="27"/>
      <x:c r="IF110" s="27"/>
      <x:c r="IG110" s="27"/>
      <x:c r="IH110" s="27"/>
      <x:c r="II110" s="27"/>
      <x:c r="IJ110" s="27"/>
      <x:c r="IK110" s="27" t="str">
        <x:f>IF(C110="","",SUM(H110,N110,T110,Z110,AF110,AL110,AR110,AX110,BD110,BJ110,BP110))</x:f>
      </x:c>
      <x:c r="IL110" s="27" t="str">
        <x:f>IF(C110="","",SUM(I110,O110,U110,AA110,AG110,AM110,AS110,AY110,BE110,BK110,BQ110))</x:f>
      </x:c>
      <x:c r="IM110" s="27" t="str">
        <x:f>IF(C110="","",SUM(J110,P110,V110,AB110,AH110,AN110,AT110,AZ110,BF110,BL110,BR110))</x:f>
      </x:c>
      <x:c r="IN110" s="27" t="str">
        <x:f>IF(C110="","",SUM(K110,Q110,W110,AC110,AI110,AO110,AU110,BA110,BG110,BM110,BS110))</x:f>
      </x:c>
      <x:c r="IO110" s="27" t="str">
        <x:f>IF(C110="","",SUM(L110,R110,X110,AD110,AJ110,AP110,AV110,BB110,BH110,BN110,BT110))</x:f>
      </x:c>
      <x:c r="IP110" s="27" t="str">
        <x:f>IF(C110="","",SUM(M110,S110,Y110,AE110,AK110,AQ110,AW110,BC110,BI110,BO110,BU110))</x:f>
      </x:c>
      <x:c r="IQ110" s="27" t="str">
        <x:f>IF(C110="","",SUM(BV110,CB110,CH110,CN110,CT110,CZ110,DF110,DL110,DR110,DX110,ED110))</x:f>
      </x:c>
      <x:c r="IR110" s="27" t="str">
        <x:f>IF(C110="","",SUM(BW110,CC110,CI110,CO110,CU110,DA110,DG110,DM110,DS110,DY110,EE110))</x:f>
      </x:c>
      <x:c r="IS110" s="27" t="str">
        <x:f>IF(C110="","",SUM(BX110,CD110,CJ110,CP110,CV110,DB110,DH110,DN110,DT110,DZ110,EF110))</x:f>
      </x:c>
      <x:c r="IT110" s="27" t="str">
        <x:f>IF(C110="","",SUM(BY110,CE110,CK110,CQ110,CW110,DC110,DI110,DO110,DU110,EA110,EG110))</x:f>
      </x:c>
      <x:c r="IU110" s="27" t="str">
        <x:f>IF(C110="","",SUM(BZ110,CF110,CL110,CR110,CX110,DD110,DJ110,DP110,DV110,EB110,EH110))</x:f>
      </x:c>
      <x:c r="IV110" s="27" t="str">
        <x:f>IF(C110="","",SUM(CA110,CG110,CM110,CS110,CY110,DE110,DK110,DQ110,DW110,EC110,EI110))</x:f>
      </x:c>
      <x:c r="IW110" s="27" t="str">
        <x:f>IF(C110="","",SUM(EJ110,EP110,EV110,FB110,FH110,FN110,FT110,FZ110,GF110,GL110,GR110,GX110,HD110,HJ110))</x:f>
      </x:c>
      <x:c r="IX110" s="27" t="str">
        <x:f>IF(C110="","",SUM(EK110,EQ110,EW110,FC110,FI110,FO110,FU110,GA110,GG110,GM110,GS110,GY110,HE110,HK110))</x:f>
      </x:c>
      <x:c r="IY110" s="27" t="str">
        <x:f>IF(C110="","",SUM(EL110,ER110,EX110,FD110,FJ110,FP110,FV110,GB110,GH110,GN110,GT110,GZ110,HF110,HL110))</x:f>
      </x:c>
      <x:c r="IZ110" s="27" t="str">
        <x:f>IF(C110="","",SUM(EM110,ES110,EY110,FE110,FK110,FQ110,FW110,GC110,GI110,GO110,GU110,HA110,HG110,HM110))</x:f>
      </x:c>
      <x:c r="JA110" s="27" t="str">
        <x:f>IF(C110="","",SUM(EN110,ET110,EZ110,FF110,FL110,FR110,FX110,GD110,GJ110,GP110,GV110,HB110,HH110,HN110))</x:f>
      </x:c>
      <x:c r="JB110" s="27" t="str">
        <x:f>IF(C110="","",SUM(EO110,EU110,FA110,FG110,FM110,FS110,FY110,GE110,GK110,GQ110,GW110,HC110,HI110,HO110))</x:f>
      </x:c>
      <x:c r="JC110" s="27" t="str">
        <x:f>IF(C110="","",0)</x:f>
      </x:c>
      <x:c r="JD110" s="27" t="str">
        <x:f>IF(C110="","",0)</x:f>
      </x:c>
      <x:c r="JE110" s="27" t="str">
        <x:f>IF(C110="","",0)</x:f>
      </x:c>
      <x:c r="JF110" s="27" t="str">
        <x:f>IF(C110="","",0)</x:f>
      </x:c>
      <x:c r="JG110" s="27" t="str">
        <x:f>IF(C110="","",0)</x:f>
      </x:c>
      <x:c r="JH110" s="27" t="str">
        <x:f>IF(C110="","",0)</x:f>
      </x:c>
      <x:c r="JI110" s="27" t="str">
        <x:f>IF(C110="","",HP110*1000000000+IW110*1000000+IQ110*10000+IK110*100+JC110+6/1000)</x:f>
      </x:c>
      <x:c r="JJ110" s="27" t="str">
        <x:f>IF(C110="","",HQ110*1000000000+IX110*1000000+IR110*10000+IL110*100+JD110+5/1000)</x:f>
      </x:c>
      <x:c r="JK110" s="27" t="str">
        <x:f>IF(C110="","",HR110*1000000000+IY110*1000000+IS110*10000+IM110*100+JE110+4/1000)</x:f>
      </x:c>
      <x:c r="JL110" s="27" t="str">
        <x:f>IF(C110="","",HS110*1000000000+IZ110*1000000+IT110*10000+IN110*100+JF110+3/1000)</x:f>
      </x:c>
      <x:c r="JM110" s="27" t="str">
        <x:f>IF(C110="","",HT110*1000000000+JA110*1000000+IU110*10000+IO110*100+JG110+2/1000)</x:f>
      </x:c>
      <x:c r="JN110" s="27" t="str">
        <x:f>IF(C110="","",HU110*1000000000+JB110*1000000+IV110*10000+IP110*100+JH110+1/1000)</x:f>
      </x:c>
    </x:row>
    <x:row r="111">
      <x:c r="A111" s="27"/>
      <x:c r="B111" s="28"/>
      <x:c r="C111" s="27"/>
      <x:c r="D111" s="27"/>
      <x:c r="E111" s="27"/>
      <x:c r="F111" s="27"/>
      <x:c r="G111" s="27"/>
      <x:c r="H111" s="27"/>
      <x:c r="I111" s="27"/>
      <x:c r="J111" s="27"/>
      <x:c r="K111" s="27"/>
      <x:c r="L111" s="27"/>
      <x:c r="M111" s="27"/>
      <x:c r="N111" s="27"/>
      <x:c r="O111" s="27"/>
      <x:c r="P111" s="27"/>
      <x:c r="Q111" s="27"/>
      <x:c r="R111" s="27"/>
      <x:c r="S111" s="27"/>
      <x:c r="T111" s="27"/>
      <x:c r="U111" s="27"/>
      <x:c r="V111" s="27"/>
      <x:c r="W111" s="27"/>
      <x:c r="X111" s="27"/>
      <x:c r="Y111" s="27"/>
      <x:c r="Z111" s="27"/>
      <x:c r="AA111" s="27"/>
      <x:c r="AB111" s="27"/>
      <x:c r="AC111" s="27"/>
      <x:c r="AD111" s="27"/>
      <x:c r="AE111" s="27"/>
      <x:c r="AF111" s="27"/>
      <x:c r="AG111" s="27"/>
      <x:c r="AH111" s="27"/>
      <x:c r="AI111" s="27"/>
      <x:c r="AJ111" s="27"/>
      <x:c r="AK111" s="27"/>
      <x:c r="AL111" s="27"/>
      <x:c r="AM111" s="27"/>
      <x:c r="AN111" s="27"/>
      <x:c r="AO111" s="27"/>
      <x:c r="AP111" s="27"/>
      <x:c r="AQ111" s="27"/>
      <x:c r="AR111" s="27"/>
      <x:c r="AS111" s="27"/>
      <x:c r="AT111" s="27"/>
      <x:c r="AU111" s="27"/>
      <x:c r="AV111" s="27"/>
      <x:c r="AW111" s="27"/>
      <x:c r="AX111" s="27"/>
      <x:c r="AY111" s="27"/>
      <x:c r="AZ111" s="27"/>
      <x:c r="BA111" s="27"/>
      <x:c r="BB111" s="27"/>
      <x:c r="BC111" s="27"/>
      <x:c r="BD111" s="27"/>
      <x:c r="BE111" s="27"/>
      <x:c r="BF111" s="27"/>
      <x:c r="BG111" s="27"/>
      <x:c r="BH111" s="27"/>
      <x:c r="BI111" s="27"/>
      <x:c r="BJ111" s="27"/>
      <x:c r="BK111" s="27"/>
      <x:c r="BL111" s="27"/>
      <x:c r="BM111" s="27"/>
      <x:c r="BN111" s="27"/>
      <x:c r="BO111" s="27"/>
      <x:c r="BP111" s="27"/>
      <x:c r="BQ111" s="27"/>
      <x:c r="BR111" s="27"/>
      <x:c r="BS111" s="27"/>
      <x:c r="BT111" s="27"/>
      <x:c r="BU111" s="27"/>
      <x:c r="BV111" s="27"/>
      <x:c r="BW111" s="27"/>
      <x:c r="BX111" s="27"/>
      <x:c r="BY111" s="27"/>
      <x:c r="BZ111" s="27"/>
      <x:c r="CA111" s="27"/>
      <x:c r="CB111" s="27"/>
      <x:c r="CC111" s="27"/>
      <x:c r="CD111" s="27"/>
      <x:c r="CE111" s="27"/>
      <x:c r="CF111" s="27"/>
      <x:c r="CG111" s="27"/>
      <x:c r="CH111" s="27"/>
      <x:c r="CI111" s="27"/>
      <x:c r="CJ111" s="27"/>
      <x:c r="CK111" s="27"/>
      <x:c r="CL111" s="27"/>
      <x:c r="CM111" s="27"/>
      <x:c r="CN111" s="27"/>
      <x:c r="CO111" s="27"/>
      <x:c r="CP111" s="27"/>
      <x:c r="CQ111" s="27"/>
      <x:c r="CR111" s="27"/>
      <x:c r="CS111" s="27"/>
      <x:c r="CT111" s="27"/>
      <x:c r="CU111" s="27"/>
      <x:c r="CV111" s="27"/>
      <x:c r="CW111" s="27"/>
      <x:c r="CX111" s="27"/>
      <x:c r="CY111" s="27"/>
      <x:c r="CZ111" s="27"/>
      <x:c r="DA111" s="27"/>
      <x:c r="DB111" s="27"/>
      <x:c r="DC111" s="27"/>
      <x:c r="DD111" s="27"/>
      <x:c r="DE111" s="27"/>
      <x:c r="DF111" s="27"/>
      <x:c r="DG111" s="27"/>
      <x:c r="DH111" s="27"/>
      <x:c r="DI111" s="27"/>
      <x:c r="DJ111" s="27"/>
      <x:c r="DK111" s="27"/>
      <x:c r="DL111" s="27"/>
      <x:c r="DM111" s="27"/>
      <x:c r="DN111" s="27"/>
      <x:c r="DO111" s="27"/>
      <x:c r="DP111" s="27"/>
      <x:c r="DQ111" s="27"/>
      <x:c r="DR111" s="27"/>
      <x:c r="DS111" s="27"/>
      <x:c r="DT111" s="27"/>
      <x:c r="DU111" s="27"/>
      <x:c r="DV111" s="27"/>
      <x:c r="DW111" s="27"/>
      <x:c r="DX111" s="27"/>
      <x:c r="DY111" s="27"/>
      <x:c r="DZ111" s="27"/>
      <x:c r="EA111" s="27"/>
      <x:c r="EB111" s="27"/>
      <x:c r="EC111" s="27"/>
      <x:c r="ED111" s="27"/>
      <x:c r="EE111" s="27"/>
      <x:c r="EF111" s="27"/>
      <x:c r="EG111" s="27"/>
      <x:c r="EH111" s="27"/>
      <x:c r="EI111" s="27"/>
      <x:c r="EJ111" s="27"/>
      <x:c r="EK111" s="27"/>
      <x:c r="EL111" s="27"/>
      <x:c r="EM111" s="27"/>
      <x:c r="EN111" s="27"/>
      <x:c r="EO111" s="27"/>
      <x:c r="EP111" s="27"/>
      <x:c r="EQ111" s="27"/>
      <x:c r="ER111" s="27"/>
      <x:c r="ES111" s="27"/>
      <x:c r="ET111" s="27"/>
      <x:c r="EU111" s="27"/>
      <x:c r="EV111" s="27"/>
      <x:c r="EW111" s="27"/>
      <x:c r="EX111" s="27"/>
      <x:c r="EY111" s="27"/>
      <x:c r="EZ111" s="27"/>
      <x:c r="FA111" s="27"/>
      <x:c r="FB111" s="27"/>
      <x:c r="FC111" s="27"/>
      <x:c r="FD111" s="27"/>
      <x:c r="FE111" s="27"/>
      <x:c r="FF111" s="27"/>
      <x:c r="FG111" s="27"/>
      <x:c r="FH111" s="27"/>
      <x:c r="FI111" s="27"/>
      <x:c r="FJ111" s="27"/>
      <x:c r="FK111" s="27"/>
      <x:c r="FL111" s="27"/>
      <x:c r="FM111" s="27"/>
      <x:c r="FN111" s="27"/>
      <x:c r="FO111" s="27"/>
      <x:c r="FP111" s="27"/>
      <x:c r="FQ111" s="27"/>
      <x:c r="FR111" s="27"/>
      <x:c r="FS111" s="27"/>
      <x:c r="FT111" s="27"/>
      <x:c r="FU111" s="27"/>
      <x:c r="FV111" s="27"/>
      <x:c r="FW111" s="27"/>
      <x:c r="FX111" s="27"/>
      <x:c r="FY111" s="27"/>
      <x:c r="FZ111" s="27"/>
      <x:c r="GA111" s="27"/>
      <x:c r="GB111" s="27"/>
      <x:c r="GC111" s="27"/>
      <x:c r="GD111" s="27"/>
      <x:c r="GE111" s="27"/>
      <x:c r="GF111" s="27"/>
      <x:c r="GG111" s="27"/>
      <x:c r="GH111" s="27"/>
      <x:c r="GI111" s="27"/>
      <x:c r="GJ111" s="27"/>
      <x:c r="GK111" s="27"/>
      <x:c r="GL111" s="27"/>
      <x:c r="GM111" s="27"/>
      <x:c r="GN111" s="27"/>
      <x:c r="GO111" s="27"/>
      <x:c r="GP111" s="27"/>
      <x:c r="GQ111" s="27"/>
      <x:c r="GR111" s="27"/>
      <x:c r="GS111" s="27"/>
      <x:c r="GT111" s="27"/>
      <x:c r="GU111" s="27"/>
      <x:c r="GV111" s="27"/>
      <x:c r="GW111" s="27"/>
      <x:c r="GX111" s="27"/>
      <x:c r="GY111" s="27"/>
      <x:c r="GZ111" s="27"/>
      <x:c r="HA111" s="27"/>
      <x:c r="HB111" s="27"/>
      <x:c r="HC111" s="27"/>
      <x:c r="HD111" s="27"/>
      <x:c r="HE111" s="27"/>
      <x:c r="HF111" s="27"/>
      <x:c r="HG111" s="27"/>
      <x:c r="HH111" s="27"/>
      <x:c r="HI111" s="27"/>
      <x:c r="HJ111" s="27"/>
      <x:c r="HK111" s="27"/>
      <x:c r="HL111" s="27"/>
      <x:c r="HM111" s="27"/>
      <x:c r="HN111" s="27"/>
      <x:c r="HO111" s="27"/>
      <x:c r="HP111" s="27" t="str">
        <x:f>IF(C111="","",SUM(H111,N111,T111,Z111,AF111,AL111,AR111,AX111,BD111,BJ111,BP111,BV111,CB111,CH111,CN111,CT111,CZ111,DF111,DL111,DR111,DX111,ED111,EJ111,EP111,EV111,FB111,FH111,FN111,FT111,FZ111,GF111,GL111,GR111,GX111,HD111,HJ111))</x:f>
      </x:c>
      <x:c r="HQ111" s="27" t="str">
        <x:f>IF(C111="","",SUM(I111,O111,U111,AA111,AG111,AM111,AS111,AY111,BE111,BK111,BQ111,BW111,CC111,CI111,CO111,CU111,DA111,DG111,DM111,DS111,DY111,EE111,EK111,EQ111,EW111,FC111,FI111,FO111,FU111,GA111,GG111,GM111,GS111,GY111,HE111,HK111))</x:f>
      </x:c>
      <x:c r="HR111" s="27" t="str">
        <x:f>IF(C111="","",SUM(J111,P111,V111,AB111,AH111,AN111,AT111,AZ111,BF111,BL111,BR111,BX111,CD111,CJ111,CP111,CV111,DB111,DH111,DN111,DT111,DZ111,EF111,EL111,ER111,EX111,FD111,FJ111,FP111,FV111,GB111,GH111,GN111,GT111,GZ111,HF111,HL111))</x:f>
      </x:c>
      <x:c r="HS111" s="27" t="str">
        <x:f>IF(C111="","",SUM(K111,Q111,W111,AC111,AI111,AO111,AU111,BA111,BG111,BM111,BS111,BY111,CE111,CK111,CQ111,CW111,DC111,DI111,DO111,DU111,EA111,EG111,EM111,ES111,EY111,FE111,FK111,FQ111,FW111,GC111,GI111,GO111,GU111,HA111,HG111,HM111))</x:f>
      </x:c>
      <x:c r="HT111" s="27" t="str">
        <x:f>IF(C111="","",SUM(L111,R111,X111,AD111,AJ111,AP111,AV111,BB111,BH111,BN111,BT111,BZ111,CF111,CL111,CR111,CX111,DD111,DJ111,DP111,DV111,EB111,EH111,EN111,ET111,EZ111,FF111,FL111,FR111,FX111,GD111,GJ111,GP111,GV111,HB111,HH111,HN111))</x:f>
      </x:c>
      <x:c r="HU111" s="27" t="str">
        <x:f>IF(C111="","",SUM(M111,S111,Y111,AE111,AK111,AQ111,AW111,BC111,BI111,BO111,BU111,CA111,CG111,CM111,CS111,CY111,DE111,DK111,DQ111,DW111,EC111,EI111,EO111,EU111,FA111,FG111,FM111,FS111,FY111,GE111,GK111,GQ111,GW111,HC111,HI111,HO111))</x:f>
      </x:c>
      <x:c r="HV111" s="27" t="str">
        <x:f>IF(C111="","",IF(JI111=LARGE(JI111:JN111,1),"R",IF(JJ111=LARGE(JI111:JN111,1),"I",IF(JK111=LARGE(JI111:JN111,1),"A",IF(JL111=LARGE(JI111:JN111,1),"S",IF(JM111=LARGE(JI111:JN111,1),"E",IF(JN111=LARGE(JI111:JN111,1),"C",""))))))&amp;IF(JI111=LARGE(JI111:JN111,2),"R",IF(JJ111=LARGE(JI111:JN111,2),"I",IF(JK111=LARGE(JI111:JN111,2),"A",IF(JL111=LARGE(JI111:JN111,2),"S",IF(JM111=LARGE(JI111:JN111,2),"E",IF(JN111=LARGE(JI111:JN111,2),"C",""))))))&amp;IF(JI111=LARGE(JI111:JN111,3),"R",IF(JJ111=LARGE(JI111:JN111,3),"I",IF(JK111=LARGE(JI111:JN111,3),"A",IF(JL111=LARGE(JI111:JN111,3),"S",IF(JM111=LARGE(JI111:JN111,3),"E",IF(JN111=LARGE(JI111:JN111,3),"C","")))))))</x:f>
      </x:c>
      <x:c r="HW111" s="27" t="str">
        <x:f>IF(C111="","",IF(JI111=LARGE(JI111:JN111,1),"นักปฏิบัติ",IF(JJ111=LARGE(JI111:JN111,1),"นักคิดวิเคราะห์",IF(JK111=LARGE(JI111:JN111,1),"นักสร้างสรรค์",IF(JL111=LARGE(JI111:JN111,1),"ผู้เข้าใจผู้คน",IF(JM111=LARGE(JI111:JN111,1),"ผู้นำการเปลี่ยนแปลง",IF(JN111=LARGE(JI111:JN111,1),"ผู้จัดระบบ","ผู้จัดระบบ")))))))</x:f>
      </x:c>
      <x:c r="HX111" s="27"/>
      <x:c r="HY111" s="27"/>
      <x:c r="HZ111" s="27"/>
      <x:c r="IA111" s="27"/>
      <x:c r="IB111" s="27"/>
      <x:c r="IC111" s="27"/>
      <x:c r="ID111" s="27"/>
      <x:c r="IE111" s="27"/>
      <x:c r="IF111" s="27"/>
      <x:c r="IG111" s="27"/>
      <x:c r="IH111" s="27"/>
      <x:c r="II111" s="27"/>
      <x:c r="IJ111" s="27"/>
      <x:c r="IK111" s="27" t="str">
        <x:f>IF(C111="","",SUM(H111,N111,T111,Z111,AF111,AL111,AR111,AX111,BD111,BJ111,BP111))</x:f>
      </x:c>
      <x:c r="IL111" s="27" t="str">
        <x:f>IF(C111="","",SUM(I111,O111,U111,AA111,AG111,AM111,AS111,AY111,BE111,BK111,BQ111))</x:f>
      </x:c>
      <x:c r="IM111" s="27" t="str">
        <x:f>IF(C111="","",SUM(J111,P111,V111,AB111,AH111,AN111,AT111,AZ111,BF111,BL111,BR111))</x:f>
      </x:c>
      <x:c r="IN111" s="27" t="str">
        <x:f>IF(C111="","",SUM(K111,Q111,W111,AC111,AI111,AO111,AU111,BA111,BG111,BM111,BS111))</x:f>
      </x:c>
      <x:c r="IO111" s="27" t="str">
        <x:f>IF(C111="","",SUM(L111,R111,X111,AD111,AJ111,AP111,AV111,BB111,BH111,BN111,BT111))</x:f>
      </x:c>
      <x:c r="IP111" s="27" t="str">
        <x:f>IF(C111="","",SUM(M111,S111,Y111,AE111,AK111,AQ111,AW111,BC111,BI111,BO111,BU111))</x:f>
      </x:c>
      <x:c r="IQ111" s="27" t="str">
        <x:f>IF(C111="","",SUM(BV111,CB111,CH111,CN111,CT111,CZ111,DF111,DL111,DR111,DX111,ED111))</x:f>
      </x:c>
      <x:c r="IR111" s="27" t="str">
        <x:f>IF(C111="","",SUM(BW111,CC111,CI111,CO111,CU111,DA111,DG111,DM111,DS111,DY111,EE111))</x:f>
      </x:c>
      <x:c r="IS111" s="27" t="str">
        <x:f>IF(C111="","",SUM(BX111,CD111,CJ111,CP111,CV111,DB111,DH111,DN111,DT111,DZ111,EF111))</x:f>
      </x:c>
      <x:c r="IT111" s="27" t="str">
        <x:f>IF(C111="","",SUM(BY111,CE111,CK111,CQ111,CW111,DC111,DI111,DO111,DU111,EA111,EG111))</x:f>
      </x:c>
      <x:c r="IU111" s="27" t="str">
        <x:f>IF(C111="","",SUM(BZ111,CF111,CL111,CR111,CX111,DD111,DJ111,DP111,DV111,EB111,EH111))</x:f>
      </x:c>
      <x:c r="IV111" s="27" t="str">
        <x:f>IF(C111="","",SUM(CA111,CG111,CM111,CS111,CY111,DE111,DK111,DQ111,DW111,EC111,EI111))</x:f>
      </x:c>
      <x:c r="IW111" s="27" t="str">
        <x:f>IF(C111="","",SUM(EJ111,EP111,EV111,FB111,FH111,FN111,FT111,FZ111,GF111,GL111,GR111,GX111,HD111,HJ111))</x:f>
      </x:c>
      <x:c r="IX111" s="27" t="str">
        <x:f>IF(C111="","",SUM(EK111,EQ111,EW111,FC111,FI111,FO111,FU111,GA111,GG111,GM111,GS111,GY111,HE111,HK111))</x:f>
      </x:c>
      <x:c r="IY111" s="27" t="str">
        <x:f>IF(C111="","",SUM(EL111,ER111,EX111,FD111,FJ111,FP111,FV111,GB111,GH111,GN111,GT111,GZ111,HF111,HL111))</x:f>
      </x:c>
      <x:c r="IZ111" s="27" t="str">
        <x:f>IF(C111="","",SUM(EM111,ES111,EY111,FE111,FK111,FQ111,FW111,GC111,GI111,GO111,GU111,HA111,HG111,HM111))</x:f>
      </x:c>
      <x:c r="JA111" s="27" t="str">
        <x:f>IF(C111="","",SUM(EN111,ET111,EZ111,FF111,FL111,FR111,FX111,GD111,GJ111,GP111,GV111,HB111,HH111,HN111))</x:f>
      </x:c>
      <x:c r="JB111" s="27" t="str">
        <x:f>IF(C111="","",SUM(EO111,EU111,FA111,FG111,FM111,FS111,FY111,GE111,GK111,GQ111,GW111,HC111,HI111,HO111))</x:f>
      </x:c>
      <x:c r="JC111" s="27" t="str">
        <x:f>IF(C111="","",0)</x:f>
      </x:c>
      <x:c r="JD111" s="27" t="str">
        <x:f>IF(C111="","",0)</x:f>
      </x:c>
      <x:c r="JE111" s="27" t="str">
        <x:f>IF(C111="","",0)</x:f>
      </x:c>
      <x:c r="JF111" s="27" t="str">
        <x:f>IF(C111="","",0)</x:f>
      </x:c>
      <x:c r="JG111" s="27" t="str">
        <x:f>IF(C111="","",0)</x:f>
      </x:c>
      <x:c r="JH111" s="27" t="str">
        <x:f>IF(C111="","",0)</x:f>
      </x:c>
      <x:c r="JI111" s="27" t="str">
        <x:f>IF(C111="","",HP111*1000000000+IW111*1000000+IQ111*10000+IK111*100+JC111+6/1000)</x:f>
      </x:c>
      <x:c r="JJ111" s="27" t="str">
        <x:f>IF(C111="","",HQ111*1000000000+IX111*1000000+IR111*10000+IL111*100+JD111+5/1000)</x:f>
      </x:c>
      <x:c r="JK111" s="27" t="str">
        <x:f>IF(C111="","",HR111*1000000000+IY111*1000000+IS111*10000+IM111*100+JE111+4/1000)</x:f>
      </x:c>
      <x:c r="JL111" s="27" t="str">
        <x:f>IF(C111="","",HS111*1000000000+IZ111*1000000+IT111*10000+IN111*100+JF111+3/1000)</x:f>
      </x:c>
      <x:c r="JM111" s="27" t="str">
        <x:f>IF(C111="","",HT111*1000000000+JA111*1000000+IU111*10000+IO111*100+JG111+2/1000)</x:f>
      </x:c>
      <x:c r="JN111" s="27" t="str">
        <x:f>IF(C111="","",HU111*1000000000+JB111*1000000+IV111*10000+IP111*100+JH111+1/1000)</x:f>
      </x:c>
    </x:row>
    <x:row r="112">
      <x:c r="A112" s="27"/>
      <x:c r="B112" s="28"/>
      <x:c r="C112" s="27"/>
      <x:c r="D112" s="27"/>
      <x:c r="E112" s="27"/>
      <x:c r="F112" s="27"/>
      <x:c r="G112" s="27"/>
      <x:c r="H112" s="27"/>
      <x:c r="I112" s="27"/>
      <x:c r="J112" s="27"/>
      <x:c r="K112" s="27"/>
      <x:c r="L112" s="27"/>
      <x:c r="M112" s="27"/>
      <x:c r="N112" s="27"/>
      <x:c r="O112" s="27"/>
      <x:c r="P112" s="27"/>
      <x:c r="Q112" s="27"/>
      <x:c r="R112" s="27"/>
      <x:c r="S112" s="27"/>
      <x:c r="T112" s="27"/>
      <x:c r="U112" s="27"/>
      <x:c r="V112" s="27"/>
      <x:c r="W112" s="27"/>
      <x:c r="X112" s="27"/>
      <x:c r="Y112" s="27"/>
      <x:c r="Z112" s="27"/>
      <x:c r="AA112" s="27"/>
      <x:c r="AB112" s="27"/>
      <x:c r="AC112" s="27"/>
      <x:c r="AD112" s="27"/>
      <x:c r="AE112" s="27"/>
      <x:c r="AF112" s="27"/>
      <x:c r="AG112" s="27"/>
      <x:c r="AH112" s="27"/>
      <x:c r="AI112" s="27"/>
      <x:c r="AJ112" s="27"/>
      <x:c r="AK112" s="27"/>
      <x:c r="AL112" s="27"/>
      <x:c r="AM112" s="27"/>
      <x:c r="AN112" s="27"/>
      <x:c r="AO112" s="27"/>
      <x:c r="AP112" s="27"/>
      <x:c r="AQ112" s="27"/>
      <x:c r="AR112" s="27"/>
      <x:c r="AS112" s="27"/>
      <x:c r="AT112" s="27"/>
      <x:c r="AU112" s="27"/>
      <x:c r="AV112" s="27"/>
      <x:c r="AW112" s="27"/>
      <x:c r="AX112" s="27"/>
      <x:c r="AY112" s="27"/>
      <x:c r="AZ112" s="27"/>
      <x:c r="BA112" s="27"/>
      <x:c r="BB112" s="27"/>
      <x:c r="BC112" s="27"/>
      <x:c r="BD112" s="27"/>
      <x:c r="BE112" s="27"/>
      <x:c r="BF112" s="27"/>
      <x:c r="BG112" s="27"/>
      <x:c r="BH112" s="27"/>
      <x:c r="BI112" s="27"/>
      <x:c r="BJ112" s="27"/>
      <x:c r="BK112" s="27"/>
      <x:c r="BL112" s="27"/>
      <x:c r="BM112" s="27"/>
      <x:c r="BN112" s="27"/>
      <x:c r="BO112" s="27"/>
      <x:c r="BP112" s="27"/>
      <x:c r="BQ112" s="27"/>
      <x:c r="BR112" s="27"/>
      <x:c r="BS112" s="27"/>
      <x:c r="BT112" s="27"/>
      <x:c r="BU112" s="27"/>
      <x:c r="BV112" s="27"/>
      <x:c r="BW112" s="27"/>
      <x:c r="BX112" s="27"/>
      <x:c r="BY112" s="27"/>
      <x:c r="BZ112" s="27"/>
      <x:c r="CA112" s="27"/>
      <x:c r="CB112" s="27"/>
      <x:c r="CC112" s="27"/>
      <x:c r="CD112" s="27"/>
      <x:c r="CE112" s="27"/>
      <x:c r="CF112" s="27"/>
      <x:c r="CG112" s="27"/>
      <x:c r="CH112" s="27"/>
      <x:c r="CI112" s="27"/>
      <x:c r="CJ112" s="27"/>
      <x:c r="CK112" s="27"/>
      <x:c r="CL112" s="27"/>
      <x:c r="CM112" s="27"/>
      <x:c r="CN112" s="27"/>
      <x:c r="CO112" s="27"/>
      <x:c r="CP112" s="27"/>
      <x:c r="CQ112" s="27"/>
      <x:c r="CR112" s="27"/>
      <x:c r="CS112" s="27"/>
      <x:c r="CT112" s="27"/>
      <x:c r="CU112" s="27"/>
      <x:c r="CV112" s="27"/>
      <x:c r="CW112" s="27"/>
      <x:c r="CX112" s="27"/>
      <x:c r="CY112" s="27"/>
      <x:c r="CZ112" s="27"/>
      <x:c r="DA112" s="27"/>
      <x:c r="DB112" s="27"/>
      <x:c r="DC112" s="27"/>
      <x:c r="DD112" s="27"/>
      <x:c r="DE112" s="27"/>
      <x:c r="DF112" s="27"/>
      <x:c r="DG112" s="27"/>
      <x:c r="DH112" s="27"/>
      <x:c r="DI112" s="27"/>
      <x:c r="DJ112" s="27"/>
      <x:c r="DK112" s="27"/>
      <x:c r="DL112" s="27"/>
      <x:c r="DM112" s="27"/>
      <x:c r="DN112" s="27"/>
      <x:c r="DO112" s="27"/>
      <x:c r="DP112" s="27"/>
      <x:c r="DQ112" s="27"/>
      <x:c r="DR112" s="27"/>
      <x:c r="DS112" s="27"/>
      <x:c r="DT112" s="27"/>
      <x:c r="DU112" s="27"/>
      <x:c r="DV112" s="27"/>
      <x:c r="DW112" s="27"/>
      <x:c r="DX112" s="27"/>
      <x:c r="DY112" s="27"/>
      <x:c r="DZ112" s="27"/>
      <x:c r="EA112" s="27"/>
      <x:c r="EB112" s="27"/>
      <x:c r="EC112" s="27"/>
      <x:c r="ED112" s="27"/>
      <x:c r="EE112" s="27"/>
      <x:c r="EF112" s="27"/>
      <x:c r="EG112" s="27"/>
      <x:c r="EH112" s="27"/>
      <x:c r="EI112" s="27"/>
      <x:c r="EJ112" s="27"/>
      <x:c r="EK112" s="27"/>
      <x:c r="EL112" s="27"/>
      <x:c r="EM112" s="27"/>
      <x:c r="EN112" s="27"/>
      <x:c r="EO112" s="27"/>
      <x:c r="EP112" s="27"/>
      <x:c r="EQ112" s="27"/>
      <x:c r="ER112" s="27"/>
      <x:c r="ES112" s="27"/>
      <x:c r="ET112" s="27"/>
      <x:c r="EU112" s="27"/>
      <x:c r="EV112" s="27"/>
      <x:c r="EW112" s="27"/>
      <x:c r="EX112" s="27"/>
      <x:c r="EY112" s="27"/>
      <x:c r="EZ112" s="27"/>
      <x:c r="FA112" s="27"/>
      <x:c r="FB112" s="27"/>
      <x:c r="FC112" s="27"/>
      <x:c r="FD112" s="27"/>
      <x:c r="FE112" s="27"/>
      <x:c r="FF112" s="27"/>
      <x:c r="FG112" s="27"/>
      <x:c r="FH112" s="27"/>
      <x:c r="FI112" s="27"/>
      <x:c r="FJ112" s="27"/>
      <x:c r="FK112" s="27"/>
      <x:c r="FL112" s="27"/>
      <x:c r="FM112" s="27"/>
      <x:c r="FN112" s="27"/>
      <x:c r="FO112" s="27"/>
      <x:c r="FP112" s="27"/>
      <x:c r="FQ112" s="27"/>
      <x:c r="FR112" s="27"/>
      <x:c r="FS112" s="27"/>
      <x:c r="FT112" s="27"/>
      <x:c r="FU112" s="27"/>
      <x:c r="FV112" s="27"/>
      <x:c r="FW112" s="27"/>
      <x:c r="FX112" s="27"/>
      <x:c r="FY112" s="27"/>
      <x:c r="FZ112" s="27"/>
      <x:c r="GA112" s="27"/>
      <x:c r="GB112" s="27"/>
      <x:c r="GC112" s="27"/>
      <x:c r="GD112" s="27"/>
      <x:c r="GE112" s="27"/>
      <x:c r="GF112" s="27"/>
      <x:c r="GG112" s="27"/>
      <x:c r="GH112" s="27"/>
      <x:c r="GI112" s="27"/>
      <x:c r="GJ112" s="27"/>
      <x:c r="GK112" s="27"/>
      <x:c r="GL112" s="27"/>
      <x:c r="GM112" s="27"/>
      <x:c r="GN112" s="27"/>
      <x:c r="GO112" s="27"/>
      <x:c r="GP112" s="27"/>
      <x:c r="GQ112" s="27"/>
      <x:c r="GR112" s="27"/>
      <x:c r="GS112" s="27"/>
      <x:c r="GT112" s="27"/>
      <x:c r="GU112" s="27"/>
      <x:c r="GV112" s="27"/>
      <x:c r="GW112" s="27"/>
      <x:c r="GX112" s="27"/>
      <x:c r="GY112" s="27"/>
      <x:c r="GZ112" s="27"/>
      <x:c r="HA112" s="27"/>
      <x:c r="HB112" s="27"/>
      <x:c r="HC112" s="27"/>
      <x:c r="HD112" s="27"/>
      <x:c r="HE112" s="27"/>
      <x:c r="HF112" s="27"/>
      <x:c r="HG112" s="27"/>
      <x:c r="HH112" s="27"/>
      <x:c r="HI112" s="27"/>
      <x:c r="HJ112" s="27"/>
      <x:c r="HK112" s="27"/>
      <x:c r="HL112" s="27"/>
      <x:c r="HM112" s="27"/>
      <x:c r="HN112" s="27"/>
      <x:c r="HO112" s="27"/>
      <x:c r="HP112" s="27" t="str">
        <x:f>IF(C112="","",SUM(H112,N112,T112,Z112,AF112,AL112,AR112,AX112,BD112,BJ112,BP112,BV112,CB112,CH112,CN112,CT112,CZ112,DF112,DL112,DR112,DX112,ED112,EJ112,EP112,EV112,FB112,FH112,FN112,FT112,FZ112,GF112,GL112,GR112,GX112,HD112,HJ112))</x:f>
      </x:c>
      <x:c r="HQ112" s="27" t="str">
        <x:f>IF(C112="","",SUM(I112,O112,U112,AA112,AG112,AM112,AS112,AY112,BE112,BK112,BQ112,BW112,CC112,CI112,CO112,CU112,DA112,DG112,DM112,DS112,DY112,EE112,EK112,EQ112,EW112,FC112,FI112,FO112,FU112,GA112,GG112,GM112,GS112,GY112,HE112,HK112))</x:f>
      </x:c>
      <x:c r="HR112" s="27" t="str">
        <x:f>IF(C112="","",SUM(J112,P112,V112,AB112,AH112,AN112,AT112,AZ112,BF112,BL112,BR112,BX112,CD112,CJ112,CP112,CV112,DB112,DH112,DN112,DT112,DZ112,EF112,EL112,ER112,EX112,FD112,FJ112,FP112,FV112,GB112,GH112,GN112,GT112,GZ112,HF112,HL112))</x:f>
      </x:c>
      <x:c r="HS112" s="27" t="str">
        <x:f>IF(C112="","",SUM(K112,Q112,W112,AC112,AI112,AO112,AU112,BA112,BG112,BM112,BS112,BY112,CE112,CK112,CQ112,CW112,DC112,DI112,DO112,DU112,EA112,EG112,EM112,ES112,EY112,FE112,FK112,FQ112,FW112,GC112,GI112,GO112,GU112,HA112,HG112,HM112))</x:f>
      </x:c>
      <x:c r="HT112" s="27" t="str">
        <x:f>IF(C112="","",SUM(L112,R112,X112,AD112,AJ112,AP112,AV112,BB112,BH112,BN112,BT112,BZ112,CF112,CL112,CR112,CX112,DD112,DJ112,DP112,DV112,EB112,EH112,EN112,ET112,EZ112,FF112,FL112,FR112,FX112,GD112,GJ112,GP112,GV112,HB112,HH112,HN112))</x:f>
      </x:c>
      <x:c r="HU112" s="27" t="str">
        <x:f>IF(C112="","",SUM(M112,S112,Y112,AE112,AK112,AQ112,AW112,BC112,BI112,BO112,BU112,CA112,CG112,CM112,CS112,CY112,DE112,DK112,DQ112,DW112,EC112,EI112,EO112,EU112,FA112,FG112,FM112,FS112,FY112,GE112,GK112,GQ112,GW112,HC112,HI112,HO112))</x:f>
      </x:c>
      <x:c r="HV112" s="27" t="str">
        <x:f>IF(C112="","",IF(JI112=LARGE(JI112:JN112,1),"R",IF(JJ112=LARGE(JI112:JN112,1),"I",IF(JK112=LARGE(JI112:JN112,1),"A",IF(JL112=LARGE(JI112:JN112,1),"S",IF(JM112=LARGE(JI112:JN112,1),"E",IF(JN112=LARGE(JI112:JN112,1),"C",""))))))&amp;IF(JI112=LARGE(JI112:JN112,2),"R",IF(JJ112=LARGE(JI112:JN112,2),"I",IF(JK112=LARGE(JI112:JN112,2),"A",IF(JL112=LARGE(JI112:JN112,2),"S",IF(JM112=LARGE(JI112:JN112,2),"E",IF(JN112=LARGE(JI112:JN112,2),"C",""))))))&amp;IF(JI112=LARGE(JI112:JN112,3),"R",IF(JJ112=LARGE(JI112:JN112,3),"I",IF(JK112=LARGE(JI112:JN112,3),"A",IF(JL112=LARGE(JI112:JN112,3),"S",IF(JM112=LARGE(JI112:JN112,3),"E",IF(JN112=LARGE(JI112:JN112,3),"C","")))))))</x:f>
      </x:c>
      <x:c r="HW112" s="27" t="str">
        <x:f>IF(C112="","",IF(JI112=LARGE(JI112:JN112,1),"นักปฏิบัติ",IF(JJ112=LARGE(JI112:JN112,1),"นักคิดวิเคราะห์",IF(JK112=LARGE(JI112:JN112,1),"นักสร้างสรรค์",IF(JL112=LARGE(JI112:JN112,1),"ผู้เข้าใจผู้คน",IF(JM112=LARGE(JI112:JN112,1),"ผู้นำการเปลี่ยนแปลง",IF(JN112=LARGE(JI112:JN112,1),"ผู้จัดระบบ","ผู้จัดระบบ")))))))</x:f>
      </x:c>
      <x:c r="HX112" s="27"/>
      <x:c r="HY112" s="27"/>
      <x:c r="HZ112" s="27"/>
      <x:c r="IA112" s="27"/>
      <x:c r="IB112" s="27"/>
      <x:c r="IC112" s="27"/>
      <x:c r="ID112" s="27"/>
      <x:c r="IE112" s="27"/>
      <x:c r="IF112" s="27"/>
      <x:c r="IG112" s="27"/>
      <x:c r="IH112" s="27"/>
      <x:c r="II112" s="27"/>
      <x:c r="IJ112" s="27"/>
      <x:c r="IK112" s="27" t="str">
        <x:f>IF(C112="","",SUM(H112,N112,T112,Z112,AF112,AL112,AR112,AX112,BD112,BJ112,BP112))</x:f>
      </x:c>
      <x:c r="IL112" s="27" t="str">
        <x:f>IF(C112="","",SUM(I112,O112,U112,AA112,AG112,AM112,AS112,AY112,BE112,BK112,BQ112))</x:f>
      </x:c>
      <x:c r="IM112" s="27" t="str">
        <x:f>IF(C112="","",SUM(J112,P112,V112,AB112,AH112,AN112,AT112,AZ112,BF112,BL112,BR112))</x:f>
      </x:c>
      <x:c r="IN112" s="27" t="str">
        <x:f>IF(C112="","",SUM(K112,Q112,W112,AC112,AI112,AO112,AU112,BA112,BG112,BM112,BS112))</x:f>
      </x:c>
      <x:c r="IO112" s="27" t="str">
        <x:f>IF(C112="","",SUM(L112,R112,X112,AD112,AJ112,AP112,AV112,BB112,BH112,BN112,BT112))</x:f>
      </x:c>
      <x:c r="IP112" s="27" t="str">
        <x:f>IF(C112="","",SUM(M112,S112,Y112,AE112,AK112,AQ112,AW112,BC112,BI112,BO112,BU112))</x:f>
      </x:c>
      <x:c r="IQ112" s="27" t="str">
        <x:f>IF(C112="","",SUM(BV112,CB112,CH112,CN112,CT112,CZ112,DF112,DL112,DR112,DX112,ED112))</x:f>
      </x:c>
      <x:c r="IR112" s="27" t="str">
        <x:f>IF(C112="","",SUM(BW112,CC112,CI112,CO112,CU112,DA112,DG112,DM112,DS112,DY112,EE112))</x:f>
      </x:c>
      <x:c r="IS112" s="27" t="str">
        <x:f>IF(C112="","",SUM(BX112,CD112,CJ112,CP112,CV112,DB112,DH112,DN112,DT112,DZ112,EF112))</x:f>
      </x:c>
      <x:c r="IT112" s="27" t="str">
        <x:f>IF(C112="","",SUM(BY112,CE112,CK112,CQ112,CW112,DC112,DI112,DO112,DU112,EA112,EG112))</x:f>
      </x:c>
      <x:c r="IU112" s="27" t="str">
        <x:f>IF(C112="","",SUM(BZ112,CF112,CL112,CR112,CX112,DD112,DJ112,DP112,DV112,EB112,EH112))</x:f>
      </x:c>
      <x:c r="IV112" s="27" t="str">
        <x:f>IF(C112="","",SUM(CA112,CG112,CM112,CS112,CY112,DE112,DK112,DQ112,DW112,EC112,EI112))</x:f>
      </x:c>
      <x:c r="IW112" s="27" t="str">
        <x:f>IF(C112="","",SUM(EJ112,EP112,EV112,FB112,FH112,FN112,FT112,FZ112,GF112,GL112,GR112,GX112,HD112,HJ112))</x:f>
      </x:c>
      <x:c r="IX112" s="27" t="str">
        <x:f>IF(C112="","",SUM(EK112,EQ112,EW112,FC112,FI112,FO112,FU112,GA112,GG112,GM112,GS112,GY112,HE112,HK112))</x:f>
      </x:c>
      <x:c r="IY112" s="27" t="str">
        <x:f>IF(C112="","",SUM(EL112,ER112,EX112,FD112,FJ112,FP112,FV112,GB112,GH112,GN112,GT112,GZ112,HF112,HL112))</x:f>
      </x:c>
      <x:c r="IZ112" s="27" t="str">
        <x:f>IF(C112="","",SUM(EM112,ES112,EY112,FE112,FK112,FQ112,FW112,GC112,GI112,GO112,GU112,HA112,HG112,HM112))</x:f>
      </x:c>
      <x:c r="JA112" s="27" t="str">
        <x:f>IF(C112="","",SUM(EN112,ET112,EZ112,FF112,FL112,FR112,FX112,GD112,GJ112,GP112,GV112,HB112,HH112,HN112))</x:f>
      </x:c>
      <x:c r="JB112" s="27" t="str">
        <x:f>IF(C112="","",SUM(EO112,EU112,FA112,FG112,FM112,FS112,FY112,GE112,GK112,GQ112,GW112,HC112,HI112,HO112))</x:f>
      </x:c>
      <x:c r="JC112" s="27" t="str">
        <x:f>IF(C112="","",0)</x:f>
      </x:c>
      <x:c r="JD112" s="27" t="str">
        <x:f>IF(C112="","",0)</x:f>
      </x:c>
      <x:c r="JE112" s="27" t="str">
        <x:f>IF(C112="","",0)</x:f>
      </x:c>
      <x:c r="JF112" s="27" t="str">
        <x:f>IF(C112="","",0)</x:f>
      </x:c>
      <x:c r="JG112" s="27" t="str">
        <x:f>IF(C112="","",0)</x:f>
      </x:c>
      <x:c r="JH112" s="27" t="str">
        <x:f>IF(C112="","",0)</x:f>
      </x:c>
      <x:c r="JI112" s="27" t="str">
        <x:f>IF(C112="","",HP112*1000000000+IW112*1000000+IQ112*10000+IK112*100+JC112+6/1000)</x:f>
      </x:c>
      <x:c r="JJ112" s="27" t="str">
        <x:f>IF(C112="","",HQ112*1000000000+IX112*1000000+IR112*10000+IL112*100+JD112+5/1000)</x:f>
      </x:c>
      <x:c r="JK112" s="27" t="str">
        <x:f>IF(C112="","",HR112*1000000000+IY112*1000000+IS112*10000+IM112*100+JE112+4/1000)</x:f>
      </x:c>
      <x:c r="JL112" s="27" t="str">
        <x:f>IF(C112="","",HS112*1000000000+IZ112*1000000+IT112*10000+IN112*100+JF112+3/1000)</x:f>
      </x:c>
      <x:c r="JM112" s="27" t="str">
        <x:f>IF(C112="","",HT112*1000000000+JA112*1000000+IU112*10000+IO112*100+JG112+2/1000)</x:f>
      </x:c>
      <x:c r="JN112" s="27" t="str">
        <x:f>IF(C112="","",HU112*1000000000+JB112*1000000+IV112*10000+IP112*100+JH112+1/1000)</x:f>
      </x:c>
    </x:row>
    <x:row r="113">
      <x:c r="A113" s="27"/>
      <x:c r="B113" s="28"/>
      <x:c r="C113" s="27"/>
      <x:c r="D113" s="27"/>
      <x:c r="E113" s="27"/>
      <x:c r="F113" s="27"/>
      <x:c r="G113" s="27"/>
      <x:c r="H113" s="27"/>
      <x:c r="I113" s="27"/>
      <x:c r="J113" s="27"/>
      <x:c r="K113" s="27"/>
      <x:c r="L113" s="27"/>
      <x:c r="M113" s="27"/>
      <x:c r="N113" s="27"/>
      <x:c r="O113" s="27"/>
      <x:c r="P113" s="27"/>
      <x:c r="Q113" s="27"/>
      <x:c r="R113" s="27"/>
      <x:c r="S113" s="27"/>
      <x:c r="T113" s="27"/>
      <x:c r="U113" s="27"/>
      <x:c r="V113" s="27"/>
      <x:c r="W113" s="27"/>
      <x:c r="X113" s="27"/>
      <x:c r="Y113" s="27"/>
      <x:c r="Z113" s="27"/>
      <x:c r="AA113" s="27"/>
      <x:c r="AB113" s="27"/>
      <x:c r="AC113" s="27"/>
      <x:c r="AD113" s="27"/>
      <x:c r="AE113" s="27"/>
      <x:c r="AF113" s="27"/>
      <x:c r="AG113" s="27"/>
      <x:c r="AH113" s="27"/>
      <x:c r="AI113" s="27"/>
      <x:c r="AJ113" s="27"/>
      <x:c r="AK113" s="27"/>
      <x:c r="AL113" s="27"/>
      <x:c r="AM113" s="27"/>
      <x:c r="AN113" s="27"/>
      <x:c r="AO113" s="27"/>
      <x:c r="AP113" s="27"/>
      <x:c r="AQ113" s="27"/>
      <x:c r="AR113" s="27"/>
      <x:c r="AS113" s="27"/>
      <x:c r="AT113" s="27"/>
      <x:c r="AU113" s="27"/>
      <x:c r="AV113" s="27"/>
      <x:c r="AW113" s="27"/>
      <x:c r="AX113" s="27"/>
      <x:c r="AY113" s="27"/>
      <x:c r="AZ113" s="27"/>
      <x:c r="BA113" s="27"/>
      <x:c r="BB113" s="27"/>
      <x:c r="BC113" s="27"/>
      <x:c r="BD113" s="27"/>
      <x:c r="BE113" s="27"/>
      <x:c r="BF113" s="27"/>
      <x:c r="BG113" s="27"/>
      <x:c r="BH113" s="27"/>
      <x:c r="BI113" s="27"/>
      <x:c r="BJ113" s="27"/>
      <x:c r="BK113" s="27"/>
      <x:c r="BL113" s="27"/>
      <x:c r="BM113" s="27"/>
      <x:c r="BN113" s="27"/>
      <x:c r="BO113" s="27"/>
      <x:c r="BP113" s="27"/>
      <x:c r="BQ113" s="27"/>
      <x:c r="BR113" s="27"/>
      <x:c r="BS113" s="27"/>
      <x:c r="BT113" s="27"/>
      <x:c r="BU113" s="27"/>
      <x:c r="BV113" s="27"/>
      <x:c r="BW113" s="27"/>
      <x:c r="BX113" s="27"/>
      <x:c r="BY113" s="27"/>
      <x:c r="BZ113" s="27"/>
      <x:c r="CA113" s="27"/>
      <x:c r="CB113" s="27"/>
      <x:c r="CC113" s="27"/>
      <x:c r="CD113" s="27"/>
      <x:c r="CE113" s="27"/>
      <x:c r="CF113" s="27"/>
      <x:c r="CG113" s="27"/>
      <x:c r="CH113" s="27"/>
      <x:c r="CI113" s="27"/>
      <x:c r="CJ113" s="27"/>
      <x:c r="CK113" s="27"/>
      <x:c r="CL113" s="27"/>
      <x:c r="CM113" s="27"/>
      <x:c r="CN113" s="27"/>
      <x:c r="CO113" s="27"/>
      <x:c r="CP113" s="27"/>
      <x:c r="CQ113" s="27"/>
      <x:c r="CR113" s="27"/>
      <x:c r="CS113" s="27"/>
      <x:c r="CT113" s="27"/>
      <x:c r="CU113" s="27"/>
      <x:c r="CV113" s="27"/>
      <x:c r="CW113" s="27"/>
      <x:c r="CX113" s="27"/>
      <x:c r="CY113" s="27"/>
      <x:c r="CZ113" s="27"/>
      <x:c r="DA113" s="27"/>
      <x:c r="DB113" s="27"/>
      <x:c r="DC113" s="27"/>
      <x:c r="DD113" s="27"/>
      <x:c r="DE113" s="27"/>
      <x:c r="DF113" s="27"/>
      <x:c r="DG113" s="27"/>
      <x:c r="DH113" s="27"/>
      <x:c r="DI113" s="27"/>
      <x:c r="DJ113" s="27"/>
      <x:c r="DK113" s="27"/>
      <x:c r="DL113" s="27"/>
      <x:c r="DM113" s="27"/>
      <x:c r="DN113" s="27"/>
      <x:c r="DO113" s="27"/>
      <x:c r="DP113" s="27"/>
      <x:c r="DQ113" s="27"/>
      <x:c r="DR113" s="27"/>
      <x:c r="DS113" s="27"/>
      <x:c r="DT113" s="27"/>
      <x:c r="DU113" s="27"/>
      <x:c r="DV113" s="27"/>
      <x:c r="DW113" s="27"/>
      <x:c r="DX113" s="27"/>
      <x:c r="DY113" s="27"/>
      <x:c r="DZ113" s="27"/>
      <x:c r="EA113" s="27"/>
      <x:c r="EB113" s="27"/>
      <x:c r="EC113" s="27"/>
      <x:c r="ED113" s="27"/>
      <x:c r="EE113" s="27"/>
      <x:c r="EF113" s="27"/>
      <x:c r="EG113" s="27"/>
      <x:c r="EH113" s="27"/>
      <x:c r="EI113" s="27"/>
      <x:c r="EJ113" s="27"/>
      <x:c r="EK113" s="27"/>
      <x:c r="EL113" s="27"/>
      <x:c r="EM113" s="27"/>
      <x:c r="EN113" s="27"/>
      <x:c r="EO113" s="27"/>
      <x:c r="EP113" s="27"/>
      <x:c r="EQ113" s="27"/>
      <x:c r="ER113" s="27"/>
      <x:c r="ES113" s="27"/>
      <x:c r="ET113" s="27"/>
      <x:c r="EU113" s="27"/>
      <x:c r="EV113" s="27"/>
      <x:c r="EW113" s="27"/>
      <x:c r="EX113" s="27"/>
      <x:c r="EY113" s="27"/>
      <x:c r="EZ113" s="27"/>
      <x:c r="FA113" s="27"/>
      <x:c r="FB113" s="27"/>
      <x:c r="FC113" s="27"/>
      <x:c r="FD113" s="27"/>
      <x:c r="FE113" s="27"/>
      <x:c r="FF113" s="27"/>
      <x:c r="FG113" s="27"/>
      <x:c r="FH113" s="27"/>
      <x:c r="FI113" s="27"/>
      <x:c r="FJ113" s="27"/>
      <x:c r="FK113" s="27"/>
      <x:c r="FL113" s="27"/>
      <x:c r="FM113" s="27"/>
      <x:c r="FN113" s="27"/>
      <x:c r="FO113" s="27"/>
      <x:c r="FP113" s="27"/>
      <x:c r="FQ113" s="27"/>
      <x:c r="FR113" s="27"/>
      <x:c r="FS113" s="27"/>
      <x:c r="FT113" s="27"/>
      <x:c r="FU113" s="27"/>
      <x:c r="FV113" s="27"/>
      <x:c r="FW113" s="27"/>
      <x:c r="FX113" s="27"/>
      <x:c r="FY113" s="27"/>
      <x:c r="FZ113" s="27"/>
      <x:c r="GA113" s="27"/>
      <x:c r="GB113" s="27"/>
      <x:c r="GC113" s="27"/>
      <x:c r="GD113" s="27"/>
      <x:c r="GE113" s="27"/>
      <x:c r="GF113" s="27"/>
      <x:c r="GG113" s="27"/>
      <x:c r="GH113" s="27"/>
      <x:c r="GI113" s="27"/>
      <x:c r="GJ113" s="27"/>
      <x:c r="GK113" s="27"/>
      <x:c r="GL113" s="27"/>
      <x:c r="GM113" s="27"/>
      <x:c r="GN113" s="27"/>
      <x:c r="GO113" s="27"/>
      <x:c r="GP113" s="27"/>
      <x:c r="GQ113" s="27"/>
      <x:c r="GR113" s="27"/>
      <x:c r="GS113" s="27"/>
      <x:c r="GT113" s="27"/>
      <x:c r="GU113" s="27"/>
      <x:c r="GV113" s="27"/>
      <x:c r="GW113" s="27"/>
      <x:c r="GX113" s="27"/>
      <x:c r="GY113" s="27"/>
      <x:c r="GZ113" s="27"/>
      <x:c r="HA113" s="27"/>
      <x:c r="HB113" s="27"/>
      <x:c r="HC113" s="27"/>
      <x:c r="HD113" s="27"/>
      <x:c r="HE113" s="27"/>
      <x:c r="HF113" s="27"/>
      <x:c r="HG113" s="27"/>
      <x:c r="HH113" s="27"/>
      <x:c r="HI113" s="27"/>
      <x:c r="HJ113" s="27"/>
      <x:c r="HK113" s="27"/>
      <x:c r="HL113" s="27"/>
      <x:c r="HM113" s="27"/>
      <x:c r="HN113" s="27"/>
      <x:c r="HO113" s="27"/>
      <x:c r="HP113" s="27" t="str">
        <x:f>IF(C113="","",SUM(H113,N113,T113,Z113,AF113,AL113,AR113,AX113,BD113,BJ113,BP113,BV113,CB113,CH113,CN113,CT113,CZ113,DF113,DL113,DR113,DX113,ED113,EJ113,EP113,EV113,FB113,FH113,FN113,FT113,FZ113,GF113,GL113,GR113,GX113,HD113,HJ113))</x:f>
      </x:c>
      <x:c r="HQ113" s="27" t="str">
        <x:f>IF(C113="","",SUM(I113,O113,U113,AA113,AG113,AM113,AS113,AY113,BE113,BK113,BQ113,BW113,CC113,CI113,CO113,CU113,DA113,DG113,DM113,DS113,DY113,EE113,EK113,EQ113,EW113,FC113,FI113,FO113,FU113,GA113,GG113,GM113,GS113,GY113,HE113,HK113))</x:f>
      </x:c>
      <x:c r="HR113" s="27" t="str">
        <x:f>IF(C113="","",SUM(J113,P113,V113,AB113,AH113,AN113,AT113,AZ113,BF113,BL113,BR113,BX113,CD113,CJ113,CP113,CV113,DB113,DH113,DN113,DT113,DZ113,EF113,EL113,ER113,EX113,FD113,FJ113,FP113,FV113,GB113,GH113,GN113,GT113,GZ113,HF113,HL113))</x:f>
      </x:c>
      <x:c r="HS113" s="27" t="str">
        <x:f>IF(C113="","",SUM(K113,Q113,W113,AC113,AI113,AO113,AU113,BA113,BG113,BM113,BS113,BY113,CE113,CK113,CQ113,CW113,DC113,DI113,DO113,DU113,EA113,EG113,EM113,ES113,EY113,FE113,FK113,FQ113,FW113,GC113,GI113,GO113,GU113,HA113,HG113,HM113))</x:f>
      </x:c>
      <x:c r="HT113" s="27" t="str">
        <x:f>IF(C113="","",SUM(L113,R113,X113,AD113,AJ113,AP113,AV113,BB113,BH113,BN113,BT113,BZ113,CF113,CL113,CR113,CX113,DD113,DJ113,DP113,DV113,EB113,EH113,EN113,ET113,EZ113,FF113,FL113,FR113,FX113,GD113,GJ113,GP113,GV113,HB113,HH113,HN113))</x:f>
      </x:c>
      <x:c r="HU113" s="27" t="str">
        <x:f>IF(C113="","",SUM(M113,S113,Y113,AE113,AK113,AQ113,AW113,BC113,BI113,BO113,BU113,CA113,CG113,CM113,CS113,CY113,DE113,DK113,DQ113,DW113,EC113,EI113,EO113,EU113,FA113,FG113,FM113,FS113,FY113,GE113,GK113,GQ113,GW113,HC113,HI113,HO113))</x:f>
      </x:c>
      <x:c r="HV113" s="27" t="str">
        <x:f>IF(C113="","",IF(JI113=LARGE(JI113:JN113,1),"R",IF(JJ113=LARGE(JI113:JN113,1),"I",IF(JK113=LARGE(JI113:JN113,1),"A",IF(JL113=LARGE(JI113:JN113,1),"S",IF(JM113=LARGE(JI113:JN113,1),"E",IF(JN113=LARGE(JI113:JN113,1),"C",""))))))&amp;IF(JI113=LARGE(JI113:JN113,2),"R",IF(JJ113=LARGE(JI113:JN113,2),"I",IF(JK113=LARGE(JI113:JN113,2),"A",IF(JL113=LARGE(JI113:JN113,2),"S",IF(JM113=LARGE(JI113:JN113,2),"E",IF(JN113=LARGE(JI113:JN113,2),"C",""))))))&amp;IF(JI113=LARGE(JI113:JN113,3),"R",IF(JJ113=LARGE(JI113:JN113,3),"I",IF(JK113=LARGE(JI113:JN113,3),"A",IF(JL113=LARGE(JI113:JN113,3),"S",IF(JM113=LARGE(JI113:JN113,3),"E",IF(JN113=LARGE(JI113:JN113,3),"C","")))))))</x:f>
      </x:c>
      <x:c r="HW113" s="27" t="str">
        <x:f>IF(C113="","",IF(JI113=LARGE(JI113:JN113,1),"นักปฏิบัติ",IF(JJ113=LARGE(JI113:JN113,1),"นักคิดวิเคราะห์",IF(JK113=LARGE(JI113:JN113,1),"นักสร้างสรรค์",IF(JL113=LARGE(JI113:JN113,1),"ผู้เข้าใจผู้คน",IF(JM113=LARGE(JI113:JN113,1),"ผู้นำการเปลี่ยนแปลง",IF(JN113=LARGE(JI113:JN113,1),"ผู้จัดระบบ","ผู้จัดระบบ")))))))</x:f>
      </x:c>
      <x:c r="HX113" s="27"/>
      <x:c r="HY113" s="27"/>
      <x:c r="HZ113" s="27"/>
      <x:c r="IA113" s="27"/>
      <x:c r="IB113" s="27"/>
      <x:c r="IC113" s="27"/>
      <x:c r="ID113" s="27"/>
      <x:c r="IE113" s="27"/>
      <x:c r="IF113" s="27"/>
      <x:c r="IG113" s="27"/>
      <x:c r="IH113" s="27"/>
      <x:c r="II113" s="27"/>
      <x:c r="IJ113" s="27"/>
      <x:c r="IK113" s="27" t="str">
        <x:f>IF(C113="","",SUM(H113,N113,T113,Z113,AF113,AL113,AR113,AX113,BD113,BJ113,BP113))</x:f>
      </x:c>
      <x:c r="IL113" s="27" t="str">
        <x:f>IF(C113="","",SUM(I113,O113,U113,AA113,AG113,AM113,AS113,AY113,BE113,BK113,BQ113))</x:f>
      </x:c>
      <x:c r="IM113" s="27" t="str">
        <x:f>IF(C113="","",SUM(J113,P113,V113,AB113,AH113,AN113,AT113,AZ113,BF113,BL113,BR113))</x:f>
      </x:c>
      <x:c r="IN113" s="27" t="str">
        <x:f>IF(C113="","",SUM(K113,Q113,W113,AC113,AI113,AO113,AU113,BA113,BG113,BM113,BS113))</x:f>
      </x:c>
      <x:c r="IO113" s="27" t="str">
        <x:f>IF(C113="","",SUM(L113,R113,X113,AD113,AJ113,AP113,AV113,BB113,BH113,BN113,BT113))</x:f>
      </x:c>
      <x:c r="IP113" s="27" t="str">
        <x:f>IF(C113="","",SUM(M113,S113,Y113,AE113,AK113,AQ113,AW113,BC113,BI113,BO113,BU113))</x:f>
      </x:c>
      <x:c r="IQ113" s="27" t="str">
        <x:f>IF(C113="","",SUM(BV113,CB113,CH113,CN113,CT113,CZ113,DF113,DL113,DR113,DX113,ED113))</x:f>
      </x:c>
      <x:c r="IR113" s="27" t="str">
        <x:f>IF(C113="","",SUM(BW113,CC113,CI113,CO113,CU113,DA113,DG113,DM113,DS113,DY113,EE113))</x:f>
      </x:c>
      <x:c r="IS113" s="27" t="str">
        <x:f>IF(C113="","",SUM(BX113,CD113,CJ113,CP113,CV113,DB113,DH113,DN113,DT113,DZ113,EF113))</x:f>
      </x:c>
      <x:c r="IT113" s="27" t="str">
        <x:f>IF(C113="","",SUM(BY113,CE113,CK113,CQ113,CW113,DC113,DI113,DO113,DU113,EA113,EG113))</x:f>
      </x:c>
      <x:c r="IU113" s="27" t="str">
        <x:f>IF(C113="","",SUM(BZ113,CF113,CL113,CR113,CX113,DD113,DJ113,DP113,DV113,EB113,EH113))</x:f>
      </x:c>
      <x:c r="IV113" s="27" t="str">
        <x:f>IF(C113="","",SUM(CA113,CG113,CM113,CS113,CY113,DE113,DK113,DQ113,DW113,EC113,EI113))</x:f>
      </x:c>
      <x:c r="IW113" s="27" t="str">
        <x:f>IF(C113="","",SUM(EJ113,EP113,EV113,FB113,FH113,FN113,FT113,FZ113,GF113,GL113,GR113,GX113,HD113,HJ113))</x:f>
      </x:c>
      <x:c r="IX113" s="27" t="str">
        <x:f>IF(C113="","",SUM(EK113,EQ113,EW113,FC113,FI113,FO113,FU113,GA113,GG113,GM113,GS113,GY113,HE113,HK113))</x:f>
      </x:c>
      <x:c r="IY113" s="27" t="str">
        <x:f>IF(C113="","",SUM(EL113,ER113,EX113,FD113,FJ113,FP113,FV113,GB113,GH113,GN113,GT113,GZ113,HF113,HL113))</x:f>
      </x:c>
      <x:c r="IZ113" s="27" t="str">
        <x:f>IF(C113="","",SUM(EM113,ES113,EY113,FE113,FK113,FQ113,FW113,GC113,GI113,GO113,GU113,HA113,HG113,HM113))</x:f>
      </x:c>
      <x:c r="JA113" s="27" t="str">
        <x:f>IF(C113="","",SUM(EN113,ET113,EZ113,FF113,FL113,FR113,FX113,GD113,GJ113,GP113,GV113,HB113,HH113,HN113))</x:f>
      </x:c>
      <x:c r="JB113" s="27" t="str">
        <x:f>IF(C113="","",SUM(EO113,EU113,FA113,FG113,FM113,FS113,FY113,GE113,GK113,GQ113,GW113,HC113,HI113,HO113))</x:f>
      </x:c>
      <x:c r="JC113" s="27" t="str">
        <x:f>IF(C113="","",0)</x:f>
      </x:c>
      <x:c r="JD113" s="27" t="str">
        <x:f>IF(C113="","",0)</x:f>
      </x:c>
      <x:c r="JE113" s="27" t="str">
        <x:f>IF(C113="","",0)</x:f>
      </x:c>
      <x:c r="JF113" s="27" t="str">
        <x:f>IF(C113="","",0)</x:f>
      </x:c>
      <x:c r="JG113" s="27" t="str">
        <x:f>IF(C113="","",0)</x:f>
      </x:c>
      <x:c r="JH113" s="27" t="str">
        <x:f>IF(C113="","",0)</x:f>
      </x:c>
      <x:c r="JI113" s="27" t="str">
        <x:f>IF(C113="","",HP113*1000000000+IW113*1000000+IQ113*10000+IK113*100+JC113+6/1000)</x:f>
      </x:c>
      <x:c r="JJ113" s="27" t="str">
        <x:f>IF(C113="","",HQ113*1000000000+IX113*1000000+IR113*10000+IL113*100+JD113+5/1000)</x:f>
      </x:c>
      <x:c r="JK113" s="27" t="str">
        <x:f>IF(C113="","",HR113*1000000000+IY113*1000000+IS113*10000+IM113*100+JE113+4/1000)</x:f>
      </x:c>
      <x:c r="JL113" s="27" t="str">
        <x:f>IF(C113="","",HS113*1000000000+IZ113*1000000+IT113*10000+IN113*100+JF113+3/1000)</x:f>
      </x:c>
      <x:c r="JM113" s="27" t="str">
        <x:f>IF(C113="","",HT113*1000000000+JA113*1000000+IU113*10000+IO113*100+JG113+2/1000)</x:f>
      </x:c>
      <x:c r="JN113" s="27" t="str">
        <x:f>IF(C113="","",HU113*1000000000+JB113*1000000+IV113*10000+IP113*100+JH113+1/1000)</x:f>
      </x:c>
    </x:row>
    <x:row r="114">
      <x:c r="A114" s="27"/>
      <x:c r="B114" s="28"/>
      <x:c r="C114" s="27"/>
      <x:c r="D114" s="27"/>
      <x:c r="E114" s="27"/>
      <x:c r="F114" s="27"/>
      <x:c r="G114" s="27"/>
      <x:c r="H114" s="27"/>
      <x:c r="I114" s="27"/>
      <x:c r="J114" s="27"/>
      <x:c r="K114" s="27"/>
      <x:c r="L114" s="27"/>
      <x:c r="M114" s="27"/>
      <x:c r="N114" s="27"/>
      <x:c r="O114" s="27"/>
      <x:c r="P114" s="27"/>
      <x:c r="Q114" s="27"/>
      <x:c r="R114" s="27"/>
      <x:c r="S114" s="27"/>
      <x:c r="T114" s="27"/>
      <x:c r="U114" s="27"/>
      <x:c r="V114" s="27"/>
      <x:c r="W114" s="27"/>
      <x:c r="X114" s="27"/>
      <x:c r="Y114" s="27"/>
      <x:c r="Z114" s="27"/>
      <x:c r="AA114" s="27"/>
      <x:c r="AB114" s="27"/>
      <x:c r="AC114" s="27"/>
      <x:c r="AD114" s="27"/>
      <x:c r="AE114" s="27"/>
      <x:c r="AF114" s="27"/>
      <x:c r="AG114" s="27"/>
      <x:c r="AH114" s="27"/>
      <x:c r="AI114" s="27"/>
      <x:c r="AJ114" s="27"/>
      <x:c r="AK114" s="27"/>
      <x:c r="AL114" s="27"/>
      <x:c r="AM114" s="27"/>
      <x:c r="AN114" s="27"/>
      <x:c r="AO114" s="27"/>
      <x:c r="AP114" s="27"/>
      <x:c r="AQ114" s="27"/>
      <x:c r="AR114" s="27"/>
      <x:c r="AS114" s="27"/>
      <x:c r="AT114" s="27"/>
      <x:c r="AU114" s="27"/>
      <x:c r="AV114" s="27"/>
      <x:c r="AW114" s="27"/>
      <x:c r="AX114" s="27"/>
      <x:c r="AY114" s="27"/>
      <x:c r="AZ114" s="27"/>
      <x:c r="BA114" s="27"/>
      <x:c r="BB114" s="27"/>
      <x:c r="BC114" s="27"/>
      <x:c r="BD114" s="27"/>
      <x:c r="BE114" s="27"/>
      <x:c r="BF114" s="27"/>
      <x:c r="BG114" s="27"/>
      <x:c r="BH114" s="27"/>
      <x:c r="BI114" s="27"/>
      <x:c r="BJ114" s="27"/>
      <x:c r="BK114" s="27"/>
      <x:c r="BL114" s="27"/>
      <x:c r="BM114" s="27"/>
      <x:c r="BN114" s="27"/>
      <x:c r="BO114" s="27"/>
      <x:c r="BP114" s="27"/>
      <x:c r="BQ114" s="27"/>
      <x:c r="BR114" s="27"/>
      <x:c r="BS114" s="27"/>
      <x:c r="BT114" s="27"/>
      <x:c r="BU114" s="27"/>
      <x:c r="BV114" s="27"/>
      <x:c r="BW114" s="27"/>
      <x:c r="BX114" s="27"/>
      <x:c r="BY114" s="27"/>
      <x:c r="BZ114" s="27"/>
      <x:c r="CA114" s="27"/>
      <x:c r="CB114" s="27"/>
      <x:c r="CC114" s="27"/>
      <x:c r="CD114" s="27"/>
      <x:c r="CE114" s="27"/>
      <x:c r="CF114" s="27"/>
      <x:c r="CG114" s="27"/>
      <x:c r="CH114" s="27"/>
      <x:c r="CI114" s="27"/>
      <x:c r="CJ114" s="27"/>
      <x:c r="CK114" s="27"/>
      <x:c r="CL114" s="27"/>
      <x:c r="CM114" s="27"/>
      <x:c r="CN114" s="27"/>
      <x:c r="CO114" s="27"/>
      <x:c r="CP114" s="27"/>
      <x:c r="CQ114" s="27"/>
      <x:c r="CR114" s="27"/>
      <x:c r="CS114" s="27"/>
      <x:c r="CT114" s="27"/>
      <x:c r="CU114" s="27"/>
      <x:c r="CV114" s="27"/>
      <x:c r="CW114" s="27"/>
      <x:c r="CX114" s="27"/>
      <x:c r="CY114" s="27"/>
      <x:c r="CZ114" s="27"/>
      <x:c r="DA114" s="27"/>
      <x:c r="DB114" s="27"/>
      <x:c r="DC114" s="27"/>
      <x:c r="DD114" s="27"/>
      <x:c r="DE114" s="27"/>
      <x:c r="DF114" s="27"/>
      <x:c r="DG114" s="27"/>
      <x:c r="DH114" s="27"/>
      <x:c r="DI114" s="27"/>
      <x:c r="DJ114" s="27"/>
      <x:c r="DK114" s="27"/>
      <x:c r="DL114" s="27"/>
      <x:c r="DM114" s="27"/>
      <x:c r="DN114" s="27"/>
      <x:c r="DO114" s="27"/>
      <x:c r="DP114" s="27"/>
      <x:c r="DQ114" s="27"/>
      <x:c r="DR114" s="27"/>
      <x:c r="DS114" s="27"/>
      <x:c r="DT114" s="27"/>
      <x:c r="DU114" s="27"/>
      <x:c r="DV114" s="27"/>
      <x:c r="DW114" s="27"/>
      <x:c r="DX114" s="27"/>
      <x:c r="DY114" s="27"/>
      <x:c r="DZ114" s="27"/>
      <x:c r="EA114" s="27"/>
      <x:c r="EB114" s="27"/>
      <x:c r="EC114" s="27"/>
      <x:c r="ED114" s="27"/>
      <x:c r="EE114" s="27"/>
      <x:c r="EF114" s="27"/>
      <x:c r="EG114" s="27"/>
      <x:c r="EH114" s="27"/>
      <x:c r="EI114" s="27"/>
      <x:c r="EJ114" s="27"/>
      <x:c r="EK114" s="27"/>
      <x:c r="EL114" s="27"/>
      <x:c r="EM114" s="27"/>
      <x:c r="EN114" s="27"/>
      <x:c r="EO114" s="27"/>
      <x:c r="EP114" s="27"/>
      <x:c r="EQ114" s="27"/>
      <x:c r="ER114" s="27"/>
      <x:c r="ES114" s="27"/>
      <x:c r="ET114" s="27"/>
      <x:c r="EU114" s="27"/>
      <x:c r="EV114" s="27"/>
      <x:c r="EW114" s="27"/>
      <x:c r="EX114" s="27"/>
      <x:c r="EY114" s="27"/>
      <x:c r="EZ114" s="27"/>
      <x:c r="FA114" s="27"/>
      <x:c r="FB114" s="27"/>
      <x:c r="FC114" s="27"/>
      <x:c r="FD114" s="27"/>
      <x:c r="FE114" s="27"/>
      <x:c r="FF114" s="27"/>
      <x:c r="FG114" s="27"/>
      <x:c r="FH114" s="27"/>
      <x:c r="FI114" s="27"/>
      <x:c r="FJ114" s="27"/>
      <x:c r="FK114" s="27"/>
      <x:c r="FL114" s="27"/>
      <x:c r="FM114" s="27"/>
      <x:c r="FN114" s="27"/>
      <x:c r="FO114" s="27"/>
      <x:c r="FP114" s="27"/>
      <x:c r="FQ114" s="27"/>
      <x:c r="FR114" s="27"/>
      <x:c r="FS114" s="27"/>
      <x:c r="FT114" s="27"/>
      <x:c r="FU114" s="27"/>
      <x:c r="FV114" s="27"/>
      <x:c r="FW114" s="27"/>
      <x:c r="FX114" s="27"/>
      <x:c r="FY114" s="27"/>
      <x:c r="FZ114" s="27"/>
      <x:c r="GA114" s="27"/>
      <x:c r="GB114" s="27"/>
      <x:c r="GC114" s="27"/>
      <x:c r="GD114" s="27"/>
      <x:c r="GE114" s="27"/>
      <x:c r="GF114" s="27"/>
      <x:c r="GG114" s="27"/>
      <x:c r="GH114" s="27"/>
      <x:c r="GI114" s="27"/>
      <x:c r="GJ114" s="27"/>
      <x:c r="GK114" s="27"/>
      <x:c r="GL114" s="27"/>
      <x:c r="GM114" s="27"/>
      <x:c r="GN114" s="27"/>
      <x:c r="GO114" s="27"/>
      <x:c r="GP114" s="27"/>
      <x:c r="GQ114" s="27"/>
      <x:c r="GR114" s="27"/>
      <x:c r="GS114" s="27"/>
      <x:c r="GT114" s="27"/>
      <x:c r="GU114" s="27"/>
      <x:c r="GV114" s="27"/>
      <x:c r="GW114" s="27"/>
      <x:c r="GX114" s="27"/>
      <x:c r="GY114" s="27"/>
      <x:c r="GZ114" s="27"/>
      <x:c r="HA114" s="27"/>
      <x:c r="HB114" s="27"/>
      <x:c r="HC114" s="27"/>
      <x:c r="HD114" s="27"/>
      <x:c r="HE114" s="27"/>
      <x:c r="HF114" s="27"/>
      <x:c r="HG114" s="27"/>
      <x:c r="HH114" s="27"/>
      <x:c r="HI114" s="27"/>
      <x:c r="HJ114" s="27"/>
      <x:c r="HK114" s="27"/>
      <x:c r="HL114" s="27"/>
      <x:c r="HM114" s="27"/>
      <x:c r="HN114" s="27"/>
      <x:c r="HO114" s="27"/>
      <x:c r="HP114" s="27" t="str">
        <x:f>IF(C114="","",SUM(H114,N114,T114,Z114,AF114,AL114,AR114,AX114,BD114,BJ114,BP114,BV114,CB114,CH114,CN114,CT114,CZ114,DF114,DL114,DR114,DX114,ED114,EJ114,EP114,EV114,FB114,FH114,FN114,FT114,FZ114,GF114,GL114,GR114,GX114,HD114,HJ114))</x:f>
      </x:c>
      <x:c r="HQ114" s="27" t="str">
        <x:f>IF(C114="","",SUM(I114,O114,U114,AA114,AG114,AM114,AS114,AY114,BE114,BK114,BQ114,BW114,CC114,CI114,CO114,CU114,DA114,DG114,DM114,DS114,DY114,EE114,EK114,EQ114,EW114,FC114,FI114,FO114,FU114,GA114,GG114,GM114,GS114,GY114,HE114,HK114))</x:f>
      </x:c>
      <x:c r="HR114" s="27" t="str">
        <x:f>IF(C114="","",SUM(J114,P114,V114,AB114,AH114,AN114,AT114,AZ114,BF114,BL114,BR114,BX114,CD114,CJ114,CP114,CV114,DB114,DH114,DN114,DT114,DZ114,EF114,EL114,ER114,EX114,FD114,FJ114,FP114,FV114,GB114,GH114,GN114,GT114,GZ114,HF114,HL114))</x:f>
      </x:c>
      <x:c r="HS114" s="27" t="str">
        <x:f>IF(C114="","",SUM(K114,Q114,W114,AC114,AI114,AO114,AU114,BA114,BG114,BM114,BS114,BY114,CE114,CK114,CQ114,CW114,DC114,DI114,DO114,DU114,EA114,EG114,EM114,ES114,EY114,FE114,FK114,FQ114,FW114,GC114,GI114,GO114,GU114,HA114,HG114,HM114))</x:f>
      </x:c>
      <x:c r="HT114" s="27" t="str">
        <x:f>IF(C114="","",SUM(L114,R114,X114,AD114,AJ114,AP114,AV114,BB114,BH114,BN114,BT114,BZ114,CF114,CL114,CR114,CX114,DD114,DJ114,DP114,DV114,EB114,EH114,EN114,ET114,EZ114,FF114,FL114,FR114,FX114,GD114,GJ114,GP114,GV114,HB114,HH114,HN114))</x:f>
      </x:c>
      <x:c r="HU114" s="27" t="str">
        <x:f>IF(C114="","",SUM(M114,S114,Y114,AE114,AK114,AQ114,AW114,BC114,BI114,BO114,BU114,CA114,CG114,CM114,CS114,CY114,DE114,DK114,DQ114,DW114,EC114,EI114,EO114,EU114,FA114,FG114,FM114,FS114,FY114,GE114,GK114,GQ114,GW114,HC114,HI114,HO114))</x:f>
      </x:c>
      <x:c r="HV114" s="27" t="str">
        <x:f>IF(C114="","",IF(JI114=LARGE(JI114:JN114,1),"R",IF(JJ114=LARGE(JI114:JN114,1),"I",IF(JK114=LARGE(JI114:JN114,1),"A",IF(JL114=LARGE(JI114:JN114,1),"S",IF(JM114=LARGE(JI114:JN114,1),"E",IF(JN114=LARGE(JI114:JN114,1),"C",""))))))&amp;IF(JI114=LARGE(JI114:JN114,2),"R",IF(JJ114=LARGE(JI114:JN114,2),"I",IF(JK114=LARGE(JI114:JN114,2),"A",IF(JL114=LARGE(JI114:JN114,2),"S",IF(JM114=LARGE(JI114:JN114,2),"E",IF(JN114=LARGE(JI114:JN114,2),"C",""))))))&amp;IF(JI114=LARGE(JI114:JN114,3),"R",IF(JJ114=LARGE(JI114:JN114,3),"I",IF(JK114=LARGE(JI114:JN114,3),"A",IF(JL114=LARGE(JI114:JN114,3),"S",IF(JM114=LARGE(JI114:JN114,3),"E",IF(JN114=LARGE(JI114:JN114,3),"C","")))))))</x:f>
      </x:c>
      <x:c r="HW114" s="27" t="str">
        <x:f>IF(C114="","",IF(JI114=LARGE(JI114:JN114,1),"นักปฏิบัติ",IF(JJ114=LARGE(JI114:JN114,1),"นักคิดวิเคราะห์",IF(JK114=LARGE(JI114:JN114,1),"นักสร้างสรรค์",IF(JL114=LARGE(JI114:JN114,1),"ผู้เข้าใจผู้คน",IF(JM114=LARGE(JI114:JN114,1),"ผู้นำการเปลี่ยนแปลง",IF(JN114=LARGE(JI114:JN114,1),"ผู้จัดระบบ","ผู้จัดระบบ")))))))</x:f>
      </x:c>
      <x:c r="HX114" s="27"/>
      <x:c r="HY114" s="27"/>
      <x:c r="HZ114" s="27"/>
      <x:c r="IA114" s="27"/>
      <x:c r="IB114" s="27"/>
      <x:c r="IC114" s="27"/>
      <x:c r="ID114" s="27"/>
      <x:c r="IE114" s="27"/>
      <x:c r="IF114" s="27"/>
      <x:c r="IG114" s="27"/>
      <x:c r="IH114" s="27"/>
      <x:c r="II114" s="27"/>
      <x:c r="IJ114" s="27"/>
      <x:c r="IK114" s="27" t="str">
        <x:f>IF(C114="","",SUM(H114,N114,T114,Z114,AF114,AL114,AR114,AX114,BD114,BJ114,BP114))</x:f>
      </x:c>
      <x:c r="IL114" s="27" t="str">
        <x:f>IF(C114="","",SUM(I114,O114,U114,AA114,AG114,AM114,AS114,AY114,BE114,BK114,BQ114))</x:f>
      </x:c>
      <x:c r="IM114" s="27" t="str">
        <x:f>IF(C114="","",SUM(J114,P114,V114,AB114,AH114,AN114,AT114,AZ114,BF114,BL114,BR114))</x:f>
      </x:c>
      <x:c r="IN114" s="27" t="str">
        <x:f>IF(C114="","",SUM(K114,Q114,W114,AC114,AI114,AO114,AU114,BA114,BG114,BM114,BS114))</x:f>
      </x:c>
      <x:c r="IO114" s="27" t="str">
        <x:f>IF(C114="","",SUM(L114,R114,X114,AD114,AJ114,AP114,AV114,BB114,BH114,BN114,BT114))</x:f>
      </x:c>
      <x:c r="IP114" s="27" t="str">
        <x:f>IF(C114="","",SUM(M114,S114,Y114,AE114,AK114,AQ114,AW114,BC114,BI114,BO114,BU114))</x:f>
      </x:c>
      <x:c r="IQ114" s="27" t="str">
        <x:f>IF(C114="","",SUM(BV114,CB114,CH114,CN114,CT114,CZ114,DF114,DL114,DR114,DX114,ED114))</x:f>
      </x:c>
      <x:c r="IR114" s="27" t="str">
        <x:f>IF(C114="","",SUM(BW114,CC114,CI114,CO114,CU114,DA114,DG114,DM114,DS114,DY114,EE114))</x:f>
      </x:c>
      <x:c r="IS114" s="27" t="str">
        <x:f>IF(C114="","",SUM(BX114,CD114,CJ114,CP114,CV114,DB114,DH114,DN114,DT114,DZ114,EF114))</x:f>
      </x:c>
      <x:c r="IT114" s="27" t="str">
        <x:f>IF(C114="","",SUM(BY114,CE114,CK114,CQ114,CW114,DC114,DI114,DO114,DU114,EA114,EG114))</x:f>
      </x:c>
      <x:c r="IU114" s="27" t="str">
        <x:f>IF(C114="","",SUM(BZ114,CF114,CL114,CR114,CX114,DD114,DJ114,DP114,DV114,EB114,EH114))</x:f>
      </x:c>
      <x:c r="IV114" s="27" t="str">
        <x:f>IF(C114="","",SUM(CA114,CG114,CM114,CS114,CY114,DE114,DK114,DQ114,DW114,EC114,EI114))</x:f>
      </x:c>
      <x:c r="IW114" s="27" t="str">
        <x:f>IF(C114="","",SUM(EJ114,EP114,EV114,FB114,FH114,FN114,FT114,FZ114,GF114,GL114,GR114,GX114,HD114,HJ114))</x:f>
      </x:c>
      <x:c r="IX114" s="27" t="str">
        <x:f>IF(C114="","",SUM(EK114,EQ114,EW114,FC114,FI114,FO114,FU114,GA114,GG114,GM114,GS114,GY114,HE114,HK114))</x:f>
      </x:c>
      <x:c r="IY114" s="27" t="str">
        <x:f>IF(C114="","",SUM(EL114,ER114,EX114,FD114,FJ114,FP114,FV114,GB114,GH114,GN114,GT114,GZ114,HF114,HL114))</x:f>
      </x:c>
      <x:c r="IZ114" s="27" t="str">
        <x:f>IF(C114="","",SUM(EM114,ES114,EY114,FE114,FK114,FQ114,FW114,GC114,GI114,GO114,GU114,HA114,HG114,HM114))</x:f>
      </x:c>
      <x:c r="JA114" s="27" t="str">
        <x:f>IF(C114="","",SUM(EN114,ET114,EZ114,FF114,FL114,FR114,FX114,GD114,GJ114,GP114,GV114,HB114,HH114,HN114))</x:f>
      </x:c>
      <x:c r="JB114" s="27" t="str">
        <x:f>IF(C114="","",SUM(EO114,EU114,FA114,FG114,FM114,FS114,FY114,GE114,GK114,GQ114,GW114,HC114,HI114,HO114))</x:f>
      </x:c>
      <x:c r="JC114" s="27" t="str">
        <x:f>IF(C114="","",0)</x:f>
      </x:c>
      <x:c r="JD114" s="27" t="str">
        <x:f>IF(C114="","",0)</x:f>
      </x:c>
      <x:c r="JE114" s="27" t="str">
        <x:f>IF(C114="","",0)</x:f>
      </x:c>
      <x:c r="JF114" s="27" t="str">
        <x:f>IF(C114="","",0)</x:f>
      </x:c>
      <x:c r="JG114" s="27" t="str">
        <x:f>IF(C114="","",0)</x:f>
      </x:c>
      <x:c r="JH114" s="27" t="str">
        <x:f>IF(C114="","",0)</x:f>
      </x:c>
      <x:c r="JI114" s="27" t="str">
        <x:f>IF(C114="","",HP114*1000000000+IW114*1000000+IQ114*10000+IK114*100+JC114+6/1000)</x:f>
      </x:c>
      <x:c r="JJ114" s="27" t="str">
        <x:f>IF(C114="","",HQ114*1000000000+IX114*1000000+IR114*10000+IL114*100+JD114+5/1000)</x:f>
      </x:c>
      <x:c r="JK114" s="27" t="str">
        <x:f>IF(C114="","",HR114*1000000000+IY114*1000000+IS114*10000+IM114*100+JE114+4/1000)</x:f>
      </x:c>
      <x:c r="JL114" s="27" t="str">
        <x:f>IF(C114="","",HS114*1000000000+IZ114*1000000+IT114*10000+IN114*100+JF114+3/1000)</x:f>
      </x:c>
      <x:c r="JM114" s="27" t="str">
        <x:f>IF(C114="","",HT114*1000000000+JA114*1000000+IU114*10000+IO114*100+JG114+2/1000)</x:f>
      </x:c>
      <x:c r="JN114" s="27" t="str">
        <x:f>IF(C114="","",HU114*1000000000+JB114*1000000+IV114*10000+IP114*100+JH114+1/1000)</x:f>
      </x:c>
    </x:row>
    <x:row r="115">
      <x:c r="A115" s="27"/>
      <x:c r="B115" s="28"/>
      <x:c r="C115" s="27"/>
      <x:c r="D115" s="27"/>
      <x:c r="E115" s="27"/>
      <x:c r="F115" s="27"/>
      <x:c r="G115" s="27"/>
      <x:c r="H115" s="27"/>
      <x:c r="I115" s="27"/>
      <x:c r="J115" s="27"/>
      <x:c r="K115" s="27"/>
      <x:c r="L115" s="27"/>
      <x:c r="M115" s="27"/>
      <x:c r="N115" s="27"/>
      <x:c r="O115" s="27"/>
      <x:c r="P115" s="27"/>
      <x:c r="Q115" s="27"/>
      <x:c r="R115" s="27"/>
      <x:c r="S115" s="27"/>
      <x:c r="T115" s="27"/>
      <x:c r="U115" s="27"/>
      <x:c r="V115" s="27"/>
      <x:c r="W115" s="27"/>
      <x:c r="X115" s="27"/>
      <x:c r="Y115" s="27"/>
      <x:c r="Z115" s="27"/>
      <x:c r="AA115" s="27"/>
      <x:c r="AB115" s="27"/>
      <x:c r="AC115" s="27"/>
      <x:c r="AD115" s="27"/>
      <x:c r="AE115" s="27"/>
      <x:c r="AF115" s="27"/>
      <x:c r="AG115" s="27"/>
      <x:c r="AH115" s="27"/>
      <x:c r="AI115" s="27"/>
      <x:c r="AJ115" s="27"/>
      <x:c r="AK115" s="27"/>
      <x:c r="AL115" s="27"/>
      <x:c r="AM115" s="27"/>
      <x:c r="AN115" s="27"/>
      <x:c r="AO115" s="27"/>
      <x:c r="AP115" s="27"/>
      <x:c r="AQ115" s="27"/>
      <x:c r="AR115" s="27"/>
      <x:c r="AS115" s="27"/>
      <x:c r="AT115" s="27"/>
      <x:c r="AU115" s="27"/>
      <x:c r="AV115" s="27"/>
      <x:c r="AW115" s="27"/>
      <x:c r="AX115" s="27"/>
      <x:c r="AY115" s="27"/>
      <x:c r="AZ115" s="27"/>
      <x:c r="BA115" s="27"/>
      <x:c r="BB115" s="27"/>
      <x:c r="BC115" s="27"/>
      <x:c r="BD115" s="27"/>
      <x:c r="BE115" s="27"/>
      <x:c r="BF115" s="27"/>
      <x:c r="BG115" s="27"/>
      <x:c r="BH115" s="27"/>
      <x:c r="BI115" s="27"/>
      <x:c r="BJ115" s="27"/>
      <x:c r="BK115" s="27"/>
      <x:c r="BL115" s="27"/>
      <x:c r="BM115" s="27"/>
      <x:c r="BN115" s="27"/>
      <x:c r="BO115" s="27"/>
      <x:c r="BP115" s="27"/>
      <x:c r="BQ115" s="27"/>
      <x:c r="BR115" s="27"/>
      <x:c r="BS115" s="27"/>
      <x:c r="BT115" s="27"/>
      <x:c r="BU115" s="27"/>
      <x:c r="BV115" s="27"/>
      <x:c r="BW115" s="27"/>
      <x:c r="BX115" s="27"/>
      <x:c r="BY115" s="27"/>
      <x:c r="BZ115" s="27"/>
      <x:c r="CA115" s="27"/>
      <x:c r="CB115" s="27"/>
      <x:c r="CC115" s="27"/>
      <x:c r="CD115" s="27"/>
      <x:c r="CE115" s="27"/>
      <x:c r="CF115" s="27"/>
      <x:c r="CG115" s="27"/>
      <x:c r="CH115" s="27"/>
      <x:c r="CI115" s="27"/>
      <x:c r="CJ115" s="27"/>
      <x:c r="CK115" s="27"/>
      <x:c r="CL115" s="27"/>
      <x:c r="CM115" s="27"/>
      <x:c r="CN115" s="27"/>
      <x:c r="CO115" s="27"/>
      <x:c r="CP115" s="27"/>
      <x:c r="CQ115" s="27"/>
      <x:c r="CR115" s="27"/>
      <x:c r="CS115" s="27"/>
      <x:c r="CT115" s="27"/>
      <x:c r="CU115" s="27"/>
      <x:c r="CV115" s="27"/>
      <x:c r="CW115" s="27"/>
      <x:c r="CX115" s="27"/>
      <x:c r="CY115" s="27"/>
      <x:c r="CZ115" s="27"/>
      <x:c r="DA115" s="27"/>
      <x:c r="DB115" s="27"/>
      <x:c r="DC115" s="27"/>
      <x:c r="DD115" s="27"/>
      <x:c r="DE115" s="27"/>
      <x:c r="DF115" s="27"/>
      <x:c r="DG115" s="27"/>
      <x:c r="DH115" s="27"/>
      <x:c r="DI115" s="27"/>
      <x:c r="DJ115" s="27"/>
      <x:c r="DK115" s="27"/>
      <x:c r="DL115" s="27"/>
      <x:c r="DM115" s="27"/>
      <x:c r="DN115" s="27"/>
      <x:c r="DO115" s="27"/>
      <x:c r="DP115" s="27"/>
      <x:c r="DQ115" s="27"/>
      <x:c r="DR115" s="27"/>
      <x:c r="DS115" s="27"/>
      <x:c r="DT115" s="27"/>
      <x:c r="DU115" s="27"/>
      <x:c r="DV115" s="27"/>
      <x:c r="DW115" s="27"/>
      <x:c r="DX115" s="27"/>
      <x:c r="DY115" s="27"/>
      <x:c r="DZ115" s="27"/>
      <x:c r="EA115" s="27"/>
      <x:c r="EB115" s="27"/>
      <x:c r="EC115" s="27"/>
      <x:c r="ED115" s="27"/>
      <x:c r="EE115" s="27"/>
      <x:c r="EF115" s="27"/>
      <x:c r="EG115" s="27"/>
      <x:c r="EH115" s="27"/>
      <x:c r="EI115" s="27"/>
      <x:c r="EJ115" s="27"/>
      <x:c r="EK115" s="27"/>
      <x:c r="EL115" s="27"/>
      <x:c r="EM115" s="27"/>
      <x:c r="EN115" s="27"/>
      <x:c r="EO115" s="27"/>
      <x:c r="EP115" s="27"/>
      <x:c r="EQ115" s="27"/>
      <x:c r="ER115" s="27"/>
      <x:c r="ES115" s="27"/>
      <x:c r="ET115" s="27"/>
      <x:c r="EU115" s="27"/>
      <x:c r="EV115" s="27"/>
      <x:c r="EW115" s="27"/>
      <x:c r="EX115" s="27"/>
      <x:c r="EY115" s="27"/>
      <x:c r="EZ115" s="27"/>
      <x:c r="FA115" s="27"/>
      <x:c r="FB115" s="27"/>
      <x:c r="FC115" s="27"/>
      <x:c r="FD115" s="27"/>
      <x:c r="FE115" s="27"/>
      <x:c r="FF115" s="27"/>
      <x:c r="FG115" s="27"/>
      <x:c r="FH115" s="27"/>
      <x:c r="FI115" s="27"/>
      <x:c r="FJ115" s="27"/>
      <x:c r="FK115" s="27"/>
      <x:c r="FL115" s="27"/>
      <x:c r="FM115" s="27"/>
      <x:c r="FN115" s="27"/>
      <x:c r="FO115" s="27"/>
      <x:c r="FP115" s="27"/>
      <x:c r="FQ115" s="27"/>
      <x:c r="FR115" s="27"/>
      <x:c r="FS115" s="27"/>
      <x:c r="FT115" s="27"/>
      <x:c r="FU115" s="27"/>
      <x:c r="FV115" s="27"/>
      <x:c r="FW115" s="27"/>
      <x:c r="FX115" s="27"/>
      <x:c r="FY115" s="27"/>
      <x:c r="FZ115" s="27"/>
      <x:c r="GA115" s="27"/>
      <x:c r="GB115" s="27"/>
      <x:c r="GC115" s="27"/>
      <x:c r="GD115" s="27"/>
      <x:c r="GE115" s="27"/>
      <x:c r="GF115" s="27"/>
      <x:c r="GG115" s="27"/>
      <x:c r="GH115" s="27"/>
      <x:c r="GI115" s="27"/>
      <x:c r="GJ115" s="27"/>
      <x:c r="GK115" s="27"/>
      <x:c r="GL115" s="27"/>
      <x:c r="GM115" s="27"/>
      <x:c r="GN115" s="27"/>
      <x:c r="GO115" s="27"/>
      <x:c r="GP115" s="27"/>
      <x:c r="GQ115" s="27"/>
      <x:c r="GR115" s="27"/>
      <x:c r="GS115" s="27"/>
      <x:c r="GT115" s="27"/>
      <x:c r="GU115" s="27"/>
      <x:c r="GV115" s="27"/>
      <x:c r="GW115" s="27"/>
      <x:c r="GX115" s="27"/>
      <x:c r="GY115" s="27"/>
      <x:c r="GZ115" s="27"/>
      <x:c r="HA115" s="27"/>
      <x:c r="HB115" s="27"/>
      <x:c r="HC115" s="27"/>
      <x:c r="HD115" s="27"/>
      <x:c r="HE115" s="27"/>
      <x:c r="HF115" s="27"/>
      <x:c r="HG115" s="27"/>
      <x:c r="HH115" s="27"/>
      <x:c r="HI115" s="27"/>
      <x:c r="HJ115" s="27"/>
      <x:c r="HK115" s="27"/>
      <x:c r="HL115" s="27"/>
      <x:c r="HM115" s="27"/>
      <x:c r="HN115" s="27"/>
      <x:c r="HO115" s="27"/>
      <x:c r="HP115" s="27" t="str">
        <x:f>IF(C115="","",SUM(H115,N115,T115,Z115,AF115,AL115,AR115,AX115,BD115,BJ115,BP115,BV115,CB115,CH115,CN115,CT115,CZ115,DF115,DL115,DR115,DX115,ED115,EJ115,EP115,EV115,FB115,FH115,FN115,FT115,FZ115,GF115,GL115,GR115,GX115,HD115,HJ115))</x:f>
      </x:c>
      <x:c r="HQ115" s="27" t="str">
        <x:f>IF(C115="","",SUM(I115,O115,U115,AA115,AG115,AM115,AS115,AY115,BE115,BK115,BQ115,BW115,CC115,CI115,CO115,CU115,DA115,DG115,DM115,DS115,DY115,EE115,EK115,EQ115,EW115,FC115,FI115,FO115,FU115,GA115,GG115,GM115,GS115,GY115,HE115,HK115))</x:f>
      </x:c>
      <x:c r="HR115" s="27" t="str">
        <x:f>IF(C115="","",SUM(J115,P115,V115,AB115,AH115,AN115,AT115,AZ115,BF115,BL115,BR115,BX115,CD115,CJ115,CP115,CV115,DB115,DH115,DN115,DT115,DZ115,EF115,EL115,ER115,EX115,FD115,FJ115,FP115,FV115,GB115,GH115,GN115,GT115,GZ115,HF115,HL115))</x:f>
      </x:c>
      <x:c r="HS115" s="27" t="str">
        <x:f>IF(C115="","",SUM(K115,Q115,W115,AC115,AI115,AO115,AU115,BA115,BG115,BM115,BS115,BY115,CE115,CK115,CQ115,CW115,DC115,DI115,DO115,DU115,EA115,EG115,EM115,ES115,EY115,FE115,FK115,FQ115,FW115,GC115,GI115,GO115,GU115,HA115,HG115,HM115))</x:f>
      </x:c>
      <x:c r="HT115" s="27" t="str">
        <x:f>IF(C115="","",SUM(L115,R115,X115,AD115,AJ115,AP115,AV115,BB115,BH115,BN115,BT115,BZ115,CF115,CL115,CR115,CX115,DD115,DJ115,DP115,DV115,EB115,EH115,EN115,ET115,EZ115,FF115,FL115,FR115,FX115,GD115,GJ115,GP115,GV115,HB115,HH115,HN115))</x:f>
      </x:c>
      <x:c r="HU115" s="27" t="str">
        <x:f>IF(C115="","",SUM(M115,S115,Y115,AE115,AK115,AQ115,AW115,BC115,BI115,BO115,BU115,CA115,CG115,CM115,CS115,CY115,DE115,DK115,DQ115,DW115,EC115,EI115,EO115,EU115,FA115,FG115,FM115,FS115,FY115,GE115,GK115,GQ115,GW115,HC115,HI115,HO115))</x:f>
      </x:c>
      <x:c r="HV115" s="27" t="str">
        <x:f>IF(C115="","",IF(JI115=LARGE(JI115:JN115,1),"R",IF(JJ115=LARGE(JI115:JN115,1),"I",IF(JK115=LARGE(JI115:JN115,1),"A",IF(JL115=LARGE(JI115:JN115,1),"S",IF(JM115=LARGE(JI115:JN115,1),"E",IF(JN115=LARGE(JI115:JN115,1),"C",""))))))&amp;IF(JI115=LARGE(JI115:JN115,2),"R",IF(JJ115=LARGE(JI115:JN115,2),"I",IF(JK115=LARGE(JI115:JN115,2),"A",IF(JL115=LARGE(JI115:JN115,2),"S",IF(JM115=LARGE(JI115:JN115,2),"E",IF(JN115=LARGE(JI115:JN115,2),"C",""))))))&amp;IF(JI115=LARGE(JI115:JN115,3),"R",IF(JJ115=LARGE(JI115:JN115,3),"I",IF(JK115=LARGE(JI115:JN115,3),"A",IF(JL115=LARGE(JI115:JN115,3),"S",IF(JM115=LARGE(JI115:JN115,3),"E",IF(JN115=LARGE(JI115:JN115,3),"C","")))))))</x:f>
      </x:c>
      <x:c r="HW115" s="27" t="str">
        <x:f>IF(C115="","",IF(JI115=LARGE(JI115:JN115,1),"นักปฏิบัติ",IF(JJ115=LARGE(JI115:JN115,1),"นักคิดวิเคราะห์",IF(JK115=LARGE(JI115:JN115,1),"นักสร้างสรรค์",IF(JL115=LARGE(JI115:JN115,1),"ผู้เข้าใจผู้คน",IF(JM115=LARGE(JI115:JN115,1),"ผู้นำการเปลี่ยนแปลง",IF(JN115=LARGE(JI115:JN115,1),"ผู้จัดระบบ","ผู้จัดระบบ")))))))</x:f>
      </x:c>
      <x:c r="HX115" s="27"/>
      <x:c r="HY115" s="27"/>
      <x:c r="HZ115" s="27"/>
      <x:c r="IA115" s="27"/>
      <x:c r="IB115" s="27"/>
      <x:c r="IC115" s="27"/>
      <x:c r="ID115" s="27"/>
      <x:c r="IE115" s="27"/>
      <x:c r="IF115" s="27"/>
      <x:c r="IG115" s="27"/>
      <x:c r="IH115" s="27"/>
      <x:c r="II115" s="27"/>
      <x:c r="IJ115" s="27"/>
      <x:c r="IK115" s="27" t="str">
        <x:f>IF(C115="","",SUM(H115,N115,T115,Z115,AF115,AL115,AR115,AX115,BD115,BJ115,BP115))</x:f>
      </x:c>
      <x:c r="IL115" s="27" t="str">
        <x:f>IF(C115="","",SUM(I115,O115,U115,AA115,AG115,AM115,AS115,AY115,BE115,BK115,BQ115))</x:f>
      </x:c>
      <x:c r="IM115" s="27" t="str">
        <x:f>IF(C115="","",SUM(J115,P115,V115,AB115,AH115,AN115,AT115,AZ115,BF115,BL115,BR115))</x:f>
      </x:c>
      <x:c r="IN115" s="27" t="str">
        <x:f>IF(C115="","",SUM(K115,Q115,W115,AC115,AI115,AO115,AU115,BA115,BG115,BM115,BS115))</x:f>
      </x:c>
      <x:c r="IO115" s="27" t="str">
        <x:f>IF(C115="","",SUM(L115,R115,X115,AD115,AJ115,AP115,AV115,BB115,BH115,BN115,BT115))</x:f>
      </x:c>
      <x:c r="IP115" s="27" t="str">
        <x:f>IF(C115="","",SUM(M115,S115,Y115,AE115,AK115,AQ115,AW115,BC115,BI115,BO115,BU115))</x:f>
      </x:c>
      <x:c r="IQ115" s="27" t="str">
        <x:f>IF(C115="","",SUM(BV115,CB115,CH115,CN115,CT115,CZ115,DF115,DL115,DR115,DX115,ED115))</x:f>
      </x:c>
      <x:c r="IR115" s="27" t="str">
        <x:f>IF(C115="","",SUM(BW115,CC115,CI115,CO115,CU115,DA115,DG115,DM115,DS115,DY115,EE115))</x:f>
      </x:c>
      <x:c r="IS115" s="27" t="str">
        <x:f>IF(C115="","",SUM(BX115,CD115,CJ115,CP115,CV115,DB115,DH115,DN115,DT115,DZ115,EF115))</x:f>
      </x:c>
      <x:c r="IT115" s="27" t="str">
        <x:f>IF(C115="","",SUM(BY115,CE115,CK115,CQ115,CW115,DC115,DI115,DO115,DU115,EA115,EG115))</x:f>
      </x:c>
      <x:c r="IU115" s="27" t="str">
        <x:f>IF(C115="","",SUM(BZ115,CF115,CL115,CR115,CX115,DD115,DJ115,DP115,DV115,EB115,EH115))</x:f>
      </x:c>
      <x:c r="IV115" s="27" t="str">
        <x:f>IF(C115="","",SUM(CA115,CG115,CM115,CS115,CY115,DE115,DK115,DQ115,DW115,EC115,EI115))</x:f>
      </x:c>
      <x:c r="IW115" s="27" t="str">
        <x:f>IF(C115="","",SUM(EJ115,EP115,EV115,FB115,FH115,FN115,FT115,FZ115,GF115,GL115,GR115,GX115,HD115,HJ115))</x:f>
      </x:c>
      <x:c r="IX115" s="27" t="str">
        <x:f>IF(C115="","",SUM(EK115,EQ115,EW115,FC115,FI115,FO115,FU115,GA115,GG115,GM115,GS115,GY115,HE115,HK115))</x:f>
      </x:c>
      <x:c r="IY115" s="27" t="str">
        <x:f>IF(C115="","",SUM(EL115,ER115,EX115,FD115,FJ115,FP115,FV115,GB115,GH115,GN115,GT115,GZ115,HF115,HL115))</x:f>
      </x:c>
      <x:c r="IZ115" s="27" t="str">
        <x:f>IF(C115="","",SUM(EM115,ES115,EY115,FE115,FK115,FQ115,FW115,GC115,GI115,GO115,GU115,HA115,HG115,HM115))</x:f>
      </x:c>
      <x:c r="JA115" s="27" t="str">
        <x:f>IF(C115="","",SUM(EN115,ET115,EZ115,FF115,FL115,FR115,FX115,GD115,GJ115,GP115,GV115,HB115,HH115,HN115))</x:f>
      </x:c>
      <x:c r="JB115" s="27" t="str">
        <x:f>IF(C115="","",SUM(EO115,EU115,FA115,FG115,FM115,FS115,FY115,GE115,GK115,GQ115,GW115,HC115,HI115,HO115))</x:f>
      </x:c>
      <x:c r="JC115" s="27" t="str">
        <x:f>IF(C115="","",0)</x:f>
      </x:c>
      <x:c r="JD115" s="27" t="str">
        <x:f>IF(C115="","",0)</x:f>
      </x:c>
      <x:c r="JE115" s="27" t="str">
        <x:f>IF(C115="","",0)</x:f>
      </x:c>
      <x:c r="JF115" s="27" t="str">
        <x:f>IF(C115="","",0)</x:f>
      </x:c>
      <x:c r="JG115" s="27" t="str">
        <x:f>IF(C115="","",0)</x:f>
      </x:c>
      <x:c r="JH115" s="27" t="str">
        <x:f>IF(C115="","",0)</x:f>
      </x:c>
      <x:c r="JI115" s="27" t="str">
        <x:f>IF(C115="","",HP115*1000000000+IW115*1000000+IQ115*10000+IK115*100+JC115+6/1000)</x:f>
      </x:c>
      <x:c r="JJ115" s="27" t="str">
        <x:f>IF(C115="","",HQ115*1000000000+IX115*1000000+IR115*10000+IL115*100+JD115+5/1000)</x:f>
      </x:c>
      <x:c r="JK115" s="27" t="str">
        <x:f>IF(C115="","",HR115*1000000000+IY115*1000000+IS115*10000+IM115*100+JE115+4/1000)</x:f>
      </x:c>
      <x:c r="JL115" s="27" t="str">
        <x:f>IF(C115="","",HS115*1000000000+IZ115*1000000+IT115*10000+IN115*100+JF115+3/1000)</x:f>
      </x:c>
      <x:c r="JM115" s="27" t="str">
        <x:f>IF(C115="","",HT115*1000000000+JA115*1000000+IU115*10000+IO115*100+JG115+2/1000)</x:f>
      </x:c>
      <x:c r="JN115" s="27" t="str">
        <x:f>IF(C115="","",HU115*1000000000+JB115*1000000+IV115*10000+IP115*100+JH115+1/1000)</x:f>
      </x:c>
    </x:row>
    <x:row r="116">
      <x:c r="A116" s="27"/>
      <x:c r="B116" s="28"/>
      <x:c r="C116" s="27"/>
      <x:c r="D116" s="27"/>
      <x:c r="E116" s="27"/>
      <x:c r="F116" s="27"/>
      <x:c r="G116" s="27"/>
      <x:c r="H116" s="27"/>
      <x:c r="I116" s="27"/>
      <x:c r="J116" s="27"/>
      <x:c r="K116" s="27"/>
      <x:c r="L116" s="27"/>
      <x:c r="M116" s="27"/>
      <x:c r="N116" s="27"/>
      <x:c r="O116" s="27"/>
      <x:c r="P116" s="27"/>
      <x:c r="Q116" s="27"/>
      <x:c r="R116" s="27"/>
      <x:c r="S116" s="27"/>
      <x:c r="T116" s="27"/>
      <x:c r="U116" s="27"/>
      <x:c r="V116" s="27"/>
      <x:c r="W116" s="27"/>
      <x:c r="X116" s="27"/>
      <x:c r="Y116" s="27"/>
      <x:c r="Z116" s="27"/>
      <x:c r="AA116" s="27"/>
      <x:c r="AB116" s="27"/>
      <x:c r="AC116" s="27"/>
      <x:c r="AD116" s="27"/>
      <x:c r="AE116" s="27"/>
      <x:c r="AF116" s="27"/>
      <x:c r="AG116" s="27"/>
      <x:c r="AH116" s="27"/>
      <x:c r="AI116" s="27"/>
      <x:c r="AJ116" s="27"/>
      <x:c r="AK116" s="27"/>
      <x:c r="AL116" s="27"/>
      <x:c r="AM116" s="27"/>
      <x:c r="AN116" s="27"/>
      <x:c r="AO116" s="27"/>
      <x:c r="AP116" s="27"/>
      <x:c r="AQ116" s="27"/>
      <x:c r="AR116" s="27"/>
      <x:c r="AS116" s="27"/>
      <x:c r="AT116" s="27"/>
      <x:c r="AU116" s="27"/>
      <x:c r="AV116" s="27"/>
      <x:c r="AW116" s="27"/>
      <x:c r="AX116" s="27"/>
      <x:c r="AY116" s="27"/>
      <x:c r="AZ116" s="27"/>
      <x:c r="BA116" s="27"/>
      <x:c r="BB116" s="27"/>
      <x:c r="BC116" s="27"/>
      <x:c r="BD116" s="27"/>
      <x:c r="BE116" s="27"/>
      <x:c r="BF116" s="27"/>
      <x:c r="BG116" s="27"/>
      <x:c r="BH116" s="27"/>
      <x:c r="BI116" s="27"/>
      <x:c r="BJ116" s="27"/>
      <x:c r="BK116" s="27"/>
      <x:c r="BL116" s="27"/>
      <x:c r="BM116" s="27"/>
      <x:c r="BN116" s="27"/>
      <x:c r="BO116" s="27"/>
      <x:c r="BP116" s="27"/>
      <x:c r="BQ116" s="27"/>
      <x:c r="BR116" s="27"/>
      <x:c r="BS116" s="27"/>
      <x:c r="BT116" s="27"/>
      <x:c r="BU116" s="27"/>
      <x:c r="BV116" s="27"/>
      <x:c r="BW116" s="27"/>
      <x:c r="BX116" s="27"/>
      <x:c r="BY116" s="27"/>
      <x:c r="BZ116" s="27"/>
      <x:c r="CA116" s="27"/>
      <x:c r="CB116" s="27"/>
      <x:c r="CC116" s="27"/>
      <x:c r="CD116" s="27"/>
      <x:c r="CE116" s="27"/>
      <x:c r="CF116" s="27"/>
      <x:c r="CG116" s="27"/>
      <x:c r="CH116" s="27"/>
      <x:c r="CI116" s="27"/>
      <x:c r="CJ116" s="27"/>
      <x:c r="CK116" s="27"/>
      <x:c r="CL116" s="27"/>
      <x:c r="CM116" s="27"/>
      <x:c r="CN116" s="27"/>
      <x:c r="CO116" s="27"/>
      <x:c r="CP116" s="27"/>
      <x:c r="CQ116" s="27"/>
      <x:c r="CR116" s="27"/>
      <x:c r="CS116" s="27"/>
      <x:c r="CT116" s="27"/>
      <x:c r="CU116" s="27"/>
      <x:c r="CV116" s="27"/>
      <x:c r="CW116" s="27"/>
      <x:c r="CX116" s="27"/>
      <x:c r="CY116" s="27"/>
      <x:c r="CZ116" s="27"/>
      <x:c r="DA116" s="27"/>
      <x:c r="DB116" s="27"/>
      <x:c r="DC116" s="27"/>
      <x:c r="DD116" s="27"/>
      <x:c r="DE116" s="27"/>
      <x:c r="DF116" s="27"/>
      <x:c r="DG116" s="27"/>
      <x:c r="DH116" s="27"/>
      <x:c r="DI116" s="27"/>
      <x:c r="DJ116" s="27"/>
      <x:c r="DK116" s="27"/>
      <x:c r="DL116" s="27"/>
      <x:c r="DM116" s="27"/>
      <x:c r="DN116" s="27"/>
      <x:c r="DO116" s="27"/>
      <x:c r="DP116" s="27"/>
      <x:c r="DQ116" s="27"/>
      <x:c r="DR116" s="27"/>
      <x:c r="DS116" s="27"/>
      <x:c r="DT116" s="27"/>
      <x:c r="DU116" s="27"/>
      <x:c r="DV116" s="27"/>
      <x:c r="DW116" s="27"/>
      <x:c r="DX116" s="27"/>
      <x:c r="DY116" s="27"/>
      <x:c r="DZ116" s="27"/>
      <x:c r="EA116" s="27"/>
      <x:c r="EB116" s="27"/>
      <x:c r="EC116" s="27"/>
      <x:c r="ED116" s="27"/>
      <x:c r="EE116" s="27"/>
      <x:c r="EF116" s="27"/>
      <x:c r="EG116" s="27"/>
      <x:c r="EH116" s="27"/>
      <x:c r="EI116" s="27"/>
      <x:c r="EJ116" s="27"/>
      <x:c r="EK116" s="27"/>
      <x:c r="EL116" s="27"/>
      <x:c r="EM116" s="27"/>
      <x:c r="EN116" s="27"/>
      <x:c r="EO116" s="27"/>
      <x:c r="EP116" s="27"/>
      <x:c r="EQ116" s="27"/>
      <x:c r="ER116" s="27"/>
      <x:c r="ES116" s="27"/>
      <x:c r="ET116" s="27"/>
      <x:c r="EU116" s="27"/>
      <x:c r="EV116" s="27"/>
      <x:c r="EW116" s="27"/>
      <x:c r="EX116" s="27"/>
      <x:c r="EY116" s="27"/>
      <x:c r="EZ116" s="27"/>
      <x:c r="FA116" s="27"/>
      <x:c r="FB116" s="27"/>
      <x:c r="FC116" s="27"/>
      <x:c r="FD116" s="27"/>
      <x:c r="FE116" s="27"/>
      <x:c r="FF116" s="27"/>
      <x:c r="FG116" s="27"/>
      <x:c r="FH116" s="27"/>
      <x:c r="FI116" s="27"/>
      <x:c r="FJ116" s="27"/>
      <x:c r="FK116" s="27"/>
      <x:c r="FL116" s="27"/>
      <x:c r="FM116" s="27"/>
      <x:c r="FN116" s="27"/>
      <x:c r="FO116" s="27"/>
      <x:c r="FP116" s="27"/>
      <x:c r="FQ116" s="27"/>
      <x:c r="FR116" s="27"/>
      <x:c r="FS116" s="27"/>
      <x:c r="FT116" s="27"/>
      <x:c r="FU116" s="27"/>
      <x:c r="FV116" s="27"/>
      <x:c r="FW116" s="27"/>
      <x:c r="FX116" s="27"/>
      <x:c r="FY116" s="27"/>
      <x:c r="FZ116" s="27"/>
      <x:c r="GA116" s="27"/>
      <x:c r="GB116" s="27"/>
      <x:c r="GC116" s="27"/>
      <x:c r="GD116" s="27"/>
      <x:c r="GE116" s="27"/>
      <x:c r="GF116" s="27"/>
      <x:c r="GG116" s="27"/>
      <x:c r="GH116" s="27"/>
      <x:c r="GI116" s="27"/>
      <x:c r="GJ116" s="27"/>
      <x:c r="GK116" s="27"/>
      <x:c r="GL116" s="27"/>
      <x:c r="GM116" s="27"/>
      <x:c r="GN116" s="27"/>
      <x:c r="GO116" s="27"/>
      <x:c r="GP116" s="27"/>
      <x:c r="GQ116" s="27"/>
      <x:c r="GR116" s="27"/>
      <x:c r="GS116" s="27"/>
      <x:c r="GT116" s="27"/>
      <x:c r="GU116" s="27"/>
      <x:c r="GV116" s="27"/>
      <x:c r="GW116" s="27"/>
      <x:c r="GX116" s="27"/>
      <x:c r="GY116" s="27"/>
      <x:c r="GZ116" s="27"/>
      <x:c r="HA116" s="27"/>
      <x:c r="HB116" s="27"/>
      <x:c r="HC116" s="27"/>
      <x:c r="HD116" s="27"/>
      <x:c r="HE116" s="27"/>
      <x:c r="HF116" s="27"/>
      <x:c r="HG116" s="27"/>
      <x:c r="HH116" s="27"/>
      <x:c r="HI116" s="27"/>
      <x:c r="HJ116" s="27"/>
      <x:c r="HK116" s="27"/>
      <x:c r="HL116" s="27"/>
      <x:c r="HM116" s="27"/>
      <x:c r="HN116" s="27"/>
      <x:c r="HO116" s="27"/>
      <x:c r="HP116" s="27" t="str">
        <x:f>IF(C116="","",SUM(H116,N116,T116,Z116,AF116,AL116,AR116,AX116,BD116,BJ116,BP116,BV116,CB116,CH116,CN116,CT116,CZ116,DF116,DL116,DR116,DX116,ED116,EJ116,EP116,EV116,FB116,FH116,FN116,FT116,FZ116,GF116,GL116,GR116,GX116,HD116,HJ116))</x:f>
      </x:c>
      <x:c r="HQ116" s="27" t="str">
        <x:f>IF(C116="","",SUM(I116,O116,U116,AA116,AG116,AM116,AS116,AY116,BE116,BK116,BQ116,BW116,CC116,CI116,CO116,CU116,DA116,DG116,DM116,DS116,DY116,EE116,EK116,EQ116,EW116,FC116,FI116,FO116,FU116,GA116,GG116,GM116,GS116,GY116,HE116,HK116))</x:f>
      </x:c>
      <x:c r="HR116" s="27" t="str">
        <x:f>IF(C116="","",SUM(J116,P116,V116,AB116,AH116,AN116,AT116,AZ116,BF116,BL116,BR116,BX116,CD116,CJ116,CP116,CV116,DB116,DH116,DN116,DT116,DZ116,EF116,EL116,ER116,EX116,FD116,FJ116,FP116,FV116,GB116,GH116,GN116,GT116,GZ116,HF116,HL116))</x:f>
      </x:c>
      <x:c r="HS116" s="27" t="str">
        <x:f>IF(C116="","",SUM(K116,Q116,W116,AC116,AI116,AO116,AU116,BA116,BG116,BM116,BS116,BY116,CE116,CK116,CQ116,CW116,DC116,DI116,DO116,DU116,EA116,EG116,EM116,ES116,EY116,FE116,FK116,FQ116,FW116,GC116,GI116,GO116,GU116,HA116,HG116,HM116))</x:f>
      </x:c>
      <x:c r="HT116" s="27" t="str">
        <x:f>IF(C116="","",SUM(L116,R116,X116,AD116,AJ116,AP116,AV116,BB116,BH116,BN116,BT116,BZ116,CF116,CL116,CR116,CX116,DD116,DJ116,DP116,DV116,EB116,EH116,EN116,ET116,EZ116,FF116,FL116,FR116,FX116,GD116,GJ116,GP116,GV116,HB116,HH116,HN116))</x:f>
      </x:c>
      <x:c r="HU116" s="27" t="str">
        <x:f>IF(C116="","",SUM(M116,S116,Y116,AE116,AK116,AQ116,AW116,BC116,BI116,BO116,BU116,CA116,CG116,CM116,CS116,CY116,DE116,DK116,DQ116,DW116,EC116,EI116,EO116,EU116,FA116,FG116,FM116,FS116,FY116,GE116,GK116,GQ116,GW116,HC116,HI116,HO116))</x:f>
      </x:c>
      <x:c r="HV116" s="27" t="str">
        <x:f>IF(C116="","",IF(JI116=LARGE(JI116:JN116,1),"R",IF(JJ116=LARGE(JI116:JN116,1),"I",IF(JK116=LARGE(JI116:JN116,1),"A",IF(JL116=LARGE(JI116:JN116,1),"S",IF(JM116=LARGE(JI116:JN116,1),"E",IF(JN116=LARGE(JI116:JN116,1),"C",""))))))&amp;IF(JI116=LARGE(JI116:JN116,2),"R",IF(JJ116=LARGE(JI116:JN116,2),"I",IF(JK116=LARGE(JI116:JN116,2),"A",IF(JL116=LARGE(JI116:JN116,2),"S",IF(JM116=LARGE(JI116:JN116,2),"E",IF(JN116=LARGE(JI116:JN116,2),"C",""))))))&amp;IF(JI116=LARGE(JI116:JN116,3),"R",IF(JJ116=LARGE(JI116:JN116,3),"I",IF(JK116=LARGE(JI116:JN116,3),"A",IF(JL116=LARGE(JI116:JN116,3),"S",IF(JM116=LARGE(JI116:JN116,3),"E",IF(JN116=LARGE(JI116:JN116,3),"C","")))))))</x:f>
      </x:c>
      <x:c r="HW116" s="27" t="str">
        <x:f>IF(C116="","",IF(JI116=LARGE(JI116:JN116,1),"นักปฏิบัติ",IF(JJ116=LARGE(JI116:JN116,1),"นักคิดวิเคราะห์",IF(JK116=LARGE(JI116:JN116,1),"นักสร้างสรรค์",IF(JL116=LARGE(JI116:JN116,1),"ผู้เข้าใจผู้คน",IF(JM116=LARGE(JI116:JN116,1),"ผู้นำการเปลี่ยนแปลง",IF(JN116=LARGE(JI116:JN116,1),"ผู้จัดระบบ","ผู้จัดระบบ")))))))</x:f>
      </x:c>
      <x:c r="HX116" s="27"/>
      <x:c r="HY116" s="27"/>
      <x:c r="HZ116" s="27"/>
      <x:c r="IA116" s="27"/>
      <x:c r="IB116" s="27"/>
      <x:c r="IC116" s="27"/>
      <x:c r="ID116" s="27"/>
      <x:c r="IE116" s="27"/>
      <x:c r="IF116" s="27"/>
      <x:c r="IG116" s="27"/>
      <x:c r="IH116" s="27"/>
      <x:c r="II116" s="27"/>
      <x:c r="IJ116" s="27"/>
      <x:c r="IK116" s="27" t="str">
        <x:f>IF(C116="","",SUM(H116,N116,T116,Z116,AF116,AL116,AR116,AX116,BD116,BJ116,BP116))</x:f>
      </x:c>
      <x:c r="IL116" s="27" t="str">
        <x:f>IF(C116="","",SUM(I116,O116,U116,AA116,AG116,AM116,AS116,AY116,BE116,BK116,BQ116))</x:f>
      </x:c>
      <x:c r="IM116" s="27" t="str">
        <x:f>IF(C116="","",SUM(J116,P116,V116,AB116,AH116,AN116,AT116,AZ116,BF116,BL116,BR116))</x:f>
      </x:c>
      <x:c r="IN116" s="27" t="str">
        <x:f>IF(C116="","",SUM(K116,Q116,W116,AC116,AI116,AO116,AU116,BA116,BG116,BM116,BS116))</x:f>
      </x:c>
      <x:c r="IO116" s="27" t="str">
        <x:f>IF(C116="","",SUM(L116,R116,X116,AD116,AJ116,AP116,AV116,BB116,BH116,BN116,BT116))</x:f>
      </x:c>
      <x:c r="IP116" s="27" t="str">
        <x:f>IF(C116="","",SUM(M116,S116,Y116,AE116,AK116,AQ116,AW116,BC116,BI116,BO116,BU116))</x:f>
      </x:c>
      <x:c r="IQ116" s="27" t="str">
        <x:f>IF(C116="","",SUM(BV116,CB116,CH116,CN116,CT116,CZ116,DF116,DL116,DR116,DX116,ED116))</x:f>
      </x:c>
      <x:c r="IR116" s="27" t="str">
        <x:f>IF(C116="","",SUM(BW116,CC116,CI116,CO116,CU116,DA116,DG116,DM116,DS116,DY116,EE116))</x:f>
      </x:c>
      <x:c r="IS116" s="27" t="str">
        <x:f>IF(C116="","",SUM(BX116,CD116,CJ116,CP116,CV116,DB116,DH116,DN116,DT116,DZ116,EF116))</x:f>
      </x:c>
      <x:c r="IT116" s="27" t="str">
        <x:f>IF(C116="","",SUM(BY116,CE116,CK116,CQ116,CW116,DC116,DI116,DO116,DU116,EA116,EG116))</x:f>
      </x:c>
      <x:c r="IU116" s="27" t="str">
        <x:f>IF(C116="","",SUM(BZ116,CF116,CL116,CR116,CX116,DD116,DJ116,DP116,DV116,EB116,EH116))</x:f>
      </x:c>
      <x:c r="IV116" s="27" t="str">
        <x:f>IF(C116="","",SUM(CA116,CG116,CM116,CS116,CY116,DE116,DK116,DQ116,DW116,EC116,EI116))</x:f>
      </x:c>
      <x:c r="IW116" s="27" t="str">
        <x:f>IF(C116="","",SUM(EJ116,EP116,EV116,FB116,FH116,FN116,FT116,FZ116,GF116,GL116,GR116,GX116,HD116,HJ116))</x:f>
      </x:c>
      <x:c r="IX116" s="27" t="str">
        <x:f>IF(C116="","",SUM(EK116,EQ116,EW116,FC116,FI116,FO116,FU116,GA116,GG116,GM116,GS116,GY116,HE116,HK116))</x:f>
      </x:c>
      <x:c r="IY116" s="27" t="str">
        <x:f>IF(C116="","",SUM(EL116,ER116,EX116,FD116,FJ116,FP116,FV116,GB116,GH116,GN116,GT116,GZ116,HF116,HL116))</x:f>
      </x:c>
      <x:c r="IZ116" s="27" t="str">
        <x:f>IF(C116="","",SUM(EM116,ES116,EY116,FE116,FK116,FQ116,FW116,GC116,GI116,GO116,GU116,HA116,HG116,HM116))</x:f>
      </x:c>
      <x:c r="JA116" s="27" t="str">
        <x:f>IF(C116="","",SUM(EN116,ET116,EZ116,FF116,FL116,FR116,FX116,GD116,GJ116,GP116,GV116,HB116,HH116,HN116))</x:f>
      </x:c>
      <x:c r="JB116" s="27" t="str">
        <x:f>IF(C116="","",SUM(EO116,EU116,FA116,FG116,FM116,FS116,FY116,GE116,GK116,GQ116,GW116,HC116,HI116,HO116))</x:f>
      </x:c>
      <x:c r="JC116" s="27" t="str">
        <x:f>IF(C116="","",0)</x:f>
      </x:c>
      <x:c r="JD116" s="27" t="str">
        <x:f>IF(C116="","",0)</x:f>
      </x:c>
      <x:c r="JE116" s="27" t="str">
        <x:f>IF(C116="","",0)</x:f>
      </x:c>
      <x:c r="JF116" s="27" t="str">
        <x:f>IF(C116="","",0)</x:f>
      </x:c>
      <x:c r="JG116" s="27" t="str">
        <x:f>IF(C116="","",0)</x:f>
      </x:c>
      <x:c r="JH116" s="27" t="str">
        <x:f>IF(C116="","",0)</x:f>
      </x:c>
      <x:c r="JI116" s="27" t="str">
        <x:f>IF(C116="","",HP116*1000000000+IW116*1000000+IQ116*10000+IK116*100+JC116+6/1000)</x:f>
      </x:c>
      <x:c r="JJ116" s="27" t="str">
        <x:f>IF(C116="","",HQ116*1000000000+IX116*1000000+IR116*10000+IL116*100+JD116+5/1000)</x:f>
      </x:c>
      <x:c r="JK116" s="27" t="str">
        <x:f>IF(C116="","",HR116*1000000000+IY116*1000000+IS116*10000+IM116*100+JE116+4/1000)</x:f>
      </x:c>
      <x:c r="JL116" s="27" t="str">
        <x:f>IF(C116="","",HS116*1000000000+IZ116*1000000+IT116*10000+IN116*100+JF116+3/1000)</x:f>
      </x:c>
      <x:c r="JM116" s="27" t="str">
        <x:f>IF(C116="","",HT116*1000000000+JA116*1000000+IU116*10000+IO116*100+JG116+2/1000)</x:f>
      </x:c>
      <x:c r="JN116" s="27" t="str">
        <x:f>IF(C116="","",HU116*1000000000+JB116*1000000+IV116*10000+IP116*100+JH116+1/1000)</x:f>
      </x:c>
    </x:row>
    <x:row r="117">
      <x:c r="A117" s="27"/>
      <x:c r="B117" s="28"/>
      <x:c r="C117" s="27"/>
      <x:c r="D117" s="27"/>
      <x:c r="E117" s="27"/>
      <x:c r="F117" s="27"/>
      <x:c r="G117" s="27"/>
      <x:c r="H117" s="27"/>
      <x:c r="I117" s="27"/>
      <x:c r="J117" s="27"/>
      <x:c r="K117" s="27"/>
      <x:c r="L117" s="27"/>
      <x:c r="M117" s="27"/>
      <x:c r="N117" s="27"/>
      <x:c r="O117" s="27"/>
      <x:c r="P117" s="27"/>
      <x:c r="Q117" s="27"/>
      <x:c r="R117" s="27"/>
      <x:c r="S117" s="27"/>
      <x:c r="T117" s="27"/>
      <x:c r="U117" s="27"/>
      <x:c r="V117" s="27"/>
      <x:c r="W117" s="27"/>
      <x:c r="X117" s="27"/>
      <x:c r="Y117" s="27"/>
      <x:c r="Z117" s="27"/>
      <x:c r="AA117" s="27"/>
      <x:c r="AB117" s="27"/>
      <x:c r="AC117" s="27"/>
      <x:c r="AD117" s="27"/>
      <x:c r="AE117" s="27"/>
      <x:c r="AF117" s="27"/>
      <x:c r="AG117" s="27"/>
      <x:c r="AH117" s="27"/>
      <x:c r="AI117" s="27"/>
      <x:c r="AJ117" s="27"/>
      <x:c r="AK117" s="27"/>
      <x:c r="AL117" s="27"/>
      <x:c r="AM117" s="27"/>
      <x:c r="AN117" s="27"/>
      <x:c r="AO117" s="27"/>
      <x:c r="AP117" s="27"/>
      <x:c r="AQ117" s="27"/>
      <x:c r="AR117" s="27"/>
      <x:c r="AS117" s="27"/>
      <x:c r="AT117" s="27"/>
      <x:c r="AU117" s="27"/>
      <x:c r="AV117" s="27"/>
      <x:c r="AW117" s="27"/>
      <x:c r="AX117" s="27"/>
      <x:c r="AY117" s="27"/>
      <x:c r="AZ117" s="27"/>
      <x:c r="BA117" s="27"/>
      <x:c r="BB117" s="27"/>
      <x:c r="BC117" s="27"/>
      <x:c r="BD117" s="27"/>
      <x:c r="BE117" s="27"/>
      <x:c r="BF117" s="27"/>
      <x:c r="BG117" s="27"/>
      <x:c r="BH117" s="27"/>
      <x:c r="BI117" s="27"/>
      <x:c r="BJ117" s="27"/>
      <x:c r="BK117" s="27"/>
      <x:c r="BL117" s="27"/>
      <x:c r="BM117" s="27"/>
      <x:c r="BN117" s="27"/>
      <x:c r="BO117" s="27"/>
      <x:c r="BP117" s="27"/>
      <x:c r="BQ117" s="27"/>
      <x:c r="BR117" s="27"/>
      <x:c r="BS117" s="27"/>
      <x:c r="BT117" s="27"/>
      <x:c r="BU117" s="27"/>
      <x:c r="BV117" s="27"/>
      <x:c r="BW117" s="27"/>
      <x:c r="BX117" s="27"/>
      <x:c r="BY117" s="27"/>
      <x:c r="BZ117" s="27"/>
      <x:c r="CA117" s="27"/>
      <x:c r="CB117" s="27"/>
      <x:c r="CC117" s="27"/>
      <x:c r="CD117" s="27"/>
      <x:c r="CE117" s="27"/>
      <x:c r="CF117" s="27"/>
      <x:c r="CG117" s="27"/>
      <x:c r="CH117" s="27"/>
      <x:c r="CI117" s="27"/>
      <x:c r="CJ117" s="27"/>
      <x:c r="CK117" s="27"/>
      <x:c r="CL117" s="27"/>
      <x:c r="CM117" s="27"/>
      <x:c r="CN117" s="27"/>
      <x:c r="CO117" s="27"/>
      <x:c r="CP117" s="27"/>
      <x:c r="CQ117" s="27"/>
      <x:c r="CR117" s="27"/>
      <x:c r="CS117" s="27"/>
      <x:c r="CT117" s="27"/>
      <x:c r="CU117" s="27"/>
      <x:c r="CV117" s="27"/>
      <x:c r="CW117" s="27"/>
      <x:c r="CX117" s="27"/>
      <x:c r="CY117" s="27"/>
      <x:c r="CZ117" s="27"/>
      <x:c r="DA117" s="27"/>
      <x:c r="DB117" s="27"/>
      <x:c r="DC117" s="27"/>
      <x:c r="DD117" s="27"/>
      <x:c r="DE117" s="27"/>
      <x:c r="DF117" s="27"/>
      <x:c r="DG117" s="27"/>
      <x:c r="DH117" s="27"/>
      <x:c r="DI117" s="27"/>
      <x:c r="DJ117" s="27"/>
      <x:c r="DK117" s="27"/>
      <x:c r="DL117" s="27"/>
      <x:c r="DM117" s="27"/>
      <x:c r="DN117" s="27"/>
      <x:c r="DO117" s="27"/>
      <x:c r="DP117" s="27"/>
      <x:c r="DQ117" s="27"/>
      <x:c r="DR117" s="27"/>
      <x:c r="DS117" s="27"/>
      <x:c r="DT117" s="27"/>
      <x:c r="DU117" s="27"/>
      <x:c r="DV117" s="27"/>
      <x:c r="DW117" s="27"/>
      <x:c r="DX117" s="27"/>
      <x:c r="DY117" s="27"/>
      <x:c r="DZ117" s="27"/>
      <x:c r="EA117" s="27"/>
      <x:c r="EB117" s="27"/>
      <x:c r="EC117" s="27"/>
      <x:c r="ED117" s="27"/>
      <x:c r="EE117" s="27"/>
      <x:c r="EF117" s="27"/>
      <x:c r="EG117" s="27"/>
      <x:c r="EH117" s="27"/>
      <x:c r="EI117" s="27"/>
      <x:c r="EJ117" s="27"/>
      <x:c r="EK117" s="27"/>
      <x:c r="EL117" s="27"/>
      <x:c r="EM117" s="27"/>
      <x:c r="EN117" s="27"/>
      <x:c r="EO117" s="27"/>
      <x:c r="EP117" s="27"/>
      <x:c r="EQ117" s="27"/>
      <x:c r="ER117" s="27"/>
      <x:c r="ES117" s="27"/>
      <x:c r="ET117" s="27"/>
      <x:c r="EU117" s="27"/>
      <x:c r="EV117" s="27"/>
      <x:c r="EW117" s="27"/>
      <x:c r="EX117" s="27"/>
      <x:c r="EY117" s="27"/>
      <x:c r="EZ117" s="27"/>
      <x:c r="FA117" s="27"/>
      <x:c r="FB117" s="27"/>
      <x:c r="FC117" s="27"/>
      <x:c r="FD117" s="27"/>
      <x:c r="FE117" s="27"/>
      <x:c r="FF117" s="27"/>
      <x:c r="FG117" s="27"/>
      <x:c r="FH117" s="27"/>
      <x:c r="FI117" s="27"/>
      <x:c r="FJ117" s="27"/>
      <x:c r="FK117" s="27"/>
      <x:c r="FL117" s="27"/>
      <x:c r="FM117" s="27"/>
      <x:c r="FN117" s="27"/>
      <x:c r="FO117" s="27"/>
      <x:c r="FP117" s="27"/>
      <x:c r="FQ117" s="27"/>
      <x:c r="FR117" s="27"/>
      <x:c r="FS117" s="27"/>
      <x:c r="FT117" s="27"/>
      <x:c r="FU117" s="27"/>
      <x:c r="FV117" s="27"/>
      <x:c r="FW117" s="27"/>
      <x:c r="FX117" s="27"/>
      <x:c r="FY117" s="27"/>
      <x:c r="FZ117" s="27"/>
      <x:c r="GA117" s="27"/>
      <x:c r="GB117" s="27"/>
      <x:c r="GC117" s="27"/>
      <x:c r="GD117" s="27"/>
      <x:c r="GE117" s="27"/>
      <x:c r="GF117" s="27"/>
      <x:c r="GG117" s="27"/>
      <x:c r="GH117" s="27"/>
      <x:c r="GI117" s="27"/>
      <x:c r="GJ117" s="27"/>
      <x:c r="GK117" s="27"/>
      <x:c r="GL117" s="27"/>
      <x:c r="GM117" s="27"/>
      <x:c r="GN117" s="27"/>
      <x:c r="GO117" s="27"/>
      <x:c r="GP117" s="27"/>
      <x:c r="GQ117" s="27"/>
      <x:c r="GR117" s="27"/>
      <x:c r="GS117" s="27"/>
      <x:c r="GT117" s="27"/>
      <x:c r="GU117" s="27"/>
      <x:c r="GV117" s="27"/>
      <x:c r="GW117" s="27"/>
      <x:c r="GX117" s="27"/>
      <x:c r="GY117" s="27"/>
      <x:c r="GZ117" s="27"/>
      <x:c r="HA117" s="27"/>
      <x:c r="HB117" s="27"/>
      <x:c r="HC117" s="27"/>
      <x:c r="HD117" s="27"/>
      <x:c r="HE117" s="27"/>
      <x:c r="HF117" s="27"/>
      <x:c r="HG117" s="27"/>
      <x:c r="HH117" s="27"/>
      <x:c r="HI117" s="27"/>
      <x:c r="HJ117" s="27"/>
      <x:c r="HK117" s="27"/>
      <x:c r="HL117" s="27"/>
      <x:c r="HM117" s="27"/>
      <x:c r="HN117" s="27"/>
      <x:c r="HO117" s="27"/>
      <x:c r="HP117" s="27" t="str">
        <x:f>IF(C117="","",SUM(H117,N117,T117,Z117,AF117,AL117,AR117,AX117,BD117,BJ117,BP117,BV117,CB117,CH117,CN117,CT117,CZ117,DF117,DL117,DR117,DX117,ED117,EJ117,EP117,EV117,FB117,FH117,FN117,FT117,FZ117,GF117,GL117,GR117,GX117,HD117,HJ117))</x:f>
      </x:c>
      <x:c r="HQ117" s="27" t="str">
        <x:f>IF(C117="","",SUM(I117,O117,U117,AA117,AG117,AM117,AS117,AY117,BE117,BK117,BQ117,BW117,CC117,CI117,CO117,CU117,DA117,DG117,DM117,DS117,DY117,EE117,EK117,EQ117,EW117,FC117,FI117,FO117,FU117,GA117,GG117,GM117,GS117,GY117,HE117,HK117))</x:f>
      </x:c>
      <x:c r="HR117" s="27" t="str">
        <x:f>IF(C117="","",SUM(J117,P117,V117,AB117,AH117,AN117,AT117,AZ117,BF117,BL117,BR117,BX117,CD117,CJ117,CP117,CV117,DB117,DH117,DN117,DT117,DZ117,EF117,EL117,ER117,EX117,FD117,FJ117,FP117,FV117,GB117,GH117,GN117,GT117,GZ117,HF117,HL117))</x:f>
      </x:c>
      <x:c r="HS117" s="27" t="str">
        <x:f>IF(C117="","",SUM(K117,Q117,W117,AC117,AI117,AO117,AU117,BA117,BG117,BM117,BS117,BY117,CE117,CK117,CQ117,CW117,DC117,DI117,DO117,DU117,EA117,EG117,EM117,ES117,EY117,FE117,FK117,FQ117,FW117,GC117,GI117,GO117,GU117,HA117,HG117,HM117))</x:f>
      </x:c>
      <x:c r="HT117" s="27" t="str">
        <x:f>IF(C117="","",SUM(L117,R117,X117,AD117,AJ117,AP117,AV117,BB117,BH117,BN117,BT117,BZ117,CF117,CL117,CR117,CX117,DD117,DJ117,DP117,DV117,EB117,EH117,EN117,ET117,EZ117,FF117,FL117,FR117,FX117,GD117,GJ117,GP117,GV117,HB117,HH117,HN117))</x:f>
      </x:c>
      <x:c r="HU117" s="27" t="str">
        <x:f>IF(C117="","",SUM(M117,S117,Y117,AE117,AK117,AQ117,AW117,BC117,BI117,BO117,BU117,CA117,CG117,CM117,CS117,CY117,DE117,DK117,DQ117,DW117,EC117,EI117,EO117,EU117,FA117,FG117,FM117,FS117,FY117,GE117,GK117,GQ117,GW117,HC117,HI117,HO117))</x:f>
      </x:c>
      <x:c r="HV117" s="27" t="str">
        <x:f>IF(C117="","",IF(JI117=LARGE(JI117:JN117,1),"R",IF(JJ117=LARGE(JI117:JN117,1),"I",IF(JK117=LARGE(JI117:JN117,1),"A",IF(JL117=LARGE(JI117:JN117,1),"S",IF(JM117=LARGE(JI117:JN117,1),"E",IF(JN117=LARGE(JI117:JN117,1),"C",""))))))&amp;IF(JI117=LARGE(JI117:JN117,2),"R",IF(JJ117=LARGE(JI117:JN117,2),"I",IF(JK117=LARGE(JI117:JN117,2),"A",IF(JL117=LARGE(JI117:JN117,2),"S",IF(JM117=LARGE(JI117:JN117,2),"E",IF(JN117=LARGE(JI117:JN117,2),"C",""))))))&amp;IF(JI117=LARGE(JI117:JN117,3),"R",IF(JJ117=LARGE(JI117:JN117,3),"I",IF(JK117=LARGE(JI117:JN117,3),"A",IF(JL117=LARGE(JI117:JN117,3),"S",IF(JM117=LARGE(JI117:JN117,3),"E",IF(JN117=LARGE(JI117:JN117,3),"C","")))))))</x:f>
      </x:c>
      <x:c r="HW117" s="27" t="str">
        <x:f>IF(C117="","",IF(JI117=LARGE(JI117:JN117,1),"นักปฏิบัติ",IF(JJ117=LARGE(JI117:JN117,1),"นักคิดวิเคราะห์",IF(JK117=LARGE(JI117:JN117,1),"นักสร้างสรรค์",IF(JL117=LARGE(JI117:JN117,1),"ผู้เข้าใจผู้คน",IF(JM117=LARGE(JI117:JN117,1),"ผู้นำการเปลี่ยนแปลง",IF(JN117=LARGE(JI117:JN117,1),"ผู้จัดระบบ","ผู้จัดระบบ")))))))</x:f>
      </x:c>
      <x:c r="HX117" s="27"/>
      <x:c r="HY117" s="27"/>
      <x:c r="HZ117" s="27"/>
      <x:c r="IA117" s="27"/>
      <x:c r="IB117" s="27"/>
      <x:c r="IC117" s="27"/>
      <x:c r="ID117" s="27"/>
      <x:c r="IE117" s="27"/>
      <x:c r="IF117" s="27"/>
      <x:c r="IG117" s="27"/>
      <x:c r="IH117" s="27"/>
      <x:c r="II117" s="27"/>
      <x:c r="IJ117" s="27"/>
      <x:c r="IK117" s="27" t="str">
        <x:f>IF(C117="","",SUM(H117,N117,T117,Z117,AF117,AL117,AR117,AX117,BD117,BJ117,BP117))</x:f>
      </x:c>
      <x:c r="IL117" s="27" t="str">
        <x:f>IF(C117="","",SUM(I117,O117,U117,AA117,AG117,AM117,AS117,AY117,BE117,BK117,BQ117))</x:f>
      </x:c>
      <x:c r="IM117" s="27" t="str">
        <x:f>IF(C117="","",SUM(J117,P117,V117,AB117,AH117,AN117,AT117,AZ117,BF117,BL117,BR117))</x:f>
      </x:c>
      <x:c r="IN117" s="27" t="str">
        <x:f>IF(C117="","",SUM(K117,Q117,W117,AC117,AI117,AO117,AU117,BA117,BG117,BM117,BS117))</x:f>
      </x:c>
      <x:c r="IO117" s="27" t="str">
        <x:f>IF(C117="","",SUM(L117,R117,X117,AD117,AJ117,AP117,AV117,BB117,BH117,BN117,BT117))</x:f>
      </x:c>
      <x:c r="IP117" s="27" t="str">
        <x:f>IF(C117="","",SUM(M117,S117,Y117,AE117,AK117,AQ117,AW117,BC117,BI117,BO117,BU117))</x:f>
      </x:c>
      <x:c r="IQ117" s="27" t="str">
        <x:f>IF(C117="","",SUM(BV117,CB117,CH117,CN117,CT117,CZ117,DF117,DL117,DR117,DX117,ED117))</x:f>
      </x:c>
      <x:c r="IR117" s="27" t="str">
        <x:f>IF(C117="","",SUM(BW117,CC117,CI117,CO117,CU117,DA117,DG117,DM117,DS117,DY117,EE117))</x:f>
      </x:c>
      <x:c r="IS117" s="27" t="str">
        <x:f>IF(C117="","",SUM(BX117,CD117,CJ117,CP117,CV117,DB117,DH117,DN117,DT117,DZ117,EF117))</x:f>
      </x:c>
      <x:c r="IT117" s="27" t="str">
        <x:f>IF(C117="","",SUM(BY117,CE117,CK117,CQ117,CW117,DC117,DI117,DO117,DU117,EA117,EG117))</x:f>
      </x:c>
      <x:c r="IU117" s="27" t="str">
        <x:f>IF(C117="","",SUM(BZ117,CF117,CL117,CR117,CX117,DD117,DJ117,DP117,DV117,EB117,EH117))</x:f>
      </x:c>
      <x:c r="IV117" s="27" t="str">
        <x:f>IF(C117="","",SUM(CA117,CG117,CM117,CS117,CY117,DE117,DK117,DQ117,DW117,EC117,EI117))</x:f>
      </x:c>
      <x:c r="IW117" s="27" t="str">
        <x:f>IF(C117="","",SUM(EJ117,EP117,EV117,FB117,FH117,FN117,FT117,FZ117,GF117,GL117,GR117,GX117,HD117,HJ117))</x:f>
      </x:c>
      <x:c r="IX117" s="27" t="str">
        <x:f>IF(C117="","",SUM(EK117,EQ117,EW117,FC117,FI117,FO117,FU117,GA117,GG117,GM117,GS117,GY117,HE117,HK117))</x:f>
      </x:c>
      <x:c r="IY117" s="27" t="str">
        <x:f>IF(C117="","",SUM(EL117,ER117,EX117,FD117,FJ117,FP117,FV117,GB117,GH117,GN117,GT117,GZ117,HF117,HL117))</x:f>
      </x:c>
      <x:c r="IZ117" s="27" t="str">
        <x:f>IF(C117="","",SUM(EM117,ES117,EY117,FE117,FK117,FQ117,FW117,GC117,GI117,GO117,GU117,HA117,HG117,HM117))</x:f>
      </x:c>
      <x:c r="JA117" s="27" t="str">
        <x:f>IF(C117="","",SUM(EN117,ET117,EZ117,FF117,FL117,FR117,FX117,GD117,GJ117,GP117,GV117,HB117,HH117,HN117))</x:f>
      </x:c>
      <x:c r="JB117" s="27" t="str">
        <x:f>IF(C117="","",SUM(EO117,EU117,FA117,FG117,FM117,FS117,FY117,GE117,GK117,GQ117,GW117,HC117,HI117,HO117))</x:f>
      </x:c>
      <x:c r="JC117" s="27" t="str">
        <x:f>IF(C117="","",0)</x:f>
      </x:c>
      <x:c r="JD117" s="27" t="str">
        <x:f>IF(C117="","",0)</x:f>
      </x:c>
      <x:c r="JE117" s="27" t="str">
        <x:f>IF(C117="","",0)</x:f>
      </x:c>
      <x:c r="JF117" s="27" t="str">
        <x:f>IF(C117="","",0)</x:f>
      </x:c>
      <x:c r="JG117" s="27" t="str">
        <x:f>IF(C117="","",0)</x:f>
      </x:c>
      <x:c r="JH117" s="27" t="str">
        <x:f>IF(C117="","",0)</x:f>
      </x:c>
      <x:c r="JI117" s="27" t="str">
        <x:f>IF(C117="","",HP117*1000000000+IW117*1000000+IQ117*10000+IK117*100+JC117+6/1000)</x:f>
      </x:c>
      <x:c r="JJ117" s="27" t="str">
        <x:f>IF(C117="","",HQ117*1000000000+IX117*1000000+IR117*10000+IL117*100+JD117+5/1000)</x:f>
      </x:c>
      <x:c r="JK117" s="27" t="str">
        <x:f>IF(C117="","",HR117*1000000000+IY117*1000000+IS117*10000+IM117*100+JE117+4/1000)</x:f>
      </x:c>
      <x:c r="JL117" s="27" t="str">
        <x:f>IF(C117="","",HS117*1000000000+IZ117*1000000+IT117*10000+IN117*100+JF117+3/1000)</x:f>
      </x:c>
      <x:c r="JM117" s="27" t="str">
        <x:f>IF(C117="","",HT117*1000000000+JA117*1000000+IU117*10000+IO117*100+JG117+2/1000)</x:f>
      </x:c>
      <x:c r="JN117" s="27" t="str">
        <x:f>IF(C117="","",HU117*1000000000+JB117*1000000+IV117*10000+IP117*100+JH117+1/1000)</x:f>
      </x:c>
    </x:row>
    <x:row r="118">
      <x:c r="A118" s="27"/>
      <x:c r="B118" s="28"/>
      <x:c r="C118" s="27"/>
      <x:c r="D118" s="27"/>
      <x:c r="E118" s="27"/>
      <x:c r="F118" s="27"/>
      <x:c r="G118" s="27"/>
      <x:c r="H118" s="27"/>
      <x:c r="I118" s="27"/>
      <x:c r="J118" s="27"/>
      <x:c r="K118" s="27"/>
      <x:c r="L118" s="27"/>
      <x:c r="M118" s="27"/>
      <x:c r="N118" s="27"/>
      <x:c r="O118" s="27"/>
      <x:c r="P118" s="27"/>
      <x:c r="Q118" s="27"/>
      <x:c r="R118" s="27"/>
      <x:c r="S118" s="27"/>
      <x:c r="T118" s="27"/>
      <x:c r="U118" s="27"/>
      <x:c r="V118" s="27"/>
      <x:c r="W118" s="27"/>
      <x:c r="X118" s="27"/>
      <x:c r="Y118" s="27"/>
      <x:c r="Z118" s="27"/>
      <x:c r="AA118" s="27"/>
      <x:c r="AB118" s="27"/>
      <x:c r="AC118" s="27"/>
      <x:c r="AD118" s="27"/>
      <x:c r="AE118" s="27"/>
      <x:c r="AF118" s="27"/>
      <x:c r="AG118" s="27"/>
      <x:c r="AH118" s="27"/>
      <x:c r="AI118" s="27"/>
      <x:c r="AJ118" s="27"/>
      <x:c r="AK118" s="27"/>
      <x:c r="AL118" s="27"/>
      <x:c r="AM118" s="27"/>
      <x:c r="AN118" s="27"/>
      <x:c r="AO118" s="27"/>
      <x:c r="AP118" s="27"/>
      <x:c r="AQ118" s="27"/>
      <x:c r="AR118" s="27"/>
      <x:c r="AS118" s="27"/>
      <x:c r="AT118" s="27"/>
      <x:c r="AU118" s="27"/>
      <x:c r="AV118" s="27"/>
      <x:c r="AW118" s="27"/>
      <x:c r="AX118" s="27"/>
      <x:c r="AY118" s="27"/>
      <x:c r="AZ118" s="27"/>
      <x:c r="BA118" s="27"/>
      <x:c r="BB118" s="27"/>
      <x:c r="BC118" s="27"/>
      <x:c r="BD118" s="27"/>
      <x:c r="BE118" s="27"/>
      <x:c r="BF118" s="27"/>
      <x:c r="BG118" s="27"/>
      <x:c r="BH118" s="27"/>
      <x:c r="BI118" s="27"/>
      <x:c r="BJ118" s="27"/>
      <x:c r="BK118" s="27"/>
      <x:c r="BL118" s="27"/>
      <x:c r="BM118" s="27"/>
      <x:c r="BN118" s="27"/>
      <x:c r="BO118" s="27"/>
      <x:c r="BP118" s="27"/>
      <x:c r="BQ118" s="27"/>
      <x:c r="BR118" s="27"/>
      <x:c r="BS118" s="27"/>
      <x:c r="BT118" s="27"/>
      <x:c r="BU118" s="27"/>
      <x:c r="BV118" s="27"/>
      <x:c r="BW118" s="27"/>
      <x:c r="BX118" s="27"/>
      <x:c r="BY118" s="27"/>
      <x:c r="BZ118" s="27"/>
      <x:c r="CA118" s="27"/>
      <x:c r="CB118" s="27"/>
      <x:c r="CC118" s="27"/>
      <x:c r="CD118" s="27"/>
      <x:c r="CE118" s="27"/>
      <x:c r="CF118" s="27"/>
      <x:c r="CG118" s="27"/>
      <x:c r="CH118" s="27"/>
      <x:c r="CI118" s="27"/>
      <x:c r="CJ118" s="27"/>
      <x:c r="CK118" s="27"/>
      <x:c r="CL118" s="27"/>
      <x:c r="CM118" s="27"/>
      <x:c r="CN118" s="27"/>
      <x:c r="CO118" s="27"/>
      <x:c r="CP118" s="27"/>
      <x:c r="CQ118" s="27"/>
      <x:c r="CR118" s="27"/>
      <x:c r="CS118" s="27"/>
      <x:c r="CT118" s="27"/>
      <x:c r="CU118" s="27"/>
      <x:c r="CV118" s="27"/>
      <x:c r="CW118" s="27"/>
      <x:c r="CX118" s="27"/>
      <x:c r="CY118" s="27"/>
      <x:c r="CZ118" s="27"/>
      <x:c r="DA118" s="27"/>
      <x:c r="DB118" s="27"/>
      <x:c r="DC118" s="27"/>
      <x:c r="DD118" s="27"/>
      <x:c r="DE118" s="27"/>
      <x:c r="DF118" s="27"/>
      <x:c r="DG118" s="27"/>
      <x:c r="DH118" s="27"/>
      <x:c r="DI118" s="27"/>
      <x:c r="DJ118" s="27"/>
      <x:c r="DK118" s="27"/>
      <x:c r="DL118" s="27"/>
      <x:c r="DM118" s="27"/>
      <x:c r="DN118" s="27"/>
      <x:c r="DO118" s="27"/>
      <x:c r="DP118" s="27"/>
      <x:c r="DQ118" s="27"/>
      <x:c r="DR118" s="27"/>
      <x:c r="DS118" s="27"/>
      <x:c r="DT118" s="27"/>
      <x:c r="DU118" s="27"/>
      <x:c r="DV118" s="27"/>
      <x:c r="DW118" s="27"/>
      <x:c r="DX118" s="27"/>
      <x:c r="DY118" s="27"/>
      <x:c r="DZ118" s="27"/>
      <x:c r="EA118" s="27"/>
      <x:c r="EB118" s="27"/>
      <x:c r="EC118" s="27"/>
      <x:c r="ED118" s="27"/>
      <x:c r="EE118" s="27"/>
      <x:c r="EF118" s="27"/>
      <x:c r="EG118" s="27"/>
      <x:c r="EH118" s="27"/>
      <x:c r="EI118" s="27"/>
      <x:c r="EJ118" s="27"/>
      <x:c r="EK118" s="27"/>
      <x:c r="EL118" s="27"/>
      <x:c r="EM118" s="27"/>
      <x:c r="EN118" s="27"/>
      <x:c r="EO118" s="27"/>
      <x:c r="EP118" s="27"/>
      <x:c r="EQ118" s="27"/>
      <x:c r="ER118" s="27"/>
      <x:c r="ES118" s="27"/>
      <x:c r="ET118" s="27"/>
      <x:c r="EU118" s="27"/>
      <x:c r="EV118" s="27"/>
      <x:c r="EW118" s="27"/>
      <x:c r="EX118" s="27"/>
      <x:c r="EY118" s="27"/>
      <x:c r="EZ118" s="27"/>
      <x:c r="FA118" s="27"/>
      <x:c r="FB118" s="27"/>
      <x:c r="FC118" s="27"/>
      <x:c r="FD118" s="27"/>
      <x:c r="FE118" s="27"/>
      <x:c r="FF118" s="27"/>
      <x:c r="FG118" s="27"/>
      <x:c r="FH118" s="27"/>
      <x:c r="FI118" s="27"/>
      <x:c r="FJ118" s="27"/>
      <x:c r="FK118" s="27"/>
      <x:c r="FL118" s="27"/>
      <x:c r="FM118" s="27"/>
      <x:c r="FN118" s="27"/>
      <x:c r="FO118" s="27"/>
      <x:c r="FP118" s="27"/>
      <x:c r="FQ118" s="27"/>
      <x:c r="FR118" s="27"/>
      <x:c r="FS118" s="27"/>
      <x:c r="FT118" s="27"/>
      <x:c r="FU118" s="27"/>
      <x:c r="FV118" s="27"/>
      <x:c r="FW118" s="27"/>
      <x:c r="FX118" s="27"/>
      <x:c r="FY118" s="27"/>
      <x:c r="FZ118" s="27"/>
      <x:c r="GA118" s="27"/>
      <x:c r="GB118" s="27"/>
      <x:c r="GC118" s="27"/>
      <x:c r="GD118" s="27"/>
      <x:c r="GE118" s="27"/>
      <x:c r="GF118" s="27"/>
      <x:c r="GG118" s="27"/>
      <x:c r="GH118" s="27"/>
      <x:c r="GI118" s="27"/>
      <x:c r="GJ118" s="27"/>
      <x:c r="GK118" s="27"/>
      <x:c r="GL118" s="27"/>
      <x:c r="GM118" s="27"/>
      <x:c r="GN118" s="27"/>
      <x:c r="GO118" s="27"/>
      <x:c r="GP118" s="27"/>
      <x:c r="GQ118" s="27"/>
      <x:c r="GR118" s="27"/>
      <x:c r="GS118" s="27"/>
      <x:c r="GT118" s="27"/>
      <x:c r="GU118" s="27"/>
      <x:c r="GV118" s="27"/>
      <x:c r="GW118" s="27"/>
      <x:c r="GX118" s="27"/>
      <x:c r="GY118" s="27"/>
      <x:c r="GZ118" s="27"/>
      <x:c r="HA118" s="27"/>
      <x:c r="HB118" s="27"/>
      <x:c r="HC118" s="27"/>
      <x:c r="HD118" s="27"/>
      <x:c r="HE118" s="27"/>
      <x:c r="HF118" s="27"/>
      <x:c r="HG118" s="27"/>
      <x:c r="HH118" s="27"/>
      <x:c r="HI118" s="27"/>
      <x:c r="HJ118" s="27"/>
      <x:c r="HK118" s="27"/>
      <x:c r="HL118" s="27"/>
      <x:c r="HM118" s="27"/>
      <x:c r="HN118" s="27"/>
      <x:c r="HO118" s="27"/>
      <x:c r="HP118" s="27" t="str">
        <x:f>IF(C118="","",SUM(H118,N118,T118,Z118,AF118,AL118,AR118,AX118,BD118,BJ118,BP118,BV118,CB118,CH118,CN118,CT118,CZ118,DF118,DL118,DR118,DX118,ED118,EJ118,EP118,EV118,FB118,FH118,FN118,FT118,FZ118,GF118,GL118,GR118,GX118,HD118,HJ118))</x:f>
      </x:c>
      <x:c r="HQ118" s="27" t="str">
        <x:f>IF(C118="","",SUM(I118,O118,U118,AA118,AG118,AM118,AS118,AY118,BE118,BK118,BQ118,BW118,CC118,CI118,CO118,CU118,DA118,DG118,DM118,DS118,DY118,EE118,EK118,EQ118,EW118,FC118,FI118,FO118,FU118,GA118,GG118,GM118,GS118,GY118,HE118,HK118))</x:f>
      </x:c>
      <x:c r="HR118" s="27" t="str">
        <x:f>IF(C118="","",SUM(J118,P118,V118,AB118,AH118,AN118,AT118,AZ118,BF118,BL118,BR118,BX118,CD118,CJ118,CP118,CV118,DB118,DH118,DN118,DT118,DZ118,EF118,EL118,ER118,EX118,FD118,FJ118,FP118,FV118,GB118,GH118,GN118,GT118,GZ118,HF118,HL118))</x:f>
      </x:c>
      <x:c r="HS118" s="27" t="str">
        <x:f>IF(C118="","",SUM(K118,Q118,W118,AC118,AI118,AO118,AU118,BA118,BG118,BM118,BS118,BY118,CE118,CK118,CQ118,CW118,DC118,DI118,DO118,DU118,EA118,EG118,EM118,ES118,EY118,FE118,FK118,FQ118,FW118,GC118,GI118,GO118,GU118,HA118,HG118,HM118))</x:f>
      </x:c>
      <x:c r="HT118" s="27" t="str">
        <x:f>IF(C118="","",SUM(L118,R118,X118,AD118,AJ118,AP118,AV118,BB118,BH118,BN118,BT118,BZ118,CF118,CL118,CR118,CX118,DD118,DJ118,DP118,DV118,EB118,EH118,EN118,ET118,EZ118,FF118,FL118,FR118,FX118,GD118,GJ118,GP118,GV118,HB118,HH118,HN118))</x:f>
      </x:c>
      <x:c r="HU118" s="27" t="str">
        <x:f>IF(C118="","",SUM(M118,S118,Y118,AE118,AK118,AQ118,AW118,BC118,BI118,BO118,BU118,CA118,CG118,CM118,CS118,CY118,DE118,DK118,DQ118,DW118,EC118,EI118,EO118,EU118,FA118,FG118,FM118,FS118,FY118,GE118,GK118,GQ118,GW118,HC118,HI118,HO118))</x:f>
      </x:c>
      <x:c r="HV118" s="27" t="str">
        <x:f>IF(C118="","",IF(JI118=LARGE(JI118:JN118,1),"R",IF(JJ118=LARGE(JI118:JN118,1),"I",IF(JK118=LARGE(JI118:JN118,1),"A",IF(JL118=LARGE(JI118:JN118,1),"S",IF(JM118=LARGE(JI118:JN118,1),"E",IF(JN118=LARGE(JI118:JN118,1),"C",""))))))&amp;IF(JI118=LARGE(JI118:JN118,2),"R",IF(JJ118=LARGE(JI118:JN118,2),"I",IF(JK118=LARGE(JI118:JN118,2),"A",IF(JL118=LARGE(JI118:JN118,2),"S",IF(JM118=LARGE(JI118:JN118,2),"E",IF(JN118=LARGE(JI118:JN118,2),"C",""))))))&amp;IF(JI118=LARGE(JI118:JN118,3),"R",IF(JJ118=LARGE(JI118:JN118,3),"I",IF(JK118=LARGE(JI118:JN118,3),"A",IF(JL118=LARGE(JI118:JN118,3),"S",IF(JM118=LARGE(JI118:JN118,3),"E",IF(JN118=LARGE(JI118:JN118,3),"C","")))))))</x:f>
      </x:c>
      <x:c r="HW118" s="27" t="str">
        <x:f>IF(C118="","",IF(JI118=LARGE(JI118:JN118,1),"นักปฏิบัติ",IF(JJ118=LARGE(JI118:JN118,1),"นักคิดวิเคราะห์",IF(JK118=LARGE(JI118:JN118,1),"นักสร้างสรรค์",IF(JL118=LARGE(JI118:JN118,1),"ผู้เข้าใจผู้คน",IF(JM118=LARGE(JI118:JN118,1),"ผู้นำการเปลี่ยนแปลง",IF(JN118=LARGE(JI118:JN118,1),"ผู้จัดระบบ","ผู้จัดระบบ")))))))</x:f>
      </x:c>
      <x:c r="HX118" s="27"/>
      <x:c r="HY118" s="27"/>
      <x:c r="HZ118" s="27"/>
      <x:c r="IA118" s="27"/>
      <x:c r="IB118" s="27"/>
      <x:c r="IC118" s="27"/>
      <x:c r="ID118" s="27"/>
      <x:c r="IE118" s="27"/>
      <x:c r="IF118" s="27"/>
      <x:c r="IG118" s="27"/>
      <x:c r="IH118" s="27"/>
      <x:c r="II118" s="27"/>
      <x:c r="IJ118" s="27"/>
      <x:c r="IK118" s="27" t="str">
        <x:f>IF(C118="","",SUM(H118,N118,T118,Z118,AF118,AL118,AR118,AX118,BD118,BJ118,BP118))</x:f>
      </x:c>
      <x:c r="IL118" s="27" t="str">
        <x:f>IF(C118="","",SUM(I118,O118,U118,AA118,AG118,AM118,AS118,AY118,BE118,BK118,BQ118))</x:f>
      </x:c>
      <x:c r="IM118" s="27" t="str">
        <x:f>IF(C118="","",SUM(J118,P118,V118,AB118,AH118,AN118,AT118,AZ118,BF118,BL118,BR118))</x:f>
      </x:c>
      <x:c r="IN118" s="27" t="str">
        <x:f>IF(C118="","",SUM(K118,Q118,W118,AC118,AI118,AO118,AU118,BA118,BG118,BM118,BS118))</x:f>
      </x:c>
      <x:c r="IO118" s="27" t="str">
        <x:f>IF(C118="","",SUM(L118,R118,X118,AD118,AJ118,AP118,AV118,BB118,BH118,BN118,BT118))</x:f>
      </x:c>
      <x:c r="IP118" s="27" t="str">
        <x:f>IF(C118="","",SUM(M118,S118,Y118,AE118,AK118,AQ118,AW118,BC118,BI118,BO118,BU118))</x:f>
      </x:c>
      <x:c r="IQ118" s="27" t="str">
        <x:f>IF(C118="","",SUM(BV118,CB118,CH118,CN118,CT118,CZ118,DF118,DL118,DR118,DX118,ED118))</x:f>
      </x:c>
      <x:c r="IR118" s="27" t="str">
        <x:f>IF(C118="","",SUM(BW118,CC118,CI118,CO118,CU118,DA118,DG118,DM118,DS118,DY118,EE118))</x:f>
      </x:c>
      <x:c r="IS118" s="27" t="str">
        <x:f>IF(C118="","",SUM(BX118,CD118,CJ118,CP118,CV118,DB118,DH118,DN118,DT118,DZ118,EF118))</x:f>
      </x:c>
      <x:c r="IT118" s="27" t="str">
        <x:f>IF(C118="","",SUM(BY118,CE118,CK118,CQ118,CW118,DC118,DI118,DO118,DU118,EA118,EG118))</x:f>
      </x:c>
      <x:c r="IU118" s="27" t="str">
        <x:f>IF(C118="","",SUM(BZ118,CF118,CL118,CR118,CX118,DD118,DJ118,DP118,DV118,EB118,EH118))</x:f>
      </x:c>
      <x:c r="IV118" s="27" t="str">
        <x:f>IF(C118="","",SUM(CA118,CG118,CM118,CS118,CY118,DE118,DK118,DQ118,DW118,EC118,EI118))</x:f>
      </x:c>
      <x:c r="IW118" s="27" t="str">
        <x:f>IF(C118="","",SUM(EJ118,EP118,EV118,FB118,FH118,FN118,FT118,FZ118,GF118,GL118,GR118,GX118,HD118,HJ118))</x:f>
      </x:c>
      <x:c r="IX118" s="27" t="str">
        <x:f>IF(C118="","",SUM(EK118,EQ118,EW118,FC118,FI118,FO118,FU118,GA118,GG118,GM118,GS118,GY118,HE118,HK118))</x:f>
      </x:c>
      <x:c r="IY118" s="27" t="str">
        <x:f>IF(C118="","",SUM(EL118,ER118,EX118,FD118,FJ118,FP118,FV118,GB118,GH118,GN118,GT118,GZ118,HF118,HL118))</x:f>
      </x:c>
      <x:c r="IZ118" s="27" t="str">
        <x:f>IF(C118="","",SUM(EM118,ES118,EY118,FE118,FK118,FQ118,FW118,GC118,GI118,GO118,GU118,HA118,HG118,HM118))</x:f>
      </x:c>
      <x:c r="JA118" s="27" t="str">
        <x:f>IF(C118="","",SUM(EN118,ET118,EZ118,FF118,FL118,FR118,FX118,GD118,GJ118,GP118,GV118,HB118,HH118,HN118))</x:f>
      </x:c>
      <x:c r="JB118" s="27" t="str">
        <x:f>IF(C118="","",SUM(EO118,EU118,FA118,FG118,FM118,FS118,FY118,GE118,GK118,GQ118,GW118,HC118,HI118,HO118))</x:f>
      </x:c>
      <x:c r="JC118" s="27" t="str">
        <x:f>IF(C118="","",0)</x:f>
      </x:c>
      <x:c r="JD118" s="27" t="str">
        <x:f>IF(C118="","",0)</x:f>
      </x:c>
      <x:c r="JE118" s="27" t="str">
        <x:f>IF(C118="","",0)</x:f>
      </x:c>
      <x:c r="JF118" s="27" t="str">
        <x:f>IF(C118="","",0)</x:f>
      </x:c>
      <x:c r="JG118" s="27" t="str">
        <x:f>IF(C118="","",0)</x:f>
      </x:c>
      <x:c r="JH118" s="27" t="str">
        <x:f>IF(C118="","",0)</x:f>
      </x:c>
      <x:c r="JI118" s="27" t="str">
        <x:f>IF(C118="","",HP118*1000000000+IW118*1000000+IQ118*10000+IK118*100+JC118+6/1000)</x:f>
      </x:c>
      <x:c r="JJ118" s="27" t="str">
        <x:f>IF(C118="","",HQ118*1000000000+IX118*1000000+IR118*10000+IL118*100+JD118+5/1000)</x:f>
      </x:c>
      <x:c r="JK118" s="27" t="str">
        <x:f>IF(C118="","",HR118*1000000000+IY118*1000000+IS118*10000+IM118*100+JE118+4/1000)</x:f>
      </x:c>
      <x:c r="JL118" s="27" t="str">
        <x:f>IF(C118="","",HS118*1000000000+IZ118*1000000+IT118*10000+IN118*100+JF118+3/1000)</x:f>
      </x:c>
      <x:c r="JM118" s="27" t="str">
        <x:f>IF(C118="","",HT118*1000000000+JA118*1000000+IU118*10000+IO118*100+JG118+2/1000)</x:f>
      </x:c>
      <x:c r="JN118" s="27" t="str">
        <x:f>IF(C118="","",HU118*1000000000+JB118*1000000+IV118*10000+IP118*100+JH118+1/1000)</x:f>
      </x:c>
    </x:row>
    <x:row r="119">
      <x:c r="A119" s="27"/>
      <x:c r="B119" s="28"/>
      <x:c r="C119" s="27"/>
      <x:c r="D119" s="27"/>
      <x:c r="E119" s="27"/>
      <x:c r="F119" s="27"/>
      <x:c r="G119" s="27"/>
      <x:c r="H119" s="27"/>
      <x:c r="I119" s="27"/>
      <x:c r="J119" s="27"/>
      <x:c r="K119" s="27"/>
      <x:c r="L119" s="27"/>
      <x:c r="M119" s="27"/>
      <x:c r="N119" s="27"/>
      <x:c r="O119" s="27"/>
      <x:c r="P119" s="27"/>
      <x:c r="Q119" s="27"/>
      <x:c r="R119" s="27"/>
      <x:c r="S119" s="27"/>
      <x:c r="T119" s="27"/>
      <x:c r="U119" s="27"/>
      <x:c r="V119" s="27"/>
      <x:c r="W119" s="27"/>
      <x:c r="X119" s="27"/>
      <x:c r="Y119" s="27"/>
      <x:c r="Z119" s="27"/>
      <x:c r="AA119" s="27"/>
      <x:c r="AB119" s="27"/>
      <x:c r="AC119" s="27"/>
      <x:c r="AD119" s="27"/>
      <x:c r="AE119" s="27"/>
      <x:c r="AF119" s="27"/>
      <x:c r="AG119" s="27"/>
      <x:c r="AH119" s="27"/>
      <x:c r="AI119" s="27"/>
      <x:c r="AJ119" s="27"/>
      <x:c r="AK119" s="27"/>
      <x:c r="AL119" s="27"/>
      <x:c r="AM119" s="27"/>
      <x:c r="AN119" s="27"/>
      <x:c r="AO119" s="27"/>
      <x:c r="AP119" s="27"/>
      <x:c r="AQ119" s="27"/>
      <x:c r="AR119" s="27"/>
      <x:c r="AS119" s="27"/>
      <x:c r="AT119" s="27"/>
      <x:c r="AU119" s="27"/>
      <x:c r="AV119" s="27"/>
      <x:c r="AW119" s="27"/>
      <x:c r="AX119" s="27"/>
      <x:c r="AY119" s="27"/>
      <x:c r="AZ119" s="27"/>
      <x:c r="BA119" s="27"/>
      <x:c r="BB119" s="27"/>
      <x:c r="BC119" s="27"/>
      <x:c r="BD119" s="27"/>
      <x:c r="BE119" s="27"/>
      <x:c r="BF119" s="27"/>
      <x:c r="BG119" s="27"/>
      <x:c r="BH119" s="27"/>
      <x:c r="BI119" s="27"/>
      <x:c r="BJ119" s="27"/>
      <x:c r="BK119" s="27"/>
      <x:c r="BL119" s="27"/>
      <x:c r="BM119" s="27"/>
      <x:c r="BN119" s="27"/>
      <x:c r="BO119" s="27"/>
      <x:c r="BP119" s="27"/>
      <x:c r="BQ119" s="27"/>
      <x:c r="BR119" s="27"/>
      <x:c r="BS119" s="27"/>
      <x:c r="BT119" s="27"/>
      <x:c r="BU119" s="27"/>
      <x:c r="BV119" s="27"/>
      <x:c r="BW119" s="27"/>
      <x:c r="BX119" s="27"/>
      <x:c r="BY119" s="27"/>
      <x:c r="BZ119" s="27"/>
      <x:c r="CA119" s="27"/>
      <x:c r="CB119" s="27"/>
      <x:c r="CC119" s="27"/>
      <x:c r="CD119" s="27"/>
      <x:c r="CE119" s="27"/>
      <x:c r="CF119" s="27"/>
      <x:c r="CG119" s="27"/>
      <x:c r="CH119" s="27"/>
      <x:c r="CI119" s="27"/>
      <x:c r="CJ119" s="27"/>
      <x:c r="CK119" s="27"/>
      <x:c r="CL119" s="27"/>
      <x:c r="CM119" s="27"/>
      <x:c r="CN119" s="27"/>
      <x:c r="CO119" s="27"/>
      <x:c r="CP119" s="27"/>
      <x:c r="CQ119" s="27"/>
      <x:c r="CR119" s="27"/>
      <x:c r="CS119" s="27"/>
      <x:c r="CT119" s="27"/>
      <x:c r="CU119" s="27"/>
      <x:c r="CV119" s="27"/>
      <x:c r="CW119" s="27"/>
      <x:c r="CX119" s="27"/>
      <x:c r="CY119" s="27"/>
      <x:c r="CZ119" s="27"/>
      <x:c r="DA119" s="27"/>
      <x:c r="DB119" s="27"/>
      <x:c r="DC119" s="27"/>
      <x:c r="DD119" s="27"/>
      <x:c r="DE119" s="27"/>
      <x:c r="DF119" s="27"/>
      <x:c r="DG119" s="27"/>
      <x:c r="DH119" s="27"/>
      <x:c r="DI119" s="27"/>
      <x:c r="DJ119" s="27"/>
      <x:c r="DK119" s="27"/>
      <x:c r="DL119" s="27"/>
      <x:c r="DM119" s="27"/>
      <x:c r="DN119" s="27"/>
      <x:c r="DO119" s="27"/>
      <x:c r="DP119" s="27"/>
      <x:c r="DQ119" s="27"/>
      <x:c r="DR119" s="27"/>
      <x:c r="DS119" s="27"/>
      <x:c r="DT119" s="27"/>
      <x:c r="DU119" s="27"/>
      <x:c r="DV119" s="27"/>
      <x:c r="DW119" s="27"/>
      <x:c r="DX119" s="27"/>
      <x:c r="DY119" s="27"/>
      <x:c r="DZ119" s="27"/>
      <x:c r="EA119" s="27"/>
      <x:c r="EB119" s="27"/>
      <x:c r="EC119" s="27"/>
      <x:c r="ED119" s="27"/>
      <x:c r="EE119" s="27"/>
      <x:c r="EF119" s="27"/>
      <x:c r="EG119" s="27"/>
      <x:c r="EH119" s="27"/>
      <x:c r="EI119" s="27"/>
      <x:c r="EJ119" s="27"/>
      <x:c r="EK119" s="27"/>
      <x:c r="EL119" s="27"/>
      <x:c r="EM119" s="27"/>
      <x:c r="EN119" s="27"/>
      <x:c r="EO119" s="27"/>
      <x:c r="EP119" s="27"/>
      <x:c r="EQ119" s="27"/>
      <x:c r="ER119" s="27"/>
      <x:c r="ES119" s="27"/>
      <x:c r="ET119" s="27"/>
      <x:c r="EU119" s="27"/>
      <x:c r="EV119" s="27"/>
      <x:c r="EW119" s="27"/>
      <x:c r="EX119" s="27"/>
      <x:c r="EY119" s="27"/>
      <x:c r="EZ119" s="27"/>
      <x:c r="FA119" s="27"/>
      <x:c r="FB119" s="27"/>
      <x:c r="FC119" s="27"/>
      <x:c r="FD119" s="27"/>
      <x:c r="FE119" s="27"/>
      <x:c r="FF119" s="27"/>
      <x:c r="FG119" s="27"/>
      <x:c r="FH119" s="27"/>
      <x:c r="FI119" s="27"/>
      <x:c r="FJ119" s="27"/>
      <x:c r="FK119" s="27"/>
      <x:c r="FL119" s="27"/>
      <x:c r="FM119" s="27"/>
      <x:c r="FN119" s="27"/>
      <x:c r="FO119" s="27"/>
      <x:c r="FP119" s="27"/>
      <x:c r="FQ119" s="27"/>
      <x:c r="FR119" s="27"/>
      <x:c r="FS119" s="27"/>
      <x:c r="FT119" s="27"/>
      <x:c r="FU119" s="27"/>
      <x:c r="FV119" s="27"/>
      <x:c r="FW119" s="27"/>
      <x:c r="FX119" s="27"/>
      <x:c r="FY119" s="27"/>
      <x:c r="FZ119" s="27"/>
      <x:c r="GA119" s="27"/>
      <x:c r="GB119" s="27"/>
      <x:c r="GC119" s="27"/>
      <x:c r="GD119" s="27"/>
      <x:c r="GE119" s="27"/>
      <x:c r="GF119" s="27"/>
      <x:c r="GG119" s="27"/>
      <x:c r="GH119" s="27"/>
      <x:c r="GI119" s="27"/>
      <x:c r="GJ119" s="27"/>
      <x:c r="GK119" s="27"/>
      <x:c r="GL119" s="27"/>
      <x:c r="GM119" s="27"/>
      <x:c r="GN119" s="27"/>
      <x:c r="GO119" s="27"/>
      <x:c r="GP119" s="27"/>
      <x:c r="GQ119" s="27"/>
      <x:c r="GR119" s="27"/>
      <x:c r="GS119" s="27"/>
      <x:c r="GT119" s="27"/>
      <x:c r="GU119" s="27"/>
      <x:c r="GV119" s="27"/>
      <x:c r="GW119" s="27"/>
      <x:c r="GX119" s="27"/>
      <x:c r="GY119" s="27"/>
      <x:c r="GZ119" s="27"/>
      <x:c r="HA119" s="27"/>
      <x:c r="HB119" s="27"/>
      <x:c r="HC119" s="27"/>
      <x:c r="HD119" s="27"/>
      <x:c r="HE119" s="27"/>
      <x:c r="HF119" s="27"/>
      <x:c r="HG119" s="27"/>
      <x:c r="HH119" s="27"/>
      <x:c r="HI119" s="27"/>
      <x:c r="HJ119" s="27"/>
      <x:c r="HK119" s="27"/>
      <x:c r="HL119" s="27"/>
      <x:c r="HM119" s="27"/>
      <x:c r="HN119" s="27"/>
      <x:c r="HO119" s="27"/>
      <x:c r="HP119" s="27" t="str">
        <x:f>IF(C119="","",SUM(H119,N119,T119,Z119,AF119,AL119,AR119,AX119,BD119,BJ119,BP119,BV119,CB119,CH119,CN119,CT119,CZ119,DF119,DL119,DR119,DX119,ED119,EJ119,EP119,EV119,FB119,FH119,FN119,FT119,FZ119,GF119,GL119,GR119,GX119,HD119,HJ119))</x:f>
      </x:c>
      <x:c r="HQ119" s="27" t="str">
        <x:f>IF(C119="","",SUM(I119,O119,U119,AA119,AG119,AM119,AS119,AY119,BE119,BK119,BQ119,BW119,CC119,CI119,CO119,CU119,DA119,DG119,DM119,DS119,DY119,EE119,EK119,EQ119,EW119,FC119,FI119,FO119,FU119,GA119,GG119,GM119,GS119,GY119,HE119,HK119))</x:f>
      </x:c>
      <x:c r="HR119" s="27" t="str">
        <x:f>IF(C119="","",SUM(J119,P119,V119,AB119,AH119,AN119,AT119,AZ119,BF119,BL119,BR119,BX119,CD119,CJ119,CP119,CV119,DB119,DH119,DN119,DT119,DZ119,EF119,EL119,ER119,EX119,FD119,FJ119,FP119,FV119,GB119,GH119,GN119,GT119,GZ119,HF119,HL119))</x:f>
      </x:c>
      <x:c r="HS119" s="27" t="str">
        <x:f>IF(C119="","",SUM(K119,Q119,W119,AC119,AI119,AO119,AU119,BA119,BG119,BM119,BS119,BY119,CE119,CK119,CQ119,CW119,DC119,DI119,DO119,DU119,EA119,EG119,EM119,ES119,EY119,FE119,FK119,FQ119,FW119,GC119,GI119,GO119,GU119,HA119,HG119,HM119))</x:f>
      </x:c>
      <x:c r="HT119" s="27" t="str">
        <x:f>IF(C119="","",SUM(L119,R119,X119,AD119,AJ119,AP119,AV119,BB119,BH119,BN119,BT119,BZ119,CF119,CL119,CR119,CX119,DD119,DJ119,DP119,DV119,EB119,EH119,EN119,ET119,EZ119,FF119,FL119,FR119,FX119,GD119,GJ119,GP119,GV119,HB119,HH119,HN119))</x:f>
      </x:c>
      <x:c r="HU119" s="27" t="str">
        <x:f>IF(C119="","",SUM(M119,S119,Y119,AE119,AK119,AQ119,AW119,BC119,BI119,BO119,BU119,CA119,CG119,CM119,CS119,CY119,DE119,DK119,DQ119,DW119,EC119,EI119,EO119,EU119,FA119,FG119,FM119,FS119,FY119,GE119,GK119,GQ119,GW119,HC119,HI119,HO119))</x:f>
      </x:c>
      <x:c r="HV119" s="27" t="str">
        <x:f>IF(C119="","",IF(JI119=LARGE(JI119:JN119,1),"R",IF(JJ119=LARGE(JI119:JN119,1),"I",IF(JK119=LARGE(JI119:JN119,1),"A",IF(JL119=LARGE(JI119:JN119,1),"S",IF(JM119=LARGE(JI119:JN119,1),"E",IF(JN119=LARGE(JI119:JN119,1),"C",""))))))&amp;IF(JI119=LARGE(JI119:JN119,2),"R",IF(JJ119=LARGE(JI119:JN119,2),"I",IF(JK119=LARGE(JI119:JN119,2),"A",IF(JL119=LARGE(JI119:JN119,2),"S",IF(JM119=LARGE(JI119:JN119,2),"E",IF(JN119=LARGE(JI119:JN119,2),"C",""))))))&amp;IF(JI119=LARGE(JI119:JN119,3),"R",IF(JJ119=LARGE(JI119:JN119,3),"I",IF(JK119=LARGE(JI119:JN119,3),"A",IF(JL119=LARGE(JI119:JN119,3),"S",IF(JM119=LARGE(JI119:JN119,3),"E",IF(JN119=LARGE(JI119:JN119,3),"C","")))))))</x:f>
      </x:c>
      <x:c r="HW119" s="27" t="str">
        <x:f>IF(C119="","",IF(JI119=LARGE(JI119:JN119,1),"นักปฏิบัติ",IF(JJ119=LARGE(JI119:JN119,1),"นักคิดวิเคราะห์",IF(JK119=LARGE(JI119:JN119,1),"นักสร้างสรรค์",IF(JL119=LARGE(JI119:JN119,1),"ผู้เข้าใจผู้คน",IF(JM119=LARGE(JI119:JN119,1),"ผู้นำการเปลี่ยนแปลง",IF(JN119=LARGE(JI119:JN119,1),"ผู้จัดระบบ","ผู้จัดระบบ")))))))</x:f>
      </x:c>
      <x:c r="HX119" s="27"/>
      <x:c r="HY119" s="27"/>
      <x:c r="HZ119" s="27"/>
      <x:c r="IA119" s="27"/>
      <x:c r="IB119" s="27"/>
      <x:c r="IC119" s="27"/>
      <x:c r="ID119" s="27"/>
      <x:c r="IE119" s="27"/>
      <x:c r="IF119" s="27"/>
      <x:c r="IG119" s="27"/>
      <x:c r="IH119" s="27"/>
      <x:c r="II119" s="27"/>
      <x:c r="IJ119" s="27"/>
      <x:c r="IK119" s="27" t="str">
        <x:f>IF(C119="","",SUM(H119,N119,T119,Z119,AF119,AL119,AR119,AX119,BD119,BJ119,BP119))</x:f>
      </x:c>
      <x:c r="IL119" s="27" t="str">
        <x:f>IF(C119="","",SUM(I119,O119,U119,AA119,AG119,AM119,AS119,AY119,BE119,BK119,BQ119))</x:f>
      </x:c>
      <x:c r="IM119" s="27" t="str">
        <x:f>IF(C119="","",SUM(J119,P119,V119,AB119,AH119,AN119,AT119,AZ119,BF119,BL119,BR119))</x:f>
      </x:c>
      <x:c r="IN119" s="27" t="str">
        <x:f>IF(C119="","",SUM(K119,Q119,W119,AC119,AI119,AO119,AU119,BA119,BG119,BM119,BS119))</x:f>
      </x:c>
      <x:c r="IO119" s="27" t="str">
        <x:f>IF(C119="","",SUM(L119,R119,X119,AD119,AJ119,AP119,AV119,BB119,BH119,BN119,BT119))</x:f>
      </x:c>
      <x:c r="IP119" s="27" t="str">
        <x:f>IF(C119="","",SUM(M119,S119,Y119,AE119,AK119,AQ119,AW119,BC119,BI119,BO119,BU119))</x:f>
      </x:c>
      <x:c r="IQ119" s="27" t="str">
        <x:f>IF(C119="","",SUM(BV119,CB119,CH119,CN119,CT119,CZ119,DF119,DL119,DR119,DX119,ED119))</x:f>
      </x:c>
      <x:c r="IR119" s="27" t="str">
        <x:f>IF(C119="","",SUM(BW119,CC119,CI119,CO119,CU119,DA119,DG119,DM119,DS119,DY119,EE119))</x:f>
      </x:c>
      <x:c r="IS119" s="27" t="str">
        <x:f>IF(C119="","",SUM(BX119,CD119,CJ119,CP119,CV119,DB119,DH119,DN119,DT119,DZ119,EF119))</x:f>
      </x:c>
      <x:c r="IT119" s="27" t="str">
        <x:f>IF(C119="","",SUM(BY119,CE119,CK119,CQ119,CW119,DC119,DI119,DO119,DU119,EA119,EG119))</x:f>
      </x:c>
      <x:c r="IU119" s="27" t="str">
        <x:f>IF(C119="","",SUM(BZ119,CF119,CL119,CR119,CX119,DD119,DJ119,DP119,DV119,EB119,EH119))</x:f>
      </x:c>
      <x:c r="IV119" s="27" t="str">
        <x:f>IF(C119="","",SUM(CA119,CG119,CM119,CS119,CY119,DE119,DK119,DQ119,DW119,EC119,EI119))</x:f>
      </x:c>
      <x:c r="IW119" s="27" t="str">
        <x:f>IF(C119="","",SUM(EJ119,EP119,EV119,FB119,FH119,FN119,FT119,FZ119,GF119,GL119,GR119,GX119,HD119,HJ119))</x:f>
      </x:c>
      <x:c r="IX119" s="27" t="str">
        <x:f>IF(C119="","",SUM(EK119,EQ119,EW119,FC119,FI119,FO119,FU119,GA119,GG119,GM119,GS119,GY119,HE119,HK119))</x:f>
      </x:c>
      <x:c r="IY119" s="27" t="str">
        <x:f>IF(C119="","",SUM(EL119,ER119,EX119,FD119,FJ119,FP119,FV119,GB119,GH119,GN119,GT119,GZ119,HF119,HL119))</x:f>
      </x:c>
      <x:c r="IZ119" s="27" t="str">
        <x:f>IF(C119="","",SUM(EM119,ES119,EY119,FE119,FK119,FQ119,FW119,GC119,GI119,GO119,GU119,HA119,HG119,HM119))</x:f>
      </x:c>
      <x:c r="JA119" s="27" t="str">
        <x:f>IF(C119="","",SUM(EN119,ET119,EZ119,FF119,FL119,FR119,FX119,GD119,GJ119,GP119,GV119,HB119,HH119,HN119))</x:f>
      </x:c>
      <x:c r="JB119" s="27" t="str">
        <x:f>IF(C119="","",SUM(EO119,EU119,FA119,FG119,FM119,FS119,FY119,GE119,GK119,GQ119,GW119,HC119,HI119,HO119))</x:f>
      </x:c>
      <x:c r="JC119" s="27" t="str">
        <x:f>IF(C119="","",0)</x:f>
      </x:c>
      <x:c r="JD119" s="27" t="str">
        <x:f>IF(C119="","",0)</x:f>
      </x:c>
      <x:c r="JE119" s="27" t="str">
        <x:f>IF(C119="","",0)</x:f>
      </x:c>
      <x:c r="JF119" s="27" t="str">
        <x:f>IF(C119="","",0)</x:f>
      </x:c>
      <x:c r="JG119" s="27" t="str">
        <x:f>IF(C119="","",0)</x:f>
      </x:c>
      <x:c r="JH119" s="27" t="str">
        <x:f>IF(C119="","",0)</x:f>
      </x:c>
      <x:c r="JI119" s="27" t="str">
        <x:f>IF(C119="","",HP119*1000000000+IW119*1000000+IQ119*10000+IK119*100+JC119+6/1000)</x:f>
      </x:c>
      <x:c r="JJ119" s="27" t="str">
        <x:f>IF(C119="","",HQ119*1000000000+IX119*1000000+IR119*10000+IL119*100+JD119+5/1000)</x:f>
      </x:c>
      <x:c r="JK119" s="27" t="str">
        <x:f>IF(C119="","",HR119*1000000000+IY119*1000000+IS119*10000+IM119*100+JE119+4/1000)</x:f>
      </x:c>
      <x:c r="JL119" s="27" t="str">
        <x:f>IF(C119="","",HS119*1000000000+IZ119*1000000+IT119*10000+IN119*100+JF119+3/1000)</x:f>
      </x:c>
      <x:c r="JM119" s="27" t="str">
        <x:f>IF(C119="","",HT119*1000000000+JA119*1000000+IU119*10000+IO119*100+JG119+2/1000)</x:f>
      </x:c>
      <x:c r="JN119" s="27" t="str">
        <x:f>IF(C119="","",HU119*1000000000+JB119*1000000+IV119*10000+IP119*100+JH119+1/1000)</x:f>
      </x:c>
    </x:row>
    <x:row r="120">
      <x:c r="A120" s="27"/>
      <x:c r="B120" s="28"/>
      <x:c r="C120" s="27"/>
      <x:c r="D120" s="27"/>
      <x:c r="E120" s="27"/>
      <x:c r="F120" s="27"/>
      <x:c r="G120" s="27"/>
      <x:c r="H120" s="27"/>
      <x:c r="I120" s="27"/>
      <x:c r="J120" s="27"/>
      <x:c r="K120" s="27"/>
      <x:c r="L120" s="27"/>
      <x:c r="M120" s="27"/>
      <x:c r="N120" s="27"/>
      <x:c r="O120" s="27"/>
      <x:c r="P120" s="27"/>
      <x:c r="Q120" s="27"/>
      <x:c r="R120" s="27"/>
      <x:c r="S120" s="27"/>
      <x:c r="T120" s="27"/>
      <x:c r="U120" s="27"/>
      <x:c r="V120" s="27"/>
      <x:c r="W120" s="27"/>
      <x:c r="X120" s="27"/>
      <x:c r="Y120" s="27"/>
      <x:c r="Z120" s="27"/>
      <x:c r="AA120" s="27"/>
      <x:c r="AB120" s="27"/>
      <x:c r="AC120" s="27"/>
      <x:c r="AD120" s="27"/>
      <x:c r="AE120" s="27"/>
      <x:c r="AF120" s="27"/>
      <x:c r="AG120" s="27"/>
      <x:c r="AH120" s="27"/>
      <x:c r="AI120" s="27"/>
      <x:c r="AJ120" s="27"/>
      <x:c r="AK120" s="27"/>
      <x:c r="AL120" s="27"/>
      <x:c r="AM120" s="27"/>
      <x:c r="AN120" s="27"/>
      <x:c r="AO120" s="27"/>
      <x:c r="AP120" s="27"/>
      <x:c r="AQ120" s="27"/>
      <x:c r="AR120" s="27"/>
      <x:c r="AS120" s="27"/>
      <x:c r="AT120" s="27"/>
      <x:c r="AU120" s="27"/>
      <x:c r="AV120" s="27"/>
      <x:c r="AW120" s="27"/>
      <x:c r="AX120" s="27"/>
      <x:c r="AY120" s="27"/>
      <x:c r="AZ120" s="27"/>
      <x:c r="BA120" s="27"/>
      <x:c r="BB120" s="27"/>
      <x:c r="BC120" s="27"/>
      <x:c r="BD120" s="27"/>
      <x:c r="BE120" s="27"/>
      <x:c r="BF120" s="27"/>
      <x:c r="BG120" s="27"/>
      <x:c r="BH120" s="27"/>
      <x:c r="BI120" s="27"/>
      <x:c r="BJ120" s="27"/>
      <x:c r="BK120" s="27"/>
      <x:c r="BL120" s="27"/>
      <x:c r="BM120" s="27"/>
      <x:c r="BN120" s="27"/>
      <x:c r="BO120" s="27"/>
      <x:c r="BP120" s="27"/>
      <x:c r="BQ120" s="27"/>
      <x:c r="BR120" s="27"/>
      <x:c r="BS120" s="27"/>
      <x:c r="BT120" s="27"/>
      <x:c r="BU120" s="27"/>
      <x:c r="BV120" s="27"/>
      <x:c r="BW120" s="27"/>
      <x:c r="BX120" s="27"/>
      <x:c r="BY120" s="27"/>
      <x:c r="BZ120" s="27"/>
      <x:c r="CA120" s="27"/>
      <x:c r="CB120" s="27"/>
      <x:c r="CC120" s="27"/>
      <x:c r="CD120" s="27"/>
      <x:c r="CE120" s="27"/>
      <x:c r="CF120" s="27"/>
      <x:c r="CG120" s="27"/>
      <x:c r="CH120" s="27"/>
      <x:c r="CI120" s="27"/>
      <x:c r="CJ120" s="27"/>
      <x:c r="CK120" s="27"/>
      <x:c r="CL120" s="27"/>
      <x:c r="CM120" s="27"/>
      <x:c r="CN120" s="27"/>
      <x:c r="CO120" s="27"/>
      <x:c r="CP120" s="27"/>
      <x:c r="CQ120" s="27"/>
      <x:c r="CR120" s="27"/>
      <x:c r="CS120" s="27"/>
      <x:c r="CT120" s="27"/>
      <x:c r="CU120" s="27"/>
      <x:c r="CV120" s="27"/>
      <x:c r="CW120" s="27"/>
      <x:c r="CX120" s="27"/>
      <x:c r="CY120" s="27"/>
      <x:c r="CZ120" s="27"/>
      <x:c r="DA120" s="27"/>
      <x:c r="DB120" s="27"/>
      <x:c r="DC120" s="27"/>
      <x:c r="DD120" s="27"/>
      <x:c r="DE120" s="27"/>
      <x:c r="DF120" s="27"/>
      <x:c r="DG120" s="27"/>
      <x:c r="DH120" s="27"/>
      <x:c r="DI120" s="27"/>
      <x:c r="DJ120" s="27"/>
      <x:c r="DK120" s="27"/>
      <x:c r="DL120" s="27"/>
      <x:c r="DM120" s="27"/>
      <x:c r="DN120" s="27"/>
      <x:c r="DO120" s="27"/>
      <x:c r="DP120" s="27"/>
      <x:c r="DQ120" s="27"/>
      <x:c r="DR120" s="27"/>
      <x:c r="DS120" s="27"/>
      <x:c r="DT120" s="27"/>
      <x:c r="DU120" s="27"/>
      <x:c r="DV120" s="27"/>
      <x:c r="DW120" s="27"/>
      <x:c r="DX120" s="27"/>
      <x:c r="DY120" s="27"/>
      <x:c r="DZ120" s="27"/>
      <x:c r="EA120" s="27"/>
      <x:c r="EB120" s="27"/>
      <x:c r="EC120" s="27"/>
      <x:c r="ED120" s="27"/>
      <x:c r="EE120" s="27"/>
      <x:c r="EF120" s="27"/>
      <x:c r="EG120" s="27"/>
      <x:c r="EH120" s="27"/>
      <x:c r="EI120" s="27"/>
      <x:c r="EJ120" s="27"/>
      <x:c r="EK120" s="27"/>
      <x:c r="EL120" s="27"/>
      <x:c r="EM120" s="27"/>
      <x:c r="EN120" s="27"/>
      <x:c r="EO120" s="27"/>
      <x:c r="EP120" s="27"/>
      <x:c r="EQ120" s="27"/>
      <x:c r="ER120" s="27"/>
      <x:c r="ES120" s="27"/>
      <x:c r="ET120" s="27"/>
      <x:c r="EU120" s="27"/>
      <x:c r="EV120" s="27"/>
      <x:c r="EW120" s="27"/>
      <x:c r="EX120" s="27"/>
      <x:c r="EY120" s="27"/>
      <x:c r="EZ120" s="27"/>
      <x:c r="FA120" s="27"/>
      <x:c r="FB120" s="27"/>
      <x:c r="FC120" s="27"/>
      <x:c r="FD120" s="27"/>
      <x:c r="FE120" s="27"/>
      <x:c r="FF120" s="27"/>
      <x:c r="FG120" s="27"/>
      <x:c r="FH120" s="27"/>
      <x:c r="FI120" s="27"/>
      <x:c r="FJ120" s="27"/>
      <x:c r="FK120" s="27"/>
      <x:c r="FL120" s="27"/>
      <x:c r="FM120" s="27"/>
      <x:c r="FN120" s="27"/>
      <x:c r="FO120" s="27"/>
      <x:c r="FP120" s="27"/>
      <x:c r="FQ120" s="27"/>
      <x:c r="FR120" s="27"/>
      <x:c r="FS120" s="27"/>
      <x:c r="FT120" s="27"/>
      <x:c r="FU120" s="27"/>
      <x:c r="FV120" s="27"/>
      <x:c r="FW120" s="27"/>
      <x:c r="FX120" s="27"/>
      <x:c r="FY120" s="27"/>
      <x:c r="FZ120" s="27"/>
      <x:c r="GA120" s="27"/>
      <x:c r="GB120" s="27"/>
      <x:c r="GC120" s="27"/>
      <x:c r="GD120" s="27"/>
      <x:c r="GE120" s="27"/>
      <x:c r="GF120" s="27"/>
      <x:c r="GG120" s="27"/>
      <x:c r="GH120" s="27"/>
      <x:c r="GI120" s="27"/>
      <x:c r="GJ120" s="27"/>
      <x:c r="GK120" s="27"/>
      <x:c r="GL120" s="27"/>
      <x:c r="GM120" s="27"/>
      <x:c r="GN120" s="27"/>
      <x:c r="GO120" s="27"/>
      <x:c r="GP120" s="27"/>
      <x:c r="GQ120" s="27"/>
      <x:c r="GR120" s="27"/>
      <x:c r="GS120" s="27"/>
      <x:c r="GT120" s="27"/>
      <x:c r="GU120" s="27"/>
      <x:c r="GV120" s="27"/>
      <x:c r="GW120" s="27"/>
      <x:c r="GX120" s="27"/>
      <x:c r="GY120" s="27"/>
      <x:c r="GZ120" s="27"/>
      <x:c r="HA120" s="27"/>
      <x:c r="HB120" s="27"/>
      <x:c r="HC120" s="27"/>
      <x:c r="HD120" s="27"/>
      <x:c r="HE120" s="27"/>
      <x:c r="HF120" s="27"/>
      <x:c r="HG120" s="27"/>
      <x:c r="HH120" s="27"/>
      <x:c r="HI120" s="27"/>
      <x:c r="HJ120" s="27"/>
      <x:c r="HK120" s="27"/>
      <x:c r="HL120" s="27"/>
      <x:c r="HM120" s="27"/>
      <x:c r="HN120" s="27"/>
      <x:c r="HO120" s="27"/>
      <x:c r="HP120" s="27" t="str">
        <x:f>IF(C120="","",SUM(H120,N120,T120,Z120,AF120,AL120,AR120,AX120,BD120,BJ120,BP120,BV120,CB120,CH120,CN120,CT120,CZ120,DF120,DL120,DR120,DX120,ED120,EJ120,EP120,EV120,FB120,FH120,FN120,FT120,FZ120,GF120,GL120,GR120,GX120,HD120,HJ120))</x:f>
      </x:c>
      <x:c r="HQ120" s="27" t="str">
        <x:f>IF(C120="","",SUM(I120,O120,U120,AA120,AG120,AM120,AS120,AY120,BE120,BK120,BQ120,BW120,CC120,CI120,CO120,CU120,DA120,DG120,DM120,DS120,DY120,EE120,EK120,EQ120,EW120,FC120,FI120,FO120,FU120,GA120,GG120,GM120,GS120,GY120,HE120,HK120))</x:f>
      </x:c>
      <x:c r="HR120" s="27" t="str">
        <x:f>IF(C120="","",SUM(J120,P120,V120,AB120,AH120,AN120,AT120,AZ120,BF120,BL120,BR120,BX120,CD120,CJ120,CP120,CV120,DB120,DH120,DN120,DT120,DZ120,EF120,EL120,ER120,EX120,FD120,FJ120,FP120,FV120,GB120,GH120,GN120,GT120,GZ120,HF120,HL120))</x:f>
      </x:c>
      <x:c r="HS120" s="27" t="str">
        <x:f>IF(C120="","",SUM(K120,Q120,W120,AC120,AI120,AO120,AU120,BA120,BG120,BM120,BS120,BY120,CE120,CK120,CQ120,CW120,DC120,DI120,DO120,DU120,EA120,EG120,EM120,ES120,EY120,FE120,FK120,FQ120,FW120,GC120,GI120,GO120,GU120,HA120,HG120,HM120))</x:f>
      </x:c>
      <x:c r="HT120" s="27" t="str">
        <x:f>IF(C120="","",SUM(L120,R120,X120,AD120,AJ120,AP120,AV120,BB120,BH120,BN120,BT120,BZ120,CF120,CL120,CR120,CX120,DD120,DJ120,DP120,DV120,EB120,EH120,EN120,ET120,EZ120,FF120,FL120,FR120,FX120,GD120,GJ120,GP120,GV120,HB120,HH120,HN120))</x:f>
      </x:c>
      <x:c r="HU120" s="27" t="str">
        <x:f>IF(C120="","",SUM(M120,S120,Y120,AE120,AK120,AQ120,AW120,BC120,BI120,BO120,BU120,CA120,CG120,CM120,CS120,CY120,DE120,DK120,DQ120,DW120,EC120,EI120,EO120,EU120,FA120,FG120,FM120,FS120,FY120,GE120,GK120,GQ120,GW120,HC120,HI120,HO120))</x:f>
      </x:c>
      <x:c r="HV120" s="27" t="str">
        <x:f>IF(C120="","",IF(JI120=LARGE(JI120:JN120,1),"R",IF(JJ120=LARGE(JI120:JN120,1),"I",IF(JK120=LARGE(JI120:JN120,1),"A",IF(JL120=LARGE(JI120:JN120,1),"S",IF(JM120=LARGE(JI120:JN120,1),"E",IF(JN120=LARGE(JI120:JN120,1),"C",""))))))&amp;IF(JI120=LARGE(JI120:JN120,2),"R",IF(JJ120=LARGE(JI120:JN120,2),"I",IF(JK120=LARGE(JI120:JN120,2),"A",IF(JL120=LARGE(JI120:JN120,2),"S",IF(JM120=LARGE(JI120:JN120,2),"E",IF(JN120=LARGE(JI120:JN120,2),"C",""))))))&amp;IF(JI120=LARGE(JI120:JN120,3),"R",IF(JJ120=LARGE(JI120:JN120,3),"I",IF(JK120=LARGE(JI120:JN120,3),"A",IF(JL120=LARGE(JI120:JN120,3),"S",IF(JM120=LARGE(JI120:JN120,3),"E",IF(JN120=LARGE(JI120:JN120,3),"C","")))))))</x:f>
      </x:c>
      <x:c r="HW120" s="27" t="str">
        <x:f>IF(C120="","",IF(JI120=LARGE(JI120:JN120,1),"นักปฏิบัติ",IF(JJ120=LARGE(JI120:JN120,1),"นักคิดวิเคราะห์",IF(JK120=LARGE(JI120:JN120,1),"นักสร้างสรรค์",IF(JL120=LARGE(JI120:JN120,1),"ผู้เข้าใจผู้คน",IF(JM120=LARGE(JI120:JN120,1),"ผู้นำการเปลี่ยนแปลง",IF(JN120=LARGE(JI120:JN120,1),"ผู้จัดระบบ","ผู้จัดระบบ")))))))</x:f>
      </x:c>
      <x:c r="HX120" s="27"/>
      <x:c r="HY120" s="27"/>
      <x:c r="HZ120" s="27"/>
      <x:c r="IA120" s="27"/>
      <x:c r="IB120" s="27"/>
      <x:c r="IC120" s="27"/>
      <x:c r="ID120" s="27"/>
      <x:c r="IE120" s="27"/>
      <x:c r="IF120" s="27"/>
      <x:c r="IG120" s="27"/>
      <x:c r="IH120" s="27"/>
      <x:c r="II120" s="27"/>
      <x:c r="IJ120" s="27"/>
      <x:c r="IK120" s="27" t="str">
        <x:f>IF(C120="","",SUM(H120,N120,T120,Z120,AF120,AL120,AR120,AX120,BD120,BJ120,BP120))</x:f>
      </x:c>
      <x:c r="IL120" s="27" t="str">
        <x:f>IF(C120="","",SUM(I120,O120,U120,AA120,AG120,AM120,AS120,AY120,BE120,BK120,BQ120))</x:f>
      </x:c>
      <x:c r="IM120" s="27" t="str">
        <x:f>IF(C120="","",SUM(J120,P120,V120,AB120,AH120,AN120,AT120,AZ120,BF120,BL120,BR120))</x:f>
      </x:c>
      <x:c r="IN120" s="27" t="str">
        <x:f>IF(C120="","",SUM(K120,Q120,W120,AC120,AI120,AO120,AU120,BA120,BG120,BM120,BS120))</x:f>
      </x:c>
      <x:c r="IO120" s="27" t="str">
        <x:f>IF(C120="","",SUM(L120,R120,X120,AD120,AJ120,AP120,AV120,BB120,BH120,BN120,BT120))</x:f>
      </x:c>
      <x:c r="IP120" s="27" t="str">
        <x:f>IF(C120="","",SUM(M120,S120,Y120,AE120,AK120,AQ120,AW120,BC120,BI120,BO120,BU120))</x:f>
      </x:c>
      <x:c r="IQ120" s="27" t="str">
        <x:f>IF(C120="","",SUM(BV120,CB120,CH120,CN120,CT120,CZ120,DF120,DL120,DR120,DX120,ED120))</x:f>
      </x:c>
      <x:c r="IR120" s="27" t="str">
        <x:f>IF(C120="","",SUM(BW120,CC120,CI120,CO120,CU120,DA120,DG120,DM120,DS120,DY120,EE120))</x:f>
      </x:c>
      <x:c r="IS120" s="27" t="str">
        <x:f>IF(C120="","",SUM(BX120,CD120,CJ120,CP120,CV120,DB120,DH120,DN120,DT120,DZ120,EF120))</x:f>
      </x:c>
      <x:c r="IT120" s="27" t="str">
        <x:f>IF(C120="","",SUM(BY120,CE120,CK120,CQ120,CW120,DC120,DI120,DO120,DU120,EA120,EG120))</x:f>
      </x:c>
      <x:c r="IU120" s="27" t="str">
        <x:f>IF(C120="","",SUM(BZ120,CF120,CL120,CR120,CX120,DD120,DJ120,DP120,DV120,EB120,EH120))</x:f>
      </x:c>
      <x:c r="IV120" s="27" t="str">
        <x:f>IF(C120="","",SUM(CA120,CG120,CM120,CS120,CY120,DE120,DK120,DQ120,DW120,EC120,EI120))</x:f>
      </x:c>
      <x:c r="IW120" s="27" t="str">
        <x:f>IF(C120="","",SUM(EJ120,EP120,EV120,FB120,FH120,FN120,FT120,FZ120,GF120,GL120,GR120,GX120,HD120,HJ120))</x:f>
      </x:c>
      <x:c r="IX120" s="27" t="str">
        <x:f>IF(C120="","",SUM(EK120,EQ120,EW120,FC120,FI120,FO120,FU120,GA120,GG120,GM120,GS120,GY120,HE120,HK120))</x:f>
      </x:c>
      <x:c r="IY120" s="27" t="str">
        <x:f>IF(C120="","",SUM(EL120,ER120,EX120,FD120,FJ120,FP120,FV120,GB120,GH120,GN120,GT120,GZ120,HF120,HL120))</x:f>
      </x:c>
      <x:c r="IZ120" s="27" t="str">
        <x:f>IF(C120="","",SUM(EM120,ES120,EY120,FE120,FK120,FQ120,FW120,GC120,GI120,GO120,GU120,HA120,HG120,HM120))</x:f>
      </x:c>
      <x:c r="JA120" s="27" t="str">
        <x:f>IF(C120="","",SUM(EN120,ET120,EZ120,FF120,FL120,FR120,FX120,GD120,GJ120,GP120,GV120,HB120,HH120,HN120))</x:f>
      </x:c>
      <x:c r="JB120" s="27" t="str">
        <x:f>IF(C120="","",SUM(EO120,EU120,FA120,FG120,FM120,FS120,FY120,GE120,GK120,GQ120,GW120,HC120,HI120,HO120))</x:f>
      </x:c>
      <x:c r="JC120" s="27" t="str">
        <x:f>IF(C120="","",0)</x:f>
      </x:c>
      <x:c r="JD120" s="27" t="str">
        <x:f>IF(C120="","",0)</x:f>
      </x:c>
      <x:c r="JE120" s="27" t="str">
        <x:f>IF(C120="","",0)</x:f>
      </x:c>
      <x:c r="JF120" s="27" t="str">
        <x:f>IF(C120="","",0)</x:f>
      </x:c>
      <x:c r="JG120" s="27" t="str">
        <x:f>IF(C120="","",0)</x:f>
      </x:c>
      <x:c r="JH120" s="27" t="str">
        <x:f>IF(C120="","",0)</x:f>
      </x:c>
      <x:c r="JI120" s="27" t="str">
        <x:f>IF(C120="","",HP120*1000000000+IW120*1000000+IQ120*10000+IK120*100+JC120+6/1000)</x:f>
      </x:c>
      <x:c r="JJ120" s="27" t="str">
        <x:f>IF(C120="","",HQ120*1000000000+IX120*1000000+IR120*10000+IL120*100+JD120+5/1000)</x:f>
      </x:c>
      <x:c r="JK120" s="27" t="str">
        <x:f>IF(C120="","",HR120*1000000000+IY120*1000000+IS120*10000+IM120*100+JE120+4/1000)</x:f>
      </x:c>
      <x:c r="JL120" s="27" t="str">
        <x:f>IF(C120="","",HS120*1000000000+IZ120*1000000+IT120*10000+IN120*100+JF120+3/1000)</x:f>
      </x:c>
      <x:c r="JM120" s="27" t="str">
        <x:f>IF(C120="","",HT120*1000000000+JA120*1000000+IU120*10000+IO120*100+JG120+2/1000)</x:f>
      </x:c>
      <x:c r="JN120" s="27" t="str">
        <x:f>IF(C120="","",HU120*1000000000+JB120*1000000+IV120*10000+IP120*100+JH120+1/1000)</x:f>
      </x:c>
    </x:row>
    <x:row r="121">
      <x:c r="A121" s="27"/>
      <x:c r="B121" s="28"/>
      <x:c r="C121" s="27"/>
      <x:c r="D121" s="27"/>
      <x:c r="E121" s="27"/>
      <x:c r="F121" s="27"/>
      <x:c r="G121" s="27"/>
      <x:c r="H121" s="27"/>
      <x:c r="I121" s="27"/>
      <x:c r="J121" s="27"/>
      <x:c r="K121" s="27"/>
      <x:c r="L121" s="27"/>
      <x:c r="M121" s="27"/>
      <x:c r="N121" s="27"/>
      <x:c r="O121" s="27"/>
      <x:c r="P121" s="27"/>
      <x:c r="Q121" s="27"/>
      <x:c r="R121" s="27"/>
      <x:c r="S121" s="27"/>
      <x:c r="T121" s="27"/>
      <x:c r="U121" s="27"/>
      <x:c r="V121" s="27"/>
      <x:c r="W121" s="27"/>
      <x:c r="X121" s="27"/>
      <x:c r="Y121" s="27"/>
      <x:c r="Z121" s="27"/>
      <x:c r="AA121" s="27"/>
      <x:c r="AB121" s="27"/>
      <x:c r="AC121" s="27"/>
      <x:c r="AD121" s="27"/>
      <x:c r="AE121" s="27"/>
      <x:c r="AF121" s="27"/>
      <x:c r="AG121" s="27"/>
      <x:c r="AH121" s="27"/>
      <x:c r="AI121" s="27"/>
      <x:c r="AJ121" s="27"/>
      <x:c r="AK121" s="27"/>
      <x:c r="AL121" s="27"/>
      <x:c r="AM121" s="27"/>
      <x:c r="AN121" s="27"/>
      <x:c r="AO121" s="27"/>
      <x:c r="AP121" s="27"/>
      <x:c r="AQ121" s="27"/>
      <x:c r="AR121" s="27"/>
      <x:c r="AS121" s="27"/>
      <x:c r="AT121" s="27"/>
      <x:c r="AU121" s="27"/>
      <x:c r="AV121" s="27"/>
      <x:c r="AW121" s="27"/>
      <x:c r="AX121" s="27"/>
      <x:c r="AY121" s="27"/>
      <x:c r="AZ121" s="27"/>
      <x:c r="BA121" s="27"/>
      <x:c r="BB121" s="27"/>
      <x:c r="BC121" s="27"/>
      <x:c r="BD121" s="27"/>
      <x:c r="BE121" s="27"/>
      <x:c r="BF121" s="27"/>
      <x:c r="BG121" s="27"/>
      <x:c r="BH121" s="27"/>
      <x:c r="BI121" s="27"/>
      <x:c r="BJ121" s="27"/>
      <x:c r="BK121" s="27"/>
      <x:c r="BL121" s="27"/>
      <x:c r="BM121" s="27"/>
      <x:c r="BN121" s="27"/>
      <x:c r="BO121" s="27"/>
      <x:c r="BP121" s="27"/>
      <x:c r="BQ121" s="27"/>
      <x:c r="BR121" s="27"/>
      <x:c r="BS121" s="27"/>
      <x:c r="BT121" s="27"/>
      <x:c r="BU121" s="27"/>
      <x:c r="BV121" s="27"/>
      <x:c r="BW121" s="27"/>
      <x:c r="BX121" s="27"/>
      <x:c r="BY121" s="27"/>
      <x:c r="BZ121" s="27"/>
      <x:c r="CA121" s="27"/>
      <x:c r="CB121" s="27"/>
      <x:c r="CC121" s="27"/>
      <x:c r="CD121" s="27"/>
      <x:c r="CE121" s="27"/>
      <x:c r="CF121" s="27"/>
      <x:c r="CG121" s="27"/>
      <x:c r="CH121" s="27"/>
      <x:c r="CI121" s="27"/>
      <x:c r="CJ121" s="27"/>
      <x:c r="CK121" s="27"/>
      <x:c r="CL121" s="27"/>
      <x:c r="CM121" s="27"/>
      <x:c r="CN121" s="27"/>
      <x:c r="CO121" s="27"/>
      <x:c r="CP121" s="27"/>
      <x:c r="CQ121" s="27"/>
      <x:c r="CR121" s="27"/>
      <x:c r="CS121" s="27"/>
      <x:c r="CT121" s="27"/>
      <x:c r="CU121" s="27"/>
      <x:c r="CV121" s="27"/>
      <x:c r="CW121" s="27"/>
      <x:c r="CX121" s="27"/>
      <x:c r="CY121" s="27"/>
      <x:c r="CZ121" s="27"/>
      <x:c r="DA121" s="27"/>
      <x:c r="DB121" s="27"/>
      <x:c r="DC121" s="27"/>
      <x:c r="DD121" s="27"/>
      <x:c r="DE121" s="27"/>
      <x:c r="DF121" s="27"/>
      <x:c r="DG121" s="27"/>
      <x:c r="DH121" s="27"/>
      <x:c r="DI121" s="27"/>
      <x:c r="DJ121" s="27"/>
      <x:c r="DK121" s="27"/>
      <x:c r="DL121" s="27"/>
      <x:c r="DM121" s="27"/>
      <x:c r="DN121" s="27"/>
      <x:c r="DO121" s="27"/>
      <x:c r="DP121" s="27"/>
      <x:c r="DQ121" s="27"/>
      <x:c r="DR121" s="27"/>
      <x:c r="DS121" s="27"/>
      <x:c r="DT121" s="27"/>
      <x:c r="DU121" s="27"/>
      <x:c r="DV121" s="27"/>
      <x:c r="DW121" s="27"/>
      <x:c r="DX121" s="27"/>
      <x:c r="DY121" s="27"/>
      <x:c r="DZ121" s="27"/>
      <x:c r="EA121" s="27"/>
      <x:c r="EB121" s="27"/>
      <x:c r="EC121" s="27"/>
      <x:c r="ED121" s="27"/>
      <x:c r="EE121" s="27"/>
      <x:c r="EF121" s="27"/>
      <x:c r="EG121" s="27"/>
      <x:c r="EH121" s="27"/>
      <x:c r="EI121" s="27"/>
      <x:c r="EJ121" s="27"/>
      <x:c r="EK121" s="27"/>
      <x:c r="EL121" s="27"/>
      <x:c r="EM121" s="27"/>
      <x:c r="EN121" s="27"/>
      <x:c r="EO121" s="27"/>
      <x:c r="EP121" s="27"/>
      <x:c r="EQ121" s="27"/>
      <x:c r="ER121" s="27"/>
      <x:c r="ES121" s="27"/>
      <x:c r="ET121" s="27"/>
      <x:c r="EU121" s="27"/>
      <x:c r="EV121" s="27"/>
      <x:c r="EW121" s="27"/>
      <x:c r="EX121" s="27"/>
      <x:c r="EY121" s="27"/>
      <x:c r="EZ121" s="27"/>
      <x:c r="FA121" s="27"/>
      <x:c r="FB121" s="27"/>
      <x:c r="FC121" s="27"/>
      <x:c r="FD121" s="27"/>
      <x:c r="FE121" s="27"/>
      <x:c r="FF121" s="27"/>
      <x:c r="FG121" s="27"/>
      <x:c r="FH121" s="27"/>
      <x:c r="FI121" s="27"/>
      <x:c r="FJ121" s="27"/>
      <x:c r="FK121" s="27"/>
      <x:c r="FL121" s="27"/>
      <x:c r="FM121" s="27"/>
      <x:c r="FN121" s="27"/>
      <x:c r="FO121" s="27"/>
      <x:c r="FP121" s="27"/>
      <x:c r="FQ121" s="27"/>
      <x:c r="FR121" s="27"/>
      <x:c r="FS121" s="27"/>
      <x:c r="FT121" s="27"/>
      <x:c r="FU121" s="27"/>
      <x:c r="FV121" s="27"/>
      <x:c r="FW121" s="27"/>
      <x:c r="FX121" s="27"/>
      <x:c r="FY121" s="27"/>
      <x:c r="FZ121" s="27"/>
      <x:c r="GA121" s="27"/>
      <x:c r="GB121" s="27"/>
      <x:c r="GC121" s="27"/>
      <x:c r="GD121" s="27"/>
      <x:c r="GE121" s="27"/>
      <x:c r="GF121" s="27"/>
      <x:c r="GG121" s="27"/>
      <x:c r="GH121" s="27"/>
      <x:c r="GI121" s="27"/>
      <x:c r="GJ121" s="27"/>
      <x:c r="GK121" s="27"/>
      <x:c r="GL121" s="27"/>
      <x:c r="GM121" s="27"/>
      <x:c r="GN121" s="27"/>
      <x:c r="GO121" s="27"/>
      <x:c r="GP121" s="27"/>
      <x:c r="GQ121" s="27"/>
      <x:c r="GR121" s="27"/>
      <x:c r="GS121" s="27"/>
      <x:c r="GT121" s="27"/>
      <x:c r="GU121" s="27"/>
      <x:c r="GV121" s="27"/>
      <x:c r="GW121" s="27"/>
      <x:c r="GX121" s="27"/>
      <x:c r="GY121" s="27"/>
      <x:c r="GZ121" s="27"/>
      <x:c r="HA121" s="27"/>
      <x:c r="HB121" s="27"/>
      <x:c r="HC121" s="27"/>
      <x:c r="HD121" s="27"/>
      <x:c r="HE121" s="27"/>
      <x:c r="HF121" s="27"/>
      <x:c r="HG121" s="27"/>
      <x:c r="HH121" s="27"/>
      <x:c r="HI121" s="27"/>
      <x:c r="HJ121" s="27"/>
      <x:c r="HK121" s="27"/>
      <x:c r="HL121" s="27"/>
      <x:c r="HM121" s="27"/>
      <x:c r="HN121" s="27"/>
      <x:c r="HO121" s="27"/>
      <x:c r="HP121" s="27" t="str">
        <x:f>IF(C121="","",SUM(H121,N121,T121,Z121,AF121,AL121,AR121,AX121,BD121,BJ121,BP121,BV121,CB121,CH121,CN121,CT121,CZ121,DF121,DL121,DR121,DX121,ED121,EJ121,EP121,EV121,FB121,FH121,FN121,FT121,FZ121,GF121,GL121,GR121,GX121,HD121,HJ121))</x:f>
      </x:c>
      <x:c r="HQ121" s="27" t="str">
        <x:f>IF(C121="","",SUM(I121,O121,U121,AA121,AG121,AM121,AS121,AY121,BE121,BK121,BQ121,BW121,CC121,CI121,CO121,CU121,DA121,DG121,DM121,DS121,DY121,EE121,EK121,EQ121,EW121,FC121,FI121,FO121,FU121,GA121,GG121,GM121,GS121,GY121,HE121,HK121))</x:f>
      </x:c>
      <x:c r="HR121" s="27" t="str">
        <x:f>IF(C121="","",SUM(J121,P121,V121,AB121,AH121,AN121,AT121,AZ121,BF121,BL121,BR121,BX121,CD121,CJ121,CP121,CV121,DB121,DH121,DN121,DT121,DZ121,EF121,EL121,ER121,EX121,FD121,FJ121,FP121,FV121,GB121,GH121,GN121,GT121,GZ121,HF121,HL121))</x:f>
      </x:c>
      <x:c r="HS121" s="27" t="str">
        <x:f>IF(C121="","",SUM(K121,Q121,W121,AC121,AI121,AO121,AU121,BA121,BG121,BM121,BS121,BY121,CE121,CK121,CQ121,CW121,DC121,DI121,DO121,DU121,EA121,EG121,EM121,ES121,EY121,FE121,FK121,FQ121,FW121,GC121,GI121,GO121,GU121,HA121,HG121,HM121))</x:f>
      </x:c>
      <x:c r="HT121" s="27" t="str">
        <x:f>IF(C121="","",SUM(L121,R121,X121,AD121,AJ121,AP121,AV121,BB121,BH121,BN121,BT121,BZ121,CF121,CL121,CR121,CX121,DD121,DJ121,DP121,DV121,EB121,EH121,EN121,ET121,EZ121,FF121,FL121,FR121,FX121,GD121,GJ121,GP121,GV121,HB121,HH121,HN121))</x:f>
      </x:c>
      <x:c r="HU121" s="27" t="str">
        <x:f>IF(C121="","",SUM(M121,S121,Y121,AE121,AK121,AQ121,AW121,BC121,BI121,BO121,BU121,CA121,CG121,CM121,CS121,CY121,DE121,DK121,DQ121,DW121,EC121,EI121,EO121,EU121,FA121,FG121,FM121,FS121,FY121,GE121,GK121,GQ121,GW121,HC121,HI121,HO121))</x:f>
      </x:c>
      <x:c r="HV121" s="27" t="str">
        <x:f>IF(C121="","",IF(JI121=LARGE(JI121:JN121,1),"R",IF(JJ121=LARGE(JI121:JN121,1),"I",IF(JK121=LARGE(JI121:JN121,1),"A",IF(JL121=LARGE(JI121:JN121,1),"S",IF(JM121=LARGE(JI121:JN121,1),"E",IF(JN121=LARGE(JI121:JN121,1),"C",""))))))&amp;IF(JI121=LARGE(JI121:JN121,2),"R",IF(JJ121=LARGE(JI121:JN121,2),"I",IF(JK121=LARGE(JI121:JN121,2),"A",IF(JL121=LARGE(JI121:JN121,2),"S",IF(JM121=LARGE(JI121:JN121,2),"E",IF(JN121=LARGE(JI121:JN121,2),"C",""))))))&amp;IF(JI121=LARGE(JI121:JN121,3),"R",IF(JJ121=LARGE(JI121:JN121,3),"I",IF(JK121=LARGE(JI121:JN121,3),"A",IF(JL121=LARGE(JI121:JN121,3),"S",IF(JM121=LARGE(JI121:JN121,3),"E",IF(JN121=LARGE(JI121:JN121,3),"C","")))))))</x:f>
      </x:c>
      <x:c r="HW121" s="27" t="str">
        <x:f>IF(C121="","",IF(JI121=LARGE(JI121:JN121,1),"นักปฏิบัติ",IF(JJ121=LARGE(JI121:JN121,1),"นักคิดวิเคราะห์",IF(JK121=LARGE(JI121:JN121,1),"นักสร้างสรรค์",IF(JL121=LARGE(JI121:JN121,1),"ผู้เข้าใจผู้คน",IF(JM121=LARGE(JI121:JN121,1),"ผู้นำการเปลี่ยนแปลง",IF(JN121=LARGE(JI121:JN121,1),"ผู้จัดระบบ","ผู้จัดระบบ")))))))</x:f>
      </x:c>
      <x:c r="HX121" s="27"/>
      <x:c r="HY121" s="27"/>
      <x:c r="HZ121" s="27"/>
      <x:c r="IA121" s="27"/>
      <x:c r="IB121" s="27"/>
      <x:c r="IC121" s="27"/>
      <x:c r="ID121" s="27"/>
      <x:c r="IE121" s="27"/>
      <x:c r="IF121" s="27"/>
      <x:c r="IG121" s="27"/>
      <x:c r="IH121" s="27"/>
      <x:c r="II121" s="27"/>
      <x:c r="IJ121" s="27"/>
      <x:c r="IK121" s="27" t="str">
        <x:f>IF(C121="","",SUM(H121,N121,T121,Z121,AF121,AL121,AR121,AX121,BD121,BJ121,BP121))</x:f>
      </x:c>
      <x:c r="IL121" s="27" t="str">
        <x:f>IF(C121="","",SUM(I121,O121,U121,AA121,AG121,AM121,AS121,AY121,BE121,BK121,BQ121))</x:f>
      </x:c>
      <x:c r="IM121" s="27" t="str">
        <x:f>IF(C121="","",SUM(J121,P121,V121,AB121,AH121,AN121,AT121,AZ121,BF121,BL121,BR121))</x:f>
      </x:c>
      <x:c r="IN121" s="27" t="str">
        <x:f>IF(C121="","",SUM(K121,Q121,W121,AC121,AI121,AO121,AU121,BA121,BG121,BM121,BS121))</x:f>
      </x:c>
      <x:c r="IO121" s="27" t="str">
        <x:f>IF(C121="","",SUM(L121,R121,X121,AD121,AJ121,AP121,AV121,BB121,BH121,BN121,BT121))</x:f>
      </x:c>
      <x:c r="IP121" s="27" t="str">
        <x:f>IF(C121="","",SUM(M121,S121,Y121,AE121,AK121,AQ121,AW121,BC121,BI121,BO121,BU121))</x:f>
      </x:c>
      <x:c r="IQ121" s="27" t="str">
        <x:f>IF(C121="","",SUM(BV121,CB121,CH121,CN121,CT121,CZ121,DF121,DL121,DR121,DX121,ED121))</x:f>
      </x:c>
      <x:c r="IR121" s="27" t="str">
        <x:f>IF(C121="","",SUM(BW121,CC121,CI121,CO121,CU121,DA121,DG121,DM121,DS121,DY121,EE121))</x:f>
      </x:c>
      <x:c r="IS121" s="27" t="str">
        <x:f>IF(C121="","",SUM(BX121,CD121,CJ121,CP121,CV121,DB121,DH121,DN121,DT121,DZ121,EF121))</x:f>
      </x:c>
      <x:c r="IT121" s="27" t="str">
        <x:f>IF(C121="","",SUM(BY121,CE121,CK121,CQ121,CW121,DC121,DI121,DO121,DU121,EA121,EG121))</x:f>
      </x:c>
      <x:c r="IU121" s="27" t="str">
        <x:f>IF(C121="","",SUM(BZ121,CF121,CL121,CR121,CX121,DD121,DJ121,DP121,DV121,EB121,EH121))</x:f>
      </x:c>
      <x:c r="IV121" s="27" t="str">
        <x:f>IF(C121="","",SUM(CA121,CG121,CM121,CS121,CY121,DE121,DK121,DQ121,DW121,EC121,EI121))</x:f>
      </x:c>
      <x:c r="IW121" s="27" t="str">
        <x:f>IF(C121="","",SUM(EJ121,EP121,EV121,FB121,FH121,FN121,FT121,FZ121,GF121,GL121,GR121,GX121,HD121,HJ121))</x:f>
      </x:c>
      <x:c r="IX121" s="27" t="str">
        <x:f>IF(C121="","",SUM(EK121,EQ121,EW121,FC121,FI121,FO121,FU121,GA121,GG121,GM121,GS121,GY121,HE121,HK121))</x:f>
      </x:c>
      <x:c r="IY121" s="27" t="str">
        <x:f>IF(C121="","",SUM(EL121,ER121,EX121,FD121,FJ121,FP121,FV121,GB121,GH121,GN121,GT121,GZ121,HF121,HL121))</x:f>
      </x:c>
      <x:c r="IZ121" s="27" t="str">
        <x:f>IF(C121="","",SUM(EM121,ES121,EY121,FE121,FK121,FQ121,FW121,GC121,GI121,GO121,GU121,HA121,HG121,HM121))</x:f>
      </x:c>
      <x:c r="JA121" s="27" t="str">
        <x:f>IF(C121="","",SUM(EN121,ET121,EZ121,FF121,FL121,FR121,FX121,GD121,GJ121,GP121,GV121,HB121,HH121,HN121))</x:f>
      </x:c>
      <x:c r="JB121" s="27" t="str">
        <x:f>IF(C121="","",SUM(EO121,EU121,FA121,FG121,FM121,FS121,FY121,GE121,GK121,GQ121,GW121,HC121,HI121,HO121))</x:f>
      </x:c>
      <x:c r="JC121" s="27" t="str">
        <x:f>IF(C121="","",0)</x:f>
      </x:c>
      <x:c r="JD121" s="27" t="str">
        <x:f>IF(C121="","",0)</x:f>
      </x:c>
      <x:c r="JE121" s="27" t="str">
        <x:f>IF(C121="","",0)</x:f>
      </x:c>
      <x:c r="JF121" s="27" t="str">
        <x:f>IF(C121="","",0)</x:f>
      </x:c>
      <x:c r="JG121" s="27" t="str">
        <x:f>IF(C121="","",0)</x:f>
      </x:c>
      <x:c r="JH121" s="27" t="str">
        <x:f>IF(C121="","",0)</x:f>
      </x:c>
      <x:c r="JI121" s="27" t="str">
        <x:f>IF(C121="","",HP121*1000000000+IW121*1000000+IQ121*10000+IK121*100+JC121+6/1000)</x:f>
      </x:c>
      <x:c r="JJ121" s="27" t="str">
        <x:f>IF(C121="","",HQ121*1000000000+IX121*1000000+IR121*10000+IL121*100+JD121+5/1000)</x:f>
      </x:c>
      <x:c r="JK121" s="27" t="str">
        <x:f>IF(C121="","",HR121*1000000000+IY121*1000000+IS121*10000+IM121*100+JE121+4/1000)</x:f>
      </x:c>
      <x:c r="JL121" s="27" t="str">
        <x:f>IF(C121="","",HS121*1000000000+IZ121*1000000+IT121*10000+IN121*100+JF121+3/1000)</x:f>
      </x:c>
      <x:c r="JM121" s="27" t="str">
        <x:f>IF(C121="","",HT121*1000000000+JA121*1000000+IU121*10000+IO121*100+JG121+2/1000)</x:f>
      </x:c>
      <x:c r="JN121" s="27" t="str">
        <x:f>IF(C121="","",HU121*1000000000+JB121*1000000+IV121*10000+IP121*100+JH121+1/1000)</x:f>
      </x:c>
    </x:row>
    <x:row r="122">
      <x:c r="A122" s="27"/>
      <x:c r="B122" s="28"/>
      <x:c r="C122" s="27"/>
      <x:c r="D122" s="27"/>
      <x:c r="E122" s="27"/>
      <x:c r="F122" s="27"/>
      <x:c r="G122" s="27"/>
      <x:c r="H122" s="27"/>
      <x:c r="I122" s="27"/>
      <x:c r="J122" s="27"/>
      <x:c r="K122" s="27"/>
      <x:c r="L122" s="27"/>
      <x:c r="M122" s="27"/>
      <x:c r="N122" s="27"/>
      <x:c r="O122" s="27"/>
      <x:c r="P122" s="27"/>
      <x:c r="Q122" s="27"/>
      <x:c r="R122" s="27"/>
      <x:c r="S122" s="27"/>
      <x:c r="T122" s="27"/>
      <x:c r="U122" s="27"/>
      <x:c r="V122" s="27"/>
      <x:c r="W122" s="27"/>
      <x:c r="X122" s="27"/>
      <x:c r="Y122" s="27"/>
      <x:c r="Z122" s="27"/>
      <x:c r="AA122" s="27"/>
      <x:c r="AB122" s="27"/>
      <x:c r="AC122" s="27"/>
      <x:c r="AD122" s="27"/>
      <x:c r="AE122" s="27"/>
      <x:c r="AF122" s="27"/>
      <x:c r="AG122" s="27"/>
      <x:c r="AH122" s="27"/>
      <x:c r="AI122" s="27"/>
      <x:c r="AJ122" s="27"/>
      <x:c r="AK122" s="27"/>
      <x:c r="AL122" s="27"/>
      <x:c r="AM122" s="27"/>
      <x:c r="AN122" s="27"/>
      <x:c r="AO122" s="27"/>
      <x:c r="AP122" s="27"/>
      <x:c r="AQ122" s="27"/>
      <x:c r="AR122" s="27"/>
      <x:c r="AS122" s="27"/>
      <x:c r="AT122" s="27"/>
      <x:c r="AU122" s="27"/>
      <x:c r="AV122" s="27"/>
      <x:c r="AW122" s="27"/>
      <x:c r="AX122" s="27"/>
      <x:c r="AY122" s="27"/>
      <x:c r="AZ122" s="27"/>
      <x:c r="BA122" s="27"/>
      <x:c r="BB122" s="27"/>
      <x:c r="BC122" s="27"/>
      <x:c r="BD122" s="27"/>
      <x:c r="BE122" s="27"/>
      <x:c r="BF122" s="27"/>
      <x:c r="BG122" s="27"/>
      <x:c r="BH122" s="27"/>
      <x:c r="BI122" s="27"/>
      <x:c r="BJ122" s="27"/>
      <x:c r="BK122" s="27"/>
      <x:c r="BL122" s="27"/>
      <x:c r="BM122" s="27"/>
      <x:c r="BN122" s="27"/>
      <x:c r="BO122" s="27"/>
      <x:c r="BP122" s="27"/>
      <x:c r="BQ122" s="27"/>
      <x:c r="BR122" s="27"/>
      <x:c r="BS122" s="27"/>
      <x:c r="BT122" s="27"/>
      <x:c r="BU122" s="27"/>
      <x:c r="BV122" s="27"/>
      <x:c r="BW122" s="27"/>
      <x:c r="BX122" s="27"/>
      <x:c r="BY122" s="27"/>
      <x:c r="BZ122" s="27"/>
      <x:c r="CA122" s="27"/>
      <x:c r="CB122" s="27"/>
      <x:c r="CC122" s="27"/>
      <x:c r="CD122" s="27"/>
      <x:c r="CE122" s="27"/>
      <x:c r="CF122" s="27"/>
      <x:c r="CG122" s="27"/>
      <x:c r="CH122" s="27"/>
      <x:c r="CI122" s="27"/>
      <x:c r="CJ122" s="27"/>
      <x:c r="CK122" s="27"/>
      <x:c r="CL122" s="27"/>
      <x:c r="CM122" s="27"/>
      <x:c r="CN122" s="27"/>
      <x:c r="CO122" s="27"/>
      <x:c r="CP122" s="27"/>
      <x:c r="CQ122" s="27"/>
      <x:c r="CR122" s="27"/>
      <x:c r="CS122" s="27"/>
      <x:c r="CT122" s="27"/>
      <x:c r="CU122" s="27"/>
      <x:c r="CV122" s="27"/>
      <x:c r="CW122" s="27"/>
      <x:c r="CX122" s="27"/>
      <x:c r="CY122" s="27"/>
      <x:c r="CZ122" s="27"/>
      <x:c r="DA122" s="27"/>
      <x:c r="DB122" s="27"/>
      <x:c r="DC122" s="27"/>
      <x:c r="DD122" s="27"/>
      <x:c r="DE122" s="27"/>
      <x:c r="DF122" s="27"/>
      <x:c r="DG122" s="27"/>
      <x:c r="DH122" s="27"/>
      <x:c r="DI122" s="27"/>
      <x:c r="DJ122" s="27"/>
      <x:c r="DK122" s="27"/>
      <x:c r="DL122" s="27"/>
      <x:c r="DM122" s="27"/>
      <x:c r="DN122" s="27"/>
      <x:c r="DO122" s="27"/>
      <x:c r="DP122" s="27"/>
      <x:c r="DQ122" s="27"/>
      <x:c r="DR122" s="27"/>
      <x:c r="DS122" s="27"/>
      <x:c r="DT122" s="27"/>
      <x:c r="DU122" s="27"/>
      <x:c r="DV122" s="27"/>
      <x:c r="DW122" s="27"/>
      <x:c r="DX122" s="27"/>
      <x:c r="DY122" s="27"/>
      <x:c r="DZ122" s="27"/>
      <x:c r="EA122" s="27"/>
      <x:c r="EB122" s="27"/>
      <x:c r="EC122" s="27"/>
      <x:c r="ED122" s="27"/>
      <x:c r="EE122" s="27"/>
      <x:c r="EF122" s="27"/>
      <x:c r="EG122" s="27"/>
      <x:c r="EH122" s="27"/>
      <x:c r="EI122" s="27"/>
      <x:c r="EJ122" s="27"/>
      <x:c r="EK122" s="27"/>
      <x:c r="EL122" s="27"/>
      <x:c r="EM122" s="27"/>
      <x:c r="EN122" s="27"/>
      <x:c r="EO122" s="27"/>
      <x:c r="EP122" s="27"/>
      <x:c r="EQ122" s="27"/>
      <x:c r="ER122" s="27"/>
      <x:c r="ES122" s="27"/>
      <x:c r="ET122" s="27"/>
      <x:c r="EU122" s="27"/>
      <x:c r="EV122" s="27"/>
      <x:c r="EW122" s="27"/>
      <x:c r="EX122" s="27"/>
      <x:c r="EY122" s="27"/>
      <x:c r="EZ122" s="27"/>
      <x:c r="FA122" s="27"/>
      <x:c r="FB122" s="27"/>
      <x:c r="FC122" s="27"/>
      <x:c r="FD122" s="27"/>
      <x:c r="FE122" s="27"/>
      <x:c r="FF122" s="27"/>
      <x:c r="FG122" s="27"/>
      <x:c r="FH122" s="27"/>
      <x:c r="FI122" s="27"/>
      <x:c r="FJ122" s="27"/>
      <x:c r="FK122" s="27"/>
      <x:c r="FL122" s="27"/>
      <x:c r="FM122" s="27"/>
      <x:c r="FN122" s="27"/>
      <x:c r="FO122" s="27"/>
      <x:c r="FP122" s="27"/>
      <x:c r="FQ122" s="27"/>
      <x:c r="FR122" s="27"/>
      <x:c r="FS122" s="27"/>
      <x:c r="FT122" s="27"/>
      <x:c r="FU122" s="27"/>
      <x:c r="FV122" s="27"/>
      <x:c r="FW122" s="27"/>
      <x:c r="FX122" s="27"/>
      <x:c r="FY122" s="27"/>
      <x:c r="FZ122" s="27"/>
      <x:c r="GA122" s="27"/>
      <x:c r="GB122" s="27"/>
      <x:c r="GC122" s="27"/>
      <x:c r="GD122" s="27"/>
      <x:c r="GE122" s="27"/>
      <x:c r="GF122" s="27"/>
      <x:c r="GG122" s="27"/>
      <x:c r="GH122" s="27"/>
      <x:c r="GI122" s="27"/>
      <x:c r="GJ122" s="27"/>
      <x:c r="GK122" s="27"/>
      <x:c r="GL122" s="27"/>
      <x:c r="GM122" s="27"/>
      <x:c r="GN122" s="27"/>
      <x:c r="GO122" s="27"/>
      <x:c r="GP122" s="27"/>
      <x:c r="GQ122" s="27"/>
      <x:c r="GR122" s="27"/>
      <x:c r="GS122" s="27"/>
      <x:c r="GT122" s="27"/>
      <x:c r="GU122" s="27"/>
      <x:c r="GV122" s="27"/>
      <x:c r="GW122" s="27"/>
      <x:c r="GX122" s="27"/>
      <x:c r="GY122" s="27"/>
      <x:c r="GZ122" s="27"/>
      <x:c r="HA122" s="27"/>
      <x:c r="HB122" s="27"/>
      <x:c r="HC122" s="27"/>
      <x:c r="HD122" s="27"/>
      <x:c r="HE122" s="27"/>
      <x:c r="HF122" s="27"/>
      <x:c r="HG122" s="27"/>
      <x:c r="HH122" s="27"/>
      <x:c r="HI122" s="27"/>
      <x:c r="HJ122" s="27"/>
      <x:c r="HK122" s="27"/>
      <x:c r="HL122" s="27"/>
      <x:c r="HM122" s="27"/>
      <x:c r="HN122" s="27"/>
      <x:c r="HO122" s="27"/>
      <x:c r="HP122" s="27" t="str">
        <x:f>IF(C122="","",SUM(H122,N122,T122,Z122,AF122,AL122,AR122,AX122,BD122,BJ122,BP122,BV122,CB122,CH122,CN122,CT122,CZ122,DF122,DL122,DR122,DX122,ED122,EJ122,EP122,EV122,FB122,FH122,FN122,FT122,FZ122,GF122,GL122,GR122,GX122,HD122,HJ122))</x:f>
      </x:c>
      <x:c r="HQ122" s="27" t="str">
        <x:f>IF(C122="","",SUM(I122,O122,U122,AA122,AG122,AM122,AS122,AY122,BE122,BK122,BQ122,BW122,CC122,CI122,CO122,CU122,DA122,DG122,DM122,DS122,DY122,EE122,EK122,EQ122,EW122,FC122,FI122,FO122,FU122,GA122,GG122,GM122,GS122,GY122,HE122,HK122))</x:f>
      </x:c>
      <x:c r="HR122" s="27" t="str">
        <x:f>IF(C122="","",SUM(J122,P122,V122,AB122,AH122,AN122,AT122,AZ122,BF122,BL122,BR122,BX122,CD122,CJ122,CP122,CV122,DB122,DH122,DN122,DT122,DZ122,EF122,EL122,ER122,EX122,FD122,FJ122,FP122,FV122,GB122,GH122,GN122,GT122,GZ122,HF122,HL122))</x:f>
      </x:c>
      <x:c r="HS122" s="27" t="str">
        <x:f>IF(C122="","",SUM(K122,Q122,W122,AC122,AI122,AO122,AU122,BA122,BG122,BM122,BS122,BY122,CE122,CK122,CQ122,CW122,DC122,DI122,DO122,DU122,EA122,EG122,EM122,ES122,EY122,FE122,FK122,FQ122,FW122,GC122,GI122,GO122,GU122,HA122,HG122,HM122))</x:f>
      </x:c>
      <x:c r="HT122" s="27" t="str">
        <x:f>IF(C122="","",SUM(L122,R122,X122,AD122,AJ122,AP122,AV122,BB122,BH122,BN122,BT122,BZ122,CF122,CL122,CR122,CX122,DD122,DJ122,DP122,DV122,EB122,EH122,EN122,ET122,EZ122,FF122,FL122,FR122,FX122,GD122,GJ122,GP122,GV122,HB122,HH122,HN122))</x:f>
      </x:c>
      <x:c r="HU122" s="27" t="str">
        <x:f>IF(C122="","",SUM(M122,S122,Y122,AE122,AK122,AQ122,AW122,BC122,BI122,BO122,BU122,CA122,CG122,CM122,CS122,CY122,DE122,DK122,DQ122,DW122,EC122,EI122,EO122,EU122,FA122,FG122,FM122,FS122,FY122,GE122,GK122,GQ122,GW122,HC122,HI122,HO122))</x:f>
      </x:c>
      <x:c r="HV122" s="27" t="str">
        <x:f>IF(C122="","",IF(JI122=LARGE(JI122:JN122,1),"R",IF(JJ122=LARGE(JI122:JN122,1),"I",IF(JK122=LARGE(JI122:JN122,1),"A",IF(JL122=LARGE(JI122:JN122,1),"S",IF(JM122=LARGE(JI122:JN122,1),"E",IF(JN122=LARGE(JI122:JN122,1),"C",""))))))&amp;IF(JI122=LARGE(JI122:JN122,2),"R",IF(JJ122=LARGE(JI122:JN122,2),"I",IF(JK122=LARGE(JI122:JN122,2),"A",IF(JL122=LARGE(JI122:JN122,2),"S",IF(JM122=LARGE(JI122:JN122,2),"E",IF(JN122=LARGE(JI122:JN122,2),"C",""))))))&amp;IF(JI122=LARGE(JI122:JN122,3),"R",IF(JJ122=LARGE(JI122:JN122,3),"I",IF(JK122=LARGE(JI122:JN122,3),"A",IF(JL122=LARGE(JI122:JN122,3),"S",IF(JM122=LARGE(JI122:JN122,3),"E",IF(JN122=LARGE(JI122:JN122,3),"C","")))))))</x:f>
      </x:c>
      <x:c r="HW122" s="27" t="str">
        <x:f>IF(C122="","",IF(JI122=LARGE(JI122:JN122,1),"นักปฏิบัติ",IF(JJ122=LARGE(JI122:JN122,1),"นักคิดวิเคราะห์",IF(JK122=LARGE(JI122:JN122,1),"นักสร้างสรรค์",IF(JL122=LARGE(JI122:JN122,1),"ผู้เข้าใจผู้คน",IF(JM122=LARGE(JI122:JN122,1),"ผู้นำการเปลี่ยนแปลง",IF(JN122=LARGE(JI122:JN122,1),"ผู้จัดระบบ","ผู้จัดระบบ")))))))</x:f>
      </x:c>
      <x:c r="HX122" s="27"/>
      <x:c r="HY122" s="27"/>
      <x:c r="HZ122" s="27"/>
      <x:c r="IA122" s="27"/>
      <x:c r="IB122" s="27"/>
      <x:c r="IC122" s="27"/>
      <x:c r="ID122" s="27"/>
      <x:c r="IE122" s="27"/>
      <x:c r="IF122" s="27"/>
      <x:c r="IG122" s="27"/>
      <x:c r="IH122" s="27"/>
      <x:c r="II122" s="27"/>
      <x:c r="IJ122" s="27"/>
      <x:c r="IK122" s="27" t="str">
        <x:f>IF(C122="","",SUM(H122,N122,T122,Z122,AF122,AL122,AR122,AX122,BD122,BJ122,BP122))</x:f>
      </x:c>
      <x:c r="IL122" s="27" t="str">
        <x:f>IF(C122="","",SUM(I122,O122,U122,AA122,AG122,AM122,AS122,AY122,BE122,BK122,BQ122))</x:f>
      </x:c>
      <x:c r="IM122" s="27" t="str">
        <x:f>IF(C122="","",SUM(J122,P122,V122,AB122,AH122,AN122,AT122,AZ122,BF122,BL122,BR122))</x:f>
      </x:c>
      <x:c r="IN122" s="27" t="str">
        <x:f>IF(C122="","",SUM(K122,Q122,W122,AC122,AI122,AO122,AU122,BA122,BG122,BM122,BS122))</x:f>
      </x:c>
      <x:c r="IO122" s="27" t="str">
        <x:f>IF(C122="","",SUM(L122,R122,X122,AD122,AJ122,AP122,AV122,BB122,BH122,BN122,BT122))</x:f>
      </x:c>
      <x:c r="IP122" s="27" t="str">
        <x:f>IF(C122="","",SUM(M122,S122,Y122,AE122,AK122,AQ122,AW122,BC122,BI122,BO122,BU122))</x:f>
      </x:c>
      <x:c r="IQ122" s="27" t="str">
        <x:f>IF(C122="","",SUM(BV122,CB122,CH122,CN122,CT122,CZ122,DF122,DL122,DR122,DX122,ED122))</x:f>
      </x:c>
      <x:c r="IR122" s="27" t="str">
        <x:f>IF(C122="","",SUM(BW122,CC122,CI122,CO122,CU122,DA122,DG122,DM122,DS122,DY122,EE122))</x:f>
      </x:c>
      <x:c r="IS122" s="27" t="str">
        <x:f>IF(C122="","",SUM(BX122,CD122,CJ122,CP122,CV122,DB122,DH122,DN122,DT122,DZ122,EF122))</x:f>
      </x:c>
      <x:c r="IT122" s="27" t="str">
        <x:f>IF(C122="","",SUM(BY122,CE122,CK122,CQ122,CW122,DC122,DI122,DO122,DU122,EA122,EG122))</x:f>
      </x:c>
      <x:c r="IU122" s="27" t="str">
        <x:f>IF(C122="","",SUM(BZ122,CF122,CL122,CR122,CX122,DD122,DJ122,DP122,DV122,EB122,EH122))</x:f>
      </x:c>
      <x:c r="IV122" s="27" t="str">
        <x:f>IF(C122="","",SUM(CA122,CG122,CM122,CS122,CY122,DE122,DK122,DQ122,DW122,EC122,EI122))</x:f>
      </x:c>
      <x:c r="IW122" s="27" t="str">
        <x:f>IF(C122="","",SUM(EJ122,EP122,EV122,FB122,FH122,FN122,FT122,FZ122,GF122,GL122,GR122,GX122,HD122,HJ122))</x:f>
      </x:c>
      <x:c r="IX122" s="27" t="str">
        <x:f>IF(C122="","",SUM(EK122,EQ122,EW122,FC122,FI122,FO122,FU122,GA122,GG122,GM122,GS122,GY122,HE122,HK122))</x:f>
      </x:c>
      <x:c r="IY122" s="27" t="str">
        <x:f>IF(C122="","",SUM(EL122,ER122,EX122,FD122,FJ122,FP122,FV122,GB122,GH122,GN122,GT122,GZ122,HF122,HL122))</x:f>
      </x:c>
      <x:c r="IZ122" s="27" t="str">
        <x:f>IF(C122="","",SUM(EM122,ES122,EY122,FE122,FK122,FQ122,FW122,GC122,GI122,GO122,GU122,HA122,HG122,HM122))</x:f>
      </x:c>
      <x:c r="JA122" s="27" t="str">
        <x:f>IF(C122="","",SUM(EN122,ET122,EZ122,FF122,FL122,FR122,FX122,GD122,GJ122,GP122,GV122,HB122,HH122,HN122))</x:f>
      </x:c>
      <x:c r="JB122" s="27" t="str">
        <x:f>IF(C122="","",SUM(EO122,EU122,FA122,FG122,FM122,FS122,FY122,GE122,GK122,GQ122,GW122,HC122,HI122,HO122))</x:f>
      </x:c>
      <x:c r="JC122" s="27" t="str">
        <x:f>IF(C122="","",0)</x:f>
      </x:c>
      <x:c r="JD122" s="27" t="str">
        <x:f>IF(C122="","",0)</x:f>
      </x:c>
      <x:c r="JE122" s="27" t="str">
        <x:f>IF(C122="","",0)</x:f>
      </x:c>
      <x:c r="JF122" s="27" t="str">
        <x:f>IF(C122="","",0)</x:f>
      </x:c>
      <x:c r="JG122" s="27" t="str">
        <x:f>IF(C122="","",0)</x:f>
      </x:c>
      <x:c r="JH122" s="27" t="str">
        <x:f>IF(C122="","",0)</x:f>
      </x:c>
      <x:c r="JI122" s="27" t="str">
        <x:f>IF(C122="","",HP122*1000000000+IW122*1000000+IQ122*10000+IK122*100+JC122+6/1000)</x:f>
      </x:c>
      <x:c r="JJ122" s="27" t="str">
        <x:f>IF(C122="","",HQ122*1000000000+IX122*1000000+IR122*10000+IL122*100+JD122+5/1000)</x:f>
      </x:c>
      <x:c r="JK122" s="27" t="str">
        <x:f>IF(C122="","",HR122*1000000000+IY122*1000000+IS122*10000+IM122*100+JE122+4/1000)</x:f>
      </x:c>
      <x:c r="JL122" s="27" t="str">
        <x:f>IF(C122="","",HS122*1000000000+IZ122*1000000+IT122*10000+IN122*100+JF122+3/1000)</x:f>
      </x:c>
      <x:c r="JM122" s="27" t="str">
        <x:f>IF(C122="","",HT122*1000000000+JA122*1000000+IU122*10000+IO122*100+JG122+2/1000)</x:f>
      </x:c>
      <x:c r="JN122" s="27" t="str">
        <x:f>IF(C122="","",HU122*1000000000+JB122*1000000+IV122*10000+IP122*100+JH122+1/1000)</x:f>
      </x:c>
    </x:row>
    <x:row r="123">
      <x:c r="A123" s="27"/>
      <x:c r="B123" s="28"/>
      <x:c r="C123" s="27"/>
      <x:c r="D123" s="27"/>
      <x:c r="E123" s="27"/>
      <x:c r="F123" s="27"/>
      <x:c r="G123" s="27"/>
      <x:c r="H123" s="27"/>
      <x:c r="I123" s="27"/>
      <x:c r="J123" s="27"/>
      <x:c r="K123" s="27"/>
      <x:c r="L123" s="27"/>
      <x:c r="M123" s="27"/>
      <x:c r="N123" s="27"/>
      <x:c r="O123" s="27"/>
      <x:c r="P123" s="27"/>
      <x:c r="Q123" s="27"/>
      <x:c r="R123" s="27"/>
      <x:c r="S123" s="27"/>
      <x:c r="T123" s="27"/>
      <x:c r="U123" s="27"/>
      <x:c r="V123" s="27"/>
      <x:c r="W123" s="27"/>
      <x:c r="X123" s="27"/>
      <x:c r="Y123" s="27"/>
      <x:c r="Z123" s="27"/>
      <x:c r="AA123" s="27"/>
      <x:c r="AB123" s="27"/>
      <x:c r="AC123" s="27"/>
      <x:c r="AD123" s="27"/>
      <x:c r="AE123" s="27"/>
      <x:c r="AF123" s="27"/>
      <x:c r="AG123" s="27"/>
      <x:c r="AH123" s="27"/>
      <x:c r="AI123" s="27"/>
      <x:c r="AJ123" s="27"/>
      <x:c r="AK123" s="27"/>
      <x:c r="AL123" s="27"/>
      <x:c r="AM123" s="27"/>
      <x:c r="AN123" s="27"/>
      <x:c r="AO123" s="27"/>
      <x:c r="AP123" s="27"/>
      <x:c r="AQ123" s="27"/>
      <x:c r="AR123" s="27"/>
      <x:c r="AS123" s="27"/>
      <x:c r="AT123" s="27"/>
      <x:c r="AU123" s="27"/>
      <x:c r="AV123" s="27"/>
      <x:c r="AW123" s="27"/>
      <x:c r="AX123" s="27"/>
      <x:c r="AY123" s="27"/>
      <x:c r="AZ123" s="27"/>
      <x:c r="BA123" s="27"/>
      <x:c r="BB123" s="27"/>
      <x:c r="BC123" s="27"/>
      <x:c r="BD123" s="27"/>
      <x:c r="BE123" s="27"/>
      <x:c r="BF123" s="27"/>
      <x:c r="BG123" s="27"/>
      <x:c r="BH123" s="27"/>
      <x:c r="BI123" s="27"/>
      <x:c r="BJ123" s="27"/>
      <x:c r="BK123" s="27"/>
      <x:c r="BL123" s="27"/>
      <x:c r="BM123" s="27"/>
      <x:c r="BN123" s="27"/>
      <x:c r="BO123" s="27"/>
      <x:c r="BP123" s="27"/>
      <x:c r="BQ123" s="27"/>
      <x:c r="BR123" s="27"/>
      <x:c r="BS123" s="27"/>
      <x:c r="BT123" s="27"/>
      <x:c r="BU123" s="27"/>
      <x:c r="BV123" s="27"/>
      <x:c r="BW123" s="27"/>
      <x:c r="BX123" s="27"/>
      <x:c r="BY123" s="27"/>
      <x:c r="BZ123" s="27"/>
      <x:c r="CA123" s="27"/>
      <x:c r="CB123" s="27"/>
      <x:c r="CC123" s="27"/>
      <x:c r="CD123" s="27"/>
      <x:c r="CE123" s="27"/>
      <x:c r="CF123" s="27"/>
      <x:c r="CG123" s="27"/>
      <x:c r="CH123" s="27"/>
      <x:c r="CI123" s="27"/>
      <x:c r="CJ123" s="27"/>
      <x:c r="CK123" s="27"/>
      <x:c r="CL123" s="27"/>
      <x:c r="CM123" s="27"/>
      <x:c r="CN123" s="27"/>
      <x:c r="CO123" s="27"/>
      <x:c r="CP123" s="27"/>
      <x:c r="CQ123" s="27"/>
      <x:c r="CR123" s="27"/>
      <x:c r="CS123" s="27"/>
      <x:c r="CT123" s="27"/>
      <x:c r="CU123" s="27"/>
      <x:c r="CV123" s="27"/>
      <x:c r="CW123" s="27"/>
      <x:c r="CX123" s="27"/>
      <x:c r="CY123" s="27"/>
      <x:c r="CZ123" s="27"/>
      <x:c r="DA123" s="27"/>
      <x:c r="DB123" s="27"/>
      <x:c r="DC123" s="27"/>
      <x:c r="DD123" s="27"/>
      <x:c r="DE123" s="27"/>
      <x:c r="DF123" s="27"/>
      <x:c r="DG123" s="27"/>
      <x:c r="DH123" s="27"/>
      <x:c r="DI123" s="27"/>
      <x:c r="DJ123" s="27"/>
      <x:c r="DK123" s="27"/>
      <x:c r="DL123" s="27"/>
      <x:c r="DM123" s="27"/>
      <x:c r="DN123" s="27"/>
      <x:c r="DO123" s="27"/>
      <x:c r="DP123" s="27"/>
      <x:c r="DQ123" s="27"/>
      <x:c r="DR123" s="27"/>
      <x:c r="DS123" s="27"/>
      <x:c r="DT123" s="27"/>
      <x:c r="DU123" s="27"/>
      <x:c r="DV123" s="27"/>
      <x:c r="DW123" s="27"/>
      <x:c r="DX123" s="27"/>
      <x:c r="DY123" s="27"/>
      <x:c r="DZ123" s="27"/>
      <x:c r="EA123" s="27"/>
      <x:c r="EB123" s="27"/>
      <x:c r="EC123" s="27"/>
      <x:c r="ED123" s="27"/>
      <x:c r="EE123" s="27"/>
      <x:c r="EF123" s="27"/>
      <x:c r="EG123" s="27"/>
      <x:c r="EH123" s="27"/>
      <x:c r="EI123" s="27"/>
      <x:c r="EJ123" s="27"/>
      <x:c r="EK123" s="27"/>
      <x:c r="EL123" s="27"/>
      <x:c r="EM123" s="27"/>
      <x:c r="EN123" s="27"/>
      <x:c r="EO123" s="27"/>
      <x:c r="EP123" s="27"/>
      <x:c r="EQ123" s="27"/>
      <x:c r="ER123" s="27"/>
      <x:c r="ES123" s="27"/>
      <x:c r="ET123" s="27"/>
      <x:c r="EU123" s="27"/>
      <x:c r="EV123" s="27"/>
      <x:c r="EW123" s="27"/>
      <x:c r="EX123" s="27"/>
      <x:c r="EY123" s="27"/>
      <x:c r="EZ123" s="27"/>
      <x:c r="FA123" s="27"/>
      <x:c r="FB123" s="27"/>
      <x:c r="FC123" s="27"/>
      <x:c r="FD123" s="27"/>
      <x:c r="FE123" s="27"/>
      <x:c r="FF123" s="27"/>
      <x:c r="FG123" s="27"/>
      <x:c r="FH123" s="27"/>
      <x:c r="FI123" s="27"/>
      <x:c r="FJ123" s="27"/>
      <x:c r="FK123" s="27"/>
      <x:c r="FL123" s="27"/>
      <x:c r="FM123" s="27"/>
      <x:c r="FN123" s="27"/>
      <x:c r="FO123" s="27"/>
      <x:c r="FP123" s="27"/>
      <x:c r="FQ123" s="27"/>
      <x:c r="FR123" s="27"/>
      <x:c r="FS123" s="27"/>
      <x:c r="FT123" s="27"/>
      <x:c r="FU123" s="27"/>
      <x:c r="FV123" s="27"/>
      <x:c r="FW123" s="27"/>
      <x:c r="FX123" s="27"/>
      <x:c r="FY123" s="27"/>
      <x:c r="FZ123" s="27"/>
      <x:c r="GA123" s="27"/>
      <x:c r="GB123" s="27"/>
      <x:c r="GC123" s="27"/>
      <x:c r="GD123" s="27"/>
      <x:c r="GE123" s="27"/>
      <x:c r="GF123" s="27"/>
      <x:c r="GG123" s="27"/>
      <x:c r="GH123" s="27"/>
      <x:c r="GI123" s="27"/>
      <x:c r="GJ123" s="27"/>
      <x:c r="GK123" s="27"/>
      <x:c r="GL123" s="27"/>
      <x:c r="GM123" s="27"/>
      <x:c r="GN123" s="27"/>
      <x:c r="GO123" s="27"/>
      <x:c r="GP123" s="27"/>
      <x:c r="GQ123" s="27"/>
      <x:c r="GR123" s="27"/>
      <x:c r="GS123" s="27"/>
      <x:c r="GT123" s="27"/>
      <x:c r="GU123" s="27"/>
      <x:c r="GV123" s="27"/>
      <x:c r="GW123" s="27"/>
      <x:c r="GX123" s="27"/>
      <x:c r="GY123" s="27"/>
      <x:c r="GZ123" s="27"/>
      <x:c r="HA123" s="27"/>
      <x:c r="HB123" s="27"/>
      <x:c r="HC123" s="27"/>
      <x:c r="HD123" s="27"/>
      <x:c r="HE123" s="27"/>
      <x:c r="HF123" s="27"/>
      <x:c r="HG123" s="27"/>
      <x:c r="HH123" s="27"/>
      <x:c r="HI123" s="27"/>
      <x:c r="HJ123" s="27"/>
      <x:c r="HK123" s="27"/>
      <x:c r="HL123" s="27"/>
      <x:c r="HM123" s="27"/>
      <x:c r="HN123" s="27"/>
      <x:c r="HO123" s="27"/>
      <x:c r="HP123" s="27" t="str">
        <x:f>IF(C123="","",SUM(H123,N123,T123,Z123,AF123,AL123,AR123,AX123,BD123,BJ123,BP123,BV123,CB123,CH123,CN123,CT123,CZ123,DF123,DL123,DR123,DX123,ED123,EJ123,EP123,EV123,FB123,FH123,FN123,FT123,FZ123,GF123,GL123,GR123,GX123,HD123,HJ123))</x:f>
      </x:c>
      <x:c r="HQ123" s="27" t="str">
        <x:f>IF(C123="","",SUM(I123,O123,U123,AA123,AG123,AM123,AS123,AY123,BE123,BK123,BQ123,BW123,CC123,CI123,CO123,CU123,DA123,DG123,DM123,DS123,DY123,EE123,EK123,EQ123,EW123,FC123,FI123,FO123,FU123,GA123,GG123,GM123,GS123,GY123,HE123,HK123))</x:f>
      </x:c>
      <x:c r="HR123" s="27" t="str">
        <x:f>IF(C123="","",SUM(J123,P123,V123,AB123,AH123,AN123,AT123,AZ123,BF123,BL123,BR123,BX123,CD123,CJ123,CP123,CV123,DB123,DH123,DN123,DT123,DZ123,EF123,EL123,ER123,EX123,FD123,FJ123,FP123,FV123,GB123,GH123,GN123,GT123,GZ123,HF123,HL123))</x:f>
      </x:c>
      <x:c r="HS123" s="27" t="str">
        <x:f>IF(C123="","",SUM(K123,Q123,W123,AC123,AI123,AO123,AU123,BA123,BG123,BM123,BS123,BY123,CE123,CK123,CQ123,CW123,DC123,DI123,DO123,DU123,EA123,EG123,EM123,ES123,EY123,FE123,FK123,FQ123,FW123,GC123,GI123,GO123,GU123,HA123,HG123,HM123))</x:f>
      </x:c>
      <x:c r="HT123" s="27" t="str">
        <x:f>IF(C123="","",SUM(L123,R123,X123,AD123,AJ123,AP123,AV123,BB123,BH123,BN123,BT123,BZ123,CF123,CL123,CR123,CX123,DD123,DJ123,DP123,DV123,EB123,EH123,EN123,ET123,EZ123,FF123,FL123,FR123,FX123,GD123,GJ123,GP123,GV123,HB123,HH123,HN123))</x:f>
      </x:c>
      <x:c r="HU123" s="27" t="str">
        <x:f>IF(C123="","",SUM(M123,S123,Y123,AE123,AK123,AQ123,AW123,BC123,BI123,BO123,BU123,CA123,CG123,CM123,CS123,CY123,DE123,DK123,DQ123,DW123,EC123,EI123,EO123,EU123,FA123,FG123,FM123,FS123,FY123,GE123,GK123,GQ123,GW123,HC123,HI123,HO123))</x:f>
      </x:c>
      <x:c r="HV123" s="27" t="str">
        <x:f>IF(C123="","",IF(JI123=LARGE(JI123:JN123,1),"R",IF(JJ123=LARGE(JI123:JN123,1),"I",IF(JK123=LARGE(JI123:JN123,1),"A",IF(JL123=LARGE(JI123:JN123,1),"S",IF(JM123=LARGE(JI123:JN123,1),"E",IF(JN123=LARGE(JI123:JN123,1),"C",""))))))&amp;IF(JI123=LARGE(JI123:JN123,2),"R",IF(JJ123=LARGE(JI123:JN123,2),"I",IF(JK123=LARGE(JI123:JN123,2),"A",IF(JL123=LARGE(JI123:JN123,2),"S",IF(JM123=LARGE(JI123:JN123,2),"E",IF(JN123=LARGE(JI123:JN123,2),"C",""))))))&amp;IF(JI123=LARGE(JI123:JN123,3),"R",IF(JJ123=LARGE(JI123:JN123,3),"I",IF(JK123=LARGE(JI123:JN123,3),"A",IF(JL123=LARGE(JI123:JN123,3),"S",IF(JM123=LARGE(JI123:JN123,3),"E",IF(JN123=LARGE(JI123:JN123,3),"C","")))))))</x:f>
      </x:c>
      <x:c r="HW123" s="27" t="str">
        <x:f>IF(C123="","",IF(JI123=LARGE(JI123:JN123,1),"นักปฏิบัติ",IF(JJ123=LARGE(JI123:JN123,1),"นักคิดวิเคราะห์",IF(JK123=LARGE(JI123:JN123,1),"นักสร้างสรรค์",IF(JL123=LARGE(JI123:JN123,1),"ผู้เข้าใจผู้คน",IF(JM123=LARGE(JI123:JN123,1),"ผู้นำการเปลี่ยนแปลง",IF(JN123=LARGE(JI123:JN123,1),"ผู้จัดระบบ","ผู้จัดระบบ")))))))</x:f>
      </x:c>
      <x:c r="HX123" s="27"/>
      <x:c r="HY123" s="27"/>
      <x:c r="HZ123" s="27"/>
      <x:c r="IA123" s="27"/>
      <x:c r="IB123" s="27"/>
      <x:c r="IC123" s="27"/>
      <x:c r="ID123" s="27"/>
      <x:c r="IE123" s="27"/>
      <x:c r="IF123" s="27"/>
      <x:c r="IG123" s="27"/>
      <x:c r="IH123" s="27"/>
      <x:c r="II123" s="27"/>
      <x:c r="IJ123" s="27"/>
      <x:c r="IK123" s="27" t="str">
        <x:f>IF(C123="","",SUM(H123,N123,T123,Z123,AF123,AL123,AR123,AX123,BD123,BJ123,BP123))</x:f>
      </x:c>
      <x:c r="IL123" s="27" t="str">
        <x:f>IF(C123="","",SUM(I123,O123,U123,AA123,AG123,AM123,AS123,AY123,BE123,BK123,BQ123))</x:f>
      </x:c>
      <x:c r="IM123" s="27" t="str">
        <x:f>IF(C123="","",SUM(J123,P123,V123,AB123,AH123,AN123,AT123,AZ123,BF123,BL123,BR123))</x:f>
      </x:c>
      <x:c r="IN123" s="27" t="str">
        <x:f>IF(C123="","",SUM(K123,Q123,W123,AC123,AI123,AO123,AU123,BA123,BG123,BM123,BS123))</x:f>
      </x:c>
      <x:c r="IO123" s="27" t="str">
        <x:f>IF(C123="","",SUM(L123,R123,X123,AD123,AJ123,AP123,AV123,BB123,BH123,BN123,BT123))</x:f>
      </x:c>
      <x:c r="IP123" s="27" t="str">
        <x:f>IF(C123="","",SUM(M123,S123,Y123,AE123,AK123,AQ123,AW123,BC123,BI123,BO123,BU123))</x:f>
      </x:c>
      <x:c r="IQ123" s="27" t="str">
        <x:f>IF(C123="","",SUM(BV123,CB123,CH123,CN123,CT123,CZ123,DF123,DL123,DR123,DX123,ED123))</x:f>
      </x:c>
      <x:c r="IR123" s="27" t="str">
        <x:f>IF(C123="","",SUM(BW123,CC123,CI123,CO123,CU123,DA123,DG123,DM123,DS123,DY123,EE123))</x:f>
      </x:c>
      <x:c r="IS123" s="27" t="str">
        <x:f>IF(C123="","",SUM(BX123,CD123,CJ123,CP123,CV123,DB123,DH123,DN123,DT123,DZ123,EF123))</x:f>
      </x:c>
      <x:c r="IT123" s="27" t="str">
        <x:f>IF(C123="","",SUM(BY123,CE123,CK123,CQ123,CW123,DC123,DI123,DO123,DU123,EA123,EG123))</x:f>
      </x:c>
      <x:c r="IU123" s="27" t="str">
        <x:f>IF(C123="","",SUM(BZ123,CF123,CL123,CR123,CX123,DD123,DJ123,DP123,DV123,EB123,EH123))</x:f>
      </x:c>
      <x:c r="IV123" s="27" t="str">
        <x:f>IF(C123="","",SUM(CA123,CG123,CM123,CS123,CY123,DE123,DK123,DQ123,DW123,EC123,EI123))</x:f>
      </x:c>
      <x:c r="IW123" s="27" t="str">
        <x:f>IF(C123="","",SUM(EJ123,EP123,EV123,FB123,FH123,FN123,FT123,FZ123,GF123,GL123,GR123,GX123,HD123,HJ123))</x:f>
      </x:c>
      <x:c r="IX123" s="27" t="str">
        <x:f>IF(C123="","",SUM(EK123,EQ123,EW123,FC123,FI123,FO123,FU123,GA123,GG123,GM123,GS123,GY123,HE123,HK123))</x:f>
      </x:c>
      <x:c r="IY123" s="27" t="str">
        <x:f>IF(C123="","",SUM(EL123,ER123,EX123,FD123,FJ123,FP123,FV123,GB123,GH123,GN123,GT123,GZ123,HF123,HL123))</x:f>
      </x:c>
      <x:c r="IZ123" s="27" t="str">
        <x:f>IF(C123="","",SUM(EM123,ES123,EY123,FE123,FK123,FQ123,FW123,GC123,GI123,GO123,GU123,HA123,HG123,HM123))</x:f>
      </x:c>
      <x:c r="JA123" s="27" t="str">
        <x:f>IF(C123="","",SUM(EN123,ET123,EZ123,FF123,FL123,FR123,FX123,GD123,GJ123,GP123,GV123,HB123,HH123,HN123))</x:f>
      </x:c>
      <x:c r="JB123" s="27" t="str">
        <x:f>IF(C123="","",SUM(EO123,EU123,FA123,FG123,FM123,FS123,FY123,GE123,GK123,GQ123,GW123,HC123,HI123,HO123))</x:f>
      </x:c>
      <x:c r="JC123" s="27" t="str">
        <x:f>IF(C123="","",0)</x:f>
      </x:c>
      <x:c r="JD123" s="27" t="str">
        <x:f>IF(C123="","",0)</x:f>
      </x:c>
      <x:c r="JE123" s="27" t="str">
        <x:f>IF(C123="","",0)</x:f>
      </x:c>
      <x:c r="JF123" s="27" t="str">
        <x:f>IF(C123="","",0)</x:f>
      </x:c>
      <x:c r="JG123" s="27" t="str">
        <x:f>IF(C123="","",0)</x:f>
      </x:c>
      <x:c r="JH123" s="27" t="str">
        <x:f>IF(C123="","",0)</x:f>
      </x:c>
      <x:c r="JI123" s="27" t="str">
        <x:f>IF(C123="","",HP123*1000000000+IW123*1000000+IQ123*10000+IK123*100+JC123+6/1000)</x:f>
      </x:c>
      <x:c r="JJ123" s="27" t="str">
        <x:f>IF(C123="","",HQ123*1000000000+IX123*1000000+IR123*10000+IL123*100+JD123+5/1000)</x:f>
      </x:c>
      <x:c r="JK123" s="27" t="str">
        <x:f>IF(C123="","",HR123*1000000000+IY123*1000000+IS123*10000+IM123*100+JE123+4/1000)</x:f>
      </x:c>
      <x:c r="JL123" s="27" t="str">
        <x:f>IF(C123="","",HS123*1000000000+IZ123*1000000+IT123*10000+IN123*100+JF123+3/1000)</x:f>
      </x:c>
      <x:c r="JM123" s="27" t="str">
        <x:f>IF(C123="","",HT123*1000000000+JA123*1000000+IU123*10000+IO123*100+JG123+2/1000)</x:f>
      </x:c>
      <x:c r="JN123" s="27" t="str">
        <x:f>IF(C123="","",HU123*1000000000+JB123*1000000+IV123*10000+IP123*100+JH123+1/1000)</x:f>
      </x:c>
    </x:row>
    <x:row r="124">
      <x:c r="A124" s="27"/>
      <x:c r="B124" s="28"/>
      <x:c r="C124" s="27"/>
      <x:c r="D124" s="27"/>
      <x:c r="E124" s="27"/>
      <x:c r="F124" s="27"/>
      <x:c r="G124" s="27"/>
      <x:c r="H124" s="27"/>
      <x:c r="I124" s="27"/>
      <x:c r="J124" s="27"/>
      <x:c r="K124" s="27"/>
      <x:c r="L124" s="27"/>
      <x:c r="M124" s="27"/>
      <x:c r="N124" s="27"/>
      <x:c r="O124" s="27"/>
      <x:c r="P124" s="27"/>
      <x:c r="Q124" s="27"/>
      <x:c r="R124" s="27"/>
      <x:c r="S124" s="27"/>
      <x:c r="T124" s="27"/>
      <x:c r="U124" s="27"/>
      <x:c r="V124" s="27"/>
      <x:c r="W124" s="27"/>
      <x:c r="X124" s="27"/>
      <x:c r="Y124" s="27"/>
      <x:c r="Z124" s="27"/>
      <x:c r="AA124" s="27"/>
      <x:c r="AB124" s="27"/>
      <x:c r="AC124" s="27"/>
      <x:c r="AD124" s="27"/>
      <x:c r="AE124" s="27"/>
      <x:c r="AF124" s="27"/>
      <x:c r="AG124" s="27"/>
      <x:c r="AH124" s="27"/>
      <x:c r="AI124" s="27"/>
      <x:c r="AJ124" s="27"/>
      <x:c r="AK124" s="27"/>
      <x:c r="AL124" s="27"/>
      <x:c r="AM124" s="27"/>
      <x:c r="AN124" s="27"/>
      <x:c r="AO124" s="27"/>
      <x:c r="AP124" s="27"/>
      <x:c r="AQ124" s="27"/>
      <x:c r="AR124" s="27"/>
      <x:c r="AS124" s="27"/>
      <x:c r="AT124" s="27"/>
      <x:c r="AU124" s="27"/>
      <x:c r="AV124" s="27"/>
      <x:c r="AW124" s="27"/>
      <x:c r="AX124" s="27"/>
      <x:c r="AY124" s="27"/>
      <x:c r="AZ124" s="27"/>
      <x:c r="BA124" s="27"/>
      <x:c r="BB124" s="27"/>
      <x:c r="BC124" s="27"/>
      <x:c r="BD124" s="27"/>
      <x:c r="BE124" s="27"/>
      <x:c r="BF124" s="27"/>
      <x:c r="BG124" s="27"/>
      <x:c r="BH124" s="27"/>
      <x:c r="BI124" s="27"/>
      <x:c r="BJ124" s="27"/>
      <x:c r="BK124" s="27"/>
      <x:c r="BL124" s="27"/>
      <x:c r="BM124" s="27"/>
      <x:c r="BN124" s="27"/>
      <x:c r="BO124" s="27"/>
      <x:c r="BP124" s="27"/>
      <x:c r="BQ124" s="27"/>
      <x:c r="BR124" s="27"/>
      <x:c r="BS124" s="27"/>
      <x:c r="BT124" s="27"/>
      <x:c r="BU124" s="27"/>
      <x:c r="BV124" s="27"/>
      <x:c r="BW124" s="27"/>
      <x:c r="BX124" s="27"/>
      <x:c r="BY124" s="27"/>
      <x:c r="BZ124" s="27"/>
      <x:c r="CA124" s="27"/>
      <x:c r="CB124" s="27"/>
      <x:c r="CC124" s="27"/>
      <x:c r="CD124" s="27"/>
      <x:c r="CE124" s="27"/>
      <x:c r="CF124" s="27"/>
      <x:c r="CG124" s="27"/>
      <x:c r="CH124" s="27"/>
      <x:c r="CI124" s="27"/>
      <x:c r="CJ124" s="27"/>
      <x:c r="CK124" s="27"/>
      <x:c r="CL124" s="27"/>
      <x:c r="CM124" s="27"/>
      <x:c r="CN124" s="27"/>
      <x:c r="CO124" s="27"/>
      <x:c r="CP124" s="27"/>
      <x:c r="CQ124" s="27"/>
      <x:c r="CR124" s="27"/>
      <x:c r="CS124" s="27"/>
      <x:c r="CT124" s="27"/>
      <x:c r="CU124" s="27"/>
      <x:c r="CV124" s="27"/>
      <x:c r="CW124" s="27"/>
      <x:c r="CX124" s="27"/>
      <x:c r="CY124" s="27"/>
      <x:c r="CZ124" s="27"/>
      <x:c r="DA124" s="27"/>
      <x:c r="DB124" s="27"/>
      <x:c r="DC124" s="27"/>
      <x:c r="DD124" s="27"/>
      <x:c r="DE124" s="27"/>
      <x:c r="DF124" s="27"/>
      <x:c r="DG124" s="27"/>
      <x:c r="DH124" s="27"/>
      <x:c r="DI124" s="27"/>
      <x:c r="DJ124" s="27"/>
      <x:c r="DK124" s="27"/>
      <x:c r="DL124" s="27"/>
      <x:c r="DM124" s="27"/>
      <x:c r="DN124" s="27"/>
      <x:c r="DO124" s="27"/>
      <x:c r="DP124" s="27"/>
      <x:c r="DQ124" s="27"/>
      <x:c r="DR124" s="27"/>
      <x:c r="DS124" s="27"/>
      <x:c r="DT124" s="27"/>
      <x:c r="DU124" s="27"/>
      <x:c r="DV124" s="27"/>
      <x:c r="DW124" s="27"/>
      <x:c r="DX124" s="27"/>
      <x:c r="DY124" s="27"/>
      <x:c r="DZ124" s="27"/>
      <x:c r="EA124" s="27"/>
      <x:c r="EB124" s="27"/>
      <x:c r="EC124" s="27"/>
      <x:c r="ED124" s="27"/>
      <x:c r="EE124" s="27"/>
      <x:c r="EF124" s="27"/>
      <x:c r="EG124" s="27"/>
      <x:c r="EH124" s="27"/>
      <x:c r="EI124" s="27"/>
      <x:c r="EJ124" s="27"/>
      <x:c r="EK124" s="27"/>
      <x:c r="EL124" s="27"/>
      <x:c r="EM124" s="27"/>
      <x:c r="EN124" s="27"/>
      <x:c r="EO124" s="27"/>
      <x:c r="EP124" s="27"/>
      <x:c r="EQ124" s="27"/>
      <x:c r="ER124" s="27"/>
      <x:c r="ES124" s="27"/>
      <x:c r="ET124" s="27"/>
      <x:c r="EU124" s="27"/>
      <x:c r="EV124" s="27"/>
      <x:c r="EW124" s="27"/>
      <x:c r="EX124" s="27"/>
      <x:c r="EY124" s="27"/>
      <x:c r="EZ124" s="27"/>
      <x:c r="FA124" s="27"/>
      <x:c r="FB124" s="27"/>
      <x:c r="FC124" s="27"/>
      <x:c r="FD124" s="27"/>
      <x:c r="FE124" s="27"/>
      <x:c r="FF124" s="27"/>
      <x:c r="FG124" s="27"/>
      <x:c r="FH124" s="27"/>
      <x:c r="FI124" s="27"/>
      <x:c r="FJ124" s="27"/>
      <x:c r="FK124" s="27"/>
      <x:c r="FL124" s="27"/>
      <x:c r="FM124" s="27"/>
      <x:c r="FN124" s="27"/>
      <x:c r="FO124" s="27"/>
      <x:c r="FP124" s="27"/>
      <x:c r="FQ124" s="27"/>
      <x:c r="FR124" s="27"/>
      <x:c r="FS124" s="27"/>
      <x:c r="FT124" s="27"/>
      <x:c r="FU124" s="27"/>
      <x:c r="FV124" s="27"/>
      <x:c r="FW124" s="27"/>
      <x:c r="FX124" s="27"/>
      <x:c r="FY124" s="27"/>
      <x:c r="FZ124" s="27"/>
      <x:c r="GA124" s="27"/>
      <x:c r="GB124" s="27"/>
      <x:c r="GC124" s="27"/>
      <x:c r="GD124" s="27"/>
      <x:c r="GE124" s="27"/>
      <x:c r="GF124" s="27"/>
      <x:c r="GG124" s="27"/>
      <x:c r="GH124" s="27"/>
      <x:c r="GI124" s="27"/>
      <x:c r="GJ124" s="27"/>
      <x:c r="GK124" s="27"/>
      <x:c r="GL124" s="27"/>
      <x:c r="GM124" s="27"/>
      <x:c r="GN124" s="27"/>
      <x:c r="GO124" s="27"/>
      <x:c r="GP124" s="27"/>
      <x:c r="GQ124" s="27"/>
      <x:c r="GR124" s="27"/>
      <x:c r="GS124" s="27"/>
      <x:c r="GT124" s="27"/>
      <x:c r="GU124" s="27"/>
      <x:c r="GV124" s="27"/>
      <x:c r="GW124" s="27"/>
      <x:c r="GX124" s="27"/>
      <x:c r="GY124" s="27"/>
      <x:c r="GZ124" s="27"/>
      <x:c r="HA124" s="27"/>
      <x:c r="HB124" s="27"/>
      <x:c r="HC124" s="27"/>
      <x:c r="HD124" s="27"/>
      <x:c r="HE124" s="27"/>
      <x:c r="HF124" s="27"/>
      <x:c r="HG124" s="27"/>
      <x:c r="HH124" s="27"/>
      <x:c r="HI124" s="27"/>
      <x:c r="HJ124" s="27"/>
      <x:c r="HK124" s="27"/>
      <x:c r="HL124" s="27"/>
      <x:c r="HM124" s="27"/>
      <x:c r="HN124" s="27"/>
      <x:c r="HO124" s="27"/>
      <x:c r="HP124" s="27" t="str">
        <x:f>IF(C124="","",SUM(H124,N124,T124,Z124,AF124,AL124,AR124,AX124,BD124,BJ124,BP124,BV124,CB124,CH124,CN124,CT124,CZ124,DF124,DL124,DR124,DX124,ED124,EJ124,EP124,EV124,FB124,FH124,FN124,FT124,FZ124,GF124,GL124,GR124,GX124,HD124,HJ124))</x:f>
      </x:c>
      <x:c r="HQ124" s="27" t="str">
        <x:f>IF(C124="","",SUM(I124,O124,U124,AA124,AG124,AM124,AS124,AY124,BE124,BK124,BQ124,BW124,CC124,CI124,CO124,CU124,DA124,DG124,DM124,DS124,DY124,EE124,EK124,EQ124,EW124,FC124,FI124,FO124,FU124,GA124,GG124,GM124,GS124,GY124,HE124,HK124))</x:f>
      </x:c>
      <x:c r="HR124" s="27" t="str">
        <x:f>IF(C124="","",SUM(J124,P124,V124,AB124,AH124,AN124,AT124,AZ124,BF124,BL124,BR124,BX124,CD124,CJ124,CP124,CV124,DB124,DH124,DN124,DT124,DZ124,EF124,EL124,ER124,EX124,FD124,FJ124,FP124,FV124,GB124,GH124,GN124,GT124,GZ124,HF124,HL124))</x:f>
      </x:c>
      <x:c r="HS124" s="27" t="str">
        <x:f>IF(C124="","",SUM(K124,Q124,W124,AC124,AI124,AO124,AU124,BA124,BG124,BM124,BS124,BY124,CE124,CK124,CQ124,CW124,DC124,DI124,DO124,DU124,EA124,EG124,EM124,ES124,EY124,FE124,FK124,FQ124,FW124,GC124,GI124,GO124,GU124,HA124,HG124,HM124))</x:f>
      </x:c>
      <x:c r="HT124" s="27" t="str">
        <x:f>IF(C124="","",SUM(L124,R124,X124,AD124,AJ124,AP124,AV124,BB124,BH124,BN124,BT124,BZ124,CF124,CL124,CR124,CX124,DD124,DJ124,DP124,DV124,EB124,EH124,EN124,ET124,EZ124,FF124,FL124,FR124,FX124,GD124,GJ124,GP124,GV124,HB124,HH124,HN124))</x:f>
      </x:c>
      <x:c r="HU124" s="27" t="str">
        <x:f>IF(C124="","",SUM(M124,S124,Y124,AE124,AK124,AQ124,AW124,BC124,BI124,BO124,BU124,CA124,CG124,CM124,CS124,CY124,DE124,DK124,DQ124,DW124,EC124,EI124,EO124,EU124,FA124,FG124,FM124,FS124,FY124,GE124,GK124,GQ124,GW124,HC124,HI124,HO124))</x:f>
      </x:c>
      <x:c r="HV124" s="27" t="str">
        <x:f>IF(C124="","",IF(JI124=LARGE(JI124:JN124,1),"R",IF(JJ124=LARGE(JI124:JN124,1),"I",IF(JK124=LARGE(JI124:JN124,1),"A",IF(JL124=LARGE(JI124:JN124,1),"S",IF(JM124=LARGE(JI124:JN124,1),"E",IF(JN124=LARGE(JI124:JN124,1),"C",""))))))&amp;IF(JI124=LARGE(JI124:JN124,2),"R",IF(JJ124=LARGE(JI124:JN124,2),"I",IF(JK124=LARGE(JI124:JN124,2),"A",IF(JL124=LARGE(JI124:JN124,2),"S",IF(JM124=LARGE(JI124:JN124,2),"E",IF(JN124=LARGE(JI124:JN124,2),"C",""))))))&amp;IF(JI124=LARGE(JI124:JN124,3),"R",IF(JJ124=LARGE(JI124:JN124,3),"I",IF(JK124=LARGE(JI124:JN124,3),"A",IF(JL124=LARGE(JI124:JN124,3),"S",IF(JM124=LARGE(JI124:JN124,3),"E",IF(JN124=LARGE(JI124:JN124,3),"C","")))))))</x:f>
      </x:c>
      <x:c r="HW124" s="27" t="str">
        <x:f>IF(C124="","",IF(JI124=LARGE(JI124:JN124,1),"นักปฏิบัติ",IF(JJ124=LARGE(JI124:JN124,1),"นักคิดวิเคราะห์",IF(JK124=LARGE(JI124:JN124,1),"นักสร้างสรรค์",IF(JL124=LARGE(JI124:JN124,1),"ผู้เข้าใจผู้คน",IF(JM124=LARGE(JI124:JN124,1),"ผู้นำการเปลี่ยนแปลง",IF(JN124=LARGE(JI124:JN124,1),"ผู้จัดระบบ","ผู้จัดระบบ")))))))</x:f>
      </x:c>
      <x:c r="HX124" s="27"/>
      <x:c r="HY124" s="27"/>
      <x:c r="HZ124" s="27"/>
      <x:c r="IA124" s="27"/>
      <x:c r="IB124" s="27"/>
      <x:c r="IC124" s="27"/>
      <x:c r="ID124" s="27"/>
      <x:c r="IE124" s="27"/>
      <x:c r="IF124" s="27"/>
      <x:c r="IG124" s="27"/>
      <x:c r="IH124" s="27"/>
      <x:c r="II124" s="27"/>
      <x:c r="IJ124" s="27"/>
      <x:c r="IK124" s="27" t="str">
        <x:f>IF(C124="","",SUM(H124,N124,T124,Z124,AF124,AL124,AR124,AX124,BD124,BJ124,BP124))</x:f>
      </x:c>
      <x:c r="IL124" s="27" t="str">
        <x:f>IF(C124="","",SUM(I124,O124,U124,AA124,AG124,AM124,AS124,AY124,BE124,BK124,BQ124))</x:f>
      </x:c>
      <x:c r="IM124" s="27" t="str">
        <x:f>IF(C124="","",SUM(J124,P124,V124,AB124,AH124,AN124,AT124,AZ124,BF124,BL124,BR124))</x:f>
      </x:c>
      <x:c r="IN124" s="27" t="str">
        <x:f>IF(C124="","",SUM(K124,Q124,W124,AC124,AI124,AO124,AU124,BA124,BG124,BM124,BS124))</x:f>
      </x:c>
      <x:c r="IO124" s="27" t="str">
        <x:f>IF(C124="","",SUM(L124,R124,X124,AD124,AJ124,AP124,AV124,BB124,BH124,BN124,BT124))</x:f>
      </x:c>
      <x:c r="IP124" s="27" t="str">
        <x:f>IF(C124="","",SUM(M124,S124,Y124,AE124,AK124,AQ124,AW124,BC124,BI124,BO124,BU124))</x:f>
      </x:c>
      <x:c r="IQ124" s="27" t="str">
        <x:f>IF(C124="","",SUM(BV124,CB124,CH124,CN124,CT124,CZ124,DF124,DL124,DR124,DX124,ED124))</x:f>
      </x:c>
      <x:c r="IR124" s="27" t="str">
        <x:f>IF(C124="","",SUM(BW124,CC124,CI124,CO124,CU124,DA124,DG124,DM124,DS124,DY124,EE124))</x:f>
      </x:c>
      <x:c r="IS124" s="27" t="str">
        <x:f>IF(C124="","",SUM(BX124,CD124,CJ124,CP124,CV124,DB124,DH124,DN124,DT124,DZ124,EF124))</x:f>
      </x:c>
      <x:c r="IT124" s="27" t="str">
        <x:f>IF(C124="","",SUM(BY124,CE124,CK124,CQ124,CW124,DC124,DI124,DO124,DU124,EA124,EG124))</x:f>
      </x:c>
      <x:c r="IU124" s="27" t="str">
        <x:f>IF(C124="","",SUM(BZ124,CF124,CL124,CR124,CX124,DD124,DJ124,DP124,DV124,EB124,EH124))</x:f>
      </x:c>
      <x:c r="IV124" s="27" t="str">
        <x:f>IF(C124="","",SUM(CA124,CG124,CM124,CS124,CY124,DE124,DK124,DQ124,DW124,EC124,EI124))</x:f>
      </x:c>
      <x:c r="IW124" s="27" t="str">
        <x:f>IF(C124="","",SUM(EJ124,EP124,EV124,FB124,FH124,FN124,FT124,FZ124,GF124,GL124,GR124,GX124,HD124,HJ124))</x:f>
      </x:c>
      <x:c r="IX124" s="27" t="str">
        <x:f>IF(C124="","",SUM(EK124,EQ124,EW124,FC124,FI124,FO124,FU124,GA124,GG124,GM124,GS124,GY124,HE124,HK124))</x:f>
      </x:c>
      <x:c r="IY124" s="27" t="str">
        <x:f>IF(C124="","",SUM(EL124,ER124,EX124,FD124,FJ124,FP124,FV124,GB124,GH124,GN124,GT124,GZ124,HF124,HL124))</x:f>
      </x:c>
      <x:c r="IZ124" s="27" t="str">
        <x:f>IF(C124="","",SUM(EM124,ES124,EY124,FE124,FK124,FQ124,FW124,GC124,GI124,GO124,GU124,HA124,HG124,HM124))</x:f>
      </x:c>
      <x:c r="JA124" s="27" t="str">
        <x:f>IF(C124="","",SUM(EN124,ET124,EZ124,FF124,FL124,FR124,FX124,GD124,GJ124,GP124,GV124,HB124,HH124,HN124))</x:f>
      </x:c>
      <x:c r="JB124" s="27" t="str">
        <x:f>IF(C124="","",SUM(EO124,EU124,FA124,FG124,FM124,FS124,FY124,GE124,GK124,GQ124,GW124,HC124,HI124,HO124))</x:f>
      </x:c>
      <x:c r="JC124" s="27" t="str">
        <x:f>IF(C124="","",0)</x:f>
      </x:c>
      <x:c r="JD124" s="27" t="str">
        <x:f>IF(C124="","",0)</x:f>
      </x:c>
      <x:c r="JE124" s="27" t="str">
        <x:f>IF(C124="","",0)</x:f>
      </x:c>
      <x:c r="JF124" s="27" t="str">
        <x:f>IF(C124="","",0)</x:f>
      </x:c>
      <x:c r="JG124" s="27" t="str">
        <x:f>IF(C124="","",0)</x:f>
      </x:c>
      <x:c r="JH124" s="27" t="str">
        <x:f>IF(C124="","",0)</x:f>
      </x:c>
      <x:c r="JI124" s="27" t="str">
        <x:f>IF(C124="","",HP124*1000000000+IW124*1000000+IQ124*10000+IK124*100+JC124+6/1000)</x:f>
      </x:c>
      <x:c r="JJ124" s="27" t="str">
        <x:f>IF(C124="","",HQ124*1000000000+IX124*1000000+IR124*10000+IL124*100+JD124+5/1000)</x:f>
      </x:c>
      <x:c r="JK124" s="27" t="str">
        <x:f>IF(C124="","",HR124*1000000000+IY124*1000000+IS124*10000+IM124*100+JE124+4/1000)</x:f>
      </x:c>
      <x:c r="JL124" s="27" t="str">
        <x:f>IF(C124="","",HS124*1000000000+IZ124*1000000+IT124*10000+IN124*100+JF124+3/1000)</x:f>
      </x:c>
      <x:c r="JM124" s="27" t="str">
        <x:f>IF(C124="","",HT124*1000000000+JA124*1000000+IU124*10000+IO124*100+JG124+2/1000)</x:f>
      </x:c>
      <x:c r="JN124" s="27" t="str">
        <x:f>IF(C124="","",HU124*1000000000+JB124*1000000+IV124*10000+IP124*100+JH124+1/1000)</x:f>
      </x:c>
    </x:row>
    <x:row r="125">
      <x:c r="A125" s="27"/>
      <x:c r="B125" s="28"/>
      <x:c r="C125" s="27"/>
      <x:c r="D125" s="27"/>
      <x:c r="E125" s="27"/>
      <x:c r="F125" s="27"/>
      <x:c r="G125" s="27"/>
      <x:c r="H125" s="27"/>
      <x:c r="I125" s="27"/>
      <x:c r="J125" s="27"/>
      <x:c r="K125" s="27"/>
      <x:c r="L125" s="27"/>
      <x:c r="M125" s="27"/>
      <x:c r="N125" s="27"/>
      <x:c r="O125" s="27"/>
      <x:c r="P125" s="27"/>
      <x:c r="Q125" s="27"/>
      <x:c r="R125" s="27"/>
      <x:c r="S125" s="27"/>
      <x:c r="T125" s="27"/>
      <x:c r="U125" s="27"/>
      <x:c r="V125" s="27"/>
      <x:c r="W125" s="27"/>
      <x:c r="X125" s="27"/>
      <x:c r="Y125" s="27"/>
      <x:c r="Z125" s="27"/>
      <x:c r="AA125" s="27"/>
      <x:c r="AB125" s="27"/>
      <x:c r="AC125" s="27"/>
      <x:c r="AD125" s="27"/>
      <x:c r="AE125" s="27"/>
      <x:c r="AF125" s="27"/>
      <x:c r="AG125" s="27"/>
      <x:c r="AH125" s="27"/>
      <x:c r="AI125" s="27"/>
      <x:c r="AJ125" s="27"/>
      <x:c r="AK125" s="27"/>
      <x:c r="AL125" s="27"/>
      <x:c r="AM125" s="27"/>
      <x:c r="AN125" s="27"/>
      <x:c r="AO125" s="27"/>
      <x:c r="AP125" s="27"/>
      <x:c r="AQ125" s="27"/>
      <x:c r="AR125" s="27"/>
      <x:c r="AS125" s="27"/>
      <x:c r="AT125" s="27"/>
      <x:c r="AU125" s="27"/>
      <x:c r="AV125" s="27"/>
      <x:c r="AW125" s="27"/>
      <x:c r="AX125" s="27"/>
      <x:c r="AY125" s="27"/>
      <x:c r="AZ125" s="27"/>
      <x:c r="BA125" s="27"/>
      <x:c r="BB125" s="27"/>
      <x:c r="BC125" s="27"/>
      <x:c r="BD125" s="27"/>
      <x:c r="BE125" s="27"/>
      <x:c r="BF125" s="27"/>
      <x:c r="BG125" s="27"/>
      <x:c r="BH125" s="27"/>
      <x:c r="BI125" s="27"/>
      <x:c r="BJ125" s="27"/>
      <x:c r="BK125" s="27"/>
      <x:c r="BL125" s="27"/>
      <x:c r="BM125" s="27"/>
      <x:c r="BN125" s="27"/>
      <x:c r="BO125" s="27"/>
      <x:c r="BP125" s="27"/>
      <x:c r="BQ125" s="27"/>
      <x:c r="BR125" s="27"/>
      <x:c r="BS125" s="27"/>
      <x:c r="BT125" s="27"/>
      <x:c r="BU125" s="27"/>
      <x:c r="BV125" s="27"/>
      <x:c r="BW125" s="27"/>
      <x:c r="BX125" s="27"/>
      <x:c r="BY125" s="27"/>
      <x:c r="BZ125" s="27"/>
      <x:c r="CA125" s="27"/>
      <x:c r="CB125" s="27"/>
      <x:c r="CC125" s="27"/>
      <x:c r="CD125" s="27"/>
      <x:c r="CE125" s="27"/>
      <x:c r="CF125" s="27"/>
      <x:c r="CG125" s="27"/>
      <x:c r="CH125" s="27"/>
      <x:c r="CI125" s="27"/>
      <x:c r="CJ125" s="27"/>
      <x:c r="CK125" s="27"/>
      <x:c r="CL125" s="27"/>
      <x:c r="CM125" s="27"/>
      <x:c r="CN125" s="27"/>
      <x:c r="CO125" s="27"/>
      <x:c r="CP125" s="27"/>
      <x:c r="CQ125" s="27"/>
      <x:c r="CR125" s="27"/>
      <x:c r="CS125" s="27"/>
      <x:c r="CT125" s="27"/>
      <x:c r="CU125" s="27"/>
      <x:c r="CV125" s="27"/>
      <x:c r="CW125" s="27"/>
      <x:c r="CX125" s="27"/>
      <x:c r="CY125" s="27"/>
      <x:c r="CZ125" s="27"/>
      <x:c r="DA125" s="27"/>
      <x:c r="DB125" s="27"/>
      <x:c r="DC125" s="27"/>
      <x:c r="DD125" s="27"/>
      <x:c r="DE125" s="27"/>
      <x:c r="DF125" s="27"/>
      <x:c r="DG125" s="27"/>
      <x:c r="DH125" s="27"/>
      <x:c r="DI125" s="27"/>
      <x:c r="DJ125" s="27"/>
      <x:c r="DK125" s="27"/>
      <x:c r="DL125" s="27"/>
      <x:c r="DM125" s="27"/>
      <x:c r="DN125" s="27"/>
      <x:c r="DO125" s="27"/>
      <x:c r="DP125" s="27"/>
      <x:c r="DQ125" s="27"/>
      <x:c r="DR125" s="27"/>
      <x:c r="DS125" s="27"/>
      <x:c r="DT125" s="27"/>
      <x:c r="DU125" s="27"/>
      <x:c r="DV125" s="27"/>
      <x:c r="DW125" s="27"/>
      <x:c r="DX125" s="27"/>
      <x:c r="DY125" s="27"/>
      <x:c r="DZ125" s="27"/>
      <x:c r="EA125" s="27"/>
      <x:c r="EB125" s="27"/>
      <x:c r="EC125" s="27"/>
      <x:c r="ED125" s="27"/>
      <x:c r="EE125" s="27"/>
      <x:c r="EF125" s="27"/>
      <x:c r="EG125" s="27"/>
      <x:c r="EH125" s="27"/>
      <x:c r="EI125" s="27"/>
      <x:c r="EJ125" s="27"/>
      <x:c r="EK125" s="27"/>
      <x:c r="EL125" s="27"/>
      <x:c r="EM125" s="27"/>
      <x:c r="EN125" s="27"/>
      <x:c r="EO125" s="27"/>
      <x:c r="EP125" s="27"/>
      <x:c r="EQ125" s="27"/>
      <x:c r="ER125" s="27"/>
      <x:c r="ES125" s="27"/>
      <x:c r="ET125" s="27"/>
      <x:c r="EU125" s="27"/>
      <x:c r="EV125" s="27"/>
      <x:c r="EW125" s="27"/>
      <x:c r="EX125" s="27"/>
      <x:c r="EY125" s="27"/>
      <x:c r="EZ125" s="27"/>
      <x:c r="FA125" s="27"/>
      <x:c r="FB125" s="27"/>
      <x:c r="FC125" s="27"/>
      <x:c r="FD125" s="27"/>
      <x:c r="FE125" s="27"/>
      <x:c r="FF125" s="27"/>
      <x:c r="FG125" s="27"/>
      <x:c r="FH125" s="27"/>
      <x:c r="FI125" s="27"/>
      <x:c r="FJ125" s="27"/>
      <x:c r="FK125" s="27"/>
      <x:c r="FL125" s="27"/>
      <x:c r="FM125" s="27"/>
      <x:c r="FN125" s="27"/>
      <x:c r="FO125" s="27"/>
      <x:c r="FP125" s="27"/>
      <x:c r="FQ125" s="27"/>
      <x:c r="FR125" s="27"/>
      <x:c r="FS125" s="27"/>
      <x:c r="FT125" s="27"/>
      <x:c r="FU125" s="27"/>
      <x:c r="FV125" s="27"/>
      <x:c r="FW125" s="27"/>
      <x:c r="FX125" s="27"/>
      <x:c r="FY125" s="27"/>
      <x:c r="FZ125" s="27"/>
      <x:c r="GA125" s="27"/>
      <x:c r="GB125" s="27"/>
      <x:c r="GC125" s="27"/>
      <x:c r="GD125" s="27"/>
      <x:c r="GE125" s="27"/>
      <x:c r="GF125" s="27"/>
      <x:c r="GG125" s="27"/>
      <x:c r="GH125" s="27"/>
      <x:c r="GI125" s="27"/>
      <x:c r="GJ125" s="27"/>
      <x:c r="GK125" s="27"/>
      <x:c r="GL125" s="27"/>
      <x:c r="GM125" s="27"/>
      <x:c r="GN125" s="27"/>
      <x:c r="GO125" s="27"/>
      <x:c r="GP125" s="27"/>
      <x:c r="GQ125" s="27"/>
      <x:c r="GR125" s="27"/>
      <x:c r="GS125" s="27"/>
      <x:c r="GT125" s="27"/>
      <x:c r="GU125" s="27"/>
      <x:c r="GV125" s="27"/>
      <x:c r="GW125" s="27"/>
      <x:c r="GX125" s="27"/>
      <x:c r="GY125" s="27"/>
      <x:c r="GZ125" s="27"/>
      <x:c r="HA125" s="27"/>
      <x:c r="HB125" s="27"/>
      <x:c r="HC125" s="27"/>
      <x:c r="HD125" s="27"/>
      <x:c r="HE125" s="27"/>
      <x:c r="HF125" s="27"/>
      <x:c r="HG125" s="27"/>
      <x:c r="HH125" s="27"/>
      <x:c r="HI125" s="27"/>
      <x:c r="HJ125" s="27"/>
      <x:c r="HK125" s="27"/>
      <x:c r="HL125" s="27"/>
      <x:c r="HM125" s="27"/>
      <x:c r="HN125" s="27"/>
      <x:c r="HO125" s="27"/>
      <x:c r="HP125" s="27" t="str">
        <x:f>IF(C125="","",SUM(H125,N125,T125,Z125,AF125,AL125,AR125,AX125,BD125,BJ125,BP125,BV125,CB125,CH125,CN125,CT125,CZ125,DF125,DL125,DR125,DX125,ED125,EJ125,EP125,EV125,FB125,FH125,FN125,FT125,FZ125,GF125,GL125,GR125,GX125,HD125,HJ125))</x:f>
      </x:c>
      <x:c r="HQ125" s="27" t="str">
        <x:f>IF(C125="","",SUM(I125,O125,U125,AA125,AG125,AM125,AS125,AY125,BE125,BK125,BQ125,BW125,CC125,CI125,CO125,CU125,DA125,DG125,DM125,DS125,DY125,EE125,EK125,EQ125,EW125,FC125,FI125,FO125,FU125,GA125,GG125,GM125,GS125,GY125,HE125,HK125))</x:f>
      </x:c>
      <x:c r="HR125" s="27" t="str">
        <x:f>IF(C125="","",SUM(J125,P125,V125,AB125,AH125,AN125,AT125,AZ125,BF125,BL125,BR125,BX125,CD125,CJ125,CP125,CV125,DB125,DH125,DN125,DT125,DZ125,EF125,EL125,ER125,EX125,FD125,FJ125,FP125,FV125,GB125,GH125,GN125,GT125,GZ125,HF125,HL125))</x:f>
      </x:c>
      <x:c r="HS125" s="27" t="str">
        <x:f>IF(C125="","",SUM(K125,Q125,W125,AC125,AI125,AO125,AU125,BA125,BG125,BM125,BS125,BY125,CE125,CK125,CQ125,CW125,DC125,DI125,DO125,DU125,EA125,EG125,EM125,ES125,EY125,FE125,FK125,FQ125,FW125,GC125,GI125,GO125,GU125,HA125,HG125,HM125))</x:f>
      </x:c>
      <x:c r="HT125" s="27" t="str">
        <x:f>IF(C125="","",SUM(L125,R125,X125,AD125,AJ125,AP125,AV125,BB125,BH125,BN125,BT125,BZ125,CF125,CL125,CR125,CX125,DD125,DJ125,DP125,DV125,EB125,EH125,EN125,ET125,EZ125,FF125,FL125,FR125,FX125,GD125,GJ125,GP125,GV125,HB125,HH125,HN125))</x:f>
      </x:c>
      <x:c r="HU125" s="27" t="str">
        <x:f>IF(C125="","",SUM(M125,S125,Y125,AE125,AK125,AQ125,AW125,BC125,BI125,BO125,BU125,CA125,CG125,CM125,CS125,CY125,DE125,DK125,DQ125,DW125,EC125,EI125,EO125,EU125,FA125,FG125,FM125,FS125,FY125,GE125,GK125,GQ125,GW125,HC125,HI125,HO125))</x:f>
      </x:c>
      <x:c r="HV125" s="27" t="str">
        <x:f>IF(C125="","",IF(JI125=LARGE(JI125:JN125,1),"R",IF(JJ125=LARGE(JI125:JN125,1),"I",IF(JK125=LARGE(JI125:JN125,1),"A",IF(JL125=LARGE(JI125:JN125,1),"S",IF(JM125=LARGE(JI125:JN125,1),"E",IF(JN125=LARGE(JI125:JN125,1),"C",""))))))&amp;IF(JI125=LARGE(JI125:JN125,2),"R",IF(JJ125=LARGE(JI125:JN125,2),"I",IF(JK125=LARGE(JI125:JN125,2),"A",IF(JL125=LARGE(JI125:JN125,2),"S",IF(JM125=LARGE(JI125:JN125,2),"E",IF(JN125=LARGE(JI125:JN125,2),"C",""))))))&amp;IF(JI125=LARGE(JI125:JN125,3),"R",IF(JJ125=LARGE(JI125:JN125,3),"I",IF(JK125=LARGE(JI125:JN125,3),"A",IF(JL125=LARGE(JI125:JN125,3),"S",IF(JM125=LARGE(JI125:JN125,3),"E",IF(JN125=LARGE(JI125:JN125,3),"C","")))))))</x:f>
      </x:c>
      <x:c r="HW125" s="27" t="str">
        <x:f>IF(C125="","",IF(JI125=LARGE(JI125:JN125,1),"นักปฏิบัติ",IF(JJ125=LARGE(JI125:JN125,1),"นักคิดวิเคราะห์",IF(JK125=LARGE(JI125:JN125,1),"นักสร้างสรรค์",IF(JL125=LARGE(JI125:JN125,1),"ผู้เข้าใจผู้คน",IF(JM125=LARGE(JI125:JN125,1),"ผู้นำการเปลี่ยนแปลง",IF(JN125=LARGE(JI125:JN125,1),"ผู้จัดระบบ","ผู้จัดระบบ")))))))</x:f>
      </x:c>
      <x:c r="HX125" s="27"/>
      <x:c r="HY125" s="27"/>
      <x:c r="HZ125" s="27"/>
      <x:c r="IA125" s="27"/>
      <x:c r="IB125" s="27"/>
      <x:c r="IC125" s="27"/>
      <x:c r="ID125" s="27"/>
      <x:c r="IE125" s="27"/>
      <x:c r="IF125" s="27"/>
      <x:c r="IG125" s="27"/>
      <x:c r="IH125" s="27"/>
      <x:c r="II125" s="27"/>
      <x:c r="IJ125" s="27"/>
      <x:c r="IK125" s="27" t="str">
        <x:f>IF(C125="","",SUM(H125,N125,T125,Z125,AF125,AL125,AR125,AX125,BD125,BJ125,BP125))</x:f>
      </x:c>
      <x:c r="IL125" s="27" t="str">
        <x:f>IF(C125="","",SUM(I125,O125,U125,AA125,AG125,AM125,AS125,AY125,BE125,BK125,BQ125))</x:f>
      </x:c>
      <x:c r="IM125" s="27" t="str">
        <x:f>IF(C125="","",SUM(J125,P125,V125,AB125,AH125,AN125,AT125,AZ125,BF125,BL125,BR125))</x:f>
      </x:c>
      <x:c r="IN125" s="27" t="str">
        <x:f>IF(C125="","",SUM(K125,Q125,W125,AC125,AI125,AO125,AU125,BA125,BG125,BM125,BS125))</x:f>
      </x:c>
      <x:c r="IO125" s="27" t="str">
        <x:f>IF(C125="","",SUM(L125,R125,X125,AD125,AJ125,AP125,AV125,BB125,BH125,BN125,BT125))</x:f>
      </x:c>
      <x:c r="IP125" s="27" t="str">
        <x:f>IF(C125="","",SUM(M125,S125,Y125,AE125,AK125,AQ125,AW125,BC125,BI125,BO125,BU125))</x:f>
      </x:c>
      <x:c r="IQ125" s="27" t="str">
        <x:f>IF(C125="","",SUM(BV125,CB125,CH125,CN125,CT125,CZ125,DF125,DL125,DR125,DX125,ED125))</x:f>
      </x:c>
      <x:c r="IR125" s="27" t="str">
        <x:f>IF(C125="","",SUM(BW125,CC125,CI125,CO125,CU125,DA125,DG125,DM125,DS125,DY125,EE125))</x:f>
      </x:c>
      <x:c r="IS125" s="27" t="str">
        <x:f>IF(C125="","",SUM(BX125,CD125,CJ125,CP125,CV125,DB125,DH125,DN125,DT125,DZ125,EF125))</x:f>
      </x:c>
      <x:c r="IT125" s="27" t="str">
        <x:f>IF(C125="","",SUM(BY125,CE125,CK125,CQ125,CW125,DC125,DI125,DO125,DU125,EA125,EG125))</x:f>
      </x:c>
      <x:c r="IU125" s="27" t="str">
        <x:f>IF(C125="","",SUM(BZ125,CF125,CL125,CR125,CX125,DD125,DJ125,DP125,DV125,EB125,EH125))</x:f>
      </x:c>
      <x:c r="IV125" s="27" t="str">
        <x:f>IF(C125="","",SUM(CA125,CG125,CM125,CS125,CY125,DE125,DK125,DQ125,DW125,EC125,EI125))</x:f>
      </x:c>
      <x:c r="IW125" s="27" t="str">
        <x:f>IF(C125="","",SUM(EJ125,EP125,EV125,FB125,FH125,FN125,FT125,FZ125,GF125,GL125,GR125,GX125,HD125,HJ125))</x:f>
      </x:c>
      <x:c r="IX125" s="27" t="str">
        <x:f>IF(C125="","",SUM(EK125,EQ125,EW125,FC125,FI125,FO125,FU125,GA125,GG125,GM125,GS125,GY125,HE125,HK125))</x:f>
      </x:c>
      <x:c r="IY125" s="27" t="str">
        <x:f>IF(C125="","",SUM(EL125,ER125,EX125,FD125,FJ125,FP125,FV125,GB125,GH125,GN125,GT125,GZ125,HF125,HL125))</x:f>
      </x:c>
      <x:c r="IZ125" s="27" t="str">
        <x:f>IF(C125="","",SUM(EM125,ES125,EY125,FE125,FK125,FQ125,FW125,GC125,GI125,GO125,GU125,HA125,HG125,HM125))</x:f>
      </x:c>
      <x:c r="JA125" s="27" t="str">
        <x:f>IF(C125="","",SUM(EN125,ET125,EZ125,FF125,FL125,FR125,FX125,GD125,GJ125,GP125,GV125,HB125,HH125,HN125))</x:f>
      </x:c>
      <x:c r="JB125" s="27" t="str">
        <x:f>IF(C125="","",SUM(EO125,EU125,FA125,FG125,FM125,FS125,FY125,GE125,GK125,GQ125,GW125,HC125,HI125,HO125))</x:f>
      </x:c>
      <x:c r="JC125" s="27" t="str">
        <x:f>IF(C125="","",0)</x:f>
      </x:c>
      <x:c r="JD125" s="27" t="str">
        <x:f>IF(C125="","",0)</x:f>
      </x:c>
      <x:c r="JE125" s="27" t="str">
        <x:f>IF(C125="","",0)</x:f>
      </x:c>
      <x:c r="JF125" s="27" t="str">
        <x:f>IF(C125="","",0)</x:f>
      </x:c>
      <x:c r="JG125" s="27" t="str">
        <x:f>IF(C125="","",0)</x:f>
      </x:c>
      <x:c r="JH125" s="27" t="str">
        <x:f>IF(C125="","",0)</x:f>
      </x:c>
      <x:c r="JI125" s="27" t="str">
        <x:f>IF(C125="","",HP125*1000000000+IW125*1000000+IQ125*10000+IK125*100+JC125+6/1000)</x:f>
      </x:c>
      <x:c r="JJ125" s="27" t="str">
        <x:f>IF(C125="","",HQ125*1000000000+IX125*1000000+IR125*10000+IL125*100+JD125+5/1000)</x:f>
      </x:c>
      <x:c r="JK125" s="27" t="str">
        <x:f>IF(C125="","",HR125*1000000000+IY125*1000000+IS125*10000+IM125*100+JE125+4/1000)</x:f>
      </x:c>
      <x:c r="JL125" s="27" t="str">
        <x:f>IF(C125="","",HS125*1000000000+IZ125*1000000+IT125*10000+IN125*100+JF125+3/1000)</x:f>
      </x:c>
      <x:c r="JM125" s="27" t="str">
        <x:f>IF(C125="","",HT125*1000000000+JA125*1000000+IU125*10000+IO125*100+JG125+2/1000)</x:f>
      </x:c>
      <x:c r="JN125" s="27" t="str">
        <x:f>IF(C125="","",HU125*1000000000+JB125*1000000+IV125*10000+IP125*100+JH125+1/1000)</x:f>
      </x:c>
    </x:row>
    <x:row r="126">
      <x:c r="A126" s="27"/>
      <x:c r="B126" s="28"/>
      <x:c r="C126" s="27"/>
      <x:c r="D126" s="27"/>
      <x:c r="E126" s="27"/>
      <x:c r="F126" s="27"/>
      <x:c r="G126" s="27"/>
      <x:c r="H126" s="27"/>
      <x:c r="I126" s="27"/>
      <x:c r="J126" s="27"/>
      <x:c r="K126" s="27"/>
      <x:c r="L126" s="27"/>
      <x:c r="M126" s="27"/>
      <x:c r="N126" s="27"/>
      <x:c r="O126" s="27"/>
      <x:c r="P126" s="27"/>
      <x:c r="Q126" s="27"/>
      <x:c r="R126" s="27"/>
      <x:c r="S126" s="27"/>
      <x:c r="T126" s="27"/>
      <x:c r="U126" s="27"/>
      <x:c r="V126" s="27"/>
      <x:c r="W126" s="27"/>
      <x:c r="X126" s="27"/>
      <x:c r="Y126" s="27"/>
      <x:c r="Z126" s="27"/>
      <x:c r="AA126" s="27"/>
      <x:c r="AB126" s="27"/>
      <x:c r="AC126" s="27"/>
      <x:c r="AD126" s="27"/>
      <x:c r="AE126" s="27"/>
      <x:c r="AF126" s="27"/>
      <x:c r="AG126" s="27"/>
      <x:c r="AH126" s="27"/>
      <x:c r="AI126" s="27"/>
      <x:c r="AJ126" s="27"/>
      <x:c r="AK126" s="27"/>
      <x:c r="AL126" s="27"/>
      <x:c r="AM126" s="27"/>
      <x:c r="AN126" s="27"/>
      <x:c r="AO126" s="27"/>
      <x:c r="AP126" s="27"/>
      <x:c r="AQ126" s="27"/>
      <x:c r="AR126" s="27"/>
      <x:c r="AS126" s="27"/>
      <x:c r="AT126" s="27"/>
      <x:c r="AU126" s="27"/>
      <x:c r="AV126" s="27"/>
      <x:c r="AW126" s="27"/>
      <x:c r="AX126" s="27"/>
      <x:c r="AY126" s="27"/>
      <x:c r="AZ126" s="27"/>
      <x:c r="BA126" s="27"/>
      <x:c r="BB126" s="27"/>
      <x:c r="BC126" s="27"/>
      <x:c r="BD126" s="27"/>
      <x:c r="BE126" s="27"/>
      <x:c r="BF126" s="27"/>
      <x:c r="BG126" s="27"/>
      <x:c r="BH126" s="27"/>
      <x:c r="BI126" s="27"/>
      <x:c r="BJ126" s="27"/>
      <x:c r="BK126" s="27"/>
      <x:c r="BL126" s="27"/>
      <x:c r="BM126" s="27"/>
      <x:c r="BN126" s="27"/>
      <x:c r="BO126" s="27"/>
      <x:c r="BP126" s="27"/>
      <x:c r="BQ126" s="27"/>
      <x:c r="BR126" s="27"/>
      <x:c r="BS126" s="27"/>
      <x:c r="BT126" s="27"/>
      <x:c r="BU126" s="27"/>
      <x:c r="BV126" s="27"/>
      <x:c r="BW126" s="27"/>
      <x:c r="BX126" s="27"/>
      <x:c r="BY126" s="27"/>
      <x:c r="BZ126" s="27"/>
      <x:c r="CA126" s="27"/>
      <x:c r="CB126" s="27"/>
      <x:c r="CC126" s="27"/>
      <x:c r="CD126" s="27"/>
      <x:c r="CE126" s="27"/>
      <x:c r="CF126" s="27"/>
      <x:c r="CG126" s="27"/>
      <x:c r="CH126" s="27"/>
      <x:c r="CI126" s="27"/>
      <x:c r="CJ126" s="27"/>
      <x:c r="CK126" s="27"/>
      <x:c r="CL126" s="27"/>
      <x:c r="CM126" s="27"/>
      <x:c r="CN126" s="27"/>
      <x:c r="CO126" s="27"/>
      <x:c r="CP126" s="27"/>
      <x:c r="CQ126" s="27"/>
      <x:c r="CR126" s="27"/>
      <x:c r="CS126" s="27"/>
      <x:c r="CT126" s="27"/>
      <x:c r="CU126" s="27"/>
      <x:c r="CV126" s="27"/>
      <x:c r="CW126" s="27"/>
      <x:c r="CX126" s="27"/>
      <x:c r="CY126" s="27"/>
      <x:c r="CZ126" s="27"/>
      <x:c r="DA126" s="27"/>
      <x:c r="DB126" s="27"/>
      <x:c r="DC126" s="27"/>
      <x:c r="DD126" s="27"/>
      <x:c r="DE126" s="27"/>
      <x:c r="DF126" s="27"/>
      <x:c r="DG126" s="27"/>
      <x:c r="DH126" s="27"/>
      <x:c r="DI126" s="27"/>
      <x:c r="DJ126" s="27"/>
      <x:c r="DK126" s="27"/>
      <x:c r="DL126" s="27"/>
      <x:c r="DM126" s="27"/>
      <x:c r="DN126" s="27"/>
      <x:c r="DO126" s="27"/>
      <x:c r="DP126" s="27"/>
      <x:c r="DQ126" s="27"/>
      <x:c r="DR126" s="27"/>
      <x:c r="DS126" s="27"/>
      <x:c r="DT126" s="27"/>
      <x:c r="DU126" s="27"/>
      <x:c r="DV126" s="27"/>
      <x:c r="DW126" s="27"/>
      <x:c r="DX126" s="27"/>
      <x:c r="DY126" s="27"/>
      <x:c r="DZ126" s="27"/>
      <x:c r="EA126" s="27"/>
      <x:c r="EB126" s="27"/>
      <x:c r="EC126" s="27"/>
      <x:c r="ED126" s="27"/>
      <x:c r="EE126" s="27"/>
      <x:c r="EF126" s="27"/>
      <x:c r="EG126" s="27"/>
      <x:c r="EH126" s="27"/>
      <x:c r="EI126" s="27"/>
      <x:c r="EJ126" s="27"/>
      <x:c r="EK126" s="27"/>
      <x:c r="EL126" s="27"/>
      <x:c r="EM126" s="27"/>
      <x:c r="EN126" s="27"/>
      <x:c r="EO126" s="27"/>
      <x:c r="EP126" s="27"/>
      <x:c r="EQ126" s="27"/>
      <x:c r="ER126" s="27"/>
      <x:c r="ES126" s="27"/>
      <x:c r="ET126" s="27"/>
      <x:c r="EU126" s="27"/>
      <x:c r="EV126" s="27"/>
      <x:c r="EW126" s="27"/>
      <x:c r="EX126" s="27"/>
      <x:c r="EY126" s="27"/>
      <x:c r="EZ126" s="27"/>
      <x:c r="FA126" s="27"/>
      <x:c r="FB126" s="27"/>
      <x:c r="FC126" s="27"/>
      <x:c r="FD126" s="27"/>
      <x:c r="FE126" s="27"/>
      <x:c r="FF126" s="27"/>
      <x:c r="FG126" s="27"/>
      <x:c r="FH126" s="27"/>
      <x:c r="FI126" s="27"/>
      <x:c r="FJ126" s="27"/>
      <x:c r="FK126" s="27"/>
      <x:c r="FL126" s="27"/>
      <x:c r="FM126" s="27"/>
      <x:c r="FN126" s="27"/>
      <x:c r="FO126" s="27"/>
      <x:c r="FP126" s="27"/>
      <x:c r="FQ126" s="27"/>
      <x:c r="FR126" s="27"/>
      <x:c r="FS126" s="27"/>
      <x:c r="FT126" s="27"/>
      <x:c r="FU126" s="27"/>
      <x:c r="FV126" s="27"/>
      <x:c r="FW126" s="27"/>
      <x:c r="FX126" s="27"/>
      <x:c r="FY126" s="27"/>
      <x:c r="FZ126" s="27"/>
      <x:c r="GA126" s="27"/>
      <x:c r="GB126" s="27"/>
      <x:c r="GC126" s="27"/>
      <x:c r="GD126" s="27"/>
      <x:c r="GE126" s="27"/>
      <x:c r="GF126" s="27"/>
      <x:c r="GG126" s="27"/>
      <x:c r="GH126" s="27"/>
      <x:c r="GI126" s="27"/>
      <x:c r="GJ126" s="27"/>
      <x:c r="GK126" s="27"/>
      <x:c r="GL126" s="27"/>
      <x:c r="GM126" s="27"/>
      <x:c r="GN126" s="27"/>
      <x:c r="GO126" s="27"/>
      <x:c r="GP126" s="27"/>
      <x:c r="GQ126" s="27"/>
      <x:c r="GR126" s="27"/>
      <x:c r="GS126" s="27"/>
      <x:c r="GT126" s="27"/>
      <x:c r="GU126" s="27"/>
      <x:c r="GV126" s="27"/>
      <x:c r="GW126" s="27"/>
      <x:c r="GX126" s="27"/>
      <x:c r="GY126" s="27"/>
      <x:c r="GZ126" s="27"/>
      <x:c r="HA126" s="27"/>
      <x:c r="HB126" s="27"/>
      <x:c r="HC126" s="27"/>
      <x:c r="HD126" s="27"/>
      <x:c r="HE126" s="27"/>
      <x:c r="HF126" s="27"/>
      <x:c r="HG126" s="27"/>
      <x:c r="HH126" s="27"/>
      <x:c r="HI126" s="27"/>
      <x:c r="HJ126" s="27"/>
      <x:c r="HK126" s="27"/>
      <x:c r="HL126" s="27"/>
      <x:c r="HM126" s="27"/>
      <x:c r="HN126" s="27"/>
      <x:c r="HO126" s="27"/>
      <x:c r="HP126" s="27" t="str">
        <x:f>IF(C126="","",SUM(H126,N126,T126,Z126,AF126,AL126,AR126,AX126,BD126,BJ126,BP126,BV126,CB126,CH126,CN126,CT126,CZ126,DF126,DL126,DR126,DX126,ED126,EJ126,EP126,EV126,FB126,FH126,FN126,FT126,FZ126,GF126,GL126,GR126,GX126,HD126,HJ126))</x:f>
      </x:c>
      <x:c r="HQ126" s="27" t="str">
        <x:f>IF(C126="","",SUM(I126,O126,U126,AA126,AG126,AM126,AS126,AY126,BE126,BK126,BQ126,BW126,CC126,CI126,CO126,CU126,DA126,DG126,DM126,DS126,DY126,EE126,EK126,EQ126,EW126,FC126,FI126,FO126,FU126,GA126,GG126,GM126,GS126,GY126,HE126,HK126))</x:f>
      </x:c>
      <x:c r="HR126" s="27" t="str">
        <x:f>IF(C126="","",SUM(J126,P126,V126,AB126,AH126,AN126,AT126,AZ126,BF126,BL126,BR126,BX126,CD126,CJ126,CP126,CV126,DB126,DH126,DN126,DT126,DZ126,EF126,EL126,ER126,EX126,FD126,FJ126,FP126,FV126,GB126,GH126,GN126,GT126,GZ126,HF126,HL126))</x:f>
      </x:c>
      <x:c r="HS126" s="27" t="str">
        <x:f>IF(C126="","",SUM(K126,Q126,W126,AC126,AI126,AO126,AU126,BA126,BG126,BM126,BS126,BY126,CE126,CK126,CQ126,CW126,DC126,DI126,DO126,DU126,EA126,EG126,EM126,ES126,EY126,FE126,FK126,FQ126,FW126,GC126,GI126,GO126,GU126,HA126,HG126,HM126))</x:f>
      </x:c>
      <x:c r="HT126" s="27" t="str">
        <x:f>IF(C126="","",SUM(L126,R126,X126,AD126,AJ126,AP126,AV126,BB126,BH126,BN126,BT126,BZ126,CF126,CL126,CR126,CX126,DD126,DJ126,DP126,DV126,EB126,EH126,EN126,ET126,EZ126,FF126,FL126,FR126,FX126,GD126,GJ126,GP126,GV126,HB126,HH126,HN126))</x:f>
      </x:c>
      <x:c r="HU126" s="27" t="str">
        <x:f>IF(C126="","",SUM(M126,S126,Y126,AE126,AK126,AQ126,AW126,BC126,BI126,BO126,BU126,CA126,CG126,CM126,CS126,CY126,DE126,DK126,DQ126,DW126,EC126,EI126,EO126,EU126,FA126,FG126,FM126,FS126,FY126,GE126,GK126,GQ126,GW126,HC126,HI126,HO126))</x:f>
      </x:c>
      <x:c r="HV126" s="27" t="str">
        <x:f>IF(C126="","",IF(JI126=LARGE(JI126:JN126,1),"R",IF(JJ126=LARGE(JI126:JN126,1),"I",IF(JK126=LARGE(JI126:JN126,1),"A",IF(JL126=LARGE(JI126:JN126,1),"S",IF(JM126=LARGE(JI126:JN126,1),"E",IF(JN126=LARGE(JI126:JN126,1),"C",""))))))&amp;IF(JI126=LARGE(JI126:JN126,2),"R",IF(JJ126=LARGE(JI126:JN126,2),"I",IF(JK126=LARGE(JI126:JN126,2),"A",IF(JL126=LARGE(JI126:JN126,2),"S",IF(JM126=LARGE(JI126:JN126,2),"E",IF(JN126=LARGE(JI126:JN126,2),"C",""))))))&amp;IF(JI126=LARGE(JI126:JN126,3),"R",IF(JJ126=LARGE(JI126:JN126,3),"I",IF(JK126=LARGE(JI126:JN126,3),"A",IF(JL126=LARGE(JI126:JN126,3),"S",IF(JM126=LARGE(JI126:JN126,3),"E",IF(JN126=LARGE(JI126:JN126,3),"C","")))))))</x:f>
      </x:c>
      <x:c r="HW126" s="27" t="str">
        <x:f>IF(C126="","",IF(JI126=LARGE(JI126:JN126,1),"นักปฏิบัติ",IF(JJ126=LARGE(JI126:JN126,1),"นักคิดวิเคราะห์",IF(JK126=LARGE(JI126:JN126,1),"นักสร้างสรรค์",IF(JL126=LARGE(JI126:JN126,1),"ผู้เข้าใจผู้คน",IF(JM126=LARGE(JI126:JN126,1),"ผู้นำการเปลี่ยนแปลง",IF(JN126=LARGE(JI126:JN126,1),"ผู้จัดระบบ","ผู้จัดระบบ")))))))</x:f>
      </x:c>
      <x:c r="HX126" s="27"/>
      <x:c r="HY126" s="27"/>
      <x:c r="HZ126" s="27"/>
      <x:c r="IA126" s="27"/>
      <x:c r="IB126" s="27"/>
      <x:c r="IC126" s="27"/>
      <x:c r="ID126" s="27"/>
      <x:c r="IE126" s="27"/>
      <x:c r="IF126" s="27"/>
      <x:c r="IG126" s="27"/>
      <x:c r="IH126" s="27"/>
      <x:c r="II126" s="27"/>
      <x:c r="IJ126" s="27"/>
      <x:c r="IK126" s="27" t="str">
        <x:f>IF(C126="","",SUM(H126,N126,T126,Z126,AF126,AL126,AR126,AX126,BD126,BJ126,BP126))</x:f>
      </x:c>
      <x:c r="IL126" s="27" t="str">
        <x:f>IF(C126="","",SUM(I126,O126,U126,AA126,AG126,AM126,AS126,AY126,BE126,BK126,BQ126))</x:f>
      </x:c>
      <x:c r="IM126" s="27" t="str">
        <x:f>IF(C126="","",SUM(J126,P126,V126,AB126,AH126,AN126,AT126,AZ126,BF126,BL126,BR126))</x:f>
      </x:c>
      <x:c r="IN126" s="27" t="str">
        <x:f>IF(C126="","",SUM(K126,Q126,W126,AC126,AI126,AO126,AU126,BA126,BG126,BM126,BS126))</x:f>
      </x:c>
      <x:c r="IO126" s="27" t="str">
        <x:f>IF(C126="","",SUM(L126,R126,X126,AD126,AJ126,AP126,AV126,BB126,BH126,BN126,BT126))</x:f>
      </x:c>
      <x:c r="IP126" s="27" t="str">
        <x:f>IF(C126="","",SUM(M126,S126,Y126,AE126,AK126,AQ126,AW126,BC126,BI126,BO126,BU126))</x:f>
      </x:c>
      <x:c r="IQ126" s="27" t="str">
        <x:f>IF(C126="","",SUM(BV126,CB126,CH126,CN126,CT126,CZ126,DF126,DL126,DR126,DX126,ED126))</x:f>
      </x:c>
      <x:c r="IR126" s="27" t="str">
        <x:f>IF(C126="","",SUM(BW126,CC126,CI126,CO126,CU126,DA126,DG126,DM126,DS126,DY126,EE126))</x:f>
      </x:c>
      <x:c r="IS126" s="27" t="str">
        <x:f>IF(C126="","",SUM(BX126,CD126,CJ126,CP126,CV126,DB126,DH126,DN126,DT126,DZ126,EF126))</x:f>
      </x:c>
      <x:c r="IT126" s="27" t="str">
        <x:f>IF(C126="","",SUM(BY126,CE126,CK126,CQ126,CW126,DC126,DI126,DO126,DU126,EA126,EG126))</x:f>
      </x:c>
      <x:c r="IU126" s="27" t="str">
        <x:f>IF(C126="","",SUM(BZ126,CF126,CL126,CR126,CX126,DD126,DJ126,DP126,DV126,EB126,EH126))</x:f>
      </x:c>
      <x:c r="IV126" s="27" t="str">
        <x:f>IF(C126="","",SUM(CA126,CG126,CM126,CS126,CY126,DE126,DK126,DQ126,DW126,EC126,EI126))</x:f>
      </x:c>
      <x:c r="IW126" s="27" t="str">
        <x:f>IF(C126="","",SUM(EJ126,EP126,EV126,FB126,FH126,FN126,FT126,FZ126,GF126,GL126,GR126,GX126,HD126,HJ126))</x:f>
      </x:c>
      <x:c r="IX126" s="27" t="str">
        <x:f>IF(C126="","",SUM(EK126,EQ126,EW126,FC126,FI126,FO126,FU126,GA126,GG126,GM126,GS126,GY126,HE126,HK126))</x:f>
      </x:c>
      <x:c r="IY126" s="27" t="str">
        <x:f>IF(C126="","",SUM(EL126,ER126,EX126,FD126,FJ126,FP126,FV126,GB126,GH126,GN126,GT126,GZ126,HF126,HL126))</x:f>
      </x:c>
      <x:c r="IZ126" s="27" t="str">
        <x:f>IF(C126="","",SUM(EM126,ES126,EY126,FE126,FK126,FQ126,FW126,GC126,GI126,GO126,GU126,HA126,HG126,HM126))</x:f>
      </x:c>
      <x:c r="JA126" s="27" t="str">
        <x:f>IF(C126="","",SUM(EN126,ET126,EZ126,FF126,FL126,FR126,FX126,GD126,GJ126,GP126,GV126,HB126,HH126,HN126))</x:f>
      </x:c>
      <x:c r="JB126" s="27" t="str">
        <x:f>IF(C126="","",SUM(EO126,EU126,FA126,FG126,FM126,FS126,FY126,GE126,GK126,GQ126,GW126,HC126,HI126,HO126))</x:f>
      </x:c>
      <x:c r="JC126" s="27" t="str">
        <x:f>IF(C126="","",0)</x:f>
      </x:c>
      <x:c r="JD126" s="27" t="str">
        <x:f>IF(C126="","",0)</x:f>
      </x:c>
      <x:c r="JE126" s="27" t="str">
        <x:f>IF(C126="","",0)</x:f>
      </x:c>
      <x:c r="JF126" s="27" t="str">
        <x:f>IF(C126="","",0)</x:f>
      </x:c>
      <x:c r="JG126" s="27" t="str">
        <x:f>IF(C126="","",0)</x:f>
      </x:c>
      <x:c r="JH126" s="27" t="str">
        <x:f>IF(C126="","",0)</x:f>
      </x:c>
      <x:c r="JI126" s="27" t="str">
        <x:f>IF(C126="","",HP126*1000000000+IW126*1000000+IQ126*10000+IK126*100+JC126+6/1000)</x:f>
      </x:c>
      <x:c r="JJ126" s="27" t="str">
        <x:f>IF(C126="","",HQ126*1000000000+IX126*1000000+IR126*10000+IL126*100+JD126+5/1000)</x:f>
      </x:c>
      <x:c r="JK126" s="27" t="str">
        <x:f>IF(C126="","",HR126*1000000000+IY126*1000000+IS126*10000+IM126*100+JE126+4/1000)</x:f>
      </x:c>
      <x:c r="JL126" s="27" t="str">
        <x:f>IF(C126="","",HS126*1000000000+IZ126*1000000+IT126*10000+IN126*100+JF126+3/1000)</x:f>
      </x:c>
      <x:c r="JM126" s="27" t="str">
        <x:f>IF(C126="","",HT126*1000000000+JA126*1000000+IU126*10000+IO126*100+JG126+2/1000)</x:f>
      </x:c>
      <x:c r="JN126" s="27" t="str">
        <x:f>IF(C126="","",HU126*1000000000+JB126*1000000+IV126*10000+IP126*100+JH126+1/1000)</x:f>
      </x:c>
    </x:row>
    <x:row r="127">
      <x:c r="A127" s="27"/>
      <x:c r="B127" s="28"/>
      <x:c r="C127" s="27"/>
      <x:c r="D127" s="27"/>
      <x:c r="E127" s="27"/>
      <x:c r="F127" s="27"/>
      <x:c r="G127" s="27"/>
      <x:c r="H127" s="27"/>
      <x:c r="I127" s="27"/>
      <x:c r="J127" s="27"/>
      <x:c r="K127" s="27"/>
      <x:c r="L127" s="27"/>
      <x:c r="M127" s="27"/>
      <x:c r="N127" s="27"/>
      <x:c r="O127" s="27"/>
      <x:c r="P127" s="27"/>
      <x:c r="Q127" s="27"/>
      <x:c r="R127" s="27"/>
      <x:c r="S127" s="27"/>
      <x:c r="T127" s="27"/>
      <x:c r="U127" s="27"/>
      <x:c r="V127" s="27"/>
      <x:c r="W127" s="27"/>
      <x:c r="X127" s="27"/>
      <x:c r="Y127" s="27"/>
      <x:c r="Z127" s="27"/>
      <x:c r="AA127" s="27"/>
      <x:c r="AB127" s="27"/>
      <x:c r="AC127" s="27"/>
      <x:c r="AD127" s="27"/>
      <x:c r="AE127" s="27"/>
      <x:c r="AF127" s="27"/>
      <x:c r="AG127" s="27"/>
      <x:c r="AH127" s="27"/>
      <x:c r="AI127" s="27"/>
      <x:c r="AJ127" s="27"/>
      <x:c r="AK127" s="27"/>
      <x:c r="AL127" s="27"/>
      <x:c r="AM127" s="27"/>
      <x:c r="AN127" s="27"/>
      <x:c r="AO127" s="27"/>
      <x:c r="AP127" s="27"/>
      <x:c r="AQ127" s="27"/>
      <x:c r="AR127" s="27"/>
      <x:c r="AS127" s="27"/>
      <x:c r="AT127" s="27"/>
      <x:c r="AU127" s="27"/>
      <x:c r="AV127" s="27"/>
      <x:c r="AW127" s="27"/>
      <x:c r="AX127" s="27"/>
      <x:c r="AY127" s="27"/>
      <x:c r="AZ127" s="27"/>
      <x:c r="BA127" s="27"/>
      <x:c r="BB127" s="27"/>
      <x:c r="BC127" s="27"/>
      <x:c r="BD127" s="27"/>
      <x:c r="BE127" s="27"/>
      <x:c r="BF127" s="27"/>
      <x:c r="BG127" s="27"/>
      <x:c r="BH127" s="27"/>
      <x:c r="BI127" s="27"/>
      <x:c r="BJ127" s="27"/>
      <x:c r="BK127" s="27"/>
      <x:c r="BL127" s="27"/>
      <x:c r="BM127" s="27"/>
      <x:c r="BN127" s="27"/>
      <x:c r="BO127" s="27"/>
      <x:c r="BP127" s="27"/>
      <x:c r="BQ127" s="27"/>
      <x:c r="BR127" s="27"/>
      <x:c r="BS127" s="27"/>
      <x:c r="BT127" s="27"/>
      <x:c r="BU127" s="27"/>
      <x:c r="BV127" s="27"/>
      <x:c r="BW127" s="27"/>
      <x:c r="BX127" s="27"/>
      <x:c r="BY127" s="27"/>
      <x:c r="BZ127" s="27"/>
      <x:c r="CA127" s="27"/>
      <x:c r="CB127" s="27"/>
      <x:c r="CC127" s="27"/>
      <x:c r="CD127" s="27"/>
      <x:c r="CE127" s="27"/>
      <x:c r="CF127" s="27"/>
      <x:c r="CG127" s="27"/>
      <x:c r="CH127" s="27"/>
      <x:c r="CI127" s="27"/>
      <x:c r="CJ127" s="27"/>
      <x:c r="CK127" s="27"/>
      <x:c r="CL127" s="27"/>
      <x:c r="CM127" s="27"/>
      <x:c r="CN127" s="27"/>
      <x:c r="CO127" s="27"/>
      <x:c r="CP127" s="27"/>
      <x:c r="CQ127" s="27"/>
      <x:c r="CR127" s="27"/>
      <x:c r="CS127" s="27"/>
      <x:c r="CT127" s="27"/>
      <x:c r="CU127" s="27"/>
      <x:c r="CV127" s="27"/>
      <x:c r="CW127" s="27"/>
      <x:c r="CX127" s="27"/>
      <x:c r="CY127" s="27"/>
      <x:c r="CZ127" s="27"/>
      <x:c r="DA127" s="27"/>
      <x:c r="DB127" s="27"/>
      <x:c r="DC127" s="27"/>
      <x:c r="DD127" s="27"/>
      <x:c r="DE127" s="27"/>
      <x:c r="DF127" s="27"/>
      <x:c r="DG127" s="27"/>
      <x:c r="DH127" s="27"/>
      <x:c r="DI127" s="27"/>
      <x:c r="DJ127" s="27"/>
      <x:c r="DK127" s="27"/>
      <x:c r="DL127" s="27"/>
      <x:c r="DM127" s="27"/>
      <x:c r="DN127" s="27"/>
      <x:c r="DO127" s="27"/>
      <x:c r="DP127" s="27"/>
      <x:c r="DQ127" s="27"/>
      <x:c r="DR127" s="27"/>
      <x:c r="DS127" s="27"/>
      <x:c r="DT127" s="27"/>
      <x:c r="DU127" s="27"/>
      <x:c r="DV127" s="27"/>
      <x:c r="DW127" s="27"/>
      <x:c r="DX127" s="27"/>
      <x:c r="DY127" s="27"/>
      <x:c r="DZ127" s="27"/>
      <x:c r="EA127" s="27"/>
      <x:c r="EB127" s="27"/>
      <x:c r="EC127" s="27"/>
      <x:c r="ED127" s="27"/>
      <x:c r="EE127" s="27"/>
      <x:c r="EF127" s="27"/>
      <x:c r="EG127" s="27"/>
      <x:c r="EH127" s="27"/>
      <x:c r="EI127" s="27"/>
      <x:c r="EJ127" s="27"/>
      <x:c r="EK127" s="27"/>
      <x:c r="EL127" s="27"/>
      <x:c r="EM127" s="27"/>
      <x:c r="EN127" s="27"/>
      <x:c r="EO127" s="27"/>
      <x:c r="EP127" s="27"/>
      <x:c r="EQ127" s="27"/>
      <x:c r="ER127" s="27"/>
      <x:c r="ES127" s="27"/>
      <x:c r="ET127" s="27"/>
      <x:c r="EU127" s="27"/>
      <x:c r="EV127" s="27"/>
      <x:c r="EW127" s="27"/>
      <x:c r="EX127" s="27"/>
      <x:c r="EY127" s="27"/>
      <x:c r="EZ127" s="27"/>
      <x:c r="FA127" s="27"/>
      <x:c r="FB127" s="27"/>
      <x:c r="FC127" s="27"/>
      <x:c r="FD127" s="27"/>
      <x:c r="FE127" s="27"/>
      <x:c r="FF127" s="27"/>
      <x:c r="FG127" s="27"/>
      <x:c r="FH127" s="27"/>
      <x:c r="FI127" s="27"/>
      <x:c r="FJ127" s="27"/>
      <x:c r="FK127" s="27"/>
      <x:c r="FL127" s="27"/>
      <x:c r="FM127" s="27"/>
      <x:c r="FN127" s="27"/>
      <x:c r="FO127" s="27"/>
      <x:c r="FP127" s="27"/>
      <x:c r="FQ127" s="27"/>
      <x:c r="FR127" s="27"/>
      <x:c r="FS127" s="27"/>
      <x:c r="FT127" s="27"/>
      <x:c r="FU127" s="27"/>
      <x:c r="FV127" s="27"/>
      <x:c r="FW127" s="27"/>
      <x:c r="FX127" s="27"/>
      <x:c r="FY127" s="27"/>
      <x:c r="FZ127" s="27"/>
      <x:c r="GA127" s="27"/>
      <x:c r="GB127" s="27"/>
      <x:c r="GC127" s="27"/>
      <x:c r="GD127" s="27"/>
      <x:c r="GE127" s="27"/>
      <x:c r="GF127" s="27"/>
      <x:c r="GG127" s="27"/>
      <x:c r="GH127" s="27"/>
      <x:c r="GI127" s="27"/>
      <x:c r="GJ127" s="27"/>
      <x:c r="GK127" s="27"/>
      <x:c r="GL127" s="27"/>
      <x:c r="GM127" s="27"/>
      <x:c r="GN127" s="27"/>
      <x:c r="GO127" s="27"/>
      <x:c r="GP127" s="27"/>
      <x:c r="GQ127" s="27"/>
      <x:c r="GR127" s="27"/>
      <x:c r="GS127" s="27"/>
      <x:c r="GT127" s="27"/>
      <x:c r="GU127" s="27"/>
      <x:c r="GV127" s="27"/>
      <x:c r="GW127" s="27"/>
      <x:c r="GX127" s="27"/>
      <x:c r="GY127" s="27"/>
      <x:c r="GZ127" s="27"/>
      <x:c r="HA127" s="27"/>
      <x:c r="HB127" s="27"/>
      <x:c r="HC127" s="27"/>
      <x:c r="HD127" s="27"/>
      <x:c r="HE127" s="27"/>
      <x:c r="HF127" s="27"/>
      <x:c r="HG127" s="27"/>
      <x:c r="HH127" s="27"/>
      <x:c r="HI127" s="27"/>
      <x:c r="HJ127" s="27"/>
      <x:c r="HK127" s="27"/>
      <x:c r="HL127" s="27"/>
      <x:c r="HM127" s="27"/>
      <x:c r="HN127" s="27"/>
      <x:c r="HO127" s="27"/>
      <x:c r="HP127" s="27" t="str">
        <x:f>IF(C127="","",SUM(H127,N127,T127,Z127,AF127,AL127,AR127,AX127,BD127,BJ127,BP127,BV127,CB127,CH127,CN127,CT127,CZ127,DF127,DL127,DR127,DX127,ED127,EJ127,EP127,EV127,FB127,FH127,FN127,FT127,FZ127,GF127,GL127,GR127,GX127,HD127,HJ127))</x:f>
      </x:c>
      <x:c r="HQ127" s="27" t="str">
        <x:f>IF(C127="","",SUM(I127,O127,U127,AA127,AG127,AM127,AS127,AY127,BE127,BK127,BQ127,BW127,CC127,CI127,CO127,CU127,DA127,DG127,DM127,DS127,DY127,EE127,EK127,EQ127,EW127,FC127,FI127,FO127,FU127,GA127,GG127,GM127,GS127,GY127,HE127,HK127))</x:f>
      </x:c>
      <x:c r="HR127" s="27" t="str">
        <x:f>IF(C127="","",SUM(J127,P127,V127,AB127,AH127,AN127,AT127,AZ127,BF127,BL127,BR127,BX127,CD127,CJ127,CP127,CV127,DB127,DH127,DN127,DT127,DZ127,EF127,EL127,ER127,EX127,FD127,FJ127,FP127,FV127,GB127,GH127,GN127,GT127,GZ127,HF127,HL127))</x:f>
      </x:c>
      <x:c r="HS127" s="27" t="str">
        <x:f>IF(C127="","",SUM(K127,Q127,W127,AC127,AI127,AO127,AU127,BA127,BG127,BM127,BS127,BY127,CE127,CK127,CQ127,CW127,DC127,DI127,DO127,DU127,EA127,EG127,EM127,ES127,EY127,FE127,FK127,FQ127,FW127,GC127,GI127,GO127,GU127,HA127,HG127,HM127))</x:f>
      </x:c>
      <x:c r="HT127" s="27" t="str">
        <x:f>IF(C127="","",SUM(L127,R127,X127,AD127,AJ127,AP127,AV127,BB127,BH127,BN127,BT127,BZ127,CF127,CL127,CR127,CX127,DD127,DJ127,DP127,DV127,EB127,EH127,EN127,ET127,EZ127,FF127,FL127,FR127,FX127,GD127,GJ127,GP127,GV127,HB127,HH127,HN127))</x:f>
      </x:c>
      <x:c r="HU127" s="27" t="str">
        <x:f>IF(C127="","",SUM(M127,S127,Y127,AE127,AK127,AQ127,AW127,BC127,BI127,BO127,BU127,CA127,CG127,CM127,CS127,CY127,DE127,DK127,DQ127,DW127,EC127,EI127,EO127,EU127,FA127,FG127,FM127,FS127,FY127,GE127,GK127,GQ127,GW127,HC127,HI127,HO127))</x:f>
      </x:c>
      <x:c r="HV127" s="27" t="str">
        <x:f>IF(C127="","",IF(JI127=LARGE(JI127:JN127,1),"R",IF(JJ127=LARGE(JI127:JN127,1),"I",IF(JK127=LARGE(JI127:JN127,1),"A",IF(JL127=LARGE(JI127:JN127,1),"S",IF(JM127=LARGE(JI127:JN127,1),"E",IF(JN127=LARGE(JI127:JN127,1),"C",""))))))&amp;IF(JI127=LARGE(JI127:JN127,2),"R",IF(JJ127=LARGE(JI127:JN127,2),"I",IF(JK127=LARGE(JI127:JN127,2),"A",IF(JL127=LARGE(JI127:JN127,2),"S",IF(JM127=LARGE(JI127:JN127,2),"E",IF(JN127=LARGE(JI127:JN127,2),"C",""))))))&amp;IF(JI127=LARGE(JI127:JN127,3),"R",IF(JJ127=LARGE(JI127:JN127,3),"I",IF(JK127=LARGE(JI127:JN127,3),"A",IF(JL127=LARGE(JI127:JN127,3),"S",IF(JM127=LARGE(JI127:JN127,3),"E",IF(JN127=LARGE(JI127:JN127,3),"C","")))))))</x:f>
      </x:c>
      <x:c r="HW127" s="27" t="str">
        <x:f>IF(C127="","",IF(JI127=LARGE(JI127:JN127,1),"นักปฏิบัติ",IF(JJ127=LARGE(JI127:JN127,1),"นักคิดวิเคราะห์",IF(JK127=LARGE(JI127:JN127,1),"นักสร้างสรรค์",IF(JL127=LARGE(JI127:JN127,1),"ผู้เข้าใจผู้คน",IF(JM127=LARGE(JI127:JN127,1),"ผู้นำการเปลี่ยนแปลง",IF(JN127=LARGE(JI127:JN127,1),"ผู้จัดระบบ","ผู้จัดระบบ")))))))</x:f>
      </x:c>
      <x:c r="HX127" s="27"/>
      <x:c r="HY127" s="27"/>
      <x:c r="HZ127" s="27"/>
      <x:c r="IA127" s="27"/>
      <x:c r="IB127" s="27"/>
      <x:c r="IC127" s="27"/>
      <x:c r="ID127" s="27"/>
      <x:c r="IE127" s="27"/>
      <x:c r="IF127" s="27"/>
      <x:c r="IG127" s="27"/>
      <x:c r="IH127" s="27"/>
      <x:c r="II127" s="27"/>
      <x:c r="IJ127" s="27"/>
      <x:c r="IK127" s="27" t="str">
        <x:f>IF(C127="","",SUM(H127,N127,T127,Z127,AF127,AL127,AR127,AX127,BD127,BJ127,BP127))</x:f>
      </x:c>
      <x:c r="IL127" s="27" t="str">
        <x:f>IF(C127="","",SUM(I127,O127,U127,AA127,AG127,AM127,AS127,AY127,BE127,BK127,BQ127))</x:f>
      </x:c>
      <x:c r="IM127" s="27" t="str">
        <x:f>IF(C127="","",SUM(J127,P127,V127,AB127,AH127,AN127,AT127,AZ127,BF127,BL127,BR127))</x:f>
      </x:c>
      <x:c r="IN127" s="27" t="str">
        <x:f>IF(C127="","",SUM(K127,Q127,W127,AC127,AI127,AO127,AU127,BA127,BG127,BM127,BS127))</x:f>
      </x:c>
      <x:c r="IO127" s="27" t="str">
        <x:f>IF(C127="","",SUM(L127,R127,X127,AD127,AJ127,AP127,AV127,BB127,BH127,BN127,BT127))</x:f>
      </x:c>
      <x:c r="IP127" s="27" t="str">
        <x:f>IF(C127="","",SUM(M127,S127,Y127,AE127,AK127,AQ127,AW127,BC127,BI127,BO127,BU127))</x:f>
      </x:c>
      <x:c r="IQ127" s="27" t="str">
        <x:f>IF(C127="","",SUM(BV127,CB127,CH127,CN127,CT127,CZ127,DF127,DL127,DR127,DX127,ED127))</x:f>
      </x:c>
      <x:c r="IR127" s="27" t="str">
        <x:f>IF(C127="","",SUM(BW127,CC127,CI127,CO127,CU127,DA127,DG127,DM127,DS127,DY127,EE127))</x:f>
      </x:c>
      <x:c r="IS127" s="27" t="str">
        <x:f>IF(C127="","",SUM(BX127,CD127,CJ127,CP127,CV127,DB127,DH127,DN127,DT127,DZ127,EF127))</x:f>
      </x:c>
      <x:c r="IT127" s="27" t="str">
        <x:f>IF(C127="","",SUM(BY127,CE127,CK127,CQ127,CW127,DC127,DI127,DO127,DU127,EA127,EG127))</x:f>
      </x:c>
      <x:c r="IU127" s="27" t="str">
        <x:f>IF(C127="","",SUM(BZ127,CF127,CL127,CR127,CX127,DD127,DJ127,DP127,DV127,EB127,EH127))</x:f>
      </x:c>
      <x:c r="IV127" s="27" t="str">
        <x:f>IF(C127="","",SUM(CA127,CG127,CM127,CS127,CY127,DE127,DK127,DQ127,DW127,EC127,EI127))</x:f>
      </x:c>
      <x:c r="IW127" s="27" t="str">
        <x:f>IF(C127="","",SUM(EJ127,EP127,EV127,FB127,FH127,FN127,FT127,FZ127,GF127,GL127,GR127,GX127,HD127,HJ127))</x:f>
      </x:c>
      <x:c r="IX127" s="27" t="str">
        <x:f>IF(C127="","",SUM(EK127,EQ127,EW127,FC127,FI127,FO127,FU127,GA127,GG127,GM127,GS127,GY127,HE127,HK127))</x:f>
      </x:c>
      <x:c r="IY127" s="27" t="str">
        <x:f>IF(C127="","",SUM(EL127,ER127,EX127,FD127,FJ127,FP127,FV127,GB127,GH127,GN127,GT127,GZ127,HF127,HL127))</x:f>
      </x:c>
      <x:c r="IZ127" s="27" t="str">
        <x:f>IF(C127="","",SUM(EM127,ES127,EY127,FE127,FK127,FQ127,FW127,GC127,GI127,GO127,GU127,HA127,HG127,HM127))</x:f>
      </x:c>
      <x:c r="JA127" s="27" t="str">
        <x:f>IF(C127="","",SUM(EN127,ET127,EZ127,FF127,FL127,FR127,FX127,GD127,GJ127,GP127,GV127,HB127,HH127,HN127))</x:f>
      </x:c>
      <x:c r="JB127" s="27" t="str">
        <x:f>IF(C127="","",SUM(EO127,EU127,FA127,FG127,FM127,FS127,FY127,GE127,GK127,GQ127,GW127,HC127,HI127,HO127))</x:f>
      </x:c>
      <x:c r="JC127" s="27" t="str">
        <x:f>IF(C127="","",0)</x:f>
      </x:c>
      <x:c r="JD127" s="27" t="str">
        <x:f>IF(C127="","",0)</x:f>
      </x:c>
      <x:c r="JE127" s="27" t="str">
        <x:f>IF(C127="","",0)</x:f>
      </x:c>
      <x:c r="JF127" s="27" t="str">
        <x:f>IF(C127="","",0)</x:f>
      </x:c>
      <x:c r="JG127" s="27" t="str">
        <x:f>IF(C127="","",0)</x:f>
      </x:c>
      <x:c r="JH127" s="27" t="str">
        <x:f>IF(C127="","",0)</x:f>
      </x:c>
      <x:c r="JI127" s="27" t="str">
        <x:f>IF(C127="","",HP127*1000000000+IW127*1000000+IQ127*10000+IK127*100+JC127+6/1000)</x:f>
      </x:c>
      <x:c r="JJ127" s="27" t="str">
        <x:f>IF(C127="","",HQ127*1000000000+IX127*1000000+IR127*10000+IL127*100+JD127+5/1000)</x:f>
      </x:c>
      <x:c r="JK127" s="27" t="str">
        <x:f>IF(C127="","",HR127*1000000000+IY127*1000000+IS127*10000+IM127*100+JE127+4/1000)</x:f>
      </x:c>
      <x:c r="JL127" s="27" t="str">
        <x:f>IF(C127="","",HS127*1000000000+IZ127*1000000+IT127*10000+IN127*100+JF127+3/1000)</x:f>
      </x:c>
      <x:c r="JM127" s="27" t="str">
        <x:f>IF(C127="","",HT127*1000000000+JA127*1000000+IU127*10000+IO127*100+JG127+2/1000)</x:f>
      </x:c>
      <x:c r="JN127" s="27" t="str">
        <x:f>IF(C127="","",HU127*1000000000+JB127*1000000+IV127*10000+IP127*100+JH127+1/1000)</x:f>
      </x:c>
    </x:row>
    <x:row r="128">
      <x:c r="A128" s="27"/>
      <x:c r="B128" s="28"/>
      <x:c r="C128" s="27"/>
      <x:c r="D128" s="27"/>
      <x:c r="E128" s="27"/>
      <x:c r="F128" s="27"/>
      <x:c r="G128" s="27"/>
      <x:c r="H128" s="27"/>
      <x:c r="I128" s="27"/>
      <x:c r="J128" s="27"/>
      <x:c r="K128" s="27"/>
      <x:c r="L128" s="27"/>
      <x:c r="M128" s="27"/>
      <x:c r="N128" s="27"/>
      <x:c r="O128" s="27"/>
      <x:c r="P128" s="27"/>
      <x:c r="Q128" s="27"/>
      <x:c r="R128" s="27"/>
      <x:c r="S128" s="27"/>
      <x:c r="T128" s="27"/>
      <x:c r="U128" s="27"/>
      <x:c r="V128" s="27"/>
      <x:c r="W128" s="27"/>
      <x:c r="X128" s="27"/>
      <x:c r="Y128" s="27"/>
      <x:c r="Z128" s="27"/>
      <x:c r="AA128" s="27"/>
      <x:c r="AB128" s="27"/>
      <x:c r="AC128" s="27"/>
      <x:c r="AD128" s="27"/>
      <x:c r="AE128" s="27"/>
      <x:c r="AF128" s="27"/>
      <x:c r="AG128" s="27"/>
      <x:c r="AH128" s="27"/>
      <x:c r="AI128" s="27"/>
      <x:c r="AJ128" s="27"/>
      <x:c r="AK128" s="27"/>
      <x:c r="AL128" s="27"/>
      <x:c r="AM128" s="27"/>
      <x:c r="AN128" s="27"/>
      <x:c r="AO128" s="27"/>
      <x:c r="AP128" s="27"/>
      <x:c r="AQ128" s="27"/>
      <x:c r="AR128" s="27"/>
      <x:c r="AS128" s="27"/>
      <x:c r="AT128" s="27"/>
      <x:c r="AU128" s="27"/>
      <x:c r="AV128" s="27"/>
      <x:c r="AW128" s="27"/>
      <x:c r="AX128" s="27"/>
      <x:c r="AY128" s="27"/>
      <x:c r="AZ128" s="27"/>
      <x:c r="BA128" s="27"/>
      <x:c r="BB128" s="27"/>
      <x:c r="BC128" s="27"/>
      <x:c r="BD128" s="27"/>
      <x:c r="BE128" s="27"/>
      <x:c r="BF128" s="27"/>
      <x:c r="BG128" s="27"/>
      <x:c r="BH128" s="27"/>
      <x:c r="BI128" s="27"/>
      <x:c r="BJ128" s="27"/>
      <x:c r="BK128" s="27"/>
      <x:c r="BL128" s="27"/>
      <x:c r="BM128" s="27"/>
      <x:c r="BN128" s="27"/>
      <x:c r="BO128" s="27"/>
      <x:c r="BP128" s="27"/>
      <x:c r="BQ128" s="27"/>
      <x:c r="BR128" s="27"/>
      <x:c r="BS128" s="27"/>
      <x:c r="BT128" s="27"/>
      <x:c r="BU128" s="27"/>
      <x:c r="BV128" s="27"/>
      <x:c r="BW128" s="27"/>
      <x:c r="BX128" s="27"/>
      <x:c r="BY128" s="27"/>
      <x:c r="BZ128" s="27"/>
      <x:c r="CA128" s="27"/>
      <x:c r="CB128" s="27"/>
      <x:c r="CC128" s="27"/>
      <x:c r="CD128" s="27"/>
      <x:c r="CE128" s="27"/>
      <x:c r="CF128" s="27"/>
      <x:c r="CG128" s="27"/>
      <x:c r="CH128" s="27"/>
      <x:c r="CI128" s="27"/>
      <x:c r="CJ128" s="27"/>
      <x:c r="CK128" s="27"/>
      <x:c r="CL128" s="27"/>
      <x:c r="CM128" s="27"/>
      <x:c r="CN128" s="27"/>
      <x:c r="CO128" s="27"/>
      <x:c r="CP128" s="27"/>
      <x:c r="CQ128" s="27"/>
      <x:c r="CR128" s="27"/>
      <x:c r="CS128" s="27"/>
      <x:c r="CT128" s="27"/>
      <x:c r="CU128" s="27"/>
      <x:c r="CV128" s="27"/>
      <x:c r="CW128" s="27"/>
      <x:c r="CX128" s="27"/>
      <x:c r="CY128" s="27"/>
      <x:c r="CZ128" s="27"/>
      <x:c r="DA128" s="27"/>
      <x:c r="DB128" s="27"/>
      <x:c r="DC128" s="27"/>
      <x:c r="DD128" s="27"/>
      <x:c r="DE128" s="27"/>
      <x:c r="DF128" s="27"/>
      <x:c r="DG128" s="27"/>
      <x:c r="DH128" s="27"/>
      <x:c r="DI128" s="27"/>
      <x:c r="DJ128" s="27"/>
      <x:c r="DK128" s="27"/>
      <x:c r="DL128" s="27"/>
      <x:c r="DM128" s="27"/>
      <x:c r="DN128" s="27"/>
      <x:c r="DO128" s="27"/>
      <x:c r="DP128" s="27"/>
      <x:c r="DQ128" s="27"/>
      <x:c r="DR128" s="27"/>
      <x:c r="DS128" s="27"/>
      <x:c r="DT128" s="27"/>
      <x:c r="DU128" s="27"/>
      <x:c r="DV128" s="27"/>
      <x:c r="DW128" s="27"/>
      <x:c r="DX128" s="27"/>
      <x:c r="DY128" s="27"/>
      <x:c r="DZ128" s="27"/>
      <x:c r="EA128" s="27"/>
      <x:c r="EB128" s="27"/>
      <x:c r="EC128" s="27"/>
      <x:c r="ED128" s="27"/>
      <x:c r="EE128" s="27"/>
      <x:c r="EF128" s="27"/>
      <x:c r="EG128" s="27"/>
      <x:c r="EH128" s="27"/>
      <x:c r="EI128" s="27"/>
      <x:c r="EJ128" s="27"/>
      <x:c r="EK128" s="27"/>
      <x:c r="EL128" s="27"/>
      <x:c r="EM128" s="27"/>
      <x:c r="EN128" s="27"/>
      <x:c r="EO128" s="27"/>
      <x:c r="EP128" s="27"/>
      <x:c r="EQ128" s="27"/>
      <x:c r="ER128" s="27"/>
      <x:c r="ES128" s="27"/>
      <x:c r="ET128" s="27"/>
      <x:c r="EU128" s="27"/>
      <x:c r="EV128" s="27"/>
      <x:c r="EW128" s="27"/>
      <x:c r="EX128" s="27"/>
      <x:c r="EY128" s="27"/>
      <x:c r="EZ128" s="27"/>
      <x:c r="FA128" s="27"/>
      <x:c r="FB128" s="27"/>
      <x:c r="FC128" s="27"/>
      <x:c r="FD128" s="27"/>
      <x:c r="FE128" s="27"/>
      <x:c r="FF128" s="27"/>
      <x:c r="FG128" s="27"/>
      <x:c r="FH128" s="27"/>
      <x:c r="FI128" s="27"/>
      <x:c r="FJ128" s="27"/>
      <x:c r="FK128" s="27"/>
      <x:c r="FL128" s="27"/>
      <x:c r="FM128" s="27"/>
      <x:c r="FN128" s="27"/>
      <x:c r="FO128" s="27"/>
      <x:c r="FP128" s="27"/>
      <x:c r="FQ128" s="27"/>
      <x:c r="FR128" s="27"/>
      <x:c r="FS128" s="27"/>
      <x:c r="FT128" s="27"/>
      <x:c r="FU128" s="27"/>
      <x:c r="FV128" s="27"/>
      <x:c r="FW128" s="27"/>
      <x:c r="FX128" s="27"/>
      <x:c r="FY128" s="27"/>
      <x:c r="FZ128" s="27"/>
      <x:c r="GA128" s="27"/>
      <x:c r="GB128" s="27"/>
      <x:c r="GC128" s="27"/>
      <x:c r="GD128" s="27"/>
      <x:c r="GE128" s="27"/>
      <x:c r="GF128" s="27"/>
      <x:c r="GG128" s="27"/>
      <x:c r="GH128" s="27"/>
      <x:c r="GI128" s="27"/>
      <x:c r="GJ128" s="27"/>
      <x:c r="GK128" s="27"/>
      <x:c r="GL128" s="27"/>
      <x:c r="GM128" s="27"/>
      <x:c r="GN128" s="27"/>
      <x:c r="GO128" s="27"/>
      <x:c r="GP128" s="27"/>
      <x:c r="GQ128" s="27"/>
      <x:c r="GR128" s="27"/>
      <x:c r="GS128" s="27"/>
      <x:c r="GT128" s="27"/>
      <x:c r="GU128" s="27"/>
      <x:c r="GV128" s="27"/>
      <x:c r="GW128" s="27"/>
      <x:c r="GX128" s="27"/>
      <x:c r="GY128" s="27"/>
      <x:c r="GZ128" s="27"/>
      <x:c r="HA128" s="27"/>
      <x:c r="HB128" s="27"/>
      <x:c r="HC128" s="27"/>
      <x:c r="HD128" s="27"/>
      <x:c r="HE128" s="27"/>
      <x:c r="HF128" s="27"/>
      <x:c r="HG128" s="27"/>
      <x:c r="HH128" s="27"/>
      <x:c r="HI128" s="27"/>
      <x:c r="HJ128" s="27"/>
      <x:c r="HK128" s="27"/>
      <x:c r="HL128" s="27"/>
      <x:c r="HM128" s="27"/>
      <x:c r="HN128" s="27"/>
      <x:c r="HO128" s="27"/>
      <x:c r="HP128" s="27" t="str">
        <x:f>IF(C128="","",SUM(H128,N128,T128,Z128,AF128,AL128,AR128,AX128,BD128,BJ128,BP128,BV128,CB128,CH128,CN128,CT128,CZ128,DF128,DL128,DR128,DX128,ED128,EJ128,EP128,EV128,FB128,FH128,FN128,FT128,FZ128,GF128,GL128,GR128,GX128,HD128,HJ128))</x:f>
      </x:c>
      <x:c r="HQ128" s="27" t="str">
        <x:f>IF(C128="","",SUM(I128,O128,U128,AA128,AG128,AM128,AS128,AY128,BE128,BK128,BQ128,BW128,CC128,CI128,CO128,CU128,DA128,DG128,DM128,DS128,DY128,EE128,EK128,EQ128,EW128,FC128,FI128,FO128,FU128,GA128,GG128,GM128,GS128,GY128,HE128,HK128))</x:f>
      </x:c>
      <x:c r="HR128" s="27" t="str">
        <x:f>IF(C128="","",SUM(J128,P128,V128,AB128,AH128,AN128,AT128,AZ128,BF128,BL128,BR128,BX128,CD128,CJ128,CP128,CV128,DB128,DH128,DN128,DT128,DZ128,EF128,EL128,ER128,EX128,FD128,FJ128,FP128,FV128,GB128,GH128,GN128,GT128,GZ128,HF128,HL128))</x:f>
      </x:c>
      <x:c r="HS128" s="27" t="str">
        <x:f>IF(C128="","",SUM(K128,Q128,W128,AC128,AI128,AO128,AU128,BA128,BG128,BM128,BS128,BY128,CE128,CK128,CQ128,CW128,DC128,DI128,DO128,DU128,EA128,EG128,EM128,ES128,EY128,FE128,FK128,FQ128,FW128,GC128,GI128,GO128,GU128,HA128,HG128,HM128))</x:f>
      </x:c>
      <x:c r="HT128" s="27" t="str">
        <x:f>IF(C128="","",SUM(L128,R128,X128,AD128,AJ128,AP128,AV128,BB128,BH128,BN128,BT128,BZ128,CF128,CL128,CR128,CX128,DD128,DJ128,DP128,DV128,EB128,EH128,EN128,ET128,EZ128,FF128,FL128,FR128,FX128,GD128,GJ128,GP128,GV128,HB128,HH128,HN128))</x:f>
      </x:c>
      <x:c r="HU128" s="27" t="str">
        <x:f>IF(C128="","",SUM(M128,S128,Y128,AE128,AK128,AQ128,AW128,BC128,BI128,BO128,BU128,CA128,CG128,CM128,CS128,CY128,DE128,DK128,DQ128,DW128,EC128,EI128,EO128,EU128,FA128,FG128,FM128,FS128,FY128,GE128,GK128,GQ128,GW128,HC128,HI128,HO128))</x:f>
      </x:c>
      <x:c r="HV128" s="27" t="str">
        <x:f>IF(C128="","",IF(JI128=LARGE(JI128:JN128,1),"R",IF(JJ128=LARGE(JI128:JN128,1),"I",IF(JK128=LARGE(JI128:JN128,1),"A",IF(JL128=LARGE(JI128:JN128,1),"S",IF(JM128=LARGE(JI128:JN128,1),"E",IF(JN128=LARGE(JI128:JN128,1),"C",""))))))&amp;IF(JI128=LARGE(JI128:JN128,2),"R",IF(JJ128=LARGE(JI128:JN128,2),"I",IF(JK128=LARGE(JI128:JN128,2),"A",IF(JL128=LARGE(JI128:JN128,2),"S",IF(JM128=LARGE(JI128:JN128,2),"E",IF(JN128=LARGE(JI128:JN128,2),"C",""))))))&amp;IF(JI128=LARGE(JI128:JN128,3),"R",IF(JJ128=LARGE(JI128:JN128,3),"I",IF(JK128=LARGE(JI128:JN128,3),"A",IF(JL128=LARGE(JI128:JN128,3),"S",IF(JM128=LARGE(JI128:JN128,3),"E",IF(JN128=LARGE(JI128:JN128,3),"C","")))))))</x:f>
      </x:c>
      <x:c r="HW128" s="27" t="str">
        <x:f>IF(C128="","",IF(JI128=LARGE(JI128:JN128,1),"นักปฏิบัติ",IF(JJ128=LARGE(JI128:JN128,1),"นักคิดวิเคราะห์",IF(JK128=LARGE(JI128:JN128,1),"นักสร้างสรรค์",IF(JL128=LARGE(JI128:JN128,1),"ผู้เข้าใจผู้คน",IF(JM128=LARGE(JI128:JN128,1),"ผู้นำการเปลี่ยนแปลง",IF(JN128=LARGE(JI128:JN128,1),"ผู้จัดระบบ","ผู้จัดระบบ")))))))</x:f>
      </x:c>
      <x:c r="HX128" s="27"/>
      <x:c r="HY128" s="27"/>
      <x:c r="HZ128" s="27"/>
      <x:c r="IA128" s="27"/>
      <x:c r="IB128" s="27"/>
      <x:c r="IC128" s="27"/>
      <x:c r="ID128" s="27"/>
      <x:c r="IE128" s="27"/>
      <x:c r="IF128" s="27"/>
      <x:c r="IG128" s="27"/>
      <x:c r="IH128" s="27"/>
      <x:c r="II128" s="27"/>
      <x:c r="IJ128" s="27"/>
      <x:c r="IK128" s="27" t="str">
        <x:f>IF(C128="","",SUM(H128,N128,T128,Z128,AF128,AL128,AR128,AX128,BD128,BJ128,BP128))</x:f>
      </x:c>
      <x:c r="IL128" s="27" t="str">
        <x:f>IF(C128="","",SUM(I128,O128,U128,AA128,AG128,AM128,AS128,AY128,BE128,BK128,BQ128))</x:f>
      </x:c>
      <x:c r="IM128" s="27" t="str">
        <x:f>IF(C128="","",SUM(J128,P128,V128,AB128,AH128,AN128,AT128,AZ128,BF128,BL128,BR128))</x:f>
      </x:c>
      <x:c r="IN128" s="27" t="str">
        <x:f>IF(C128="","",SUM(K128,Q128,W128,AC128,AI128,AO128,AU128,BA128,BG128,BM128,BS128))</x:f>
      </x:c>
      <x:c r="IO128" s="27" t="str">
        <x:f>IF(C128="","",SUM(L128,R128,X128,AD128,AJ128,AP128,AV128,BB128,BH128,BN128,BT128))</x:f>
      </x:c>
      <x:c r="IP128" s="27" t="str">
        <x:f>IF(C128="","",SUM(M128,S128,Y128,AE128,AK128,AQ128,AW128,BC128,BI128,BO128,BU128))</x:f>
      </x:c>
      <x:c r="IQ128" s="27" t="str">
        <x:f>IF(C128="","",SUM(BV128,CB128,CH128,CN128,CT128,CZ128,DF128,DL128,DR128,DX128,ED128))</x:f>
      </x:c>
      <x:c r="IR128" s="27" t="str">
        <x:f>IF(C128="","",SUM(BW128,CC128,CI128,CO128,CU128,DA128,DG128,DM128,DS128,DY128,EE128))</x:f>
      </x:c>
      <x:c r="IS128" s="27" t="str">
        <x:f>IF(C128="","",SUM(BX128,CD128,CJ128,CP128,CV128,DB128,DH128,DN128,DT128,DZ128,EF128))</x:f>
      </x:c>
      <x:c r="IT128" s="27" t="str">
        <x:f>IF(C128="","",SUM(BY128,CE128,CK128,CQ128,CW128,DC128,DI128,DO128,DU128,EA128,EG128))</x:f>
      </x:c>
      <x:c r="IU128" s="27" t="str">
        <x:f>IF(C128="","",SUM(BZ128,CF128,CL128,CR128,CX128,DD128,DJ128,DP128,DV128,EB128,EH128))</x:f>
      </x:c>
      <x:c r="IV128" s="27" t="str">
        <x:f>IF(C128="","",SUM(CA128,CG128,CM128,CS128,CY128,DE128,DK128,DQ128,DW128,EC128,EI128))</x:f>
      </x:c>
      <x:c r="IW128" s="27" t="str">
        <x:f>IF(C128="","",SUM(EJ128,EP128,EV128,FB128,FH128,FN128,FT128,FZ128,GF128,GL128,GR128,GX128,HD128,HJ128))</x:f>
      </x:c>
      <x:c r="IX128" s="27" t="str">
        <x:f>IF(C128="","",SUM(EK128,EQ128,EW128,FC128,FI128,FO128,FU128,GA128,GG128,GM128,GS128,GY128,HE128,HK128))</x:f>
      </x:c>
      <x:c r="IY128" s="27" t="str">
        <x:f>IF(C128="","",SUM(EL128,ER128,EX128,FD128,FJ128,FP128,FV128,GB128,GH128,GN128,GT128,GZ128,HF128,HL128))</x:f>
      </x:c>
      <x:c r="IZ128" s="27" t="str">
        <x:f>IF(C128="","",SUM(EM128,ES128,EY128,FE128,FK128,FQ128,FW128,GC128,GI128,GO128,GU128,HA128,HG128,HM128))</x:f>
      </x:c>
      <x:c r="JA128" s="27" t="str">
        <x:f>IF(C128="","",SUM(EN128,ET128,EZ128,FF128,FL128,FR128,FX128,GD128,GJ128,GP128,GV128,HB128,HH128,HN128))</x:f>
      </x:c>
      <x:c r="JB128" s="27" t="str">
        <x:f>IF(C128="","",SUM(EO128,EU128,FA128,FG128,FM128,FS128,FY128,GE128,GK128,GQ128,GW128,HC128,HI128,HO128))</x:f>
      </x:c>
      <x:c r="JC128" s="27" t="str">
        <x:f>IF(C128="","",0)</x:f>
      </x:c>
      <x:c r="JD128" s="27" t="str">
        <x:f>IF(C128="","",0)</x:f>
      </x:c>
      <x:c r="JE128" s="27" t="str">
        <x:f>IF(C128="","",0)</x:f>
      </x:c>
      <x:c r="JF128" s="27" t="str">
        <x:f>IF(C128="","",0)</x:f>
      </x:c>
      <x:c r="JG128" s="27" t="str">
        <x:f>IF(C128="","",0)</x:f>
      </x:c>
      <x:c r="JH128" s="27" t="str">
        <x:f>IF(C128="","",0)</x:f>
      </x:c>
      <x:c r="JI128" s="27" t="str">
        <x:f>IF(C128="","",HP128*1000000000+IW128*1000000+IQ128*10000+IK128*100+JC128+6/1000)</x:f>
      </x:c>
      <x:c r="JJ128" s="27" t="str">
        <x:f>IF(C128="","",HQ128*1000000000+IX128*1000000+IR128*10000+IL128*100+JD128+5/1000)</x:f>
      </x:c>
      <x:c r="JK128" s="27" t="str">
        <x:f>IF(C128="","",HR128*1000000000+IY128*1000000+IS128*10000+IM128*100+JE128+4/1000)</x:f>
      </x:c>
      <x:c r="JL128" s="27" t="str">
        <x:f>IF(C128="","",HS128*1000000000+IZ128*1000000+IT128*10000+IN128*100+JF128+3/1000)</x:f>
      </x:c>
      <x:c r="JM128" s="27" t="str">
        <x:f>IF(C128="","",HT128*1000000000+JA128*1000000+IU128*10000+IO128*100+JG128+2/1000)</x:f>
      </x:c>
      <x:c r="JN128" s="27" t="str">
        <x:f>IF(C128="","",HU128*1000000000+JB128*1000000+IV128*10000+IP128*100+JH128+1/1000)</x:f>
      </x:c>
    </x:row>
    <x:row r="129">
      <x:c r="A129" s="27"/>
      <x:c r="B129" s="28"/>
      <x:c r="C129" s="27"/>
      <x:c r="D129" s="27"/>
      <x:c r="E129" s="27"/>
      <x:c r="F129" s="27"/>
      <x:c r="G129" s="27"/>
      <x:c r="H129" s="27"/>
      <x:c r="I129" s="27"/>
      <x:c r="J129" s="27"/>
      <x:c r="K129" s="27"/>
      <x:c r="L129" s="27"/>
      <x:c r="M129" s="27"/>
      <x:c r="N129" s="27"/>
      <x:c r="O129" s="27"/>
      <x:c r="P129" s="27"/>
      <x:c r="Q129" s="27"/>
      <x:c r="R129" s="27"/>
      <x:c r="S129" s="27"/>
      <x:c r="T129" s="27"/>
      <x:c r="U129" s="27"/>
      <x:c r="V129" s="27"/>
      <x:c r="W129" s="27"/>
      <x:c r="X129" s="27"/>
      <x:c r="Y129" s="27"/>
      <x:c r="Z129" s="27"/>
      <x:c r="AA129" s="27"/>
      <x:c r="AB129" s="27"/>
      <x:c r="AC129" s="27"/>
      <x:c r="AD129" s="27"/>
      <x:c r="AE129" s="27"/>
      <x:c r="AF129" s="27"/>
      <x:c r="AG129" s="27"/>
      <x:c r="AH129" s="27"/>
      <x:c r="AI129" s="27"/>
      <x:c r="AJ129" s="27"/>
      <x:c r="AK129" s="27"/>
      <x:c r="AL129" s="27"/>
      <x:c r="AM129" s="27"/>
      <x:c r="AN129" s="27"/>
      <x:c r="AO129" s="27"/>
      <x:c r="AP129" s="27"/>
      <x:c r="AQ129" s="27"/>
      <x:c r="AR129" s="27"/>
      <x:c r="AS129" s="27"/>
      <x:c r="AT129" s="27"/>
      <x:c r="AU129" s="27"/>
      <x:c r="AV129" s="27"/>
      <x:c r="AW129" s="27"/>
      <x:c r="AX129" s="27"/>
      <x:c r="AY129" s="27"/>
      <x:c r="AZ129" s="27"/>
      <x:c r="BA129" s="27"/>
      <x:c r="BB129" s="27"/>
      <x:c r="BC129" s="27"/>
      <x:c r="BD129" s="27"/>
      <x:c r="BE129" s="27"/>
      <x:c r="BF129" s="27"/>
      <x:c r="BG129" s="27"/>
      <x:c r="BH129" s="27"/>
      <x:c r="BI129" s="27"/>
      <x:c r="BJ129" s="27"/>
      <x:c r="BK129" s="27"/>
      <x:c r="BL129" s="27"/>
      <x:c r="BM129" s="27"/>
      <x:c r="BN129" s="27"/>
      <x:c r="BO129" s="27"/>
      <x:c r="BP129" s="27"/>
      <x:c r="BQ129" s="27"/>
      <x:c r="BR129" s="27"/>
      <x:c r="BS129" s="27"/>
      <x:c r="BT129" s="27"/>
      <x:c r="BU129" s="27"/>
      <x:c r="BV129" s="27"/>
      <x:c r="BW129" s="27"/>
      <x:c r="BX129" s="27"/>
      <x:c r="BY129" s="27"/>
      <x:c r="BZ129" s="27"/>
      <x:c r="CA129" s="27"/>
      <x:c r="CB129" s="27"/>
      <x:c r="CC129" s="27"/>
      <x:c r="CD129" s="27"/>
      <x:c r="CE129" s="27"/>
      <x:c r="CF129" s="27"/>
      <x:c r="CG129" s="27"/>
      <x:c r="CH129" s="27"/>
      <x:c r="CI129" s="27"/>
      <x:c r="CJ129" s="27"/>
      <x:c r="CK129" s="27"/>
      <x:c r="CL129" s="27"/>
      <x:c r="CM129" s="27"/>
      <x:c r="CN129" s="27"/>
      <x:c r="CO129" s="27"/>
      <x:c r="CP129" s="27"/>
      <x:c r="CQ129" s="27"/>
      <x:c r="CR129" s="27"/>
      <x:c r="CS129" s="27"/>
      <x:c r="CT129" s="27"/>
      <x:c r="CU129" s="27"/>
      <x:c r="CV129" s="27"/>
      <x:c r="CW129" s="27"/>
      <x:c r="CX129" s="27"/>
      <x:c r="CY129" s="27"/>
      <x:c r="CZ129" s="27"/>
      <x:c r="DA129" s="27"/>
      <x:c r="DB129" s="27"/>
      <x:c r="DC129" s="27"/>
      <x:c r="DD129" s="27"/>
      <x:c r="DE129" s="27"/>
      <x:c r="DF129" s="27"/>
      <x:c r="DG129" s="27"/>
      <x:c r="DH129" s="27"/>
      <x:c r="DI129" s="27"/>
      <x:c r="DJ129" s="27"/>
      <x:c r="DK129" s="27"/>
      <x:c r="DL129" s="27"/>
      <x:c r="DM129" s="27"/>
      <x:c r="DN129" s="27"/>
      <x:c r="DO129" s="27"/>
      <x:c r="DP129" s="27"/>
      <x:c r="DQ129" s="27"/>
      <x:c r="DR129" s="27"/>
      <x:c r="DS129" s="27"/>
      <x:c r="DT129" s="27"/>
      <x:c r="DU129" s="27"/>
      <x:c r="DV129" s="27"/>
      <x:c r="DW129" s="27"/>
      <x:c r="DX129" s="27"/>
      <x:c r="DY129" s="27"/>
      <x:c r="DZ129" s="27"/>
      <x:c r="EA129" s="27"/>
      <x:c r="EB129" s="27"/>
      <x:c r="EC129" s="27"/>
      <x:c r="ED129" s="27"/>
      <x:c r="EE129" s="27"/>
      <x:c r="EF129" s="27"/>
      <x:c r="EG129" s="27"/>
      <x:c r="EH129" s="27"/>
      <x:c r="EI129" s="27"/>
      <x:c r="EJ129" s="27"/>
      <x:c r="EK129" s="27"/>
      <x:c r="EL129" s="27"/>
      <x:c r="EM129" s="27"/>
      <x:c r="EN129" s="27"/>
      <x:c r="EO129" s="27"/>
      <x:c r="EP129" s="27"/>
      <x:c r="EQ129" s="27"/>
      <x:c r="ER129" s="27"/>
      <x:c r="ES129" s="27"/>
      <x:c r="ET129" s="27"/>
      <x:c r="EU129" s="27"/>
      <x:c r="EV129" s="27"/>
      <x:c r="EW129" s="27"/>
      <x:c r="EX129" s="27"/>
      <x:c r="EY129" s="27"/>
      <x:c r="EZ129" s="27"/>
      <x:c r="FA129" s="27"/>
      <x:c r="FB129" s="27"/>
      <x:c r="FC129" s="27"/>
      <x:c r="FD129" s="27"/>
      <x:c r="FE129" s="27"/>
      <x:c r="FF129" s="27"/>
      <x:c r="FG129" s="27"/>
      <x:c r="FH129" s="27"/>
      <x:c r="FI129" s="27"/>
      <x:c r="FJ129" s="27"/>
      <x:c r="FK129" s="27"/>
      <x:c r="FL129" s="27"/>
      <x:c r="FM129" s="27"/>
      <x:c r="FN129" s="27"/>
      <x:c r="FO129" s="27"/>
      <x:c r="FP129" s="27"/>
      <x:c r="FQ129" s="27"/>
      <x:c r="FR129" s="27"/>
      <x:c r="FS129" s="27"/>
      <x:c r="FT129" s="27"/>
      <x:c r="FU129" s="27"/>
      <x:c r="FV129" s="27"/>
      <x:c r="FW129" s="27"/>
      <x:c r="FX129" s="27"/>
      <x:c r="FY129" s="27"/>
      <x:c r="FZ129" s="27"/>
      <x:c r="GA129" s="27"/>
      <x:c r="GB129" s="27"/>
      <x:c r="GC129" s="27"/>
      <x:c r="GD129" s="27"/>
      <x:c r="GE129" s="27"/>
      <x:c r="GF129" s="27"/>
      <x:c r="GG129" s="27"/>
      <x:c r="GH129" s="27"/>
      <x:c r="GI129" s="27"/>
      <x:c r="GJ129" s="27"/>
      <x:c r="GK129" s="27"/>
      <x:c r="GL129" s="27"/>
      <x:c r="GM129" s="27"/>
      <x:c r="GN129" s="27"/>
      <x:c r="GO129" s="27"/>
      <x:c r="GP129" s="27"/>
      <x:c r="GQ129" s="27"/>
      <x:c r="GR129" s="27"/>
      <x:c r="GS129" s="27"/>
      <x:c r="GT129" s="27"/>
      <x:c r="GU129" s="27"/>
      <x:c r="GV129" s="27"/>
      <x:c r="GW129" s="27"/>
      <x:c r="GX129" s="27"/>
      <x:c r="GY129" s="27"/>
      <x:c r="GZ129" s="27"/>
      <x:c r="HA129" s="27"/>
      <x:c r="HB129" s="27"/>
      <x:c r="HC129" s="27"/>
      <x:c r="HD129" s="27"/>
      <x:c r="HE129" s="27"/>
      <x:c r="HF129" s="27"/>
      <x:c r="HG129" s="27"/>
      <x:c r="HH129" s="27"/>
      <x:c r="HI129" s="27"/>
      <x:c r="HJ129" s="27"/>
      <x:c r="HK129" s="27"/>
      <x:c r="HL129" s="27"/>
      <x:c r="HM129" s="27"/>
      <x:c r="HN129" s="27"/>
      <x:c r="HO129" s="27"/>
      <x:c r="HP129" s="27" t="str">
        <x:f>IF(C129="","",SUM(H129,N129,T129,Z129,AF129,AL129,AR129,AX129,BD129,BJ129,BP129,BV129,CB129,CH129,CN129,CT129,CZ129,DF129,DL129,DR129,DX129,ED129,EJ129,EP129,EV129,FB129,FH129,FN129,FT129,FZ129,GF129,GL129,GR129,GX129,HD129,HJ129))</x:f>
      </x:c>
      <x:c r="HQ129" s="27" t="str">
        <x:f>IF(C129="","",SUM(I129,O129,U129,AA129,AG129,AM129,AS129,AY129,BE129,BK129,BQ129,BW129,CC129,CI129,CO129,CU129,DA129,DG129,DM129,DS129,DY129,EE129,EK129,EQ129,EW129,FC129,FI129,FO129,FU129,GA129,GG129,GM129,GS129,GY129,HE129,HK129))</x:f>
      </x:c>
      <x:c r="HR129" s="27" t="str">
        <x:f>IF(C129="","",SUM(J129,P129,V129,AB129,AH129,AN129,AT129,AZ129,BF129,BL129,BR129,BX129,CD129,CJ129,CP129,CV129,DB129,DH129,DN129,DT129,DZ129,EF129,EL129,ER129,EX129,FD129,FJ129,FP129,FV129,GB129,GH129,GN129,GT129,GZ129,HF129,HL129))</x:f>
      </x:c>
      <x:c r="HS129" s="27" t="str">
        <x:f>IF(C129="","",SUM(K129,Q129,W129,AC129,AI129,AO129,AU129,BA129,BG129,BM129,BS129,BY129,CE129,CK129,CQ129,CW129,DC129,DI129,DO129,DU129,EA129,EG129,EM129,ES129,EY129,FE129,FK129,FQ129,FW129,GC129,GI129,GO129,GU129,HA129,HG129,HM129))</x:f>
      </x:c>
      <x:c r="HT129" s="27" t="str">
        <x:f>IF(C129="","",SUM(L129,R129,X129,AD129,AJ129,AP129,AV129,BB129,BH129,BN129,BT129,BZ129,CF129,CL129,CR129,CX129,DD129,DJ129,DP129,DV129,EB129,EH129,EN129,ET129,EZ129,FF129,FL129,FR129,FX129,GD129,GJ129,GP129,GV129,HB129,HH129,HN129))</x:f>
      </x:c>
      <x:c r="HU129" s="27" t="str">
        <x:f>IF(C129="","",SUM(M129,S129,Y129,AE129,AK129,AQ129,AW129,BC129,BI129,BO129,BU129,CA129,CG129,CM129,CS129,CY129,DE129,DK129,DQ129,DW129,EC129,EI129,EO129,EU129,FA129,FG129,FM129,FS129,FY129,GE129,GK129,GQ129,GW129,HC129,HI129,HO129))</x:f>
      </x:c>
      <x:c r="HV129" s="27" t="str">
        <x:f>IF(C129="","",IF(JI129=LARGE(JI129:JN129,1),"R",IF(JJ129=LARGE(JI129:JN129,1),"I",IF(JK129=LARGE(JI129:JN129,1),"A",IF(JL129=LARGE(JI129:JN129,1),"S",IF(JM129=LARGE(JI129:JN129,1),"E",IF(JN129=LARGE(JI129:JN129,1),"C",""))))))&amp;IF(JI129=LARGE(JI129:JN129,2),"R",IF(JJ129=LARGE(JI129:JN129,2),"I",IF(JK129=LARGE(JI129:JN129,2),"A",IF(JL129=LARGE(JI129:JN129,2),"S",IF(JM129=LARGE(JI129:JN129,2),"E",IF(JN129=LARGE(JI129:JN129,2),"C",""))))))&amp;IF(JI129=LARGE(JI129:JN129,3),"R",IF(JJ129=LARGE(JI129:JN129,3),"I",IF(JK129=LARGE(JI129:JN129,3),"A",IF(JL129=LARGE(JI129:JN129,3),"S",IF(JM129=LARGE(JI129:JN129,3),"E",IF(JN129=LARGE(JI129:JN129,3),"C","")))))))</x:f>
      </x:c>
      <x:c r="HW129" s="27" t="str">
        <x:f>IF(C129="","",IF(JI129=LARGE(JI129:JN129,1),"นักปฏิบัติ",IF(JJ129=LARGE(JI129:JN129,1),"นักคิดวิเคราะห์",IF(JK129=LARGE(JI129:JN129,1),"นักสร้างสรรค์",IF(JL129=LARGE(JI129:JN129,1),"ผู้เข้าใจผู้คน",IF(JM129=LARGE(JI129:JN129,1),"ผู้นำการเปลี่ยนแปลง",IF(JN129=LARGE(JI129:JN129,1),"ผู้จัดระบบ","ผู้จัดระบบ")))))))</x:f>
      </x:c>
      <x:c r="HX129" s="27"/>
      <x:c r="HY129" s="27"/>
      <x:c r="HZ129" s="27"/>
      <x:c r="IA129" s="27"/>
      <x:c r="IB129" s="27"/>
      <x:c r="IC129" s="27"/>
      <x:c r="ID129" s="27"/>
      <x:c r="IE129" s="27"/>
      <x:c r="IF129" s="27"/>
      <x:c r="IG129" s="27"/>
      <x:c r="IH129" s="27"/>
      <x:c r="II129" s="27"/>
      <x:c r="IJ129" s="27"/>
      <x:c r="IK129" s="27" t="str">
        <x:f>IF(C129="","",SUM(H129,N129,T129,Z129,AF129,AL129,AR129,AX129,BD129,BJ129,BP129))</x:f>
      </x:c>
      <x:c r="IL129" s="27" t="str">
        <x:f>IF(C129="","",SUM(I129,O129,U129,AA129,AG129,AM129,AS129,AY129,BE129,BK129,BQ129))</x:f>
      </x:c>
      <x:c r="IM129" s="27" t="str">
        <x:f>IF(C129="","",SUM(J129,P129,V129,AB129,AH129,AN129,AT129,AZ129,BF129,BL129,BR129))</x:f>
      </x:c>
      <x:c r="IN129" s="27" t="str">
        <x:f>IF(C129="","",SUM(K129,Q129,W129,AC129,AI129,AO129,AU129,BA129,BG129,BM129,BS129))</x:f>
      </x:c>
      <x:c r="IO129" s="27" t="str">
        <x:f>IF(C129="","",SUM(L129,R129,X129,AD129,AJ129,AP129,AV129,BB129,BH129,BN129,BT129))</x:f>
      </x:c>
      <x:c r="IP129" s="27" t="str">
        <x:f>IF(C129="","",SUM(M129,S129,Y129,AE129,AK129,AQ129,AW129,BC129,BI129,BO129,BU129))</x:f>
      </x:c>
      <x:c r="IQ129" s="27" t="str">
        <x:f>IF(C129="","",SUM(BV129,CB129,CH129,CN129,CT129,CZ129,DF129,DL129,DR129,DX129,ED129))</x:f>
      </x:c>
      <x:c r="IR129" s="27" t="str">
        <x:f>IF(C129="","",SUM(BW129,CC129,CI129,CO129,CU129,DA129,DG129,DM129,DS129,DY129,EE129))</x:f>
      </x:c>
      <x:c r="IS129" s="27" t="str">
        <x:f>IF(C129="","",SUM(BX129,CD129,CJ129,CP129,CV129,DB129,DH129,DN129,DT129,DZ129,EF129))</x:f>
      </x:c>
      <x:c r="IT129" s="27" t="str">
        <x:f>IF(C129="","",SUM(BY129,CE129,CK129,CQ129,CW129,DC129,DI129,DO129,DU129,EA129,EG129))</x:f>
      </x:c>
      <x:c r="IU129" s="27" t="str">
        <x:f>IF(C129="","",SUM(BZ129,CF129,CL129,CR129,CX129,DD129,DJ129,DP129,DV129,EB129,EH129))</x:f>
      </x:c>
      <x:c r="IV129" s="27" t="str">
        <x:f>IF(C129="","",SUM(CA129,CG129,CM129,CS129,CY129,DE129,DK129,DQ129,DW129,EC129,EI129))</x:f>
      </x:c>
      <x:c r="IW129" s="27" t="str">
        <x:f>IF(C129="","",SUM(EJ129,EP129,EV129,FB129,FH129,FN129,FT129,FZ129,GF129,GL129,GR129,GX129,HD129,HJ129))</x:f>
      </x:c>
      <x:c r="IX129" s="27" t="str">
        <x:f>IF(C129="","",SUM(EK129,EQ129,EW129,FC129,FI129,FO129,FU129,GA129,GG129,GM129,GS129,GY129,HE129,HK129))</x:f>
      </x:c>
      <x:c r="IY129" s="27" t="str">
        <x:f>IF(C129="","",SUM(EL129,ER129,EX129,FD129,FJ129,FP129,FV129,GB129,GH129,GN129,GT129,GZ129,HF129,HL129))</x:f>
      </x:c>
      <x:c r="IZ129" s="27" t="str">
        <x:f>IF(C129="","",SUM(EM129,ES129,EY129,FE129,FK129,FQ129,FW129,GC129,GI129,GO129,GU129,HA129,HG129,HM129))</x:f>
      </x:c>
      <x:c r="JA129" s="27" t="str">
        <x:f>IF(C129="","",SUM(EN129,ET129,EZ129,FF129,FL129,FR129,FX129,GD129,GJ129,GP129,GV129,HB129,HH129,HN129))</x:f>
      </x:c>
      <x:c r="JB129" s="27" t="str">
        <x:f>IF(C129="","",SUM(EO129,EU129,FA129,FG129,FM129,FS129,FY129,GE129,GK129,GQ129,GW129,HC129,HI129,HO129))</x:f>
      </x:c>
      <x:c r="JC129" s="27" t="str">
        <x:f>IF(C129="","",0)</x:f>
      </x:c>
      <x:c r="JD129" s="27" t="str">
        <x:f>IF(C129="","",0)</x:f>
      </x:c>
      <x:c r="JE129" s="27" t="str">
        <x:f>IF(C129="","",0)</x:f>
      </x:c>
      <x:c r="JF129" s="27" t="str">
        <x:f>IF(C129="","",0)</x:f>
      </x:c>
      <x:c r="JG129" s="27" t="str">
        <x:f>IF(C129="","",0)</x:f>
      </x:c>
      <x:c r="JH129" s="27" t="str">
        <x:f>IF(C129="","",0)</x:f>
      </x:c>
      <x:c r="JI129" s="27" t="str">
        <x:f>IF(C129="","",HP129*1000000000+IW129*1000000+IQ129*10000+IK129*100+JC129+6/1000)</x:f>
      </x:c>
      <x:c r="JJ129" s="27" t="str">
        <x:f>IF(C129="","",HQ129*1000000000+IX129*1000000+IR129*10000+IL129*100+JD129+5/1000)</x:f>
      </x:c>
      <x:c r="JK129" s="27" t="str">
        <x:f>IF(C129="","",HR129*1000000000+IY129*1000000+IS129*10000+IM129*100+JE129+4/1000)</x:f>
      </x:c>
      <x:c r="JL129" s="27" t="str">
        <x:f>IF(C129="","",HS129*1000000000+IZ129*1000000+IT129*10000+IN129*100+JF129+3/1000)</x:f>
      </x:c>
      <x:c r="JM129" s="27" t="str">
        <x:f>IF(C129="","",HT129*1000000000+JA129*1000000+IU129*10000+IO129*100+JG129+2/1000)</x:f>
      </x:c>
      <x:c r="JN129" s="27" t="str">
        <x:f>IF(C129="","",HU129*1000000000+JB129*1000000+IV129*10000+IP129*100+JH129+1/1000)</x:f>
      </x:c>
    </x:row>
    <x:row r="130">
      <x:c r="A130" s="27"/>
      <x:c r="B130" s="28"/>
      <x:c r="C130" s="27"/>
      <x:c r="D130" s="27"/>
      <x:c r="E130" s="27"/>
      <x:c r="F130" s="27"/>
      <x:c r="G130" s="27"/>
      <x:c r="H130" s="27"/>
      <x:c r="I130" s="27"/>
      <x:c r="J130" s="27"/>
      <x:c r="K130" s="27"/>
      <x:c r="L130" s="27"/>
      <x:c r="M130" s="27"/>
      <x:c r="N130" s="27"/>
      <x:c r="O130" s="27"/>
      <x:c r="P130" s="27"/>
      <x:c r="Q130" s="27"/>
      <x:c r="R130" s="27"/>
      <x:c r="S130" s="27"/>
      <x:c r="T130" s="27"/>
      <x:c r="U130" s="27"/>
      <x:c r="V130" s="27"/>
      <x:c r="W130" s="27"/>
      <x:c r="X130" s="27"/>
      <x:c r="Y130" s="27"/>
      <x:c r="Z130" s="27"/>
      <x:c r="AA130" s="27"/>
      <x:c r="AB130" s="27"/>
      <x:c r="AC130" s="27"/>
      <x:c r="AD130" s="27"/>
      <x:c r="AE130" s="27"/>
      <x:c r="AF130" s="27"/>
      <x:c r="AG130" s="27"/>
      <x:c r="AH130" s="27"/>
      <x:c r="AI130" s="27"/>
      <x:c r="AJ130" s="27"/>
      <x:c r="AK130" s="27"/>
      <x:c r="AL130" s="27"/>
      <x:c r="AM130" s="27"/>
      <x:c r="AN130" s="27"/>
      <x:c r="AO130" s="27"/>
      <x:c r="AP130" s="27"/>
      <x:c r="AQ130" s="27"/>
      <x:c r="AR130" s="27"/>
      <x:c r="AS130" s="27"/>
      <x:c r="AT130" s="27"/>
      <x:c r="AU130" s="27"/>
      <x:c r="AV130" s="27"/>
      <x:c r="AW130" s="27"/>
      <x:c r="AX130" s="27"/>
      <x:c r="AY130" s="27"/>
      <x:c r="AZ130" s="27"/>
      <x:c r="BA130" s="27"/>
      <x:c r="BB130" s="27"/>
      <x:c r="BC130" s="27"/>
      <x:c r="BD130" s="27"/>
      <x:c r="BE130" s="27"/>
      <x:c r="BF130" s="27"/>
      <x:c r="BG130" s="27"/>
      <x:c r="BH130" s="27"/>
      <x:c r="BI130" s="27"/>
      <x:c r="BJ130" s="27"/>
      <x:c r="BK130" s="27"/>
      <x:c r="BL130" s="27"/>
      <x:c r="BM130" s="27"/>
      <x:c r="BN130" s="27"/>
      <x:c r="BO130" s="27"/>
      <x:c r="BP130" s="27"/>
      <x:c r="BQ130" s="27"/>
      <x:c r="BR130" s="27"/>
      <x:c r="BS130" s="27"/>
      <x:c r="BT130" s="27"/>
      <x:c r="BU130" s="27"/>
      <x:c r="BV130" s="27"/>
      <x:c r="BW130" s="27"/>
      <x:c r="BX130" s="27"/>
      <x:c r="BY130" s="27"/>
      <x:c r="BZ130" s="27"/>
      <x:c r="CA130" s="27"/>
      <x:c r="CB130" s="27"/>
      <x:c r="CC130" s="27"/>
      <x:c r="CD130" s="27"/>
      <x:c r="CE130" s="27"/>
      <x:c r="CF130" s="27"/>
      <x:c r="CG130" s="27"/>
      <x:c r="CH130" s="27"/>
      <x:c r="CI130" s="27"/>
      <x:c r="CJ130" s="27"/>
      <x:c r="CK130" s="27"/>
      <x:c r="CL130" s="27"/>
      <x:c r="CM130" s="27"/>
      <x:c r="CN130" s="27"/>
      <x:c r="CO130" s="27"/>
      <x:c r="CP130" s="27"/>
      <x:c r="CQ130" s="27"/>
      <x:c r="CR130" s="27"/>
      <x:c r="CS130" s="27"/>
      <x:c r="CT130" s="27"/>
      <x:c r="CU130" s="27"/>
      <x:c r="CV130" s="27"/>
      <x:c r="CW130" s="27"/>
      <x:c r="CX130" s="27"/>
      <x:c r="CY130" s="27"/>
      <x:c r="CZ130" s="27"/>
      <x:c r="DA130" s="27"/>
      <x:c r="DB130" s="27"/>
      <x:c r="DC130" s="27"/>
      <x:c r="DD130" s="27"/>
      <x:c r="DE130" s="27"/>
      <x:c r="DF130" s="27"/>
      <x:c r="DG130" s="27"/>
      <x:c r="DH130" s="27"/>
      <x:c r="DI130" s="27"/>
      <x:c r="DJ130" s="27"/>
      <x:c r="DK130" s="27"/>
      <x:c r="DL130" s="27"/>
      <x:c r="DM130" s="27"/>
      <x:c r="DN130" s="27"/>
      <x:c r="DO130" s="27"/>
      <x:c r="DP130" s="27"/>
      <x:c r="DQ130" s="27"/>
      <x:c r="DR130" s="27"/>
      <x:c r="DS130" s="27"/>
      <x:c r="DT130" s="27"/>
      <x:c r="DU130" s="27"/>
      <x:c r="DV130" s="27"/>
      <x:c r="DW130" s="27"/>
      <x:c r="DX130" s="27"/>
      <x:c r="DY130" s="27"/>
      <x:c r="DZ130" s="27"/>
      <x:c r="EA130" s="27"/>
      <x:c r="EB130" s="27"/>
      <x:c r="EC130" s="27"/>
      <x:c r="ED130" s="27"/>
      <x:c r="EE130" s="27"/>
      <x:c r="EF130" s="27"/>
      <x:c r="EG130" s="27"/>
      <x:c r="EH130" s="27"/>
      <x:c r="EI130" s="27"/>
      <x:c r="EJ130" s="27"/>
      <x:c r="EK130" s="27"/>
      <x:c r="EL130" s="27"/>
      <x:c r="EM130" s="27"/>
      <x:c r="EN130" s="27"/>
      <x:c r="EO130" s="27"/>
      <x:c r="EP130" s="27"/>
      <x:c r="EQ130" s="27"/>
      <x:c r="ER130" s="27"/>
      <x:c r="ES130" s="27"/>
      <x:c r="ET130" s="27"/>
      <x:c r="EU130" s="27"/>
      <x:c r="EV130" s="27"/>
      <x:c r="EW130" s="27"/>
      <x:c r="EX130" s="27"/>
      <x:c r="EY130" s="27"/>
      <x:c r="EZ130" s="27"/>
      <x:c r="FA130" s="27"/>
      <x:c r="FB130" s="27"/>
      <x:c r="FC130" s="27"/>
      <x:c r="FD130" s="27"/>
      <x:c r="FE130" s="27"/>
      <x:c r="FF130" s="27"/>
      <x:c r="FG130" s="27"/>
      <x:c r="FH130" s="27"/>
      <x:c r="FI130" s="27"/>
      <x:c r="FJ130" s="27"/>
      <x:c r="FK130" s="27"/>
      <x:c r="FL130" s="27"/>
      <x:c r="FM130" s="27"/>
      <x:c r="FN130" s="27"/>
      <x:c r="FO130" s="27"/>
      <x:c r="FP130" s="27"/>
      <x:c r="FQ130" s="27"/>
      <x:c r="FR130" s="27"/>
      <x:c r="FS130" s="27"/>
      <x:c r="FT130" s="27"/>
      <x:c r="FU130" s="27"/>
      <x:c r="FV130" s="27"/>
      <x:c r="FW130" s="27"/>
      <x:c r="FX130" s="27"/>
      <x:c r="FY130" s="27"/>
      <x:c r="FZ130" s="27"/>
      <x:c r="GA130" s="27"/>
      <x:c r="GB130" s="27"/>
      <x:c r="GC130" s="27"/>
      <x:c r="GD130" s="27"/>
      <x:c r="GE130" s="27"/>
      <x:c r="GF130" s="27"/>
      <x:c r="GG130" s="27"/>
      <x:c r="GH130" s="27"/>
      <x:c r="GI130" s="27"/>
      <x:c r="GJ130" s="27"/>
      <x:c r="GK130" s="27"/>
      <x:c r="GL130" s="27"/>
      <x:c r="GM130" s="27"/>
      <x:c r="GN130" s="27"/>
      <x:c r="GO130" s="27"/>
      <x:c r="GP130" s="27"/>
      <x:c r="GQ130" s="27"/>
      <x:c r="GR130" s="27"/>
      <x:c r="GS130" s="27"/>
      <x:c r="GT130" s="27"/>
      <x:c r="GU130" s="27"/>
      <x:c r="GV130" s="27"/>
      <x:c r="GW130" s="27"/>
      <x:c r="GX130" s="27"/>
      <x:c r="GY130" s="27"/>
      <x:c r="GZ130" s="27"/>
      <x:c r="HA130" s="27"/>
      <x:c r="HB130" s="27"/>
      <x:c r="HC130" s="27"/>
      <x:c r="HD130" s="27"/>
      <x:c r="HE130" s="27"/>
      <x:c r="HF130" s="27"/>
      <x:c r="HG130" s="27"/>
      <x:c r="HH130" s="27"/>
      <x:c r="HI130" s="27"/>
      <x:c r="HJ130" s="27"/>
      <x:c r="HK130" s="27"/>
      <x:c r="HL130" s="27"/>
      <x:c r="HM130" s="27"/>
      <x:c r="HN130" s="27"/>
      <x:c r="HO130" s="27"/>
      <x:c r="HP130" s="27" t="str">
        <x:f>IF(C130="","",SUM(H130,N130,T130,Z130,AF130,AL130,AR130,AX130,BD130,BJ130,BP130,BV130,CB130,CH130,CN130,CT130,CZ130,DF130,DL130,DR130,DX130,ED130,EJ130,EP130,EV130,FB130,FH130,FN130,FT130,FZ130,GF130,GL130,GR130,GX130,HD130,HJ130))</x:f>
      </x:c>
      <x:c r="HQ130" s="27" t="str">
        <x:f>IF(C130="","",SUM(I130,O130,U130,AA130,AG130,AM130,AS130,AY130,BE130,BK130,BQ130,BW130,CC130,CI130,CO130,CU130,DA130,DG130,DM130,DS130,DY130,EE130,EK130,EQ130,EW130,FC130,FI130,FO130,FU130,GA130,GG130,GM130,GS130,GY130,HE130,HK130))</x:f>
      </x:c>
      <x:c r="HR130" s="27" t="str">
        <x:f>IF(C130="","",SUM(J130,P130,V130,AB130,AH130,AN130,AT130,AZ130,BF130,BL130,BR130,BX130,CD130,CJ130,CP130,CV130,DB130,DH130,DN130,DT130,DZ130,EF130,EL130,ER130,EX130,FD130,FJ130,FP130,FV130,GB130,GH130,GN130,GT130,GZ130,HF130,HL130))</x:f>
      </x:c>
      <x:c r="HS130" s="27" t="str">
        <x:f>IF(C130="","",SUM(K130,Q130,W130,AC130,AI130,AO130,AU130,BA130,BG130,BM130,BS130,BY130,CE130,CK130,CQ130,CW130,DC130,DI130,DO130,DU130,EA130,EG130,EM130,ES130,EY130,FE130,FK130,FQ130,FW130,GC130,GI130,GO130,GU130,HA130,HG130,HM130))</x:f>
      </x:c>
      <x:c r="HT130" s="27" t="str">
        <x:f>IF(C130="","",SUM(L130,R130,X130,AD130,AJ130,AP130,AV130,BB130,BH130,BN130,BT130,BZ130,CF130,CL130,CR130,CX130,DD130,DJ130,DP130,DV130,EB130,EH130,EN130,ET130,EZ130,FF130,FL130,FR130,FX130,GD130,GJ130,GP130,GV130,HB130,HH130,HN130))</x:f>
      </x:c>
      <x:c r="HU130" s="27" t="str">
        <x:f>IF(C130="","",SUM(M130,S130,Y130,AE130,AK130,AQ130,AW130,BC130,BI130,BO130,BU130,CA130,CG130,CM130,CS130,CY130,DE130,DK130,DQ130,DW130,EC130,EI130,EO130,EU130,FA130,FG130,FM130,FS130,FY130,GE130,GK130,GQ130,GW130,HC130,HI130,HO130))</x:f>
      </x:c>
      <x:c r="HV130" s="27" t="str">
        <x:f>IF(C130="","",IF(JI130=LARGE(JI130:JN130,1),"R",IF(JJ130=LARGE(JI130:JN130,1),"I",IF(JK130=LARGE(JI130:JN130,1),"A",IF(JL130=LARGE(JI130:JN130,1),"S",IF(JM130=LARGE(JI130:JN130,1),"E",IF(JN130=LARGE(JI130:JN130,1),"C",""))))))&amp;IF(JI130=LARGE(JI130:JN130,2),"R",IF(JJ130=LARGE(JI130:JN130,2),"I",IF(JK130=LARGE(JI130:JN130,2),"A",IF(JL130=LARGE(JI130:JN130,2),"S",IF(JM130=LARGE(JI130:JN130,2),"E",IF(JN130=LARGE(JI130:JN130,2),"C",""))))))&amp;IF(JI130=LARGE(JI130:JN130,3),"R",IF(JJ130=LARGE(JI130:JN130,3),"I",IF(JK130=LARGE(JI130:JN130,3),"A",IF(JL130=LARGE(JI130:JN130,3),"S",IF(JM130=LARGE(JI130:JN130,3),"E",IF(JN130=LARGE(JI130:JN130,3),"C","")))))))</x:f>
      </x:c>
      <x:c r="HW130" s="27" t="str">
        <x:f>IF(C130="","",IF(JI130=LARGE(JI130:JN130,1),"นักปฏิบัติ",IF(JJ130=LARGE(JI130:JN130,1),"นักคิดวิเคราะห์",IF(JK130=LARGE(JI130:JN130,1),"นักสร้างสรรค์",IF(JL130=LARGE(JI130:JN130,1),"ผู้เข้าใจผู้คน",IF(JM130=LARGE(JI130:JN130,1),"ผู้นำการเปลี่ยนแปลง",IF(JN130=LARGE(JI130:JN130,1),"ผู้จัดระบบ","ผู้จัดระบบ")))))))</x:f>
      </x:c>
      <x:c r="HX130" s="27"/>
      <x:c r="HY130" s="27"/>
      <x:c r="HZ130" s="27"/>
      <x:c r="IA130" s="27"/>
      <x:c r="IB130" s="27"/>
      <x:c r="IC130" s="27"/>
      <x:c r="ID130" s="27"/>
      <x:c r="IE130" s="27"/>
      <x:c r="IF130" s="27"/>
      <x:c r="IG130" s="27"/>
      <x:c r="IH130" s="27"/>
      <x:c r="II130" s="27"/>
      <x:c r="IJ130" s="27"/>
      <x:c r="IK130" s="27" t="str">
        <x:f>IF(C130="","",SUM(H130,N130,T130,Z130,AF130,AL130,AR130,AX130,BD130,BJ130,BP130))</x:f>
      </x:c>
      <x:c r="IL130" s="27" t="str">
        <x:f>IF(C130="","",SUM(I130,O130,U130,AA130,AG130,AM130,AS130,AY130,BE130,BK130,BQ130))</x:f>
      </x:c>
      <x:c r="IM130" s="27" t="str">
        <x:f>IF(C130="","",SUM(J130,P130,V130,AB130,AH130,AN130,AT130,AZ130,BF130,BL130,BR130))</x:f>
      </x:c>
      <x:c r="IN130" s="27" t="str">
        <x:f>IF(C130="","",SUM(K130,Q130,W130,AC130,AI130,AO130,AU130,BA130,BG130,BM130,BS130))</x:f>
      </x:c>
      <x:c r="IO130" s="27" t="str">
        <x:f>IF(C130="","",SUM(L130,R130,X130,AD130,AJ130,AP130,AV130,BB130,BH130,BN130,BT130))</x:f>
      </x:c>
      <x:c r="IP130" s="27" t="str">
        <x:f>IF(C130="","",SUM(M130,S130,Y130,AE130,AK130,AQ130,AW130,BC130,BI130,BO130,BU130))</x:f>
      </x:c>
      <x:c r="IQ130" s="27" t="str">
        <x:f>IF(C130="","",SUM(BV130,CB130,CH130,CN130,CT130,CZ130,DF130,DL130,DR130,DX130,ED130))</x:f>
      </x:c>
      <x:c r="IR130" s="27" t="str">
        <x:f>IF(C130="","",SUM(BW130,CC130,CI130,CO130,CU130,DA130,DG130,DM130,DS130,DY130,EE130))</x:f>
      </x:c>
      <x:c r="IS130" s="27" t="str">
        <x:f>IF(C130="","",SUM(BX130,CD130,CJ130,CP130,CV130,DB130,DH130,DN130,DT130,DZ130,EF130))</x:f>
      </x:c>
      <x:c r="IT130" s="27" t="str">
        <x:f>IF(C130="","",SUM(BY130,CE130,CK130,CQ130,CW130,DC130,DI130,DO130,DU130,EA130,EG130))</x:f>
      </x:c>
      <x:c r="IU130" s="27" t="str">
        <x:f>IF(C130="","",SUM(BZ130,CF130,CL130,CR130,CX130,DD130,DJ130,DP130,DV130,EB130,EH130))</x:f>
      </x:c>
      <x:c r="IV130" s="27" t="str">
        <x:f>IF(C130="","",SUM(CA130,CG130,CM130,CS130,CY130,DE130,DK130,DQ130,DW130,EC130,EI130))</x:f>
      </x:c>
      <x:c r="IW130" s="27" t="str">
        <x:f>IF(C130="","",SUM(EJ130,EP130,EV130,FB130,FH130,FN130,FT130,FZ130,GF130,GL130,GR130,GX130,HD130,HJ130))</x:f>
      </x:c>
      <x:c r="IX130" s="27" t="str">
        <x:f>IF(C130="","",SUM(EK130,EQ130,EW130,FC130,FI130,FO130,FU130,GA130,GG130,GM130,GS130,GY130,HE130,HK130))</x:f>
      </x:c>
      <x:c r="IY130" s="27" t="str">
        <x:f>IF(C130="","",SUM(EL130,ER130,EX130,FD130,FJ130,FP130,FV130,GB130,GH130,GN130,GT130,GZ130,HF130,HL130))</x:f>
      </x:c>
      <x:c r="IZ130" s="27" t="str">
        <x:f>IF(C130="","",SUM(EM130,ES130,EY130,FE130,FK130,FQ130,FW130,GC130,GI130,GO130,GU130,HA130,HG130,HM130))</x:f>
      </x:c>
      <x:c r="JA130" s="27" t="str">
        <x:f>IF(C130="","",SUM(EN130,ET130,EZ130,FF130,FL130,FR130,FX130,GD130,GJ130,GP130,GV130,HB130,HH130,HN130))</x:f>
      </x:c>
      <x:c r="JB130" s="27" t="str">
        <x:f>IF(C130="","",SUM(EO130,EU130,FA130,FG130,FM130,FS130,FY130,GE130,GK130,GQ130,GW130,HC130,HI130,HO130))</x:f>
      </x:c>
      <x:c r="JC130" s="27" t="str">
        <x:f>IF(C130="","",0)</x:f>
      </x:c>
      <x:c r="JD130" s="27" t="str">
        <x:f>IF(C130="","",0)</x:f>
      </x:c>
      <x:c r="JE130" s="27" t="str">
        <x:f>IF(C130="","",0)</x:f>
      </x:c>
      <x:c r="JF130" s="27" t="str">
        <x:f>IF(C130="","",0)</x:f>
      </x:c>
      <x:c r="JG130" s="27" t="str">
        <x:f>IF(C130="","",0)</x:f>
      </x:c>
      <x:c r="JH130" s="27" t="str">
        <x:f>IF(C130="","",0)</x:f>
      </x:c>
      <x:c r="JI130" s="27" t="str">
        <x:f>IF(C130="","",HP130*1000000000+IW130*1000000+IQ130*10000+IK130*100+JC130+6/1000)</x:f>
      </x:c>
      <x:c r="JJ130" s="27" t="str">
        <x:f>IF(C130="","",HQ130*1000000000+IX130*1000000+IR130*10000+IL130*100+JD130+5/1000)</x:f>
      </x:c>
      <x:c r="JK130" s="27" t="str">
        <x:f>IF(C130="","",HR130*1000000000+IY130*1000000+IS130*10000+IM130*100+JE130+4/1000)</x:f>
      </x:c>
      <x:c r="JL130" s="27" t="str">
        <x:f>IF(C130="","",HS130*1000000000+IZ130*1000000+IT130*10000+IN130*100+JF130+3/1000)</x:f>
      </x:c>
      <x:c r="JM130" s="27" t="str">
        <x:f>IF(C130="","",HT130*1000000000+JA130*1000000+IU130*10000+IO130*100+JG130+2/1000)</x:f>
      </x:c>
      <x:c r="JN130" s="27" t="str">
        <x:f>IF(C130="","",HU130*1000000000+JB130*1000000+IV130*10000+IP130*100+JH130+1/1000)</x:f>
      </x:c>
    </x:row>
    <x:row r="131">
      <x:c r="A131" s="27"/>
      <x:c r="B131" s="28"/>
      <x:c r="C131" s="27"/>
      <x:c r="D131" s="27"/>
      <x:c r="E131" s="27"/>
      <x:c r="F131" s="27"/>
      <x:c r="G131" s="27"/>
      <x:c r="H131" s="27"/>
      <x:c r="I131" s="27"/>
      <x:c r="J131" s="27"/>
      <x:c r="K131" s="27"/>
      <x:c r="L131" s="27"/>
      <x:c r="M131" s="27"/>
      <x:c r="N131" s="27"/>
      <x:c r="O131" s="27"/>
      <x:c r="P131" s="27"/>
      <x:c r="Q131" s="27"/>
      <x:c r="R131" s="27"/>
      <x:c r="S131" s="27"/>
      <x:c r="T131" s="27"/>
      <x:c r="U131" s="27"/>
      <x:c r="V131" s="27"/>
      <x:c r="W131" s="27"/>
      <x:c r="X131" s="27"/>
      <x:c r="Y131" s="27"/>
      <x:c r="Z131" s="27"/>
      <x:c r="AA131" s="27"/>
      <x:c r="AB131" s="27"/>
      <x:c r="AC131" s="27"/>
      <x:c r="AD131" s="27"/>
      <x:c r="AE131" s="27"/>
      <x:c r="AF131" s="27"/>
      <x:c r="AG131" s="27"/>
      <x:c r="AH131" s="27"/>
      <x:c r="AI131" s="27"/>
      <x:c r="AJ131" s="27"/>
      <x:c r="AK131" s="27"/>
      <x:c r="AL131" s="27"/>
      <x:c r="AM131" s="27"/>
      <x:c r="AN131" s="27"/>
      <x:c r="AO131" s="27"/>
      <x:c r="AP131" s="27"/>
      <x:c r="AQ131" s="27"/>
      <x:c r="AR131" s="27"/>
      <x:c r="AS131" s="27"/>
      <x:c r="AT131" s="27"/>
      <x:c r="AU131" s="27"/>
      <x:c r="AV131" s="27"/>
      <x:c r="AW131" s="27"/>
      <x:c r="AX131" s="27"/>
      <x:c r="AY131" s="27"/>
      <x:c r="AZ131" s="27"/>
      <x:c r="BA131" s="27"/>
      <x:c r="BB131" s="27"/>
      <x:c r="BC131" s="27"/>
      <x:c r="BD131" s="27"/>
      <x:c r="BE131" s="27"/>
      <x:c r="BF131" s="27"/>
      <x:c r="BG131" s="27"/>
      <x:c r="BH131" s="27"/>
      <x:c r="BI131" s="27"/>
      <x:c r="BJ131" s="27"/>
      <x:c r="BK131" s="27"/>
      <x:c r="BL131" s="27"/>
      <x:c r="BM131" s="27"/>
      <x:c r="BN131" s="27"/>
      <x:c r="BO131" s="27"/>
      <x:c r="BP131" s="27"/>
      <x:c r="BQ131" s="27"/>
      <x:c r="BR131" s="27"/>
      <x:c r="BS131" s="27"/>
      <x:c r="BT131" s="27"/>
      <x:c r="BU131" s="27"/>
      <x:c r="BV131" s="27"/>
      <x:c r="BW131" s="27"/>
      <x:c r="BX131" s="27"/>
      <x:c r="BY131" s="27"/>
      <x:c r="BZ131" s="27"/>
      <x:c r="CA131" s="27"/>
      <x:c r="CB131" s="27"/>
      <x:c r="CC131" s="27"/>
      <x:c r="CD131" s="27"/>
      <x:c r="CE131" s="27"/>
      <x:c r="CF131" s="27"/>
      <x:c r="CG131" s="27"/>
      <x:c r="CH131" s="27"/>
      <x:c r="CI131" s="27"/>
      <x:c r="CJ131" s="27"/>
      <x:c r="CK131" s="27"/>
      <x:c r="CL131" s="27"/>
      <x:c r="CM131" s="27"/>
      <x:c r="CN131" s="27"/>
      <x:c r="CO131" s="27"/>
      <x:c r="CP131" s="27"/>
      <x:c r="CQ131" s="27"/>
      <x:c r="CR131" s="27"/>
      <x:c r="CS131" s="27"/>
      <x:c r="CT131" s="27"/>
      <x:c r="CU131" s="27"/>
      <x:c r="CV131" s="27"/>
      <x:c r="CW131" s="27"/>
      <x:c r="CX131" s="27"/>
      <x:c r="CY131" s="27"/>
      <x:c r="CZ131" s="27"/>
      <x:c r="DA131" s="27"/>
      <x:c r="DB131" s="27"/>
      <x:c r="DC131" s="27"/>
      <x:c r="DD131" s="27"/>
      <x:c r="DE131" s="27"/>
      <x:c r="DF131" s="27"/>
      <x:c r="DG131" s="27"/>
      <x:c r="DH131" s="27"/>
      <x:c r="DI131" s="27"/>
      <x:c r="DJ131" s="27"/>
      <x:c r="DK131" s="27"/>
      <x:c r="DL131" s="27"/>
      <x:c r="DM131" s="27"/>
      <x:c r="DN131" s="27"/>
      <x:c r="DO131" s="27"/>
      <x:c r="DP131" s="27"/>
      <x:c r="DQ131" s="27"/>
      <x:c r="DR131" s="27"/>
      <x:c r="DS131" s="27"/>
      <x:c r="DT131" s="27"/>
      <x:c r="DU131" s="27"/>
      <x:c r="DV131" s="27"/>
      <x:c r="DW131" s="27"/>
      <x:c r="DX131" s="27"/>
      <x:c r="DY131" s="27"/>
      <x:c r="DZ131" s="27"/>
      <x:c r="EA131" s="27"/>
      <x:c r="EB131" s="27"/>
      <x:c r="EC131" s="27"/>
      <x:c r="ED131" s="27"/>
      <x:c r="EE131" s="27"/>
      <x:c r="EF131" s="27"/>
      <x:c r="EG131" s="27"/>
      <x:c r="EH131" s="27"/>
      <x:c r="EI131" s="27"/>
      <x:c r="EJ131" s="27"/>
      <x:c r="EK131" s="27"/>
      <x:c r="EL131" s="27"/>
      <x:c r="EM131" s="27"/>
      <x:c r="EN131" s="27"/>
      <x:c r="EO131" s="27"/>
      <x:c r="EP131" s="27"/>
      <x:c r="EQ131" s="27"/>
      <x:c r="ER131" s="27"/>
      <x:c r="ES131" s="27"/>
      <x:c r="ET131" s="27"/>
      <x:c r="EU131" s="27"/>
      <x:c r="EV131" s="27"/>
      <x:c r="EW131" s="27"/>
      <x:c r="EX131" s="27"/>
      <x:c r="EY131" s="27"/>
      <x:c r="EZ131" s="27"/>
      <x:c r="FA131" s="27"/>
      <x:c r="FB131" s="27"/>
      <x:c r="FC131" s="27"/>
      <x:c r="FD131" s="27"/>
      <x:c r="FE131" s="27"/>
      <x:c r="FF131" s="27"/>
      <x:c r="FG131" s="27"/>
      <x:c r="FH131" s="27"/>
      <x:c r="FI131" s="27"/>
      <x:c r="FJ131" s="27"/>
      <x:c r="FK131" s="27"/>
      <x:c r="FL131" s="27"/>
      <x:c r="FM131" s="27"/>
      <x:c r="FN131" s="27"/>
      <x:c r="FO131" s="27"/>
      <x:c r="FP131" s="27"/>
      <x:c r="FQ131" s="27"/>
      <x:c r="FR131" s="27"/>
      <x:c r="FS131" s="27"/>
      <x:c r="FT131" s="27"/>
      <x:c r="FU131" s="27"/>
      <x:c r="FV131" s="27"/>
      <x:c r="FW131" s="27"/>
      <x:c r="FX131" s="27"/>
      <x:c r="FY131" s="27"/>
      <x:c r="FZ131" s="27"/>
      <x:c r="GA131" s="27"/>
      <x:c r="GB131" s="27"/>
      <x:c r="GC131" s="27"/>
      <x:c r="GD131" s="27"/>
      <x:c r="GE131" s="27"/>
      <x:c r="GF131" s="27"/>
      <x:c r="GG131" s="27"/>
      <x:c r="GH131" s="27"/>
      <x:c r="GI131" s="27"/>
      <x:c r="GJ131" s="27"/>
      <x:c r="GK131" s="27"/>
      <x:c r="GL131" s="27"/>
      <x:c r="GM131" s="27"/>
      <x:c r="GN131" s="27"/>
      <x:c r="GO131" s="27"/>
      <x:c r="GP131" s="27"/>
      <x:c r="GQ131" s="27"/>
      <x:c r="GR131" s="27"/>
      <x:c r="GS131" s="27"/>
      <x:c r="GT131" s="27"/>
      <x:c r="GU131" s="27"/>
      <x:c r="GV131" s="27"/>
      <x:c r="GW131" s="27"/>
      <x:c r="GX131" s="27"/>
      <x:c r="GY131" s="27"/>
      <x:c r="GZ131" s="27"/>
      <x:c r="HA131" s="27"/>
      <x:c r="HB131" s="27"/>
      <x:c r="HC131" s="27"/>
      <x:c r="HD131" s="27"/>
      <x:c r="HE131" s="27"/>
      <x:c r="HF131" s="27"/>
      <x:c r="HG131" s="27"/>
      <x:c r="HH131" s="27"/>
      <x:c r="HI131" s="27"/>
      <x:c r="HJ131" s="27"/>
      <x:c r="HK131" s="27"/>
      <x:c r="HL131" s="27"/>
      <x:c r="HM131" s="27"/>
      <x:c r="HN131" s="27"/>
      <x:c r="HO131" s="27"/>
      <x:c r="HP131" s="27" t="str">
        <x:f>IF(C131="","",SUM(H131,N131,T131,Z131,AF131,AL131,AR131,AX131,BD131,BJ131,BP131,BV131,CB131,CH131,CN131,CT131,CZ131,DF131,DL131,DR131,DX131,ED131,EJ131,EP131,EV131,FB131,FH131,FN131,FT131,FZ131,GF131,GL131,GR131,GX131,HD131,HJ131))</x:f>
      </x:c>
      <x:c r="HQ131" s="27" t="str">
        <x:f>IF(C131="","",SUM(I131,O131,U131,AA131,AG131,AM131,AS131,AY131,BE131,BK131,BQ131,BW131,CC131,CI131,CO131,CU131,DA131,DG131,DM131,DS131,DY131,EE131,EK131,EQ131,EW131,FC131,FI131,FO131,FU131,GA131,GG131,GM131,GS131,GY131,HE131,HK131))</x:f>
      </x:c>
      <x:c r="HR131" s="27" t="str">
        <x:f>IF(C131="","",SUM(J131,P131,V131,AB131,AH131,AN131,AT131,AZ131,BF131,BL131,BR131,BX131,CD131,CJ131,CP131,CV131,DB131,DH131,DN131,DT131,DZ131,EF131,EL131,ER131,EX131,FD131,FJ131,FP131,FV131,GB131,GH131,GN131,GT131,GZ131,HF131,HL131))</x:f>
      </x:c>
      <x:c r="HS131" s="27" t="str">
        <x:f>IF(C131="","",SUM(K131,Q131,W131,AC131,AI131,AO131,AU131,BA131,BG131,BM131,BS131,BY131,CE131,CK131,CQ131,CW131,DC131,DI131,DO131,DU131,EA131,EG131,EM131,ES131,EY131,FE131,FK131,FQ131,FW131,GC131,GI131,GO131,GU131,HA131,HG131,HM131))</x:f>
      </x:c>
      <x:c r="HT131" s="27" t="str">
        <x:f>IF(C131="","",SUM(L131,R131,X131,AD131,AJ131,AP131,AV131,BB131,BH131,BN131,BT131,BZ131,CF131,CL131,CR131,CX131,DD131,DJ131,DP131,DV131,EB131,EH131,EN131,ET131,EZ131,FF131,FL131,FR131,FX131,GD131,GJ131,GP131,GV131,HB131,HH131,HN131))</x:f>
      </x:c>
      <x:c r="HU131" s="27" t="str">
        <x:f>IF(C131="","",SUM(M131,S131,Y131,AE131,AK131,AQ131,AW131,BC131,BI131,BO131,BU131,CA131,CG131,CM131,CS131,CY131,DE131,DK131,DQ131,DW131,EC131,EI131,EO131,EU131,FA131,FG131,FM131,FS131,FY131,GE131,GK131,GQ131,GW131,HC131,HI131,HO131))</x:f>
      </x:c>
      <x:c r="HV131" s="27" t="str">
        <x:f>IF(C131="","",IF(JI131=LARGE(JI131:JN131,1),"R",IF(JJ131=LARGE(JI131:JN131,1),"I",IF(JK131=LARGE(JI131:JN131,1),"A",IF(JL131=LARGE(JI131:JN131,1),"S",IF(JM131=LARGE(JI131:JN131,1),"E",IF(JN131=LARGE(JI131:JN131,1),"C",""))))))&amp;IF(JI131=LARGE(JI131:JN131,2),"R",IF(JJ131=LARGE(JI131:JN131,2),"I",IF(JK131=LARGE(JI131:JN131,2),"A",IF(JL131=LARGE(JI131:JN131,2),"S",IF(JM131=LARGE(JI131:JN131,2),"E",IF(JN131=LARGE(JI131:JN131,2),"C",""))))))&amp;IF(JI131=LARGE(JI131:JN131,3),"R",IF(JJ131=LARGE(JI131:JN131,3),"I",IF(JK131=LARGE(JI131:JN131,3),"A",IF(JL131=LARGE(JI131:JN131,3),"S",IF(JM131=LARGE(JI131:JN131,3),"E",IF(JN131=LARGE(JI131:JN131,3),"C","")))))))</x:f>
      </x:c>
      <x:c r="HW131" s="27" t="str">
        <x:f>IF(C131="","",IF(JI131=LARGE(JI131:JN131,1),"นักปฏิบัติ",IF(JJ131=LARGE(JI131:JN131,1),"นักคิดวิเคราะห์",IF(JK131=LARGE(JI131:JN131,1),"นักสร้างสรรค์",IF(JL131=LARGE(JI131:JN131,1),"ผู้เข้าใจผู้คน",IF(JM131=LARGE(JI131:JN131,1),"ผู้นำการเปลี่ยนแปลง",IF(JN131=LARGE(JI131:JN131,1),"ผู้จัดระบบ","ผู้จัดระบบ")))))))</x:f>
      </x:c>
      <x:c r="HX131" s="27"/>
      <x:c r="HY131" s="27"/>
      <x:c r="HZ131" s="27"/>
      <x:c r="IA131" s="27"/>
      <x:c r="IB131" s="27"/>
      <x:c r="IC131" s="27"/>
      <x:c r="ID131" s="27"/>
      <x:c r="IE131" s="27"/>
      <x:c r="IF131" s="27"/>
      <x:c r="IG131" s="27"/>
      <x:c r="IH131" s="27"/>
      <x:c r="II131" s="27"/>
      <x:c r="IJ131" s="27"/>
      <x:c r="IK131" s="27" t="str">
        <x:f>IF(C131="","",SUM(H131,N131,T131,Z131,AF131,AL131,AR131,AX131,BD131,BJ131,BP131))</x:f>
      </x:c>
      <x:c r="IL131" s="27" t="str">
        <x:f>IF(C131="","",SUM(I131,O131,U131,AA131,AG131,AM131,AS131,AY131,BE131,BK131,BQ131))</x:f>
      </x:c>
      <x:c r="IM131" s="27" t="str">
        <x:f>IF(C131="","",SUM(J131,P131,V131,AB131,AH131,AN131,AT131,AZ131,BF131,BL131,BR131))</x:f>
      </x:c>
      <x:c r="IN131" s="27" t="str">
        <x:f>IF(C131="","",SUM(K131,Q131,W131,AC131,AI131,AO131,AU131,BA131,BG131,BM131,BS131))</x:f>
      </x:c>
      <x:c r="IO131" s="27" t="str">
        <x:f>IF(C131="","",SUM(L131,R131,X131,AD131,AJ131,AP131,AV131,BB131,BH131,BN131,BT131))</x:f>
      </x:c>
      <x:c r="IP131" s="27" t="str">
        <x:f>IF(C131="","",SUM(M131,S131,Y131,AE131,AK131,AQ131,AW131,BC131,BI131,BO131,BU131))</x:f>
      </x:c>
      <x:c r="IQ131" s="27" t="str">
        <x:f>IF(C131="","",SUM(BV131,CB131,CH131,CN131,CT131,CZ131,DF131,DL131,DR131,DX131,ED131))</x:f>
      </x:c>
      <x:c r="IR131" s="27" t="str">
        <x:f>IF(C131="","",SUM(BW131,CC131,CI131,CO131,CU131,DA131,DG131,DM131,DS131,DY131,EE131))</x:f>
      </x:c>
      <x:c r="IS131" s="27" t="str">
        <x:f>IF(C131="","",SUM(BX131,CD131,CJ131,CP131,CV131,DB131,DH131,DN131,DT131,DZ131,EF131))</x:f>
      </x:c>
      <x:c r="IT131" s="27" t="str">
        <x:f>IF(C131="","",SUM(BY131,CE131,CK131,CQ131,CW131,DC131,DI131,DO131,DU131,EA131,EG131))</x:f>
      </x:c>
      <x:c r="IU131" s="27" t="str">
        <x:f>IF(C131="","",SUM(BZ131,CF131,CL131,CR131,CX131,DD131,DJ131,DP131,DV131,EB131,EH131))</x:f>
      </x:c>
      <x:c r="IV131" s="27" t="str">
        <x:f>IF(C131="","",SUM(CA131,CG131,CM131,CS131,CY131,DE131,DK131,DQ131,DW131,EC131,EI131))</x:f>
      </x:c>
      <x:c r="IW131" s="27" t="str">
        <x:f>IF(C131="","",SUM(EJ131,EP131,EV131,FB131,FH131,FN131,FT131,FZ131,GF131,GL131,GR131,GX131,HD131,HJ131))</x:f>
      </x:c>
      <x:c r="IX131" s="27" t="str">
        <x:f>IF(C131="","",SUM(EK131,EQ131,EW131,FC131,FI131,FO131,FU131,GA131,GG131,GM131,GS131,GY131,HE131,HK131))</x:f>
      </x:c>
      <x:c r="IY131" s="27" t="str">
        <x:f>IF(C131="","",SUM(EL131,ER131,EX131,FD131,FJ131,FP131,FV131,GB131,GH131,GN131,GT131,GZ131,HF131,HL131))</x:f>
      </x:c>
      <x:c r="IZ131" s="27" t="str">
        <x:f>IF(C131="","",SUM(EM131,ES131,EY131,FE131,FK131,FQ131,FW131,GC131,GI131,GO131,GU131,HA131,HG131,HM131))</x:f>
      </x:c>
      <x:c r="JA131" s="27" t="str">
        <x:f>IF(C131="","",SUM(EN131,ET131,EZ131,FF131,FL131,FR131,FX131,GD131,GJ131,GP131,GV131,HB131,HH131,HN131))</x:f>
      </x:c>
      <x:c r="JB131" s="27" t="str">
        <x:f>IF(C131="","",SUM(EO131,EU131,FA131,FG131,FM131,FS131,FY131,GE131,GK131,GQ131,GW131,HC131,HI131,HO131))</x:f>
      </x:c>
      <x:c r="JC131" s="27" t="str">
        <x:f>IF(C131="","",0)</x:f>
      </x:c>
      <x:c r="JD131" s="27" t="str">
        <x:f>IF(C131="","",0)</x:f>
      </x:c>
      <x:c r="JE131" s="27" t="str">
        <x:f>IF(C131="","",0)</x:f>
      </x:c>
      <x:c r="JF131" s="27" t="str">
        <x:f>IF(C131="","",0)</x:f>
      </x:c>
      <x:c r="JG131" s="27" t="str">
        <x:f>IF(C131="","",0)</x:f>
      </x:c>
      <x:c r="JH131" s="27" t="str">
        <x:f>IF(C131="","",0)</x:f>
      </x:c>
      <x:c r="JI131" s="27" t="str">
        <x:f>IF(C131="","",HP131*1000000000+IW131*1000000+IQ131*10000+IK131*100+JC131+6/1000)</x:f>
      </x:c>
      <x:c r="JJ131" s="27" t="str">
        <x:f>IF(C131="","",HQ131*1000000000+IX131*1000000+IR131*10000+IL131*100+JD131+5/1000)</x:f>
      </x:c>
      <x:c r="JK131" s="27" t="str">
        <x:f>IF(C131="","",HR131*1000000000+IY131*1000000+IS131*10000+IM131*100+JE131+4/1000)</x:f>
      </x:c>
      <x:c r="JL131" s="27" t="str">
        <x:f>IF(C131="","",HS131*1000000000+IZ131*1000000+IT131*10000+IN131*100+JF131+3/1000)</x:f>
      </x:c>
      <x:c r="JM131" s="27" t="str">
        <x:f>IF(C131="","",HT131*1000000000+JA131*1000000+IU131*10000+IO131*100+JG131+2/1000)</x:f>
      </x:c>
      <x:c r="JN131" s="27" t="str">
        <x:f>IF(C131="","",HU131*1000000000+JB131*1000000+IV131*10000+IP131*100+JH131+1/1000)</x:f>
      </x:c>
    </x:row>
    <x:row r="132">
      <x:c r="A132" s="27"/>
      <x:c r="B132" s="28"/>
      <x:c r="C132" s="27"/>
      <x:c r="D132" s="27"/>
      <x:c r="E132" s="27"/>
      <x:c r="F132" s="27"/>
      <x:c r="G132" s="27"/>
      <x:c r="H132" s="27"/>
      <x:c r="I132" s="27"/>
      <x:c r="J132" s="27"/>
      <x:c r="K132" s="27"/>
      <x:c r="L132" s="27"/>
      <x:c r="M132" s="27"/>
      <x:c r="N132" s="27"/>
      <x:c r="O132" s="27"/>
      <x:c r="P132" s="27"/>
      <x:c r="Q132" s="27"/>
      <x:c r="R132" s="27"/>
      <x:c r="S132" s="27"/>
      <x:c r="T132" s="27"/>
      <x:c r="U132" s="27"/>
      <x:c r="V132" s="27"/>
      <x:c r="W132" s="27"/>
      <x:c r="X132" s="27"/>
      <x:c r="Y132" s="27"/>
      <x:c r="Z132" s="27"/>
      <x:c r="AA132" s="27"/>
      <x:c r="AB132" s="27"/>
      <x:c r="AC132" s="27"/>
      <x:c r="AD132" s="27"/>
      <x:c r="AE132" s="27"/>
      <x:c r="AF132" s="27"/>
      <x:c r="AG132" s="27"/>
      <x:c r="AH132" s="27"/>
      <x:c r="AI132" s="27"/>
      <x:c r="AJ132" s="27"/>
      <x:c r="AK132" s="27"/>
      <x:c r="AL132" s="27"/>
      <x:c r="AM132" s="27"/>
      <x:c r="AN132" s="27"/>
      <x:c r="AO132" s="27"/>
      <x:c r="AP132" s="27"/>
      <x:c r="AQ132" s="27"/>
      <x:c r="AR132" s="27"/>
      <x:c r="AS132" s="27"/>
      <x:c r="AT132" s="27"/>
      <x:c r="AU132" s="27"/>
      <x:c r="AV132" s="27"/>
      <x:c r="AW132" s="27"/>
      <x:c r="AX132" s="27"/>
      <x:c r="AY132" s="27"/>
      <x:c r="AZ132" s="27"/>
      <x:c r="BA132" s="27"/>
      <x:c r="BB132" s="27"/>
      <x:c r="BC132" s="27"/>
      <x:c r="BD132" s="27"/>
      <x:c r="BE132" s="27"/>
      <x:c r="BF132" s="27"/>
      <x:c r="BG132" s="27"/>
      <x:c r="BH132" s="27"/>
      <x:c r="BI132" s="27"/>
      <x:c r="BJ132" s="27"/>
      <x:c r="BK132" s="27"/>
      <x:c r="BL132" s="27"/>
      <x:c r="BM132" s="27"/>
      <x:c r="BN132" s="27"/>
      <x:c r="BO132" s="27"/>
      <x:c r="BP132" s="27"/>
      <x:c r="BQ132" s="27"/>
      <x:c r="BR132" s="27"/>
      <x:c r="BS132" s="27"/>
      <x:c r="BT132" s="27"/>
      <x:c r="BU132" s="27"/>
      <x:c r="BV132" s="27"/>
      <x:c r="BW132" s="27"/>
      <x:c r="BX132" s="27"/>
      <x:c r="BY132" s="27"/>
      <x:c r="BZ132" s="27"/>
      <x:c r="CA132" s="27"/>
      <x:c r="CB132" s="27"/>
      <x:c r="CC132" s="27"/>
      <x:c r="CD132" s="27"/>
      <x:c r="CE132" s="27"/>
      <x:c r="CF132" s="27"/>
      <x:c r="CG132" s="27"/>
      <x:c r="CH132" s="27"/>
      <x:c r="CI132" s="27"/>
      <x:c r="CJ132" s="27"/>
      <x:c r="CK132" s="27"/>
      <x:c r="CL132" s="27"/>
      <x:c r="CM132" s="27"/>
      <x:c r="CN132" s="27"/>
      <x:c r="CO132" s="27"/>
      <x:c r="CP132" s="27"/>
      <x:c r="CQ132" s="27"/>
      <x:c r="CR132" s="27"/>
      <x:c r="CS132" s="27"/>
      <x:c r="CT132" s="27"/>
      <x:c r="CU132" s="27"/>
      <x:c r="CV132" s="27"/>
      <x:c r="CW132" s="27"/>
      <x:c r="CX132" s="27"/>
      <x:c r="CY132" s="27"/>
      <x:c r="CZ132" s="27"/>
      <x:c r="DA132" s="27"/>
      <x:c r="DB132" s="27"/>
      <x:c r="DC132" s="27"/>
      <x:c r="DD132" s="27"/>
      <x:c r="DE132" s="27"/>
      <x:c r="DF132" s="27"/>
      <x:c r="DG132" s="27"/>
      <x:c r="DH132" s="27"/>
      <x:c r="DI132" s="27"/>
      <x:c r="DJ132" s="27"/>
      <x:c r="DK132" s="27"/>
      <x:c r="DL132" s="27"/>
      <x:c r="DM132" s="27"/>
      <x:c r="DN132" s="27"/>
      <x:c r="DO132" s="27"/>
      <x:c r="DP132" s="27"/>
      <x:c r="DQ132" s="27"/>
      <x:c r="DR132" s="27"/>
      <x:c r="DS132" s="27"/>
      <x:c r="DT132" s="27"/>
      <x:c r="DU132" s="27"/>
      <x:c r="DV132" s="27"/>
      <x:c r="DW132" s="27"/>
      <x:c r="DX132" s="27"/>
      <x:c r="DY132" s="27"/>
      <x:c r="DZ132" s="27"/>
      <x:c r="EA132" s="27"/>
      <x:c r="EB132" s="27"/>
      <x:c r="EC132" s="27"/>
      <x:c r="ED132" s="27"/>
      <x:c r="EE132" s="27"/>
      <x:c r="EF132" s="27"/>
      <x:c r="EG132" s="27"/>
      <x:c r="EH132" s="27"/>
      <x:c r="EI132" s="27"/>
      <x:c r="EJ132" s="27"/>
      <x:c r="EK132" s="27"/>
      <x:c r="EL132" s="27"/>
      <x:c r="EM132" s="27"/>
      <x:c r="EN132" s="27"/>
      <x:c r="EO132" s="27"/>
      <x:c r="EP132" s="27"/>
      <x:c r="EQ132" s="27"/>
      <x:c r="ER132" s="27"/>
      <x:c r="ES132" s="27"/>
      <x:c r="ET132" s="27"/>
      <x:c r="EU132" s="27"/>
      <x:c r="EV132" s="27"/>
      <x:c r="EW132" s="27"/>
      <x:c r="EX132" s="27"/>
      <x:c r="EY132" s="27"/>
      <x:c r="EZ132" s="27"/>
      <x:c r="FA132" s="27"/>
      <x:c r="FB132" s="27"/>
      <x:c r="FC132" s="27"/>
      <x:c r="FD132" s="27"/>
      <x:c r="FE132" s="27"/>
      <x:c r="FF132" s="27"/>
      <x:c r="FG132" s="27"/>
      <x:c r="FH132" s="27"/>
      <x:c r="FI132" s="27"/>
      <x:c r="FJ132" s="27"/>
      <x:c r="FK132" s="27"/>
      <x:c r="FL132" s="27"/>
      <x:c r="FM132" s="27"/>
      <x:c r="FN132" s="27"/>
      <x:c r="FO132" s="27"/>
      <x:c r="FP132" s="27"/>
      <x:c r="FQ132" s="27"/>
      <x:c r="FR132" s="27"/>
      <x:c r="FS132" s="27"/>
      <x:c r="FT132" s="27"/>
      <x:c r="FU132" s="27"/>
      <x:c r="FV132" s="27"/>
      <x:c r="FW132" s="27"/>
      <x:c r="FX132" s="27"/>
      <x:c r="FY132" s="27"/>
      <x:c r="FZ132" s="27"/>
      <x:c r="GA132" s="27"/>
      <x:c r="GB132" s="27"/>
      <x:c r="GC132" s="27"/>
      <x:c r="GD132" s="27"/>
      <x:c r="GE132" s="27"/>
      <x:c r="GF132" s="27"/>
      <x:c r="GG132" s="27"/>
      <x:c r="GH132" s="27"/>
      <x:c r="GI132" s="27"/>
      <x:c r="GJ132" s="27"/>
      <x:c r="GK132" s="27"/>
      <x:c r="GL132" s="27"/>
      <x:c r="GM132" s="27"/>
      <x:c r="GN132" s="27"/>
      <x:c r="GO132" s="27"/>
      <x:c r="GP132" s="27"/>
      <x:c r="GQ132" s="27"/>
      <x:c r="GR132" s="27"/>
      <x:c r="GS132" s="27"/>
      <x:c r="GT132" s="27"/>
      <x:c r="GU132" s="27"/>
      <x:c r="GV132" s="27"/>
      <x:c r="GW132" s="27"/>
      <x:c r="GX132" s="27"/>
      <x:c r="GY132" s="27"/>
      <x:c r="GZ132" s="27"/>
      <x:c r="HA132" s="27"/>
      <x:c r="HB132" s="27"/>
      <x:c r="HC132" s="27"/>
      <x:c r="HD132" s="27"/>
      <x:c r="HE132" s="27"/>
      <x:c r="HF132" s="27"/>
      <x:c r="HG132" s="27"/>
      <x:c r="HH132" s="27"/>
      <x:c r="HI132" s="27"/>
      <x:c r="HJ132" s="27"/>
      <x:c r="HK132" s="27"/>
      <x:c r="HL132" s="27"/>
      <x:c r="HM132" s="27"/>
      <x:c r="HN132" s="27"/>
      <x:c r="HO132" s="27"/>
      <x:c r="HP132" s="27" t="str">
        <x:f>IF(C132="","",SUM(H132,N132,T132,Z132,AF132,AL132,AR132,AX132,BD132,BJ132,BP132,BV132,CB132,CH132,CN132,CT132,CZ132,DF132,DL132,DR132,DX132,ED132,EJ132,EP132,EV132,FB132,FH132,FN132,FT132,FZ132,GF132,GL132,GR132,GX132,HD132,HJ132))</x:f>
      </x:c>
      <x:c r="HQ132" s="27" t="str">
        <x:f>IF(C132="","",SUM(I132,O132,U132,AA132,AG132,AM132,AS132,AY132,BE132,BK132,BQ132,BW132,CC132,CI132,CO132,CU132,DA132,DG132,DM132,DS132,DY132,EE132,EK132,EQ132,EW132,FC132,FI132,FO132,FU132,GA132,GG132,GM132,GS132,GY132,HE132,HK132))</x:f>
      </x:c>
      <x:c r="HR132" s="27" t="str">
        <x:f>IF(C132="","",SUM(J132,P132,V132,AB132,AH132,AN132,AT132,AZ132,BF132,BL132,BR132,BX132,CD132,CJ132,CP132,CV132,DB132,DH132,DN132,DT132,DZ132,EF132,EL132,ER132,EX132,FD132,FJ132,FP132,FV132,GB132,GH132,GN132,GT132,GZ132,HF132,HL132))</x:f>
      </x:c>
      <x:c r="HS132" s="27" t="str">
        <x:f>IF(C132="","",SUM(K132,Q132,W132,AC132,AI132,AO132,AU132,BA132,BG132,BM132,BS132,BY132,CE132,CK132,CQ132,CW132,DC132,DI132,DO132,DU132,EA132,EG132,EM132,ES132,EY132,FE132,FK132,FQ132,FW132,GC132,GI132,GO132,GU132,HA132,HG132,HM132))</x:f>
      </x:c>
      <x:c r="HT132" s="27" t="str">
        <x:f>IF(C132="","",SUM(L132,R132,X132,AD132,AJ132,AP132,AV132,BB132,BH132,BN132,BT132,BZ132,CF132,CL132,CR132,CX132,DD132,DJ132,DP132,DV132,EB132,EH132,EN132,ET132,EZ132,FF132,FL132,FR132,FX132,GD132,GJ132,GP132,GV132,HB132,HH132,HN132))</x:f>
      </x:c>
      <x:c r="HU132" s="27" t="str">
        <x:f>IF(C132="","",SUM(M132,S132,Y132,AE132,AK132,AQ132,AW132,BC132,BI132,BO132,BU132,CA132,CG132,CM132,CS132,CY132,DE132,DK132,DQ132,DW132,EC132,EI132,EO132,EU132,FA132,FG132,FM132,FS132,FY132,GE132,GK132,GQ132,GW132,HC132,HI132,HO132))</x:f>
      </x:c>
      <x:c r="HV132" s="27" t="str">
        <x:f>IF(C132="","",IF(JI132=LARGE(JI132:JN132,1),"R",IF(JJ132=LARGE(JI132:JN132,1),"I",IF(JK132=LARGE(JI132:JN132,1),"A",IF(JL132=LARGE(JI132:JN132,1),"S",IF(JM132=LARGE(JI132:JN132,1),"E",IF(JN132=LARGE(JI132:JN132,1),"C",""))))))&amp;IF(JI132=LARGE(JI132:JN132,2),"R",IF(JJ132=LARGE(JI132:JN132,2),"I",IF(JK132=LARGE(JI132:JN132,2),"A",IF(JL132=LARGE(JI132:JN132,2),"S",IF(JM132=LARGE(JI132:JN132,2),"E",IF(JN132=LARGE(JI132:JN132,2),"C",""))))))&amp;IF(JI132=LARGE(JI132:JN132,3),"R",IF(JJ132=LARGE(JI132:JN132,3),"I",IF(JK132=LARGE(JI132:JN132,3),"A",IF(JL132=LARGE(JI132:JN132,3),"S",IF(JM132=LARGE(JI132:JN132,3),"E",IF(JN132=LARGE(JI132:JN132,3),"C","")))))))</x:f>
      </x:c>
      <x:c r="HW132" s="27" t="str">
        <x:f>IF(C132="","",IF(JI132=LARGE(JI132:JN132,1),"นักปฏิบัติ",IF(JJ132=LARGE(JI132:JN132,1),"นักคิดวิเคราะห์",IF(JK132=LARGE(JI132:JN132,1),"นักสร้างสรรค์",IF(JL132=LARGE(JI132:JN132,1),"ผู้เข้าใจผู้คน",IF(JM132=LARGE(JI132:JN132,1),"ผู้นำการเปลี่ยนแปลง",IF(JN132=LARGE(JI132:JN132,1),"ผู้จัดระบบ","ผู้จัดระบบ")))))))</x:f>
      </x:c>
      <x:c r="HX132" s="27"/>
      <x:c r="HY132" s="27"/>
      <x:c r="HZ132" s="27"/>
      <x:c r="IA132" s="27"/>
      <x:c r="IB132" s="27"/>
      <x:c r="IC132" s="27"/>
      <x:c r="ID132" s="27"/>
      <x:c r="IE132" s="27"/>
      <x:c r="IF132" s="27"/>
      <x:c r="IG132" s="27"/>
      <x:c r="IH132" s="27"/>
      <x:c r="II132" s="27"/>
      <x:c r="IJ132" s="27"/>
      <x:c r="IK132" s="27" t="str">
        <x:f>IF(C132="","",SUM(H132,N132,T132,Z132,AF132,AL132,AR132,AX132,BD132,BJ132,BP132))</x:f>
      </x:c>
      <x:c r="IL132" s="27" t="str">
        <x:f>IF(C132="","",SUM(I132,O132,U132,AA132,AG132,AM132,AS132,AY132,BE132,BK132,BQ132))</x:f>
      </x:c>
      <x:c r="IM132" s="27" t="str">
        <x:f>IF(C132="","",SUM(J132,P132,V132,AB132,AH132,AN132,AT132,AZ132,BF132,BL132,BR132))</x:f>
      </x:c>
      <x:c r="IN132" s="27" t="str">
        <x:f>IF(C132="","",SUM(K132,Q132,W132,AC132,AI132,AO132,AU132,BA132,BG132,BM132,BS132))</x:f>
      </x:c>
      <x:c r="IO132" s="27" t="str">
        <x:f>IF(C132="","",SUM(L132,R132,X132,AD132,AJ132,AP132,AV132,BB132,BH132,BN132,BT132))</x:f>
      </x:c>
      <x:c r="IP132" s="27" t="str">
        <x:f>IF(C132="","",SUM(M132,S132,Y132,AE132,AK132,AQ132,AW132,BC132,BI132,BO132,BU132))</x:f>
      </x:c>
      <x:c r="IQ132" s="27" t="str">
        <x:f>IF(C132="","",SUM(BV132,CB132,CH132,CN132,CT132,CZ132,DF132,DL132,DR132,DX132,ED132))</x:f>
      </x:c>
      <x:c r="IR132" s="27" t="str">
        <x:f>IF(C132="","",SUM(BW132,CC132,CI132,CO132,CU132,DA132,DG132,DM132,DS132,DY132,EE132))</x:f>
      </x:c>
      <x:c r="IS132" s="27" t="str">
        <x:f>IF(C132="","",SUM(BX132,CD132,CJ132,CP132,CV132,DB132,DH132,DN132,DT132,DZ132,EF132))</x:f>
      </x:c>
      <x:c r="IT132" s="27" t="str">
        <x:f>IF(C132="","",SUM(BY132,CE132,CK132,CQ132,CW132,DC132,DI132,DO132,DU132,EA132,EG132))</x:f>
      </x:c>
      <x:c r="IU132" s="27" t="str">
        <x:f>IF(C132="","",SUM(BZ132,CF132,CL132,CR132,CX132,DD132,DJ132,DP132,DV132,EB132,EH132))</x:f>
      </x:c>
      <x:c r="IV132" s="27" t="str">
        <x:f>IF(C132="","",SUM(CA132,CG132,CM132,CS132,CY132,DE132,DK132,DQ132,DW132,EC132,EI132))</x:f>
      </x:c>
      <x:c r="IW132" s="27" t="str">
        <x:f>IF(C132="","",SUM(EJ132,EP132,EV132,FB132,FH132,FN132,FT132,FZ132,GF132,GL132,GR132,GX132,HD132,HJ132))</x:f>
      </x:c>
      <x:c r="IX132" s="27" t="str">
        <x:f>IF(C132="","",SUM(EK132,EQ132,EW132,FC132,FI132,FO132,FU132,GA132,GG132,GM132,GS132,GY132,HE132,HK132))</x:f>
      </x:c>
      <x:c r="IY132" s="27" t="str">
        <x:f>IF(C132="","",SUM(EL132,ER132,EX132,FD132,FJ132,FP132,FV132,GB132,GH132,GN132,GT132,GZ132,HF132,HL132))</x:f>
      </x:c>
      <x:c r="IZ132" s="27" t="str">
        <x:f>IF(C132="","",SUM(EM132,ES132,EY132,FE132,FK132,FQ132,FW132,GC132,GI132,GO132,GU132,HA132,HG132,HM132))</x:f>
      </x:c>
      <x:c r="JA132" s="27" t="str">
        <x:f>IF(C132="","",SUM(EN132,ET132,EZ132,FF132,FL132,FR132,FX132,GD132,GJ132,GP132,GV132,HB132,HH132,HN132))</x:f>
      </x:c>
      <x:c r="JB132" s="27" t="str">
        <x:f>IF(C132="","",SUM(EO132,EU132,FA132,FG132,FM132,FS132,FY132,GE132,GK132,GQ132,GW132,HC132,HI132,HO132))</x:f>
      </x:c>
      <x:c r="JC132" s="27" t="str">
        <x:f>IF(C132="","",0)</x:f>
      </x:c>
      <x:c r="JD132" s="27" t="str">
        <x:f>IF(C132="","",0)</x:f>
      </x:c>
      <x:c r="JE132" s="27" t="str">
        <x:f>IF(C132="","",0)</x:f>
      </x:c>
      <x:c r="JF132" s="27" t="str">
        <x:f>IF(C132="","",0)</x:f>
      </x:c>
      <x:c r="JG132" s="27" t="str">
        <x:f>IF(C132="","",0)</x:f>
      </x:c>
      <x:c r="JH132" s="27" t="str">
        <x:f>IF(C132="","",0)</x:f>
      </x:c>
      <x:c r="JI132" s="27" t="str">
        <x:f>IF(C132="","",HP132*1000000000+IW132*1000000+IQ132*10000+IK132*100+JC132+6/1000)</x:f>
      </x:c>
      <x:c r="JJ132" s="27" t="str">
        <x:f>IF(C132="","",HQ132*1000000000+IX132*1000000+IR132*10000+IL132*100+JD132+5/1000)</x:f>
      </x:c>
      <x:c r="JK132" s="27" t="str">
        <x:f>IF(C132="","",HR132*1000000000+IY132*1000000+IS132*10000+IM132*100+JE132+4/1000)</x:f>
      </x:c>
      <x:c r="JL132" s="27" t="str">
        <x:f>IF(C132="","",HS132*1000000000+IZ132*1000000+IT132*10000+IN132*100+JF132+3/1000)</x:f>
      </x:c>
      <x:c r="JM132" s="27" t="str">
        <x:f>IF(C132="","",HT132*1000000000+JA132*1000000+IU132*10000+IO132*100+JG132+2/1000)</x:f>
      </x:c>
      <x:c r="JN132" s="27" t="str">
        <x:f>IF(C132="","",HU132*1000000000+JB132*1000000+IV132*10000+IP132*100+JH132+1/1000)</x:f>
      </x:c>
    </x:row>
    <x:row r="133">
      <x:c r="A133" s="27"/>
      <x:c r="B133" s="28"/>
      <x:c r="C133" s="27"/>
      <x:c r="D133" s="27"/>
      <x:c r="E133" s="27"/>
      <x:c r="F133" s="27"/>
      <x:c r="G133" s="27"/>
      <x:c r="H133" s="27"/>
      <x:c r="I133" s="27"/>
      <x:c r="J133" s="27"/>
      <x:c r="K133" s="27"/>
      <x:c r="L133" s="27"/>
      <x:c r="M133" s="27"/>
      <x:c r="N133" s="27"/>
      <x:c r="O133" s="27"/>
      <x:c r="P133" s="27"/>
      <x:c r="Q133" s="27"/>
      <x:c r="R133" s="27"/>
      <x:c r="S133" s="27"/>
      <x:c r="T133" s="27"/>
      <x:c r="U133" s="27"/>
      <x:c r="V133" s="27"/>
      <x:c r="W133" s="27"/>
      <x:c r="X133" s="27"/>
      <x:c r="Y133" s="27"/>
      <x:c r="Z133" s="27"/>
      <x:c r="AA133" s="27"/>
      <x:c r="AB133" s="27"/>
      <x:c r="AC133" s="27"/>
      <x:c r="AD133" s="27"/>
      <x:c r="AE133" s="27"/>
      <x:c r="AF133" s="27"/>
      <x:c r="AG133" s="27"/>
      <x:c r="AH133" s="27"/>
      <x:c r="AI133" s="27"/>
      <x:c r="AJ133" s="27"/>
      <x:c r="AK133" s="27"/>
      <x:c r="AL133" s="27"/>
      <x:c r="AM133" s="27"/>
      <x:c r="AN133" s="27"/>
      <x:c r="AO133" s="27"/>
      <x:c r="AP133" s="27"/>
      <x:c r="AQ133" s="27"/>
      <x:c r="AR133" s="27"/>
      <x:c r="AS133" s="27"/>
      <x:c r="AT133" s="27"/>
      <x:c r="AU133" s="27"/>
      <x:c r="AV133" s="27"/>
      <x:c r="AW133" s="27"/>
      <x:c r="AX133" s="27"/>
      <x:c r="AY133" s="27"/>
      <x:c r="AZ133" s="27"/>
      <x:c r="BA133" s="27"/>
      <x:c r="BB133" s="27"/>
      <x:c r="BC133" s="27"/>
      <x:c r="BD133" s="27"/>
      <x:c r="BE133" s="27"/>
      <x:c r="BF133" s="27"/>
      <x:c r="BG133" s="27"/>
      <x:c r="BH133" s="27"/>
      <x:c r="BI133" s="27"/>
      <x:c r="BJ133" s="27"/>
      <x:c r="BK133" s="27"/>
      <x:c r="BL133" s="27"/>
      <x:c r="BM133" s="27"/>
      <x:c r="BN133" s="27"/>
      <x:c r="BO133" s="27"/>
      <x:c r="BP133" s="27"/>
      <x:c r="BQ133" s="27"/>
      <x:c r="BR133" s="27"/>
      <x:c r="BS133" s="27"/>
      <x:c r="BT133" s="27"/>
      <x:c r="BU133" s="27"/>
      <x:c r="BV133" s="27"/>
      <x:c r="BW133" s="27"/>
      <x:c r="BX133" s="27"/>
      <x:c r="BY133" s="27"/>
      <x:c r="BZ133" s="27"/>
      <x:c r="CA133" s="27"/>
      <x:c r="CB133" s="27"/>
      <x:c r="CC133" s="27"/>
      <x:c r="CD133" s="27"/>
      <x:c r="CE133" s="27"/>
      <x:c r="CF133" s="27"/>
      <x:c r="CG133" s="27"/>
      <x:c r="CH133" s="27"/>
      <x:c r="CI133" s="27"/>
      <x:c r="CJ133" s="27"/>
      <x:c r="CK133" s="27"/>
      <x:c r="CL133" s="27"/>
      <x:c r="CM133" s="27"/>
      <x:c r="CN133" s="27"/>
      <x:c r="CO133" s="27"/>
      <x:c r="CP133" s="27"/>
      <x:c r="CQ133" s="27"/>
      <x:c r="CR133" s="27"/>
      <x:c r="CS133" s="27"/>
      <x:c r="CT133" s="27"/>
      <x:c r="CU133" s="27"/>
      <x:c r="CV133" s="27"/>
      <x:c r="CW133" s="27"/>
      <x:c r="CX133" s="27"/>
      <x:c r="CY133" s="27"/>
      <x:c r="CZ133" s="27"/>
      <x:c r="DA133" s="27"/>
      <x:c r="DB133" s="27"/>
      <x:c r="DC133" s="27"/>
      <x:c r="DD133" s="27"/>
      <x:c r="DE133" s="27"/>
      <x:c r="DF133" s="27"/>
      <x:c r="DG133" s="27"/>
      <x:c r="DH133" s="27"/>
      <x:c r="DI133" s="27"/>
      <x:c r="DJ133" s="27"/>
      <x:c r="DK133" s="27"/>
      <x:c r="DL133" s="27"/>
      <x:c r="DM133" s="27"/>
      <x:c r="DN133" s="27"/>
      <x:c r="DO133" s="27"/>
      <x:c r="DP133" s="27"/>
      <x:c r="DQ133" s="27"/>
      <x:c r="DR133" s="27"/>
      <x:c r="DS133" s="27"/>
      <x:c r="DT133" s="27"/>
      <x:c r="DU133" s="27"/>
      <x:c r="DV133" s="27"/>
      <x:c r="DW133" s="27"/>
      <x:c r="DX133" s="27"/>
      <x:c r="DY133" s="27"/>
      <x:c r="DZ133" s="27"/>
      <x:c r="EA133" s="27"/>
      <x:c r="EB133" s="27"/>
      <x:c r="EC133" s="27"/>
      <x:c r="ED133" s="27"/>
      <x:c r="EE133" s="27"/>
      <x:c r="EF133" s="27"/>
      <x:c r="EG133" s="27"/>
      <x:c r="EH133" s="27"/>
      <x:c r="EI133" s="27"/>
      <x:c r="EJ133" s="27"/>
      <x:c r="EK133" s="27"/>
      <x:c r="EL133" s="27"/>
      <x:c r="EM133" s="27"/>
      <x:c r="EN133" s="27"/>
      <x:c r="EO133" s="27"/>
      <x:c r="EP133" s="27"/>
      <x:c r="EQ133" s="27"/>
      <x:c r="ER133" s="27"/>
      <x:c r="ES133" s="27"/>
      <x:c r="ET133" s="27"/>
      <x:c r="EU133" s="27"/>
      <x:c r="EV133" s="27"/>
      <x:c r="EW133" s="27"/>
      <x:c r="EX133" s="27"/>
      <x:c r="EY133" s="27"/>
      <x:c r="EZ133" s="27"/>
      <x:c r="FA133" s="27"/>
      <x:c r="FB133" s="27"/>
      <x:c r="FC133" s="27"/>
      <x:c r="FD133" s="27"/>
      <x:c r="FE133" s="27"/>
      <x:c r="FF133" s="27"/>
      <x:c r="FG133" s="27"/>
      <x:c r="FH133" s="27"/>
      <x:c r="FI133" s="27"/>
      <x:c r="FJ133" s="27"/>
      <x:c r="FK133" s="27"/>
      <x:c r="FL133" s="27"/>
      <x:c r="FM133" s="27"/>
      <x:c r="FN133" s="27"/>
      <x:c r="FO133" s="27"/>
      <x:c r="FP133" s="27"/>
      <x:c r="FQ133" s="27"/>
      <x:c r="FR133" s="27"/>
      <x:c r="FS133" s="27"/>
      <x:c r="FT133" s="27"/>
      <x:c r="FU133" s="27"/>
      <x:c r="FV133" s="27"/>
      <x:c r="FW133" s="27"/>
      <x:c r="FX133" s="27"/>
      <x:c r="FY133" s="27"/>
      <x:c r="FZ133" s="27"/>
      <x:c r="GA133" s="27"/>
      <x:c r="GB133" s="27"/>
      <x:c r="GC133" s="27"/>
      <x:c r="GD133" s="27"/>
      <x:c r="GE133" s="27"/>
      <x:c r="GF133" s="27"/>
      <x:c r="GG133" s="27"/>
      <x:c r="GH133" s="27"/>
      <x:c r="GI133" s="27"/>
      <x:c r="GJ133" s="27"/>
      <x:c r="GK133" s="27"/>
      <x:c r="GL133" s="27"/>
      <x:c r="GM133" s="27"/>
      <x:c r="GN133" s="27"/>
      <x:c r="GO133" s="27"/>
      <x:c r="GP133" s="27"/>
      <x:c r="GQ133" s="27"/>
      <x:c r="GR133" s="27"/>
      <x:c r="GS133" s="27"/>
      <x:c r="GT133" s="27"/>
      <x:c r="GU133" s="27"/>
      <x:c r="GV133" s="27"/>
      <x:c r="GW133" s="27"/>
      <x:c r="GX133" s="27"/>
      <x:c r="GY133" s="27"/>
      <x:c r="GZ133" s="27"/>
      <x:c r="HA133" s="27"/>
      <x:c r="HB133" s="27"/>
      <x:c r="HC133" s="27"/>
      <x:c r="HD133" s="27"/>
      <x:c r="HE133" s="27"/>
      <x:c r="HF133" s="27"/>
      <x:c r="HG133" s="27"/>
      <x:c r="HH133" s="27"/>
      <x:c r="HI133" s="27"/>
      <x:c r="HJ133" s="27"/>
      <x:c r="HK133" s="27"/>
      <x:c r="HL133" s="27"/>
      <x:c r="HM133" s="27"/>
      <x:c r="HN133" s="27"/>
      <x:c r="HO133" s="27"/>
      <x:c r="HP133" s="27" t="str">
        <x:f>IF(C133="","",SUM(H133,N133,T133,Z133,AF133,AL133,AR133,AX133,BD133,BJ133,BP133,BV133,CB133,CH133,CN133,CT133,CZ133,DF133,DL133,DR133,DX133,ED133,EJ133,EP133,EV133,FB133,FH133,FN133,FT133,FZ133,GF133,GL133,GR133,GX133,HD133,HJ133))</x:f>
      </x:c>
      <x:c r="HQ133" s="27" t="str">
        <x:f>IF(C133="","",SUM(I133,O133,U133,AA133,AG133,AM133,AS133,AY133,BE133,BK133,BQ133,BW133,CC133,CI133,CO133,CU133,DA133,DG133,DM133,DS133,DY133,EE133,EK133,EQ133,EW133,FC133,FI133,FO133,FU133,GA133,GG133,GM133,GS133,GY133,HE133,HK133))</x:f>
      </x:c>
      <x:c r="HR133" s="27" t="str">
        <x:f>IF(C133="","",SUM(J133,P133,V133,AB133,AH133,AN133,AT133,AZ133,BF133,BL133,BR133,BX133,CD133,CJ133,CP133,CV133,DB133,DH133,DN133,DT133,DZ133,EF133,EL133,ER133,EX133,FD133,FJ133,FP133,FV133,GB133,GH133,GN133,GT133,GZ133,HF133,HL133))</x:f>
      </x:c>
      <x:c r="HS133" s="27" t="str">
        <x:f>IF(C133="","",SUM(K133,Q133,W133,AC133,AI133,AO133,AU133,BA133,BG133,BM133,BS133,BY133,CE133,CK133,CQ133,CW133,DC133,DI133,DO133,DU133,EA133,EG133,EM133,ES133,EY133,FE133,FK133,FQ133,FW133,GC133,GI133,GO133,GU133,HA133,HG133,HM133))</x:f>
      </x:c>
      <x:c r="HT133" s="27" t="str">
        <x:f>IF(C133="","",SUM(L133,R133,X133,AD133,AJ133,AP133,AV133,BB133,BH133,BN133,BT133,BZ133,CF133,CL133,CR133,CX133,DD133,DJ133,DP133,DV133,EB133,EH133,EN133,ET133,EZ133,FF133,FL133,FR133,FX133,GD133,GJ133,GP133,GV133,HB133,HH133,HN133))</x:f>
      </x:c>
      <x:c r="HU133" s="27" t="str">
        <x:f>IF(C133="","",SUM(M133,S133,Y133,AE133,AK133,AQ133,AW133,BC133,BI133,BO133,BU133,CA133,CG133,CM133,CS133,CY133,DE133,DK133,DQ133,DW133,EC133,EI133,EO133,EU133,FA133,FG133,FM133,FS133,FY133,GE133,GK133,GQ133,GW133,HC133,HI133,HO133))</x:f>
      </x:c>
      <x:c r="HV133" s="27" t="str">
        <x:f>IF(C133="","",IF(JI133=LARGE(JI133:JN133,1),"R",IF(JJ133=LARGE(JI133:JN133,1),"I",IF(JK133=LARGE(JI133:JN133,1),"A",IF(JL133=LARGE(JI133:JN133,1),"S",IF(JM133=LARGE(JI133:JN133,1),"E",IF(JN133=LARGE(JI133:JN133,1),"C",""))))))&amp;IF(JI133=LARGE(JI133:JN133,2),"R",IF(JJ133=LARGE(JI133:JN133,2),"I",IF(JK133=LARGE(JI133:JN133,2),"A",IF(JL133=LARGE(JI133:JN133,2),"S",IF(JM133=LARGE(JI133:JN133,2),"E",IF(JN133=LARGE(JI133:JN133,2),"C",""))))))&amp;IF(JI133=LARGE(JI133:JN133,3),"R",IF(JJ133=LARGE(JI133:JN133,3),"I",IF(JK133=LARGE(JI133:JN133,3),"A",IF(JL133=LARGE(JI133:JN133,3),"S",IF(JM133=LARGE(JI133:JN133,3),"E",IF(JN133=LARGE(JI133:JN133,3),"C","")))))))</x:f>
      </x:c>
      <x:c r="HW133" s="27" t="str">
        <x:f>IF(C133="","",IF(JI133=LARGE(JI133:JN133,1),"นักปฏิบัติ",IF(JJ133=LARGE(JI133:JN133,1),"นักคิดวิเคราะห์",IF(JK133=LARGE(JI133:JN133,1),"นักสร้างสรรค์",IF(JL133=LARGE(JI133:JN133,1),"ผู้เข้าใจผู้คน",IF(JM133=LARGE(JI133:JN133,1),"ผู้นำการเปลี่ยนแปลง",IF(JN133=LARGE(JI133:JN133,1),"ผู้จัดระบบ","ผู้จัดระบบ")))))))</x:f>
      </x:c>
      <x:c r="HX133" s="27"/>
      <x:c r="HY133" s="27"/>
      <x:c r="HZ133" s="27"/>
      <x:c r="IA133" s="27"/>
      <x:c r="IB133" s="27"/>
      <x:c r="IC133" s="27"/>
      <x:c r="ID133" s="27"/>
      <x:c r="IE133" s="27"/>
      <x:c r="IF133" s="27"/>
      <x:c r="IG133" s="27"/>
      <x:c r="IH133" s="27"/>
      <x:c r="II133" s="27"/>
      <x:c r="IJ133" s="27"/>
      <x:c r="IK133" s="27" t="str">
        <x:f>IF(C133="","",SUM(H133,N133,T133,Z133,AF133,AL133,AR133,AX133,BD133,BJ133,BP133))</x:f>
      </x:c>
      <x:c r="IL133" s="27" t="str">
        <x:f>IF(C133="","",SUM(I133,O133,U133,AA133,AG133,AM133,AS133,AY133,BE133,BK133,BQ133))</x:f>
      </x:c>
      <x:c r="IM133" s="27" t="str">
        <x:f>IF(C133="","",SUM(J133,P133,V133,AB133,AH133,AN133,AT133,AZ133,BF133,BL133,BR133))</x:f>
      </x:c>
      <x:c r="IN133" s="27" t="str">
        <x:f>IF(C133="","",SUM(K133,Q133,W133,AC133,AI133,AO133,AU133,BA133,BG133,BM133,BS133))</x:f>
      </x:c>
      <x:c r="IO133" s="27" t="str">
        <x:f>IF(C133="","",SUM(L133,R133,X133,AD133,AJ133,AP133,AV133,BB133,BH133,BN133,BT133))</x:f>
      </x:c>
      <x:c r="IP133" s="27" t="str">
        <x:f>IF(C133="","",SUM(M133,S133,Y133,AE133,AK133,AQ133,AW133,BC133,BI133,BO133,BU133))</x:f>
      </x:c>
      <x:c r="IQ133" s="27" t="str">
        <x:f>IF(C133="","",SUM(BV133,CB133,CH133,CN133,CT133,CZ133,DF133,DL133,DR133,DX133,ED133))</x:f>
      </x:c>
      <x:c r="IR133" s="27" t="str">
        <x:f>IF(C133="","",SUM(BW133,CC133,CI133,CO133,CU133,DA133,DG133,DM133,DS133,DY133,EE133))</x:f>
      </x:c>
      <x:c r="IS133" s="27" t="str">
        <x:f>IF(C133="","",SUM(BX133,CD133,CJ133,CP133,CV133,DB133,DH133,DN133,DT133,DZ133,EF133))</x:f>
      </x:c>
      <x:c r="IT133" s="27" t="str">
        <x:f>IF(C133="","",SUM(BY133,CE133,CK133,CQ133,CW133,DC133,DI133,DO133,DU133,EA133,EG133))</x:f>
      </x:c>
      <x:c r="IU133" s="27" t="str">
        <x:f>IF(C133="","",SUM(BZ133,CF133,CL133,CR133,CX133,DD133,DJ133,DP133,DV133,EB133,EH133))</x:f>
      </x:c>
      <x:c r="IV133" s="27" t="str">
        <x:f>IF(C133="","",SUM(CA133,CG133,CM133,CS133,CY133,DE133,DK133,DQ133,DW133,EC133,EI133))</x:f>
      </x:c>
      <x:c r="IW133" s="27" t="str">
        <x:f>IF(C133="","",SUM(EJ133,EP133,EV133,FB133,FH133,FN133,FT133,FZ133,GF133,GL133,GR133,GX133,HD133,HJ133))</x:f>
      </x:c>
      <x:c r="IX133" s="27" t="str">
        <x:f>IF(C133="","",SUM(EK133,EQ133,EW133,FC133,FI133,FO133,FU133,GA133,GG133,GM133,GS133,GY133,HE133,HK133))</x:f>
      </x:c>
      <x:c r="IY133" s="27" t="str">
        <x:f>IF(C133="","",SUM(EL133,ER133,EX133,FD133,FJ133,FP133,FV133,GB133,GH133,GN133,GT133,GZ133,HF133,HL133))</x:f>
      </x:c>
      <x:c r="IZ133" s="27" t="str">
        <x:f>IF(C133="","",SUM(EM133,ES133,EY133,FE133,FK133,FQ133,FW133,GC133,GI133,GO133,GU133,HA133,HG133,HM133))</x:f>
      </x:c>
      <x:c r="JA133" s="27" t="str">
        <x:f>IF(C133="","",SUM(EN133,ET133,EZ133,FF133,FL133,FR133,FX133,GD133,GJ133,GP133,GV133,HB133,HH133,HN133))</x:f>
      </x:c>
      <x:c r="JB133" s="27" t="str">
        <x:f>IF(C133="","",SUM(EO133,EU133,FA133,FG133,FM133,FS133,FY133,GE133,GK133,GQ133,GW133,HC133,HI133,HO133))</x:f>
      </x:c>
      <x:c r="JC133" s="27" t="str">
        <x:f>IF(C133="","",0)</x:f>
      </x:c>
      <x:c r="JD133" s="27" t="str">
        <x:f>IF(C133="","",0)</x:f>
      </x:c>
      <x:c r="JE133" s="27" t="str">
        <x:f>IF(C133="","",0)</x:f>
      </x:c>
      <x:c r="JF133" s="27" t="str">
        <x:f>IF(C133="","",0)</x:f>
      </x:c>
      <x:c r="JG133" s="27" t="str">
        <x:f>IF(C133="","",0)</x:f>
      </x:c>
      <x:c r="JH133" s="27" t="str">
        <x:f>IF(C133="","",0)</x:f>
      </x:c>
      <x:c r="JI133" s="27" t="str">
        <x:f>IF(C133="","",HP133*1000000000+IW133*1000000+IQ133*10000+IK133*100+JC133+6/1000)</x:f>
      </x:c>
      <x:c r="JJ133" s="27" t="str">
        <x:f>IF(C133="","",HQ133*1000000000+IX133*1000000+IR133*10000+IL133*100+JD133+5/1000)</x:f>
      </x:c>
      <x:c r="JK133" s="27" t="str">
        <x:f>IF(C133="","",HR133*1000000000+IY133*1000000+IS133*10000+IM133*100+JE133+4/1000)</x:f>
      </x:c>
      <x:c r="JL133" s="27" t="str">
        <x:f>IF(C133="","",HS133*1000000000+IZ133*1000000+IT133*10000+IN133*100+JF133+3/1000)</x:f>
      </x:c>
      <x:c r="JM133" s="27" t="str">
        <x:f>IF(C133="","",HT133*1000000000+JA133*1000000+IU133*10000+IO133*100+JG133+2/1000)</x:f>
      </x:c>
      <x:c r="JN133" s="27" t="str">
        <x:f>IF(C133="","",HU133*1000000000+JB133*1000000+IV133*10000+IP133*100+JH133+1/1000)</x:f>
      </x:c>
    </x:row>
    <x:row r="134">
      <x:c r="A134" s="27"/>
      <x:c r="B134" s="28"/>
      <x:c r="C134" s="27"/>
      <x:c r="D134" s="27"/>
      <x:c r="E134" s="27"/>
      <x:c r="F134" s="27"/>
      <x:c r="G134" s="27"/>
      <x:c r="H134" s="27"/>
      <x:c r="I134" s="27"/>
      <x:c r="J134" s="27"/>
      <x:c r="K134" s="27"/>
      <x:c r="L134" s="27"/>
      <x:c r="M134" s="27"/>
      <x:c r="N134" s="27"/>
      <x:c r="O134" s="27"/>
      <x:c r="P134" s="27"/>
      <x:c r="Q134" s="27"/>
      <x:c r="R134" s="27"/>
      <x:c r="S134" s="27"/>
      <x:c r="T134" s="27"/>
      <x:c r="U134" s="27"/>
      <x:c r="V134" s="27"/>
      <x:c r="W134" s="27"/>
      <x:c r="X134" s="27"/>
      <x:c r="Y134" s="27"/>
      <x:c r="Z134" s="27"/>
      <x:c r="AA134" s="27"/>
      <x:c r="AB134" s="27"/>
      <x:c r="AC134" s="27"/>
      <x:c r="AD134" s="27"/>
      <x:c r="AE134" s="27"/>
      <x:c r="AF134" s="27"/>
      <x:c r="AG134" s="27"/>
      <x:c r="AH134" s="27"/>
      <x:c r="AI134" s="27"/>
      <x:c r="AJ134" s="27"/>
      <x:c r="AK134" s="27"/>
      <x:c r="AL134" s="27"/>
      <x:c r="AM134" s="27"/>
      <x:c r="AN134" s="27"/>
      <x:c r="AO134" s="27"/>
      <x:c r="AP134" s="27"/>
      <x:c r="AQ134" s="27"/>
      <x:c r="AR134" s="27"/>
      <x:c r="AS134" s="27"/>
      <x:c r="AT134" s="27"/>
      <x:c r="AU134" s="27"/>
      <x:c r="AV134" s="27"/>
      <x:c r="AW134" s="27"/>
      <x:c r="AX134" s="27"/>
      <x:c r="AY134" s="27"/>
      <x:c r="AZ134" s="27"/>
      <x:c r="BA134" s="27"/>
      <x:c r="BB134" s="27"/>
      <x:c r="BC134" s="27"/>
      <x:c r="BD134" s="27"/>
      <x:c r="BE134" s="27"/>
      <x:c r="BF134" s="27"/>
      <x:c r="BG134" s="27"/>
      <x:c r="BH134" s="27"/>
      <x:c r="BI134" s="27"/>
      <x:c r="BJ134" s="27"/>
      <x:c r="BK134" s="27"/>
      <x:c r="BL134" s="27"/>
      <x:c r="BM134" s="27"/>
      <x:c r="BN134" s="27"/>
      <x:c r="BO134" s="27"/>
      <x:c r="BP134" s="27"/>
      <x:c r="BQ134" s="27"/>
      <x:c r="BR134" s="27"/>
      <x:c r="BS134" s="27"/>
      <x:c r="BT134" s="27"/>
      <x:c r="BU134" s="27"/>
      <x:c r="BV134" s="27"/>
      <x:c r="BW134" s="27"/>
      <x:c r="BX134" s="27"/>
      <x:c r="BY134" s="27"/>
      <x:c r="BZ134" s="27"/>
      <x:c r="CA134" s="27"/>
      <x:c r="CB134" s="27"/>
      <x:c r="CC134" s="27"/>
      <x:c r="CD134" s="27"/>
      <x:c r="CE134" s="27"/>
      <x:c r="CF134" s="27"/>
      <x:c r="CG134" s="27"/>
      <x:c r="CH134" s="27"/>
      <x:c r="CI134" s="27"/>
      <x:c r="CJ134" s="27"/>
      <x:c r="CK134" s="27"/>
      <x:c r="CL134" s="27"/>
      <x:c r="CM134" s="27"/>
      <x:c r="CN134" s="27"/>
      <x:c r="CO134" s="27"/>
      <x:c r="CP134" s="27"/>
      <x:c r="CQ134" s="27"/>
      <x:c r="CR134" s="27"/>
      <x:c r="CS134" s="27"/>
      <x:c r="CT134" s="27"/>
      <x:c r="CU134" s="27"/>
      <x:c r="CV134" s="27"/>
      <x:c r="CW134" s="27"/>
      <x:c r="CX134" s="27"/>
      <x:c r="CY134" s="27"/>
      <x:c r="CZ134" s="27"/>
      <x:c r="DA134" s="27"/>
      <x:c r="DB134" s="27"/>
      <x:c r="DC134" s="27"/>
      <x:c r="DD134" s="27"/>
      <x:c r="DE134" s="27"/>
      <x:c r="DF134" s="27"/>
      <x:c r="DG134" s="27"/>
      <x:c r="DH134" s="27"/>
      <x:c r="DI134" s="27"/>
      <x:c r="DJ134" s="27"/>
      <x:c r="DK134" s="27"/>
      <x:c r="DL134" s="27"/>
      <x:c r="DM134" s="27"/>
      <x:c r="DN134" s="27"/>
      <x:c r="DO134" s="27"/>
      <x:c r="DP134" s="27"/>
      <x:c r="DQ134" s="27"/>
      <x:c r="DR134" s="27"/>
      <x:c r="DS134" s="27"/>
      <x:c r="DT134" s="27"/>
      <x:c r="DU134" s="27"/>
      <x:c r="DV134" s="27"/>
      <x:c r="DW134" s="27"/>
      <x:c r="DX134" s="27"/>
      <x:c r="DY134" s="27"/>
      <x:c r="DZ134" s="27"/>
      <x:c r="EA134" s="27"/>
      <x:c r="EB134" s="27"/>
      <x:c r="EC134" s="27"/>
      <x:c r="ED134" s="27"/>
      <x:c r="EE134" s="27"/>
      <x:c r="EF134" s="27"/>
      <x:c r="EG134" s="27"/>
      <x:c r="EH134" s="27"/>
      <x:c r="EI134" s="27"/>
      <x:c r="EJ134" s="27"/>
      <x:c r="EK134" s="27"/>
      <x:c r="EL134" s="27"/>
      <x:c r="EM134" s="27"/>
      <x:c r="EN134" s="27"/>
      <x:c r="EO134" s="27"/>
      <x:c r="EP134" s="27"/>
      <x:c r="EQ134" s="27"/>
      <x:c r="ER134" s="27"/>
      <x:c r="ES134" s="27"/>
      <x:c r="ET134" s="27"/>
      <x:c r="EU134" s="27"/>
      <x:c r="EV134" s="27"/>
      <x:c r="EW134" s="27"/>
      <x:c r="EX134" s="27"/>
      <x:c r="EY134" s="27"/>
      <x:c r="EZ134" s="27"/>
      <x:c r="FA134" s="27"/>
      <x:c r="FB134" s="27"/>
      <x:c r="FC134" s="27"/>
      <x:c r="FD134" s="27"/>
      <x:c r="FE134" s="27"/>
      <x:c r="FF134" s="27"/>
      <x:c r="FG134" s="27"/>
      <x:c r="FH134" s="27"/>
      <x:c r="FI134" s="27"/>
      <x:c r="FJ134" s="27"/>
      <x:c r="FK134" s="27"/>
      <x:c r="FL134" s="27"/>
      <x:c r="FM134" s="27"/>
      <x:c r="FN134" s="27"/>
      <x:c r="FO134" s="27"/>
      <x:c r="FP134" s="27"/>
      <x:c r="FQ134" s="27"/>
      <x:c r="FR134" s="27"/>
      <x:c r="FS134" s="27"/>
      <x:c r="FT134" s="27"/>
      <x:c r="FU134" s="27"/>
      <x:c r="FV134" s="27"/>
      <x:c r="FW134" s="27"/>
      <x:c r="FX134" s="27"/>
      <x:c r="FY134" s="27"/>
      <x:c r="FZ134" s="27"/>
      <x:c r="GA134" s="27"/>
      <x:c r="GB134" s="27"/>
      <x:c r="GC134" s="27"/>
      <x:c r="GD134" s="27"/>
      <x:c r="GE134" s="27"/>
      <x:c r="GF134" s="27"/>
      <x:c r="GG134" s="27"/>
      <x:c r="GH134" s="27"/>
      <x:c r="GI134" s="27"/>
      <x:c r="GJ134" s="27"/>
      <x:c r="GK134" s="27"/>
      <x:c r="GL134" s="27"/>
      <x:c r="GM134" s="27"/>
      <x:c r="GN134" s="27"/>
      <x:c r="GO134" s="27"/>
      <x:c r="GP134" s="27"/>
      <x:c r="GQ134" s="27"/>
      <x:c r="GR134" s="27"/>
      <x:c r="GS134" s="27"/>
      <x:c r="GT134" s="27"/>
      <x:c r="GU134" s="27"/>
      <x:c r="GV134" s="27"/>
      <x:c r="GW134" s="27"/>
      <x:c r="GX134" s="27"/>
      <x:c r="GY134" s="27"/>
      <x:c r="GZ134" s="27"/>
      <x:c r="HA134" s="27"/>
      <x:c r="HB134" s="27"/>
      <x:c r="HC134" s="27"/>
      <x:c r="HD134" s="27"/>
      <x:c r="HE134" s="27"/>
      <x:c r="HF134" s="27"/>
      <x:c r="HG134" s="27"/>
      <x:c r="HH134" s="27"/>
      <x:c r="HI134" s="27"/>
      <x:c r="HJ134" s="27"/>
      <x:c r="HK134" s="27"/>
      <x:c r="HL134" s="27"/>
      <x:c r="HM134" s="27"/>
      <x:c r="HN134" s="27"/>
      <x:c r="HO134" s="27"/>
      <x:c r="HP134" s="27" t="str">
        <x:f>IF(C134="","",SUM(H134,N134,T134,Z134,AF134,AL134,AR134,AX134,BD134,BJ134,BP134,BV134,CB134,CH134,CN134,CT134,CZ134,DF134,DL134,DR134,DX134,ED134,EJ134,EP134,EV134,FB134,FH134,FN134,FT134,FZ134,GF134,GL134,GR134,GX134,HD134,HJ134))</x:f>
      </x:c>
      <x:c r="HQ134" s="27" t="str">
        <x:f>IF(C134="","",SUM(I134,O134,U134,AA134,AG134,AM134,AS134,AY134,BE134,BK134,BQ134,BW134,CC134,CI134,CO134,CU134,DA134,DG134,DM134,DS134,DY134,EE134,EK134,EQ134,EW134,FC134,FI134,FO134,FU134,GA134,GG134,GM134,GS134,GY134,HE134,HK134))</x:f>
      </x:c>
      <x:c r="HR134" s="27" t="str">
        <x:f>IF(C134="","",SUM(J134,P134,V134,AB134,AH134,AN134,AT134,AZ134,BF134,BL134,BR134,BX134,CD134,CJ134,CP134,CV134,DB134,DH134,DN134,DT134,DZ134,EF134,EL134,ER134,EX134,FD134,FJ134,FP134,FV134,GB134,GH134,GN134,GT134,GZ134,HF134,HL134))</x:f>
      </x:c>
      <x:c r="HS134" s="27" t="str">
        <x:f>IF(C134="","",SUM(K134,Q134,W134,AC134,AI134,AO134,AU134,BA134,BG134,BM134,BS134,BY134,CE134,CK134,CQ134,CW134,DC134,DI134,DO134,DU134,EA134,EG134,EM134,ES134,EY134,FE134,FK134,FQ134,FW134,GC134,GI134,GO134,GU134,HA134,HG134,HM134))</x:f>
      </x:c>
      <x:c r="HT134" s="27" t="str">
        <x:f>IF(C134="","",SUM(L134,R134,X134,AD134,AJ134,AP134,AV134,BB134,BH134,BN134,BT134,BZ134,CF134,CL134,CR134,CX134,DD134,DJ134,DP134,DV134,EB134,EH134,EN134,ET134,EZ134,FF134,FL134,FR134,FX134,GD134,GJ134,GP134,GV134,HB134,HH134,HN134))</x:f>
      </x:c>
      <x:c r="HU134" s="27" t="str">
        <x:f>IF(C134="","",SUM(M134,S134,Y134,AE134,AK134,AQ134,AW134,BC134,BI134,BO134,BU134,CA134,CG134,CM134,CS134,CY134,DE134,DK134,DQ134,DW134,EC134,EI134,EO134,EU134,FA134,FG134,FM134,FS134,FY134,GE134,GK134,GQ134,GW134,HC134,HI134,HO134))</x:f>
      </x:c>
      <x:c r="HV134" s="27" t="str">
        <x:f>IF(C134="","",IF(JI134=LARGE(JI134:JN134,1),"R",IF(JJ134=LARGE(JI134:JN134,1),"I",IF(JK134=LARGE(JI134:JN134,1),"A",IF(JL134=LARGE(JI134:JN134,1),"S",IF(JM134=LARGE(JI134:JN134,1),"E",IF(JN134=LARGE(JI134:JN134,1),"C",""))))))&amp;IF(JI134=LARGE(JI134:JN134,2),"R",IF(JJ134=LARGE(JI134:JN134,2),"I",IF(JK134=LARGE(JI134:JN134,2),"A",IF(JL134=LARGE(JI134:JN134,2),"S",IF(JM134=LARGE(JI134:JN134,2),"E",IF(JN134=LARGE(JI134:JN134,2),"C",""))))))&amp;IF(JI134=LARGE(JI134:JN134,3),"R",IF(JJ134=LARGE(JI134:JN134,3),"I",IF(JK134=LARGE(JI134:JN134,3),"A",IF(JL134=LARGE(JI134:JN134,3),"S",IF(JM134=LARGE(JI134:JN134,3),"E",IF(JN134=LARGE(JI134:JN134,3),"C","")))))))</x:f>
      </x:c>
      <x:c r="HW134" s="27" t="str">
        <x:f>IF(C134="","",IF(JI134=LARGE(JI134:JN134,1),"นักปฏิบัติ",IF(JJ134=LARGE(JI134:JN134,1),"นักคิดวิเคราะห์",IF(JK134=LARGE(JI134:JN134,1),"นักสร้างสรรค์",IF(JL134=LARGE(JI134:JN134,1),"ผู้เข้าใจผู้คน",IF(JM134=LARGE(JI134:JN134,1),"ผู้นำการเปลี่ยนแปลง",IF(JN134=LARGE(JI134:JN134,1),"ผู้จัดระบบ","ผู้จัดระบบ")))))))</x:f>
      </x:c>
      <x:c r="HX134" s="27"/>
      <x:c r="HY134" s="27"/>
      <x:c r="HZ134" s="27"/>
      <x:c r="IA134" s="27"/>
      <x:c r="IB134" s="27"/>
      <x:c r="IC134" s="27"/>
      <x:c r="ID134" s="27"/>
      <x:c r="IE134" s="27"/>
      <x:c r="IF134" s="27"/>
      <x:c r="IG134" s="27"/>
      <x:c r="IH134" s="27"/>
      <x:c r="II134" s="27"/>
      <x:c r="IJ134" s="27"/>
      <x:c r="IK134" s="27" t="str">
        <x:f>IF(C134="","",SUM(H134,N134,T134,Z134,AF134,AL134,AR134,AX134,BD134,BJ134,BP134))</x:f>
      </x:c>
      <x:c r="IL134" s="27" t="str">
        <x:f>IF(C134="","",SUM(I134,O134,U134,AA134,AG134,AM134,AS134,AY134,BE134,BK134,BQ134))</x:f>
      </x:c>
      <x:c r="IM134" s="27" t="str">
        <x:f>IF(C134="","",SUM(J134,P134,V134,AB134,AH134,AN134,AT134,AZ134,BF134,BL134,BR134))</x:f>
      </x:c>
      <x:c r="IN134" s="27" t="str">
        <x:f>IF(C134="","",SUM(K134,Q134,W134,AC134,AI134,AO134,AU134,BA134,BG134,BM134,BS134))</x:f>
      </x:c>
      <x:c r="IO134" s="27" t="str">
        <x:f>IF(C134="","",SUM(L134,R134,X134,AD134,AJ134,AP134,AV134,BB134,BH134,BN134,BT134))</x:f>
      </x:c>
      <x:c r="IP134" s="27" t="str">
        <x:f>IF(C134="","",SUM(M134,S134,Y134,AE134,AK134,AQ134,AW134,BC134,BI134,BO134,BU134))</x:f>
      </x:c>
      <x:c r="IQ134" s="27" t="str">
        <x:f>IF(C134="","",SUM(BV134,CB134,CH134,CN134,CT134,CZ134,DF134,DL134,DR134,DX134,ED134))</x:f>
      </x:c>
      <x:c r="IR134" s="27" t="str">
        <x:f>IF(C134="","",SUM(BW134,CC134,CI134,CO134,CU134,DA134,DG134,DM134,DS134,DY134,EE134))</x:f>
      </x:c>
      <x:c r="IS134" s="27" t="str">
        <x:f>IF(C134="","",SUM(BX134,CD134,CJ134,CP134,CV134,DB134,DH134,DN134,DT134,DZ134,EF134))</x:f>
      </x:c>
      <x:c r="IT134" s="27" t="str">
        <x:f>IF(C134="","",SUM(BY134,CE134,CK134,CQ134,CW134,DC134,DI134,DO134,DU134,EA134,EG134))</x:f>
      </x:c>
      <x:c r="IU134" s="27" t="str">
        <x:f>IF(C134="","",SUM(BZ134,CF134,CL134,CR134,CX134,DD134,DJ134,DP134,DV134,EB134,EH134))</x:f>
      </x:c>
      <x:c r="IV134" s="27" t="str">
        <x:f>IF(C134="","",SUM(CA134,CG134,CM134,CS134,CY134,DE134,DK134,DQ134,DW134,EC134,EI134))</x:f>
      </x:c>
      <x:c r="IW134" s="27" t="str">
        <x:f>IF(C134="","",SUM(EJ134,EP134,EV134,FB134,FH134,FN134,FT134,FZ134,GF134,GL134,GR134,GX134,HD134,HJ134))</x:f>
      </x:c>
      <x:c r="IX134" s="27" t="str">
        <x:f>IF(C134="","",SUM(EK134,EQ134,EW134,FC134,FI134,FO134,FU134,GA134,GG134,GM134,GS134,GY134,HE134,HK134))</x:f>
      </x:c>
      <x:c r="IY134" s="27" t="str">
        <x:f>IF(C134="","",SUM(EL134,ER134,EX134,FD134,FJ134,FP134,FV134,GB134,GH134,GN134,GT134,GZ134,HF134,HL134))</x:f>
      </x:c>
      <x:c r="IZ134" s="27" t="str">
        <x:f>IF(C134="","",SUM(EM134,ES134,EY134,FE134,FK134,FQ134,FW134,GC134,GI134,GO134,GU134,HA134,HG134,HM134))</x:f>
      </x:c>
      <x:c r="JA134" s="27" t="str">
        <x:f>IF(C134="","",SUM(EN134,ET134,EZ134,FF134,FL134,FR134,FX134,GD134,GJ134,GP134,GV134,HB134,HH134,HN134))</x:f>
      </x:c>
      <x:c r="JB134" s="27" t="str">
        <x:f>IF(C134="","",SUM(EO134,EU134,FA134,FG134,FM134,FS134,FY134,GE134,GK134,GQ134,GW134,HC134,HI134,HO134))</x:f>
      </x:c>
      <x:c r="JC134" s="27" t="str">
        <x:f>IF(C134="","",0)</x:f>
      </x:c>
      <x:c r="JD134" s="27" t="str">
        <x:f>IF(C134="","",0)</x:f>
      </x:c>
      <x:c r="JE134" s="27" t="str">
        <x:f>IF(C134="","",0)</x:f>
      </x:c>
      <x:c r="JF134" s="27" t="str">
        <x:f>IF(C134="","",0)</x:f>
      </x:c>
      <x:c r="JG134" s="27" t="str">
        <x:f>IF(C134="","",0)</x:f>
      </x:c>
      <x:c r="JH134" s="27" t="str">
        <x:f>IF(C134="","",0)</x:f>
      </x:c>
      <x:c r="JI134" s="27" t="str">
        <x:f>IF(C134="","",HP134*1000000000+IW134*1000000+IQ134*10000+IK134*100+JC134+6/1000)</x:f>
      </x:c>
      <x:c r="JJ134" s="27" t="str">
        <x:f>IF(C134="","",HQ134*1000000000+IX134*1000000+IR134*10000+IL134*100+JD134+5/1000)</x:f>
      </x:c>
      <x:c r="JK134" s="27" t="str">
        <x:f>IF(C134="","",HR134*1000000000+IY134*1000000+IS134*10000+IM134*100+JE134+4/1000)</x:f>
      </x:c>
      <x:c r="JL134" s="27" t="str">
        <x:f>IF(C134="","",HS134*1000000000+IZ134*1000000+IT134*10000+IN134*100+JF134+3/1000)</x:f>
      </x:c>
      <x:c r="JM134" s="27" t="str">
        <x:f>IF(C134="","",HT134*1000000000+JA134*1000000+IU134*10000+IO134*100+JG134+2/1000)</x:f>
      </x:c>
      <x:c r="JN134" s="27" t="str">
        <x:f>IF(C134="","",HU134*1000000000+JB134*1000000+IV134*10000+IP134*100+JH134+1/1000)</x:f>
      </x:c>
    </x:row>
    <x:row r="135">
      <x:c r="A135" s="27"/>
      <x:c r="B135" s="28"/>
      <x:c r="C135" s="27"/>
      <x:c r="D135" s="27"/>
      <x:c r="E135" s="27"/>
      <x:c r="F135" s="27"/>
      <x:c r="G135" s="27"/>
      <x:c r="H135" s="27"/>
      <x:c r="I135" s="27"/>
      <x:c r="J135" s="27"/>
      <x:c r="K135" s="27"/>
      <x:c r="L135" s="27"/>
      <x:c r="M135" s="27"/>
      <x:c r="N135" s="27"/>
      <x:c r="O135" s="27"/>
      <x:c r="P135" s="27"/>
      <x:c r="Q135" s="27"/>
      <x:c r="R135" s="27"/>
      <x:c r="S135" s="27"/>
      <x:c r="T135" s="27"/>
      <x:c r="U135" s="27"/>
      <x:c r="V135" s="27"/>
      <x:c r="W135" s="27"/>
      <x:c r="X135" s="27"/>
      <x:c r="Y135" s="27"/>
      <x:c r="Z135" s="27"/>
      <x:c r="AA135" s="27"/>
      <x:c r="AB135" s="27"/>
      <x:c r="AC135" s="27"/>
      <x:c r="AD135" s="27"/>
      <x:c r="AE135" s="27"/>
      <x:c r="AF135" s="27"/>
      <x:c r="AG135" s="27"/>
      <x:c r="AH135" s="27"/>
      <x:c r="AI135" s="27"/>
      <x:c r="AJ135" s="27"/>
      <x:c r="AK135" s="27"/>
      <x:c r="AL135" s="27"/>
      <x:c r="AM135" s="27"/>
      <x:c r="AN135" s="27"/>
      <x:c r="AO135" s="27"/>
      <x:c r="AP135" s="27"/>
      <x:c r="AQ135" s="27"/>
      <x:c r="AR135" s="27"/>
      <x:c r="AS135" s="27"/>
      <x:c r="AT135" s="27"/>
      <x:c r="AU135" s="27"/>
      <x:c r="AV135" s="27"/>
      <x:c r="AW135" s="27"/>
      <x:c r="AX135" s="27"/>
      <x:c r="AY135" s="27"/>
      <x:c r="AZ135" s="27"/>
      <x:c r="BA135" s="27"/>
      <x:c r="BB135" s="27"/>
      <x:c r="BC135" s="27"/>
      <x:c r="BD135" s="27"/>
      <x:c r="BE135" s="27"/>
      <x:c r="BF135" s="27"/>
      <x:c r="BG135" s="27"/>
      <x:c r="BH135" s="27"/>
      <x:c r="BI135" s="27"/>
      <x:c r="BJ135" s="27"/>
      <x:c r="BK135" s="27"/>
      <x:c r="BL135" s="27"/>
      <x:c r="BM135" s="27"/>
      <x:c r="BN135" s="27"/>
      <x:c r="BO135" s="27"/>
      <x:c r="BP135" s="27"/>
      <x:c r="BQ135" s="27"/>
      <x:c r="BR135" s="27"/>
      <x:c r="BS135" s="27"/>
      <x:c r="BT135" s="27"/>
      <x:c r="BU135" s="27"/>
      <x:c r="BV135" s="27"/>
      <x:c r="BW135" s="27"/>
      <x:c r="BX135" s="27"/>
      <x:c r="BY135" s="27"/>
      <x:c r="BZ135" s="27"/>
      <x:c r="CA135" s="27"/>
      <x:c r="CB135" s="27"/>
      <x:c r="CC135" s="27"/>
      <x:c r="CD135" s="27"/>
      <x:c r="CE135" s="27"/>
      <x:c r="CF135" s="27"/>
      <x:c r="CG135" s="27"/>
      <x:c r="CH135" s="27"/>
      <x:c r="CI135" s="27"/>
      <x:c r="CJ135" s="27"/>
      <x:c r="CK135" s="27"/>
      <x:c r="CL135" s="27"/>
      <x:c r="CM135" s="27"/>
      <x:c r="CN135" s="27"/>
      <x:c r="CO135" s="27"/>
      <x:c r="CP135" s="27"/>
      <x:c r="CQ135" s="27"/>
      <x:c r="CR135" s="27"/>
      <x:c r="CS135" s="27"/>
      <x:c r="CT135" s="27"/>
      <x:c r="CU135" s="27"/>
      <x:c r="CV135" s="27"/>
      <x:c r="CW135" s="27"/>
      <x:c r="CX135" s="27"/>
      <x:c r="CY135" s="27"/>
      <x:c r="CZ135" s="27"/>
      <x:c r="DA135" s="27"/>
      <x:c r="DB135" s="27"/>
      <x:c r="DC135" s="27"/>
      <x:c r="DD135" s="27"/>
      <x:c r="DE135" s="27"/>
      <x:c r="DF135" s="27"/>
      <x:c r="DG135" s="27"/>
      <x:c r="DH135" s="27"/>
      <x:c r="DI135" s="27"/>
      <x:c r="DJ135" s="27"/>
      <x:c r="DK135" s="27"/>
      <x:c r="DL135" s="27"/>
      <x:c r="DM135" s="27"/>
      <x:c r="DN135" s="27"/>
      <x:c r="DO135" s="27"/>
      <x:c r="DP135" s="27"/>
      <x:c r="DQ135" s="27"/>
      <x:c r="DR135" s="27"/>
      <x:c r="DS135" s="27"/>
      <x:c r="DT135" s="27"/>
      <x:c r="DU135" s="27"/>
      <x:c r="DV135" s="27"/>
      <x:c r="DW135" s="27"/>
      <x:c r="DX135" s="27"/>
      <x:c r="DY135" s="27"/>
      <x:c r="DZ135" s="27"/>
      <x:c r="EA135" s="27"/>
      <x:c r="EB135" s="27"/>
      <x:c r="EC135" s="27"/>
      <x:c r="ED135" s="27"/>
      <x:c r="EE135" s="27"/>
      <x:c r="EF135" s="27"/>
      <x:c r="EG135" s="27"/>
      <x:c r="EH135" s="27"/>
      <x:c r="EI135" s="27"/>
      <x:c r="EJ135" s="27"/>
      <x:c r="EK135" s="27"/>
      <x:c r="EL135" s="27"/>
      <x:c r="EM135" s="27"/>
      <x:c r="EN135" s="27"/>
      <x:c r="EO135" s="27"/>
      <x:c r="EP135" s="27"/>
      <x:c r="EQ135" s="27"/>
      <x:c r="ER135" s="27"/>
      <x:c r="ES135" s="27"/>
      <x:c r="ET135" s="27"/>
      <x:c r="EU135" s="27"/>
      <x:c r="EV135" s="27"/>
      <x:c r="EW135" s="27"/>
      <x:c r="EX135" s="27"/>
      <x:c r="EY135" s="27"/>
      <x:c r="EZ135" s="27"/>
      <x:c r="FA135" s="27"/>
      <x:c r="FB135" s="27"/>
      <x:c r="FC135" s="27"/>
      <x:c r="FD135" s="27"/>
      <x:c r="FE135" s="27"/>
      <x:c r="FF135" s="27"/>
      <x:c r="FG135" s="27"/>
      <x:c r="FH135" s="27"/>
      <x:c r="FI135" s="27"/>
      <x:c r="FJ135" s="27"/>
      <x:c r="FK135" s="27"/>
      <x:c r="FL135" s="27"/>
      <x:c r="FM135" s="27"/>
      <x:c r="FN135" s="27"/>
      <x:c r="FO135" s="27"/>
      <x:c r="FP135" s="27"/>
      <x:c r="FQ135" s="27"/>
      <x:c r="FR135" s="27"/>
      <x:c r="FS135" s="27"/>
      <x:c r="FT135" s="27"/>
      <x:c r="FU135" s="27"/>
      <x:c r="FV135" s="27"/>
      <x:c r="FW135" s="27"/>
      <x:c r="FX135" s="27"/>
      <x:c r="FY135" s="27"/>
      <x:c r="FZ135" s="27"/>
      <x:c r="GA135" s="27"/>
      <x:c r="GB135" s="27"/>
      <x:c r="GC135" s="27"/>
      <x:c r="GD135" s="27"/>
      <x:c r="GE135" s="27"/>
      <x:c r="GF135" s="27"/>
      <x:c r="GG135" s="27"/>
      <x:c r="GH135" s="27"/>
      <x:c r="GI135" s="27"/>
      <x:c r="GJ135" s="27"/>
      <x:c r="GK135" s="27"/>
      <x:c r="GL135" s="27"/>
      <x:c r="GM135" s="27"/>
      <x:c r="GN135" s="27"/>
      <x:c r="GO135" s="27"/>
      <x:c r="GP135" s="27"/>
      <x:c r="GQ135" s="27"/>
      <x:c r="GR135" s="27"/>
      <x:c r="GS135" s="27"/>
      <x:c r="GT135" s="27"/>
      <x:c r="GU135" s="27"/>
      <x:c r="GV135" s="27"/>
      <x:c r="GW135" s="27"/>
      <x:c r="GX135" s="27"/>
      <x:c r="GY135" s="27"/>
      <x:c r="GZ135" s="27"/>
      <x:c r="HA135" s="27"/>
      <x:c r="HB135" s="27"/>
      <x:c r="HC135" s="27"/>
      <x:c r="HD135" s="27"/>
      <x:c r="HE135" s="27"/>
      <x:c r="HF135" s="27"/>
      <x:c r="HG135" s="27"/>
      <x:c r="HH135" s="27"/>
      <x:c r="HI135" s="27"/>
      <x:c r="HJ135" s="27"/>
      <x:c r="HK135" s="27"/>
      <x:c r="HL135" s="27"/>
      <x:c r="HM135" s="27"/>
      <x:c r="HN135" s="27"/>
      <x:c r="HO135" s="27"/>
      <x:c r="HP135" s="27" t="str">
        <x:f>IF(C135="","",SUM(H135,N135,T135,Z135,AF135,AL135,AR135,AX135,BD135,BJ135,BP135,BV135,CB135,CH135,CN135,CT135,CZ135,DF135,DL135,DR135,DX135,ED135,EJ135,EP135,EV135,FB135,FH135,FN135,FT135,FZ135,GF135,GL135,GR135,GX135,HD135,HJ135))</x:f>
      </x:c>
      <x:c r="HQ135" s="27" t="str">
        <x:f>IF(C135="","",SUM(I135,O135,U135,AA135,AG135,AM135,AS135,AY135,BE135,BK135,BQ135,BW135,CC135,CI135,CO135,CU135,DA135,DG135,DM135,DS135,DY135,EE135,EK135,EQ135,EW135,FC135,FI135,FO135,FU135,GA135,GG135,GM135,GS135,GY135,HE135,HK135))</x:f>
      </x:c>
      <x:c r="HR135" s="27" t="str">
        <x:f>IF(C135="","",SUM(J135,P135,V135,AB135,AH135,AN135,AT135,AZ135,BF135,BL135,BR135,BX135,CD135,CJ135,CP135,CV135,DB135,DH135,DN135,DT135,DZ135,EF135,EL135,ER135,EX135,FD135,FJ135,FP135,FV135,GB135,GH135,GN135,GT135,GZ135,HF135,HL135))</x:f>
      </x:c>
      <x:c r="HS135" s="27" t="str">
        <x:f>IF(C135="","",SUM(K135,Q135,W135,AC135,AI135,AO135,AU135,BA135,BG135,BM135,BS135,BY135,CE135,CK135,CQ135,CW135,DC135,DI135,DO135,DU135,EA135,EG135,EM135,ES135,EY135,FE135,FK135,FQ135,FW135,GC135,GI135,GO135,GU135,HA135,HG135,HM135))</x:f>
      </x:c>
      <x:c r="HT135" s="27" t="str">
        <x:f>IF(C135="","",SUM(L135,R135,X135,AD135,AJ135,AP135,AV135,BB135,BH135,BN135,BT135,BZ135,CF135,CL135,CR135,CX135,DD135,DJ135,DP135,DV135,EB135,EH135,EN135,ET135,EZ135,FF135,FL135,FR135,FX135,GD135,GJ135,GP135,GV135,HB135,HH135,HN135))</x:f>
      </x:c>
      <x:c r="HU135" s="27" t="str">
        <x:f>IF(C135="","",SUM(M135,S135,Y135,AE135,AK135,AQ135,AW135,BC135,BI135,BO135,BU135,CA135,CG135,CM135,CS135,CY135,DE135,DK135,DQ135,DW135,EC135,EI135,EO135,EU135,FA135,FG135,FM135,FS135,FY135,GE135,GK135,GQ135,GW135,HC135,HI135,HO135))</x:f>
      </x:c>
      <x:c r="HV135" s="27" t="str">
        <x:f>IF(C135="","",IF(JI135=LARGE(JI135:JN135,1),"R",IF(JJ135=LARGE(JI135:JN135,1),"I",IF(JK135=LARGE(JI135:JN135,1),"A",IF(JL135=LARGE(JI135:JN135,1),"S",IF(JM135=LARGE(JI135:JN135,1),"E",IF(JN135=LARGE(JI135:JN135,1),"C",""))))))&amp;IF(JI135=LARGE(JI135:JN135,2),"R",IF(JJ135=LARGE(JI135:JN135,2),"I",IF(JK135=LARGE(JI135:JN135,2),"A",IF(JL135=LARGE(JI135:JN135,2),"S",IF(JM135=LARGE(JI135:JN135,2),"E",IF(JN135=LARGE(JI135:JN135,2),"C",""))))))&amp;IF(JI135=LARGE(JI135:JN135,3),"R",IF(JJ135=LARGE(JI135:JN135,3),"I",IF(JK135=LARGE(JI135:JN135,3),"A",IF(JL135=LARGE(JI135:JN135,3),"S",IF(JM135=LARGE(JI135:JN135,3),"E",IF(JN135=LARGE(JI135:JN135,3),"C","")))))))</x:f>
      </x:c>
      <x:c r="HW135" s="27" t="str">
        <x:f>IF(C135="","",IF(JI135=LARGE(JI135:JN135,1),"นักปฏิบัติ",IF(JJ135=LARGE(JI135:JN135,1),"นักคิดวิเคราะห์",IF(JK135=LARGE(JI135:JN135,1),"นักสร้างสรรค์",IF(JL135=LARGE(JI135:JN135,1),"ผู้เข้าใจผู้คน",IF(JM135=LARGE(JI135:JN135,1),"ผู้นำการเปลี่ยนแปลง",IF(JN135=LARGE(JI135:JN135,1),"ผู้จัดระบบ","ผู้จัดระบบ")))))))</x:f>
      </x:c>
      <x:c r="HX135" s="27"/>
      <x:c r="HY135" s="27"/>
      <x:c r="HZ135" s="27"/>
      <x:c r="IA135" s="27"/>
      <x:c r="IB135" s="27"/>
      <x:c r="IC135" s="27"/>
      <x:c r="ID135" s="27"/>
      <x:c r="IE135" s="27"/>
      <x:c r="IF135" s="27"/>
      <x:c r="IG135" s="27"/>
      <x:c r="IH135" s="27"/>
      <x:c r="II135" s="27"/>
      <x:c r="IJ135" s="27"/>
      <x:c r="IK135" s="27" t="str">
        <x:f>IF(C135="","",SUM(H135,N135,T135,Z135,AF135,AL135,AR135,AX135,BD135,BJ135,BP135))</x:f>
      </x:c>
      <x:c r="IL135" s="27" t="str">
        <x:f>IF(C135="","",SUM(I135,O135,U135,AA135,AG135,AM135,AS135,AY135,BE135,BK135,BQ135))</x:f>
      </x:c>
      <x:c r="IM135" s="27" t="str">
        <x:f>IF(C135="","",SUM(J135,P135,V135,AB135,AH135,AN135,AT135,AZ135,BF135,BL135,BR135))</x:f>
      </x:c>
      <x:c r="IN135" s="27" t="str">
        <x:f>IF(C135="","",SUM(K135,Q135,W135,AC135,AI135,AO135,AU135,BA135,BG135,BM135,BS135))</x:f>
      </x:c>
      <x:c r="IO135" s="27" t="str">
        <x:f>IF(C135="","",SUM(L135,R135,X135,AD135,AJ135,AP135,AV135,BB135,BH135,BN135,BT135))</x:f>
      </x:c>
      <x:c r="IP135" s="27" t="str">
        <x:f>IF(C135="","",SUM(M135,S135,Y135,AE135,AK135,AQ135,AW135,BC135,BI135,BO135,BU135))</x:f>
      </x:c>
      <x:c r="IQ135" s="27" t="str">
        <x:f>IF(C135="","",SUM(BV135,CB135,CH135,CN135,CT135,CZ135,DF135,DL135,DR135,DX135,ED135))</x:f>
      </x:c>
      <x:c r="IR135" s="27" t="str">
        <x:f>IF(C135="","",SUM(BW135,CC135,CI135,CO135,CU135,DA135,DG135,DM135,DS135,DY135,EE135))</x:f>
      </x:c>
      <x:c r="IS135" s="27" t="str">
        <x:f>IF(C135="","",SUM(BX135,CD135,CJ135,CP135,CV135,DB135,DH135,DN135,DT135,DZ135,EF135))</x:f>
      </x:c>
      <x:c r="IT135" s="27" t="str">
        <x:f>IF(C135="","",SUM(BY135,CE135,CK135,CQ135,CW135,DC135,DI135,DO135,DU135,EA135,EG135))</x:f>
      </x:c>
      <x:c r="IU135" s="27" t="str">
        <x:f>IF(C135="","",SUM(BZ135,CF135,CL135,CR135,CX135,DD135,DJ135,DP135,DV135,EB135,EH135))</x:f>
      </x:c>
      <x:c r="IV135" s="27" t="str">
        <x:f>IF(C135="","",SUM(CA135,CG135,CM135,CS135,CY135,DE135,DK135,DQ135,DW135,EC135,EI135))</x:f>
      </x:c>
      <x:c r="IW135" s="27" t="str">
        <x:f>IF(C135="","",SUM(EJ135,EP135,EV135,FB135,FH135,FN135,FT135,FZ135,GF135,GL135,GR135,GX135,HD135,HJ135))</x:f>
      </x:c>
      <x:c r="IX135" s="27" t="str">
        <x:f>IF(C135="","",SUM(EK135,EQ135,EW135,FC135,FI135,FO135,FU135,GA135,GG135,GM135,GS135,GY135,HE135,HK135))</x:f>
      </x:c>
      <x:c r="IY135" s="27" t="str">
        <x:f>IF(C135="","",SUM(EL135,ER135,EX135,FD135,FJ135,FP135,FV135,GB135,GH135,GN135,GT135,GZ135,HF135,HL135))</x:f>
      </x:c>
      <x:c r="IZ135" s="27" t="str">
        <x:f>IF(C135="","",SUM(EM135,ES135,EY135,FE135,FK135,FQ135,FW135,GC135,GI135,GO135,GU135,HA135,HG135,HM135))</x:f>
      </x:c>
      <x:c r="JA135" s="27" t="str">
        <x:f>IF(C135="","",SUM(EN135,ET135,EZ135,FF135,FL135,FR135,FX135,GD135,GJ135,GP135,GV135,HB135,HH135,HN135))</x:f>
      </x:c>
      <x:c r="JB135" s="27" t="str">
        <x:f>IF(C135="","",SUM(EO135,EU135,FA135,FG135,FM135,FS135,FY135,GE135,GK135,GQ135,GW135,HC135,HI135,HO135))</x:f>
      </x:c>
      <x:c r="JC135" s="27" t="str">
        <x:f>IF(C135="","",0)</x:f>
      </x:c>
      <x:c r="JD135" s="27" t="str">
        <x:f>IF(C135="","",0)</x:f>
      </x:c>
      <x:c r="JE135" s="27" t="str">
        <x:f>IF(C135="","",0)</x:f>
      </x:c>
      <x:c r="JF135" s="27" t="str">
        <x:f>IF(C135="","",0)</x:f>
      </x:c>
      <x:c r="JG135" s="27" t="str">
        <x:f>IF(C135="","",0)</x:f>
      </x:c>
      <x:c r="JH135" s="27" t="str">
        <x:f>IF(C135="","",0)</x:f>
      </x:c>
      <x:c r="JI135" s="27" t="str">
        <x:f>IF(C135="","",HP135*1000000000+IW135*1000000+IQ135*10000+IK135*100+JC135+6/1000)</x:f>
      </x:c>
      <x:c r="JJ135" s="27" t="str">
        <x:f>IF(C135="","",HQ135*1000000000+IX135*1000000+IR135*10000+IL135*100+JD135+5/1000)</x:f>
      </x:c>
      <x:c r="JK135" s="27" t="str">
        <x:f>IF(C135="","",HR135*1000000000+IY135*1000000+IS135*10000+IM135*100+JE135+4/1000)</x:f>
      </x:c>
      <x:c r="JL135" s="27" t="str">
        <x:f>IF(C135="","",HS135*1000000000+IZ135*1000000+IT135*10000+IN135*100+JF135+3/1000)</x:f>
      </x:c>
      <x:c r="JM135" s="27" t="str">
        <x:f>IF(C135="","",HT135*1000000000+JA135*1000000+IU135*10000+IO135*100+JG135+2/1000)</x:f>
      </x:c>
      <x:c r="JN135" s="27" t="str">
        <x:f>IF(C135="","",HU135*1000000000+JB135*1000000+IV135*10000+IP135*100+JH135+1/1000)</x:f>
      </x:c>
    </x:row>
    <x:row r="136">
      <x:c r="A136" s="27"/>
      <x:c r="B136" s="28"/>
      <x:c r="C136" s="27"/>
      <x:c r="D136" s="27"/>
      <x:c r="E136" s="27"/>
      <x:c r="F136" s="27"/>
      <x:c r="G136" s="27"/>
      <x:c r="H136" s="27"/>
      <x:c r="I136" s="27"/>
      <x:c r="J136" s="27"/>
      <x:c r="K136" s="27"/>
      <x:c r="L136" s="27"/>
      <x:c r="M136" s="27"/>
      <x:c r="N136" s="27"/>
      <x:c r="O136" s="27"/>
      <x:c r="P136" s="27"/>
      <x:c r="Q136" s="27"/>
      <x:c r="R136" s="27"/>
      <x:c r="S136" s="27"/>
      <x:c r="T136" s="27"/>
      <x:c r="U136" s="27"/>
      <x:c r="V136" s="27"/>
      <x:c r="W136" s="27"/>
      <x:c r="X136" s="27"/>
      <x:c r="Y136" s="27"/>
      <x:c r="Z136" s="27"/>
      <x:c r="AA136" s="27"/>
      <x:c r="AB136" s="27"/>
      <x:c r="AC136" s="27"/>
      <x:c r="AD136" s="27"/>
      <x:c r="AE136" s="27"/>
      <x:c r="AF136" s="27"/>
      <x:c r="AG136" s="27"/>
      <x:c r="AH136" s="27"/>
      <x:c r="AI136" s="27"/>
      <x:c r="AJ136" s="27"/>
      <x:c r="AK136" s="27"/>
      <x:c r="AL136" s="27"/>
      <x:c r="AM136" s="27"/>
      <x:c r="AN136" s="27"/>
      <x:c r="AO136" s="27"/>
      <x:c r="AP136" s="27"/>
      <x:c r="AQ136" s="27"/>
      <x:c r="AR136" s="27"/>
      <x:c r="AS136" s="27"/>
      <x:c r="AT136" s="27"/>
      <x:c r="AU136" s="27"/>
      <x:c r="AV136" s="27"/>
      <x:c r="AW136" s="27"/>
      <x:c r="AX136" s="27"/>
      <x:c r="AY136" s="27"/>
      <x:c r="AZ136" s="27"/>
      <x:c r="BA136" s="27"/>
      <x:c r="BB136" s="27"/>
      <x:c r="BC136" s="27"/>
      <x:c r="BD136" s="27"/>
      <x:c r="BE136" s="27"/>
      <x:c r="BF136" s="27"/>
      <x:c r="BG136" s="27"/>
      <x:c r="BH136" s="27"/>
      <x:c r="BI136" s="27"/>
      <x:c r="BJ136" s="27"/>
      <x:c r="BK136" s="27"/>
      <x:c r="BL136" s="27"/>
      <x:c r="BM136" s="27"/>
      <x:c r="BN136" s="27"/>
      <x:c r="BO136" s="27"/>
      <x:c r="BP136" s="27"/>
      <x:c r="BQ136" s="27"/>
      <x:c r="BR136" s="27"/>
      <x:c r="BS136" s="27"/>
      <x:c r="BT136" s="27"/>
      <x:c r="BU136" s="27"/>
      <x:c r="BV136" s="27"/>
      <x:c r="BW136" s="27"/>
      <x:c r="BX136" s="27"/>
      <x:c r="BY136" s="27"/>
      <x:c r="BZ136" s="27"/>
      <x:c r="CA136" s="27"/>
      <x:c r="CB136" s="27"/>
      <x:c r="CC136" s="27"/>
      <x:c r="CD136" s="27"/>
      <x:c r="CE136" s="27"/>
      <x:c r="CF136" s="27"/>
      <x:c r="CG136" s="27"/>
      <x:c r="CH136" s="27"/>
      <x:c r="CI136" s="27"/>
      <x:c r="CJ136" s="27"/>
      <x:c r="CK136" s="27"/>
      <x:c r="CL136" s="27"/>
      <x:c r="CM136" s="27"/>
      <x:c r="CN136" s="27"/>
      <x:c r="CO136" s="27"/>
      <x:c r="CP136" s="27"/>
      <x:c r="CQ136" s="27"/>
      <x:c r="CR136" s="27"/>
      <x:c r="CS136" s="27"/>
      <x:c r="CT136" s="27"/>
      <x:c r="CU136" s="27"/>
      <x:c r="CV136" s="27"/>
      <x:c r="CW136" s="27"/>
      <x:c r="CX136" s="27"/>
      <x:c r="CY136" s="27"/>
      <x:c r="CZ136" s="27"/>
      <x:c r="DA136" s="27"/>
      <x:c r="DB136" s="27"/>
      <x:c r="DC136" s="27"/>
      <x:c r="DD136" s="27"/>
      <x:c r="DE136" s="27"/>
      <x:c r="DF136" s="27"/>
      <x:c r="DG136" s="27"/>
      <x:c r="DH136" s="27"/>
      <x:c r="DI136" s="27"/>
      <x:c r="DJ136" s="27"/>
      <x:c r="DK136" s="27"/>
      <x:c r="DL136" s="27"/>
      <x:c r="DM136" s="27"/>
      <x:c r="DN136" s="27"/>
      <x:c r="DO136" s="27"/>
      <x:c r="DP136" s="27"/>
      <x:c r="DQ136" s="27"/>
      <x:c r="DR136" s="27"/>
      <x:c r="DS136" s="27"/>
      <x:c r="DT136" s="27"/>
      <x:c r="DU136" s="27"/>
      <x:c r="DV136" s="27"/>
      <x:c r="DW136" s="27"/>
      <x:c r="DX136" s="27"/>
      <x:c r="DY136" s="27"/>
      <x:c r="DZ136" s="27"/>
      <x:c r="EA136" s="27"/>
      <x:c r="EB136" s="27"/>
      <x:c r="EC136" s="27"/>
      <x:c r="ED136" s="27"/>
      <x:c r="EE136" s="27"/>
      <x:c r="EF136" s="27"/>
      <x:c r="EG136" s="27"/>
      <x:c r="EH136" s="27"/>
      <x:c r="EI136" s="27"/>
      <x:c r="EJ136" s="27"/>
      <x:c r="EK136" s="27"/>
      <x:c r="EL136" s="27"/>
      <x:c r="EM136" s="27"/>
      <x:c r="EN136" s="27"/>
      <x:c r="EO136" s="27"/>
      <x:c r="EP136" s="27"/>
      <x:c r="EQ136" s="27"/>
      <x:c r="ER136" s="27"/>
      <x:c r="ES136" s="27"/>
      <x:c r="ET136" s="27"/>
      <x:c r="EU136" s="27"/>
      <x:c r="EV136" s="27"/>
      <x:c r="EW136" s="27"/>
      <x:c r="EX136" s="27"/>
      <x:c r="EY136" s="27"/>
      <x:c r="EZ136" s="27"/>
      <x:c r="FA136" s="27"/>
      <x:c r="FB136" s="27"/>
      <x:c r="FC136" s="27"/>
      <x:c r="FD136" s="27"/>
      <x:c r="FE136" s="27"/>
      <x:c r="FF136" s="27"/>
      <x:c r="FG136" s="27"/>
      <x:c r="FH136" s="27"/>
      <x:c r="FI136" s="27"/>
      <x:c r="FJ136" s="27"/>
      <x:c r="FK136" s="27"/>
      <x:c r="FL136" s="27"/>
      <x:c r="FM136" s="27"/>
      <x:c r="FN136" s="27"/>
      <x:c r="FO136" s="27"/>
      <x:c r="FP136" s="27"/>
      <x:c r="FQ136" s="27"/>
      <x:c r="FR136" s="27"/>
      <x:c r="FS136" s="27"/>
      <x:c r="FT136" s="27"/>
      <x:c r="FU136" s="27"/>
      <x:c r="FV136" s="27"/>
      <x:c r="FW136" s="27"/>
      <x:c r="FX136" s="27"/>
      <x:c r="FY136" s="27"/>
      <x:c r="FZ136" s="27"/>
      <x:c r="GA136" s="27"/>
      <x:c r="GB136" s="27"/>
      <x:c r="GC136" s="27"/>
      <x:c r="GD136" s="27"/>
      <x:c r="GE136" s="27"/>
      <x:c r="GF136" s="27"/>
      <x:c r="GG136" s="27"/>
      <x:c r="GH136" s="27"/>
      <x:c r="GI136" s="27"/>
      <x:c r="GJ136" s="27"/>
      <x:c r="GK136" s="27"/>
      <x:c r="GL136" s="27"/>
      <x:c r="GM136" s="27"/>
      <x:c r="GN136" s="27"/>
      <x:c r="GO136" s="27"/>
      <x:c r="GP136" s="27"/>
      <x:c r="GQ136" s="27"/>
      <x:c r="GR136" s="27"/>
      <x:c r="GS136" s="27"/>
      <x:c r="GT136" s="27"/>
      <x:c r="GU136" s="27"/>
      <x:c r="GV136" s="27"/>
      <x:c r="GW136" s="27"/>
      <x:c r="GX136" s="27"/>
      <x:c r="GY136" s="27"/>
      <x:c r="GZ136" s="27"/>
      <x:c r="HA136" s="27"/>
      <x:c r="HB136" s="27"/>
      <x:c r="HC136" s="27"/>
      <x:c r="HD136" s="27"/>
      <x:c r="HE136" s="27"/>
      <x:c r="HF136" s="27"/>
      <x:c r="HG136" s="27"/>
      <x:c r="HH136" s="27"/>
      <x:c r="HI136" s="27"/>
      <x:c r="HJ136" s="27"/>
      <x:c r="HK136" s="27"/>
      <x:c r="HL136" s="27"/>
      <x:c r="HM136" s="27"/>
      <x:c r="HN136" s="27"/>
      <x:c r="HO136" s="27"/>
      <x:c r="HP136" s="27" t="str">
        <x:f>IF(C136="","",SUM(H136,N136,T136,Z136,AF136,AL136,AR136,AX136,BD136,BJ136,BP136,BV136,CB136,CH136,CN136,CT136,CZ136,DF136,DL136,DR136,DX136,ED136,EJ136,EP136,EV136,FB136,FH136,FN136,FT136,FZ136,GF136,GL136,GR136,GX136,HD136,HJ136))</x:f>
      </x:c>
      <x:c r="HQ136" s="27" t="str">
        <x:f>IF(C136="","",SUM(I136,O136,U136,AA136,AG136,AM136,AS136,AY136,BE136,BK136,BQ136,BW136,CC136,CI136,CO136,CU136,DA136,DG136,DM136,DS136,DY136,EE136,EK136,EQ136,EW136,FC136,FI136,FO136,FU136,GA136,GG136,GM136,GS136,GY136,HE136,HK136))</x:f>
      </x:c>
      <x:c r="HR136" s="27" t="str">
        <x:f>IF(C136="","",SUM(J136,P136,V136,AB136,AH136,AN136,AT136,AZ136,BF136,BL136,BR136,BX136,CD136,CJ136,CP136,CV136,DB136,DH136,DN136,DT136,DZ136,EF136,EL136,ER136,EX136,FD136,FJ136,FP136,FV136,GB136,GH136,GN136,GT136,GZ136,HF136,HL136))</x:f>
      </x:c>
      <x:c r="HS136" s="27" t="str">
        <x:f>IF(C136="","",SUM(K136,Q136,W136,AC136,AI136,AO136,AU136,BA136,BG136,BM136,BS136,BY136,CE136,CK136,CQ136,CW136,DC136,DI136,DO136,DU136,EA136,EG136,EM136,ES136,EY136,FE136,FK136,FQ136,FW136,GC136,GI136,GO136,GU136,HA136,HG136,HM136))</x:f>
      </x:c>
      <x:c r="HT136" s="27" t="str">
        <x:f>IF(C136="","",SUM(L136,R136,X136,AD136,AJ136,AP136,AV136,BB136,BH136,BN136,BT136,BZ136,CF136,CL136,CR136,CX136,DD136,DJ136,DP136,DV136,EB136,EH136,EN136,ET136,EZ136,FF136,FL136,FR136,FX136,GD136,GJ136,GP136,GV136,HB136,HH136,HN136))</x:f>
      </x:c>
      <x:c r="HU136" s="27" t="str">
        <x:f>IF(C136="","",SUM(M136,S136,Y136,AE136,AK136,AQ136,AW136,BC136,BI136,BO136,BU136,CA136,CG136,CM136,CS136,CY136,DE136,DK136,DQ136,DW136,EC136,EI136,EO136,EU136,FA136,FG136,FM136,FS136,FY136,GE136,GK136,GQ136,GW136,HC136,HI136,HO136))</x:f>
      </x:c>
      <x:c r="HV136" s="27" t="str">
        <x:f>IF(C136="","",IF(JI136=LARGE(JI136:JN136,1),"R",IF(JJ136=LARGE(JI136:JN136,1),"I",IF(JK136=LARGE(JI136:JN136,1),"A",IF(JL136=LARGE(JI136:JN136,1),"S",IF(JM136=LARGE(JI136:JN136,1),"E",IF(JN136=LARGE(JI136:JN136,1),"C",""))))))&amp;IF(JI136=LARGE(JI136:JN136,2),"R",IF(JJ136=LARGE(JI136:JN136,2),"I",IF(JK136=LARGE(JI136:JN136,2),"A",IF(JL136=LARGE(JI136:JN136,2),"S",IF(JM136=LARGE(JI136:JN136,2),"E",IF(JN136=LARGE(JI136:JN136,2),"C",""))))))&amp;IF(JI136=LARGE(JI136:JN136,3),"R",IF(JJ136=LARGE(JI136:JN136,3),"I",IF(JK136=LARGE(JI136:JN136,3),"A",IF(JL136=LARGE(JI136:JN136,3),"S",IF(JM136=LARGE(JI136:JN136,3),"E",IF(JN136=LARGE(JI136:JN136,3),"C","")))))))</x:f>
      </x:c>
      <x:c r="HW136" s="27" t="str">
        <x:f>IF(C136="","",IF(JI136=LARGE(JI136:JN136,1),"นักปฏิบัติ",IF(JJ136=LARGE(JI136:JN136,1),"นักคิดวิเคราะห์",IF(JK136=LARGE(JI136:JN136,1),"นักสร้างสรรค์",IF(JL136=LARGE(JI136:JN136,1),"ผู้เข้าใจผู้คน",IF(JM136=LARGE(JI136:JN136,1),"ผู้นำการเปลี่ยนแปลง",IF(JN136=LARGE(JI136:JN136,1),"ผู้จัดระบบ","ผู้จัดระบบ")))))))</x:f>
      </x:c>
      <x:c r="HX136" s="27"/>
      <x:c r="HY136" s="27"/>
      <x:c r="HZ136" s="27"/>
      <x:c r="IA136" s="27"/>
      <x:c r="IB136" s="27"/>
      <x:c r="IC136" s="27"/>
      <x:c r="ID136" s="27"/>
      <x:c r="IE136" s="27"/>
      <x:c r="IF136" s="27"/>
      <x:c r="IG136" s="27"/>
      <x:c r="IH136" s="27"/>
      <x:c r="II136" s="27"/>
      <x:c r="IJ136" s="27"/>
      <x:c r="IK136" s="27" t="str">
        <x:f>IF(C136="","",SUM(H136,N136,T136,Z136,AF136,AL136,AR136,AX136,BD136,BJ136,BP136))</x:f>
      </x:c>
      <x:c r="IL136" s="27" t="str">
        <x:f>IF(C136="","",SUM(I136,O136,U136,AA136,AG136,AM136,AS136,AY136,BE136,BK136,BQ136))</x:f>
      </x:c>
      <x:c r="IM136" s="27" t="str">
        <x:f>IF(C136="","",SUM(J136,P136,V136,AB136,AH136,AN136,AT136,AZ136,BF136,BL136,BR136))</x:f>
      </x:c>
      <x:c r="IN136" s="27" t="str">
        <x:f>IF(C136="","",SUM(K136,Q136,W136,AC136,AI136,AO136,AU136,BA136,BG136,BM136,BS136))</x:f>
      </x:c>
      <x:c r="IO136" s="27" t="str">
        <x:f>IF(C136="","",SUM(L136,R136,X136,AD136,AJ136,AP136,AV136,BB136,BH136,BN136,BT136))</x:f>
      </x:c>
      <x:c r="IP136" s="27" t="str">
        <x:f>IF(C136="","",SUM(M136,S136,Y136,AE136,AK136,AQ136,AW136,BC136,BI136,BO136,BU136))</x:f>
      </x:c>
      <x:c r="IQ136" s="27" t="str">
        <x:f>IF(C136="","",SUM(BV136,CB136,CH136,CN136,CT136,CZ136,DF136,DL136,DR136,DX136,ED136))</x:f>
      </x:c>
      <x:c r="IR136" s="27" t="str">
        <x:f>IF(C136="","",SUM(BW136,CC136,CI136,CO136,CU136,DA136,DG136,DM136,DS136,DY136,EE136))</x:f>
      </x:c>
      <x:c r="IS136" s="27" t="str">
        <x:f>IF(C136="","",SUM(BX136,CD136,CJ136,CP136,CV136,DB136,DH136,DN136,DT136,DZ136,EF136))</x:f>
      </x:c>
      <x:c r="IT136" s="27" t="str">
        <x:f>IF(C136="","",SUM(BY136,CE136,CK136,CQ136,CW136,DC136,DI136,DO136,DU136,EA136,EG136))</x:f>
      </x:c>
      <x:c r="IU136" s="27" t="str">
        <x:f>IF(C136="","",SUM(BZ136,CF136,CL136,CR136,CX136,DD136,DJ136,DP136,DV136,EB136,EH136))</x:f>
      </x:c>
      <x:c r="IV136" s="27" t="str">
        <x:f>IF(C136="","",SUM(CA136,CG136,CM136,CS136,CY136,DE136,DK136,DQ136,DW136,EC136,EI136))</x:f>
      </x:c>
      <x:c r="IW136" s="27" t="str">
        <x:f>IF(C136="","",SUM(EJ136,EP136,EV136,FB136,FH136,FN136,FT136,FZ136,GF136,GL136,GR136,GX136,HD136,HJ136))</x:f>
      </x:c>
      <x:c r="IX136" s="27" t="str">
        <x:f>IF(C136="","",SUM(EK136,EQ136,EW136,FC136,FI136,FO136,FU136,GA136,GG136,GM136,GS136,GY136,HE136,HK136))</x:f>
      </x:c>
      <x:c r="IY136" s="27" t="str">
        <x:f>IF(C136="","",SUM(EL136,ER136,EX136,FD136,FJ136,FP136,FV136,GB136,GH136,GN136,GT136,GZ136,HF136,HL136))</x:f>
      </x:c>
      <x:c r="IZ136" s="27" t="str">
        <x:f>IF(C136="","",SUM(EM136,ES136,EY136,FE136,FK136,FQ136,FW136,GC136,GI136,GO136,GU136,HA136,HG136,HM136))</x:f>
      </x:c>
      <x:c r="JA136" s="27" t="str">
        <x:f>IF(C136="","",SUM(EN136,ET136,EZ136,FF136,FL136,FR136,FX136,GD136,GJ136,GP136,GV136,HB136,HH136,HN136))</x:f>
      </x:c>
      <x:c r="JB136" s="27" t="str">
        <x:f>IF(C136="","",SUM(EO136,EU136,FA136,FG136,FM136,FS136,FY136,GE136,GK136,GQ136,GW136,HC136,HI136,HO136))</x:f>
      </x:c>
      <x:c r="JC136" s="27" t="str">
        <x:f>IF(C136="","",0)</x:f>
      </x:c>
      <x:c r="JD136" s="27" t="str">
        <x:f>IF(C136="","",0)</x:f>
      </x:c>
      <x:c r="JE136" s="27" t="str">
        <x:f>IF(C136="","",0)</x:f>
      </x:c>
      <x:c r="JF136" s="27" t="str">
        <x:f>IF(C136="","",0)</x:f>
      </x:c>
      <x:c r="JG136" s="27" t="str">
        <x:f>IF(C136="","",0)</x:f>
      </x:c>
      <x:c r="JH136" s="27" t="str">
        <x:f>IF(C136="","",0)</x:f>
      </x:c>
      <x:c r="JI136" s="27" t="str">
        <x:f>IF(C136="","",HP136*1000000000+IW136*1000000+IQ136*10000+IK136*100+JC136+6/1000)</x:f>
      </x:c>
      <x:c r="JJ136" s="27" t="str">
        <x:f>IF(C136="","",HQ136*1000000000+IX136*1000000+IR136*10000+IL136*100+JD136+5/1000)</x:f>
      </x:c>
      <x:c r="JK136" s="27" t="str">
        <x:f>IF(C136="","",HR136*1000000000+IY136*1000000+IS136*10000+IM136*100+JE136+4/1000)</x:f>
      </x:c>
      <x:c r="JL136" s="27" t="str">
        <x:f>IF(C136="","",HS136*1000000000+IZ136*1000000+IT136*10000+IN136*100+JF136+3/1000)</x:f>
      </x:c>
      <x:c r="JM136" s="27" t="str">
        <x:f>IF(C136="","",HT136*1000000000+JA136*1000000+IU136*10000+IO136*100+JG136+2/1000)</x:f>
      </x:c>
      <x:c r="JN136" s="27" t="str">
        <x:f>IF(C136="","",HU136*1000000000+JB136*1000000+IV136*10000+IP136*100+JH136+1/1000)</x:f>
      </x:c>
    </x:row>
    <x:row r="137">
      <x:c r="A137" s="27"/>
      <x:c r="B137" s="28"/>
      <x:c r="C137" s="27"/>
      <x:c r="D137" s="27"/>
      <x:c r="E137" s="27"/>
      <x:c r="F137" s="27"/>
      <x:c r="G137" s="27"/>
      <x:c r="H137" s="27"/>
      <x:c r="I137" s="27"/>
      <x:c r="J137" s="27"/>
      <x:c r="K137" s="27"/>
      <x:c r="L137" s="27"/>
      <x:c r="M137" s="27"/>
      <x:c r="N137" s="27"/>
      <x:c r="O137" s="27"/>
      <x:c r="P137" s="27"/>
      <x:c r="Q137" s="27"/>
      <x:c r="R137" s="27"/>
      <x:c r="S137" s="27"/>
      <x:c r="T137" s="27"/>
      <x:c r="U137" s="27"/>
      <x:c r="V137" s="27"/>
      <x:c r="W137" s="27"/>
      <x:c r="X137" s="27"/>
      <x:c r="Y137" s="27"/>
      <x:c r="Z137" s="27"/>
      <x:c r="AA137" s="27"/>
      <x:c r="AB137" s="27"/>
      <x:c r="AC137" s="27"/>
      <x:c r="AD137" s="27"/>
      <x:c r="AE137" s="27"/>
      <x:c r="AF137" s="27"/>
      <x:c r="AG137" s="27"/>
      <x:c r="AH137" s="27"/>
      <x:c r="AI137" s="27"/>
      <x:c r="AJ137" s="27"/>
      <x:c r="AK137" s="27"/>
      <x:c r="AL137" s="27"/>
      <x:c r="AM137" s="27"/>
      <x:c r="AN137" s="27"/>
      <x:c r="AO137" s="27"/>
      <x:c r="AP137" s="27"/>
      <x:c r="AQ137" s="27"/>
      <x:c r="AR137" s="27"/>
      <x:c r="AS137" s="27"/>
      <x:c r="AT137" s="27"/>
      <x:c r="AU137" s="27"/>
      <x:c r="AV137" s="27"/>
      <x:c r="AW137" s="27"/>
      <x:c r="AX137" s="27"/>
      <x:c r="AY137" s="27"/>
      <x:c r="AZ137" s="27"/>
      <x:c r="BA137" s="27"/>
      <x:c r="BB137" s="27"/>
      <x:c r="BC137" s="27"/>
      <x:c r="BD137" s="27"/>
      <x:c r="BE137" s="27"/>
      <x:c r="BF137" s="27"/>
      <x:c r="BG137" s="27"/>
      <x:c r="BH137" s="27"/>
      <x:c r="BI137" s="27"/>
      <x:c r="BJ137" s="27"/>
      <x:c r="BK137" s="27"/>
      <x:c r="BL137" s="27"/>
      <x:c r="BM137" s="27"/>
      <x:c r="BN137" s="27"/>
      <x:c r="BO137" s="27"/>
      <x:c r="BP137" s="27"/>
      <x:c r="BQ137" s="27"/>
      <x:c r="BR137" s="27"/>
      <x:c r="BS137" s="27"/>
      <x:c r="BT137" s="27"/>
      <x:c r="BU137" s="27"/>
      <x:c r="BV137" s="27"/>
      <x:c r="BW137" s="27"/>
      <x:c r="BX137" s="27"/>
      <x:c r="BY137" s="27"/>
      <x:c r="BZ137" s="27"/>
      <x:c r="CA137" s="27"/>
      <x:c r="CB137" s="27"/>
      <x:c r="CC137" s="27"/>
      <x:c r="CD137" s="27"/>
      <x:c r="CE137" s="27"/>
      <x:c r="CF137" s="27"/>
      <x:c r="CG137" s="27"/>
      <x:c r="CH137" s="27"/>
      <x:c r="CI137" s="27"/>
      <x:c r="CJ137" s="27"/>
      <x:c r="CK137" s="27"/>
      <x:c r="CL137" s="27"/>
      <x:c r="CM137" s="27"/>
      <x:c r="CN137" s="27"/>
      <x:c r="CO137" s="27"/>
      <x:c r="CP137" s="27"/>
      <x:c r="CQ137" s="27"/>
      <x:c r="CR137" s="27"/>
      <x:c r="CS137" s="27"/>
      <x:c r="CT137" s="27"/>
      <x:c r="CU137" s="27"/>
      <x:c r="CV137" s="27"/>
      <x:c r="CW137" s="27"/>
      <x:c r="CX137" s="27"/>
      <x:c r="CY137" s="27"/>
      <x:c r="CZ137" s="27"/>
      <x:c r="DA137" s="27"/>
      <x:c r="DB137" s="27"/>
      <x:c r="DC137" s="27"/>
      <x:c r="DD137" s="27"/>
      <x:c r="DE137" s="27"/>
      <x:c r="DF137" s="27"/>
      <x:c r="DG137" s="27"/>
      <x:c r="DH137" s="27"/>
      <x:c r="DI137" s="27"/>
      <x:c r="DJ137" s="27"/>
      <x:c r="DK137" s="27"/>
      <x:c r="DL137" s="27"/>
      <x:c r="DM137" s="27"/>
      <x:c r="DN137" s="27"/>
      <x:c r="DO137" s="27"/>
      <x:c r="DP137" s="27"/>
      <x:c r="DQ137" s="27"/>
      <x:c r="DR137" s="27"/>
      <x:c r="DS137" s="27"/>
      <x:c r="DT137" s="27"/>
      <x:c r="DU137" s="27"/>
      <x:c r="DV137" s="27"/>
      <x:c r="DW137" s="27"/>
      <x:c r="DX137" s="27"/>
      <x:c r="DY137" s="27"/>
      <x:c r="DZ137" s="27"/>
      <x:c r="EA137" s="27"/>
      <x:c r="EB137" s="27"/>
      <x:c r="EC137" s="27"/>
      <x:c r="ED137" s="27"/>
      <x:c r="EE137" s="27"/>
      <x:c r="EF137" s="27"/>
      <x:c r="EG137" s="27"/>
      <x:c r="EH137" s="27"/>
      <x:c r="EI137" s="27"/>
      <x:c r="EJ137" s="27"/>
      <x:c r="EK137" s="27"/>
      <x:c r="EL137" s="27"/>
      <x:c r="EM137" s="27"/>
      <x:c r="EN137" s="27"/>
      <x:c r="EO137" s="27"/>
      <x:c r="EP137" s="27"/>
      <x:c r="EQ137" s="27"/>
      <x:c r="ER137" s="27"/>
      <x:c r="ES137" s="27"/>
      <x:c r="ET137" s="27"/>
      <x:c r="EU137" s="27"/>
      <x:c r="EV137" s="27"/>
      <x:c r="EW137" s="27"/>
      <x:c r="EX137" s="27"/>
      <x:c r="EY137" s="27"/>
      <x:c r="EZ137" s="27"/>
      <x:c r="FA137" s="27"/>
      <x:c r="FB137" s="27"/>
      <x:c r="FC137" s="27"/>
      <x:c r="FD137" s="27"/>
      <x:c r="FE137" s="27"/>
      <x:c r="FF137" s="27"/>
      <x:c r="FG137" s="27"/>
      <x:c r="FH137" s="27"/>
      <x:c r="FI137" s="27"/>
      <x:c r="FJ137" s="27"/>
      <x:c r="FK137" s="27"/>
      <x:c r="FL137" s="27"/>
      <x:c r="FM137" s="27"/>
      <x:c r="FN137" s="27"/>
      <x:c r="FO137" s="27"/>
      <x:c r="FP137" s="27"/>
      <x:c r="FQ137" s="27"/>
      <x:c r="FR137" s="27"/>
      <x:c r="FS137" s="27"/>
      <x:c r="FT137" s="27"/>
      <x:c r="FU137" s="27"/>
      <x:c r="FV137" s="27"/>
      <x:c r="FW137" s="27"/>
      <x:c r="FX137" s="27"/>
      <x:c r="FY137" s="27"/>
      <x:c r="FZ137" s="27"/>
      <x:c r="GA137" s="27"/>
      <x:c r="GB137" s="27"/>
      <x:c r="GC137" s="27"/>
      <x:c r="GD137" s="27"/>
      <x:c r="GE137" s="27"/>
      <x:c r="GF137" s="27"/>
      <x:c r="GG137" s="27"/>
      <x:c r="GH137" s="27"/>
      <x:c r="GI137" s="27"/>
      <x:c r="GJ137" s="27"/>
      <x:c r="GK137" s="27"/>
      <x:c r="GL137" s="27"/>
      <x:c r="GM137" s="27"/>
      <x:c r="GN137" s="27"/>
      <x:c r="GO137" s="27"/>
      <x:c r="GP137" s="27"/>
      <x:c r="GQ137" s="27"/>
      <x:c r="GR137" s="27"/>
      <x:c r="GS137" s="27"/>
      <x:c r="GT137" s="27"/>
      <x:c r="GU137" s="27"/>
      <x:c r="GV137" s="27"/>
      <x:c r="GW137" s="27"/>
      <x:c r="GX137" s="27"/>
      <x:c r="GY137" s="27"/>
      <x:c r="GZ137" s="27"/>
      <x:c r="HA137" s="27"/>
      <x:c r="HB137" s="27"/>
      <x:c r="HC137" s="27"/>
      <x:c r="HD137" s="27"/>
      <x:c r="HE137" s="27"/>
      <x:c r="HF137" s="27"/>
      <x:c r="HG137" s="27"/>
      <x:c r="HH137" s="27"/>
      <x:c r="HI137" s="27"/>
      <x:c r="HJ137" s="27"/>
      <x:c r="HK137" s="27"/>
      <x:c r="HL137" s="27"/>
      <x:c r="HM137" s="27"/>
      <x:c r="HN137" s="27"/>
      <x:c r="HO137" s="27"/>
      <x:c r="HP137" s="27" t="str">
        <x:f>IF(C137="","",SUM(H137,N137,T137,Z137,AF137,AL137,AR137,AX137,BD137,BJ137,BP137,BV137,CB137,CH137,CN137,CT137,CZ137,DF137,DL137,DR137,DX137,ED137,EJ137,EP137,EV137,FB137,FH137,FN137,FT137,FZ137,GF137,GL137,GR137,GX137,HD137,HJ137))</x:f>
      </x:c>
      <x:c r="HQ137" s="27" t="str">
        <x:f>IF(C137="","",SUM(I137,O137,U137,AA137,AG137,AM137,AS137,AY137,BE137,BK137,BQ137,BW137,CC137,CI137,CO137,CU137,DA137,DG137,DM137,DS137,DY137,EE137,EK137,EQ137,EW137,FC137,FI137,FO137,FU137,GA137,GG137,GM137,GS137,GY137,HE137,HK137))</x:f>
      </x:c>
      <x:c r="HR137" s="27" t="str">
        <x:f>IF(C137="","",SUM(J137,P137,V137,AB137,AH137,AN137,AT137,AZ137,BF137,BL137,BR137,BX137,CD137,CJ137,CP137,CV137,DB137,DH137,DN137,DT137,DZ137,EF137,EL137,ER137,EX137,FD137,FJ137,FP137,FV137,GB137,GH137,GN137,GT137,GZ137,HF137,HL137))</x:f>
      </x:c>
      <x:c r="HS137" s="27" t="str">
        <x:f>IF(C137="","",SUM(K137,Q137,W137,AC137,AI137,AO137,AU137,BA137,BG137,BM137,BS137,BY137,CE137,CK137,CQ137,CW137,DC137,DI137,DO137,DU137,EA137,EG137,EM137,ES137,EY137,FE137,FK137,FQ137,FW137,GC137,GI137,GO137,GU137,HA137,HG137,HM137))</x:f>
      </x:c>
      <x:c r="HT137" s="27" t="str">
        <x:f>IF(C137="","",SUM(L137,R137,X137,AD137,AJ137,AP137,AV137,BB137,BH137,BN137,BT137,BZ137,CF137,CL137,CR137,CX137,DD137,DJ137,DP137,DV137,EB137,EH137,EN137,ET137,EZ137,FF137,FL137,FR137,FX137,GD137,GJ137,GP137,GV137,HB137,HH137,HN137))</x:f>
      </x:c>
      <x:c r="HU137" s="27" t="str">
        <x:f>IF(C137="","",SUM(M137,S137,Y137,AE137,AK137,AQ137,AW137,BC137,BI137,BO137,BU137,CA137,CG137,CM137,CS137,CY137,DE137,DK137,DQ137,DW137,EC137,EI137,EO137,EU137,FA137,FG137,FM137,FS137,FY137,GE137,GK137,GQ137,GW137,HC137,HI137,HO137))</x:f>
      </x:c>
      <x:c r="HV137" s="27" t="str">
        <x:f>IF(C137="","",IF(JI137=LARGE(JI137:JN137,1),"R",IF(JJ137=LARGE(JI137:JN137,1),"I",IF(JK137=LARGE(JI137:JN137,1),"A",IF(JL137=LARGE(JI137:JN137,1),"S",IF(JM137=LARGE(JI137:JN137,1),"E",IF(JN137=LARGE(JI137:JN137,1),"C",""))))))&amp;IF(JI137=LARGE(JI137:JN137,2),"R",IF(JJ137=LARGE(JI137:JN137,2),"I",IF(JK137=LARGE(JI137:JN137,2),"A",IF(JL137=LARGE(JI137:JN137,2),"S",IF(JM137=LARGE(JI137:JN137,2),"E",IF(JN137=LARGE(JI137:JN137,2),"C",""))))))&amp;IF(JI137=LARGE(JI137:JN137,3),"R",IF(JJ137=LARGE(JI137:JN137,3),"I",IF(JK137=LARGE(JI137:JN137,3),"A",IF(JL137=LARGE(JI137:JN137,3),"S",IF(JM137=LARGE(JI137:JN137,3),"E",IF(JN137=LARGE(JI137:JN137,3),"C","")))))))</x:f>
      </x:c>
      <x:c r="HW137" s="27" t="str">
        <x:f>IF(C137="","",IF(JI137=LARGE(JI137:JN137,1),"นักปฏิบัติ",IF(JJ137=LARGE(JI137:JN137,1),"นักคิดวิเคราะห์",IF(JK137=LARGE(JI137:JN137,1),"นักสร้างสรรค์",IF(JL137=LARGE(JI137:JN137,1),"ผู้เข้าใจผู้คน",IF(JM137=LARGE(JI137:JN137,1),"ผู้นำการเปลี่ยนแปลง",IF(JN137=LARGE(JI137:JN137,1),"ผู้จัดระบบ","ผู้จัดระบบ")))))))</x:f>
      </x:c>
      <x:c r="HX137" s="27"/>
      <x:c r="HY137" s="27"/>
      <x:c r="HZ137" s="27"/>
      <x:c r="IA137" s="27"/>
      <x:c r="IB137" s="27"/>
      <x:c r="IC137" s="27"/>
      <x:c r="ID137" s="27"/>
      <x:c r="IE137" s="27"/>
      <x:c r="IF137" s="27"/>
      <x:c r="IG137" s="27"/>
      <x:c r="IH137" s="27"/>
      <x:c r="II137" s="27"/>
      <x:c r="IJ137" s="27"/>
      <x:c r="IK137" s="27" t="str">
        <x:f>IF(C137="","",SUM(H137,N137,T137,Z137,AF137,AL137,AR137,AX137,BD137,BJ137,BP137))</x:f>
      </x:c>
      <x:c r="IL137" s="27" t="str">
        <x:f>IF(C137="","",SUM(I137,O137,U137,AA137,AG137,AM137,AS137,AY137,BE137,BK137,BQ137))</x:f>
      </x:c>
      <x:c r="IM137" s="27" t="str">
        <x:f>IF(C137="","",SUM(J137,P137,V137,AB137,AH137,AN137,AT137,AZ137,BF137,BL137,BR137))</x:f>
      </x:c>
      <x:c r="IN137" s="27" t="str">
        <x:f>IF(C137="","",SUM(K137,Q137,W137,AC137,AI137,AO137,AU137,BA137,BG137,BM137,BS137))</x:f>
      </x:c>
      <x:c r="IO137" s="27" t="str">
        <x:f>IF(C137="","",SUM(L137,R137,X137,AD137,AJ137,AP137,AV137,BB137,BH137,BN137,BT137))</x:f>
      </x:c>
      <x:c r="IP137" s="27" t="str">
        <x:f>IF(C137="","",SUM(M137,S137,Y137,AE137,AK137,AQ137,AW137,BC137,BI137,BO137,BU137))</x:f>
      </x:c>
      <x:c r="IQ137" s="27" t="str">
        <x:f>IF(C137="","",SUM(BV137,CB137,CH137,CN137,CT137,CZ137,DF137,DL137,DR137,DX137,ED137))</x:f>
      </x:c>
      <x:c r="IR137" s="27" t="str">
        <x:f>IF(C137="","",SUM(BW137,CC137,CI137,CO137,CU137,DA137,DG137,DM137,DS137,DY137,EE137))</x:f>
      </x:c>
      <x:c r="IS137" s="27" t="str">
        <x:f>IF(C137="","",SUM(BX137,CD137,CJ137,CP137,CV137,DB137,DH137,DN137,DT137,DZ137,EF137))</x:f>
      </x:c>
      <x:c r="IT137" s="27" t="str">
        <x:f>IF(C137="","",SUM(BY137,CE137,CK137,CQ137,CW137,DC137,DI137,DO137,DU137,EA137,EG137))</x:f>
      </x:c>
      <x:c r="IU137" s="27" t="str">
        <x:f>IF(C137="","",SUM(BZ137,CF137,CL137,CR137,CX137,DD137,DJ137,DP137,DV137,EB137,EH137))</x:f>
      </x:c>
      <x:c r="IV137" s="27" t="str">
        <x:f>IF(C137="","",SUM(CA137,CG137,CM137,CS137,CY137,DE137,DK137,DQ137,DW137,EC137,EI137))</x:f>
      </x:c>
      <x:c r="IW137" s="27" t="str">
        <x:f>IF(C137="","",SUM(EJ137,EP137,EV137,FB137,FH137,FN137,FT137,FZ137,GF137,GL137,GR137,GX137,HD137,HJ137))</x:f>
      </x:c>
      <x:c r="IX137" s="27" t="str">
        <x:f>IF(C137="","",SUM(EK137,EQ137,EW137,FC137,FI137,FO137,FU137,GA137,GG137,GM137,GS137,GY137,HE137,HK137))</x:f>
      </x:c>
      <x:c r="IY137" s="27" t="str">
        <x:f>IF(C137="","",SUM(EL137,ER137,EX137,FD137,FJ137,FP137,FV137,GB137,GH137,GN137,GT137,GZ137,HF137,HL137))</x:f>
      </x:c>
      <x:c r="IZ137" s="27" t="str">
        <x:f>IF(C137="","",SUM(EM137,ES137,EY137,FE137,FK137,FQ137,FW137,GC137,GI137,GO137,GU137,HA137,HG137,HM137))</x:f>
      </x:c>
      <x:c r="JA137" s="27" t="str">
        <x:f>IF(C137="","",SUM(EN137,ET137,EZ137,FF137,FL137,FR137,FX137,GD137,GJ137,GP137,GV137,HB137,HH137,HN137))</x:f>
      </x:c>
      <x:c r="JB137" s="27" t="str">
        <x:f>IF(C137="","",SUM(EO137,EU137,FA137,FG137,FM137,FS137,FY137,GE137,GK137,GQ137,GW137,HC137,HI137,HO137))</x:f>
      </x:c>
      <x:c r="JC137" s="27" t="str">
        <x:f>IF(C137="","",0)</x:f>
      </x:c>
      <x:c r="JD137" s="27" t="str">
        <x:f>IF(C137="","",0)</x:f>
      </x:c>
      <x:c r="JE137" s="27" t="str">
        <x:f>IF(C137="","",0)</x:f>
      </x:c>
      <x:c r="JF137" s="27" t="str">
        <x:f>IF(C137="","",0)</x:f>
      </x:c>
      <x:c r="JG137" s="27" t="str">
        <x:f>IF(C137="","",0)</x:f>
      </x:c>
      <x:c r="JH137" s="27" t="str">
        <x:f>IF(C137="","",0)</x:f>
      </x:c>
      <x:c r="JI137" s="27" t="str">
        <x:f>IF(C137="","",HP137*1000000000+IW137*1000000+IQ137*10000+IK137*100+JC137+6/1000)</x:f>
      </x:c>
      <x:c r="JJ137" s="27" t="str">
        <x:f>IF(C137="","",HQ137*1000000000+IX137*1000000+IR137*10000+IL137*100+JD137+5/1000)</x:f>
      </x:c>
      <x:c r="JK137" s="27" t="str">
        <x:f>IF(C137="","",HR137*1000000000+IY137*1000000+IS137*10000+IM137*100+JE137+4/1000)</x:f>
      </x:c>
      <x:c r="JL137" s="27" t="str">
        <x:f>IF(C137="","",HS137*1000000000+IZ137*1000000+IT137*10000+IN137*100+JF137+3/1000)</x:f>
      </x:c>
      <x:c r="JM137" s="27" t="str">
        <x:f>IF(C137="","",HT137*1000000000+JA137*1000000+IU137*10000+IO137*100+JG137+2/1000)</x:f>
      </x:c>
      <x:c r="JN137" s="27" t="str">
        <x:f>IF(C137="","",HU137*1000000000+JB137*1000000+IV137*10000+IP137*100+JH137+1/1000)</x:f>
      </x:c>
    </x:row>
    <x:row r="138">
      <x:c r="A138" s="27"/>
      <x:c r="B138" s="28"/>
      <x:c r="C138" s="27"/>
      <x:c r="D138" s="27"/>
      <x:c r="E138" s="27"/>
      <x:c r="F138" s="27"/>
      <x:c r="G138" s="27"/>
      <x:c r="H138" s="27"/>
      <x:c r="I138" s="27"/>
      <x:c r="J138" s="27"/>
      <x:c r="K138" s="27"/>
      <x:c r="L138" s="27"/>
      <x:c r="M138" s="27"/>
      <x:c r="N138" s="27"/>
      <x:c r="O138" s="27"/>
      <x:c r="P138" s="27"/>
      <x:c r="Q138" s="27"/>
      <x:c r="R138" s="27"/>
      <x:c r="S138" s="27"/>
      <x:c r="T138" s="27"/>
      <x:c r="U138" s="27"/>
      <x:c r="V138" s="27"/>
      <x:c r="W138" s="27"/>
      <x:c r="X138" s="27"/>
      <x:c r="Y138" s="27"/>
      <x:c r="Z138" s="27"/>
      <x:c r="AA138" s="27"/>
      <x:c r="AB138" s="27"/>
      <x:c r="AC138" s="27"/>
      <x:c r="AD138" s="27"/>
      <x:c r="AE138" s="27"/>
      <x:c r="AF138" s="27"/>
      <x:c r="AG138" s="27"/>
      <x:c r="AH138" s="27"/>
      <x:c r="AI138" s="27"/>
      <x:c r="AJ138" s="27"/>
      <x:c r="AK138" s="27"/>
      <x:c r="AL138" s="27"/>
      <x:c r="AM138" s="27"/>
      <x:c r="AN138" s="27"/>
      <x:c r="AO138" s="27"/>
      <x:c r="AP138" s="27"/>
      <x:c r="AQ138" s="27"/>
      <x:c r="AR138" s="27"/>
      <x:c r="AS138" s="27"/>
      <x:c r="AT138" s="27"/>
      <x:c r="AU138" s="27"/>
      <x:c r="AV138" s="27"/>
      <x:c r="AW138" s="27"/>
      <x:c r="AX138" s="27"/>
      <x:c r="AY138" s="27"/>
      <x:c r="AZ138" s="27"/>
      <x:c r="BA138" s="27"/>
      <x:c r="BB138" s="27"/>
      <x:c r="BC138" s="27"/>
      <x:c r="BD138" s="27"/>
      <x:c r="BE138" s="27"/>
      <x:c r="BF138" s="27"/>
      <x:c r="BG138" s="27"/>
      <x:c r="BH138" s="27"/>
      <x:c r="BI138" s="27"/>
      <x:c r="BJ138" s="27"/>
      <x:c r="BK138" s="27"/>
      <x:c r="BL138" s="27"/>
      <x:c r="BM138" s="27"/>
      <x:c r="BN138" s="27"/>
      <x:c r="BO138" s="27"/>
      <x:c r="BP138" s="27"/>
      <x:c r="BQ138" s="27"/>
      <x:c r="BR138" s="27"/>
      <x:c r="BS138" s="27"/>
      <x:c r="BT138" s="27"/>
      <x:c r="BU138" s="27"/>
      <x:c r="BV138" s="27"/>
      <x:c r="BW138" s="27"/>
      <x:c r="BX138" s="27"/>
      <x:c r="BY138" s="27"/>
      <x:c r="BZ138" s="27"/>
      <x:c r="CA138" s="27"/>
      <x:c r="CB138" s="27"/>
      <x:c r="CC138" s="27"/>
      <x:c r="CD138" s="27"/>
      <x:c r="CE138" s="27"/>
      <x:c r="CF138" s="27"/>
      <x:c r="CG138" s="27"/>
      <x:c r="CH138" s="27"/>
      <x:c r="CI138" s="27"/>
      <x:c r="CJ138" s="27"/>
      <x:c r="CK138" s="27"/>
      <x:c r="CL138" s="27"/>
      <x:c r="CM138" s="27"/>
      <x:c r="CN138" s="27"/>
      <x:c r="CO138" s="27"/>
      <x:c r="CP138" s="27"/>
      <x:c r="CQ138" s="27"/>
      <x:c r="CR138" s="27"/>
      <x:c r="CS138" s="27"/>
      <x:c r="CT138" s="27"/>
      <x:c r="CU138" s="27"/>
      <x:c r="CV138" s="27"/>
      <x:c r="CW138" s="27"/>
      <x:c r="CX138" s="27"/>
      <x:c r="CY138" s="27"/>
      <x:c r="CZ138" s="27"/>
      <x:c r="DA138" s="27"/>
      <x:c r="DB138" s="27"/>
      <x:c r="DC138" s="27"/>
      <x:c r="DD138" s="27"/>
      <x:c r="DE138" s="27"/>
      <x:c r="DF138" s="27"/>
      <x:c r="DG138" s="27"/>
      <x:c r="DH138" s="27"/>
      <x:c r="DI138" s="27"/>
      <x:c r="DJ138" s="27"/>
      <x:c r="DK138" s="27"/>
      <x:c r="DL138" s="27"/>
      <x:c r="DM138" s="27"/>
      <x:c r="DN138" s="27"/>
      <x:c r="DO138" s="27"/>
      <x:c r="DP138" s="27"/>
      <x:c r="DQ138" s="27"/>
      <x:c r="DR138" s="27"/>
      <x:c r="DS138" s="27"/>
      <x:c r="DT138" s="27"/>
      <x:c r="DU138" s="27"/>
      <x:c r="DV138" s="27"/>
      <x:c r="DW138" s="27"/>
      <x:c r="DX138" s="27"/>
      <x:c r="DY138" s="27"/>
      <x:c r="DZ138" s="27"/>
      <x:c r="EA138" s="27"/>
      <x:c r="EB138" s="27"/>
      <x:c r="EC138" s="27"/>
      <x:c r="ED138" s="27"/>
      <x:c r="EE138" s="27"/>
      <x:c r="EF138" s="27"/>
      <x:c r="EG138" s="27"/>
      <x:c r="EH138" s="27"/>
      <x:c r="EI138" s="27"/>
      <x:c r="EJ138" s="27"/>
      <x:c r="EK138" s="27"/>
      <x:c r="EL138" s="27"/>
      <x:c r="EM138" s="27"/>
      <x:c r="EN138" s="27"/>
      <x:c r="EO138" s="27"/>
      <x:c r="EP138" s="27"/>
      <x:c r="EQ138" s="27"/>
      <x:c r="ER138" s="27"/>
      <x:c r="ES138" s="27"/>
      <x:c r="ET138" s="27"/>
      <x:c r="EU138" s="27"/>
      <x:c r="EV138" s="27"/>
      <x:c r="EW138" s="27"/>
      <x:c r="EX138" s="27"/>
      <x:c r="EY138" s="27"/>
      <x:c r="EZ138" s="27"/>
      <x:c r="FA138" s="27"/>
      <x:c r="FB138" s="27"/>
      <x:c r="FC138" s="27"/>
      <x:c r="FD138" s="27"/>
      <x:c r="FE138" s="27"/>
      <x:c r="FF138" s="27"/>
      <x:c r="FG138" s="27"/>
      <x:c r="FH138" s="27"/>
      <x:c r="FI138" s="27"/>
      <x:c r="FJ138" s="27"/>
      <x:c r="FK138" s="27"/>
      <x:c r="FL138" s="27"/>
      <x:c r="FM138" s="27"/>
      <x:c r="FN138" s="27"/>
      <x:c r="FO138" s="27"/>
      <x:c r="FP138" s="27"/>
      <x:c r="FQ138" s="27"/>
      <x:c r="FR138" s="27"/>
      <x:c r="FS138" s="27"/>
      <x:c r="FT138" s="27"/>
      <x:c r="FU138" s="27"/>
      <x:c r="FV138" s="27"/>
      <x:c r="FW138" s="27"/>
      <x:c r="FX138" s="27"/>
      <x:c r="FY138" s="27"/>
      <x:c r="FZ138" s="27"/>
      <x:c r="GA138" s="27"/>
      <x:c r="GB138" s="27"/>
      <x:c r="GC138" s="27"/>
      <x:c r="GD138" s="27"/>
      <x:c r="GE138" s="27"/>
      <x:c r="GF138" s="27"/>
      <x:c r="GG138" s="27"/>
      <x:c r="GH138" s="27"/>
      <x:c r="GI138" s="27"/>
      <x:c r="GJ138" s="27"/>
      <x:c r="GK138" s="27"/>
      <x:c r="GL138" s="27"/>
      <x:c r="GM138" s="27"/>
      <x:c r="GN138" s="27"/>
      <x:c r="GO138" s="27"/>
      <x:c r="GP138" s="27"/>
      <x:c r="GQ138" s="27"/>
      <x:c r="GR138" s="27"/>
      <x:c r="GS138" s="27"/>
      <x:c r="GT138" s="27"/>
      <x:c r="GU138" s="27"/>
      <x:c r="GV138" s="27"/>
      <x:c r="GW138" s="27"/>
      <x:c r="GX138" s="27"/>
      <x:c r="GY138" s="27"/>
      <x:c r="GZ138" s="27"/>
      <x:c r="HA138" s="27"/>
      <x:c r="HB138" s="27"/>
      <x:c r="HC138" s="27"/>
      <x:c r="HD138" s="27"/>
      <x:c r="HE138" s="27"/>
      <x:c r="HF138" s="27"/>
      <x:c r="HG138" s="27"/>
      <x:c r="HH138" s="27"/>
      <x:c r="HI138" s="27"/>
      <x:c r="HJ138" s="27"/>
      <x:c r="HK138" s="27"/>
      <x:c r="HL138" s="27"/>
      <x:c r="HM138" s="27"/>
      <x:c r="HN138" s="27"/>
      <x:c r="HO138" s="27"/>
      <x:c r="HP138" s="27" t="str">
        <x:f>IF(C138="","",SUM(H138,N138,T138,Z138,AF138,AL138,AR138,AX138,BD138,BJ138,BP138,BV138,CB138,CH138,CN138,CT138,CZ138,DF138,DL138,DR138,DX138,ED138,EJ138,EP138,EV138,FB138,FH138,FN138,FT138,FZ138,GF138,GL138,GR138,GX138,HD138,HJ138))</x:f>
      </x:c>
      <x:c r="HQ138" s="27" t="str">
        <x:f>IF(C138="","",SUM(I138,O138,U138,AA138,AG138,AM138,AS138,AY138,BE138,BK138,BQ138,BW138,CC138,CI138,CO138,CU138,DA138,DG138,DM138,DS138,DY138,EE138,EK138,EQ138,EW138,FC138,FI138,FO138,FU138,GA138,GG138,GM138,GS138,GY138,HE138,HK138))</x:f>
      </x:c>
      <x:c r="HR138" s="27" t="str">
        <x:f>IF(C138="","",SUM(J138,P138,V138,AB138,AH138,AN138,AT138,AZ138,BF138,BL138,BR138,BX138,CD138,CJ138,CP138,CV138,DB138,DH138,DN138,DT138,DZ138,EF138,EL138,ER138,EX138,FD138,FJ138,FP138,FV138,GB138,GH138,GN138,GT138,GZ138,HF138,HL138))</x:f>
      </x:c>
      <x:c r="HS138" s="27" t="str">
        <x:f>IF(C138="","",SUM(K138,Q138,W138,AC138,AI138,AO138,AU138,BA138,BG138,BM138,BS138,BY138,CE138,CK138,CQ138,CW138,DC138,DI138,DO138,DU138,EA138,EG138,EM138,ES138,EY138,FE138,FK138,FQ138,FW138,GC138,GI138,GO138,GU138,HA138,HG138,HM138))</x:f>
      </x:c>
      <x:c r="HT138" s="27" t="str">
        <x:f>IF(C138="","",SUM(L138,R138,X138,AD138,AJ138,AP138,AV138,BB138,BH138,BN138,BT138,BZ138,CF138,CL138,CR138,CX138,DD138,DJ138,DP138,DV138,EB138,EH138,EN138,ET138,EZ138,FF138,FL138,FR138,FX138,GD138,GJ138,GP138,GV138,HB138,HH138,HN138))</x:f>
      </x:c>
      <x:c r="HU138" s="27" t="str">
        <x:f>IF(C138="","",SUM(M138,S138,Y138,AE138,AK138,AQ138,AW138,BC138,BI138,BO138,BU138,CA138,CG138,CM138,CS138,CY138,DE138,DK138,DQ138,DW138,EC138,EI138,EO138,EU138,FA138,FG138,FM138,FS138,FY138,GE138,GK138,GQ138,GW138,HC138,HI138,HO138))</x:f>
      </x:c>
      <x:c r="HV138" s="27" t="str">
        <x:f>IF(C138="","",IF(JI138=LARGE(JI138:JN138,1),"R",IF(JJ138=LARGE(JI138:JN138,1),"I",IF(JK138=LARGE(JI138:JN138,1),"A",IF(JL138=LARGE(JI138:JN138,1),"S",IF(JM138=LARGE(JI138:JN138,1),"E",IF(JN138=LARGE(JI138:JN138,1),"C",""))))))&amp;IF(JI138=LARGE(JI138:JN138,2),"R",IF(JJ138=LARGE(JI138:JN138,2),"I",IF(JK138=LARGE(JI138:JN138,2),"A",IF(JL138=LARGE(JI138:JN138,2),"S",IF(JM138=LARGE(JI138:JN138,2),"E",IF(JN138=LARGE(JI138:JN138,2),"C",""))))))&amp;IF(JI138=LARGE(JI138:JN138,3),"R",IF(JJ138=LARGE(JI138:JN138,3),"I",IF(JK138=LARGE(JI138:JN138,3),"A",IF(JL138=LARGE(JI138:JN138,3),"S",IF(JM138=LARGE(JI138:JN138,3),"E",IF(JN138=LARGE(JI138:JN138,3),"C","")))))))</x:f>
      </x:c>
      <x:c r="HW138" s="27" t="str">
        <x:f>IF(C138="","",IF(JI138=LARGE(JI138:JN138,1),"นักปฏิบัติ",IF(JJ138=LARGE(JI138:JN138,1),"นักคิดวิเคราะห์",IF(JK138=LARGE(JI138:JN138,1),"นักสร้างสรรค์",IF(JL138=LARGE(JI138:JN138,1),"ผู้เข้าใจผู้คน",IF(JM138=LARGE(JI138:JN138,1),"ผู้นำการเปลี่ยนแปลง",IF(JN138=LARGE(JI138:JN138,1),"ผู้จัดระบบ","ผู้จัดระบบ")))))))</x:f>
      </x:c>
      <x:c r="HX138" s="27"/>
      <x:c r="HY138" s="27"/>
      <x:c r="HZ138" s="27"/>
      <x:c r="IA138" s="27"/>
      <x:c r="IB138" s="27"/>
      <x:c r="IC138" s="27"/>
      <x:c r="ID138" s="27"/>
      <x:c r="IE138" s="27"/>
      <x:c r="IF138" s="27"/>
      <x:c r="IG138" s="27"/>
      <x:c r="IH138" s="27"/>
      <x:c r="II138" s="27"/>
      <x:c r="IJ138" s="27"/>
      <x:c r="IK138" s="27" t="str">
        <x:f>IF(C138="","",SUM(H138,N138,T138,Z138,AF138,AL138,AR138,AX138,BD138,BJ138,BP138))</x:f>
      </x:c>
      <x:c r="IL138" s="27" t="str">
        <x:f>IF(C138="","",SUM(I138,O138,U138,AA138,AG138,AM138,AS138,AY138,BE138,BK138,BQ138))</x:f>
      </x:c>
      <x:c r="IM138" s="27" t="str">
        <x:f>IF(C138="","",SUM(J138,P138,V138,AB138,AH138,AN138,AT138,AZ138,BF138,BL138,BR138))</x:f>
      </x:c>
      <x:c r="IN138" s="27" t="str">
        <x:f>IF(C138="","",SUM(K138,Q138,W138,AC138,AI138,AO138,AU138,BA138,BG138,BM138,BS138))</x:f>
      </x:c>
      <x:c r="IO138" s="27" t="str">
        <x:f>IF(C138="","",SUM(L138,R138,X138,AD138,AJ138,AP138,AV138,BB138,BH138,BN138,BT138))</x:f>
      </x:c>
      <x:c r="IP138" s="27" t="str">
        <x:f>IF(C138="","",SUM(M138,S138,Y138,AE138,AK138,AQ138,AW138,BC138,BI138,BO138,BU138))</x:f>
      </x:c>
      <x:c r="IQ138" s="27" t="str">
        <x:f>IF(C138="","",SUM(BV138,CB138,CH138,CN138,CT138,CZ138,DF138,DL138,DR138,DX138,ED138))</x:f>
      </x:c>
      <x:c r="IR138" s="27" t="str">
        <x:f>IF(C138="","",SUM(BW138,CC138,CI138,CO138,CU138,DA138,DG138,DM138,DS138,DY138,EE138))</x:f>
      </x:c>
      <x:c r="IS138" s="27" t="str">
        <x:f>IF(C138="","",SUM(BX138,CD138,CJ138,CP138,CV138,DB138,DH138,DN138,DT138,DZ138,EF138))</x:f>
      </x:c>
      <x:c r="IT138" s="27" t="str">
        <x:f>IF(C138="","",SUM(BY138,CE138,CK138,CQ138,CW138,DC138,DI138,DO138,DU138,EA138,EG138))</x:f>
      </x:c>
      <x:c r="IU138" s="27" t="str">
        <x:f>IF(C138="","",SUM(BZ138,CF138,CL138,CR138,CX138,DD138,DJ138,DP138,DV138,EB138,EH138))</x:f>
      </x:c>
      <x:c r="IV138" s="27" t="str">
        <x:f>IF(C138="","",SUM(CA138,CG138,CM138,CS138,CY138,DE138,DK138,DQ138,DW138,EC138,EI138))</x:f>
      </x:c>
      <x:c r="IW138" s="27" t="str">
        <x:f>IF(C138="","",SUM(EJ138,EP138,EV138,FB138,FH138,FN138,FT138,FZ138,GF138,GL138,GR138,GX138,HD138,HJ138))</x:f>
      </x:c>
      <x:c r="IX138" s="27" t="str">
        <x:f>IF(C138="","",SUM(EK138,EQ138,EW138,FC138,FI138,FO138,FU138,GA138,GG138,GM138,GS138,GY138,HE138,HK138))</x:f>
      </x:c>
      <x:c r="IY138" s="27" t="str">
        <x:f>IF(C138="","",SUM(EL138,ER138,EX138,FD138,FJ138,FP138,FV138,GB138,GH138,GN138,GT138,GZ138,HF138,HL138))</x:f>
      </x:c>
      <x:c r="IZ138" s="27" t="str">
        <x:f>IF(C138="","",SUM(EM138,ES138,EY138,FE138,FK138,FQ138,FW138,GC138,GI138,GO138,GU138,HA138,HG138,HM138))</x:f>
      </x:c>
      <x:c r="JA138" s="27" t="str">
        <x:f>IF(C138="","",SUM(EN138,ET138,EZ138,FF138,FL138,FR138,FX138,GD138,GJ138,GP138,GV138,HB138,HH138,HN138))</x:f>
      </x:c>
      <x:c r="JB138" s="27" t="str">
        <x:f>IF(C138="","",SUM(EO138,EU138,FA138,FG138,FM138,FS138,FY138,GE138,GK138,GQ138,GW138,HC138,HI138,HO138))</x:f>
      </x:c>
      <x:c r="JC138" s="27" t="str">
        <x:f>IF(C138="","",0)</x:f>
      </x:c>
      <x:c r="JD138" s="27" t="str">
        <x:f>IF(C138="","",0)</x:f>
      </x:c>
      <x:c r="JE138" s="27" t="str">
        <x:f>IF(C138="","",0)</x:f>
      </x:c>
      <x:c r="JF138" s="27" t="str">
        <x:f>IF(C138="","",0)</x:f>
      </x:c>
      <x:c r="JG138" s="27" t="str">
        <x:f>IF(C138="","",0)</x:f>
      </x:c>
      <x:c r="JH138" s="27" t="str">
        <x:f>IF(C138="","",0)</x:f>
      </x:c>
      <x:c r="JI138" s="27" t="str">
        <x:f>IF(C138="","",HP138*1000000000+IW138*1000000+IQ138*10000+IK138*100+JC138+6/1000)</x:f>
      </x:c>
      <x:c r="JJ138" s="27" t="str">
        <x:f>IF(C138="","",HQ138*1000000000+IX138*1000000+IR138*10000+IL138*100+JD138+5/1000)</x:f>
      </x:c>
      <x:c r="JK138" s="27" t="str">
        <x:f>IF(C138="","",HR138*1000000000+IY138*1000000+IS138*10000+IM138*100+JE138+4/1000)</x:f>
      </x:c>
      <x:c r="JL138" s="27" t="str">
        <x:f>IF(C138="","",HS138*1000000000+IZ138*1000000+IT138*10000+IN138*100+JF138+3/1000)</x:f>
      </x:c>
      <x:c r="JM138" s="27" t="str">
        <x:f>IF(C138="","",HT138*1000000000+JA138*1000000+IU138*10000+IO138*100+JG138+2/1000)</x:f>
      </x:c>
      <x:c r="JN138" s="27" t="str">
        <x:f>IF(C138="","",HU138*1000000000+JB138*1000000+IV138*10000+IP138*100+JH138+1/1000)</x:f>
      </x:c>
    </x:row>
    <x:row r="139">
      <x:c r="A139" s="27"/>
      <x:c r="B139" s="28"/>
      <x:c r="C139" s="27"/>
      <x:c r="D139" s="27"/>
      <x:c r="E139" s="27"/>
      <x:c r="F139" s="27"/>
      <x:c r="G139" s="27"/>
      <x:c r="H139" s="27"/>
      <x:c r="I139" s="27"/>
      <x:c r="J139" s="27"/>
      <x:c r="K139" s="27"/>
      <x:c r="L139" s="27"/>
      <x:c r="M139" s="27"/>
      <x:c r="N139" s="27"/>
      <x:c r="O139" s="27"/>
      <x:c r="P139" s="27"/>
      <x:c r="Q139" s="27"/>
      <x:c r="R139" s="27"/>
      <x:c r="S139" s="27"/>
      <x:c r="T139" s="27"/>
      <x:c r="U139" s="27"/>
      <x:c r="V139" s="27"/>
      <x:c r="W139" s="27"/>
      <x:c r="X139" s="27"/>
      <x:c r="Y139" s="27"/>
      <x:c r="Z139" s="27"/>
      <x:c r="AA139" s="27"/>
      <x:c r="AB139" s="27"/>
      <x:c r="AC139" s="27"/>
      <x:c r="AD139" s="27"/>
      <x:c r="AE139" s="27"/>
      <x:c r="AF139" s="27"/>
      <x:c r="AG139" s="27"/>
      <x:c r="AH139" s="27"/>
      <x:c r="AI139" s="27"/>
      <x:c r="AJ139" s="27"/>
      <x:c r="AK139" s="27"/>
      <x:c r="AL139" s="27"/>
      <x:c r="AM139" s="27"/>
      <x:c r="AN139" s="27"/>
      <x:c r="AO139" s="27"/>
      <x:c r="AP139" s="27"/>
      <x:c r="AQ139" s="27"/>
      <x:c r="AR139" s="27"/>
      <x:c r="AS139" s="27"/>
      <x:c r="AT139" s="27"/>
      <x:c r="AU139" s="27"/>
      <x:c r="AV139" s="27"/>
      <x:c r="AW139" s="27"/>
      <x:c r="AX139" s="27"/>
      <x:c r="AY139" s="27"/>
      <x:c r="AZ139" s="27"/>
      <x:c r="BA139" s="27"/>
      <x:c r="BB139" s="27"/>
      <x:c r="BC139" s="27"/>
      <x:c r="BD139" s="27"/>
      <x:c r="BE139" s="27"/>
      <x:c r="BF139" s="27"/>
      <x:c r="BG139" s="27"/>
      <x:c r="BH139" s="27"/>
      <x:c r="BI139" s="27"/>
      <x:c r="BJ139" s="27"/>
      <x:c r="BK139" s="27"/>
      <x:c r="BL139" s="27"/>
      <x:c r="BM139" s="27"/>
      <x:c r="BN139" s="27"/>
      <x:c r="BO139" s="27"/>
      <x:c r="BP139" s="27"/>
      <x:c r="BQ139" s="27"/>
      <x:c r="BR139" s="27"/>
      <x:c r="BS139" s="27"/>
      <x:c r="BT139" s="27"/>
      <x:c r="BU139" s="27"/>
      <x:c r="BV139" s="27"/>
      <x:c r="BW139" s="27"/>
      <x:c r="BX139" s="27"/>
      <x:c r="BY139" s="27"/>
      <x:c r="BZ139" s="27"/>
      <x:c r="CA139" s="27"/>
      <x:c r="CB139" s="27"/>
      <x:c r="CC139" s="27"/>
      <x:c r="CD139" s="27"/>
      <x:c r="CE139" s="27"/>
      <x:c r="CF139" s="27"/>
      <x:c r="CG139" s="27"/>
      <x:c r="CH139" s="27"/>
      <x:c r="CI139" s="27"/>
      <x:c r="CJ139" s="27"/>
      <x:c r="CK139" s="27"/>
      <x:c r="CL139" s="27"/>
      <x:c r="CM139" s="27"/>
      <x:c r="CN139" s="27"/>
      <x:c r="CO139" s="27"/>
      <x:c r="CP139" s="27"/>
      <x:c r="CQ139" s="27"/>
      <x:c r="CR139" s="27"/>
      <x:c r="CS139" s="27"/>
      <x:c r="CT139" s="27"/>
      <x:c r="CU139" s="27"/>
      <x:c r="CV139" s="27"/>
      <x:c r="CW139" s="27"/>
      <x:c r="CX139" s="27"/>
      <x:c r="CY139" s="27"/>
      <x:c r="CZ139" s="27"/>
      <x:c r="DA139" s="27"/>
      <x:c r="DB139" s="27"/>
      <x:c r="DC139" s="27"/>
      <x:c r="DD139" s="27"/>
      <x:c r="DE139" s="27"/>
      <x:c r="DF139" s="27"/>
      <x:c r="DG139" s="27"/>
      <x:c r="DH139" s="27"/>
      <x:c r="DI139" s="27"/>
      <x:c r="DJ139" s="27"/>
      <x:c r="DK139" s="27"/>
      <x:c r="DL139" s="27"/>
      <x:c r="DM139" s="27"/>
      <x:c r="DN139" s="27"/>
      <x:c r="DO139" s="27"/>
      <x:c r="DP139" s="27"/>
      <x:c r="DQ139" s="27"/>
      <x:c r="DR139" s="27"/>
      <x:c r="DS139" s="27"/>
      <x:c r="DT139" s="27"/>
      <x:c r="DU139" s="27"/>
      <x:c r="DV139" s="27"/>
      <x:c r="DW139" s="27"/>
      <x:c r="DX139" s="27"/>
      <x:c r="DY139" s="27"/>
      <x:c r="DZ139" s="27"/>
      <x:c r="EA139" s="27"/>
      <x:c r="EB139" s="27"/>
      <x:c r="EC139" s="27"/>
      <x:c r="ED139" s="27"/>
      <x:c r="EE139" s="27"/>
      <x:c r="EF139" s="27"/>
      <x:c r="EG139" s="27"/>
      <x:c r="EH139" s="27"/>
      <x:c r="EI139" s="27"/>
      <x:c r="EJ139" s="27"/>
      <x:c r="EK139" s="27"/>
      <x:c r="EL139" s="27"/>
      <x:c r="EM139" s="27"/>
      <x:c r="EN139" s="27"/>
      <x:c r="EO139" s="27"/>
      <x:c r="EP139" s="27"/>
      <x:c r="EQ139" s="27"/>
      <x:c r="ER139" s="27"/>
      <x:c r="ES139" s="27"/>
      <x:c r="ET139" s="27"/>
      <x:c r="EU139" s="27"/>
      <x:c r="EV139" s="27"/>
      <x:c r="EW139" s="27"/>
      <x:c r="EX139" s="27"/>
      <x:c r="EY139" s="27"/>
      <x:c r="EZ139" s="27"/>
      <x:c r="FA139" s="27"/>
      <x:c r="FB139" s="27"/>
      <x:c r="FC139" s="27"/>
      <x:c r="FD139" s="27"/>
      <x:c r="FE139" s="27"/>
      <x:c r="FF139" s="27"/>
      <x:c r="FG139" s="27"/>
      <x:c r="FH139" s="27"/>
      <x:c r="FI139" s="27"/>
      <x:c r="FJ139" s="27"/>
      <x:c r="FK139" s="27"/>
      <x:c r="FL139" s="27"/>
      <x:c r="FM139" s="27"/>
      <x:c r="FN139" s="27"/>
      <x:c r="FO139" s="27"/>
      <x:c r="FP139" s="27"/>
      <x:c r="FQ139" s="27"/>
      <x:c r="FR139" s="27"/>
      <x:c r="FS139" s="27"/>
      <x:c r="FT139" s="27"/>
      <x:c r="FU139" s="27"/>
      <x:c r="FV139" s="27"/>
      <x:c r="FW139" s="27"/>
      <x:c r="FX139" s="27"/>
      <x:c r="FY139" s="27"/>
      <x:c r="FZ139" s="27"/>
      <x:c r="GA139" s="27"/>
      <x:c r="GB139" s="27"/>
      <x:c r="GC139" s="27"/>
      <x:c r="GD139" s="27"/>
      <x:c r="GE139" s="27"/>
      <x:c r="GF139" s="27"/>
      <x:c r="GG139" s="27"/>
      <x:c r="GH139" s="27"/>
      <x:c r="GI139" s="27"/>
      <x:c r="GJ139" s="27"/>
      <x:c r="GK139" s="27"/>
      <x:c r="GL139" s="27"/>
      <x:c r="GM139" s="27"/>
      <x:c r="GN139" s="27"/>
      <x:c r="GO139" s="27"/>
      <x:c r="GP139" s="27"/>
      <x:c r="GQ139" s="27"/>
      <x:c r="GR139" s="27"/>
      <x:c r="GS139" s="27"/>
      <x:c r="GT139" s="27"/>
      <x:c r="GU139" s="27"/>
      <x:c r="GV139" s="27"/>
      <x:c r="GW139" s="27"/>
      <x:c r="GX139" s="27"/>
      <x:c r="GY139" s="27"/>
      <x:c r="GZ139" s="27"/>
      <x:c r="HA139" s="27"/>
      <x:c r="HB139" s="27"/>
      <x:c r="HC139" s="27"/>
      <x:c r="HD139" s="27"/>
      <x:c r="HE139" s="27"/>
      <x:c r="HF139" s="27"/>
      <x:c r="HG139" s="27"/>
      <x:c r="HH139" s="27"/>
      <x:c r="HI139" s="27"/>
      <x:c r="HJ139" s="27"/>
      <x:c r="HK139" s="27"/>
      <x:c r="HL139" s="27"/>
      <x:c r="HM139" s="27"/>
      <x:c r="HN139" s="27"/>
      <x:c r="HO139" s="27"/>
      <x:c r="HP139" s="27" t="str">
        <x:f>IF(C139="","",SUM(H139,N139,T139,Z139,AF139,AL139,AR139,AX139,BD139,BJ139,BP139,BV139,CB139,CH139,CN139,CT139,CZ139,DF139,DL139,DR139,DX139,ED139,EJ139,EP139,EV139,FB139,FH139,FN139,FT139,FZ139,GF139,GL139,GR139,GX139,HD139,HJ139))</x:f>
      </x:c>
      <x:c r="HQ139" s="27" t="str">
        <x:f>IF(C139="","",SUM(I139,O139,U139,AA139,AG139,AM139,AS139,AY139,BE139,BK139,BQ139,BW139,CC139,CI139,CO139,CU139,DA139,DG139,DM139,DS139,DY139,EE139,EK139,EQ139,EW139,FC139,FI139,FO139,FU139,GA139,GG139,GM139,GS139,GY139,HE139,HK139))</x:f>
      </x:c>
      <x:c r="HR139" s="27" t="str">
        <x:f>IF(C139="","",SUM(J139,P139,V139,AB139,AH139,AN139,AT139,AZ139,BF139,BL139,BR139,BX139,CD139,CJ139,CP139,CV139,DB139,DH139,DN139,DT139,DZ139,EF139,EL139,ER139,EX139,FD139,FJ139,FP139,FV139,GB139,GH139,GN139,GT139,GZ139,HF139,HL139))</x:f>
      </x:c>
      <x:c r="HS139" s="27" t="str">
        <x:f>IF(C139="","",SUM(K139,Q139,W139,AC139,AI139,AO139,AU139,BA139,BG139,BM139,BS139,BY139,CE139,CK139,CQ139,CW139,DC139,DI139,DO139,DU139,EA139,EG139,EM139,ES139,EY139,FE139,FK139,FQ139,FW139,GC139,GI139,GO139,GU139,HA139,HG139,HM139))</x:f>
      </x:c>
      <x:c r="HT139" s="27" t="str">
        <x:f>IF(C139="","",SUM(L139,R139,X139,AD139,AJ139,AP139,AV139,BB139,BH139,BN139,BT139,BZ139,CF139,CL139,CR139,CX139,DD139,DJ139,DP139,DV139,EB139,EH139,EN139,ET139,EZ139,FF139,FL139,FR139,FX139,GD139,GJ139,GP139,GV139,HB139,HH139,HN139))</x:f>
      </x:c>
      <x:c r="HU139" s="27" t="str">
        <x:f>IF(C139="","",SUM(M139,S139,Y139,AE139,AK139,AQ139,AW139,BC139,BI139,BO139,BU139,CA139,CG139,CM139,CS139,CY139,DE139,DK139,DQ139,DW139,EC139,EI139,EO139,EU139,FA139,FG139,FM139,FS139,FY139,GE139,GK139,GQ139,GW139,HC139,HI139,HO139))</x:f>
      </x:c>
      <x:c r="HV139" s="27" t="str">
        <x:f>IF(C139="","",IF(JI139=LARGE(JI139:JN139,1),"R",IF(JJ139=LARGE(JI139:JN139,1),"I",IF(JK139=LARGE(JI139:JN139,1),"A",IF(JL139=LARGE(JI139:JN139,1),"S",IF(JM139=LARGE(JI139:JN139,1),"E",IF(JN139=LARGE(JI139:JN139,1),"C",""))))))&amp;IF(JI139=LARGE(JI139:JN139,2),"R",IF(JJ139=LARGE(JI139:JN139,2),"I",IF(JK139=LARGE(JI139:JN139,2),"A",IF(JL139=LARGE(JI139:JN139,2),"S",IF(JM139=LARGE(JI139:JN139,2),"E",IF(JN139=LARGE(JI139:JN139,2),"C",""))))))&amp;IF(JI139=LARGE(JI139:JN139,3),"R",IF(JJ139=LARGE(JI139:JN139,3),"I",IF(JK139=LARGE(JI139:JN139,3),"A",IF(JL139=LARGE(JI139:JN139,3),"S",IF(JM139=LARGE(JI139:JN139,3),"E",IF(JN139=LARGE(JI139:JN139,3),"C","")))))))</x:f>
      </x:c>
      <x:c r="HW139" s="27" t="str">
        <x:f>IF(C139="","",IF(JI139=LARGE(JI139:JN139,1),"นักปฏิบัติ",IF(JJ139=LARGE(JI139:JN139,1),"นักคิดวิเคราะห์",IF(JK139=LARGE(JI139:JN139,1),"นักสร้างสรรค์",IF(JL139=LARGE(JI139:JN139,1),"ผู้เข้าใจผู้คน",IF(JM139=LARGE(JI139:JN139,1),"ผู้นำการเปลี่ยนแปลง",IF(JN139=LARGE(JI139:JN139,1),"ผู้จัดระบบ","ผู้จัดระบบ")))))))</x:f>
      </x:c>
      <x:c r="HX139" s="27"/>
      <x:c r="HY139" s="27"/>
      <x:c r="HZ139" s="27"/>
      <x:c r="IA139" s="27"/>
      <x:c r="IB139" s="27"/>
      <x:c r="IC139" s="27"/>
      <x:c r="ID139" s="27"/>
      <x:c r="IE139" s="27"/>
      <x:c r="IF139" s="27"/>
      <x:c r="IG139" s="27"/>
      <x:c r="IH139" s="27"/>
      <x:c r="II139" s="27"/>
      <x:c r="IJ139" s="27"/>
      <x:c r="IK139" s="27" t="str">
        <x:f>IF(C139="","",SUM(H139,N139,T139,Z139,AF139,AL139,AR139,AX139,BD139,BJ139,BP139))</x:f>
      </x:c>
      <x:c r="IL139" s="27" t="str">
        <x:f>IF(C139="","",SUM(I139,O139,U139,AA139,AG139,AM139,AS139,AY139,BE139,BK139,BQ139))</x:f>
      </x:c>
      <x:c r="IM139" s="27" t="str">
        <x:f>IF(C139="","",SUM(J139,P139,V139,AB139,AH139,AN139,AT139,AZ139,BF139,BL139,BR139))</x:f>
      </x:c>
      <x:c r="IN139" s="27" t="str">
        <x:f>IF(C139="","",SUM(K139,Q139,W139,AC139,AI139,AO139,AU139,BA139,BG139,BM139,BS139))</x:f>
      </x:c>
      <x:c r="IO139" s="27" t="str">
        <x:f>IF(C139="","",SUM(L139,R139,X139,AD139,AJ139,AP139,AV139,BB139,BH139,BN139,BT139))</x:f>
      </x:c>
      <x:c r="IP139" s="27" t="str">
        <x:f>IF(C139="","",SUM(M139,S139,Y139,AE139,AK139,AQ139,AW139,BC139,BI139,BO139,BU139))</x:f>
      </x:c>
      <x:c r="IQ139" s="27" t="str">
        <x:f>IF(C139="","",SUM(BV139,CB139,CH139,CN139,CT139,CZ139,DF139,DL139,DR139,DX139,ED139))</x:f>
      </x:c>
      <x:c r="IR139" s="27" t="str">
        <x:f>IF(C139="","",SUM(BW139,CC139,CI139,CO139,CU139,DA139,DG139,DM139,DS139,DY139,EE139))</x:f>
      </x:c>
      <x:c r="IS139" s="27" t="str">
        <x:f>IF(C139="","",SUM(BX139,CD139,CJ139,CP139,CV139,DB139,DH139,DN139,DT139,DZ139,EF139))</x:f>
      </x:c>
      <x:c r="IT139" s="27" t="str">
        <x:f>IF(C139="","",SUM(BY139,CE139,CK139,CQ139,CW139,DC139,DI139,DO139,DU139,EA139,EG139))</x:f>
      </x:c>
      <x:c r="IU139" s="27" t="str">
        <x:f>IF(C139="","",SUM(BZ139,CF139,CL139,CR139,CX139,DD139,DJ139,DP139,DV139,EB139,EH139))</x:f>
      </x:c>
      <x:c r="IV139" s="27" t="str">
        <x:f>IF(C139="","",SUM(CA139,CG139,CM139,CS139,CY139,DE139,DK139,DQ139,DW139,EC139,EI139))</x:f>
      </x:c>
      <x:c r="IW139" s="27" t="str">
        <x:f>IF(C139="","",SUM(EJ139,EP139,EV139,FB139,FH139,FN139,FT139,FZ139,GF139,GL139,GR139,GX139,HD139,HJ139))</x:f>
      </x:c>
      <x:c r="IX139" s="27" t="str">
        <x:f>IF(C139="","",SUM(EK139,EQ139,EW139,FC139,FI139,FO139,FU139,GA139,GG139,GM139,GS139,GY139,HE139,HK139))</x:f>
      </x:c>
      <x:c r="IY139" s="27" t="str">
        <x:f>IF(C139="","",SUM(EL139,ER139,EX139,FD139,FJ139,FP139,FV139,GB139,GH139,GN139,GT139,GZ139,HF139,HL139))</x:f>
      </x:c>
      <x:c r="IZ139" s="27" t="str">
        <x:f>IF(C139="","",SUM(EM139,ES139,EY139,FE139,FK139,FQ139,FW139,GC139,GI139,GO139,GU139,HA139,HG139,HM139))</x:f>
      </x:c>
      <x:c r="JA139" s="27" t="str">
        <x:f>IF(C139="","",SUM(EN139,ET139,EZ139,FF139,FL139,FR139,FX139,GD139,GJ139,GP139,GV139,HB139,HH139,HN139))</x:f>
      </x:c>
      <x:c r="JB139" s="27" t="str">
        <x:f>IF(C139="","",SUM(EO139,EU139,FA139,FG139,FM139,FS139,FY139,GE139,GK139,GQ139,GW139,HC139,HI139,HO139))</x:f>
      </x:c>
      <x:c r="JC139" s="27" t="str">
        <x:f>IF(C139="","",0)</x:f>
      </x:c>
      <x:c r="JD139" s="27" t="str">
        <x:f>IF(C139="","",0)</x:f>
      </x:c>
      <x:c r="JE139" s="27" t="str">
        <x:f>IF(C139="","",0)</x:f>
      </x:c>
      <x:c r="JF139" s="27" t="str">
        <x:f>IF(C139="","",0)</x:f>
      </x:c>
      <x:c r="JG139" s="27" t="str">
        <x:f>IF(C139="","",0)</x:f>
      </x:c>
      <x:c r="JH139" s="27" t="str">
        <x:f>IF(C139="","",0)</x:f>
      </x:c>
      <x:c r="JI139" s="27" t="str">
        <x:f>IF(C139="","",HP139*1000000000+IW139*1000000+IQ139*10000+IK139*100+JC139+6/1000)</x:f>
      </x:c>
      <x:c r="JJ139" s="27" t="str">
        <x:f>IF(C139="","",HQ139*1000000000+IX139*1000000+IR139*10000+IL139*100+JD139+5/1000)</x:f>
      </x:c>
      <x:c r="JK139" s="27" t="str">
        <x:f>IF(C139="","",HR139*1000000000+IY139*1000000+IS139*10000+IM139*100+JE139+4/1000)</x:f>
      </x:c>
      <x:c r="JL139" s="27" t="str">
        <x:f>IF(C139="","",HS139*1000000000+IZ139*1000000+IT139*10000+IN139*100+JF139+3/1000)</x:f>
      </x:c>
      <x:c r="JM139" s="27" t="str">
        <x:f>IF(C139="","",HT139*1000000000+JA139*1000000+IU139*10000+IO139*100+JG139+2/1000)</x:f>
      </x:c>
      <x:c r="JN139" s="27" t="str">
        <x:f>IF(C139="","",HU139*1000000000+JB139*1000000+IV139*10000+IP139*100+JH139+1/1000)</x:f>
      </x:c>
    </x:row>
    <x:row r="140">
      <x:c r="A140" s="27"/>
      <x:c r="B140" s="28"/>
      <x:c r="C140" s="27"/>
      <x:c r="D140" s="27"/>
      <x:c r="E140" s="27"/>
      <x:c r="F140" s="27"/>
      <x:c r="G140" s="27"/>
      <x:c r="H140" s="27"/>
      <x:c r="I140" s="27"/>
      <x:c r="J140" s="27"/>
      <x:c r="K140" s="27"/>
      <x:c r="L140" s="27"/>
      <x:c r="M140" s="27"/>
      <x:c r="N140" s="27"/>
      <x:c r="O140" s="27"/>
      <x:c r="P140" s="27"/>
      <x:c r="Q140" s="27"/>
      <x:c r="R140" s="27"/>
      <x:c r="S140" s="27"/>
      <x:c r="T140" s="27"/>
      <x:c r="U140" s="27"/>
      <x:c r="V140" s="27"/>
      <x:c r="W140" s="27"/>
      <x:c r="X140" s="27"/>
      <x:c r="Y140" s="27"/>
      <x:c r="Z140" s="27"/>
      <x:c r="AA140" s="27"/>
      <x:c r="AB140" s="27"/>
      <x:c r="AC140" s="27"/>
      <x:c r="AD140" s="27"/>
      <x:c r="AE140" s="27"/>
      <x:c r="AF140" s="27"/>
      <x:c r="AG140" s="27"/>
      <x:c r="AH140" s="27"/>
      <x:c r="AI140" s="27"/>
      <x:c r="AJ140" s="27"/>
      <x:c r="AK140" s="27"/>
      <x:c r="AL140" s="27"/>
      <x:c r="AM140" s="27"/>
      <x:c r="AN140" s="27"/>
      <x:c r="AO140" s="27"/>
      <x:c r="AP140" s="27"/>
      <x:c r="AQ140" s="27"/>
      <x:c r="AR140" s="27"/>
      <x:c r="AS140" s="27"/>
      <x:c r="AT140" s="27"/>
      <x:c r="AU140" s="27"/>
      <x:c r="AV140" s="27"/>
      <x:c r="AW140" s="27"/>
      <x:c r="AX140" s="27"/>
      <x:c r="AY140" s="27"/>
      <x:c r="AZ140" s="27"/>
      <x:c r="BA140" s="27"/>
      <x:c r="BB140" s="27"/>
      <x:c r="BC140" s="27"/>
      <x:c r="BD140" s="27"/>
      <x:c r="BE140" s="27"/>
      <x:c r="BF140" s="27"/>
      <x:c r="BG140" s="27"/>
      <x:c r="BH140" s="27"/>
      <x:c r="BI140" s="27"/>
      <x:c r="BJ140" s="27"/>
      <x:c r="BK140" s="27"/>
      <x:c r="BL140" s="27"/>
      <x:c r="BM140" s="27"/>
      <x:c r="BN140" s="27"/>
      <x:c r="BO140" s="27"/>
      <x:c r="BP140" s="27"/>
      <x:c r="BQ140" s="27"/>
      <x:c r="BR140" s="27"/>
      <x:c r="BS140" s="27"/>
      <x:c r="BT140" s="27"/>
      <x:c r="BU140" s="27"/>
      <x:c r="BV140" s="27"/>
      <x:c r="BW140" s="27"/>
      <x:c r="BX140" s="27"/>
      <x:c r="BY140" s="27"/>
      <x:c r="BZ140" s="27"/>
      <x:c r="CA140" s="27"/>
      <x:c r="CB140" s="27"/>
      <x:c r="CC140" s="27"/>
      <x:c r="CD140" s="27"/>
      <x:c r="CE140" s="27"/>
      <x:c r="CF140" s="27"/>
      <x:c r="CG140" s="27"/>
      <x:c r="CH140" s="27"/>
      <x:c r="CI140" s="27"/>
      <x:c r="CJ140" s="27"/>
      <x:c r="CK140" s="27"/>
      <x:c r="CL140" s="27"/>
      <x:c r="CM140" s="27"/>
      <x:c r="CN140" s="27"/>
      <x:c r="CO140" s="27"/>
      <x:c r="CP140" s="27"/>
      <x:c r="CQ140" s="27"/>
      <x:c r="CR140" s="27"/>
      <x:c r="CS140" s="27"/>
      <x:c r="CT140" s="27"/>
      <x:c r="CU140" s="27"/>
      <x:c r="CV140" s="27"/>
      <x:c r="CW140" s="27"/>
      <x:c r="CX140" s="27"/>
      <x:c r="CY140" s="27"/>
      <x:c r="CZ140" s="27"/>
      <x:c r="DA140" s="27"/>
      <x:c r="DB140" s="27"/>
      <x:c r="DC140" s="27"/>
      <x:c r="DD140" s="27"/>
      <x:c r="DE140" s="27"/>
      <x:c r="DF140" s="27"/>
      <x:c r="DG140" s="27"/>
      <x:c r="DH140" s="27"/>
      <x:c r="DI140" s="27"/>
      <x:c r="DJ140" s="27"/>
      <x:c r="DK140" s="27"/>
      <x:c r="DL140" s="27"/>
      <x:c r="DM140" s="27"/>
      <x:c r="DN140" s="27"/>
      <x:c r="DO140" s="27"/>
      <x:c r="DP140" s="27"/>
      <x:c r="DQ140" s="27"/>
      <x:c r="DR140" s="27"/>
      <x:c r="DS140" s="27"/>
      <x:c r="DT140" s="27"/>
      <x:c r="DU140" s="27"/>
      <x:c r="DV140" s="27"/>
      <x:c r="DW140" s="27"/>
      <x:c r="DX140" s="27"/>
      <x:c r="DY140" s="27"/>
      <x:c r="DZ140" s="27"/>
      <x:c r="EA140" s="27"/>
      <x:c r="EB140" s="27"/>
      <x:c r="EC140" s="27"/>
      <x:c r="ED140" s="27"/>
      <x:c r="EE140" s="27"/>
      <x:c r="EF140" s="27"/>
      <x:c r="EG140" s="27"/>
      <x:c r="EH140" s="27"/>
      <x:c r="EI140" s="27"/>
      <x:c r="EJ140" s="27"/>
      <x:c r="EK140" s="27"/>
      <x:c r="EL140" s="27"/>
      <x:c r="EM140" s="27"/>
      <x:c r="EN140" s="27"/>
      <x:c r="EO140" s="27"/>
      <x:c r="EP140" s="27"/>
      <x:c r="EQ140" s="27"/>
      <x:c r="ER140" s="27"/>
      <x:c r="ES140" s="27"/>
      <x:c r="ET140" s="27"/>
      <x:c r="EU140" s="27"/>
      <x:c r="EV140" s="27"/>
      <x:c r="EW140" s="27"/>
      <x:c r="EX140" s="27"/>
      <x:c r="EY140" s="27"/>
      <x:c r="EZ140" s="27"/>
      <x:c r="FA140" s="27"/>
      <x:c r="FB140" s="27"/>
      <x:c r="FC140" s="27"/>
      <x:c r="FD140" s="27"/>
      <x:c r="FE140" s="27"/>
      <x:c r="FF140" s="27"/>
      <x:c r="FG140" s="27"/>
      <x:c r="FH140" s="27"/>
      <x:c r="FI140" s="27"/>
      <x:c r="FJ140" s="27"/>
      <x:c r="FK140" s="27"/>
      <x:c r="FL140" s="27"/>
      <x:c r="FM140" s="27"/>
      <x:c r="FN140" s="27"/>
      <x:c r="FO140" s="27"/>
      <x:c r="FP140" s="27"/>
      <x:c r="FQ140" s="27"/>
      <x:c r="FR140" s="27"/>
      <x:c r="FS140" s="27"/>
      <x:c r="FT140" s="27"/>
      <x:c r="FU140" s="27"/>
      <x:c r="FV140" s="27"/>
      <x:c r="FW140" s="27"/>
      <x:c r="FX140" s="27"/>
      <x:c r="FY140" s="27"/>
      <x:c r="FZ140" s="27"/>
      <x:c r="GA140" s="27"/>
      <x:c r="GB140" s="27"/>
      <x:c r="GC140" s="27"/>
      <x:c r="GD140" s="27"/>
      <x:c r="GE140" s="27"/>
      <x:c r="GF140" s="27"/>
      <x:c r="GG140" s="27"/>
      <x:c r="GH140" s="27"/>
      <x:c r="GI140" s="27"/>
      <x:c r="GJ140" s="27"/>
      <x:c r="GK140" s="27"/>
      <x:c r="GL140" s="27"/>
      <x:c r="GM140" s="27"/>
      <x:c r="GN140" s="27"/>
      <x:c r="GO140" s="27"/>
      <x:c r="GP140" s="27"/>
      <x:c r="GQ140" s="27"/>
      <x:c r="GR140" s="27"/>
      <x:c r="GS140" s="27"/>
      <x:c r="GT140" s="27"/>
      <x:c r="GU140" s="27"/>
      <x:c r="GV140" s="27"/>
      <x:c r="GW140" s="27"/>
      <x:c r="GX140" s="27"/>
      <x:c r="GY140" s="27"/>
      <x:c r="GZ140" s="27"/>
      <x:c r="HA140" s="27"/>
      <x:c r="HB140" s="27"/>
      <x:c r="HC140" s="27"/>
      <x:c r="HD140" s="27"/>
      <x:c r="HE140" s="27"/>
      <x:c r="HF140" s="27"/>
      <x:c r="HG140" s="27"/>
      <x:c r="HH140" s="27"/>
      <x:c r="HI140" s="27"/>
      <x:c r="HJ140" s="27"/>
      <x:c r="HK140" s="27"/>
      <x:c r="HL140" s="27"/>
      <x:c r="HM140" s="27"/>
      <x:c r="HN140" s="27"/>
      <x:c r="HO140" s="27"/>
      <x:c r="HP140" s="27" t="str">
        <x:f>IF(C140="","",SUM(H140,N140,T140,Z140,AF140,AL140,AR140,AX140,BD140,BJ140,BP140,BV140,CB140,CH140,CN140,CT140,CZ140,DF140,DL140,DR140,DX140,ED140,EJ140,EP140,EV140,FB140,FH140,FN140,FT140,FZ140,GF140,GL140,GR140,GX140,HD140,HJ140))</x:f>
      </x:c>
      <x:c r="HQ140" s="27" t="str">
        <x:f>IF(C140="","",SUM(I140,O140,U140,AA140,AG140,AM140,AS140,AY140,BE140,BK140,BQ140,BW140,CC140,CI140,CO140,CU140,DA140,DG140,DM140,DS140,DY140,EE140,EK140,EQ140,EW140,FC140,FI140,FO140,FU140,GA140,GG140,GM140,GS140,GY140,HE140,HK140))</x:f>
      </x:c>
      <x:c r="HR140" s="27" t="str">
        <x:f>IF(C140="","",SUM(J140,P140,V140,AB140,AH140,AN140,AT140,AZ140,BF140,BL140,BR140,BX140,CD140,CJ140,CP140,CV140,DB140,DH140,DN140,DT140,DZ140,EF140,EL140,ER140,EX140,FD140,FJ140,FP140,FV140,GB140,GH140,GN140,GT140,GZ140,HF140,HL140))</x:f>
      </x:c>
      <x:c r="HS140" s="27" t="str">
        <x:f>IF(C140="","",SUM(K140,Q140,W140,AC140,AI140,AO140,AU140,BA140,BG140,BM140,BS140,BY140,CE140,CK140,CQ140,CW140,DC140,DI140,DO140,DU140,EA140,EG140,EM140,ES140,EY140,FE140,FK140,FQ140,FW140,GC140,GI140,GO140,GU140,HA140,HG140,HM140))</x:f>
      </x:c>
      <x:c r="HT140" s="27" t="str">
        <x:f>IF(C140="","",SUM(L140,R140,X140,AD140,AJ140,AP140,AV140,BB140,BH140,BN140,BT140,BZ140,CF140,CL140,CR140,CX140,DD140,DJ140,DP140,DV140,EB140,EH140,EN140,ET140,EZ140,FF140,FL140,FR140,FX140,GD140,GJ140,GP140,GV140,HB140,HH140,HN140))</x:f>
      </x:c>
      <x:c r="HU140" s="27" t="str">
        <x:f>IF(C140="","",SUM(M140,S140,Y140,AE140,AK140,AQ140,AW140,BC140,BI140,BO140,BU140,CA140,CG140,CM140,CS140,CY140,DE140,DK140,DQ140,DW140,EC140,EI140,EO140,EU140,FA140,FG140,FM140,FS140,FY140,GE140,GK140,GQ140,GW140,HC140,HI140,HO140))</x:f>
      </x:c>
      <x:c r="HV140" s="27" t="str">
        <x:f>IF(C140="","",IF(JI140=LARGE(JI140:JN140,1),"R",IF(JJ140=LARGE(JI140:JN140,1),"I",IF(JK140=LARGE(JI140:JN140,1),"A",IF(JL140=LARGE(JI140:JN140,1),"S",IF(JM140=LARGE(JI140:JN140,1),"E",IF(JN140=LARGE(JI140:JN140,1),"C",""))))))&amp;IF(JI140=LARGE(JI140:JN140,2),"R",IF(JJ140=LARGE(JI140:JN140,2),"I",IF(JK140=LARGE(JI140:JN140,2),"A",IF(JL140=LARGE(JI140:JN140,2),"S",IF(JM140=LARGE(JI140:JN140,2),"E",IF(JN140=LARGE(JI140:JN140,2),"C",""))))))&amp;IF(JI140=LARGE(JI140:JN140,3),"R",IF(JJ140=LARGE(JI140:JN140,3),"I",IF(JK140=LARGE(JI140:JN140,3),"A",IF(JL140=LARGE(JI140:JN140,3),"S",IF(JM140=LARGE(JI140:JN140,3),"E",IF(JN140=LARGE(JI140:JN140,3),"C","")))))))</x:f>
      </x:c>
      <x:c r="HW140" s="27" t="str">
        <x:f>IF(C140="","",IF(JI140=LARGE(JI140:JN140,1),"นักปฏิบัติ",IF(JJ140=LARGE(JI140:JN140,1),"นักคิดวิเคราะห์",IF(JK140=LARGE(JI140:JN140,1),"นักสร้างสรรค์",IF(JL140=LARGE(JI140:JN140,1),"ผู้เข้าใจผู้คน",IF(JM140=LARGE(JI140:JN140,1),"ผู้นำการเปลี่ยนแปลง",IF(JN140=LARGE(JI140:JN140,1),"ผู้จัดระบบ","ผู้จัดระบบ")))))))</x:f>
      </x:c>
      <x:c r="HX140" s="27"/>
      <x:c r="HY140" s="27"/>
      <x:c r="HZ140" s="27"/>
      <x:c r="IA140" s="27"/>
      <x:c r="IB140" s="27"/>
      <x:c r="IC140" s="27"/>
      <x:c r="ID140" s="27"/>
      <x:c r="IE140" s="27"/>
      <x:c r="IF140" s="27"/>
      <x:c r="IG140" s="27"/>
      <x:c r="IH140" s="27"/>
      <x:c r="II140" s="27"/>
      <x:c r="IJ140" s="27"/>
      <x:c r="IK140" s="27" t="str">
        <x:f>IF(C140="","",SUM(H140,N140,T140,Z140,AF140,AL140,AR140,AX140,BD140,BJ140,BP140))</x:f>
      </x:c>
      <x:c r="IL140" s="27" t="str">
        <x:f>IF(C140="","",SUM(I140,O140,U140,AA140,AG140,AM140,AS140,AY140,BE140,BK140,BQ140))</x:f>
      </x:c>
      <x:c r="IM140" s="27" t="str">
        <x:f>IF(C140="","",SUM(J140,P140,V140,AB140,AH140,AN140,AT140,AZ140,BF140,BL140,BR140))</x:f>
      </x:c>
      <x:c r="IN140" s="27" t="str">
        <x:f>IF(C140="","",SUM(K140,Q140,W140,AC140,AI140,AO140,AU140,BA140,BG140,BM140,BS140))</x:f>
      </x:c>
      <x:c r="IO140" s="27" t="str">
        <x:f>IF(C140="","",SUM(L140,R140,X140,AD140,AJ140,AP140,AV140,BB140,BH140,BN140,BT140))</x:f>
      </x:c>
      <x:c r="IP140" s="27" t="str">
        <x:f>IF(C140="","",SUM(M140,S140,Y140,AE140,AK140,AQ140,AW140,BC140,BI140,BO140,BU140))</x:f>
      </x:c>
      <x:c r="IQ140" s="27" t="str">
        <x:f>IF(C140="","",SUM(BV140,CB140,CH140,CN140,CT140,CZ140,DF140,DL140,DR140,DX140,ED140))</x:f>
      </x:c>
      <x:c r="IR140" s="27" t="str">
        <x:f>IF(C140="","",SUM(BW140,CC140,CI140,CO140,CU140,DA140,DG140,DM140,DS140,DY140,EE140))</x:f>
      </x:c>
      <x:c r="IS140" s="27" t="str">
        <x:f>IF(C140="","",SUM(BX140,CD140,CJ140,CP140,CV140,DB140,DH140,DN140,DT140,DZ140,EF140))</x:f>
      </x:c>
      <x:c r="IT140" s="27" t="str">
        <x:f>IF(C140="","",SUM(BY140,CE140,CK140,CQ140,CW140,DC140,DI140,DO140,DU140,EA140,EG140))</x:f>
      </x:c>
      <x:c r="IU140" s="27" t="str">
        <x:f>IF(C140="","",SUM(BZ140,CF140,CL140,CR140,CX140,DD140,DJ140,DP140,DV140,EB140,EH140))</x:f>
      </x:c>
      <x:c r="IV140" s="27" t="str">
        <x:f>IF(C140="","",SUM(CA140,CG140,CM140,CS140,CY140,DE140,DK140,DQ140,DW140,EC140,EI140))</x:f>
      </x:c>
      <x:c r="IW140" s="27" t="str">
        <x:f>IF(C140="","",SUM(EJ140,EP140,EV140,FB140,FH140,FN140,FT140,FZ140,GF140,GL140,GR140,GX140,HD140,HJ140))</x:f>
      </x:c>
      <x:c r="IX140" s="27" t="str">
        <x:f>IF(C140="","",SUM(EK140,EQ140,EW140,FC140,FI140,FO140,FU140,GA140,GG140,GM140,GS140,GY140,HE140,HK140))</x:f>
      </x:c>
      <x:c r="IY140" s="27" t="str">
        <x:f>IF(C140="","",SUM(EL140,ER140,EX140,FD140,FJ140,FP140,FV140,GB140,GH140,GN140,GT140,GZ140,HF140,HL140))</x:f>
      </x:c>
      <x:c r="IZ140" s="27" t="str">
        <x:f>IF(C140="","",SUM(EM140,ES140,EY140,FE140,FK140,FQ140,FW140,GC140,GI140,GO140,GU140,HA140,HG140,HM140))</x:f>
      </x:c>
      <x:c r="JA140" s="27" t="str">
        <x:f>IF(C140="","",SUM(EN140,ET140,EZ140,FF140,FL140,FR140,FX140,GD140,GJ140,GP140,GV140,HB140,HH140,HN140))</x:f>
      </x:c>
      <x:c r="JB140" s="27" t="str">
        <x:f>IF(C140="","",SUM(EO140,EU140,FA140,FG140,FM140,FS140,FY140,GE140,GK140,GQ140,GW140,HC140,HI140,HO140))</x:f>
      </x:c>
      <x:c r="JC140" s="27" t="str">
        <x:f>IF(C140="","",0)</x:f>
      </x:c>
      <x:c r="JD140" s="27" t="str">
        <x:f>IF(C140="","",0)</x:f>
      </x:c>
      <x:c r="JE140" s="27" t="str">
        <x:f>IF(C140="","",0)</x:f>
      </x:c>
      <x:c r="JF140" s="27" t="str">
        <x:f>IF(C140="","",0)</x:f>
      </x:c>
      <x:c r="JG140" s="27" t="str">
        <x:f>IF(C140="","",0)</x:f>
      </x:c>
      <x:c r="JH140" s="27" t="str">
        <x:f>IF(C140="","",0)</x:f>
      </x:c>
      <x:c r="JI140" s="27" t="str">
        <x:f>IF(C140="","",HP140*1000000000+IW140*1000000+IQ140*10000+IK140*100+JC140+6/1000)</x:f>
      </x:c>
      <x:c r="JJ140" s="27" t="str">
        <x:f>IF(C140="","",HQ140*1000000000+IX140*1000000+IR140*10000+IL140*100+JD140+5/1000)</x:f>
      </x:c>
      <x:c r="JK140" s="27" t="str">
        <x:f>IF(C140="","",HR140*1000000000+IY140*1000000+IS140*10000+IM140*100+JE140+4/1000)</x:f>
      </x:c>
      <x:c r="JL140" s="27" t="str">
        <x:f>IF(C140="","",HS140*1000000000+IZ140*1000000+IT140*10000+IN140*100+JF140+3/1000)</x:f>
      </x:c>
      <x:c r="JM140" s="27" t="str">
        <x:f>IF(C140="","",HT140*1000000000+JA140*1000000+IU140*10000+IO140*100+JG140+2/1000)</x:f>
      </x:c>
      <x:c r="JN140" s="27" t="str">
        <x:f>IF(C140="","",HU140*1000000000+JB140*1000000+IV140*10000+IP140*100+JH140+1/1000)</x:f>
      </x:c>
    </x:row>
    <x:row r="141">
      <x:c r="A141" s="27"/>
      <x:c r="B141" s="28"/>
      <x:c r="C141" s="27"/>
      <x:c r="D141" s="27"/>
      <x:c r="E141" s="27"/>
      <x:c r="F141" s="27"/>
      <x:c r="G141" s="27"/>
      <x:c r="H141" s="27"/>
      <x:c r="I141" s="27"/>
      <x:c r="J141" s="27"/>
      <x:c r="K141" s="27"/>
      <x:c r="L141" s="27"/>
      <x:c r="M141" s="27"/>
      <x:c r="N141" s="27"/>
      <x:c r="O141" s="27"/>
      <x:c r="P141" s="27"/>
      <x:c r="Q141" s="27"/>
      <x:c r="R141" s="27"/>
      <x:c r="S141" s="27"/>
      <x:c r="T141" s="27"/>
      <x:c r="U141" s="27"/>
      <x:c r="V141" s="27"/>
      <x:c r="W141" s="27"/>
      <x:c r="X141" s="27"/>
      <x:c r="Y141" s="27"/>
      <x:c r="Z141" s="27"/>
      <x:c r="AA141" s="27"/>
      <x:c r="AB141" s="27"/>
      <x:c r="AC141" s="27"/>
      <x:c r="AD141" s="27"/>
      <x:c r="AE141" s="27"/>
      <x:c r="AF141" s="27"/>
      <x:c r="AG141" s="27"/>
      <x:c r="AH141" s="27"/>
      <x:c r="AI141" s="27"/>
      <x:c r="AJ141" s="27"/>
      <x:c r="AK141" s="27"/>
      <x:c r="AL141" s="27"/>
      <x:c r="AM141" s="27"/>
      <x:c r="AN141" s="27"/>
      <x:c r="AO141" s="27"/>
      <x:c r="AP141" s="27"/>
      <x:c r="AQ141" s="27"/>
      <x:c r="AR141" s="27"/>
      <x:c r="AS141" s="27"/>
      <x:c r="AT141" s="27"/>
      <x:c r="AU141" s="27"/>
      <x:c r="AV141" s="27"/>
      <x:c r="AW141" s="27"/>
      <x:c r="AX141" s="27"/>
      <x:c r="AY141" s="27"/>
      <x:c r="AZ141" s="27"/>
      <x:c r="BA141" s="27"/>
      <x:c r="BB141" s="27"/>
      <x:c r="BC141" s="27"/>
      <x:c r="BD141" s="27"/>
      <x:c r="BE141" s="27"/>
      <x:c r="BF141" s="27"/>
      <x:c r="BG141" s="27"/>
      <x:c r="BH141" s="27"/>
      <x:c r="BI141" s="27"/>
      <x:c r="BJ141" s="27"/>
      <x:c r="BK141" s="27"/>
      <x:c r="BL141" s="27"/>
      <x:c r="BM141" s="27"/>
      <x:c r="BN141" s="27"/>
      <x:c r="BO141" s="27"/>
      <x:c r="BP141" s="27"/>
      <x:c r="BQ141" s="27"/>
      <x:c r="BR141" s="27"/>
      <x:c r="BS141" s="27"/>
      <x:c r="BT141" s="27"/>
      <x:c r="BU141" s="27"/>
      <x:c r="BV141" s="27"/>
      <x:c r="BW141" s="27"/>
      <x:c r="BX141" s="27"/>
      <x:c r="BY141" s="27"/>
      <x:c r="BZ141" s="27"/>
      <x:c r="CA141" s="27"/>
      <x:c r="CB141" s="27"/>
      <x:c r="CC141" s="27"/>
      <x:c r="CD141" s="27"/>
      <x:c r="CE141" s="27"/>
      <x:c r="CF141" s="27"/>
      <x:c r="CG141" s="27"/>
      <x:c r="CH141" s="27"/>
      <x:c r="CI141" s="27"/>
      <x:c r="CJ141" s="27"/>
      <x:c r="CK141" s="27"/>
      <x:c r="CL141" s="27"/>
      <x:c r="CM141" s="27"/>
      <x:c r="CN141" s="27"/>
      <x:c r="CO141" s="27"/>
      <x:c r="CP141" s="27"/>
      <x:c r="CQ141" s="27"/>
      <x:c r="CR141" s="27"/>
      <x:c r="CS141" s="27"/>
      <x:c r="CT141" s="27"/>
      <x:c r="CU141" s="27"/>
      <x:c r="CV141" s="27"/>
      <x:c r="CW141" s="27"/>
      <x:c r="CX141" s="27"/>
      <x:c r="CY141" s="27"/>
      <x:c r="CZ141" s="27"/>
      <x:c r="DA141" s="27"/>
      <x:c r="DB141" s="27"/>
      <x:c r="DC141" s="27"/>
      <x:c r="DD141" s="27"/>
      <x:c r="DE141" s="27"/>
      <x:c r="DF141" s="27"/>
      <x:c r="DG141" s="27"/>
      <x:c r="DH141" s="27"/>
      <x:c r="DI141" s="27"/>
      <x:c r="DJ141" s="27"/>
      <x:c r="DK141" s="27"/>
      <x:c r="DL141" s="27"/>
      <x:c r="DM141" s="27"/>
      <x:c r="DN141" s="27"/>
      <x:c r="DO141" s="27"/>
      <x:c r="DP141" s="27"/>
      <x:c r="DQ141" s="27"/>
      <x:c r="DR141" s="27"/>
      <x:c r="DS141" s="27"/>
      <x:c r="DT141" s="27"/>
      <x:c r="DU141" s="27"/>
      <x:c r="DV141" s="27"/>
      <x:c r="DW141" s="27"/>
      <x:c r="DX141" s="27"/>
      <x:c r="DY141" s="27"/>
      <x:c r="DZ141" s="27"/>
      <x:c r="EA141" s="27"/>
      <x:c r="EB141" s="27"/>
      <x:c r="EC141" s="27"/>
      <x:c r="ED141" s="27"/>
      <x:c r="EE141" s="27"/>
      <x:c r="EF141" s="27"/>
      <x:c r="EG141" s="27"/>
      <x:c r="EH141" s="27"/>
      <x:c r="EI141" s="27"/>
      <x:c r="EJ141" s="27"/>
      <x:c r="EK141" s="27"/>
      <x:c r="EL141" s="27"/>
      <x:c r="EM141" s="27"/>
      <x:c r="EN141" s="27"/>
      <x:c r="EO141" s="27"/>
      <x:c r="EP141" s="27"/>
      <x:c r="EQ141" s="27"/>
      <x:c r="ER141" s="27"/>
      <x:c r="ES141" s="27"/>
      <x:c r="ET141" s="27"/>
      <x:c r="EU141" s="27"/>
      <x:c r="EV141" s="27"/>
      <x:c r="EW141" s="27"/>
      <x:c r="EX141" s="27"/>
      <x:c r="EY141" s="27"/>
      <x:c r="EZ141" s="27"/>
      <x:c r="FA141" s="27"/>
      <x:c r="FB141" s="27"/>
      <x:c r="FC141" s="27"/>
      <x:c r="FD141" s="27"/>
      <x:c r="FE141" s="27"/>
      <x:c r="FF141" s="27"/>
      <x:c r="FG141" s="27"/>
      <x:c r="FH141" s="27"/>
      <x:c r="FI141" s="27"/>
      <x:c r="FJ141" s="27"/>
      <x:c r="FK141" s="27"/>
      <x:c r="FL141" s="27"/>
      <x:c r="FM141" s="27"/>
      <x:c r="FN141" s="27"/>
      <x:c r="FO141" s="27"/>
      <x:c r="FP141" s="27"/>
      <x:c r="FQ141" s="27"/>
      <x:c r="FR141" s="27"/>
      <x:c r="FS141" s="27"/>
      <x:c r="FT141" s="27"/>
      <x:c r="FU141" s="27"/>
      <x:c r="FV141" s="27"/>
      <x:c r="FW141" s="27"/>
      <x:c r="FX141" s="27"/>
      <x:c r="FY141" s="27"/>
      <x:c r="FZ141" s="27"/>
      <x:c r="GA141" s="27"/>
      <x:c r="GB141" s="27"/>
      <x:c r="GC141" s="27"/>
      <x:c r="GD141" s="27"/>
      <x:c r="GE141" s="27"/>
      <x:c r="GF141" s="27"/>
      <x:c r="GG141" s="27"/>
      <x:c r="GH141" s="27"/>
      <x:c r="GI141" s="27"/>
      <x:c r="GJ141" s="27"/>
      <x:c r="GK141" s="27"/>
      <x:c r="GL141" s="27"/>
      <x:c r="GM141" s="27"/>
      <x:c r="GN141" s="27"/>
      <x:c r="GO141" s="27"/>
      <x:c r="GP141" s="27"/>
      <x:c r="GQ141" s="27"/>
      <x:c r="GR141" s="27"/>
      <x:c r="GS141" s="27"/>
      <x:c r="GT141" s="27"/>
      <x:c r="GU141" s="27"/>
      <x:c r="GV141" s="27"/>
      <x:c r="GW141" s="27"/>
      <x:c r="GX141" s="27"/>
      <x:c r="GY141" s="27"/>
      <x:c r="GZ141" s="27"/>
      <x:c r="HA141" s="27"/>
      <x:c r="HB141" s="27"/>
      <x:c r="HC141" s="27"/>
      <x:c r="HD141" s="27"/>
      <x:c r="HE141" s="27"/>
      <x:c r="HF141" s="27"/>
      <x:c r="HG141" s="27"/>
      <x:c r="HH141" s="27"/>
      <x:c r="HI141" s="27"/>
      <x:c r="HJ141" s="27"/>
      <x:c r="HK141" s="27"/>
      <x:c r="HL141" s="27"/>
      <x:c r="HM141" s="27"/>
      <x:c r="HN141" s="27"/>
      <x:c r="HO141" s="27"/>
      <x:c r="HP141" s="27" t="str">
        <x:f>IF(C141="","",SUM(H141,N141,T141,Z141,AF141,AL141,AR141,AX141,BD141,BJ141,BP141,BV141,CB141,CH141,CN141,CT141,CZ141,DF141,DL141,DR141,DX141,ED141,EJ141,EP141,EV141,FB141,FH141,FN141,FT141,FZ141,GF141,GL141,GR141,GX141,HD141,HJ141))</x:f>
      </x:c>
      <x:c r="HQ141" s="27" t="str">
        <x:f>IF(C141="","",SUM(I141,O141,U141,AA141,AG141,AM141,AS141,AY141,BE141,BK141,BQ141,BW141,CC141,CI141,CO141,CU141,DA141,DG141,DM141,DS141,DY141,EE141,EK141,EQ141,EW141,FC141,FI141,FO141,FU141,GA141,GG141,GM141,GS141,GY141,HE141,HK141))</x:f>
      </x:c>
      <x:c r="HR141" s="27" t="str">
        <x:f>IF(C141="","",SUM(J141,P141,V141,AB141,AH141,AN141,AT141,AZ141,BF141,BL141,BR141,BX141,CD141,CJ141,CP141,CV141,DB141,DH141,DN141,DT141,DZ141,EF141,EL141,ER141,EX141,FD141,FJ141,FP141,FV141,GB141,GH141,GN141,GT141,GZ141,HF141,HL141))</x:f>
      </x:c>
      <x:c r="HS141" s="27" t="str">
        <x:f>IF(C141="","",SUM(K141,Q141,W141,AC141,AI141,AO141,AU141,BA141,BG141,BM141,BS141,BY141,CE141,CK141,CQ141,CW141,DC141,DI141,DO141,DU141,EA141,EG141,EM141,ES141,EY141,FE141,FK141,FQ141,FW141,GC141,GI141,GO141,GU141,HA141,HG141,HM141))</x:f>
      </x:c>
      <x:c r="HT141" s="27" t="str">
        <x:f>IF(C141="","",SUM(L141,R141,X141,AD141,AJ141,AP141,AV141,BB141,BH141,BN141,BT141,BZ141,CF141,CL141,CR141,CX141,DD141,DJ141,DP141,DV141,EB141,EH141,EN141,ET141,EZ141,FF141,FL141,FR141,FX141,GD141,GJ141,GP141,GV141,HB141,HH141,HN141))</x:f>
      </x:c>
      <x:c r="HU141" s="27" t="str">
        <x:f>IF(C141="","",SUM(M141,S141,Y141,AE141,AK141,AQ141,AW141,BC141,BI141,BO141,BU141,CA141,CG141,CM141,CS141,CY141,DE141,DK141,DQ141,DW141,EC141,EI141,EO141,EU141,FA141,FG141,FM141,FS141,FY141,GE141,GK141,GQ141,GW141,HC141,HI141,HO141))</x:f>
      </x:c>
      <x:c r="HV141" s="27" t="str">
        <x:f>IF(C141="","",IF(JI141=LARGE(JI141:JN141,1),"R",IF(JJ141=LARGE(JI141:JN141,1),"I",IF(JK141=LARGE(JI141:JN141,1),"A",IF(JL141=LARGE(JI141:JN141,1),"S",IF(JM141=LARGE(JI141:JN141,1),"E",IF(JN141=LARGE(JI141:JN141,1),"C",""))))))&amp;IF(JI141=LARGE(JI141:JN141,2),"R",IF(JJ141=LARGE(JI141:JN141,2),"I",IF(JK141=LARGE(JI141:JN141,2),"A",IF(JL141=LARGE(JI141:JN141,2),"S",IF(JM141=LARGE(JI141:JN141,2),"E",IF(JN141=LARGE(JI141:JN141,2),"C",""))))))&amp;IF(JI141=LARGE(JI141:JN141,3),"R",IF(JJ141=LARGE(JI141:JN141,3),"I",IF(JK141=LARGE(JI141:JN141,3),"A",IF(JL141=LARGE(JI141:JN141,3),"S",IF(JM141=LARGE(JI141:JN141,3),"E",IF(JN141=LARGE(JI141:JN141,3),"C","")))))))</x:f>
      </x:c>
      <x:c r="HW141" s="27" t="str">
        <x:f>IF(C141="","",IF(JI141=LARGE(JI141:JN141,1),"นักปฏิบัติ",IF(JJ141=LARGE(JI141:JN141,1),"นักคิดวิเคราะห์",IF(JK141=LARGE(JI141:JN141,1),"นักสร้างสรรค์",IF(JL141=LARGE(JI141:JN141,1),"ผู้เข้าใจผู้คน",IF(JM141=LARGE(JI141:JN141,1),"ผู้นำการเปลี่ยนแปลง",IF(JN141=LARGE(JI141:JN141,1),"ผู้จัดระบบ","ผู้จัดระบบ")))))))</x:f>
      </x:c>
      <x:c r="HX141" s="27"/>
      <x:c r="HY141" s="27"/>
      <x:c r="HZ141" s="27"/>
      <x:c r="IA141" s="27"/>
      <x:c r="IB141" s="27"/>
      <x:c r="IC141" s="27"/>
      <x:c r="ID141" s="27"/>
      <x:c r="IE141" s="27"/>
      <x:c r="IF141" s="27"/>
      <x:c r="IG141" s="27"/>
      <x:c r="IH141" s="27"/>
      <x:c r="II141" s="27"/>
      <x:c r="IJ141" s="27"/>
      <x:c r="IK141" s="27" t="str">
        <x:f>IF(C141="","",SUM(H141,N141,T141,Z141,AF141,AL141,AR141,AX141,BD141,BJ141,BP141))</x:f>
      </x:c>
      <x:c r="IL141" s="27" t="str">
        <x:f>IF(C141="","",SUM(I141,O141,U141,AA141,AG141,AM141,AS141,AY141,BE141,BK141,BQ141))</x:f>
      </x:c>
      <x:c r="IM141" s="27" t="str">
        <x:f>IF(C141="","",SUM(J141,P141,V141,AB141,AH141,AN141,AT141,AZ141,BF141,BL141,BR141))</x:f>
      </x:c>
      <x:c r="IN141" s="27" t="str">
        <x:f>IF(C141="","",SUM(K141,Q141,W141,AC141,AI141,AO141,AU141,BA141,BG141,BM141,BS141))</x:f>
      </x:c>
      <x:c r="IO141" s="27" t="str">
        <x:f>IF(C141="","",SUM(L141,R141,X141,AD141,AJ141,AP141,AV141,BB141,BH141,BN141,BT141))</x:f>
      </x:c>
      <x:c r="IP141" s="27" t="str">
        <x:f>IF(C141="","",SUM(M141,S141,Y141,AE141,AK141,AQ141,AW141,BC141,BI141,BO141,BU141))</x:f>
      </x:c>
      <x:c r="IQ141" s="27" t="str">
        <x:f>IF(C141="","",SUM(BV141,CB141,CH141,CN141,CT141,CZ141,DF141,DL141,DR141,DX141,ED141))</x:f>
      </x:c>
      <x:c r="IR141" s="27" t="str">
        <x:f>IF(C141="","",SUM(BW141,CC141,CI141,CO141,CU141,DA141,DG141,DM141,DS141,DY141,EE141))</x:f>
      </x:c>
      <x:c r="IS141" s="27" t="str">
        <x:f>IF(C141="","",SUM(BX141,CD141,CJ141,CP141,CV141,DB141,DH141,DN141,DT141,DZ141,EF141))</x:f>
      </x:c>
      <x:c r="IT141" s="27" t="str">
        <x:f>IF(C141="","",SUM(BY141,CE141,CK141,CQ141,CW141,DC141,DI141,DO141,DU141,EA141,EG141))</x:f>
      </x:c>
      <x:c r="IU141" s="27" t="str">
        <x:f>IF(C141="","",SUM(BZ141,CF141,CL141,CR141,CX141,DD141,DJ141,DP141,DV141,EB141,EH141))</x:f>
      </x:c>
      <x:c r="IV141" s="27" t="str">
        <x:f>IF(C141="","",SUM(CA141,CG141,CM141,CS141,CY141,DE141,DK141,DQ141,DW141,EC141,EI141))</x:f>
      </x:c>
      <x:c r="IW141" s="27" t="str">
        <x:f>IF(C141="","",SUM(EJ141,EP141,EV141,FB141,FH141,FN141,FT141,FZ141,GF141,GL141,GR141,GX141,HD141,HJ141))</x:f>
      </x:c>
      <x:c r="IX141" s="27" t="str">
        <x:f>IF(C141="","",SUM(EK141,EQ141,EW141,FC141,FI141,FO141,FU141,GA141,GG141,GM141,GS141,GY141,HE141,HK141))</x:f>
      </x:c>
      <x:c r="IY141" s="27" t="str">
        <x:f>IF(C141="","",SUM(EL141,ER141,EX141,FD141,FJ141,FP141,FV141,GB141,GH141,GN141,GT141,GZ141,HF141,HL141))</x:f>
      </x:c>
      <x:c r="IZ141" s="27" t="str">
        <x:f>IF(C141="","",SUM(EM141,ES141,EY141,FE141,FK141,FQ141,FW141,GC141,GI141,GO141,GU141,HA141,HG141,HM141))</x:f>
      </x:c>
      <x:c r="JA141" s="27" t="str">
        <x:f>IF(C141="","",SUM(EN141,ET141,EZ141,FF141,FL141,FR141,FX141,GD141,GJ141,GP141,GV141,HB141,HH141,HN141))</x:f>
      </x:c>
      <x:c r="JB141" s="27" t="str">
        <x:f>IF(C141="","",SUM(EO141,EU141,FA141,FG141,FM141,FS141,FY141,GE141,GK141,GQ141,GW141,HC141,HI141,HO141))</x:f>
      </x:c>
      <x:c r="JC141" s="27" t="str">
        <x:f>IF(C141="","",0)</x:f>
      </x:c>
      <x:c r="JD141" s="27" t="str">
        <x:f>IF(C141="","",0)</x:f>
      </x:c>
      <x:c r="JE141" s="27" t="str">
        <x:f>IF(C141="","",0)</x:f>
      </x:c>
      <x:c r="JF141" s="27" t="str">
        <x:f>IF(C141="","",0)</x:f>
      </x:c>
      <x:c r="JG141" s="27" t="str">
        <x:f>IF(C141="","",0)</x:f>
      </x:c>
      <x:c r="JH141" s="27" t="str">
        <x:f>IF(C141="","",0)</x:f>
      </x:c>
      <x:c r="JI141" s="27" t="str">
        <x:f>IF(C141="","",HP141*1000000000+IW141*1000000+IQ141*10000+IK141*100+JC141+6/1000)</x:f>
      </x:c>
      <x:c r="JJ141" s="27" t="str">
        <x:f>IF(C141="","",HQ141*1000000000+IX141*1000000+IR141*10000+IL141*100+JD141+5/1000)</x:f>
      </x:c>
      <x:c r="JK141" s="27" t="str">
        <x:f>IF(C141="","",HR141*1000000000+IY141*1000000+IS141*10000+IM141*100+JE141+4/1000)</x:f>
      </x:c>
      <x:c r="JL141" s="27" t="str">
        <x:f>IF(C141="","",HS141*1000000000+IZ141*1000000+IT141*10000+IN141*100+JF141+3/1000)</x:f>
      </x:c>
      <x:c r="JM141" s="27" t="str">
        <x:f>IF(C141="","",HT141*1000000000+JA141*1000000+IU141*10000+IO141*100+JG141+2/1000)</x:f>
      </x:c>
      <x:c r="JN141" s="27" t="str">
        <x:f>IF(C141="","",HU141*1000000000+JB141*1000000+IV141*10000+IP141*100+JH141+1/1000)</x:f>
      </x:c>
    </x:row>
    <x:row r="142">
      <x:c r="A142" s="27"/>
      <x:c r="B142" s="28"/>
      <x:c r="C142" s="27"/>
      <x:c r="D142" s="27"/>
      <x:c r="E142" s="27"/>
      <x:c r="F142" s="27"/>
      <x:c r="G142" s="27"/>
      <x:c r="H142" s="27"/>
      <x:c r="I142" s="27"/>
      <x:c r="J142" s="27"/>
      <x:c r="K142" s="27"/>
      <x:c r="L142" s="27"/>
      <x:c r="M142" s="27"/>
      <x:c r="N142" s="27"/>
      <x:c r="O142" s="27"/>
      <x:c r="P142" s="27"/>
      <x:c r="Q142" s="27"/>
      <x:c r="R142" s="27"/>
      <x:c r="S142" s="27"/>
      <x:c r="T142" s="27"/>
      <x:c r="U142" s="27"/>
      <x:c r="V142" s="27"/>
      <x:c r="W142" s="27"/>
      <x:c r="X142" s="27"/>
      <x:c r="Y142" s="27"/>
      <x:c r="Z142" s="27"/>
      <x:c r="AA142" s="27"/>
      <x:c r="AB142" s="27"/>
      <x:c r="AC142" s="27"/>
      <x:c r="AD142" s="27"/>
      <x:c r="AE142" s="27"/>
      <x:c r="AF142" s="27"/>
      <x:c r="AG142" s="27"/>
      <x:c r="AH142" s="27"/>
      <x:c r="AI142" s="27"/>
      <x:c r="AJ142" s="27"/>
      <x:c r="AK142" s="27"/>
      <x:c r="AL142" s="27"/>
      <x:c r="AM142" s="27"/>
      <x:c r="AN142" s="27"/>
      <x:c r="AO142" s="27"/>
      <x:c r="AP142" s="27"/>
      <x:c r="AQ142" s="27"/>
      <x:c r="AR142" s="27"/>
      <x:c r="AS142" s="27"/>
      <x:c r="AT142" s="27"/>
      <x:c r="AU142" s="27"/>
      <x:c r="AV142" s="27"/>
      <x:c r="AW142" s="27"/>
      <x:c r="AX142" s="27"/>
      <x:c r="AY142" s="27"/>
      <x:c r="AZ142" s="27"/>
      <x:c r="BA142" s="27"/>
      <x:c r="BB142" s="27"/>
      <x:c r="BC142" s="27"/>
      <x:c r="BD142" s="27"/>
      <x:c r="BE142" s="27"/>
      <x:c r="BF142" s="27"/>
      <x:c r="BG142" s="27"/>
      <x:c r="BH142" s="27"/>
      <x:c r="BI142" s="27"/>
      <x:c r="BJ142" s="27"/>
      <x:c r="BK142" s="27"/>
      <x:c r="BL142" s="27"/>
      <x:c r="BM142" s="27"/>
      <x:c r="BN142" s="27"/>
      <x:c r="BO142" s="27"/>
      <x:c r="BP142" s="27"/>
      <x:c r="BQ142" s="27"/>
      <x:c r="BR142" s="27"/>
      <x:c r="BS142" s="27"/>
      <x:c r="BT142" s="27"/>
      <x:c r="BU142" s="27"/>
      <x:c r="BV142" s="27"/>
      <x:c r="BW142" s="27"/>
      <x:c r="BX142" s="27"/>
      <x:c r="BY142" s="27"/>
      <x:c r="BZ142" s="27"/>
      <x:c r="CA142" s="27"/>
      <x:c r="CB142" s="27"/>
      <x:c r="CC142" s="27"/>
      <x:c r="CD142" s="27"/>
      <x:c r="CE142" s="27"/>
      <x:c r="CF142" s="27"/>
      <x:c r="CG142" s="27"/>
      <x:c r="CH142" s="27"/>
      <x:c r="CI142" s="27"/>
      <x:c r="CJ142" s="27"/>
      <x:c r="CK142" s="27"/>
      <x:c r="CL142" s="27"/>
      <x:c r="CM142" s="27"/>
      <x:c r="CN142" s="27"/>
      <x:c r="CO142" s="27"/>
      <x:c r="CP142" s="27"/>
      <x:c r="CQ142" s="27"/>
      <x:c r="CR142" s="27"/>
      <x:c r="CS142" s="27"/>
      <x:c r="CT142" s="27"/>
      <x:c r="CU142" s="27"/>
      <x:c r="CV142" s="27"/>
      <x:c r="CW142" s="27"/>
      <x:c r="CX142" s="27"/>
      <x:c r="CY142" s="27"/>
      <x:c r="CZ142" s="27"/>
      <x:c r="DA142" s="27"/>
      <x:c r="DB142" s="27"/>
      <x:c r="DC142" s="27"/>
      <x:c r="DD142" s="27"/>
      <x:c r="DE142" s="27"/>
      <x:c r="DF142" s="27"/>
      <x:c r="DG142" s="27"/>
      <x:c r="DH142" s="27"/>
      <x:c r="DI142" s="27"/>
      <x:c r="DJ142" s="27"/>
      <x:c r="DK142" s="27"/>
      <x:c r="DL142" s="27"/>
      <x:c r="DM142" s="27"/>
      <x:c r="DN142" s="27"/>
      <x:c r="DO142" s="27"/>
      <x:c r="DP142" s="27"/>
      <x:c r="DQ142" s="27"/>
      <x:c r="DR142" s="27"/>
      <x:c r="DS142" s="27"/>
      <x:c r="DT142" s="27"/>
      <x:c r="DU142" s="27"/>
      <x:c r="DV142" s="27"/>
      <x:c r="DW142" s="27"/>
      <x:c r="DX142" s="27"/>
      <x:c r="DY142" s="27"/>
      <x:c r="DZ142" s="27"/>
      <x:c r="EA142" s="27"/>
      <x:c r="EB142" s="27"/>
      <x:c r="EC142" s="27"/>
      <x:c r="ED142" s="27"/>
      <x:c r="EE142" s="27"/>
      <x:c r="EF142" s="27"/>
      <x:c r="EG142" s="27"/>
      <x:c r="EH142" s="27"/>
      <x:c r="EI142" s="27"/>
      <x:c r="EJ142" s="27"/>
      <x:c r="EK142" s="27"/>
      <x:c r="EL142" s="27"/>
      <x:c r="EM142" s="27"/>
      <x:c r="EN142" s="27"/>
      <x:c r="EO142" s="27"/>
      <x:c r="EP142" s="27"/>
      <x:c r="EQ142" s="27"/>
      <x:c r="ER142" s="27"/>
      <x:c r="ES142" s="27"/>
      <x:c r="ET142" s="27"/>
      <x:c r="EU142" s="27"/>
      <x:c r="EV142" s="27"/>
      <x:c r="EW142" s="27"/>
      <x:c r="EX142" s="27"/>
      <x:c r="EY142" s="27"/>
      <x:c r="EZ142" s="27"/>
      <x:c r="FA142" s="27"/>
      <x:c r="FB142" s="27"/>
      <x:c r="FC142" s="27"/>
      <x:c r="FD142" s="27"/>
      <x:c r="FE142" s="27"/>
      <x:c r="FF142" s="27"/>
      <x:c r="FG142" s="27"/>
      <x:c r="FH142" s="27"/>
      <x:c r="FI142" s="27"/>
      <x:c r="FJ142" s="27"/>
      <x:c r="FK142" s="27"/>
      <x:c r="FL142" s="27"/>
      <x:c r="FM142" s="27"/>
      <x:c r="FN142" s="27"/>
      <x:c r="FO142" s="27"/>
      <x:c r="FP142" s="27"/>
      <x:c r="FQ142" s="27"/>
      <x:c r="FR142" s="27"/>
      <x:c r="FS142" s="27"/>
      <x:c r="FT142" s="27"/>
      <x:c r="FU142" s="27"/>
      <x:c r="FV142" s="27"/>
      <x:c r="FW142" s="27"/>
      <x:c r="FX142" s="27"/>
      <x:c r="FY142" s="27"/>
      <x:c r="FZ142" s="27"/>
      <x:c r="GA142" s="27"/>
      <x:c r="GB142" s="27"/>
      <x:c r="GC142" s="27"/>
      <x:c r="GD142" s="27"/>
      <x:c r="GE142" s="27"/>
      <x:c r="GF142" s="27"/>
      <x:c r="GG142" s="27"/>
      <x:c r="GH142" s="27"/>
      <x:c r="GI142" s="27"/>
      <x:c r="GJ142" s="27"/>
      <x:c r="GK142" s="27"/>
      <x:c r="GL142" s="27"/>
      <x:c r="GM142" s="27"/>
      <x:c r="GN142" s="27"/>
      <x:c r="GO142" s="27"/>
      <x:c r="GP142" s="27"/>
      <x:c r="GQ142" s="27"/>
      <x:c r="GR142" s="27"/>
      <x:c r="GS142" s="27"/>
      <x:c r="GT142" s="27"/>
      <x:c r="GU142" s="27"/>
      <x:c r="GV142" s="27"/>
      <x:c r="GW142" s="27"/>
      <x:c r="GX142" s="27"/>
      <x:c r="GY142" s="27"/>
      <x:c r="GZ142" s="27"/>
      <x:c r="HA142" s="27"/>
      <x:c r="HB142" s="27"/>
      <x:c r="HC142" s="27"/>
      <x:c r="HD142" s="27"/>
      <x:c r="HE142" s="27"/>
      <x:c r="HF142" s="27"/>
      <x:c r="HG142" s="27"/>
      <x:c r="HH142" s="27"/>
      <x:c r="HI142" s="27"/>
      <x:c r="HJ142" s="27"/>
      <x:c r="HK142" s="27"/>
      <x:c r="HL142" s="27"/>
      <x:c r="HM142" s="27"/>
      <x:c r="HN142" s="27"/>
      <x:c r="HO142" s="27"/>
      <x:c r="HP142" s="27" t="str">
        <x:f>IF(C142="","",SUM(H142,N142,T142,Z142,AF142,AL142,AR142,AX142,BD142,BJ142,BP142,BV142,CB142,CH142,CN142,CT142,CZ142,DF142,DL142,DR142,DX142,ED142,EJ142,EP142,EV142,FB142,FH142,FN142,FT142,FZ142,GF142,GL142,GR142,GX142,HD142,HJ142))</x:f>
      </x:c>
      <x:c r="HQ142" s="27" t="str">
        <x:f>IF(C142="","",SUM(I142,O142,U142,AA142,AG142,AM142,AS142,AY142,BE142,BK142,BQ142,BW142,CC142,CI142,CO142,CU142,DA142,DG142,DM142,DS142,DY142,EE142,EK142,EQ142,EW142,FC142,FI142,FO142,FU142,GA142,GG142,GM142,GS142,GY142,HE142,HK142))</x:f>
      </x:c>
      <x:c r="HR142" s="27" t="str">
        <x:f>IF(C142="","",SUM(J142,P142,V142,AB142,AH142,AN142,AT142,AZ142,BF142,BL142,BR142,BX142,CD142,CJ142,CP142,CV142,DB142,DH142,DN142,DT142,DZ142,EF142,EL142,ER142,EX142,FD142,FJ142,FP142,FV142,GB142,GH142,GN142,GT142,GZ142,HF142,HL142))</x:f>
      </x:c>
      <x:c r="HS142" s="27" t="str">
        <x:f>IF(C142="","",SUM(K142,Q142,W142,AC142,AI142,AO142,AU142,BA142,BG142,BM142,BS142,BY142,CE142,CK142,CQ142,CW142,DC142,DI142,DO142,DU142,EA142,EG142,EM142,ES142,EY142,FE142,FK142,FQ142,FW142,GC142,GI142,GO142,GU142,HA142,HG142,HM142))</x:f>
      </x:c>
      <x:c r="HT142" s="27" t="str">
        <x:f>IF(C142="","",SUM(L142,R142,X142,AD142,AJ142,AP142,AV142,BB142,BH142,BN142,BT142,BZ142,CF142,CL142,CR142,CX142,DD142,DJ142,DP142,DV142,EB142,EH142,EN142,ET142,EZ142,FF142,FL142,FR142,FX142,GD142,GJ142,GP142,GV142,HB142,HH142,HN142))</x:f>
      </x:c>
      <x:c r="HU142" s="27" t="str">
        <x:f>IF(C142="","",SUM(M142,S142,Y142,AE142,AK142,AQ142,AW142,BC142,BI142,BO142,BU142,CA142,CG142,CM142,CS142,CY142,DE142,DK142,DQ142,DW142,EC142,EI142,EO142,EU142,FA142,FG142,FM142,FS142,FY142,GE142,GK142,GQ142,GW142,HC142,HI142,HO142))</x:f>
      </x:c>
      <x:c r="HV142" s="27" t="str">
        <x:f>IF(C142="","",IF(JI142=LARGE(JI142:JN142,1),"R",IF(JJ142=LARGE(JI142:JN142,1),"I",IF(JK142=LARGE(JI142:JN142,1),"A",IF(JL142=LARGE(JI142:JN142,1),"S",IF(JM142=LARGE(JI142:JN142,1),"E",IF(JN142=LARGE(JI142:JN142,1),"C",""))))))&amp;IF(JI142=LARGE(JI142:JN142,2),"R",IF(JJ142=LARGE(JI142:JN142,2),"I",IF(JK142=LARGE(JI142:JN142,2),"A",IF(JL142=LARGE(JI142:JN142,2),"S",IF(JM142=LARGE(JI142:JN142,2),"E",IF(JN142=LARGE(JI142:JN142,2),"C",""))))))&amp;IF(JI142=LARGE(JI142:JN142,3),"R",IF(JJ142=LARGE(JI142:JN142,3),"I",IF(JK142=LARGE(JI142:JN142,3),"A",IF(JL142=LARGE(JI142:JN142,3),"S",IF(JM142=LARGE(JI142:JN142,3),"E",IF(JN142=LARGE(JI142:JN142,3),"C","")))))))</x:f>
      </x:c>
      <x:c r="HW142" s="27" t="str">
        <x:f>IF(C142="","",IF(JI142=LARGE(JI142:JN142,1),"นักปฏิบัติ",IF(JJ142=LARGE(JI142:JN142,1),"นักคิดวิเคราะห์",IF(JK142=LARGE(JI142:JN142,1),"นักสร้างสรรค์",IF(JL142=LARGE(JI142:JN142,1),"ผู้เข้าใจผู้คน",IF(JM142=LARGE(JI142:JN142,1),"ผู้นำการเปลี่ยนแปลง",IF(JN142=LARGE(JI142:JN142,1),"ผู้จัดระบบ","ผู้จัดระบบ")))))))</x:f>
      </x:c>
      <x:c r="HX142" s="27"/>
      <x:c r="HY142" s="27"/>
      <x:c r="HZ142" s="27"/>
      <x:c r="IA142" s="27"/>
      <x:c r="IB142" s="27"/>
      <x:c r="IC142" s="27"/>
      <x:c r="ID142" s="27"/>
      <x:c r="IE142" s="27"/>
      <x:c r="IF142" s="27"/>
      <x:c r="IG142" s="27"/>
      <x:c r="IH142" s="27"/>
      <x:c r="II142" s="27"/>
      <x:c r="IJ142" s="27"/>
      <x:c r="IK142" s="27" t="str">
        <x:f>IF(C142="","",SUM(H142,N142,T142,Z142,AF142,AL142,AR142,AX142,BD142,BJ142,BP142))</x:f>
      </x:c>
      <x:c r="IL142" s="27" t="str">
        <x:f>IF(C142="","",SUM(I142,O142,U142,AA142,AG142,AM142,AS142,AY142,BE142,BK142,BQ142))</x:f>
      </x:c>
      <x:c r="IM142" s="27" t="str">
        <x:f>IF(C142="","",SUM(J142,P142,V142,AB142,AH142,AN142,AT142,AZ142,BF142,BL142,BR142))</x:f>
      </x:c>
      <x:c r="IN142" s="27" t="str">
        <x:f>IF(C142="","",SUM(K142,Q142,W142,AC142,AI142,AO142,AU142,BA142,BG142,BM142,BS142))</x:f>
      </x:c>
      <x:c r="IO142" s="27" t="str">
        <x:f>IF(C142="","",SUM(L142,R142,X142,AD142,AJ142,AP142,AV142,BB142,BH142,BN142,BT142))</x:f>
      </x:c>
      <x:c r="IP142" s="27" t="str">
        <x:f>IF(C142="","",SUM(M142,S142,Y142,AE142,AK142,AQ142,AW142,BC142,BI142,BO142,BU142))</x:f>
      </x:c>
      <x:c r="IQ142" s="27" t="str">
        <x:f>IF(C142="","",SUM(BV142,CB142,CH142,CN142,CT142,CZ142,DF142,DL142,DR142,DX142,ED142))</x:f>
      </x:c>
      <x:c r="IR142" s="27" t="str">
        <x:f>IF(C142="","",SUM(BW142,CC142,CI142,CO142,CU142,DA142,DG142,DM142,DS142,DY142,EE142))</x:f>
      </x:c>
      <x:c r="IS142" s="27" t="str">
        <x:f>IF(C142="","",SUM(BX142,CD142,CJ142,CP142,CV142,DB142,DH142,DN142,DT142,DZ142,EF142))</x:f>
      </x:c>
      <x:c r="IT142" s="27" t="str">
        <x:f>IF(C142="","",SUM(BY142,CE142,CK142,CQ142,CW142,DC142,DI142,DO142,DU142,EA142,EG142))</x:f>
      </x:c>
      <x:c r="IU142" s="27" t="str">
        <x:f>IF(C142="","",SUM(BZ142,CF142,CL142,CR142,CX142,DD142,DJ142,DP142,DV142,EB142,EH142))</x:f>
      </x:c>
      <x:c r="IV142" s="27" t="str">
        <x:f>IF(C142="","",SUM(CA142,CG142,CM142,CS142,CY142,DE142,DK142,DQ142,DW142,EC142,EI142))</x:f>
      </x:c>
      <x:c r="IW142" s="27" t="str">
        <x:f>IF(C142="","",SUM(EJ142,EP142,EV142,FB142,FH142,FN142,FT142,FZ142,GF142,GL142,GR142,GX142,HD142,HJ142))</x:f>
      </x:c>
      <x:c r="IX142" s="27" t="str">
        <x:f>IF(C142="","",SUM(EK142,EQ142,EW142,FC142,FI142,FO142,FU142,GA142,GG142,GM142,GS142,GY142,HE142,HK142))</x:f>
      </x:c>
      <x:c r="IY142" s="27" t="str">
        <x:f>IF(C142="","",SUM(EL142,ER142,EX142,FD142,FJ142,FP142,FV142,GB142,GH142,GN142,GT142,GZ142,HF142,HL142))</x:f>
      </x:c>
      <x:c r="IZ142" s="27" t="str">
        <x:f>IF(C142="","",SUM(EM142,ES142,EY142,FE142,FK142,FQ142,FW142,GC142,GI142,GO142,GU142,HA142,HG142,HM142))</x:f>
      </x:c>
      <x:c r="JA142" s="27" t="str">
        <x:f>IF(C142="","",SUM(EN142,ET142,EZ142,FF142,FL142,FR142,FX142,GD142,GJ142,GP142,GV142,HB142,HH142,HN142))</x:f>
      </x:c>
      <x:c r="JB142" s="27" t="str">
        <x:f>IF(C142="","",SUM(EO142,EU142,FA142,FG142,FM142,FS142,FY142,GE142,GK142,GQ142,GW142,HC142,HI142,HO142))</x:f>
      </x:c>
      <x:c r="JC142" s="27" t="str">
        <x:f>IF(C142="","",0)</x:f>
      </x:c>
      <x:c r="JD142" s="27" t="str">
        <x:f>IF(C142="","",0)</x:f>
      </x:c>
      <x:c r="JE142" s="27" t="str">
        <x:f>IF(C142="","",0)</x:f>
      </x:c>
      <x:c r="JF142" s="27" t="str">
        <x:f>IF(C142="","",0)</x:f>
      </x:c>
      <x:c r="JG142" s="27" t="str">
        <x:f>IF(C142="","",0)</x:f>
      </x:c>
      <x:c r="JH142" s="27" t="str">
        <x:f>IF(C142="","",0)</x:f>
      </x:c>
      <x:c r="JI142" s="27" t="str">
        <x:f>IF(C142="","",HP142*1000000000+IW142*1000000+IQ142*10000+IK142*100+JC142+6/1000)</x:f>
      </x:c>
      <x:c r="JJ142" s="27" t="str">
        <x:f>IF(C142="","",HQ142*1000000000+IX142*1000000+IR142*10000+IL142*100+JD142+5/1000)</x:f>
      </x:c>
      <x:c r="JK142" s="27" t="str">
        <x:f>IF(C142="","",HR142*1000000000+IY142*1000000+IS142*10000+IM142*100+JE142+4/1000)</x:f>
      </x:c>
      <x:c r="JL142" s="27" t="str">
        <x:f>IF(C142="","",HS142*1000000000+IZ142*1000000+IT142*10000+IN142*100+JF142+3/1000)</x:f>
      </x:c>
      <x:c r="JM142" s="27" t="str">
        <x:f>IF(C142="","",HT142*1000000000+JA142*1000000+IU142*10000+IO142*100+JG142+2/1000)</x:f>
      </x:c>
      <x:c r="JN142" s="27" t="str">
        <x:f>IF(C142="","",HU142*1000000000+JB142*1000000+IV142*10000+IP142*100+JH142+1/1000)</x:f>
      </x:c>
    </x:row>
    <x:row r="143">
      <x:c r="A143" s="27"/>
      <x:c r="B143" s="28"/>
      <x:c r="C143" s="27"/>
      <x:c r="D143" s="27"/>
      <x:c r="E143" s="27"/>
      <x:c r="F143" s="27"/>
      <x:c r="G143" s="27"/>
      <x:c r="H143" s="27"/>
      <x:c r="I143" s="27"/>
      <x:c r="J143" s="27"/>
      <x:c r="K143" s="27"/>
      <x:c r="L143" s="27"/>
      <x:c r="M143" s="27"/>
      <x:c r="N143" s="27"/>
      <x:c r="O143" s="27"/>
      <x:c r="P143" s="27"/>
      <x:c r="Q143" s="27"/>
      <x:c r="R143" s="27"/>
      <x:c r="S143" s="27"/>
      <x:c r="T143" s="27"/>
      <x:c r="U143" s="27"/>
      <x:c r="V143" s="27"/>
      <x:c r="W143" s="27"/>
      <x:c r="X143" s="27"/>
      <x:c r="Y143" s="27"/>
      <x:c r="Z143" s="27"/>
      <x:c r="AA143" s="27"/>
      <x:c r="AB143" s="27"/>
      <x:c r="AC143" s="27"/>
      <x:c r="AD143" s="27"/>
      <x:c r="AE143" s="27"/>
      <x:c r="AF143" s="27"/>
      <x:c r="AG143" s="27"/>
      <x:c r="AH143" s="27"/>
      <x:c r="AI143" s="27"/>
      <x:c r="AJ143" s="27"/>
      <x:c r="AK143" s="27"/>
      <x:c r="AL143" s="27"/>
      <x:c r="AM143" s="27"/>
      <x:c r="AN143" s="27"/>
      <x:c r="AO143" s="27"/>
      <x:c r="AP143" s="27"/>
      <x:c r="AQ143" s="27"/>
      <x:c r="AR143" s="27"/>
      <x:c r="AS143" s="27"/>
      <x:c r="AT143" s="27"/>
      <x:c r="AU143" s="27"/>
      <x:c r="AV143" s="27"/>
      <x:c r="AW143" s="27"/>
      <x:c r="AX143" s="27"/>
      <x:c r="AY143" s="27"/>
      <x:c r="AZ143" s="27"/>
      <x:c r="BA143" s="27"/>
      <x:c r="BB143" s="27"/>
      <x:c r="BC143" s="27"/>
      <x:c r="BD143" s="27"/>
      <x:c r="BE143" s="27"/>
      <x:c r="BF143" s="27"/>
      <x:c r="BG143" s="27"/>
      <x:c r="BH143" s="27"/>
      <x:c r="BI143" s="27"/>
      <x:c r="BJ143" s="27"/>
      <x:c r="BK143" s="27"/>
      <x:c r="BL143" s="27"/>
      <x:c r="BM143" s="27"/>
      <x:c r="BN143" s="27"/>
      <x:c r="BO143" s="27"/>
      <x:c r="BP143" s="27"/>
      <x:c r="BQ143" s="27"/>
      <x:c r="BR143" s="27"/>
      <x:c r="BS143" s="27"/>
      <x:c r="BT143" s="27"/>
      <x:c r="BU143" s="27"/>
      <x:c r="BV143" s="27"/>
      <x:c r="BW143" s="27"/>
      <x:c r="BX143" s="27"/>
      <x:c r="BY143" s="27"/>
      <x:c r="BZ143" s="27"/>
      <x:c r="CA143" s="27"/>
      <x:c r="CB143" s="27"/>
      <x:c r="CC143" s="27"/>
      <x:c r="CD143" s="27"/>
      <x:c r="CE143" s="27"/>
      <x:c r="CF143" s="27"/>
      <x:c r="CG143" s="27"/>
      <x:c r="CH143" s="27"/>
      <x:c r="CI143" s="27"/>
      <x:c r="CJ143" s="27"/>
      <x:c r="CK143" s="27"/>
      <x:c r="CL143" s="27"/>
      <x:c r="CM143" s="27"/>
      <x:c r="CN143" s="27"/>
      <x:c r="CO143" s="27"/>
      <x:c r="CP143" s="27"/>
      <x:c r="CQ143" s="27"/>
      <x:c r="CR143" s="27"/>
      <x:c r="CS143" s="27"/>
      <x:c r="CT143" s="27"/>
      <x:c r="CU143" s="27"/>
      <x:c r="CV143" s="27"/>
      <x:c r="CW143" s="27"/>
      <x:c r="CX143" s="27"/>
      <x:c r="CY143" s="27"/>
      <x:c r="CZ143" s="27"/>
      <x:c r="DA143" s="27"/>
      <x:c r="DB143" s="27"/>
      <x:c r="DC143" s="27"/>
      <x:c r="DD143" s="27"/>
      <x:c r="DE143" s="27"/>
      <x:c r="DF143" s="27"/>
      <x:c r="DG143" s="27"/>
      <x:c r="DH143" s="27"/>
      <x:c r="DI143" s="27"/>
      <x:c r="DJ143" s="27"/>
      <x:c r="DK143" s="27"/>
      <x:c r="DL143" s="27"/>
      <x:c r="DM143" s="27"/>
      <x:c r="DN143" s="27"/>
      <x:c r="DO143" s="27"/>
      <x:c r="DP143" s="27"/>
      <x:c r="DQ143" s="27"/>
      <x:c r="DR143" s="27"/>
      <x:c r="DS143" s="27"/>
      <x:c r="DT143" s="27"/>
      <x:c r="DU143" s="27"/>
      <x:c r="DV143" s="27"/>
      <x:c r="DW143" s="27"/>
      <x:c r="DX143" s="27"/>
      <x:c r="DY143" s="27"/>
      <x:c r="DZ143" s="27"/>
      <x:c r="EA143" s="27"/>
      <x:c r="EB143" s="27"/>
      <x:c r="EC143" s="27"/>
      <x:c r="ED143" s="27"/>
      <x:c r="EE143" s="27"/>
      <x:c r="EF143" s="27"/>
      <x:c r="EG143" s="27"/>
      <x:c r="EH143" s="27"/>
      <x:c r="EI143" s="27"/>
      <x:c r="EJ143" s="27"/>
      <x:c r="EK143" s="27"/>
      <x:c r="EL143" s="27"/>
      <x:c r="EM143" s="27"/>
      <x:c r="EN143" s="27"/>
      <x:c r="EO143" s="27"/>
      <x:c r="EP143" s="27"/>
      <x:c r="EQ143" s="27"/>
      <x:c r="ER143" s="27"/>
      <x:c r="ES143" s="27"/>
      <x:c r="ET143" s="27"/>
      <x:c r="EU143" s="27"/>
      <x:c r="EV143" s="27"/>
      <x:c r="EW143" s="27"/>
      <x:c r="EX143" s="27"/>
      <x:c r="EY143" s="27"/>
      <x:c r="EZ143" s="27"/>
      <x:c r="FA143" s="27"/>
      <x:c r="FB143" s="27"/>
      <x:c r="FC143" s="27"/>
      <x:c r="FD143" s="27"/>
      <x:c r="FE143" s="27"/>
      <x:c r="FF143" s="27"/>
      <x:c r="FG143" s="27"/>
      <x:c r="FH143" s="27"/>
      <x:c r="FI143" s="27"/>
      <x:c r="FJ143" s="27"/>
      <x:c r="FK143" s="27"/>
      <x:c r="FL143" s="27"/>
      <x:c r="FM143" s="27"/>
      <x:c r="FN143" s="27"/>
      <x:c r="FO143" s="27"/>
      <x:c r="FP143" s="27"/>
      <x:c r="FQ143" s="27"/>
      <x:c r="FR143" s="27"/>
      <x:c r="FS143" s="27"/>
      <x:c r="FT143" s="27"/>
      <x:c r="FU143" s="27"/>
      <x:c r="FV143" s="27"/>
      <x:c r="FW143" s="27"/>
      <x:c r="FX143" s="27"/>
      <x:c r="FY143" s="27"/>
      <x:c r="FZ143" s="27"/>
      <x:c r="GA143" s="27"/>
      <x:c r="GB143" s="27"/>
      <x:c r="GC143" s="27"/>
      <x:c r="GD143" s="27"/>
      <x:c r="GE143" s="27"/>
      <x:c r="GF143" s="27"/>
      <x:c r="GG143" s="27"/>
      <x:c r="GH143" s="27"/>
      <x:c r="GI143" s="27"/>
      <x:c r="GJ143" s="27"/>
      <x:c r="GK143" s="27"/>
      <x:c r="GL143" s="27"/>
      <x:c r="GM143" s="27"/>
      <x:c r="GN143" s="27"/>
      <x:c r="GO143" s="27"/>
      <x:c r="GP143" s="27"/>
      <x:c r="GQ143" s="27"/>
      <x:c r="GR143" s="27"/>
      <x:c r="GS143" s="27"/>
      <x:c r="GT143" s="27"/>
      <x:c r="GU143" s="27"/>
      <x:c r="GV143" s="27"/>
      <x:c r="GW143" s="27"/>
      <x:c r="GX143" s="27"/>
      <x:c r="GY143" s="27"/>
      <x:c r="GZ143" s="27"/>
      <x:c r="HA143" s="27"/>
      <x:c r="HB143" s="27"/>
      <x:c r="HC143" s="27"/>
      <x:c r="HD143" s="27"/>
      <x:c r="HE143" s="27"/>
      <x:c r="HF143" s="27"/>
      <x:c r="HG143" s="27"/>
      <x:c r="HH143" s="27"/>
      <x:c r="HI143" s="27"/>
      <x:c r="HJ143" s="27"/>
      <x:c r="HK143" s="27"/>
      <x:c r="HL143" s="27"/>
      <x:c r="HM143" s="27"/>
      <x:c r="HN143" s="27"/>
      <x:c r="HO143" s="27"/>
      <x:c r="HP143" s="27" t="str">
        <x:f>IF(C143="","",SUM(H143,N143,T143,Z143,AF143,AL143,AR143,AX143,BD143,BJ143,BP143,BV143,CB143,CH143,CN143,CT143,CZ143,DF143,DL143,DR143,DX143,ED143,EJ143,EP143,EV143,FB143,FH143,FN143,FT143,FZ143,GF143,GL143,GR143,GX143,HD143,HJ143))</x:f>
      </x:c>
      <x:c r="HQ143" s="27" t="str">
        <x:f>IF(C143="","",SUM(I143,O143,U143,AA143,AG143,AM143,AS143,AY143,BE143,BK143,BQ143,BW143,CC143,CI143,CO143,CU143,DA143,DG143,DM143,DS143,DY143,EE143,EK143,EQ143,EW143,FC143,FI143,FO143,FU143,GA143,GG143,GM143,GS143,GY143,HE143,HK143))</x:f>
      </x:c>
      <x:c r="HR143" s="27" t="str">
        <x:f>IF(C143="","",SUM(J143,P143,V143,AB143,AH143,AN143,AT143,AZ143,BF143,BL143,BR143,BX143,CD143,CJ143,CP143,CV143,DB143,DH143,DN143,DT143,DZ143,EF143,EL143,ER143,EX143,FD143,FJ143,FP143,FV143,GB143,GH143,GN143,GT143,GZ143,HF143,HL143))</x:f>
      </x:c>
      <x:c r="HS143" s="27" t="str">
        <x:f>IF(C143="","",SUM(K143,Q143,W143,AC143,AI143,AO143,AU143,BA143,BG143,BM143,BS143,BY143,CE143,CK143,CQ143,CW143,DC143,DI143,DO143,DU143,EA143,EG143,EM143,ES143,EY143,FE143,FK143,FQ143,FW143,GC143,GI143,GO143,GU143,HA143,HG143,HM143))</x:f>
      </x:c>
      <x:c r="HT143" s="27" t="str">
        <x:f>IF(C143="","",SUM(L143,R143,X143,AD143,AJ143,AP143,AV143,BB143,BH143,BN143,BT143,BZ143,CF143,CL143,CR143,CX143,DD143,DJ143,DP143,DV143,EB143,EH143,EN143,ET143,EZ143,FF143,FL143,FR143,FX143,GD143,GJ143,GP143,GV143,HB143,HH143,HN143))</x:f>
      </x:c>
      <x:c r="HU143" s="27" t="str">
        <x:f>IF(C143="","",SUM(M143,S143,Y143,AE143,AK143,AQ143,AW143,BC143,BI143,BO143,BU143,CA143,CG143,CM143,CS143,CY143,DE143,DK143,DQ143,DW143,EC143,EI143,EO143,EU143,FA143,FG143,FM143,FS143,FY143,GE143,GK143,GQ143,GW143,HC143,HI143,HO143))</x:f>
      </x:c>
      <x:c r="HV143" s="27" t="str">
        <x:f>IF(C143="","",IF(JI143=LARGE(JI143:JN143,1),"R",IF(JJ143=LARGE(JI143:JN143,1),"I",IF(JK143=LARGE(JI143:JN143,1),"A",IF(JL143=LARGE(JI143:JN143,1),"S",IF(JM143=LARGE(JI143:JN143,1),"E",IF(JN143=LARGE(JI143:JN143,1),"C",""))))))&amp;IF(JI143=LARGE(JI143:JN143,2),"R",IF(JJ143=LARGE(JI143:JN143,2),"I",IF(JK143=LARGE(JI143:JN143,2),"A",IF(JL143=LARGE(JI143:JN143,2),"S",IF(JM143=LARGE(JI143:JN143,2),"E",IF(JN143=LARGE(JI143:JN143,2),"C",""))))))&amp;IF(JI143=LARGE(JI143:JN143,3),"R",IF(JJ143=LARGE(JI143:JN143,3),"I",IF(JK143=LARGE(JI143:JN143,3),"A",IF(JL143=LARGE(JI143:JN143,3),"S",IF(JM143=LARGE(JI143:JN143,3),"E",IF(JN143=LARGE(JI143:JN143,3),"C","")))))))</x:f>
      </x:c>
      <x:c r="HW143" s="27" t="str">
        <x:f>IF(C143="","",IF(JI143=LARGE(JI143:JN143,1),"นักปฏิบัติ",IF(JJ143=LARGE(JI143:JN143,1),"นักคิดวิเคราะห์",IF(JK143=LARGE(JI143:JN143,1),"นักสร้างสรรค์",IF(JL143=LARGE(JI143:JN143,1),"ผู้เข้าใจผู้คน",IF(JM143=LARGE(JI143:JN143,1),"ผู้นำการเปลี่ยนแปลง",IF(JN143=LARGE(JI143:JN143,1),"ผู้จัดระบบ","ผู้จัดระบบ")))))))</x:f>
      </x:c>
      <x:c r="HX143" s="27"/>
      <x:c r="HY143" s="27"/>
      <x:c r="HZ143" s="27"/>
      <x:c r="IA143" s="27"/>
      <x:c r="IB143" s="27"/>
      <x:c r="IC143" s="27"/>
      <x:c r="ID143" s="27"/>
      <x:c r="IE143" s="27"/>
      <x:c r="IF143" s="27"/>
      <x:c r="IG143" s="27"/>
      <x:c r="IH143" s="27"/>
      <x:c r="II143" s="27"/>
      <x:c r="IJ143" s="27"/>
      <x:c r="IK143" s="27" t="str">
        <x:f>IF(C143="","",SUM(H143,N143,T143,Z143,AF143,AL143,AR143,AX143,BD143,BJ143,BP143))</x:f>
      </x:c>
      <x:c r="IL143" s="27" t="str">
        <x:f>IF(C143="","",SUM(I143,O143,U143,AA143,AG143,AM143,AS143,AY143,BE143,BK143,BQ143))</x:f>
      </x:c>
      <x:c r="IM143" s="27" t="str">
        <x:f>IF(C143="","",SUM(J143,P143,V143,AB143,AH143,AN143,AT143,AZ143,BF143,BL143,BR143))</x:f>
      </x:c>
      <x:c r="IN143" s="27" t="str">
        <x:f>IF(C143="","",SUM(K143,Q143,W143,AC143,AI143,AO143,AU143,BA143,BG143,BM143,BS143))</x:f>
      </x:c>
      <x:c r="IO143" s="27" t="str">
        <x:f>IF(C143="","",SUM(L143,R143,X143,AD143,AJ143,AP143,AV143,BB143,BH143,BN143,BT143))</x:f>
      </x:c>
      <x:c r="IP143" s="27" t="str">
        <x:f>IF(C143="","",SUM(M143,S143,Y143,AE143,AK143,AQ143,AW143,BC143,BI143,BO143,BU143))</x:f>
      </x:c>
      <x:c r="IQ143" s="27" t="str">
        <x:f>IF(C143="","",SUM(BV143,CB143,CH143,CN143,CT143,CZ143,DF143,DL143,DR143,DX143,ED143))</x:f>
      </x:c>
      <x:c r="IR143" s="27" t="str">
        <x:f>IF(C143="","",SUM(BW143,CC143,CI143,CO143,CU143,DA143,DG143,DM143,DS143,DY143,EE143))</x:f>
      </x:c>
      <x:c r="IS143" s="27" t="str">
        <x:f>IF(C143="","",SUM(BX143,CD143,CJ143,CP143,CV143,DB143,DH143,DN143,DT143,DZ143,EF143))</x:f>
      </x:c>
      <x:c r="IT143" s="27" t="str">
        <x:f>IF(C143="","",SUM(BY143,CE143,CK143,CQ143,CW143,DC143,DI143,DO143,DU143,EA143,EG143))</x:f>
      </x:c>
      <x:c r="IU143" s="27" t="str">
        <x:f>IF(C143="","",SUM(BZ143,CF143,CL143,CR143,CX143,DD143,DJ143,DP143,DV143,EB143,EH143))</x:f>
      </x:c>
      <x:c r="IV143" s="27" t="str">
        <x:f>IF(C143="","",SUM(CA143,CG143,CM143,CS143,CY143,DE143,DK143,DQ143,DW143,EC143,EI143))</x:f>
      </x:c>
      <x:c r="IW143" s="27" t="str">
        <x:f>IF(C143="","",SUM(EJ143,EP143,EV143,FB143,FH143,FN143,FT143,FZ143,GF143,GL143,GR143,GX143,HD143,HJ143))</x:f>
      </x:c>
      <x:c r="IX143" s="27" t="str">
        <x:f>IF(C143="","",SUM(EK143,EQ143,EW143,FC143,FI143,FO143,FU143,GA143,GG143,GM143,GS143,GY143,HE143,HK143))</x:f>
      </x:c>
      <x:c r="IY143" s="27" t="str">
        <x:f>IF(C143="","",SUM(EL143,ER143,EX143,FD143,FJ143,FP143,FV143,GB143,GH143,GN143,GT143,GZ143,HF143,HL143))</x:f>
      </x:c>
      <x:c r="IZ143" s="27" t="str">
        <x:f>IF(C143="","",SUM(EM143,ES143,EY143,FE143,FK143,FQ143,FW143,GC143,GI143,GO143,GU143,HA143,HG143,HM143))</x:f>
      </x:c>
      <x:c r="JA143" s="27" t="str">
        <x:f>IF(C143="","",SUM(EN143,ET143,EZ143,FF143,FL143,FR143,FX143,GD143,GJ143,GP143,GV143,HB143,HH143,HN143))</x:f>
      </x:c>
      <x:c r="JB143" s="27" t="str">
        <x:f>IF(C143="","",SUM(EO143,EU143,FA143,FG143,FM143,FS143,FY143,GE143,GK143,GQ143,GW143,HC143,HI143,HO143))</x:f>
      </x:c>
      <x:c r="JC143" s="27" t="str">
        <x:f>IF(C143="","",0)</x:f>
      </x:c>
      <x:c r="JD143" s="27" t="str">
        <x:f>IF(C143="","",0)</x:f>
      </x:c>
      <x:c r="JE143" s="27" t="str">
        <x:f>IF(C143="","",0)</x:f>
      </x:c>
      <x:c r="JF143" s="27" t="str">
        <x:f>IF(C143="","",0)</x:f>
      </x:c>
      <x:c r="JG143" s="27" t="str">
        <x:f>IF(C143="","",0)</x:f>
      </x:c>
      <x:c r="JH143" s="27" t="str">
        <x:f>IF(C143="","",0)</x:f>
      </x:c>
      <x:c r="JI143" s="27" t="str">
        <x:f>IF(C143="","",HP143*1000000000+IW143*1000000+IQ143*10000+IK143*100+JC143+6/1000)</x:f>
      </x:c>
      <x:c r="JJ143" s="27" t="str">
        <x:f>IF(C143="","",HQ143*1000000000+IX143*1000000+IR143*10000+IL143*100+JD143+5/1000)</x:f>
      </x:c>
      <x:c r="JK143" s="27" t="str">
        <x:f>IF(C143="","",HR143*1000000000+IY143*1000000+IS143*10000+IM143*100+JE143+4/1000)</x:f>
      </x:c>
      <x:c r="JL143" s="27" t="str">
        <x:f>IF(C143="","",HS143*1000000000+IZ143*1000000+IT143*10000+IN143*100+JF143+3/1000)</x:f>
      </x:c>
      <x:c r="JM143" s="27" t="str">
        <x:f>IF(C143="","",HT143*1000000000+JA143*1000000+IU143*10000+IO143*100+JG143+2/1000)</x:f>
      </x:c>
      <x:c r="JN143" s="27" t="str">
        <x:f>IF(C143="","",HU143*1000000000+JB143*1000000+IV143*10000+IP143*100+JH143+1/1000)</x:f>
      </x:c>
    </x:row>
    <x:row r="144">
      <x:c r="A144" s="27"/>
      <x:c r="B144" s="28"/>
      <x:c r="C144" s="27"/>
      <x:c r="D144" s="27"/>
      <x:c r="E144" s="27"/>
      <x:c r="F144" s="27"/>
      <x:c r="G144" s="27"/>
      <x:c r="H144" s="27"/>
      <x:c r="I144" s="27"/>
      <x:c r="J144" s="27"/>
      <x:c r="K144" s="27"/>
      <x:c r="L144" s="27"/>
      <x:c r="M144" s="27"/>
      <x:c r="N144" s="27"/>
      <x:c r="O144" s="27"/>
      <x:c r="P144" s="27"/>
      <x:c r="Q144" s="27"/>
      <x:c r="R144" s="27"/>
      <x:c r="S144" s="27"/>
      <x:c r="T144" s="27"/>
      <x:c r="U144" s="27"/>
      <x:c r="V144" s="27"/>
      <x:c r="W144" s="27"/>
      <x:c r="X144" s="27"/>
      <x:c r="Y144" s="27"/>
      <x:c r="Z144" s="27"/>
      <x:c r="AA144" s="27"/>
      <x:c r="AB144" s="27"/>
      <x:c r="AC144" s="27"/>
      <x:c r="AD144" s="27"/>
      <x:c r="AE144" s="27"/>
      <x:c r="AF144" s="27"/>
      <x:c r="AG144" s="27"/>
      <x:c r="AH144" s="27"/>
      <x:c r="AI144" s="27"/>
      <x:c r="AJ144" s="27"/>
      <x:c r="AK144" s="27"/>
      <x:c r="AL144" s="27"/>
      <x:c r="AM144" s="27"/>
      <x:c r="AN144" s="27"/>
      <x:c r="AO144" s="27"/>
      <x:c r="AP144" s="27"/>
      <x:c r="AQ144" s="27"/>
      <x:c r="AR144" s="27"/>
      <x:c r="AS144" s="27"/>
      <x:c r="AT144" s="27"/>
      <x:c r="AU144" s="27"/>
      <x:c r="AV144" s="27"/>
      <x:c r="AW144" s="27"/>
      <x:c r="AX144" s="27"/>
      <x:c r="AY144" s="27"/>
      <x:c r="AZ144" s="27"/>
      <x:c r="BA144" s="27"/>
      <x:c r="BB144" s="27"/>
      <x:c r="BC144" s="27"/>
      <x:c r="BD144" s="27"/>
      <x:c r="BE144" s="27"/>
      <x:c r="BF144" s="27"/>
      <x:c r="BG144" s="27"/>
      <x:c r="BH144" s="27"/>
      <x:c r="BI144" s="27"/>
      <x:c r="BJ144" s="27"/>
      <x:c r="BK144" s="27"/>
      <x:c r="BL144" s="27"/>
      <x:c r="BM144" s="27"/>
      <x:c r="BN144" s="27"/>
      <x:c r="BO144" s="27"/>
      <x:c r="BP144" s="27"/>
      <x:c r="BQ144" s="27"/>
      <x:c r="BR144" s="27"/>
      <x:c r="BS144" s="27"/>
      <x:c r="BT144" s="27"/>
      <x:c r="BU144" s="27"/>
      <x:c r="BV144" s="27"/>
      <x:c r="BW144" s="27"/>
      <x:c r="BX144" s="27"/>
      <x:c r="BY144" s="27"/>
      <x:c r="BZ144" s="27"/>
      <x:c r="CA144" s="27"/>
      <x:c r="CB144" s="27"/>
      <x:c r="CC144" s="27"/>
      <x:c r="CD144" s="27"/>
      <x:c r="CE144" s="27"/>
      <x:c r="CF144" s="27"/>
      <x:c r="CG144" s="27"/>
      <x:c r="CH144" s="27"/>
      <x:c r="CI144" s="27"/>
      <x:c r="CJ144" s="27"/>
      <x:c r="CK144" s="27"/>
      <x:c r="CL144" s="27"/>
      <x:c r="CM144" s="27"/>
      <x:c r="CN144" s="27"/>
      <x:c r="CO144" s="27"/>
      <x:c r="CP144" s="27"/>
      <x:c r="CQ144" s="27"/>
      <x:c r="CR144" s="27"/>
      <x:c r="CS144" s="27"/>
      <x:c r="CT144" s="27"/>
      <x:c r="CU144" s="27"/>
      <x:c r="CV144" s="27"/>
      <x:c r="CW144" s="27"/>
      <x:c r="CX144" s="27"/>
      <x:c r="CY144" s="27"/>
      <x:c r="CZ144" s="27"/>
      <x:c r="DA144" s="27"/>
      <x:c r="DB144" s="27"/>
      <x:c r="DC144" s="27"/>
      <x:c r="DD144" s="27"/>
      <x:c r="DE144" s="27"/>
      <x:c r="DF144" s="27"/>
      <x:c r="DG144" s="27"/>
      <x:c r="DH144" s="27"/>
      <x:c r="DI144" s="27"/>
      <x:c r="DJ144" s="27"/>
      <x:c r="DK144" s="27"/>
      <x:c r="DL144" s="27"/>
      <x:c r="DM144" s="27"/>
      <x:c r="DN144" s="27"/>
      <x:c r="DO144" s="27"/>
      <x:c r="DP144" s="27"/>
      <x:c r="DQ144" s="27"/>
      <x:c r="DR144" s="27"/>
      <x:c r="DS144" s="27"/>
      <x:c r="DT144" s="27"/>
      <x:c r="DU144" s="27"/>
      <x:c r="DV144" s="27"/>
      <x:c r="DW144" s="27"/>
      <x:c r="DX144" s="27"/>
      <x:c r="DY144" s="27"/>
      <x:c r="DZ144" s="27"/>
      <x:c r="EA144" s="27"/>
      <x:c r="EB144" s="27"/>
      <x:c r="EC144" s="27"/>
      <x:c r="ED144" s="27"/>
      <x:c r="EE144" s="27"/>
      <x:c r="EF144" s="27"/>
      <x:c r="EG144" s="27"/>
      <x:c r="EH144" s="27"/>
      <x:c r="EI144" s="27"/>
      <x:c r="EJ144" s="27"/>
      <x:c r="EK144" s="27"/>
      <x:c r="EL144" s="27"/>
      <x:c r="EM144" s="27"/>
      <x:c r="EN144" s="27"/>
      <x:c r="EO144" s="27"/>
      <x:c r="EP144" s="27"/>
      <x:c r="EQ144" s="27"/>
      <x:c r="ER144" s="27"/>
      <x:c r="ES144" s="27"/>
      <x:c r="ET144" s="27"/>
      <x:c r="EU144" s="27"/>
      <x:c r="EV144" s="27"/>
      <x:c r="EW144" s="27"/>
      <x:c r="EX144" s="27"/>
      <x:c r="EY144" s="27"/>
      <x:c r="EZ144" s="27"/>
      <x:c r="FA144" s="27"/>
      <x:c r="FB144" s="27"/>
      <x:c r="FC144" s="27"/>
      <x:c r="FD144" s="27"/>
      <x:c r="FE144" s="27"/>
      <x:c r="FF144" s="27"/>
      <x:c r="FG144" s="27"/>
      <x:c r="FH144" s="27"/>
      <x:c r="FI144" s="27"/>
      <x:c r="FJ144" s="27"/>
      <x:c r="FK144" s="27"/>
      <x:c r="FL144" s="27"/>
      <x:c r="FM144" s="27"/>
      <x:c r="FN144" s="27"/>
      <x:c r="FO144" s="27"/>
      <x:c r="FP144" s="27"/>
      <x:c r="FQ144" s="27"/>
      <x:c r="FR144" s="27"/>
      <x:c r="FS144" s="27"/>
      <x:c r="FT144" s="27"/>
      <x:c r="FU144" s="27"/>
      <x:c r="FV144" s="27"/>
      <x:c r="FW144" s="27"/>
      <x:c r="FX144" s="27"/>
      <x:c r="FY144" s="27"/>
      <x:c r="FZ144" s="27"/>
      <x:c r="GA144" s="27"/>
      <x:c r="GB144" s="27"/>
      <x:c r="GC144" s="27"/>
      <x:c r="GD144" s="27"/>
      <x:c r="GE144" s="27"/>
      <x:c r="GF144" s="27"/>
      <x:c r="GG144" s="27"/>
      <x:c r="GH144" s="27"/>
      <x:c r="GI144" s="27"/>
      <x:c r="GJ144" s="27"/>
      <x:c r="GK144" s="27"/>
      <x:c r="GL144" s="27"/>
      <x:c r="GM144" s="27"/>
      <x:c r="GN144" s="27"/>
      <x:c r="GO144" s="27"/>
      <x:c r="GP144" s="27"/>
      <x:c r="GQ144" s="27"/>
      <x:c r="GR144" s="27"/>
      <x:c r="GS144" s="27"/>
      <x:c r="GT144" s="27"/>
      <x:c r="GU144" s="27"/>
      <x:c r="GV144" s="27"/>
      <x:c r="GW144" s="27"/>
      <x:c r="GX144" s="27"/>
      <x:c r="GY144" s="27"/>
      <x:c r="GZ144" s="27"/>
      <x:c r="HA144" s="27"/>
      <x:c r="HB144" s="27"/>
      <x:c r="HC144" s="27"/>
      <x:c r="HD144" s="27"/>
      <x:c r="HE144" s="27"/>
      <x:c r="HF144" s="27"/>
      <x:c r="HG144" s="27"/>
      <x:c r="HH144" s="27"/>
      <x:c r="HI144" s="27"/>
      <x:c r="HJ144" s="27"/>
      <x:c r="HK144" s="27"/>
      <x:c r="HL144" s="27"/>
      <x:c r="HM144" s="27"/>
      <x:c r="HN144" s="27"/>
      <x:c r="HO144" s="27"/>
      <x:c r="HP144" s="27" t="str">
        <x:f>IF(C144="","",SUM(H144,N144,T144,Z144,AF144,AL144,AR144,AX144,BD144,BJ144,BP144,BV144,CB144,CH144,CN144,CT144,CZ144,DF144,DL144,DR144,DX144,ED144,EJ144,EP144,EV144,FB144,FH144,FN144,FT144,FZ144,GF144,GL144,GR144,GX144,HD144,HJ144))</x:f>
      </x:c>
      <x:c r="HQ144" s="27" t="str">
        <x:f>IF(C144="","",SUM(I144,O144,U144,AA144,AG144,AM144,AS144,AY144,BE144,BK144,BQ144,BW144,CC144,CI144,CO144,CU144,DA144,DG144,DM144,DS144,DY144,EE144,EK144,EQ144,EW144,FC144,FI144,FO144,FU144,GA144,GG144,GM144,GS144,GY144,HE144,HK144))</x:f>
      </x:c>
      <x:c r="HR144" s="27" t="str">
        <x:f>IF(C144="","",SUM(J144,P144,V144,AB144,AH144,AN144,AT144,AZ144,BF144,BL144,BR144,BX144,CD144,CJ144,CP144,CV144,DB144,DH144,DN144,DT144,DZ144,EF144,EL144,ER144,EX144,FD144,FJ144,FP144,FV144,GB144,GH144,GN144,GT144,GZ144,HF144,HL144))</x:f>
      </x:c>
      <x:c r="HS144" s="27" t="str">
        <x:f>IF(C144="","",SUM(K144,Q144,W144,AC144,AI144,AO144,AU144,BA144,BG144,BM144,BS144,BY144,CE144,CK144,CQ144,CW144,DC144,DI144,DO144,DU144,EA144,EG144,EM144,ES144,EY144,FE144,FK144,FQ144,FW144,GC144,GI144,GO144,GU144,HA144,HG144,HM144))</x:f>
      </x:c>
      <x:c r="HT144" s="27" t="str">
        <x:f>IF(C144="","",SUM(L144,R144,X144,AD144,AJ144,AP144,AV144,BB144,BH144,BN144,BT144,BZ144,CF144,CL144,CR144,CX144,DD144,DJ144,DP144,DV144,EB144,EH144,EN144,ET144,EZ144,FF144,FL144,FR144,FX144,GD144,GJ144,GP144,GV144,HB144,HH144,HN144))</x:f>
      </x:c>
      <x:c r="HU144" s="27" t="str">
        <x:f>IF(C144="","",SUM(M144,S144,Y144,AE144,AK144,AQ144,AW144,BC144,BI144,BO144,BU144,CA144,CG144,CM144,CS144,CY144,DE144,DK144,DQ144,DW144,EC144,EI144,EO144,EU144,FA144,FG144,FM144,FS144,FY144,GE144,GK144,GQ144,GW144,HC144,HI144,HO144))</x:f>
      </x:c>
      <x:c r="HV144" s="27" t="str">
        <x:f>IF(C144="","",IF(JI144=LARGE(JI144:JN144,1),"R",IF(JJ144=LARGE(JI144:JN144,1),"I",IF(JK144=LARGE(JI144:JN144,1),"A",IF(JL144=LARGE(JI144:JN144,1),"S",IF(JM144=LARGE(JI144:JN144,1),"E",IF(JN144=LARGE(JI144:JN144,1),"C",""))))))&amp;IF(JI144=LARGE(JI144:JN144,2),"R",IF(JJ144=LARGE(JI144:JN144,2),"I",IF(JK144=LARGE(JI144:JN144,2),"A",IF(JL144=LARGE(JI144:JN144,2),"S",IF(JM144=LARGE(JI144:JN144,2),"E",IF(JN144=LARGE(JI144:JN144,2),"C",""))))))&amp;IF(JI144=LARGE(JI144:JN144,3),"R",IF(JJ144=LARGE(JI144:JN144,3),"I",IF(JK144=LARGE(JI144:JN144,3),"A",IF(JL144=LARGE(JI144:JN144,3),"S",IF(JM144=LARGE(JI144:JN144,3),"E",IF(JN144=LARGE(JI144:JN144,3),"C","")))))))</x:f>
      </x:c>
      <x:c r="HW144" s="27" t="str">
        <x:f>IF(C144="","",IF(JI144=LARGE(JI144:JN144,1),"นักปฏิบัติ",IF(JJ144=LARGE(JI144:JN144,1),"นักคิดวิเคราะห์",IF(JK144=LARGE(JI144:JN144,1),"นักสร้างสรรค์",IF(JL144=LARGE(JI144:JN144,1),"ผู้เข้าใจผู้คน",IF(JM144=LARGE(JI144:JN144,1),"ผู้นำการเปลี่ยนแปลง",IF(JN144=LARGE(JI144:JN144,1),"ผู้จัดระบบ","ผู้จัดระบบ")))))))</x:f>
      </x:c>
      <x:c r="HX144" s="27"/>
      <x:c r="HY144" s="27"/>
      <x:c r="HZ144" s="27"/>
      <x:c r="IA144" s="27"/>
      <x:c r="IB144" s="27"/>
      <x:c r="IC144" s="27"/>
      <x:c r="ID144" s="27"/>
      <x:c r="IE144" s="27"/>
      <x:c r="IF144" s="27"/>
      <x:c r="IG144" s="27"/>
      <x:c r="IH144" s="27"/>
      <x:c r="II144" s="27"/>
      <x:c r="IJ144" s="27"/>
      <x:c r="IK144" s="27" t="str">
        <x:f>IF(C144="","",SUM(H144,N144,T144,Z144,AF144,AL144,AR144,AX144,BD144,BJ144,BP144))</x:f>
      </x:c>
      <x:c r="IL144" s="27" t="str">
        <x:f>IF(C144="","",SUM(I144,O144,U144,AA144,AG144,AM144,AS144,AY144,BE144,BK144,BQ144))</x:f>
      </x:c>
      <x:c r="IM144" s="27" t="str">
        <x:f>IF(C144="","",SUM(J144,P144,V144,AB144,AH144,AN144,AT144,AZ144,BF144,BL144,BR144))</x:f>
      </x:c>
      <x:c r="IN144" s="27" t="str">
        <x:f>IF(C144="","",SUM(K144,Q144,W144,AC144,AI144,AO144,AU144,BA144,BG144,BM144,BS144))</x:f>
      </x:c>
      <x:c r="IO144" s="27" t="str">
        <x:f>IF(C144="","",SUM(L144,R144,X144,AD144,AJ144,AP144,AV144,BB144,BH144,BN144,BT144))</x:f>
      </x:c>
      <x:c r="IP144" s="27" t="str">
        <x:f>IF(C144="","",SUM(M144,S144,Y144,AE144,AK144,AQ144,AW144,BC144,BI144,BO144,BU144))</x:f>
      </x:c>
      <x:c r="IQ144" s="27" t="str">
        <x:f>IF(C144="","",SUM(BV144,CB144,CH144,CN144,CT144,CZ144,DF144,DL144,DR144,DX144,ED144))</x:f>
      </x:c>
      <x:c r="IR144" s="27" t="str">
        <x:f>IF(C144="","",SUM(BW144,CC144,CI144,CO144,CU144,DA144,DG144,DM144,DS144,DY144,EE144))</x:f>
      </x:c>
      <x:c r="IS144" s="27" t="str">
        <x:f>IF(C144="","",SUM(BX144,CD144,CJ144,CP144,CV144,DB144,DH144,DN144,DT144,DZ144,EF144))</x:f>
      </x:c>
      <x:c r="IT144" s="27" t="str">
        <x:f>IF(C144="","",SUM(BY144,CE144,CK144,CQ144,CW144,DC144,DI144,DO144,DU144,EA144,EG144))</x:f>
      </x:c>
      <x:c r="IU144" s="27" t="str">
        <x:f>IF(C144="","",SUM(BZ144,CF144,CL144,CR144,CX144,DD144,DJ144,DP144,DV144,EB144,EH144))</x:f>
      </x:c>
      <x:c r="IV144" s="27" t="str">
        <x:f>IF(C144="","",SUM(CA144,CG144,CM144,CS144,CY144,DE144,DK144,DQ144,DW144,EC144,EI144))</x:f>
      </x:c>
      <x:c r="IW144" s="27" t="str">
        <x:f>IF(C144="","",SUM(EJ144,EP144,EV144,FB144,FH144,FN144,FT144,FZ144,GF144,GL144,GR144,GX144,HD144,HJ144))</x:f>
      </x:c>
      <x:c r="IX144" s="27" t="str">
        <x:f>IF(C144="","",SUM(EK144,EQ144,EW144,FC144,FI144,FO144,FU144,GA144,GG144,GM144,GS144,GY144,HE144,HK144))</x:f>
      </x:c>
      <x:c r="IY144" s="27" t="str">
        <x:f>IF(C144="","",SUM(EL144,ER144,EX144,FD144,FJ144,FP144,FV144,GB144,GH144,GN144,GT144,GZ144,HF144,HL144))</x:f>
      </x:c>
      <x:c r="IZ144" s="27" t="str">
        <x:f>IF(C144="","",SUM(EM144,ES144,EY144,FE144,FK144,FQ144,FW144,GC144,GI144,GO144,GU144,HA144,HG144,HM144))</x:f>
      </x:c>
      <x:c r="JA144" s="27" t="str">
        <x:f>IF(C144="","",SUM(EN144,ET144,EZ144,FF144,FL144,FR144,FX144,GD144,GJ144,GP144,GV144,HB144,HH144,HN144))</x:f>
      </x:c>
      <x:c r="JB144" s="27" t="str">
        <x:f>IF(C144="","",SUM(EO144,EU144,FA144,FG144,FM144,FS144,FY144,GE144,GK144,GQ144,GW144,HC144,HI144,HO144))</x:f>
      </x:c>
      <x:c r="JC144" s="27" t="str">
        <x:f>IF(C144="","",0)</x:f>
      </x:c>
      <x:c r="JD144" s="27" t="str">
        <x:f>IF(C144="","",0)</x:f>
      </x:c>
      <x:c r="JE144" s="27" t="str">
        <x:f>IF(C144="","",0)</x:f>
      </x:c>
      <x:c r="JF144" s="27" t="str">
        <x:f>IF(C144="","",0)</x:f>
      </x:c>
      <x:c r="JG144" s="27" t="str">
        <x:f>IF(C144="","",0)</x:f>
      </x:c>
      <x:c r="JH144" s="27" t="str">
        <x:f>IF(C144="","",0)</x:f>
      </x:c>
      <x:c r="JI144" s="27" t="str">
        <x:f>IF(C144="","",HP144*1000000000+IW144*1000000+IQ144*10000+IK144*100+JC144+6/1000)</x:f>
      </x:c>
      <x:c r="JJ144" s="27" t="str">
        <x:f>IF(C144="","",HQ144*1000000000+IX144*1000000+IR144*10000+IL144*100+JD144+5/1000)</x:f>
      </x:c>
      <x:c r="JK144" s="27" t="str">
        <x:f>IF(C144="","",HR144*1000000000+IY144*1000000+IS144*10000+IM144*100+JE144+4/1000)</x:f>
      </x:c>
      <x:c r="JL144" s="27" t="str">
        <x:f>IF(C144="","",HS144*1000000000+IZ144*1000000+IT144*10000+IN144*100+JF144+3/1000)</x:f>
      </x:c>
      <x:c r="JM144" s="27" t="str">
        <x:f>IF(C144="","",HT144*1000000000+JA144*1000000+IU144*10000+IO144*100+JG144+2/1000)</x:f>
      </x:c>
      <x:c r="JN144" s="27" t="str">
        <x:f>IF(C144="","",HU144*1000000000+JB144*1000000+IV144*10000+IP144*100+JH144+1/1000)</x:f>
      </x:c>
    </x:row>
    <x:row r="145">
      <x:c r="A145" s="27"/>
      <x:c r="B145" s="28"/>
      <x:c r="C145" s="27"/>
      <x:c r="D145" s="27"/>
      <x:c r="E145" s="27"/>
      <x:c r="F145" s="27"/>
      <x:c r="G145" s="27"/>
      <x:c r="H145" s="27"/>
      <x:c r="I145" s="27"/>
      <x:c r="J145" s="27"/>
      <x:c r="K145" s="27"/>
      <x:c r="L145" s="27"/>
      <x:c r="M145" s="27"/>
      <x:c r="N145" s="27"/>
      <x:c r="O145" s="27"/>
      <x:c r="P145" s="27"/>
      <x:c r="Q145" s="27"/>
      <x:c r="R145" s="27"/>
      <x:c r="S145" s="27"/>
      <x:c r="T145" s="27"/>
      <x:c r="U145" s="27"/>
      <x:c r="V145" s="27"/>
      <x:c r="W145" s="27"/>
      <x:c r="X145" s="27"/>
      <x:c r="Y145" s="27"/>
      <x:c r="Z145" s="27"/>
      <x:c r="AA145" s="27"/>
      <x:c r="AB145" s="27"/>
      <x:c r="AC145" s="27"/>
      <x:c r="AD145" s="27"/>
      <x:c r="AE145" s="27"/>
      <x:c r="AF145" s="27"/>
      <x:c r="AG145" s="27"/>
      <x:c r="AH145" s="27"/>
      <x:c r="AI145" s="27"/>
      <x:c r="AJ145" s="27"/>
      <x:c r="AK145" s="27"/>
      <x:c r="AL145" s="27"/>
      <x:c r="AM145" s="27"/>
      <x:c r="AN145" s="27"/>
      <x:c r="AO145" s="27"/>
      <x:c r="AP145" s="27"/>
      <x:c r="AQ145" s="27"/>
      <x:c r="AR145" s="27"/>
      <x:c r="AS145" s="27"/>
      <x:c r="AT145" s="27"/>
      <x:c r="AU145" s="27"/>
      <x:c r="AV145" s="27"/>
      <x:c r="AW145" s="27"/>
      <x:c r="AX145" s="27"/>
      <x:c r="AY145" s="27"/>
      <x:c r="AZ145" s="27"/>
      <x:c r="BA145" s="27"/>
      <x:c r="BB145" s="27"/>
      <x:c r="BC145" s="27"/>
      <x:c r="BD145" s="27"/>
      <x:c r="BE145" s="27"/>
      <x:c r="BF145" s="27"/>
      <x:c r="BG145" s="27"/>
      <x:c r="BH145" s="27"/>
      <x:c r="BI145" s="27"/>
      <x:c r="BJ145" s="27"/>
      <x:c r="BK145" s="27"/>
      <x:c r="BL145" s="27"/>
      <x:c r="BM145" s="27"/>
      <x:c r="BN145" s="27"/>
      <x:c r="BO145" s="27"/>
      <x:c r="BP145" s="27"/>
      <x:c r="BQ145" s="27"/>
      <x:c r="BR145" s="27"/>
      <x:c r="BS145" s="27"/>
      <x:c r="BT145" s="27"/>
      <x:c r="BU145" s="27"/>
      <x:c r="BV145" s="27"/>
      <x:c r="BW145" s="27"/>
      <x:c r="BX145" s="27"/>
      <x:c r="BY145" s="27"/>
      <x:c r="BZ145" s="27"/>
      <x:c r="CA145" s="27"/>
      <x:c r="CB145" s="27"/>
      <x:c r="CC145" s="27"/>
      <x:c r="CD145" s="27"/>
      <x:c r="CE145" s="27"/>
      <x:c r="CF145" s="27"/>
      <x:c r="CG145" s="27"/>
      <x:c r="CH145" s="27"/>
      <x:c r="CI145" s="27"/>
      <x:c r="CJ145" s="27"/>
      <x:c r="CK145" s="27"/>
      <x:c r="CL145" s="27"/>
      <x:c r="CM145" s="27"/>
      <x:c r="CN145" s="27"/>
      <x:c r="CO145" s="27"/>
      <x:c r="CP145" s="27"/>
      <x:c r="CQ145" s="27"/>
      <x:c r="CR145" s="27"/>
      <x:c r="CS145" s="27"/>
      <x:c r="CT145" s="27"/>
      <x:c r="CU145" s="27"/>
      <x:c r="CV145" s="27"/>
      <x:c r="CW145" s="27"/>
      <x:c r="CX145" s="27"/>
      <x:c r="CY145" s="27"/>
      <x:c r="CZ145" s="27"/>
      <x:c r="DA145" s="27"/>
      <x:c r="DB145" s="27"/>
      <x:c r="DC145" s="27"/>
      <x:c r="DD145" s="27"/>
      <x:c r="DE145" s="27"/>
      <x:c r="DF145" s="27"/>
      <x:c r="DG145" s="27"/>
      <x:c r="DH145" s="27"/>
      <x:c r="DI145" s="27"/>
      <x:c r="DJ145" s="27"/>
      <x:c r="DK145" s="27"/>
      <x:c r="DL145" s="27"/>
      <x:c r="DM145" s="27"/>
      <x:c r="DN145" s="27"/>
      <x:c r="DO145" s="27"/>
      <x:c r="DP145" s="27"/>
      <x:c r="DQ145" s="27"/>
      <x:c r="DR145" s="27"/>
      <x:c r="DS145" s="27"/>
      <x:c r="DT145" s="27"/>
      <x:c r="DU145" s="27"/>
      <x:c r="DV145" s="27"/>
      <x:c r="DW145" s="27"/>
      <x:c r="DX145" s="27"/>
      <x:c r="DY145" s="27"/>
      <x:c r="DZ145" s="27"/>
      <x:c r="EA145" s="27"/>
      <x:c r="EB145" s="27"/>
      <x:c r="EC145" s="27"/>
      <x:c r="ED145" s="27"/>
      <x:c r="EE145" s="27"/>
      <x:c r="EF145" s="27"/>
      <x:c r="EG145" s="27"/>
      <x:c r="EH145" s="27"/>
      <x:c r="EI145" s="27"/>
      <x:c r="EJ145" s="27"/>
      <x:c r="EK145" s="27"/>
      <x:c r="EL145" s="27"/>
      <x:c r="EM145" s="27"/>
      <x:c r="EN145" s="27"/>
      <x:c r="EO145" s="27"/>
      <x:c r="EP145" s="27"/>
      <x:c r="EQ145" s="27"/>
      <x:c r="ER145" s="27"/>
      <x:c r="ES145" s="27"/>
      <x:c r="ET145" s="27"/>
      <x:c r="EU145" s="27"/>
      <x:c r="EV145" s="27"/>
      <x:c r="EW145" s="27"/>
      <x:c r="EX145" s="27"/>
      <x:c r="EY145" s="27"/>
      <x:c r="EZ145" s="27"/>
      <x:c r="FA145" s="27"/>
      <x:c r="FB145" s="27"/>
      <x:c r="FC145" s="27"/>
      <x:c r="FD145" s="27"/>
      <x:c r="FE145" s="27"/>
      <x:c r="FF145" s="27"/>
      <x:c r="FG145" s="27"/>
      <x:c r="FH145" s="27"/>
      <x:c r="FI145" s="27"/>
      <x:c r="FJ145" s="27"/>
      <x:c r="FK145" s="27"/>
      <x:c r="FL145" s="27"/>
      <x:c r="FM145" s="27"/>
      <x:c r="FN145" s="27"/>
      <x:c r="FO145" s="27"/>
      <x:c r="FP145" s="27"/>
      <x:c r="FQ145" s="27"/>
      <x:c r="FR145" s="27"/>
      <x:c r="FS145" s="27"/>
      <x:c r="FT145" s="27"/>
      <x:c r="FU145" s="27"/>
      <x:c r="FV145" s="27"/>
      <x:c r="FW145" s="27"/>
      <x:c r="FX145" s="27"/>
      <x:c r="FY145" s="27"/>
      <x:c r="FZ145" s="27"/>
      <x:c r="GA145" s="27"/>
      <x:c r="GB145" s="27"/>
      <x:c r="GC145" s="27"/>
      <x:c r="GD145" s="27"/>
      <x:c r="GE145" s="27"/>
      <x:c r="GF145" s="27"/>
      <x:c r="GG145" s="27"/>
      <x:c r="GH145" s="27"/>
      <x:c r="GI145" s="27"/>
      <x:c r="GJ145" s="27"/>
      <x:c r="GK145" s="27"/>
      <x:c r="GL145" s="27"/>
      <x:c r="GM145" s="27"/>
      <x:c r="GN145" s="27"/>
      <x:c r="GO145" s="27"/>
      <x:c r="GP145" s="27"/>
      <x:c r="GQ145" s="27"/>
      <x:c r="GR145" s="27"/>
      <x:c r="GS145" s="27"/>
      <x:c r="GT145" s="27"/>
      <x:c r="GU145" s="27"/>
      <x:c r="GV145" s="27"/>
      <x:c r="GW145" s="27"/>
      <x:c r="GX145" s="27"/>
      <x:c r="GY145" s="27"/>
      <x:c r="GZ145" s="27"/>
      <x:c r="HA145" s="27"/>
      <x:c r="HB145" s="27"/>
      <x:c r="HC145" s="27"/>
      <x:c r="HD145" s="27"/>
      <x:c r="HE145" s="27"/>
      <x:c r="HF145" s="27"/>
      <x:c r="HG145" s="27"/>
      <x:c r="HH145" s="27"/>
      <x:c r="HI145" s="27"/>
      <x:c r="HJ145" s="27"/>
      <x:c r="HK145" s="27"/>
      <x:c r="HL145" s="27"/>
      <x:c r="HM145" s="27"/>
      <x:c r="HN145" s="27"/>
      <x:c r="HO145" s="27"/>
      <x:c r="HP145" s="27" t="str">
        <x:f>IF(C145="","",SUM(H145,N145,T145,Z145,AF145,AL145,AR145,AX145,BD145,BJ145,BP145,BV145,CB145,CH145,CN145,CT145,CZ145,DF145,DL145,DR145,DX145,ED145,EJ145,EP145,EV145,FB145,FH145,FN145,FT145,FZ145,GF145,GL145,GR145,GX145,HD145,HJ145))</x:f>
      </x:c>
      <x:c r="HQ145" s="27" t="str">
        <x:f>IF(C145="","",SUM(I145,O145,U145,AA145,AG145,AM145,AS145,AY145,BE145,BK145,BQ145,BW145,CC145,CI145,CO145,CU145,DA145,DG145,DM145,DS145,DY145,EE145,EK145,EQ145,EW145,FC145,FI145,FO145,FU145,GA145,GG145,GM145,GS145,GY145,HE145,HK145))</x:f>
      </x:c>
      <x:c r="HR145" s="27" t="str">
        <x:f>IF(C145="","",SUM(J145,P145,V145,AB145,AH145,AN145,AT145,AZ145,BF145,BL145,BR145,BX145,CD145,CJ145,CP145,CV145,DB145,DH145,DN145,DT145,DZ145,EF145,EL145,ER145,EX145,FD145,FJ145,FP145,FV145,GB145,GH145,GN145,GT145,GZ145,HF145,HL145))</x:f>
      </x:c>
      <x:c r="HS145" s="27" t="str">
        <x:f>IF(C145="","",SUM(K145,Q145,W145,AC145,AI145,AO145,AU145,BA145,BG145,BM145,BS145,BY145,CE145,CK145,CQ145,CW145,DC145,DI145,DO145,DU145,EA145,EG145,EM145,ES145,EY145,FE145,FK145,FQ145,FW145,GC145,GI145,GO145,GU145,HA145,HG145,HM145))</x:f>
      </x:c>
      <x:c r="HT145" s="27" t="str">
        <x:f>IF(C145="","",SUM(L145,R145,X145,AD145,AJ145,AP145,AV145,BB145,BH145,BN145,BT145,BZ145,CF145,CL145,CR145,CX145,DD145,DJ145,DP145,DV145,EB145,EH145,EN145,ET145,EZ145,FF145,FL145,FR145,FX145,GD145,GJ145,GP145,GV145,HB145,HH145,HN145))</x:f>
      </x:c>
      <x:c r="HU145" s="27" t="str">
        <x:f>IF(C145="","",SUM(M145,S145,Y145,AE145,AK145,AQ145,AW145,BC145,BI145,BO145,BU145,CA145,CG145,CM145,CS145,CY145,DE145,DK145,DQ145,DW145,EC145,EI145,EO145,EU145,FA145,FG145,FM145,FS145,FY145,GE145,GK145,GQ145,GW145,HC145,HI145,HO145))</x:f>
      </x:c>
      <x:c r="HV145" s="27" t="str">
        <x:f>IF(C145="","",IF(JI145=LARGE(JI145:JN145,1),"R",IF(JJ145=LARGE(JI145:JN145,1),"I",IF(JK145=LARGE(JI145:JN145,1),"A",IF(JL145=LARGE(JI145:JN145,1),"S",IF(JM145=LARGE(JI145:JN145,1),"E",IF(JN145=LARGE(JI145:JN145,1),"C",""))))))&amp;IF(JI145=LARGE(JI145:JN145,2),"R",IF(JJ145=LARGE(JI145:JN145,2),"I",IF(JK145=LARGE(JI145:JN145,2),"A",IF(JL145=LARGE(JI145:JN145,2),"S",IF(JM145=LARGE(JI145:JN145,2),"E",IF(JN145=LARGE(JI145:JN145,2),"C",""))))))&amp;IF(JI145=LARGE(JI145:JN145,3),"R",IF(JJ145=LARGE(JI145:JN145,3),"I",IF(JK145=LARGE(JI145:JN145,3),"A",IF(JL145=LARGE(JI145:JN145,3),"S",IF(JM145=LARGE(JI145:JN145,3),"E",IF(JN145=LARGE(JI145:JN145,3),"C","")))))))</x:f>
      </x:c>
      <x:c r="HW145" s="27" t="str">
        <x:f>IF(C145="","",IF(JI145=LARGE(JI145:JN145,1),"นักปฏิบัติ",IF(JJ145=LARGE(JI145:JN145,1),"นักคิดวิเคราะห์",IF(JK145=LARGE(JI145:JN145,1),"นักสร้างสรรค์",IF(JL145=LARGE(JI145:JN145,1),"ผู้เข้าใจผู้คน",IF(JM145=LARGE(JI145:JN145,1),"ผู้นำการเปลี่ยนแปลง",IF(JN145=LARGE(JI145:JN145,1),"ผู้จัดระบบ","ผู้จัดระบบ")))))))</x:f>
      </x:c>
      <x:c r="HX145" s="27"/>
      <x:c r="HY145" s="27"/>
      <x:c r="HZ145" s="27"/>
      <x:c r="IA145" s="27"/>
      <x:c r="IB145" s="27"/>
      <x:c r="IC145" s="27"/>
      <x:c r="ID145" s="27"/>
      <x:c r="IE145" s="27"/>
      <x:c r="IF145" s="27"/>
      <x:c r="IG145" s="27"/>
      <x:c r="IH145" s="27"/>
      <x:c r="II145" s="27"/>
      <x:c r="IJ145" s="27"/>
      <x:c r="IK145" s="27" t="str">
        <x:f>IF(C145="","",SUM(H145,N145,T145,Z145,AF145,AL145,AR145,AX145,BD145,BJ145,BP145))</x:f>
      </x:c>
      <x:c r="IL145" s="27" t="str">
        <x:f>IF(C145="","",SUM(I145,O145,U145,AA145,AG145,AM145,AS145,AY145,BE145,BK145,BQ145))</x:f>
      </x:c>
      <x:c r="IM145" s="27" t="str">
        <x:f>IF(C145="","",SUM(J145,P145,V145,AB145,AH145,AN145,AT145,AZ145,BF145,BL145,BR145))</x:f>
      </x:c>
      <x:c r="IN145" s="27" t="str">
        <x:f>IF(C145="","",SUM(K145,Q145,W145,AC145,AI145,AO145,AU145,BA145,BG145,BM145,BS145))</x:f>
      </x:c>
      <x:c r="IO145" s="27" t="str">
        <x:f>IF(C145="","",SUM(L145,R145,X145,AD145,AJ145,AP145,AV145,BB145,BH145,BN145,BT145))</x:f>
      </x:c>
      <x:c r="IP145" s="27" t="str">
        <x:f>IF(C145="","",SUM(M145,S145,Y145,AE145,AK145,AQ145,AW145,BC145,BI145,BO145,BU145))</x:f>
      </x:c>
      <x:c r="IQ145" s="27" t="str">
        <x:f>IF(C145="","",SUM(BV145,CB145,CH145,CN145,CT145,CZ145,DF145,DL145,DR145,DX145,ED145))</x:f>
      </x:c>
      <x:c r="IR145" s="27" t="str">
        <x:f>IF(C145="","",SUM(BW145,CC145,CI145,CO145,CU145,DA145,DG145,DM145,DS145,DY145,EE145))</x:f>
      </x:c>
      <x:c r="IS145" s="27" t="str">
        <x:f>IF(C145="","",SUM(BX145,CD145,CJ145,CP145,CV145,DB145,DH145,DN145,DT145,DZ145,EF145))</x:f>
      </x:c>
      <x:c r="IT145" s="27" t="str">
        <x:f>IF(C145="","",SUM(BY145,CE145,CK145,CQ145,CW145,DC145,DI145,DO145,DU145,EA145,EG145))</x:f>
      </x:c>
      <x:c r="IU145" s="27" t="str">
        <x:f>IF(C145="","",SUM(BZ145,CF145,CL145,CR145,CX145,DD145,DJ145,DP145,DV145,EB145,EH145))</x:f>
      </x:c>
      <x:c r="IV145" s="27" t="str">
        <x:f>IF(C145="","",SUM(CA145,CG145,CM145,CS145,CY145,DE145,DK145,DQ145,DW145,EC145,EI145))</x:f>
      </x:c>
      <x:c r="IW145" s="27" t="str">
        <x:f>IF(C145="","",SUM(EJ145,EP145,EV145,FB145,FH145,FN145,FT145,FZ145,GF145,GL145,GR145,GX145,HD145,HJ145))</x:f>
      </x:c>
      <x:c r="IX145" s="27" t="str">
        <x:f>IF(C145="","",SUM(EK145,EQ145,EW145,FC145,FI145,FO145,FU145,GA145,GG145,GM145,GS145,GY145,HE145,HK145))</x:f>
      </x:c>
      <x:c r="IY145" s="27" t="str">
        <x:f>IF(C145="","",SUM(EL145,ER145,EX145,FD145,FJ145,FP145,FV145,GB145,GH145,GN145,GT145,GZ145,HF145,HL145))</x:f>
      </x:c>
      <x:c r="IZ145" s="27" t="str">
        <x:f>IF(C145="","",SUM(EM145,ES145,EY145,FE145,FK145,FQ145,FW145,GC145,GI145,GO145,GU145,HA145,HG145,HM145))</x:f>
      </x:c>
      <x:c r="JA145" s="27" t="str">
        <x:f>IF(C145="","",SUM(EN145,ET145,EZ145,FF145,FL145,FR145,FX145,GD145,GJ145,GP145,GV145,HB145,HH145,HN145))</x:f>
      </x:c>
      <x:c r="JB145" s="27" t="str">
        <x:f>IF(C145="","",SUM(EO145,EU145,FA145,FG145,FM145,FS145,FY145,GE145,GK145,GQ145,GW145,HC145,HI145,HO145))</x:f>
      </x:c>
      <x:c r="JC145" s="27" t="str">
        <x:f>IF(C145="","",0)</x:f>
      </x:c>
      <x:c r="JD145" s="27" t="str">
        <x:f>IF(C145="","",0)</x:f>
      </x:c>
      <x:c r="JE145" s="27" t="str">
        <x:f>IF(C145="","",0)</x:f>
      </x:c>
      <x:c r="JF145" s="27" t="str">
        <x:f>IF(C145="","",0)</x:f>
      </x:c>
      <x:c r="JG145" s="27" t="str">
        <x:f>IF(C145="","",0)</x:f>
      </x:c>
      <x:c r="JH145" s="27" t="str">
        <x:f>IF(C145="","",0)</x:f>
      </x:c>
      <x:c r="JI145" s="27" t="str">
        <x:f>IF(C145="","",HP145*1000000000+IW145*1000000+IQ145*10000+IK145*100+JC145+6/1000)</x:f>
      </x:c>
      <x:c r="JJ145" s="27" t="str">
        <x:f>IF(C145="","",HQ145*1000000000+IX145*1000000+IR145*10000+IL145*100+JD145+5/1000)</x:f>
      </x:c>
      <x:c r="JK145" s="27" t="str">
        <x:f>IF(C145="","",HR145*1000000000+IY145*1000000+IS145*10000+IM145*100+JE145+4/1000)</x:f>
      </x:c>
      <x:c r="JL145" s="27" t="str">
        <x:f>IF(C145="","",HS145*1000000000+IZ145*1000000+IT145*10000+IN145*100+JF145+3/1000)</x:f>
      </x:c>
      <x:c r="JM145" s="27" t="str">
        <x:f>IF(C145="","",HT145*1000000000+JA145*1000000+IU145*10000+IO145*100+JG145+2/1000)</x:f>
      </x:c>
      <x:c r="JN145" s="27" t="str">
        <x:f>IF(C145="","",HU145*1000000000+JB145*1000000+IV145*10000+IP145*100+JH145+1/1000)</x:f>
      </x:c>
    </x:row>
    <x:row r="146">
      <x:c r="A146" s="27"/>
      <x:c r="B146" s="28"/>
      <x:c r="C146" s="27"/>
      <x:c r="D146" s="27"/>
      <x:c r="E146" s="27"/>
      <x:c r="F146" s="27"/>
      <x:c r="G146" s="27"/>
      <x:c r="H146" s="27"/>
      <x:c r="I146" s="27"/>
      <x:c r="J146" s="27"/>
      <x:c r="K146" s="27"/>
      <x:c r="L146" s="27"/>
      <x:c r="M146" s="27"/>
      <x:c r="N146" s="27"/>
      <x:c r="O146" s="27"/>
      <x:c r="P146" s="27"/>
      <x:c r="Q146" s="27"/>
      <x:c r="R146" s="27"/>
      <x:c r="S146" s="27"/>
      <x:c r="T146" s="27"/>
      <x:c r="U146" s="27"/>
      <x:c r="V146" s="27"/>
      <x:c r="W146" s="27"/>
      <x:c r="X146" s="27"/>
      <x:c r="Y146" s="27"/>
      <x:c r="Z146" s="27"/>
      <x:c r="AA146" s="27"/>
      <x:c r="AB146" s="27"/>
      <x:c r="AC146" s="27"/>
      <x:c r="AD146" s="27"/>
      <x:c r="AE146" s="27"/>
      <x:c r="AF146" s="27"/>
      <x:c r="AG146" s="27"/>
      <x:c r="AH146" s="27"/>
      <x:c r="AI146" s="27"/>
      <x:c r="AJ146" s="27"/>
      <x:c r="AK146" s="27"/>
      <x:c r="AL146" s="27"/>
      <x:c r="AM146" s="27"/>
      <x:c r="AN146" s="27"/>
      <x:c r="AO146" s="27"/>
      <x:c r="AP146" s="27"/>
      <x:c r="AQ146" s="27"/>
      <x:c r="AR146" s="27"/>
      <x:c r="AS146" s="27"/>
      <x:c r="AT146" s="27"/>
      <x:c r="AU146" s="27"/>
      <x:c r="AV146" s="27"/>
      <x:c r="AW146" s="27"/>
      <x:c r="AX146" s="27"/>
      <x:c r="AY146" s="27"/>
      <x:c r="AZ146" s="27"/>
      <x:c r="BA146" s="27"/>
      <x:c r="BB146" s="27"/>
      <x:c r="BC146" s="27"/>
      <x:c r="BD146" s="27"/>
      <x:c r="BE146" s="27"/>
      <x:c r="BF146" s="27"/>
      <x:c r="BG146" s="27"/>
      <x:c r="BH146" s="27"/>
      <x:c r="BI146" s="27"/>
      <x:c r="BJ146" s="27"/>
      <x:c r="BK146" s="27"/>
      <x:c r="BL146" s="27"/>
      <x:c r="BM146" s="27"/>
      <x:c r="BN146" s="27"/>
      <x:c r="BO146" s="27"/>
      <x:c r="BP146" s="27"/>
      <x:c r="BQ146" s="27"/>
      <x:c r="BR146" s="27"/>
      <x:c r="BS146" s="27"/>
      <x:c r="BT146" s="27"/>
      <x:c r="BU146" s="27"/>
      <x:c r="BV146" s="27"/>
      <x:c r="BW146" s="27"/>
      <x:c r="BX146" s="27"/>
      <x:c r="BY146" s="27"/>
      <x:c r="BZ146" s="27"/>
      <x:c r="CA146" s="27"/>
      <x:c r="CB146" s="27"/>
      <x:c r="CC146" s="27"/>
      <x:c r="CD146" s="27"/>
      <x:c r="CE146" s="27"/>
      <x:c r="CF146" s="27"/>
      <x:c r="CG146" s="27"/>
      <x:c r="CH146" s="27"/>
      <x:c r="CI146" s="27"/>
      <x:c r="CJ146" s="27"/>
      <x:c r="CK146" s="27"/>
      <x:c r="CL146" s="27"/>
      <x:c r="CM146" s="27"/>
      <x:c r="CN146" s="27"/>
      <x:c r="CO146" s="27"/>
      <x:c r="CP146" s="27"/>
      <x:c r="CQ146" s="27"/>
      <x:c r="CR146" s="27"/>
      <x:c r="CS146" s="27"/>
      <x:c r="CT146" s="27"/>
      <x:c r="CU146" s="27"/>
      <x:c r="CV146" s="27"/>
      <x:c r="CW146" s="27"/>
      <x:c r="CX146" s="27"/>
      <x:c r="CY146" s="27"/>
      <x:c r="CZ146" s="27"/>
      <x:c r="DA146" s="27"/>
      <x:c r="DB146" s="27"/>
      <x:c r="DC146" s="27"/>
      <x:c r="DD146" s="27"/>
      <x:c r="DE146" s="27"/>
      <x:c r="DF146" s="27"/>
      <x:c r="DG146" s="27"/>
      <x:c r="DH146" s="27"/>
      <x:c r="DI146" s="27"/>
      <x:c r="DJ146" s="27"/>
      <x:c r="DK146" s="27"/>
      <x:c r="DL146" s="27"/>
      <x:c r="DM146" s="27"/>
      <x:c r="DN146" s="27"/>
      <x:c r="DO146" s="27"/>
      <x:c r="DP146" s="27"/>
      <x:c r="DQ146" s="27"/>
      <x:c r="DR146" s="27"/>
      <x:c r="DS146" s="27"/>
      <x:c r="DT146" s="27"/>
      <x:c r="DU146" s="27"/>
      <x:c r="DV146" s="27"/>
      <x:c r="DW146" s="27"/>
      <x:c r="DX146" s="27"/>
      <x:c r="DY146" s="27"/>
      <x:c r="DZ146" s="27"/>
      <x:c r="EA146" s="27"/>
      <x:c r="EB146" s="27"/>
      <x:c r="EC146" s="27"/>
      <x:c r="ED146" s="27"/>
      <x:c r="EE146" s="27"/>
      <x:c r="EF146" s="27"/>
      <x:c r="EG146" s="27"/>
      <x:c r="EH146" s="27"/>
      <x:c r="EI146" s="27"/>
      <x:c r="EJ146" s="27"/>
      <x:c r="EK146" s="27"/>
      <x:c r="EL146" s="27"/>
      <x:c r="EM146" s="27"/>
      <x:c r="EN146" s="27"/>
      <x:c r="EO146" s="27"/>
      <x:c r="EP146" s="27"/>
      <x:c r="EQ146" s="27"/>
      <x:c r="ER146" s="27"/>
      <x:c r="ES146" s="27"/>
      <x:c r="ET146" s="27"/>
      <x:c r="EU146" s="27"/>
      <x:c r="EV146" s="27"/>
      <x:c r="EW146" s="27"/>
      <x:c r="EX146" s="27"/>
      <x:c r="EY146" s="27"/>
      <x:c r="EZ146" s="27"/>
      <x:c r="FA146" s="27"/>
      <x:c r="FB146" s="27"/>
      <x:c r="FC146" s="27"/>
      <x:c r="FD146" s="27"/>
      <x:c r="FE146" s="27"/>
      <x:c r="FF146" s="27"/>
      <x:c r="FG146" s="27"/>
      <x:c r="FH146" s="27"/>
      <x:c r="FI146" s="27"/>
      <x:c r="FJ146" s="27"/>
      <x:c r="FK146" s="27"/>
      <x:c r="FL146" s="27"/>
      <x:c r="FM146" s="27"/>
      <x:c r="FN146" s="27"/>
      <x:c r="FO146" s="27"/>
      <x:c r="FP146" s="27"/>
      <x:c r="FQ146" s="27"/>
      <x:c r="FR146" s="27"/>
      <x:c r="FS146" s="27"/>
      <x:c r="FT146" s="27"/>
      <x:c r="FU146" s="27"/>
      <x:c r="FV146" s="27"/>
      <x:c r="FW146" s="27"/>
      <x:c r="FX146" s="27"/>
      <x:c r="FY146" s="27"/>
      <x:c r="FZ146" s="27"/>
      <x:c r="GA146" s="27"/>
      <x:c r="GB146" s="27"/>
      <x:c r="GC146" s="27"/>
      <x:c r="GD146" s="27"/>
      <x:c r="GE146" s="27"/>
      <x:c r="GF146" s="27"/>
      <x:c r="GG146" s="27"/>
      <x:c r="GH146" s="27"/>
      <x:c r="GI146" s="27"/>
      <x:c r="GJ146" s="27"/>
      <x:c r="GK146" s="27"/>
      <x:c r="GL146" s="27"/>
      <x:c r="GM146" s="27"/>
      <x:c r="GN146" s="27"/>
      <x:c r="GO146" s="27"/>
      <x:c r="GP146" s="27"/>
      <x:c r="GQ146" s="27"/>
      <x:c r="GR146" s="27"/>
      <x:c r="GS146" s="27"/>
      <x:c r="GT146" s="27"/>
      <x:c r="GU146" s="27"/>
      <x:c r="GV146" s="27"/>
      <x:c r="GW146" s="27"/>
      <x:c r="GX146" s="27"/>
      <x:c r="GY146" s="27"/>
      <x:c r="GZ146" s="27"/>
      <x:c r="HA146" s="27"/>
      <x:c r="HB146" s="27"/>
      <x:c r="HC146" s="27"/>
      <x:c r="HD146" s="27"/>
      <x:c r="HE146" s="27"/>
      <x:c r="HF146" s="27"/>
      <x:c r="HG146" s="27"/>
      <x:c r="HH146" s="27"/>
      <x:c r="HI146" s="27"/>
      <x:c r="HJ146" s="27"/>
      <x:c r="HK146" s="27"/>
      <x:c r="HL146" s="27"/>
      <x:c r="HM146" s="27"/>
      <x:c r="HN146" s="27"/>
      <x:c r="HO146" s="27"/>
      <x:c r="HP146" s="27" t="str">
        <x:f>IF(C146="","",SUM(H146,N146,T146,Z146,AF146,AL146,AR146,AX146,BD146,BJ146,BP146,BV146,CB146,CH146,CN146,CT146,CZ146,DF146,DL146,DR146,DX146,ED146,EJ146,EP146,EV146,FB146,FH146,FN146,FT146,FZ146,GF146,GL146,GR146,GX146,HD146,HJ146))</x:f>
      </x:c>
      <x:c r="HQ146" s="27" t="str">
        <x:f>IF(C146="","",SUM(I146,O146,U146,AA146,AG146,AM146,AS146,AY146,BE146,BK146,BQ146,BW146,CC146,CI146,CO146,CU146,DA146,DG146,DM146,DS146,DY146,EE146,EK146,EQ146,EW146,FC146,FI146,FO146,FU146,GA146,GG146,GM146,GS146,GY146,HE146,HK146))</x:f>
      </x:c>
      <x:c r="HR146" s="27" t="str">
        <x:f>IF(C146="","",SUM(J146,P146,V146,AB146,AH146,AN146,AT146,AZ146,BF146,BL146,BR146,BX146,CD146,CJ146,CP146,CV146,DB146,DH146,DN146,DT146,DZ146,EF146,EL146,ER146,EX146,FD146,FJ146,FP146,FV146,GB146,GH146,GN146,GT146,GZ146,HF146,HL146))</x:f>
      </x:c>
      <x:c r="HS146" s="27" t="str">
        <x:f>IF(C146="","",SUM(K146,Q146,W146,AC146,AI146,AO146,AU146,BA146,BG146,BM146,BS146,BY146,CE146,CK146,CQ146,CW146,DC146,DI146,DO146,DU146,EA146,EG146,EM146,ES146,EY146,FE146,FK146,FQ146,FW146,GC146,GI146,GO146,GU146,HA146,HG146,HM146))</x:f>
      </x:c>
      <x:c r="HT146" s="27" t="str">
        <x:f>IF(C146="","",SUM(L146,R146,X146,AD146,AJ146,AP146,AV146,BB146,BH146,BN146,BT146,BZ146,CF146,CL146,CR146,CX146,DD146,DJ146,DP146,DV146,EB146,EH146,EN146,ET146,EZ146,FF146,FL146,FR146,FX146,GD146,GJ146,GP146,GV146,HB146,HH146,HN146))</x:f>
      </x:c>
      <x:c r="HU146" s="27" t="str">
        <x:f>IF(C146="","",SUM(M146,S146,Y146,AE146,AK146,AQ146,AW146,BC146,BI146,BO146,BU146,CA146,CG146,CM146,CS146,CY146,DE146,DK146,DQ146,DW146,EC146,EI146,EO146,EU146,FA146,FG146,FM146,FS146,FY146,GE146,GK146,GQ146,GW146,HC146,HI146,HO146))</x:f>
      </x:c>
      <x:c r="HV146" s="27" t="str">
        <x:f>IF(C146="","",IF(JI146=LARGE(JI146:JN146,1),"R",IF(JJ146=LARGE(JI146:JN146,1),"I",IF(JK146=LARGE(JI146:JN146,1),"A",IF(JL146=LARGE(JI146:JN146,1),"S",IF(JM146=LARGE(JI146:JN146,1),"E",IF(JN146=LARGE(JI146:JN146,1),"C",""))))))&amp;IF(JI146=LARGE(JI146:JN146,2),"R",IF(JJ146=LARGE(JI146:JN146,2),"I",IF(JK146=LARGE(JI146:JN146,2),"A",IF(JL146=LARGE(JI146:JN146,2),"S",IF(JM146=LARGE(JI146:JN146,2),"E",IF(JN146=LARGE(JI146:JN146,2),"C",""))))))&amp;IF(JI146=LARGE(JI146:JN146,3),"R",IF(JJ146=LARGE(JI146:JN146,3),"I",IF(JK146=LARGE(JI146:JN146,3),"A",IF(JL146=LARGE(JI146:JN146,3),"S",IF(JM146=LARGE(JI146:JN146,3),"E",IF(JN146=LARGE(JI146:JN146,3),"C","")))))))</x:f>
      </x:c>
      <x:c r="HW146" s="27" t="str">
        <x:f>IF(C146="","",IF(JI146=LARGE(JI146:JN146,1),"นักปฏิบัติ",IF(JJ146=LARGE(JI146:JN146,1),"นักคิดวิเคราะห์",IF(JK146=LARGE(JI146:JN146,1),"นักสร้างสรรค์",IF(JL146=LARGE(JI146:JN146,1),"ผู้เข้าใจผู้คน",IF(JM146=LARGE(JI146:JN146,1),"ผู้นำการเปลี่ยนแปลง",IF(JN146=LARGE(JI146:JN146,1),"ผู้จัดระบบ","ผู้จัดระบบ")))))))</x:f>
      </x:c>
      <x:c r="HX146" s="27"/>
      <x:c r="HY146" s="27"/>
      <x:c r="HZ146" s="27"/>
      <x:c r="IA146" s="27"/>
      <x:c r="IB146" s="27"/>
      <x:c r="IC146" s="27"/>
      <x:c r="ID146" s="27"/>
      <x:c r="IE146" s="27"/>
      <x:c r="IF146" s="27"/>
      <x:c r="IG146" s="27"/>
      <x:c r="IH146" s="27"/>
      <x:c r="II146" s="27"/>
      <x:c r="IJ146" s="27"/>
      <x:c r="IK146" s="27" t="str">
        <x:f>IF(C146="","",SUM(H146,N146,T146,Z146,AF146,AL146,AR146,AX146,BD146,BJ146,BP146))</x:f>
      </x:c>
      <x:c r="IL146" s="27" t="str">
        <x:f>IF(C146="","",SUM(I146,O146,U146,AA146,AG146,AM146,AS146,AY146,BE146,BK146,BQ146))</x:f>
      </x:c>
      <x:c r="IM146" s="27" t="str">
        <x:f>IF(C146="","",SUM(J146,P146,V146,AB146,AH146,AN146,AT146,AZ146,BF146,BL146,BR146))</x:f>
      </x:c>
      <x:c r="IN146" s="27" t="str">
        <x:f>IF(C146="","",SUM(K146,Q146,W146,AC146,AI146,AO146,AU146,BA146,BG146,BM146,BS146))</x:f>
      </x:c>
      <x:c r="IO146" s="27" t="str">
        <x:f>IF(C146="","",SUM(L146,R146,X146,AD146,AJ146,AP146,AV146,BB146,BH146,BN146,BT146))</x:f>
      </x:c>
      <x:c r="IP146" s="27" t="str">
        <x:f>IF(C146="","",SUM(M146,S146,Y146,AE146,AK146,AQ146,AW146,BC146,BI146,BO146,BU146))</x:f>
      </x:c>
      <x:c r="IQ146" s="27" t="str">
        <x:f>IF(C146="","",SUM(BV146,CB146,CH146,CN146,CT146,CZ146,DF146,DL146,DR146,DX146,ED146))</x:f>
      </x:c>
      <x:c r="IR146" s="27" t="str">
        <x:f>IF(C146="","",SUM(BW146,CC146,CI146,CO146,CU146,DA146,DG146,DM146,DS146,DY146,EE146))</x:f>
      </x:c>
      <x:c r="IS146" s="27" t="str">
        <x:f>IF(C146="","",SUM(BX146,CD146,CJ146,CP146,CV146,DB146,DH146,DN146,DT146,DZ146,EF146))</x:f>
      </x:c>
      <x:c r="IT146" s="27" t="str">
        <x:f>IF(C146="","",SUM(BY146,CE146,CK146,CQ146,CW146,DC146,DI146,DO146,DU146,EA146,EG146))</x:f>
      </x:c>
      <x:c r="IU146" s="27" t="str">
        <x:f>IF(C146="","",SUM(BZ146,CF146,CL146,CR146,CX146,DD146,DJ146,DP146,DV146,EB146,EH146))</x:f>
      </x:c>
      <x:c r="IV146" s="27" t="str">
        <x:f>IF(C146="","",SUM(CA146,CG146,CM146,CS146,CY146,DE146,DK146,DQ146,DW146,EC146,EI146))</x:f>
      </x:c>
      <x:c r="IW146" s="27" t="str">
        <x:f>IF(C146="","",SUM(EJ146,EP146,EV146,FB146,FH146,FN146,FT146,FZ146,GF146,GL146,GR146,GX146,HD146,HJ146))</x:f>
      </x:c>
      <x:c r="IX146" s="27" t="str">
        <x:f>IF(C146="","",SUM(EK146,EQ146,EW146,FC146,FI146,FO146,FU146,GA146,GG146,GM146,GS146,GY146,HE146,HK146))</x:f>
      </x:c>
      <x:c r="IY146" s="27" t="str">
        <x:f>IF(C146="","",SUM(EL146,ER146,EX146,FD146,FJ146,FP146,FV146,GB146,GH146,GN146,GT146,GZ146,HF146,HL146))</x:f>
      </x:c>
      <x:c r="IZ146" s="27" t="str">
        <x:f>IF(C146="","",SUM(EM146,ES146,EY146,FE146,FK146,FQ146,FW146,GC146,GI146,GO146,GU146,HA146,HG146,HM146))</x:f>
      </x:c>
      <x:c r="JA146" s="27" t="str">
        <x:f>IF(C146="","",SUM(EN146,ET146,EZ146,FF146,FL146,FR146,FX146,GD146,GJ146,GP146,GV146,HB146,HH146,HN146))</x:f>
      </x:c>
      <x:c r="JB146" s="27" t="str">
        <x:f>IF(C146="","",SUM(EO146,EU146,FA146,FG146,FM146,FS146,FY146,GE146,GK146,GQ146,GW146,HC146,HI146,HO146))</x:f>
      </x:c>
      <x:c r="JC146" s="27" t="str">
        <x:f>IF(C146="","",0)</x:f>
      </x:c>
      <x:c r="JD146" s="27" t="str">
        <x:f>IF(C146="","",0)</x:f>
      </x:c>
      <x:c r="JE146" s="27" t="str">
        <x:f>IF(C146="","",0)</x:f>
      </x:c>
      <x:c r="JF146" s="27" t="str">
        <x:f>IF(C146="","",0)</x:f>
      </x:c>
      <x:c r="JG146" s="27" t="str">
        <x:f>IF(C146="","",0)</x:f>
      </x:c>
      <x:c r="JH146" s="27" t="str">
        <x:f>IF(C146="","",0)</x:f>
      </x:c>
      <x:c r="JI146" s="27" t="str">
        <x:f>IF(C146="","",HP146*1000000000+IW146*1000000+IQ146*10000+IK146*100+JC146+6/1000)</x:f>
      </x:c>
      <x:c r="JJ146" s="27" t="str">
        <x:f>IF(C146="","",HQ146*1000000000+IX146*1000000+IR146*10000+IL146*100+JD146+5/1000)</x:f>
      </x:c>
      <x:c r="JK146" s="27" t="str">
        <x:f>IF(C146="","",HR146*1000000000+IY146*1000000+IS146*10000+IM146*100+JE146+4/1000)</x:f>
      </x:c>
      <x:c r="JL146" s="27" t="str">
        <x:f>IF(C146="","",HS146*1000000000+IZ146*1000000+IT146*10000+IN146*100+JF146+3/1000)</x:f>
      </x:c>
      <x:c r="JM146" s="27" t="str">
        <x:f>IF(C146="","",HT146*1000000000+JA146*1000000+IU146*10000+IO146*100+JG146+2/1000)</x:f>
      </x:c>
      <x:c r="JN146" s="27" t="str">
        <x:f>IF(C146="","",HU146*1000000000+JB146*1000000+IV146*10000+IP146*100+JH146+1/1000)</x:f>
      </x:c>
    </x:row>
    <x:row r="147">
      <x:c r="A147" s="27"/>
      <x:c r="B147" s="28"/>
      <x:c r="C147" s="27"/>
      <x:c r="D147" s="27"/>
      <x:c r="E147" s="27"/>
      <x:c r="F147" s="27"/>
      <x:c r="G147" s="27"/>
      <x:c r="H147" s="27"/>
      <x:c r="I147" s="27"/>
      <x:c r="J147" s="27"/>
      <x:c r="K147" s="27"/>
      <x:c r="L147" s="27"/>
      <x:c r="M147" s="27"/>
      <x:c r="N147" s="27"/>
      <x:c r="O147" s="27"/>
      <x:c r="P147" s="27"/>
      <x:c r="Q147" s="27"/>
      <x:c r="R147" s="27"/>
      <x:c r="S147" s="27"/>
      <x:c r="T147" s="27"/>
      <x:c r="U147" s="27"/>
      <x:c r="V147" s="27"/>
      <x:c r="W147" s="27"/>
      <x:c r="X147" s="27"/>
      <x:c r="Y147" s="27"/>
      <x:c r="Z147" s="27"/>
      <x:c r="AA147" s="27"/>
      <x:c r="AB147" s="27"/>
      <x:c r="AC147" s="27"/>
      <x:c r="AD147" s="27"/>
      <x:c r="AE147" s="27"/>
      <x:c r="AF147" s="27"/>
      <x:c r="AG147" s="27"/>
      <x:c r="AH147" s="27"/>
      <x:c r="AI147" s="27"/>
      <x:c r="AJ147" s="27"/>
      <x:c r="AK147" s="27"/>
      <x:c r="AL147" s="27"/>
      <x:c r="AM147" s="27"/>
      <x:c r="AN147" s="27"/>
      <x:c r="AO147" s="27"/>
      <x:c r="AP147" s="27"/>
      <x:c r="AQ147" s="27"/>
      <x:c r="AR147" s="27"/>
      <x:c r="AS147" s="27"/>
      <x:c r="AT147" s="27"/>
      <x:c r="AU147" s="27"/>
      <x:c r="AV147" s="27"/>
      <x:c r="AW147" s="27"/>
      <x:c r="AX147" s="27"/>
      <x:c r="AY147" s="27"/>
      <x:c r="AZ147" s="27"/>
      <x:c r="BA147" s="27"/>
      <x:c r="BB147" s="27"/>
      <x:c r="BC147" s="27"/>
      <x:c r="BD147" s="27"/>
      <x:c r="BE147" s="27"/>
      <x:c r="BF147" s="27"/>
      <x:c r="BG147" s="27"/>
      <x:c r="BH147" s="27"/>
      <x:c r="BI147" s="27"/>
      <x:c r="BJ147" s="27"/>
      <x:c r="BK147" s="27"/>
      <x:c r="BL147" s="27"/>
      <x:c r="BM147" s="27"/>
      <x:c r="BN147" s="27"/>
      <x:c r="BO147" s="27"/>
      <x:c r="BP147" s="27"/>
      <x:c r="BQ147" s="27"/>
      <x:c r="BR147" s="27"/>
      <x:c r="BS147" s="27"/>
      <x:c r="BT147" s="27"/>
      <x:c r="BU147" s="27"/>
      <x:c r="BV147" s="27"/>
      <x:c r="BW147" s="27"/>
      <x:c r="BX147" s="27"/>
      <x:c r="BY147" s="27"/>
      <x:c r="BZ147" s="27"/>
      <x:c r="CA147" s="27"/>
      <x:c r="CB147" s="27"/>
      <x:c r="CC147" s="27"/>
      <x:c r="CD147" s="27"/>
      <x:c r="CE147" s="27"/>
      <x:c r="CF147" s="27"/>
      <x:c r="CG147" s="27"/>
      <x:c r="CH147" s="27"/>
      <x:c r="CI147" s="27"/>
      <x:c r="CJ147" s="27"/>
      <x:c r="CK147" s="27"/>
      <x:c r="CL147" s="27"/>
      <x:c r="CM147" s="27"/>
      <x:c r="CN147" s="27"/>
      <x:c r="CO147" s="27"/>
      <x:c r="CP147" s="27"/>
      <x:c r="CQ147" s="27"/>
      <x:c r="CR147" s="27"/>
      <x:c r="CS147" s="27"/>
      <x:c r="CT147" s="27"/>
      <x:c r="CU147" s="27"/>
      <x:c r="CV147" s="27"/>
      <x:c r="CW147" s="27"/>
      <x:c r="CX147" s="27"/>
      <x:c r="CY147" s="27"/>
      <x:c r="CZ147" s="27"/>
      <x:c r="DA147" s="27"/>
      <x:c r="DB147" s="27"/>
      <x:c r="DC147" s="27"/>
      <x:c r="DD147" s="27"/>
      <x:c r="DE147" s="27"/>
      <x:c r="DF147" s="27"/>
      <x:c r="DG147" s="27"/>
      <x:c r="DH147" s="27"/>
      <x:c r="DI147" s="27"/>
      <x:c r="DJ147" s="27"/>
      <x:c r="DK147" s="27"/>
      <x:c r="DL147" s="27"/>
      <x:c r="DM147" s="27"/>
      <x:c r="DN147" s="27"/>
      <x:c r="DO147" s="27"/>
      <x:c r="DP147" s="27"/>
      <x:c r="DQ147" s="27"/>
      <x:c r="DR147" s="27"/>
      <x:c r="DS147" s="27"/>
      <x:c r="DT147" s="27"/>
      <x:c r="DU147" s="27"/>
      <x:c r="DV147" s="27"/>
      <x:c r="DW147" s="27"/>
      <x:c r="DX147" s="27"/>
      <x:c r="DY147" s="27"/>
      <x:c r="DZ147" s="27"/>
      <x:c r="EA147" s="27"/>
      <x:c r="EB147" s="27"/>
      <x:c r="EC147" s="27"/>
      <x:c r="ED147" s="27"/>
      <x:c r="EE147" s="27"/>
      <x:c r="EF147" s="27"/>
      <x:c r="EG147" s="27"/>
      <x:c r="EH147" s="27"/>
      <x:c r="EI147" s="27"/>
      <x:c r="EJ147" s="27"/>
      <x:c r="EK147" s="27"/>
      <x:c r="EL147" s="27"/>
      <x:c r="EM147" s="27"/>
      <x:c r="EN147" s="27"/>
      <x:c r="EO147" s="27"/>
      <x:c r="EP147" s="27"/>
      <x:c r="EQ147" s="27"/>
      <x:c r="ER147" s="27"/>
      <x:c r="ES147" s="27"/>
      <x:c r="ET147" s="27"/>
      <x:c r="EU147" s="27"/>
      <x:c r="EV147" s="27"/>
      <x:c r="EW147" s="27"/>
      <x:c r="EX147" s="27"/>
      <x:c r="EY147" s="27"/>
      <x:c r="EZ147" s="27"/>
      <x:c r="FA147" s="27"/>
      <x:c r="FB147" s="27"/>
      <x:c r="FC147" s="27"/>
      <x:c r="FD147" s="27"/>
      <x:c r="FE147" s="27"/>
      <x:c r="FF147" s="27"/>
      <x:c r="FG147" s="27"/>
      <x:c r="FH147" s="27"/>
      <x:c r="FI147" s="27"/>
      <x:c r="FJ147" s="27"/>
      <x:c r="FK147" s="27"/>
      <x:c r="FL147" s="27"/>
      <x:c r="FM147" s="27"/>
      <x:c r="FN147" s="27"/>
      <x:c r="FO147" s="27"/>
      <x:c r="FP147" s="27"/>
      <x:c r="FQ147" s="27"/>
      <x:c r="FR147" s="27"/>
      <x:c r="FS147" s="27"/>
      <x:c r="FT147" s="27"/>
      <x:c r="FU147" s="27"/>
      <x:c r="FV147" s="27"/>
      <x:c r="FW147" s="27"/>
      <x:c r="FX147" s="27"/>
      <x:c r="FY147" s="27"/>
      <x:c r="FZ147" s="27"/>
      <x:c r="GA147" s="27"/>
      <x:c r="GB147" s="27"/>
      <x:c r="GC147" s="27"/>
      <x:c r="GD147" s="27"/>
      <x:c r="GE147" s="27"/>
      <x:c r="GF147" s="27"/>
      <x:c r="GG147" s="27"/>
      <x:c r="GH147" s="27"/>
      <x:c r="GI147" s="27"/>
      <x:c r="GJ147" s="27"/>
      <x:c r="GK147" s="27"/>
      <x:c r="GL147" s="27"/>
      <x:c r="GM147" s="27"/>
      <x:c r="GN147" s="27"/>
      <x:c r="GO147" s="27"/>
      <x:c r="GP147" s="27"/>
      <x:c r="GQ147" s="27"/>
      <x:c r="GR147" s="27"/>
      <x:c r="GS147" s="27"/>
      <x:c r="GT147" s="27"/>
      <x:c r="GU147" s="27"/>
      <x:c r="GV147" s="27"/>
      <x:c r="GW147" s="27"/>
      <x:c r="GX147" s="27"/>
      <x:c r="GY147" s="27"/>
      <x:c r="GZ147" s="27"/>
      <x:c r="HA147" s="27"/>
      <x:c r="HB147" s="27"/>
      <x:c r="HC147" s="27"/>
      <x:c r="HD147" s="27"/>
      <x:c r="HE147" s="27"/>
      <x:c r="HF147" s="27"/>
      <x:c r="HG147" s="27"/>
      <x:c r="HH147" s="27"/>
      <x:c r="HI147" s="27"/>
      <x:c r="HJ147" s="27"/>
      <x:c r="HK147" s="27"/>
      <x:c r="HL147" s="27"/>
      <x:c r="HM147" s="27"/>
      <x:c r="HN147" s="27"/>
      <x:c r="HO147" s="27"/>
      <x:c r="HP147" s="27" t="str">
        <x:f>IF(C147="","",SUM(H147,N147,T147,Z147,AF147,AL147,AR147,AX147,BD147,BJ147,BP147,BV147,CB147,CH147,CN147,CT147,CZ147,DF147,DL147,DR147,DX147,ED147,EJ147,EP147,EV147,FB147,FH147,FN147,FT147,FZ147,GF147,GL147,GR147,GX147,HD147,HJ147))</x:f>
      </x:c>
      <x:c r="HQ147" s="27" t="str">
        <x:f>IF(C147="","",SUM(I147,O147,U147,AA147,AG147,AM147,AS147,AY147,BE147,BK147,BQ147,BW147,CC147,CI147,CO147,CU147,DA147,DG147,DM147,DS147,DY147,EE147,EK147,EQ147,EW147,FC147,FI147,FO147,FU147,GA147,GG147,GM147,GS147,GY147,HE147,HK147))</x:f>
      </x:c>
      <x:c r="HR147" s="27" t="str">
        <x:f>IF(C147="","",SUM(J147,P147,V147,AB147,AH147,AN147,AT147,AZ147,BF147,BL147,BR147,BX147,CD147,CJ147,CP147,CV147,DB147,DH147,DN147,DT147,DZ147,EF147,EL147,ER147,EX147,FD147,FJ147,FP147,FV147,GB147,GH147,GN147,GT147,GZ147,HF147,HL147))</x:f>
      </x:c>
      <x:c r="HS147" s="27" t="str">
        <x:f>IF(C147="","",SUM(K147,Q147,W147,AC147,AI147,AO147,AU147,BA147,BG147,BM147,BS147,BY147,CE147,CK147,CQ147,CW147,DC147,DI147,DO147,DU147,EA147,EG147,EM147,ES147,EY147,FE147,FK147,FQ147,FW147,GC147,GI147,GO147,GU147,HA147,HG147,HM147))</x:f>
      </x:c>
      <x:c r="HT147" s="27" t="str">
        <x:f>IF(C147="","",SUM(L147,R147,X147,AD147,AJ147,AP147,AV147,BB147,BH147,BN147,BT147,BZ147,CF147,CL147,CR147,CX147,DD147,DJ147,DP147,DV147,EB147,EH147,EN147,ET147,EZ147,FF147,FL147,FR147,FX147,GD147,GJ147,GP147,GV147,HB147,HH147,HN147))</x:f>
      </x:c>
      <x:c r="HU147" s="27" t="str">
        <x:f>IF(C147="","",SUM(M147,S147,Y147,AE147,AK147,AQ147,AW147,BC147,BI147,BO147,BU147,CA147,CG147,CM147,CS147,CY147,DE147,DK147,DQ147,DW147,EC147,EI147,EO147,EU147,FA147,FG147,FM147,FS147,FY147,GE147,GK147,GQ147,GW147,HC147,HI147,HO147))</x:f>
      </x:c>
      <x:c r="HV147" s="27" t="str">
        <x:f>IF(C147="","",IF(JI147=LARGE(JI147:JN147,1),"R",IF(JJ147=LARGE(JI147:JN147,1),"I",IF(JK147=LARGE(JI147:JN147,1),"A",IF(JL147=LARGE(JI147:JN147,1),"S",IF(JM147=LARGE(JI147:JN147,1),"E",IF(JN147=LARGE(JI147:JN147,1),"C",""))))))&amp;IF(JI147=LARGE(JI147:JN147,2),"R",IF(JJ147=LARGE(JI147:JN147,2),"I",IF(JK147=LARGE(JI147:JN147,2),"A",IF(JL147=LARGE(JI147:JN147,2),"S",IF(JM147=LARGE(JI147:JN147,2),"E",IF(JN147=LARGE(JI147:JN147,2),"C",""))))))&amp;IF(JI147=LARGE(JI147:JN147,3),"R",IF(JJ147=LARGE(JI147:JN147,3),"I",IF(JK147=LARGE(JI147:JN147,3),"A",IF(JL147=LARGE(JI147:JN147,3),"S",IF(JM147=LARGE(JI147:JN147,3),"E",IF(JN147=LARGE(JI147:JN147,3),"C","")))))))</x:f>
      </x:c>
      <x:c r="HW147" s="27" t="str">
        <x:f>IF(C147="","",IF(JI147=LARGE(JI147:JN147,1),"นักปฏิบัติ",IF(JJ147=LARGE(JI147:JN147,1),"นักคิดวิเคราะห์",IF(JK147=LARGE(JI147:JN147,1),"นักสร้างสรรค์",IF(JL147=LARGE(JI147:JN147,1),"ผู้เข้าใจผู้คน",IF(JM147=LARGE(JI147:JN147,1),"ผู้นำการเปลี่ยนแปลง",IF(JN147=LARGE(JI147:JN147,1),"ผู้จัดระบบ","ผู้จัดระบบ")))))))</x:f>
      </x:c>
      <x:c r="HX147" s="27"/>
      <x:c r="HY147" s="27"/>
      <x:c r="HZ147" s="27"/>
      <x:c r="IA147" s="27"/>
      <x:c r="IB147" s="27"/>
      <x:c r="IC147" s="27"/>
      <x:c r="ID147" s="27"/>
      <x:c r="IE147" s="27"/>
      <x:c r="IF147" s="27"/>
      <x:c r="IG147" s="27"/>
      <x:c r="IH147" s="27"/>
      <x:c r="II147" s="27"/>
      <x:c r="IJ147" s="27"/>
      <x:c r="IK147" s="27" t="str">
        <x:f>IF(C147="","",SUM(H147,N147,T147,Z147,AF147,AL147,AR147,AX147,BD147,BJ147,BP147))</x:f>
      </x:c>
      <x:c r="IL147" s="27" t="str">
        <x:f>IF(C147="","",SUM(I147,O147,U147,AA147,AG147,AM147,AS147,AY147,BE147,BK147,BQ147))</x:f>
      </x:c>
      <x:c r="IM147" s="27" t="str">
        <x:f>IF(C147="","",SUM(J147,P147,V147,AB147,AH147,AN147,AT147,AZ147,BF147,BL147,BR147))</x:f>
      </x:c>
      <x:c r="IN147" s="27" t="str">
        <x:f>IF(C147="","",SUM(K147,Q147,W147,AC147,AI147,AO147,AU147,BA147,BG147,BM147,BS147))</x:f>
      </x:c>
      <x:c r="IO147" s="27" t="str">
        <x:f>IF(C147="","",SUM(L147,R147,X147,AD147,AJ147,AP147,AV147,BB147,BH147,BN147,BT147))</x:f>
      </x:c>
      <x:c r="IP147" s="27" t="str">
        <x:f>IF(C147="","",SUM(M147,S147,Y147,AE147,AK147,AQ147,AW147,BC147,BI147,BO147,BU147))</x:f>
      </x:c>
      <x:c r="IQ147" s="27" t="str">
        <x:f>IF(C147="","",SUM(BV147,CB147,CH147,CN147,CT147,CZ147,DF147,DL147,DR147,DX147,ED147))</x:f>
      </x:c>
      <x:c r="IR147" s="27" t="str">
        <x:f>IF(C147="","",SUM(BW147,CC147,CI147,CO147,CU147,DA147,DG147,DM147,DS147,DY147,EE147))</x:f>
      </x:c>
      <x:c r="IS147" s="27" t="str">
        <x:f>IF(C147="","",SUM(BX147,CD147,CJ147,CP147,CV147,DB147,DH147,DN147,DT147,DZ147,EF147))</x:f>
      </x:c>
      <x:c r="IT147" s="27" t="str">
        <x:f>IF(C147="","",SUM(BY147,CE147,CK147,CQ147,CW147,DC147,DI147,DO147,DU147,EA147,EG147))</x:f>
      </x:c>
      <x:c r="IU147" s="27" t="str">
        <x:f>IF(C147="","",SUM(BZ147,CF147,CL147,CR147,CX147,DD147,DJ147,DP147,DV147,EB147,EH147))</x:f>
      </x:c>
      <x:c r="IV147" s="27" t="str">
        <x:f>IF(C147="","",SUM(CA147,CG147,CM147,CS147,CY147,DE147,DK147,DQ147,DW147,EC147,EI147))</x:f>
      </x:c>
      <x:c r="IW147" s="27" t="str">
        <x:f>IF(C147="","",SUM(EJ147,EP147,EV147,FB147,FH147,FN147,FT147,FZ147,GF147,GL147,GR147,GX147,HD147,HJ147))</x:f>
      </x:c>
      <x:c r="IX147" s="27" t="str">
        <x:f>IF(C147="","",SUM(EK147,EQ147,EW147,FC147,FI147,FO147,FU147,GA147,GG147,GM147,GS147,GY147,HE147,HK147))</x:f>
      </x:c>
      <x:c r="IY147" s="27" t="str">
        <x:f>IF(C147="","",SUM(EL147,ER147,EX147,FD147,FJ147,FP147,FV147,GB147,GH147,GN147,GT147,GZ147,HF147,HL147))</x:f>
      </x:c>
      <x:c r="IZ147" s="27" t="str">
        <x:f>IF(C147="","",SUM(EM147,ES147,EY147,FE147,FK147,FQ147,FW147,GC147,GI147,GO147,GU147,HA147,HG147,HM147))</x:f>
      </x:c>
      <x:c r="JA147" s="27" t="str">
        <x:f>IF(C147="","",SUM(EN147,ET147,EZ147,FF147,FL147,FR147,FX147,GD147,GJ147,GP147,GV147,HB147,HH147,HN147))</x:f>
      </x:c>
      <x:c r="JB147" s="27" t="str">
        <x:f>IF(C147="","",SUM(EO147,EU147,FA147,FG147,FM147,FS147,FY147,GE147,GK147,GQ147,GW147,HC147,HI147,HO147))</x:f>
      </x:c>
      <x:c r="JC147" s="27" t="str">
        <x:f>IF(C147="","",0)</x:f>
      </x:c>
      <x:c r="JD147" s="27" t="str">
        <x:f>IF(C147="","",0)</x:f>
      </x:c>
      <x:c r="JE147" s="27" t="str">
        <x:f>IF(C147="","",0)</x:f>
      </x:c>
      <x:c r="JF147" s="27" t="str">
        <x:f>IF(C147="","",0)</x:f>
      </x:c>
      <x:c r="JG147" s="27" t="str">
        <x:f>IF(C147="","",0)</x:f>
      </x:c>
      <x:c r="JH147" s="27" t="str">
        <x:f>IF(C147="","",0)</x:f>
      </x:c>
      <x:c r="JI147" s="27" t="str">
        <x:f>IF(C147="","",HP147*1000000000+IW147*1000000+IQ147*10000+IK147*100+JC147+6/1000)</x:f>
      </x:c>
      <x:c r="JJ147" s="27" t="str">
        <x:f>IF(C147="","",HQ147*1000000000+IX147*1000000+IR147*10000+IL147*100+JD147+5/1000)</x:f>
      </x:c>
      <x:c r="JK147" s="27" t="str">
        <x:f>IF(C147="","",HR147*1000000000+IY147*1000000+IS147*10000+IM147*100+JE147+4/1000)</x:f>
      </x:c>
      <x:c r="JL147" s="27" t="str">
        <x:f>IF(C147="","",HS147*1000000000+IZ147*1000000+IT147*10000+IN147*100+JF147+3/1000)</x:f>
      </x:c>
      <x:c r="JM147" s="27" t="str">
        <x:f>IF(C147="","",HT147*1000000000+JA147*1000000+IU147*10000+IO147*100+JG147+2/1000)</x:f>
      </x:c>
      <x:c r="JN147" s="27" t="str">
        <x:f>IF(C147="","",HU147*1000000000+JB147*1000000+IV147*10000+IP147*100+JH147+1/1000)</x:f>
      </x:c>
    </x:row>
    <x:row r="148">
      <x:c r="A148" s="27"/>
      <x:c r="B148" s="28"/>
      <x:c r="C148" s="27"/>
      <x:c r="D148" s="27"/>
      <x:c r="E148" s="27"/>
      <x:c r="F148" s="27"/>
      <x:c r="G148" s="27"/>
      <x:c r="H148" s="27"/>
      <x:c r="I148" s="27"/>
      <x:c r="J148" s="27"/>
      <x:c r="K148" s="27"/>
      <x:c r="L148" s="27"/>
      <x:c r="M148" s="27"/>
      <x:c r="N148" s="27"/>
      <x:c r="O148" s="27"/>
      <x:c r="P148" s="27"/>
      <x:c r="Q148" s="27"/>
      <x:c r="R148" s="27"/>
      <x:c r="S148" s="27"/>
      <x:c r="T148" s="27"/>
      <x:c r="U148" s="27"/>
      <x:c r="V148" s="27"/>
      <x:c r="W148" s="27"/>
      <x:c r="X148" s="27"/>
      <x:c r="Y148" s="27"/>
      <x:c r="Z148" s="27"/>
      <x:c r="AA148" s="27"/>
      <x:c r="AB148" s="27"/>
      <x:c r="AC148" s="27"/>
      <x:c r="AD148" s="27"/>
      <x:c r="AE148" s="27"/>
      <x:c r="AF148" s="27"/>
      <x:c r="AG148" s="27"/>
      <x:c r="AH148" s="27"/>
      <x:c r="AI148" s="27"/>
      <x:c r="AJ148" s="27"/>
      <x:c r="AK148" s="27"/>
      <x:c r="AL148" s="27"/>
      <x:c r="AM148" s="27"/>
      <x:c r="AN148" s="27"/>
      <x:c r="AO148" s="27"/>
      <x:c r="AP148" s="27"/>
      <x:c r="AQ148" s="27"/>
      <x:c r="AR148" s="27"/>
      <x:c r="AS148" s="27"/>
      <x:c r="AT148" s="27"/>
      <x:c r="AU148" s="27"/>
      <x:c r="AV148" s="27"/>
      <x:c r="AW148" s="27"/>
      <x:c r="AX148" s="27"/>
      <x:c r="AY148" s="27"/>
      <x:c r="AZ148" s="27"/>
      <x:c r="BA148" s="27"/>
      <x:c r="BB148" s="27"/>
      <x:c r="BC148" s="27"/>
      <x:c r="BD148" s="27"/>
      <x:c r="BE148" s="27"/>
      <x:c r="BF148" s="27"/>
      <x:c r="BG148" s="27"/>
      <x:c r="BH148" s="27"/>
      <x:c r="BI148" s="27"/>
      <x:c r="BJ148" s="27"/>
      <x:c r="BK148" s="27"/>
      <x:c r="BL148" s="27"/>
      <x:c r="BM148" s="27"/>
      <x:c r="BN148" s="27"/>
      <x:c r="BO148" s="27"/>
      <x:c r="BP148" s="27"/>
      <x:c r="BQ148" s="27"/>
      <x:c r="BR148" s="27"/>
      <x:c r="BS148" s="27"/>
      <x:c r="BT148" s="27"/>
      <x:c r="BU148" s="27"/>
      <x:c r="BV148" s="27"/>
      <x:c r="BW148" s="27"/>
      <x:c r="BX148" s="27"/>
      <x:c r="BY148" s="27"/>
      <x:c r="BZ148" s="27"/>
      <x:c r="CA148" s="27"/>
      <x:c r="CB148" s="27"/>
      <x:c r="CC148" s="27"/>
      <x:c r="CD148" s="27"/>
      <x:c r="CE148" s="27"/>
      <x:c r="CF148" s="27"/>
      <x:c r="CG148" s="27"/>
      <x:c r="CH148" s="27"/>
      <x:c r="CI148" s="27"/>
      <x:c r="CJ148" s="27"/>
      <x:c r="CK148" s="27"/>
      <x:c r="CL148" s="27"/>
      <x:c r="CM148" s="27"/>
      <x:c r="CN148" s="27"/>
      <x:c r="CO148" s="27"/>
      <x:c r="CP148" s="27"/>
      <x:c r="CQ148" s="27"/>
      <x:c r="CR148" s="27"/>
      <x:c r="CS148" s="27"/>
      <x:c r="CT148" s="27"/>
      <x:c r="CU148" s="27"/>
      <x:c r="CV148" s="27"/>
      <x:c r="CW148" s="27"/>
      <x:c r="CX148" s="27"/>
      <x:c r="CY148" s="27"/>
      <x:c r="CZ148" s="27"/>
      <x:c r="DA148" s="27"/>
      <x:c r="DB148" s="27"/>
      <x:c r="DC148" s="27"/>
      <x:c r="DD148" s="27"/>
      <x:c r="DE148" s="27"/>
      <x:c r="DF148" s="27"/>
      <x:c r="DG148" s="27"/>
      <x:c r="DH148" s="27"/>
      <x:c r="DI148" s="27"/>
      <x:c r="DJ148" s="27"/>
      <x:c r="DK148" s="27"/>
      <x:c r="DL148" s="27"/>
      <x:c r="DM148" s="27"/>
      <x:c r="DN148" s="27"/>
      <x:c r="DO148" s="27"/>
      <x:c r="DP148" s="27"/>
      <x:c r="DQ148" s="27"/>
      <x:c r="DR148" s="27"/>
      <x:c r="DS148" s="27"/>
      <x:c r="DT148" s="27"/>
      <x:c r="DU148" s="27"/>
      <x:c r="DV148" s="27"/>
      <x:c r="DW148" s="27"/>
      <x:c r="DX148" s="27"/>
      <x:c r="DY148" s="27"/>
      <x:c r="DZ148" s="27"/>
      <x:c r="EA148" s="27"/>
      <x:c r="EB148" s="27"/>
      <x:c r="EC148" s="27"/>
      <x:c r="ED148" s="27"/>
      <x:c r="EE148" s="27"/>
      <x:c r="EF148" s="27"/>
      <x:c r="EG148" s="27"/>
      <x:c r="EH148" s="27"/>
      <x:c r="EI148" s="27"/>
      <x:c r="EJ148" s="27"/>
      <x:c r="EK148" s="27"/>
      <x:c r="EL148" s="27"/>
      <x:c r="EM148" s="27"/>
      <x:c r="EN148" s="27"/>
      <x:c r="EO148" s="27"/>
      <x:c r="EP148" s="27"/>
      <x:c r="EQ148" s="27"/>
      <x:c r="ER148" s="27"/>
      <x:c r="ES148" s="27"/>
      <x:c r="ET148" s="27"/>
      <x:c r="EU148" s="27"/>
      <x:c r="EV148" s="27"/>
      <x:c r="EW148" s="27"/>
      <x:c r="EX148" s="27"/>
      <x:c r="EY148" s="27"/>
      <x:c r="EZ148" s="27"/>
      <x:c r="FA148" s="27"/>
      <x:c r="FB148" s="27"/>
      <x:c r="FC148" s="27"/>
      <x:c r="FD148" s="27"/>
      <x:c r="FE148" s="27"/>
      <x:c r="FF148" s="27"/>
      <x:c r="FG148" s="27"/>
      <x:c r="FH148" s="27"/>
      <x:c r="FI148" s="27"/>
      <x:c r="FJ148" s="27"/>
      <x:c r="FK148" s="27"/>
      <x:c r="FL148" s="27"/>
      <x:c r="FM148" s="27"/>
      <x:c r="FN148" s="27"/>
      <x:c r="FO148" s="27"/>
      <x:c r="FP148" s="27"/>
      <x:c r="FQ148" s="27"/>
      <x:c r="FR148" s="27"/>
      <x:c r="FS148" s="27"/>
      <x:c r="FT148" s="27"/>
      <x:c r="FU148" s="27"/>
      <x:c r="FV148" s="27"/>
      <x:c r="FW148" s="27"/>
      <x:c r="FX148" s="27"/>
      <x:c r="FY148" s="27"/>
      <x:c r="FZ148" s="27"/>
      <x:c r="GA148" s="27"/>
      <x:c r="GB148" s="27"/>
      <x:c r="GC148" s="27"/>
      <x:c r="GD148" s="27"/>
      <x:c r="GE148" s="27"/>
      <x:c r="GF148" s="27"/>
      <x:c r="GG148" s="27"/>
      <x:c r="GH148" s="27"/>
      <x:c r="GI148" s="27"/>
      <x:c r="GJ148" s="27"/>
      <x:c r="GK148" s="27"/>
      <x:c r="GL148" s="27"/>
      <x:c r="GM148" s="27"/>
      <x:c r="GN148" s="27"/>
      <x:c r="GO148" s="27"/>
      <x:c r="GP148" s="27"/>
      <x:c r="GQ148" s="27"/>
      <x:c r="GR148" s="27"/>
      <x:c r="GS148" s="27"/>
      <x:c r="GT148" s="27"/>
      <x:c r="GU148" s="27"/>
      <x:c r="GV148" s="27"/>
      <x:c r="GW148" s="27"/>
      <x:c r="GX148" s="27"/>
      <x:c r="GY148" s="27"/>
      <x:c r="GZ148" s="27"/>
      <x:c r="HA148" s="27"/>
      <x:c r="HB148" s="27"/>
      <x:c r="HC148" s="27"/>
      <x:c r="HD148" s="27"/>
      <x:c r="HE148" s="27"/>
      <x:c r="HF148" s="27"/>
      <x:c r="HG148" s="27"/>
      <x:c r="HH148" s="27"/>
      <x:c r="HI148" s="27"/>
      <x:c r="HJ148" s="27"/>
      <x:c r="HK148" s="27"/>
      <x:c r="HL148" s="27"/>
      <x:c r="HM148" s="27"/>
      <x:c r="HN148" s="27"/>
      <x:c r="HO148" s="27"/>
      <x:c r="HP148" s="27" t="str">
        <x:f>IF(C148="","",SUM(H148,N148,T148,Z148,AF148,AL148,AR148,AX148,BD148,BJ148,BP148,BV148,CB148,CH148,CN148,CT148,CZ148,DF148,DL148,DR148,DX148,ED148,EJ148,EP148,EV148,FB148,FH148,FN148,FT148,FZ148,GF148,GL148,GR148,GX148,HD148,HJ148))</x:f>
      </x:c>
      <x:c r="HQ148" s="27" t="str">
        <x:f>IF(C148="","",SUM(I148,O148,U148,AA148,AG148,AM148,AS148,AY148,BE148,BK148,BQ148,BW148,CC148,CI148,CO148,CU148,DA148,DG148,DM148,DS148,DY148,EE148,EK148,EQ148,EW148,FC148,FI148,FO148,FU148,GA148,GG148,GM148,GS148,GY148,HE148,HK148))</x:f>
      </x:c>
      <x:c r="HR148" s="27" t="str">
        <x:f>IF(C148="","",SUM(J148,P148,V148,AB148,AH148,AN148,AT148,AZ148,BF148,BL148,BR148,BX148,CD148,CJ148,CP148,CV148,DB148,DH148,DN148,DT148,DZ148,EF148,EL148,ER148,EX148,FD148,FJ148,FP148,FV148,GB148,GH148,GN148,GT148,GZ148,HF148,HL148))</x:f>
      </x:c>
      <x:c r="HS148" s="27" t="str">
        <x:f>IF(C148="","",SUM(K148,Q148,W148,AC148,AI148,AO148,AU148,BA148,BG148,BM148,BS148,BY148,CE148,CK148,CQ148,CW148,DC148,DI148,DO148,DU148,EA148,EG148,EM148,ES148,EY148,FE148,FK148,FQ148,FW148,GC148,GI148,GO148,GU148,HA148,HG148,HM148))</x:f>
      </x:c>
      <x:c r="HT148" s="27" t="str">
        <x:f>IF(C148="","",SUM(L148,R148,X148,AD148,AJ148,AP148,AV148,BB148,BH148,BN148,BT148,BZ148,CF148,CL148,CR148,CX148,DD148,DJ148,DP148,DV148,EB148,EH148,EN148,ET148,EZ148,FF148,FL148,FR148,FX148,GD148,GJ148,GP148,GV148,HB148,HH148,HN148))</x:f>
      </x:c>
      <x:c r="HU148" s="27" t="str">
        <x:f>IF(C148="","",SUM(M148,S148,Y148,AE148,AK148,AQ148,AW148,BC148,BI148,BO148,BU148,CA148,CG148,CM148,CS148,CY148,DE148,DK148,DQ148,DW148,EC148,EI148,EO148,EU148,FA148,FG148,FM148,FS148,FY148,GE148,GK148,GQ148,GW148,HC148,HI148,HO148))</x:f>
      </x:c>
      <x:c r="HV148" s="27" t="str">
        <x:f>IF(C148="","",IF(JI148=LARGE(JI148:JN148,1),"R",IF(JJ148=LARGE(JI148:JN148,1),"I",IF(JK148=LARGE(JI148:JN148,1),"A",IF(JL148=LARGE(JI148:JN148,1),"S",IF(JM148=LARGE(JI148:JN148,1),"E",IF(JN148=LARGE(JI148:JN148,1),"C",""))))))&amp;IF(JI148=LARGE(JI148:JN148,2),"R",IF(JJ148=LARGE(JI148:JN148,2),"I",IF(JK148=LARGE(JI148:JN148,2),"A",IF(JL148=LARGE(JI148:JN148,2),"S",IF(JM148=LARGE(JI148:JN148,2),"E",IF(JN148=LARGE(JI148:JN148,2),"C",""))))))&amp;IF(JI148=LARGE(JI148:JN148,3),"R",IF(JJ148=LARGE(JI148:JN148,3),"I",IF(JK148=LARGE(JI148:JN148,3),"A",IF(JL148=LARGE(JI148:JN148,3),"S",IF(JM148=LARGE(JI148:JN148,3),"E",IF(JN148=LARGE(JI148:JN148,3),"C","")))))))</x:f>
      </x:c>
      <x:c r="HW148" s="27" t="str">
        <x:f>IF(C148="","",IF(JI148=LARGE(JI148:JN148,1),"นักปฏิบัติ",IF(JJ148=LARGE(JI148:JN148,1),"นักคิดวิเคราะห์",IF(JK148=LARGE(JI148:JN148,1),"นักสร้างสรรค์",IF(JL148=LARGE(JI148:JN148,1),"ผู้เข้าใจผู้คน",IF(JM148=LARGE(JI148:JN148,1),"ผู้นำการเปลี่ยนแปลง",IF(JN148=LARGE(JI148:JN148,1),"ผู้จัดระบบ","ผู้จัดระบบ")))))))</x:f>
      </x:c>
      <x:c r="HX148" s="27"/>
      <x:c r="HY148" s="27"/>
      <x:c r="HZ148" s="27"/>
      <x:c r="IA148" s="27"/>
      <x:c r="IB148" s="27"/>
      <x:c r="IC148" s="27"/>
      <x:c r="ID148" s="27"/>
      <x:c r="IE148" s="27"/>
      <x:c r="IF148" s="27"/>
      <x:c r="IG148" s="27"/>
      <x:c r="IH148" s="27"/>
      <x:c r="II148" s="27"/>
      <x:c r="IJ148" s="27"/>
      <x:c r="IK148" s="27" t="str">
        <x:f>IF(C148="","",SUM(H148,N148,T148,Z148,AF148,AL148,AR148,AX148,BD148,BJ148,BP148))</x:f>
      </x:c>
      <x:c r="IL148" s="27" t="str">
        <x:f>IF(C148="","",SUM(I148,O148,U148,AA148,AG148,AM148,AS148,AY148,BE148,BK148,BQ148))</x:f>
      </x:c>
      <x:c r="IM148" s="27" t="str">
        <x:f>IF(C148="","",SUM(J148,P148,V148,AB148,AH148,AN148,AT148,AZ148,BF148,BL148,BR148))</x:f>
      </x:c>
      <x:c r="IN148" s="27" t="str">
        <x:f>IF(C148="","",SUM(K148,Q148,W148,AC148,AI148,AO148,AU148,BA148,BG148,BM148,BS148))</x:f>
      </x:c>
      <x:c r="IO148" s="27" t="str">
        <x:f>IF(C148="","",SUM(L148,R148,X148,AD148,AJ148,AP148,AV148,BB148,BH148,BN148,BT148))</x:f>
      </x:c>
      <x:c r="IP148" s="27" t="str">
        <x:f>IF(C148="","",SUM(M148,S148,Y148,AE148,AK148,AQ148,AW148,BC148,BI148,BO148,BU148))</x:f>
      </x:c>
      <x:c r="IQ148" s="27" t="str">
        <x:f>IF(C148="","",SUM(BV148,CB148,CH148,CN148,CT148,CZ148,DF148,DL148,DR148,DX148,ED148))</x:f>
      </x:c>
      <x:c r="IR148" s="27" t="str">
        <x:f>IF(C148="","",SUM(BW148,CC148,CI148,CO148,CU148,DA148,DG148,DM148,DS148,DY148,EE148))</x:f>
      </x:c>
      <x:c r="IS148" s="27" t="str">
        <x:f>IF(C148="","",SUM(BX148,CD148,CJ148,CP148,CV148,DB148,DH148,DN148,DT148,DZ148,EF148))</x:f>
      </x:c>
      <x:c r="IT148" s="27" t="str">
        <x:f>IF(C148="","",SUM(BY148,CE148,CK148,CQ148,CW148,DC148,DI148,DO148,DU148,EA148,EG148))</x:f>
      </x:c>
      <x:c r="IU148" s="27" t="str">
        <x:f>IF(C148="","",SUM(BZ148,CF148,CL148,CR148,CX148,DD148,DJ148,DP148,DV148,EB148,EH148))</x:f>
      </x:c>
      <x:c r="IV148" s="27" t="str">
        <x:f>IF(C148="","",SUM(CA148,CG148,CM148,CS148,CY148,DE148,DK148,DQ148,DW148,EC148,EI148))</x:f>
      </x:c>
      <x:c r="IW148" s="27" t="str">
        <x:f>IF(C148="","",SUM(EJ148,EP148,EV148,FB148,FH148,FN148,FT148,FZ148,GF148,GL148,GR148,GX148,HD148,HJ148))</x:f>
      </x:c>
      <x:c r="IX148" s="27" t="str">
        <x:f>IF(C148="","",SUM(EK148,EQ148,EW148,FC148,FI148,FO148,FU148,GA148,GG148,GM148,GS148,GY148,HE148,HK148))</x:f>
      </x:c>
      <x:c r="IY148" s="27" t="str">
        <x:f>IF(C148="","",SUM(EL148,ER148,EX148,FD148,FJ148,FP148,FV148,GB148,GH148,GN148,GT148,GZ148,HF148,HL148))</x:f>
      </x:c>
      <x:c r="IZ148" s="27" t="str">
        <x:f>IF(C148="","",SUM(EM148,ES148,EY148,FE148,FK148,FQ148,FW148,GC148,GI148,GO148,GU148,HA148,HG148,HM148))</x:f>
      </x:c>
      <x:c r="JA148" s="27" t="str">
        <x:f>IF(C148="","",SUM(EN148,ET148,EZ148,FF148,FL148,FR148,FX148,GD148,GJ148,GP148,GV148,HB148,HH148,HN148))</x:f>
      </x:c>
      <x:c r="JB148" s="27" t="str">
        <x:f>IF(C148="","",SUM(EO148,EU148,FA148,FG148,FM148,FS148,FY148,GE148,GK148,GQ148,GW148,HC148,HI148,HO148))</x:f>
      </x:c>
      <x:c r="JC148" s="27" t="str">
        <x:f>IF(C148="","",0)</x:f>
      </x:c>
      <x:c r="JD148" s="27" t="str">
        <x:f>IF(C148="","",0)</x:f>
      </x:c>
      <x:c r="JE148" s="27" t="str">
        <x:f>IF(C148="","",0)</x:f>
      </x:c>
      <x:c r="JF148" s="27" t="str">
        <x:f>IF(C148="","",0)</x:f>
      </x:c>
      <x:c r="JG148" s="27" t="str">
        <x:f>IF(C148="","",0)</x:f>
      </x:c>
      <x:c r="JH148" s="27" t="str">
        <x:f>IF(C148="","",0)</x:f>
      </x:c>
      <x:c r="JI148" s="27" t="str">
        <x:f>IF(C148="","",HP148*1000000000+IW148*1000000+IQ148*10000+IK148*100+JC148+6/1000)</x:f>
      </x:c>
      <x:c r="JJ148" s="27" t="str">
        <x:f>IF(C148="","",HQ148*1000000000+IX148*1000000+IR148*10000+IL148*100+JD148+5/1000)</x:f>
      </x:c>
      <x:c r="JK148" s="27" t="str">
        <x:f>IF(C148="","",HR148*1000000000+IY148*1000000+IS148*10000+IM148*100+JE148+4/1000)</x:f>
      </x:c>
      <x:c r="JL148" s="27" t="str">
        <x:f>IF(C148="","",HS148*1000000000+IZ148*1000000+IT148*10000+IN148*100+JF148+3/1000)</x:f>
      </x:c>
      <x:c r="JM148" s="27" t="str">
        <x:f>IF(C148="","",HT148*1000000000+JA148*1000000+IU148*10000+IO148*100+JG148+2/1000)</x:f>
      </x:c>
      <x:c r="JN148" s="27" t="str">
        <x:f>IF(C148="","",HU148*1000000000+JB148*1000000+IV148*10000+IP148*100+JH148+1/1000)</x:f>
      </x:c>
    </x:row>
    <x:row r="149">
      <x:c r="A149" s="27"/>
      <x:c r="B149" s="28"/>
      <x:c r="C149" s="27"/>
      <x:c r="D149" s="27"/>
      <x:c r="E149" s="27"/>
      <x:c r="F149" s="27"/>
      <x:c r="G149" s="27"/>
      <x:c r="H149" s="27"/>
      <x:c r="I149" s="27"/>
      <x:c r="J149" s="27"/>
      <x:c r="K149" s="27"/>
      <x:c r="L149" s="27"/>
      <x:c r="M149" s="27"/>
      <x:c r="N149" s="27"/>
      <x:c r="O149" s="27"/>
      <x:c r="P149" s="27"/>
      <x:c r="Q149" s="27"/>
      <x:c r="R149" s="27"/>
      <x:c r="S149" s="27"/>
      <x:c r="T149" s="27"/>
      <x:c r="U149" s="27"/>
      <x:c r="V149" s="27"/>
      <x:c r="W149" s="27"/>
      <x:c r="X149" s="27"/>
      <x:c r="Y149" s="27"/>
      <x:c r="Z149" s="27"/>
      <x:c r="AA149" s="27"/>
      <x:c r="AB149" s="27"/>
      <x:c r="AC149" s="27"/>
      <x:c r="AD149" s="27"/>
      <x:c r="AE149" s="27"/>
      <x:c r="AF149" s="27"/>
      <x:c r="AG149" s="27"/>
      <x:c r="AH149" s="27"/>
      <x:c r="AI149" s="27"/>
      <x:c r="AJ149" s="27"/>
      <x:c r="AK149" s="27"/>
      <x:c r="AL149" s="27"/>
      <x:c r="AM149" s="27"/>
      <x:c r="AN149" s="27"/>
      <x:c r="AO149" s="27"/>
      <x:c r="AP149" s="27"/>
      <x:c r="AQ149" s="27"/>
      <x:c r="AR149" s="27"/>
      <x:c r="AS149" s="27"/>
      <x:c r="AT149" s="27"/>
      <x:c r="AU149" s="27"/>
      <x:c r="AV149" s="27"/>
      <x:c r="AW149" s="27"/>
      <x:c r="AX149" s="27"/>
      <x:c r="AY149" s="27"/>
      <x:c r="AZ149" s="27"/>
      <x:c r="BA149" s="27"/>
      <x:c r="BB149" s="27"/>
      <x:c r="BC149" s="27"/>
      <x:c r="BD149" s="27"/>
      <x:c r="BE149" s="27"/>
      <x:c r="BF149" s="27"/>
      <x:c r="BG149" s="27"/>
      <x:c r="BH149" s="27"/>
      <x:c r="BI149" s="27"/>
      <x:c r="BJ149" s="27"/>
      <x:c r="BK149" s="27"/>
      <x:c r="BL149" s="27"/>
      <x:c r="BM149" s="27"/>
      <x:c r="BN149" s="27"/>
      <x:c r="BO149" s="27"/>
      <x:c r="BP149" s="27"/>
      <x:c r="BQ149" s="27"/>
      <x:c r="BR149" s="27"/>
      <x:c r="BS149" s="27"/>
      <x:c r="BT149" s="27"/>
      <x:c r="BU149" s="27"/>
      <x:c r="BV149" s="27"/>
      <x:c r="BW149" s="27"/>
      <x:c r="BX149" s="27"/>
      <x:c r="BY149" s="27"/>
      <x:c r="BZ149" s="27"/>
      <x:c r="CA149" s="27"/>
      <x:c r="CB149" s="27"/>
      <x:c r="CC149" s="27"/>
      <x:c r="CD149" s="27"/>
      <x:c r="CE149" s="27"/>
      <x:c r="CF149" s="27"/>
      <x:c r="CG149" s="27"/>
      <x:c r="CH149" s="27"/>
      <x:c r="CI149" s="27"/>
      <x:c r="CJ149" s="27"/>
      <x:c r="CK149" s="27"/>
      <x:c r="CL149" s="27"/>
      <x:c r="CM149" s="27"/>
      <x:c r="CN149" s="27"/>
      <x:c r="CO149" s="27"/>
      <x:c r="CP149" s="27"/>
      <x:c r="CQ149" s="27"/>
      <x:c r="CR149" s="27"/>
      <x:c r="CS149" s="27"/>
      <x:c r="CT149" s="27"/>
      <x:c r="CU149" s="27"/>
      <x:c r="CV149" s="27"/>
      <x:c r="CW149" s="27"/>
      <x:c r="CX149" s="27"/>
      <x:c r="CY149" s="27"/>
      <x:c r="CZ149" s="27"/>
      <x:c r="DA149" s="27"/>
      <x:c r="DB149" s="27"/>
      <x:c r="DC149" s="27"/>
      <x:c r="DD149" s="27"/>
      <x:c r="DE149" s="27"/>
      <x:c r="DF149" s="27"/>
      <x:c r="DG149" s="27"/>
      <x:c r="DH149" s="27"/>
      <x:c r="DI149" s="27"/>
      <x:c r="DJ149" s="27"/>
      <x:c r="DK149" s="27"/>
      <x:c r="DL149" s="27"/>
      <x:c r="DM149" s="27"/>
      <x:c r="DN149" s="27"/>
      <x:c r="DO149" s="27"/>
      <x:c r="DP149" s="27"/>
      <x:c r="DQ149" s="27"/>
      <x:c r="DR149" s="27"/>
      <x:c r="DS149" s="27"/>
      <x:c r="DT149" s="27"/>
      <x:c r="DU149" s="27"/>
      <x:c r="DV149" s="27"/>
      <x:c r="DW149" s="27"/>
      <x:c r="DX149" s="27"/>
      <x:c r="DY149" s="27"/>
      <x:c r="DZ149" s="27"/>
      <x:c r="EA149" s="27"/>
      <x:c r="EB149" s="27"/>
      <x:c r="EC149" s="27"/>
      <x:c r="ED149" s="27"/>
      <x:c r="EE149" s="27"/>
      <x:c r="EF149" s="27"/>
      <x:c r="EG149" s="27"/>
      <x:c r="EH149" s="27"/>
      <x:c r="EI149" s="27"/>
      <x:c r="EJ149" s="27"/>
      <x:c r="EK149" s="27"/>
      <x:c r="EL149" s="27"/>
      <x:c r="EM149" s="27"/>
      <x:c r="EN149" s="27"/>
      <x:c r="EO149" s="27"/>
      <x:c r="EP149" s="27"/>
      <x:c r="EQ149" s="27"/>
      <x:c r="ER149" s="27"/>
      <x:c r="ES149" s="27"/>
      <x:c r="ET149" s="27"/>
      <x:c r="EU149" s="27"/>
      <x:c r="EV149" s="27"/>
      <x:c r="EW149" s="27"/>
      <x:c r="EX149" s="27"/>
      <x:c r="EY149" s="27"/>
      <x:c r="EZ149" s="27"/>
      <x:c r="FA149" s="27"/>
      <x:c r="FB149" s="27"/>
      <x:c r="FC149" s="27"/>
      <x:c r="FD149" s="27"/>
      <x:c r="FE149" s="27"/>
      <x:c r="FF149" s="27"/>
      <x:c r="FG149" s="27"/>
      <x:c r="FH149" s="27"/>
      <x:c r="FI149" s="27"/>
      <x:c r="FJ149" s="27"/>
      <x:c r="FK149" s="27"/>
      <x:c r="FL149" s="27"/>
      <x:c r="FM149" s="27"/>
      <x:c r="FN149" s="27"/>
      <x:c r="FO149" s="27"/>
      <x:c r="FP149" s="27"/>
      <x:c r="FQ149" s="27"/>
      <x:c r="FR149" s="27"/>
      <x:c r="FS149" s="27"/>
      <x:c r="FT149" s="27"/>
      <x:c r="FU149" s="27"/>
      <x:c r="FV149" s="27"/>
      <x:c r="FW149" s="27"/>
      <x:c r="FX149" s="27"/>
      <x:c r="FY149" s="27"/>
      <x:c r="FZ149" s="27"/>
      <x:c r="GA149" s="27"/>
      <x:c r="GB149" s="27"/>
      <x:c r="GC149" s="27"/>
      <x:c r="GD149" s="27"/>
      <x:c r="GE149" s="27"/>
      <x:c r="GF149" s="27"/>
      <x:c r="GG149" s="27"/>
      <x:c r="GH149" s="27"/>
      <x:c r="GI149" s="27"/>
      <x:c r="GJ149" s="27"/>
      <x:c r="GK149" s="27"/>
      <x:c r="GL149" s="27"/>
      <x:c r="GM149" s="27"/>
      <x:c r="GN149" s="27"/>
      <x:c r="GO149" s="27"/>
      <x:c r="GP149" s="27"/>
      <x:c r="GQ149" s="27"/>
      <x:c r="GR149" s="27"/>
      <x:c r="GS149" s="27"/>
      <x:c r="GT149" s="27"/>
      <x:c r="GU149" s="27"/>
      <x:c r="GV149" s="27"/>
      <x:c r="GW149" s="27"/>
      <x:c r="GX149" s="27"/>
      <x:c r="GY149" s="27"/>
      <x:c r="GZ149" s="27"/>
      <x:c r="HA149" s="27"/>
      <x:c r="HB149" s="27"/>
      <x:c r="HC149" s="27"/>
      <x:c r="HD149" s="27"/>
      <x:c r="HE149" s="27"/>
      <x:c r="HF149" s="27"/>
      <x:c r="HG149" s="27"/>
      <x:c r="HH149" s="27"/>
      <x:c r="HI149" s="27"/>
      <x:c r="HJ149" s="27"/>
      <x:c r="HK149" s="27"/>
      <x:c r="HL149" s="27"/>
      <x:c r="HM149" s="27"/>
      <x:c r="HN149" s="27"/>
      <x:c r="HO149" s="27"/>
      <x:c r="HP149" s="27" t="str">
        <x:f>IF(C149="","",SUM(H149,N149,T149,Z149,AF149,AL149,AR149,AX149,BD149,BJ149,BP149,BV149,CB149,CH149,CN149,CT149,CZ149,DF149,DL149,DR149,DX149,ED149,EJ149,EP149,EV149,FB149,FH149,FN149,FT149,FZ149,GF149,GL149,GR149,GX149,HD149,HJ149))</x:f>
      </x:c>
      <x:c r="HQ149" s="27" t="str">
        <x:f>IF(C149="","",SUM(I149,O149,U149,AA149,AG149,AM149,AS149,AY149,BE149,BK149,BQ149,BW149,CC149,CI149,CO149,CU149,DA149,DG149,DM149,DS149,DY149,EE149,EK149,EQ149,EW149,FC149,FI149,FO149,FU149,GA149,GG149,GM149,GS149,GY149,HE149,HK149))</x:f>
      </x:c>
      <x:c r="HR149" s="27" t="str">
        <x:f>IF(C149="","",SUM(J149,P149,V149,AB149,AH149,AN149,AT149,AZ149,BF149,BL149,BR149,BX149,CD149,CJ149,CP149,CV149,DB149,DH149,DN149,DT149,DZ149,EF149,EL149,ER149,EX149,FD149,FJ149,FP149,FV149,GB149,GH149,GN149,GT149,GZ149,HF149,HL149))</x:f>
      </x:c>
      <x:c r="HS149" s="27" t="str">
        <x:f>IF(C149="","",SUM(K149,Q149,W149,AC149,AI149,AO149,AU149,BA149,BG149,BM149,BS149,BY149,CE149,CK149,CQ149,CW149,DC149,DI149,DO149,DU149,EA149,EG149,EM149,ES149,EY149,FE149,FK149,FQ149,FW149,GC149,GI149,GO149,GU149,HA149,HG149,HM149))</x:f>
      </x:c>
      <x:c r="HT149" s="27" t="str">
        <x:f>IF(C149="","",SUM(L149,R149,X149,AD149,AJ149,AP149,AV149,BB149,BH149,BN149,BT149,BZ149,CF149,CL149,CR149,CX149,DD149,DJ149,DP149,DV149,EB149,EH149,EN149,ET149,EZ149,FF149,FL149,FR149,FX149,GD149,GJ149,GP149,GV149,HB149,HH149,HN149))</x:f>
      </x:c>
      <x:c r="HU149" s="27" t="str">
        <x:f>IF(C149="","",SUM(M149,S149,Y149,AE149,AK149,AQ149,AW149,BC149,BI149,BO149,BU149,CA149,CG149,CM149,CS149,CY149,DE149,DK149,DQ149,DW149,EC149,EI149,EO149,EU149,FA149,FG149,FM149,FS149,FY149,GE149,GK149,GQ149,GW149,HC149,HI149,HO149))</x:f>
      </x:c>
      <x:c r="HV149" s="27" t="str">
        <x:f>IF(C149="","",IF(JI149=LARGE(JI149:JN149,1),"R",IF(JJ149=LARGE(JI149:JN149,1),"I",IF(JK149=LARGE(JI149:JN149,1),"A",IF(JL149=LARGE(JI149:JN149,1),"S",IF(JM149=LARGE(JI149:JN149,1),"E",IF(JN149=LARGE(JI149:JN149,1),"C",""))))))&amp;IF(JI149=LARGE(JI149:JN149,2),"R",IF(JJ149=LARGE(JI149:JN149,2),"I",IF(JK149=LARGE(JI149:JN149,2),"A",IF(JL149=LARGE(JI149:JN149,2),"S",IF(JM149=LARGE(JI149:JN149,2),"E",IF(JN149=LARGE(JI149:JN149,2),"C",""))))))&amp;IF(JI149=LARGE(JI149:JN149,3),"R",IF(JJ149=LARGE(JI149:JN149,3),"I",IF(JK149=LARGE(JI149:JN149,3),"A",IF(JL149=LARGE(JI149:JN149,3),"S",IF(JM149=LARGE(JI149:JN149,3),"E",IF(JN149=LARGE(JI149:JN149,3),"C","")))))))</x:f>
      </x:c>
      <x:c r="HW149" s="27" t="str">
        <x:f>IF(C149="","",IF(JI149=LARGE(JI149:JN149,1),"นักปฏิบัติ",IF(JJ149=LARGE(JI149:JN149,1),"นักคิดวิเคราะห์",IF(JK149=LARGE(JI149:JN149,1),"นักสร้างสรรค์",IF(JL149=LARGE(JI149:JN149,1),"ผู้เข้าใจผู้คน",IF(JM149=LARGE(JI149:JN149,1),"ผู้นำการเปลี่ยนแปลง",IF(JN149=LARGE(JI149:JN149,1),"ผู้จัดระบบ","ผู้จัดระบบ")))))))</x:f>
      </x:c>
      <x:c r="HX149" s="27"/>
      <x:c r="HY149" s="27"/>
      <x:c r="HZ149" s="27"/>
      <x:c r="IA149" s="27"/>
      <x:c r="IB149" s="27"/>
      <x:c r="IC149" s="27"/>
      <x:c r="ID149" s="27"/>
      <x:c r="IE149" s="27"/>
      <x:c r="IF149" s="27"/>
      <x:c r="IG149" s="27"/>
      <x:c r="IH149" s="27"/>
      <x:c r="II149" s="27"/>
      <x:c r="IJ149" s="27"/>
      <x:c r="IK149" s="27" t="str">
        <x:f>IF(C149="","",SUM(H149,N149,T149,Z149,AF149,AL149,AR149,AX149,BD149,BJ149,BP149))</x:f>
      </x:c>
      <x:c r="IL149" s="27" t="str">
        <x:f>IF(C149="","",SUM(I149,O149,U149,AA149,AG149,AM149,AS149,AY149,BE149,BK149,BQ149))</x:f>
      </x:c>
      <x:c r="IM149" s="27" t="str">
        <x:f>IF(C149="","",SUM(J149,P149,V149,AB149,AH149,AN149,AT149,AZ149,BF149,BL149,BR149))</x:f>
      </x:c>
      <x:c r="IN149" s="27" t="str">
        <x:f>IF(C149="","",SUM(K149,Q149,W149,AC149,AI149,AO149,AU149,BA149,BG149,BM149,BS149))</x:f>
      </x:c>
      <x:c r="IO149" s="27" t="str">
        <x:f>IF(C149="","",SUM(L149,R149,X149,AD149,AJ149,AP149,AV149,BB149,BH149,BN149,BT149))</x:f>
      </x:c>
      <x:c r="IP149" s="27" t="str">
        <x:f>IF(C149="","",SUM(M149,S149,Y149,AE149,AK149,AQ149,AW149,BC149,BI149,BO149,BU149))</x:f>
      </x:c>
      <x:c r="IQ149" s="27" t="str">
        <x:f>IF(C149="","",SUM(BV149,CB149,CH149,CN149,CT149,CZ149,DF149,DL149,DR149,DX149,ED149))</x:f>
      </x:c>
      <x:c r="IR149" s="27" t="str">
        <x:f>IF(C149="","",SUM(BW149,CC149,CI149,CO149,CU149,DA149,DG149,DM149,DS149,DY149,EE149))</x:f>
      </x:c>
      <x:c r="IS149" s="27" t="str">
        <x:f>IF(C149="","",SUM(BX149,CD149,CJ149,CP149,CV149,DB149,DH149,DN149,DT149,DZ149,EF149))</x:f>
      </x:c>
      <x:c r="IT149" s="27" t="str">
        <x:f>IF(C149="","",SUM(BY149,CE149,CK149,CQ149,CW149,DC149,DI149,DO149,DU149,EA149,EG149))</x:f>
      </x:c>
      <x:c r="IU149" s="27" t="str">
        <x:f>IF(C149="","",SUM(BZ149,CF149,CL149,CR149,CX149,DD149,DJ149,DP149,DV149,EB149,EH149))</x:f>
      </x:c>
      <x:c r="IV149" s="27" t="str">
        <x:f>IF(C149="","",SUM(CA149,CG149,CM149,CS149,CY149,DE149,DK149,DQ149,DW149,EC149,EI149))</x:f>
      </x:c>
      <x:c r="IW149" s="27" t="str">
        <x:f>IF(C149="","",SUM(EJ149,EP149,EV149,FB149,FH149,FN149,FT149,FZ149,GF149,GL149,GR149,GX149,HD149,HJ149))</x:f>
      </x:c>
      <x:c r="IX149" s="27" t="str">
        <x:f>IF(C149="","",SUM(EK149,EQ149,EW149,FC149,FI149,FO149,FU149,GA149,GG149,GM149,GS149,GY149,HE149,HK149))</x:f>
      </x:c>
      <x:c r="IY149" s="27" t="str">
        <x:f>IF(C149="","",SUM(EL149,ER149,EX149,FD149,FJ149,FP149,FV149,GB149,GH149,GN149,GT149,GZ149,HF149,HL149))</x:f>
      </x:c>
      <x:c r="IZ149" s="27" t="str">
        <x:f>IF(C149="","",SUM(EM149,ES149,EY149,FE149,FK149,FQ149,FW149,GC149,GI149,GO149,GU149,HA149,HG149,HM149))</x:f>
      </x:c>
      <x:c r="JA149" s="27" t="str">
        <x:f>IF(C149="","",SUM(EN149,ET149,EZ149,FF149,FL149,FR149,FX149,GD149,GJ149,GP149,GV149,HB149,HH149,HN149))</x:f>
      </x:c>
      <x:c r="JB149" s="27" t="str">
        <x:f>IF(C149="","",SUM(EO149,EU149,FA149,FG149,FM149,FS149,FY149,GE149,GK149,GQ149,GW149,HC149,HI149,HO149))</x:f>
      </x:c>
      <x:c r="JC149" s="27" t="str">
        <x:f>IF(C149="","",0)</x:f>
      </x:c>
      <x:c r="JD149" s="27" t="str">
        <x:f>IF(C149="","",0)</x:f>
      </x:c>
      <x:c r="JE149" s="27" t="str">
        <x:f>IF(C149="","",0)</x:f>
      </x:c>
      <x:c r="JF149" s="27" t="str">
        <x:f>IF(C149="","",0)</x:f>
      </x:c>
      <x:c r="JG149" s="27" t="str">
        <x:f>IF(C149="","",0)</x:f>
      </x:c>
      <x:c r="JH149" s="27" t="str">
        <x:f>IF(C149="","",0)</x:f>
      </x:c>
      <x:c r="JI149" s="27" t="str">
        <x:f>IF(C149="","",HP149*1000000000+IW149*1000000+IQ149*10000+IK149*100+JC149+6/1000)</x:f>
      </x:c>
      <x:c r="JJ149" s="27" t="str">
        <x:f>IF(C149="","",HQ149*1000000000+IX149*1000000+IR149*10000+IL149*100+JD149+5/1000)</x:f>
      </x:c>
      <x:c r="JK149" s="27" t="str">
        <x:f>IF(C149="","",HR149*1000000000+IY149*1000000+IS149*10000+IM149*100+JE149+4/1000)</x:f>
      </x:c>
      <x:c r="JL149" s="27" t="str">
        <x:f>IF(C149="","",HS149*1000000000+IZ149*1000000+IT149*10000+IN149*100+JF149+3/1000)</x:f>
      </x:c>
      <x:c r="JM149" s="27" t="str">
        <x:f>IF(C149="","",HT149*1000000000+JA149*1000000+IU149*10000+IO149*100+JG149+2/1000)</x:f>
      </x:c>
      <x:c r="JN149" s="27" t="str">
        <x:f>IF(C149="","",HU149*1000000000+JB149*1000000+IV149*10000+IP149*100+JH149+1/1000)</x:f>
      </x:c>
    </x:row>
    <x:row r="150">
      <x:c r="A150" s="27"/>
      <x:c r="B150" s="28"/>
      <x:c r="C150" s="27"/>
      <x:c r="D150" s="27"/>
      <x:c r="E150" s="27"/>
      <x:c r="F150" s="27"/>
      <x:c r="G150" s="27"/>
      <x:c r="H150" s="27"/>
      <x:c r="I150" s="27"/>
      <x:c r="J150" s="27"/>
      <x:c r="K150" s="27"/>
      <x:c r="L150" s="27"/>
      <x:c r="M150" s="27"/>
      <x:c r="N150" s="27"/>
      <x:c r="O150" s="27"/>
      <x:c r="P150" s="27"/>
      <x:c r="Q150" s="27"/>
      <x:c r="R150" s="27"/>
      <x:c r="S150" s="27"/>
      <x:c r="T150" s="27"/>
      <x:c r="U150" s="27"/>
      <x:c r="V150" s="27"/>
      <x:c r="W150" s="27"/>
      <x:c r="X150" s="27"/>
      <x:c r="Y150" s="27"/>
      <x:c r="Z150" s="27"/>
      <x:c r="AA150" s="27"/>
      <x:c r="AB150" s="27"/>
      <x:c r="AC150" s="27"/>
      <x:c r="AD150" s="27"/>
      <x:c r="AE150" s="27"/>
      <x:c r="AF150" s="27"/>
      <x:c r="AG150" s="27"/>
      <x:c r="AH150" s="27"/>
      <x:c r="AI150" s="27"/>
      <x:c r="AJ150" s="27"/>
      <x:c r="AK150" s="27"/>
      <x:c r="AL150" s="27"/>
      <x:c r="AM150" s="27"/>
      <x:c r="AN150" s="27"/>
      <x:c r="AO150" s="27"/>
      <x:c r="AP150" s="27"/>
      <x:c r="AQ150" s="27"/>
      <x:c r="AR150" s="27"/>
      <x:c r="AS150" s="27"/>
      <x:c r="AT150" s="27"/>
      <x:c r="AU150" s="27"/>
      <x:c r="AV150" s="27"/>
      <x:c r="AW150" s="27"/>
      <x:c r="AX150" s="27"/>
      <x:c r="AY150" s="27"/>
      <x:c r="AZ150" s="27"/>
      <x:c r="BA150" s="27"/>
      <x:c r="BB150" s="27"/>
      <x:c r="BC150" s="27"/>
      <x:c r="BD150" s="27"/>
      <x:c r="BE150" s="27"/>
      <x:c r="BF150" s="27"/>
      <x:c r="BG150" s="27"/>
      <x:c r="BH150" s="27"/>
      <x:c r="BI150" s="27"/>
      <x:c r="BJ150" s="27"/>
      <x:c r="BK150" s="27"/>
      <x:c r="BL150" s="27"/>
      <x:c r="BM150" s="27"/>
      <x:c r="BN150" s="27"/>
      <x:c r="BO150" s="27"/>
      <x:c r="BP150" s="27"/>
      <x:c r="BQ150" s="27"/>
      <x:c r="BR150" s="27"/>
      <x:c r="BS150" s="27"/>
      <x:c r="BT150" s="27"/>
      <x:c r="BU150" s="27"/>
      <x:c r="BV150" s="27"/>
      <x:c r="BW150" s="27"/>
      <x:c r="BX150" s="27"/>
      <x:c r="BY150" s="27"/>
      <x:c r="BZ150" s="27"/>
      <x:c r="CA150" s="27"/>
      <x:c r="CB150" s="27"/>
      <x:c r="CC150" s="27"/>
      <x:c r="CD150" s="27"/>
      <x:c r="CE150" s="27"/>
      <x:c r="CF150" s="27"/>
      <x:c r="CG150" s="27"/>
      <x:c r="CH150" s="27"/>
      <x:c r="CI150" s="27"/>
      <x:c r="CJ150" s="27"/>
      <x:c r="CK150" s="27"/>
      <x:c r="CL150" s="27"/>
      <x:c r="CM150" s="27"/>
      <x:c r="CN150" s="27"/>
      <x:c r="CO150" s="27"/>
      <x:c r="CP150" s="27"/>
      <x:c r="CQ150" s="27"/>
      <x:c r="CR150" s="27"/>
      <x:c r="CS150" s="27"/>
      <x:c r="CT150" s="27"/>
      <x:c r="CU150" s="27"/>
      <x:c r="CV150" s="27"/>
      <x:c r="CW150" s="27"/>
      <x:c r="CX150" s="27"/>
      <x:c r="CY150" s="27"/>
      <x:c r="CZ150" s="27"/>
      <x:c r="DA150" s="27"/>
      <x:c r="DB150" s="27"/>
      <x:c r="DC150" s="27"/>
      <x:c r="DD150" s="27"/>
      <x:c r="DE150" s="27"/>
      <x:c r="DF150" s="27"/>
      <x:c r="DG150" s="27"/>
      <x:c r="DH150" s="27"/>
      <x:c r="DI150" s="27"/>
      <x:c r="DJ150" s="27"/>
      <x:c r="DK150" s="27"/>
      <x:c r="DL150" s="27"/>
      <x:c r="DM150" s="27"/>
      <x:c r="DN150" s="27"/>
      <x:c r="DO150" s="27"/>
      <x:c r="DP150" s="27"/>
      <x:c r="DQ150" s="27"/>
      <x:c r="DR150" s="27"/>
      <x:c r="DS150" s="27"/>
      <x:c r="DT150" s="27"/>
      <x:c r="DU150" s="27"/>
      <x:c r="DV150" s="27"/>
      <x:c r="DW150" s="27"/>
      <x:c r="DX150" s="27"/>
      <x:c r="DY150" s="27"/>
      <x:c r="DZ150" s="27"/>
      <x:c r="EA150" s="27"/>
      <x:c r="EB150" s="27"/>
      <x:c r="EC150" s="27"/>
      <x:c r="ED150" s="27"/>
      <x:c r="EE150" s="27"/>
      <x:c r="EF150" s="27"/>
      <x:c r="EG150" s="27"/>
      <x:c r="EH150" s="27"/>
      <x:c r="EI150" s="27"/>
      <x:c r="EJ150" s="27"/>
      <x:c r="EK150" s="27"/>
      <x:c r="EL150" s="27"/>
      <x:c r="EM150" s="27"/>
      <x:c r="EN150" s="27"/>
      <x:c r="EO150" s="27"/>
      <x:c r="EP150" s="27"/>
      <x:c r="EQ150" s="27"/>
      <x:c r="ER150" s="27"/>
      <x:c r="ES150" s="27"/>
      <x:c r="ET150" s="27"/>
      <x:c r="EU150" s="27"/>
      <x:c r="EV150" s="27"/>
      <x:c r="EW150" s="27"/>
      <x:c r="EX150" s="27"/>
      <x:c r="EY150" s="27"/>
      <x:c r="EZ150" s="27"/>
      <x:c r="FA150" s="27"/>
      <x:c r="FB150" s="27"/>
      <x:c r="FC150" s="27"/>
      <x:c r="FD150" s="27"/>
      <x:c r="FE150" s="27"/>
      <x:c r="FF150" s="27"/>
      <x:c r="FG150" s="27"/>
      <x:c r="FH150" s="27"/>
      <x:c r="FI150" s="27"/>
      <x:c r="FJ150" s="27"/>
      <x:c r="FK150" s="27"/>
      <x:c r="FL150" s="27"/>
      <x:c r="FM150" s="27"/>
      <x:c r="FN150" s="27"/>
      <x:c r="FO150" s="27"/>
      <x:c r="FP150" s="27"/>
      <x:c r="FQ150" s="27"/>
      <x:c r="FR150" s="27"/>
      <x:c r="FS150" s="27"/>
      <x:c r="FT150" s="27"/>
      <x:c r="FU150" s="27"/>
      <x:c r="FV150" s="27"/>
      <x:c r="FW150" s="27"/>
      <x:c r="FX150" s="27"/>
      <x:c r="FY150" s="27"/>
      <x:c r="FZ150" s="27"/>
      <x:c r="GA150" s="27"/>
      <x:c r="GB150" s="27"/>
      <x:c r="GC150" s="27"/>
      <x:c r="GD150" s="27"/>
      <x:c r="GE150" s="27"/>
      <x:c r="GF150" s="27"/>
      <x:c r="GG150" s="27"/>
      <x:c r="GH150" s="27"/>
      <x:c r="GI150" s="27"/>
      <x:c r="GJ150" s="27"/>
      <x:c r="GK150" s="27"/>
      <x:c r="GL150" s="27"/>
      <x:c r="GM150" s="27"/>
      <x:c r="GN150" s="27"/>
      <x:c r="GO150" s="27"/>
      <x:c r="GP150" s="27"/>
      <x:c r="GQ150" s="27"/>
      <x:c r="GR150" s="27"/>
      <x:c r="GS150" s="27"/>
      <x:c r="GT150" s="27"/>
      <x:c r="GU150" s="27"/>
      <x:c r="GV150" s="27"/>
      <x:c r="GW150" s="27"/>
      <x:c r="GX150" s="27"/>
      <x:c r="GY150" s="27"/>
      <x:c r="GZ150" s="27"/>
      <x:c r="HA150" s="27"/>
      <x:c r="HB150" s="27"/>
      <x:c r="HC150" s="27"/>
      <x:c r="HD150" s="27"/>
      <x:c r="HE150" s="27"/>
      <x:c r="HF150" s="27"/>
      <x:c r="HG150" s="27"/>
      <x:c r="HH150" s="27"/>
      <x:c r="HI150" s="27"/>
      <x:c r="HJ150" s="27"/>
      <x:c r="HK150" s="27"/>
      <x:c r="HL150" s="27"/>
      <x:c r="HM150" s="27"/>
      <x:c r="HN150" s="27"/>
      <x:c r="HO150" s="27"/>
      <x:c r="HP150" s="27" t="str">
        <x:f>IF(C150="","",SUM(H150,N150,T150,Z150,AF150,AL150,AR150,AX150,BD150,BJ150,BP150,BV150,CB150,CH150,CN150,CT150,CZ150,DF150,DL150,DR150,DX150,ED150,EJ150,EP150,EV150,FB150,FH150,FN150,FT150,FZ150,GF150,GL150,GR150,GX150,HD150,HJ150))</x:f>
      </x:c>
      <x:c r="HQ150" s="27" t="str">
        <x:f>IF(C150="","",SUM(I150,O150,U150,AA150,AG150,AM150,AS150,AY150,BE150,BK150,BQ150,BW150,CC150,CI150,CO150,CU150,DA150,DG150,DM150,DS150,DY150,EE150,EK150,EQ150,EW150,FC150,FI150,FO150,FU150,GA150,GG150,GM150,GS150,GY150,HE150,HK150))</x:f>
      </x:c>
      <x:c r="HR150" s="27" t="str">
        <x:f>IF(C150="","",SUM(J150,P150,V150,AB150,AH150,AN150,AT150,AZ150,BF150,BL150,BR150,BX150,CD150,CJ150,CP150,CV150,DB150,DH150,DN150,DT150,DZ150,EF150,EL150,ER150,EX150,FD150,FJ150,FP150,FV150,GB150,GH150,GN150,GT150,GZ150,HF150,HL150))</x:f>
      </x:c>
      <x:c r="HS150" s="27" t="str">
        <x:f>IF(C150="","",SUM(K150,Q150,W150,AC150,AI150,AO150,AU150,BA150,BG150,BM150,BS150,BY150,CE150,CK150,CQ150,CW150,DC150,DI150,DO150,DU150,EA150,EG150,EM150,ES150,EY150,FE150,FK150,FQ150,FW150,GC150,GI150,GO150,GU150,HA150,HG150,HM150))</x:f>
      </x:c>
      <x:c r="HT150" s="27" t="str">
        <x:f>IF(C150="","",SUM(L150,R150,X150,AD150,AJ150,AP150,AV150,BB150,BH150,BN150,BT150,BZ150,CF150,CL150,CR150,CX150,DD150,DJ150,DP150,DV150,EB150,EH150,EN150,ET150,EZ150,FF150,FL150,FR150,FX150,GD150,GJ150,GP150,GV150,HB150,HH150,HN150))</x:f>
      </x:c>
      <x:c r="HU150" s="27" t="str">
        <x:f>IF(C150="","",SUM(M150,S150,Y150,AE150,AK150,AQ150,AW150,BC150,BI150,BO150,BU150,CA150,CG150,CM150,CS150,CY150,DE150,DK150,DQ150,DW150,EC150,EI150,EO150,EU150,FA150,FG150,FM150,FS150,FY150,GE150,GK150,GQ150,GW150,HC150,HI150,HO150))</x:f>
      </x:c>
      <x:c r="HV150" s="27" t="str">
        <x:f>IF(C150="","",IF(JI150=LARGE(JI150:JN150,1),"R",IF(JJ150=LARGE(JI150:JN150,1),"I",IF(JK150=LARGE(JI150:JN150,1),"A",IF(JL150=LARGE(JI150:JN150,1),"S",IF(JM150=LARGE(JI150:JN150,1),"E",IF(JN150=LARGE(JI150:JN150,1),"C",""))))))&amp;IF(JI150=LARGE(JI150:JN150,2),"R",IF(JJ150=LARGE(JI150:JN150,2),"I",IF(JK150=LARGE(JI150:JN150,2),"A",IF(JL150=LARGE(JI150:JN150,2),"S",IF(JM150=LARGE(JI150:JN150,2),"E",IF(JN150=LARGE(JI150:JN150,2),"C",""))))))&amp;IF(JI150=LARGE(JI150:JN150,3),"R",IF(JJ150=LARGE(JI150:JN150,3),"I",IF(JK150=LARGE(JI150:JN150,3),"A",IF(JL150=LARGE(JI150:JN150,3),"S",IF(JM150=LARGE(JI150:JN150,3),"E",IF(JN150=LARGE(JI150:JN150,3),"C","")))))))</x:f>
      </x:c>
      <x:c r="HW150" s="27" t="str">
        <x:f>IF(C150="","",IF(JI150=LARGE(JI150:JN150,1),"นักปฏิบัติ",IF(JJ150=LARGE(JI150:JN150,1),"นักคิดวิเคราะห์",IF(JK150=LARGE(JI150:JN150,1),"นักสร้างสรรค์",IF(JL150=LARGE(JI150:JN150,1),"ผู้เข้าใจผู้คน",IF(JM150=LARGE(JI150:JN150,1),"ผู้นำการเปลี่ยนแปลง",IF(JN150=LARGE(JI150:JN150,1),"ผู้จัดระบบ","ผู้จัดระบบ")))))))</x:f>
      </x:c>
      <x:c r="HX150" s="27"/>
      <x:c r="HY150" s="27"/>
      <x:c r="HZ150" s="27"/>
      <x:c r="IA150" s="27"/>
      <x:c r="IB150" s="27"/>
      <x:c r="IC150" s="27"/>
      <x:c r="ID150" s="27"/>
      <x:c r="IE150" s="27"/>
      <x:c r="IF150" s="27"/>
      <x:c r="IG150" s="27"/>
      <x:c r="IH150" s="27"/>
      <x:c r="II150" s="27"/>
      <x:c r="IJ150" s="27"/>
      <x:c r="IK150" s="27" t="str">
        <x:f>IF(C150="","",SUM(H150,N150,T150,Z150,AF150,AL150,AR150,AX150,BD150,BJ150,BP150))</x:f>
      </x:c>
      <x:c r="IL150" s="27" t="str">
        <x:f>IF(C150="","",SUM(I150,O150,U150,AA150,AG150,AM150,AS150,AY150,BE150,BK150,BQ150))</x:f>
      </x:c>
      <x:c r="IM150" s="27" t="str">
        <x:f>IF(C150="","",SUM(J150,P150,V150,AB150,AH150,AN150,AT150,AZ150,BF150,BL150,BR150))</x:f>
      </x:c>
      <x:c r="IN150" s="27" t="str">
        <x:f>IF(C150="","",SUM(K150,Q150,W150,AC150,AI150,AO150,AU150,BA150,BG150,BM150,BS150))</x:f>
      </x:c>
      <x:c r="IO150" s="27" t="str">
        <x:f>IF(C150="","",SUM(L150,R150,X150,AD150,AJ150,AP150,AV150,BB150,BH150,BN150,BT150))</x:f>
      </x:c>
      <x:c r="IP150" s="27" t="str">
        <x:f>IF(C150="","",SUM(M150,S150,Y150,AE150,AK150,AQ150,AW150,BC150,BI150,BO150,BU150))</x:f>
      </x:c>
      <x:c r="IQ150" s="27" t="str">
        <x:f>IF(C150="","",SUM(BV150,CB150,CH150,CN150,CT150,CZ150,DF150,DL150,DR150,DX150,ED150))</x:f>
      </x:c>
      <x:c r="IR150" s="27" t="str">
        <x:f>IF(C150="","",SUM(BW150,CC150,CI150,CO150,CU150,DA150,DG150,DM150,DS150,DY150,EE150))</x:f>
      </x:c>
      <x:c r="IS150" s="27" t="str">
        <x:f>IF(C150="","",SUM(BX150,CD150,CJ150,CP150,CV150,DB150,DH150,DN150,DT150,DZ150,EF150))</x:f>
      </x:c>
      <x:c r="IT150" s="27" t="str">
        <x:f>IF(C150="","",SUM(BY150,CE150,CK150,CQ150,CW150,DC150,DI150,DO150,DU150,EA150,EG150))</x:f>
      </x:c>
      <x:c r="IU150" s="27" t="str">
        <x:f>IF(C150="","",SUM(BZ150,CF150,CL150,CR150,CX150,DD150,DJ150,DP150,DV150,EB150,EH150))</x:f>
      </x:c>
      <x:c r="IV150" s="27" t="str">
        <x:f>IF(C150="","",SUM(CA150,CG150,CM150,CS150,CY150,DE150,DK150,DQ150,DW150,EC150,EI150))</x:f>
      </x:c>
      <x:c r="IW150" s="27" t="str">
        <x:f>IF(C150="","",SUM(EJ150,EP150,EV150,FB150,FH150,FN150,FT150,FZ150,GF150,GL150,GR150,GX150,HD150,HJ150))</x:f>
      </x:c>
      <x:c r="IX150" s="27" t="str">
        <x:f>IF(C150="","",SUM(EK150,EQ150,EW150,FC150,FI150,FO150,FU150,GA150,GG150,GM150,GS150,GY150,HE150,HK150))</x:f>
      </x:c>
      <x:c r="IY150" s="27" t="str">
        <x:f>IF(C150="","",SUM(EL150,ER150,EX150,FD150,FJ150,FP150,FV150,GB150,GH150,GN150,GT150,GZ150,HF150,HL150))</x:f>
      </x:c>
      <x:c r="IZ150" s="27" t="str">
        <x:f>IF(C150="","",SUM(EM150,ES150,EY150,FE150,FK150,FQ150,FW150,GC150,GI150,GO150,GU150,HA150,HG150,HM150))</x:f>
      </x:c>
      <x:c r="JA150" s="27" t="str">
        <x:f>IF(C150="","",SUM(EN150,ET150,EZ150,FF150,FL150,FR150,FX150,GD150,GJ150,GP150,GV150,HB150,HH150,HN150))</x:f>
      </x:c>
      <x:c r="JB150" s="27" t="str">
        <x:f>IF(C150="","",SUM(EO150,EU150,FA150,FG150,FM150,FS150,FY150,GE150,GK150,GQ150,GW150,HC150,HI150,HO150))</x:f>
      </x:c>
      <x:c r="JC150" s="27" t="str">
        <x:f>IF(C150="","",0)</x:f>
      </x:c>
      <x:c r="JD150" s="27" t="str">
        <x:f>IF(C150="","",0)</x:f>
      </x:c>
      <x:c r="JE150" s="27" t="str">
        <x:f>IF(C150="","",0)</x:f>
      </x:c>
      <x:c r="JF150" s="27" t="str">
        <x:f>IF(C150="","",0)</x:f>
      </x:c>
      <x:c r="JG150" s="27" t="str">
        <x:f>IF(C150="","",0)</x:f>
      </x:c>
      <x:c r="JH150" s="27" t="str">
        <x:f>IF(C150="","",0)</x:f>
      </x:c>
      <x:c r="JI150" s="27" t="str">
        <x:f>IF(C150="","",HP150*1000000000+IW150*1000000+IQ150*10000+IK150*100+JC150+6/1000)</x:f>
      </x:c>
      <x:c r="JJ150" s="27" t="str">
        <x:f>IF(C150="","",HQ150*1000000000+IX150*1000000+IR150*10000+IL150*100+JD150+5/1000)</x:f>
      </x:c>
      <x:c r="JK150" s="27" t="str">
        <x:f>IF(C150="","",HR150*1000000000+IY150*1000000+IS150*10000+IM150*100+JE150+4/1000)</x:f>
      </x:c>
      <x:c r="JL150" s="27" t="str">
        <x:f>IF(C150="","",HS150*1000000000+IZ150*1000000+IT150*10000+IN150*100+JF150+3/1000)</x:f>
      </x:c>
      <x:c r="JM150" s="27" t="str">
        <x:f>IF(C150="","",HT150*1000000000+JA150*1000000+IU150*10000+IO150*100+JG150+2/1000)</x:f>
      </x:c>
      <x:c r="JN150" s="27" t="str">
        <x:f>IF(C150="","",HU150*1000000000+JB150*1000000+IV150*10000+IP150*100+JH150+1/1000)</x:f>
      </x:c>
    </x:row>
    <x:row r="151">
      <x:c r="A151" s="27"/>
      <x:c r="B151" s="28"/>
      <x:c r="C151" s="27"/>
      <x:c r="D151" s="27"/>
      <x:c r="E151" s="27"/>
      <x:c r="F151" s="27"/>
      <x:c r="G151" s="27"/>
      <x:c r="H151" s="27"/>
      <x:c r="I151" s="27"/>
      <x:c r="J151" s="27"/>
      <x:c r="K151" s="27"/>
      <x:c r="L151" s="27"/>
      <x:c r="M151" s="27"/>
      <x:c r="N151" s="27"/>
      <x:c r="O151" s="27"/>
      <x:c r="P151" s="27"/>
      <x:c r="Q151" s="27"/>
      <x:c r="R151" s="27"/>
      <x:c r="S151" s="27"/>
      <x:c r="T151" s="27"/>
      <x:c r="U151" s="27"/>
      <x:c r="V151" s="27"/>
      <x:c r="W151" s="27"/>
      <x:c r="X151" s="27"/>
      <x:c r="Y151" s="27"/>
      <x:c r="Z151" s="27"/>
      <x:c r="AA151" s="27"/>
      <x:c r="AB151" s="27"/>
      <x:c r="AC151" s="27"/>
      <x:c r="AD151" s="27"/>
      <x:c r="AE151" s="27"/>
      <x:c r="AF151" s="27"/>
      <x:c r="AG151" s="27"/>
      <x:c r="AH151" s="27"/>
      <x:c r="AI151" s="27"/>
      <x:c r="AJ151" s="27"/>
      <x:c r="AK151" s="27"/>
      <x:c r="AL151" s="27"/>
      <x:c r="AM151" s="27"/>
      <x:c r="AN151" s="27"/>
      <x:c r="AO151" s="27"/>
      <x:c r="AP151" s="27"/>
      <x:c r="AQ151" s="27"/>
      <x:c r="AR151" s="27"/>
      <x:c r="AS151" s="27"/>
      <x:c r="AT151" s="27"/>
      <x:c r="AU151" s="27"/>
      <x:c r="AV151" s="27"/>
      <x:c r="AW151" s="27"/>
      <x:c r="AX151" s="27"/>
      <x:c r="AY151" s="27"/>
      <x:c r="AZ151" s="27"/>
      <x:c r="BA151" s="27"/>
      <x:c r="BB151" s="27"/>
      <x:c r="BC151" s="27"/>
      <x:c r="BD151" s="27"/>
      <x:c r="BE151" s="27"/>
      <x:c r="BF151" s="27"/>
      <x:c r="BG151" s="27"/>
      <x:c r="BH151" s="27"/>
      <x:c r="BI151" s="27"/>
      <x:c r="BJ151" s="27"/>
      <x:c r="BK151" s="27"/>
      <x:c r="BL151" s="27"/>
      <x:c r="BM151" s="27"/>
      <x:c r="BN151" s="27"/>
      <x:c r="BO151" s="27"/>
      <x:c r="BP151" s="27"/>
      <x:c r="BQ151" s="27"/>
      <x:c r="BR151" s="27"/>
      <x:c r="BS151" s="27"/>
      <x:c r="BT151" s="27"/>
      <x:c r="BU151" s="27"/>
      <x:c r="BV151" s="27"/>
      <x:c r="BW151" s="27"/>
      <x:c r="BX151" s="27"/>
      <x:c r="BY151" s="27"/>
      <x:c r="BZ151" s="27"/>
      <x:c r="CA151" s="27"/>
      <x:c r="CB151" s="27"/>
      <x:c r="CC151" s="27"/>
      <x:c r="CD151" s="27"/>
      <x:c r="CE151" s="27"/>
      <x:c r="CF151" s="27"/>
      <x:c r="CG151" s="27"/>
      <x:c r="CH151" s="27"/>
      <x:c r="CI151" s="27"/>
      <x:c r="CJ151" s="27"/>
      <x:c r="CK151" s="27"/>
      <x:c r="CL151" s="27"/>
      <x:c r="CM151" s="27"/>
      <x:c r="CN151" s="27"/>
      <x:c r="CO151" s="27"/>
      <x:c r="CP151" s="27"/>
      <x:c r="CQ151" s="27"/>
      <x:c r="CR151" s="27"/>
      <x:c r="CS151" s="27"/>
      <x:c r="CT151" s="27"/>
      <x:c r="CU151" s="27"/>
      <x:c r="CV151" s="27"/>
      <x:c r="CW151" s="27"/>
      <x:c r="CX151" s="27"/>
      <x:c r="CY151" s="27"/>
      <x:c r="CZ151" s="27"/>
      <x:c r="DA151" s="27"/>
      <x:c r="DB151" s="27"/>
      <x:c r="DC151" s="27"/>
      <x:c r="DD151" s="27"/>
      <x:c r="DE151" s="27"/>
      <x:c r="DF151" s="27"/>
      <x:c r="DG151" s="27"/>
      <x:c r="DH151" s="27"/>
      <x:c r="DI151" s="27"/>
      <x:c r="DJ151" s="27"/>
      <x:c r="DK151" s="27"/>
      <x:c r="DL151" s="27"/>
      <x:c r="DM151" s="27"/>
      <x:c r="DN151" s="27"/>
      <x:c r="DO151" s="27"/>
      <x:c r="DP151" s="27"/>
      <x:c r="DQ151" s="27"/>
      <x:c r="DR151" s="27"/>
      <x:c r="DS151" s="27"/>
      <x:c r="DT151" s="27"/>
      <x:c r="DU151" s="27"/>
      <x:c r="DV151" s="27"/>
      <x:c r="DW151" s="27"/>
      <x:c r="DX151" s="27"/>
      <x:c r="DY151" s="27"/>
      <x:c r="DZ151" s="27"/>
      <x:c r="EA151" s="27"/>
      <x:c r="EB151" s="27"/>
      <x:c r="EC151" s="27"/>
      <x:c r="ED151" s="27"/>
      <x:c r="EE151" s="27"/>
      <x:c r="EF151" s="27"/>
      <x:c r="EG151" s="27"/>
      <x:c r="EH151" s="27"/>
      <x:c r="EI151" s="27"/>
      <x:c r="EJ151" s="27"/>
      <x:c r="EK151" s="27"/>
      <x:c r="EL151" s="27"/>
      <x:c r="EM151" s="27"/>
      <x:c r="EN151" s="27"/>
      <x:c r="EO151" s="27"/>
      <x:c r="EP151" s="27"/>
      <x:c r="EQ151" s="27"/>
      <x:c r="ER151" s="27"/>
      <x:c r="ES151" s="27"/>
      <x:c r="ET151" s="27"/>
      <x:c r="EU151" s="27"/>
      <x:c r="EV151" s="27"/>
      <x:c r="EW151" s="27"/>
      <x:c r="EX151" s="27"/>
      <x:c r="EY151" s="27"/>
      <x:c r="EZ151" s="27"/>
      <x:c r="FA151" s="27"/>
      <x:c r="FB151" s="27"/>
      <x:c r="FC151" s="27"/>
      <x:c r="FD151" s="27"/>
      <x:c r="FE151" s="27"/>
      <x:c r="FF151" s="27"/>
      <x:c r="FG151" s="27"/>
      <x:c r="FH151" s="27"/>
      <x:c r="FI151" s="27"/>
      <x:c r="FJ151" s="27"/>
      <x:c r="FK151" s="27"/>
      <x:c r="FL151" s="27"/>
      <x:c r="FM151" s="27"/>
      <x:c r="FN151" s="27"/>
      <x:c r="FO151" s="27"/>
      <x:c r="FP151" s="27"/>
      <x:c r="FQ151" s="27"/>
      <x:c r="FR151" s="27"/>
      <x:c r="FS151" s="27"/>
      <x:c r="FT151" s="27"/>
      <x:c r="FU151" s="27"/>
      <x:c r="FV151" s="27"/>
      <x:c r="FW151" s="27"/>
      <x:c r="FX151" s="27"/>
      <x:c r="FY151" s="27"/>
      <x:c r="FZ151" s="27"/>
      <x:c r="GA151" s="27"/>
      <x:c r="GB151" s="27"/>
      <x:c r="GC151" s="27"/>
      <x:c r="GD151" s="27"/>
      <x:c r="GE151" s="27"/>
      <x:c r="GF151" s="27"/>
      <x:c r="GG151" s="27"/>
      <x:c r="GH151" s="27"/>
      <x:c r="GI151" s="27"/>
      <x:c r="GJ151" s="27"/>
      <x:c r="GK151" s="27"/>
      <x:c r="GL151" s="27"/>
      <x:c r="GM151" s="27"/>
      <x:c r="GN151" s="27"/>
      <x:c r="GO151" s="27"/>
      <x:c r="GP151" s="27"/>
      <x:c r="GQ151" s="27"/>
      <x:c r="GR151" s="27"/>
      <x:c r="GS151" s="27"/>
      <x:c r="GT151" s="27"/>
      <x:c r="GU151" s="27"/>
      <x:c r="GV151" s="27"/>
      <x:c r="GW151" s="27"/>
      <x:c r="GX151" s="27"/>
      <x:c r="GY151" s="27"/>
      <x:c r="GZ151" s="27"/>
      <x:c r="HA151" s="27"/>
      <x:c r="HB151" s="27"/>
      <x:c r="HC151" s="27"/>
      <x:c r="HD151" s="27"/>
      <x:c r="HE151" s="27"/>
      <x:c r="HF151" s="27"/>
      <x:c r="HG151" s="27"/>
      <x:c r="HH151" s="27"/>
      <x:c r="HI151" s="27"/>
      <x:c r="HJ151" s="27"/>
      <x:c r="HK151" s="27"/>
      <x:c r="HL151" s="27"/>
      <x:c r="HM151" s="27"/>
      <x:c r="HN151" s="27"/>
      <x:c r="HO151" s="27"/>
      <x:c r="HP151" s="27" t="str">
        <x:f>IF(C151="","",SUM(H151,N151,T151,Z151,AF151,AL151,AR151,AX151,BD151,BJ151,BP151,BV151,CB151,CH151,CN151,CT151,CZ151,DF151,DL151,DR151,DX151,ED151,EJ151,EP151,EV151,FB151,FH151,FN151,FT151,FZ151,GF151,GL151,GR151,GX151,HD151,HJ151))</x:f>
      </x:c>
      <x:c r="HQ151" s="27" t="str">
        <x:f>IF(C151="","",SUM(I151,O151,U151,AA151,AG151,AM151,AS151,AY151,BE151,BK151,BQ151,BW151,CC151,CI151,CO151,CU151,DA151,DG151,DM151,DS151,DY151,EE151,EK151,EQ151,EW151,FC151,FI151,FO151,FU151,GA151,GG151,GM151,GS151,GY151,HE151,HK151))</x:f>
      </x:c>
      <x:c r="HR151" s="27" t="str">
        <x:f>IF(C151="","",SUM(J151,P151,V151,AB151,AH151,AN151,AT151,AZ151,BF151,BL151,BR151,BX151,CD151,CJ151,CP151,CV151,DB151,DH151,DN151,DT151,DZ151,EF151,EL151,ER151,EX151,FD151,FJ151,FP151,FV151,GB151,GH151,GN151,GT151,GZ151,HF151,HL151))</x:f>
      </x:c>
      <x:c r="HS151" s="27" t="str">
        <x:f>IF(C151="","",SUM(K151,Q151,W151,AC151,AI151,AO151,AU151,BA151,BG151,BM151,BS151,BY151,CE151,CK151,CQ151,CW151,DC151,DI151,DO151,DU151,EA151,EG151,EM151,ES151,EY151,FE151,FK151,FQ151,FW151,GC151,GI151,GO151,GU151,HA151,HG151,HM151))</x:f>
      </x:c>
      <x:c r="HT151" s="27" t="str">
        <x:f>IF(C151="","",SUM(L151,R151,X151,AD151,AJ151,AP151,AV151,BB151,BH151,BN151,BT151,BZ151,CF151,CL151,CR151,CX151,DD151,DJ151,DP151,DV151,EB151,EH151,EN151,ET151,EZ151,FF151,FL151,FR151,FX151,GD151,GJ151,GP151,GV151,HB151,HH151,HN151))</x:f>
      </x:c>
      <x:c r="HU151" s="27" t="str">
        <x:f>IF(C151="","",SUM(M151,S151,Y151,AE151,AK151,AQ151,AW151,BC151,BI151,BO151,BU151,CA151,CG151,CM151,CS151,CY151,DE151,DK151,DQ151,DW151,EC151,EI151,EO151,EU151,FA151,FG151,FM151,FS151,FY151,GE151,GK151,GQ151,GW151,HC151,HI151,HO151))</x:f>
      </x:c>
      <x:c r="HV151" s="27" t="str">
        <x:f>IF(C151="","",IF(JI151=LARGE(JI151:JN151,1),"R",IF(JJ151=LARGE(JI151:JN151,1),"I",IF(JK151=LARGE(JI151:JN151,1),"A",IF(JL151=LARGE(JI151:JN151,1),"S",IF(JM151=LARGE(JI151:JN151,1),"E",IF(JN151=LARGE(JI151:JN151,1),"C",""))))))&amp;IF(JI151=LARGE(JI151:JN151,2),"R",IF(JJ151=LARGE(JI151:JN151,2),"I",IF(JK151=LARGE(JI151:JN151,2),"A",IF(JL151=LARGE(JI151:JN151,2),"S",IF(JM151=LARGE(JI151:JN151,2),"E",IF(JN151=LARGE(JI151:JN151,2),"C",""))))))&amp;IF(JI151=LARGE(JI151:JN151,3),"R",IF(JJ151=LARGE(JI151:JN151,3),"I",IF(JK151=LARGE(JI151:JN151,3),"A",IF(JL151=LARGE(JI151:JN151,3),"S",IF(JM151=LARGE(JI151:JN151,3),"E",IF(JN151=LARGE(JI151:JN151,3),"C","")))))))</x:f>
      </x:c>
      <x:c r="HW151" s="27" t="str">
        <x:f>IF(C151="","",IF(JI151=LARGE(JI151:JN151,1),"นักปฏิบัติ",IF(JJ151=LARGE(JI151:JN151,1),"นักคิดวิเคราะห์",IF(JK151=LARGE(JI151:JN151,1),"นักสร้างสรรค์",IF(JL151=LARGE(JI151:JN151,1),"ผู้เข้าใจผู้คน",IF(JM151=LARGE(JI151:JN151,1),"ผู้นำการเปลี่ยนแปลง",IF(JN151=LARGE(JI151:JN151,1),"ผู้จัดระบบ","ผู้จัดระบบ")))))))</x:f>
      </x:c>
      <x:c r="HX151" s="27"/>
      <x:c r="HY151" s="27"/>
      <x:c r="HZ151" s="27"/>
      <x:c r="IA151" s="27"/>
      <x:c r="IB151" s="27"/>
      <x:c r="IC151" s="27"/>
      <x:c r="ID151" s="27"/>
      <x:c r="IE151" s="27"/>
      <x:c r="IF151" s="27"/>
      <x:c r="IG151" s="27"/>
      <x:c r="IH151" s="27"/>
      <x:c r="II151" s="27"/>
      <x:c r="IJ151" s="27"/>
      <x:c r="IK151" s="27" t="str">
        <x:f>IF(C151="","",SUM(H151,N151,T151,Z151,AF151,AL151,AR151,AX151,BD151,BJ151,BP151))</x:f>
      </x:c>
      <x:c r="IL151" s="27" t="str">
        <x:f>IF(C151="","",SUM(I151,O151,U151,AA151,AG151,AM151,AS151,AY151,BE151,BK151,BQ151))</x:f>
      </x:c>
      <x:c r="IM151" s="27" t="str">
        <x:f>IF(C151="","",SUM(J151,P151,V151,AB151,AH151,AN151,AT151,AZ151,BF151,BL151,BR151))</x:f>
      </x:c>
      <x:c r="IN151" s="27" t="str">
        <x:f>IF(C151="","",SUM(K151,Q151,W151,AC151,AI151,AO151,AU151,BA151,BG151,BM151,BS151))</x:f>
      </x:c>
      <x:c r="IO151" s="27" t="str">
        <x:f>IF(C151="","",SUM(L151,R151,X151,AD151,AJ151,AP151,AV151,BB151,BH151,BN151,BT151))</x:f>
      </x:c>
      <x:c r="IP151" s="27" t="str">
        <x:f>IF(C151="","",SUM(M151,S151,Y151,AE151,AK151,AQ151,AW151,BC151,BI151,BO151,BU151))</x:f>
      </x:c>
      <x:c r="IQ151" s="27" t="str">
        <x:f>IF(C151="","",SUM(BV151,CB151,CH151,CN151,CT151,CZ151,DF151,DL151,DR151,DX151,ED151))</x:f>
      </x:c>
      <x:c r="IR151" s="27" t="str">
        <x:f>IF(C151="","",SUM(BW151,CC151,CI151,CO151,CU151,DA151,DG151,DM151,DS151,DY151,EE151))</x:f>
      </x:c>
      <x:c r="IS151" s="27" t="str">
        <x:f>IF(C151="","",SUM(BX151,CD151,CJ151,CP151,CV151,DB151,DH151,DN151,DT151,DZ151,EF151))</x:f>
      </x:c>
      <x:c r="IT151" s="27" t="str">
        <x:f>IF(C151="","",SUM(BY151,CE151,CK151,CQ151,CW151,DC151,DI151,DO151,DU151,EA151,EG151))</x:f>
      </x:c>
      <x:c r="IU151" s="27" t="str">
        <x:f>IF(C151="","",SUM(BZ151,CF151,CL151,CR151,CX151,DD151,DJ151,DP151,DV151,EB151,EH151))</x:f>
      </x:c>
      <x:c r="IV151" s="27" t="str">
        <x:f>IF(C151="","",SUM(CA151,CG151,CM151,CS151,CY151,DE151,DK151,DQ151,DW151,EC151,EI151))</x:f>
      </x:c>
      <x:c r="IW151" s="27" t="str">
        <x:f>IF(C151="","",SUM(EJ151,EP151,EV151,FB151,FH151,FN151,FT151,FZ151,GF151,GL151,GR151,GX151,HD151,HJ151))</x:f>
      </x:c>
      <x:c r="IX151" s="27" t="str">
        <x:f>IF(C151="","",SUM(EK151,EQ151,EW151,FC151,FI151,FO151,FU151,GA151,GG151,GM151,GS151,GY151,HE151,HK151))</x:f>
      </x:c>
      <x:c r="IY151" s="27" t="str">
        <x:f>IF(C151="","",SUM(EL151,ER151,EX151,FD151,FJ151,FP151,FV151,GB151,GH151,GN151,GT151,GZ151,HF151,HL151))</x:f>
      </x:c>
      <x:c r="IZ151" s="27" t="str">
        <x:f>IF(C151="","",SUM(EM151,ES151,EY151,FE151,FK151,FQ151,FW151,GC151,GI151,GO151,GU151,HA151,HG151,HM151))</x:f>
      </x:c>
      <x:c r="JA151" s="27" t="str">
        <x:f>IF(C151="","",SUM(EN151,ET151,EZ151,FF151,FL151,FR151,FX151,GD151,GJ151,GP151,GV151,HB151,HH151,HN151))</x:f>
      </x:c>
      <x:c r="JB151" s="27" t="str">
        <x:f>IF(C151="","",SUM(EO151,EU151,FA151,FG151,FM151,FS151,FY151,GE151,GK151,GQ151,GW151,HC151,HI151,HO151))</x:f>
      </x:c>
      <x:c r="JC151" s="27" t="str">
        <x:f>IF(C151="","",0)</x:f>
      </x:c>
      <x:c r="JD151" s="27" t="str">
        <x:f>IF(C151="","",0)</x:f>
      </x:c>
      <x:c r="JE151" s="27" t="str">
        <x:f>IF(C151="","",0)</x:f>
      </x:c>
      <x:c r="JF151" s="27" t="str">
        <x:f>IF(C151="","",0)</x:f>
      </x:c>
      <x:c r="JG151" s="27" t="str">
        <x:f>IF(C151="","",0)</x:f>
      </x:c>
      <x:c r="JH151" s="27" t="str">
        <x:f>IF(C151="","",0)</x:f>
      </x:c>
      <x:c r="JI151" s="27" t="str">
        <x:f>IF(C151="","",HP151*1000000000+IW151*1000000+IQ151*10000+IK151*100+JC151+6/1000)</x:f>
      </x:c>
      <x:c r="JJ151" s="27" t="str">
        <x:f>IF(C151="","",HQ151*1000000000+IX151*1000000+IR151*10000+IL151*100+JD151+5/1000)</x:f>
      </x:c>
      <x:c r="JK151" s="27" t="str">
        <x:f>IF(C151="","",HR151*1000000000+IY151*1000000+IS151*10000+IM151*100+JE151+4/1000)</x:f>
      </x:c>
      <x:c r="JL151" s="27" t="str">
        <x:f>IF(C151="","",HS151*1000000000+IZ151*1000000+IT151*10000+IN151*100+JF151+3/1000)</x:f>
      </x:c>
      <x:c r="JM151" s="27" t="str">
        <x:f>IF(C151="","",HT151*1000000000+JA151*1000000+IU151*10000+IO151*100+JG151+2/1000)</x:f>
      </x:c>
      <x:c r="JN151" s="27" t="str">
        <x:f>IF(C151="","",HU151*1000000000+JB151*1000000+IV151*10000+IP151*100+JH151+1/1000)</x:f>
      </x:c>
    </x:row>
    <x:row r="152">
      <x:c r="A152" s="27"/>
      <x:c r="B152" s="28"/>
      <x:c r="C152" s="27"/>
      <x:c r="D152" s="27"/>
      <x:c r="E152" s="27"/>
      <x:c r="F152" s="27"/>
      <x:c r="G152" s="27"/>
      <x:c r="H152" s="27"/>
      <x:c r="I152" s="27"/>
      <x:c r="J152" s="27"/>
      <x:c r="K152" s="27"/>
      <x:c r="L152" s="27"/>
      <x:c r="M152" s="27"/>
      <x:c r="N152" s="27"/>
      <x:c r="O152" s="27"/>
      <x:c r="P152" s="27"/>
      <x:c r="Q152" s="27"/>
      <x:c r="R152" s="27"/>
      <x:c r="S152" s="27"/>
      <x:c r="T152" s="27"/>
      <x:c r="U152" s="27"/>
      <x:c r="V152" s="27"/>
      <x:c r="W152" s="27"/>
      <x:c r="X152" s="27"/>
      <x:c r="Y152" s="27"/>
      <x:c r="Z152" s="27"/>
      <x:c r="AA152" s="27"/>
      <x:c r="AB152" s="27"/>
      <x:c r="AC152" s="27"/>
      <x:c r="AD152" s="27"/>
      <x:c r="AE152" s="27"/>
      <x:c r="AF152" s="27"/>
      <x:c r="AG152" s="27"/>
      <x:c r="AH152" s="27"/>
      <x:c r="AI152" s="27"/>
      <x:c r="AJ152" s="27"/>
      <x:c r="AK152" s="27"/>
      <x:c r="AL152" s="27"/>
      <x:c r="AM152" s="27"/>
      <x:c r="AN152" s="27"/>
      <x:c r="AO152" s="27"/>
      <x:c r="AP152" s="27"/>
      <x:c r="AQ152" s="27"/>
      <x:c r="AR152" s="27"/>
      <x:c r="AS152" s="27"/>
      <x:c r="AT152" s="27"/>
      <x:c r="AU152" s="27"/>
      <x:c r="AV152" s="27"/>
      <x:c r="AW152" s="27"/>
      <x:c r="AX152" s="27"/>
      <x:c r="AY152" s="27"/>
      <x:c r="AZ152" s="27"/>
      <x:c r="BA152" s="27"/>
      <x:c r="BB152" s="27"/>
      <x:c r="BC152" s="27"/>
      <x:c r="BD152" s="27"/>
      <x:c r="BE152" s="27"/>
      <x:c r="BF152" s="27"/>
      <x:c r="BG152" s="27"/>
      <x:c r="BH152" s="27"/>
      <x:c r="BI152" s="27"/>
      <x:c r="BJ152" s="27"/>
      <x:c r="BK152" s="27"/>
      <x:c r="BL152" s="27"/>
      <x:c r="BM152" s="27"/>
      <x:c r="BN152" s="27"/>
      <x:c r="BO152" s="27"/>
      <x:c r="BP152" s="27"/>
      <x:c r="BQ152" s="27"/>
      <x:c r="BR152" s="27"/>
      <x:c r="BS152" s="27"/>
      <x:c r="BT152" s="27"/>
      <x:c r="BU152" s="27"/>
      <x:c r="BV152" s="27"/>
      <x:c r="BW152" s="27"/>
      <x:c r="BX152" s="27"/>
      <x:c r="BY152" s="27"/>
      <x:c r="BZ152" s="27"/>
      <x:c r="CA152" s="27"/>
      <x:c r="CB152" s="27"/>
      <x:c r="CC152" s="27"/>
      <x:c r="CD152" s="27"/>
      <x:c r="CE152" s="27"/>
      <x:c r="CF152" s="27"/>
      <x:c r="CG152" s="27"/>
      <x:c r="CH152" s="27"/>
      <x:c r="CI152" s="27"/>
      <x:c r="CJ152" s="27"/>
      <x:c r="CK152" s="27"/>
      <x:c r="CL152" s="27"/>
      <x:c r="CM152" s="27"/>
      <x:c r="CN152" s="27"/>
      <x:c r="CO152" s="27"/>
      <x:c r="CP152" s="27"/>
      <x:c r="CQ152" s="27"/>
      <x:c r="CR152" s="27"/>
      <x:c r="CS152" s="27"/>
      <x:c r="CT152" s="27"/>
      <x:c r="CU152" s="27"/>
      <x:c r="CV152" s="27"/>
      <x:c r="CW152" s="27"/>
      <x:c r="CX152" s="27"/>
      <x:c r="CY152" s="27"/>
      <x:c r="CZ152" s="27"/>
      <x:c r="DA152" s="27"/>
      <x:c r="DB152" s="27"/>
      <x:c r="DC152" s="27"/>
      <x:c r="DD152" s="27"/>
      <x:c r="DE152" s="27"/>
      <x:c r="DF152" s="27"/>
      <x:c r="DG152" s="27"/>
      <x:c r="DH152" s="27"/>
      <x:c r="DI152" s="27"/>
      <x:c r="DJ152" s="27"/>
      <x:c r="DK152" s="27"/>
      <x:c r="DL152" s="27"/>
      <x:c r="DM152" s="27"/>
      <x:c r="DN152" s="27"/>
      <x:c r="DO152" s="27"/>
      <x:c r="DP152" s="27"/>
      <x:c r="DQ152" s="27"/>
      <x:c r="DR152" s="27"/>
      <x:c r="DS152" s="27"/>
      <x:c r="DT152" s="27"/>
      <x:c r="DU152" s="27"/>
      <x:c r="DV152" s="27"/>
      <x:c r="DW152" s="27"/>
      <x:c r="DX152" s="27"/>
      <x:c r="DY152" s="27"/>
      <x:c r="DZ152" s="27"/>
      <x:c r="EA152" s="27"/>
      <x:c r="EB152" s="27"/>
      <x:c r="EC152" s="27"/>
      <x:c r="ED152" s="27"/>
      <x:c r="EE152" s="27"/>
      <x:c r="EF152" s="27"/>
      <x:c r="EG152" s="27"/>
      <x:c r="EH152" s="27"/>
      <x:c r="EI152" s="27"/>
      <x:c r="EJ152" s="27"/>
      <x:c r="EK152" s="27"/>
      <x:c r="EL152" s="27"/>
      <x:c r="EM152" s="27"/>
      <x:c r="EN152" s="27"/>
      <x:c r="EO152" s="27"/>
      <x:c r="EP152" s="27"/>
      <x:c r="EQ152" s="27"/>
      <x:c r="ER152" s="27"/>
      <x:c r="ES152" s="27"/>
      <x:c r="ET152" s="27"/>
      <x:c r="EU152" s="27"/>
      <x:c r="EV152" s="27"/>
      <x:c r="EW152" s="27"/>
      <x:c r="EX152" s="27"/>
      <x:c r="EY152" s="27"/>
      <x:c r="EZ152" s="27"/>
      <x:c r="FA152" s="27"/>
      <x:c r="FB152" s="27"/>
      <x:c r="FC152" s="27"/>
      <x:c r="FD152" s="27"/>
      <x:c r="FE152" s="27"/>
      <x:c r="FF152" s="27"/>
      <x:c r="FG152" s="27"/>
      <x:c r="FH152" s="27"/>
      <x:c r="FI152" s="27"/>
      <x:c r="FJ152" s="27"/>
      <x:c r="FK152" s="27"/>
      <x:c r="FL152" s="27"/>
      <x:c r="FM152" s="27"/>
      <x:c r="FN152" s="27"/>
      <x:c r="FO152" s="27"/>
      <x:c r="FP152" s="27"/>
      <x:c r="FQ152" s="27"/>
      <x:c r="FR152" s="27"/>
      <x:c r="FS152" s="27"/>
      <x:c r="FT152" s="27"/>
      <x:c r="FU152" s="27"/>
      <x:c r="FV152" s="27"/>
      <x:c r="FW152" s="27"/>
      <x:c r="FX152" s="27"/>
      <x:c r="FY152" s="27"/>
      <x:c r="FZ152" s="27"/>
      <x:c r="GA152" s="27"/>
      <x:c r="GB152" s="27"/>
      <x:c r="GC152" s="27"/>
      <x:c r="GD152" s="27"/>
      <x:c r="GE152" s="27"/>
      <x:c r="GF152" s="27"/>
      <x:c r="GG152" s="27"/>
      <x:c r="GH152" s="27"/>
      <x:c r="GI152" s="27"/>
      <x:c r="GJ152" s="27"/>
      <x:c r="GK152" s="27"/>
      <x:c r="GL152" s="27"/>
      <x:c r="GM152" s="27"/>
      <x:c r="GN152" s="27"/>
      <x:c r="GO152" s="27"/>
      <x:c r="GP152" s="27"/>
      <x:c r="GQ152" s="27"/>
      <x:c r="GR152" s="27"/>
      <x:c r="GS152" s="27"/>
      <x:c r="GT152" s="27"/>
      <x:c r="GU152" s="27"/>
      <x:c r="GV152" s="27"/>
      <x:c r="GW152" s="27"/>
      <x:c r="GX152" s="27"/>
      <x:c r="GY152" s="27"/>
      <x:c r="GZ152" s="27"/>
      <x:c r="HA152" s="27"/>
      <x:c r="HB152" s="27"/>
      <x:c r="HC152" s="27"/>
      <x:c r="HD152" s="27"/>
      <x:c r="HE152" s="27"/>
      <x:c r="HF152" s="27"/>
      <x:c r="HG152" s="27"/>
      <x:c r="HH152" s="27"/>
      <x:c r="HI152" s="27"/>
      <x:c r="HJ152" s="27"/>
      <x:c r="HK152" s="27"/>
      <x:c r="HL152" s="27"/>
      <x:c r="HM152" s="27"/>
      <x:c r="HN152" s="27"/>
      <x:c r="HO152" s="27"/>
      <x:c r="HP152" s="27" t="str">
        <x:f>IF(C152="","",SUM(H152,N152,T152,Z152,AF152,AL152,AR152,AX152,BD152,BJ152,BP152,BV152,CB152,CH152,CN152,CT152,CZ152,DF152,DL152,DR152,DX152,ED152,EJ152,EP152,EV152,FB152,FH152,FN152,FT152,FZ152,GF152,GL152,GR152,GX152,HD152,HJ152))</x:f>
      </x:c>
      <x:c r="HQ152" s="27" t="str">
        <x:f>IF(C152="","",SUM(I152,O152,U152,AA152,AG152,AM152,AS152,AY152,BE152,BK152,BQ152,BW152,CC152,CI152,CO152,CU152,DA152,DG152,DM152,DS152,DY152,EE152,EK152,EQ152,EW152,FC152,FI152,FO152,FU152,GA152,GG152,GM152,GS152,GY152,HE152,HK152))</x:f>
      </x:c>
      <x:c r="HR152" s="27" t="str">
        <x:f>IF(C152="","",SUM(J152,P152,V152,AB152,AH152,AN152,AT152,AZ152,BF152,BL152,BR152,BX152,CD152,CJ152,CP152,CV152,DB152,DH152,DN152,DT152,DZ152,EF152,EL152,ER152,EX152,FD152,FJ152,FP152,FV152,GB152,GH152,GN152,GT152,GZ152,HF152,HL152))</x:f>
      </x:c>
      <x:c r="HS152" s="27" t="str">
        <x:f>IF(C152="","",SUM(K152,Q152,W152,AC152,AI152,AO152,AU152,BA152,BG152,BM152,BS152,BY152,CE152,CK152,CQ152,CW152,DC152,DI152,DO152,DU152,EA152,EG152,EM152,ES152,EY152,FE152,FK152,FQ152,FW152,GC152,GI152,GO152,GU152,HA152,HG152,HM152))</x:f>
      </x:c>
      <x:c r="HT152" s="27" t="str">
        <x:f>IF(C152="","",SUM(L152,R152,X152,AD152,AJ152,AP152,AV152,BB152,BH152,BN152,BT152,BZ152,CF152,CL152,CR152,CX152,DD152,DJ152,DP152,DV152,EB152,EH152,EN152,ET152,EZ152,FF152,FL152,FR152,FX152,GD152,GJ152,GP152,GV152,HB152,HH152,HN152))</x:f>
      </x:c>
      <x:c r="HU152" s="27" t="str">
        <x:f>IF(C152="","",SUM(M152,S152,Y152,AE152,AK152,AQ152,AW152,BC152,BI152,BO152,BU152,CA152,CG152,CM152,CS152,CY152,DE152,DK152,DQ152,DW152,EC152,EI152,EO152,EU152,FA152,FG152,FM152,FS152,FY152,GE152,GK152,GQ152,GW152,HC152,HI152,HO152))</x:f>
      </x:c>
      <x:c r="HV152" s="27" t="str">
        <x:f>IF(C152="","",IF(JI152=LARGE(JI152:JN152,1),"R",IF(JJ152=LARGE(JI152:JN152,1),"I",IF(JK152=LARGE(JI152:JN152,1),"A",IF(JL152=LARGE(JI152:JN152,1),"S",IF(JM152=LARGE(JI152:JN152,1),"E",IF(JN152=LARGE(JI152:JN152,1),"C",""))))))&amp;IF(JI152=LARGE(JI152:JN152,2),"R",IF(JJ152=LARGE(JI152:JN152,2),"I",IF(JK152=LARGE(JI152:JN152,2),"A",IF(JL152=LARGE(JI152:JN152,2),"S",IF(JM152=LARGE(JI152:JN152,2),"E",IF(JN152=LARGE(JI152:JN152,2),"C",""))))))&amp;IF(JI152=LARGE(JI152:JN152,3),"R",IF(JJ152=LARGE(JI152:JN152,3),"I",IF(JK152=LARGE(JI152:JN152,3),"A",IF(JL152=LARGE(JI152:JN152,3),"S",IF(JM152=LARGE(JI152:JN152,3),"E",IF(JN152=LARGE(JI152:JN152,3),"C","")))))))</x:f>
      </x:c>
      <x:c r="HW152" s="27" t="str">
        <x:f>IF(C152="","",IF(JI152=LARGE(JI152:JN152,1),"นักปฏิบัติ",IF(JJ152=LARGE(JI152:JN152,1),"นักคิดวิเคราะห์",IF(JK152=LARGE(JI152:JN152,1),"นักสร้างสรรค์",IF(JL152=LARGE(JI152:JN152,1),"ผู้เข้าใจผู้คน",IF(JM152=LARGE(JI152:JN152,1),"ผู้นำการเปลี่ยนแปลง",IF(JN152=LARGE(JI152:JN152,1),"ผู้จัดระบบ","ผู้จัดระบบ")))))))</x:f>
      </x:c>
      <x:c r="HX152" s="27"/>
      <x:c r="HY152" s="27"/>
      <x:c r="HZ152" s="27"/>
      <x:c r="IA152" s="27"/>
      <x:c r="IB152" s="27"/>
      <x:c r="IC152" s="27"/>
      <x:c r="ID152" s="27"/>
      <x:c r="IE152" s="27"/>
      <x:c r="IF152" s="27"/>
      <x:c r="IG152" s="27"/>
      <x:c r="IH152" s="27"/>
      <x:c r="II152" s="27"/>
      <x:c r="IJ152" s="27"/>
      <x:c r="IK152" s="27" t="str">
        <x:f>IF(C152="","",SUM(H152,N152,T152,Z152,AF152,AL152,AR152,AX152,BD152,BJ152,BP152))</x:f>
      </x:c>
      <x:c r="IL152" s="27" t="str">
        <x:f>IF(C152="","",SUM(I152,O152,U152,AA152,AG152,AM152,AS152,AY152,BE152,BK152,BQ152))</x:f>
      </x:c>
      <x:c r="IM152" s="27" t="str">
        <x:f>IF(C152="","",SUM(J152,P152,V152,AB152,AH152,AN152,AT152,AZ152,BF152,BL152,BR152))</x:f>
      </x:c>
      <x:c r="IN152" s="27" t="str">
        <x:f>IF(C152="","",SUM(K152,Q152,W152,AC152,AI152,AO152,AU152,BA152,BG152,BM152,BS152))</x:f>
      </x:c>
      <x:c r="IO152" s="27" t="str">
        <x:f>IF(C152="","",SUM(L152,R152,X152,AD152,AJ152,AP152,AV152,BB152,BH152,BN152,BT152))</x:f>
      </x:c>
      <x:c r="IP152" s="27" t="str">
        <x:f>IF(C152="","",SUM(M152,S152,Y152,AE152,AK152,AQ152,AW152,BC152,BI152,BO152,BU152))</x:f>
      </x:c>
      <x:c r="IQ152" s="27" t="str">
        <x:f>IF(C152="","",SUM(BV152,CB152,CH152,CN152,CT152,CZ152,DF152,DL152,DR152,DX152,ED152))</x:f>
      </x:c>
      <x:c r="IR152" s="27" t="str">
        <x:f>IF(C152="","",SUM(BW152,CC152,CI152,CO152,CU152,DA152,DG152,DM152,DS152,DY152,EE152))</x:f>
      </x:c>
      <x:c r="IS152" s="27" t="str">
        <x:f>IF(C152="","",SUM(BX152,CD152,CJ152,CP152,CV152,DB152,DH152,DN152,DT152,DZ152,EF152))</x:f>
      </x:c>
      <x:c r="IT152" s="27" t="str">
        <x:f>IF(C152="","",SUM(BY152,CE152,CK152,CQ152,CW152,DC152,DI152,DO152,DU152,EA152,EG152))</x:f>
      </x:c>
      <x:c r="IU152" s="27" t="str">
        <x:f>IF(C152="","",SUM(BZ152,CF152,CL152,CR152,CX152,DD152,DJ152,DP152,DV152,EB152,EH152))</x:f>
      </x:c>
      <x:c r="IV152" s="27" t="str">
        <x:f>IF(C152="","",SUM(CA152,CG152,CM152,CS152,CY152,DE152,DK152,DQ152,DW152,EC152,EI152))</x:f>
      </x:c>
      <x:c r="IW152" s="27" t="str">
        <x:f>IF(C152="","",SUM(EJ152,EP152,EV152,FB152,FH152,FN152,FT152,FZ152,GF152,GL152,GR152,GX152,HD152,HJ152))</x:f>
      </x:c>
      <x:c r="IX152" s="27" t="str">
        <x:f>IF(C152="","",SUM(EK152,EQ152,EW152,FC152,FI152,FO152,FU152,GA152,GG152,GM152,GS152,GY152,HE152,HK152))</x:f>
      </x:c>
      <x:c r="IY152" s="27" t="str">
        <x:f>IF(C152="","",SUM(EL152,ER152,EX152,FD152,FJ152,FP152,FV152,GB152,GH152,GN152,GT152,GZ152,HF152,HL152))</x:f>
      </x:c>
      <x:c r="IZ152" s="27" t="str">
        <x:f>IF(C152="","",SUM(EM152,ES152,EY152,FE152,FK152,FQ152,FW152,GC152,GI152,GO152,GU152,HA152,HG152,HM152))</x:f>
      </x:c>
      <x:c r="JA152" s="27" t="str">
        <x:f>IF(C152="","",SUM(EN152,ET152,EZ152,FF152,FL152,FR152,FX152,GD152,GJ152,GP152,GV152,HB152,HH152,HN152))</x:f>
      </x:c>
      <x:c r="JB152" s="27" t="str">
        <x:f>IF(C152="","",SUM(EO152,EU152,FA152,FG152,FM152,FS152,FY152,GE152,GK152,GQ152,GW152,HC152,HI152,HO152))</x:f>
      </x:c>
      <x:c r="JC152" s="27" t="str">
        <x:f>IF(C152="","",0)</x:f>
      </x:c>
      <x:c r="JD152" s="27" t="str">
        <x:f>IF(C152="","",0)</x:f>
      </x:c>
      <x:c r="JE152" s="27" t="str">
        <x:f>IF(C152="","",0)</x:f>
      </x:c>
      <x:c r="JF152" s="27" t="str">
        <x:f>IF(C152="","",0)</x:f>
      </x:c>
      <x:c r="JG152" s="27" t="str">
        <x:f>IF(C152="","",0)</x:f>
      </x:c>
      <x:c r="JH152" s="27" t="str">
        <x:f>IF(C152="","",0)</x:f>
      </x:c>
      <x:c r="JI152" s="27" t="str">
        <x:f>IF(C152="","",HP152*1000000000+IW152*1000000+IQ152*10000+IK152*100+JC152+6/1000)</x:f>
      </x:c>
      <x:c r="JJ152" s="27" t="str">
        <x:f>IF(C152="","",HQ152*1000000000+IX152*1000000+IR152*10000+IL152*100+JD152+5/1000)</x:f>
      </x:c>
      <x:c r="JK152" s="27" t="str">
        <x:f>IF(C152="","",HR152*1000000000+IY152*1000000+IS152*10000+IM152*100+JE152+4/1000)</x:f>
      </x:c>
      <x:c r="JL152" s="27" t="str">
        <x:f>IF(C152="","",HS152*1000000000+IZ152*1000000+IT152*10000+IN152*100+JF152+3/1000)</x:f>
      </x:c>
      <x:c r="JM152" s="27" t="str">
        <x:f>IF(C152="","",HT152*1000000000+JA152*1000000+IU152*10000+IO152*100+JG152+2/1000)</x:f>
      </x:c>
      <x:c r="JN152" s="27" t="str">
        <x:f>IF(C152="","",HU152*1000000000+JB152*1000000+IV152*10000+IP152*100+JH152+1/1000)</x:f>
      </x:c>
    </x:row>
    <x:row r="153">
      <x:c r="A153" s="27"/>
      <x:c r="B153" s="28"/>
      <x:c r="C153" s="27"/>
      <x:c r="D153" s="27"/>
      <x:c r="E153" s="27"/>
      <x:c r="F153" s="27"/>
      <x:c r="G153" s="27"/>
      <x:c r="H153" s="27"/>
      <x:c r="I153" s="27"/>
      <x:c r="J153" s="27"/>
      <x:c r="K153" s="27"/>
      <x:c r="L153" s="27"/>
      <x:c r="M153" s="27"/>
      <x:c r="N153" s="27"/>
      <x:c r="O153" s="27"/>
      <x:c r="P153" s="27"/>
      <x:c r="Q153" s="27"/>
      <x:c r="R153" s="27"/>
      <x:c r="S153" s="27"/>
      <x:c r="T153" s="27"/>
      <x:c r="U153" s="27"/>
      <x:c r="V153" s="27"/>
      <x:c r="W153" s="27"/>
      <x:c r="X153" s="27"/>
      <x:c r="Y153" s="27"/>
      <x:c r="Z153" s="27"/>
      <x:c r="AA153" s="27"/>
      <x:c r="AB153" s="27"/>
      <x:c r="AC153" s="27"/>
      <x:c r="AD153" s="27"/>
      <x:c r="AE153" s="27"/>
      <x:c r="AF153" s="27"/>
      <x:c r="AG153" s="27"/>
      <x:c r="AH153" s="27"/>
      <x:c r="AI153" s="27"/>
      <x:c r="AJ153" s="27"/>
      <x:c r="AK153" s="27"/>
      <x:c r="AL153" s="27"/>
      <x:c r="AM153" s="27"/>
      <x:c r="AN153" s="27"/>
      <x:c r="AO153" s="27"/>
      <x:c r="AP153" s="27"/>
      <x:c r="AQ153" s="27"/>
      <x:c r="AR153" s="27"/>
      <x:c r="AS153" s="27"/>
      <x:c r="AT153" s="27"/>
      <x:c r="AU153" s="27"/>
      <x:c r="AV153" s="27"/>
      <x:c r="AW153" s="27"/>
      <x:c r="AX153" s="27"/>
      <x:c r="AY153" s="27"/>
      <x:c r="AZ153" s="27"/>
      <x:c r="BA153" s="27"/>
      <x:c r="BB153" s="27"/>
      <x:c r="BC153" s="27"/>
      <x:c r="BD153" s="27"/>
      <x:c r="BE153" s="27"/>
      <x:c r="BF153" s="27"/>
      <x:c r="BG153" s="27"/>
      <x:c r="BH153" s="27"/>
      <x:c r="BI153" s="27"/>
      <x:c r="BJ153" s="27"/>
      <x:c r="BK153" s="27"/>
      <x:c r="BL153" s="27"/>
      <x:c r="BM153" s="27"/>
      <x:c r="BN153" s="27"/>
      <x:c r="BO153" s="27"/>
      <x:c r="BP153" s="27"/>
      <x:c r="BQ153" s="27"/>
      <x:c r="BR153" s="27"/>
      <x:c r="BS153" s="27"/>
      <x:c r="BT153" s="27"/>
      <x:c r="BU153" s="27"/>
      <x:c r="BV153" s="27"/>
      <x:c r="BW153" s="27"/>
      <x:c r="BX153" s="27"/>
      <x:c r="BY153" s="27"/>
      <x:c r="BZ153" s="27"/>
      <x:c r="CA153" s="27"/>
      <x:c r="CB153" s="27"/>
      <x:c r="CC153" s="27"/>
      <x:c r="CD153" s="27"/>
      <x:c r="CE153" s="27"/>
      <x:c r="CF153" s="27"/>
      <x:c r="CG153" s="27"/>
      <x:c r="CH153" s="27"/>
      <x:c r="CI153" s="27"/>
      <x:c r="CJ153" s="27"/>
      <x:c r="CK153" s="27"/>
      <x:c r="CL153" s="27"/>
      <x:c r="CM153" s="27"/>
      <x:c r="CN153" s="27"/>
      <x:c r="CO153" s="27"/>
      <x:c r="CP153" s="27"/>
      <x:c r="CQ153" s="27"/>
      <x:c r="CR153" s="27"/>
      <x:c r="CS153" s="27"/>
      <x:c r="CT153" s="27"/>
      <x:c r="CU153" s="27"/>
      <x:c r="CV153" s="27"/>
      <x:c r="CW153" s="27"/>
      <x:c r="CX153" s="27"/>
      <x:c r="CY153" s="27"/>
      <x:c r="CZ153" s="27"/>
      <x:c r="DA153" s="27"/>
      <x:c r="DB153" s="27"/>
      <x:c r="DC153" s="27"/>
      <x:c r="DD153" s="27"/>
      <x:c r="DE153" s="27"/>
      <x:c r="DF153" s="27"/>
      <x:c r="DG153" s="27"/>
      <x:c r="DH153" s="27"/>
      <x:c r="DI153" s="27"/>
      <x:c r="DJ153" s="27"/>
      <x:c r="DK153" s="27"/>
      <x:c r="DL153" s="27"/>
      <x:c r="DM153" s="27"/>
      <x:c r="DN153" s="27"/>
      <x:c r="DO153" s="27"/>
      <x:c r="DP153" s="27"/>
      <x:c r="DQ153" s="27"/>
      <x:c r="DR153" s="27"/>
      <x:c r="DS153" s="27"/>
      <x:c r="DT153" s="27"/>
      <x:c r="DU153" s="27"/>
      <x:c r="DV153" s="27"/>
      <x:c r="DW153" s="27"/>
      <x:c r="DX153" s="27"/>
      <x:c r="DY153" s="27"/>
      <x:c r="DZ153" s="27"/>
      <x:c r="EA153" s="27"/>
      <x:c r="EB153" s="27"/>
      <x:c r="EC153" s="27"/>
      <x:c r="ED153" s="27"/>
      <x:c r="EE153" s="27"/>
      <x:c r="EF153" s="27"/>
      <x:c r="EG153" s="27"/>
      <x:c r="EH153" s="27"/>
      <x:c r="EI153" s="27"/>
      <x:c r="EJ153" s="27"/>
      <x:c r="EK153" s="27"/>
      <x:c r="EL153" s="27"/>
      <x:c r="EM153" s="27"/>
      <x:c r="EN153" s="27"/>
      <x:c r="EO153" s="27"/>
      <x:c r="EP153" s="27"/>
      <x:c r="EQ153" s="27"/>
      <x:c r="ER153" s="27"/>
      <x:c r="ES153" s="27"/>
      <x:c r="ET153" s="27"/>
      <x:c r="EU153" s="27"/>
      <x:c r="EV153" s="27"/>
      <x:c r="EW153" s="27"/>
      <x:c r="EX153" s="27"/>
      <x:c r="EY153" s="27"/>
      <x:c r="EZ153" s="27"/>
      <x:c r="FA153" s="27"/>
      <x:c r="FB153" s="27"/>
      <x:c r="FC153" s="27"/>
      <x:c r="FD153" s="27"/>
      <x:c r="FE153" s="27"/>
      <x:c r="FF153" s="27"/>
      <x:c r="FG153" s="27"/>
      <x:c r="FH153" s="27"/>
      <x:c r="FI153" s="27"/>
      <x:c r="FJ153" s="27"/>
      <x:c r="FK153" s="27"/>
      <x:c r="FL153" s="27"/>
      <x:c r="FM153" s="27"/>
      <x:c r="FN153" s="27"/>
      <x:c r="FO153" s="27"/>
      <x:c r="FP153" s="27"/>
      <x:c r="FQ153" s="27"/>
      <x:c r="FR153" s="27"/>
      <x:c r="FS153" s="27"/>
      <x:c r="FT153" s="27"/>
      <x:c r="FU153" s="27"/>
      <x:c r="FV153" s="27"/>
      <x:c r="FW153" s="27"/>
      <x:c r="FX153" s="27"/>
      <x:c r="FY153" s="27"/>
      <x:c r="FZ153" s="27"/>
      <x:c r="GA153" s="27"/>
      <x:c r="GB153" s="27"/>
      <x:c r="GC153" s="27"/>
      <x:c r="GD153" s="27"/>
      <x:c r="GE153" s="27"/>
      <x:c r="GF153" s="27"/>
      <x:c r="GG153" s="27"/>
      <x:c r="GH153" s="27"/>
      <x:c r="GI153" s="27"/>
      <x:c r="GJ153" s="27"/>
      <x:c r="GK153" s="27"/>
      <x:c r="GL153" s="27"/>
      <x:c r="GM153" s="27"/>
      <x:c r="GN153" s="27"/>
      <x:c r="GO153" s="27"/>
      <x:c r="GP153" s="27"/>
      <x:c r="GQ153" s="27"/>
      <x:c r="GR153" s="27"/>
      <x:c r="GS153" s="27"/>
      <x:c r="GT153" s="27"/>
      <x:c r="GU153" s="27"/>
      <x:c r="GV153" s="27"/>
      <x:c r="GW153" s="27"/>
      <x:c r="GX153" s="27"/>
      <x:c r="GY153" s="27"/>
      <x:c r="GZ153" s="27"/>
      <x:c r="HA153" s="27"/>
      <x:c r="HB153" s="27"/>
      <x:c r="HC153" s="27"/>
      <x:c r="HD153" s="27"/>
      <x:c r="HE153" s="27"/>
      <x:c r="HF153" s="27"/>
      <x:c r="HG153" s="27"/>
      <x:c r="HH153" s="27"/>
      <x:c r="HI153" s="27"/>
      <x:c r="HJ153" s="27"/>
      <x:c r="HK153" s="27"/>
      <x:c r="HL153" s="27"/>
      <x:c r="HM153" s="27"/>
      <x:c r="HN153" s="27"/>
      <x:c r="HO153" s="27"/>
      <x:c r="HP153" s="27" t="str">
        <x:f>IF(C153="","",SUM(H153,N153,T153,Z153,AF153,AL153,AR153,AX153,BD153,BJ153,BP153,BV153,CB153,CH153,CN153,CT153,CZ153,DF153,DL153,DR153,DX153,ED153,EJ153,EP153,EV153,FB153,FH153,FN153,FT153,FZ153,GF153,GL153,GR153,GX153,HD153,HJ153))</x:f>
      </x:c>
      <x:c r="HQ153" s="27" t="str">
        <x:f>IF(C153="","",SUM(I153,O153,U153,AA153,AG153,AM153,AS153,AY153,BE153,BK153,BQ153,BW153,CC153,CI153,CO153,CU153,DA153,DG153,DM153,DS153,DY153,EE153,EK153,EQ153,EW153,FC153,FI153,FO153,FU153,GA153,GG153,GM153,GS153,GY153,HE153,HK153))</x:f>
      </x:c>
      <x:c r="HR153" s="27" t="str">
        <x:f>IF(C153="","",SUM(J153,P153,V153,AB153,AH153,AN153,AT153,AZ153,BF153,BL153,BR153,BX153,CD153,CJ153,CP153,CV153,DB153,DH153,DN153,DT153,DZ153,EF153,EL153,ER153,EX153,FD153,FJ153,FP153,FV153,GB153,GH153,GN153,GT153,GZ153,HF153,HL153))</x:f>
      </x:c>
      <x:c r="HS153" s="27" t="str">
        <x:f>IF(C153="","",SUM(K153,Q153,W153,AC153,AI153,AO153,AU153,BA153,BG153,BM153,BS153,BY153,CE153,CK153,CQ153,CW153,DC153,DI153,DO153,DU153,EA153,EG153,EM153,ES153,EY153,FE153,FK153,FQ153,FW153,GC153,GI153,GO153,GU153,HA153,HG153,HM153))</x:f>
      </x:c>
      <x:c r="HT153" s="27" t="str">
        <x:f>IF(C153="","",SUM(L153,R153,X153,AD153,AJ153,AP153,AV153,BB153,BH153,BN153,BT153,BZ153,CF153,CL153,CR153,CX153,DD153,DJ153,DP153,DV153,EB153,EH153,EN153,ET153,EZ153,FF153,FL153,FR153,FX153,GD153,GJ153,GP153,GV153,HB153,HH153,HN153))</x:f>
      </x:c>
      <x:c r="HU153" s="27" t="str">
        <x:f>IF(C153="","",SUM(M153,S153,Y153,AE153,AK153,AQ153,AW153,BC153,BI153,BO153,BU153,CA153,CG153,CM153,CS153,CY153,DE153,DK153,DQ153,DW153,EC153,EI153,EO153,EU153,FA153,FG153,FM153,FS153,FY153,GE153,GK153,GQ153,GW153,HC153,HI153,HO153))</x:f>
      </x:c>
      <x:c r="HV153" s="27" t="str">
        <x:f>IF(C153="","",IF(JI153=LARGE(JI153:JN153,1),"R",IF(JJ153=LARGE(JI153:JN153,1),"I",IF(JK153=LARGE(JI153:JN153,1),"A",IF(JL153=LARGE(JI153:JN153,1),"S",IF(JM153=LARGE(JI153:JN153,1),"E",IF(JN153=LARGE(JI153:JN153,1),"C",""))))))&amp;IF(JI153=LARGE(JI153:JN153,2),"R",IF(JJ153=LARGE(JI153:JN153,2),"I",IF(JK153=LARGE(JI153:JN153,2),"A",IF(JL153=LARGE(JI153:JN153,2),"S",IF(JM153=LARGE(JI153:JN153,2),"E",IF(JN153=LARGE(JI153:JN153,2),"C",""))))))&amp;IF(JI153=LARGE(JI153:JN153,3),"R",IF(JJ153=LARGE(JI153:JN153,3),"I",IF(JK153=LARGE(JI153:JN153,3),"A",IF(JL153=LARGE(JI153:JN153,3),"S",IF(JM153=LARGE(JI153:JN153,3),"E",IF(JN153=LARGE(JI153:JN153,3),"C","")))))))</x:f>
      </x:c>
      <x:c r="HW153" s="27" t="str">
        <x:f>IF(C153="","",IF(JI153=LARGE(JI153:JN153,1),"นักปฏิบัติ",IF(JJ153=LARGE(JI153:JN153,1),"นักคิดวิเคราะห์",IF(JK153=LARGE(JI153:JN153,1),"นักสร้างสรรค์",IF(JL153=LARGE(JI153:JN153,1),"ผู้เข้าใจผู้คน",IF(JM153=LARGE(JI153:JN153,1),"ผู้นำการเปลี่ยนแปลง",IF(JN153=LARGE(JI153:JN153,1),"ผู้จัดระบบ","ผู้จัดระบบ")))))))</x:f>
      </x:c>
      <x:c r="HX153" s="27"/>
      <x:c r="HY153" s="27"/>
      <x:c r="HZ153" s="27"/>
      <x:c r="IA153" s="27"/>
      <x:c r="IB153" s="27"/>
      <x:c r="IC153" s="27"/>
      <x:c r="ID153" s="27"/>
      <x:c r="IE153" s="27"/>
      <x:c r="IF153" s="27"/>
      <x:c r="IG153" s="27"/>
      <x:c r="IH153" s="27"/>
      <x:c r="II153" s="27"/>
      <x:c r="IJ153" s="27"/>
      <x:c r="IK153" s="27" t="str">
        <x:f>IF(C153="","",SUM(H153,N153,T153,Z153,AF153,AL153,AR153,AX153,BD153,BJ153,BP153))</x:f>
      </x:c>
      <x:c r="IL153" s="27" t="str">
        <x:f>IF(C153="","",SUM(I153,O153,U153,AA153,AG153,AM153,AS153,AY153,BE153,BK153,BQ153))</x:f>
      </x:c>
      <x:c r="IM153" s="27" t="str">
        <x:f>IF(C153="","",SUM(J153,P153,V153,AB153,AH153,AN153,AT153,AZ153,BF153,BL153,BR153))</x:f>
      </x:c>
      <x:c r="IN153" s="27" t="str">
        <x:f>IF(C153="","",SUM(K153,Q153,W153,AC153,AI153,AO153,AU153,BA153,BG153,BM153,BS153))</x:f>
      </x:c>
      <x:c r="IO153" s="27" t="str">
        <x:f>IF(C153="","",SUM(L153,R153,X153,AD153,AJ153,AP153,AV153,BB153,BH153,BN153,BT153))</x:f>
      </x:c>
      <x:c r="IP153" s="27" t="str">
        <x:f>IF(C153="","",SUM(M153,S153,Y153,AE153,AK153,AQ153,AW153,BC153,BI153,BO153,BU153))</x:f>
      </x:c>
      <x:c r="IQ153" s="27" t="str">
        <x:f>IF(C153="","",SUM(BV153,CB153,CH153,CN153,CT153,CZ153,DF153,DL153,DR153,DX153,ED153))</x:f>
      </x:c>
      <x:c r="IR153" s="27" t="str">
        <x:f>IF(C153="","",SUM(BW153,CC153,CI153,CO153,CU153,DA153,DG153,DM153,DS153,DY153,EE153))</x:f>
      </x:c>
      <x:c r="IS153" s="27" t="str">
        <x:f>IF(C153="","",SUM(BX153,CD153,CJ153,CP153,CV153,DB153,DH153,DN153,DT153,DZ153,EF153))</x:f>
      </x:c>
      <x:c r="IT153" s="27" t="str">
        <x:f>IF(C153="","",SUM(BY153,CE153,CK153,CQ153,CW153,DC153,DI153,DO153,DU153,EA153,EG153))</x:f>
      </x:c>
      <x:c r="IU153" s="27" t="str">
        <x:f>IF(C153="","",SUM(BZ153,CF153,CL153,CR153,CX153,DD153,DJ153,DP153,DV153,EB153,EH153))</x:f>
      </x:c>
      <x:c r="IV153" s="27" t="str">
        <x:f>IF(C153="","",SUM(CA153,CG153,CM153,CS153,CY153,DE153,DK153,DQ153,DW153,EC153,EI153))</x:f>
      </x:c>
      <x:c r="IW153" s="27" t="str">
        <x:f>IF(C153="","",SUM(EJ153,EP153,EV153,FB153,FH153,FN153,FT153,FZ153,GF153,GL153,GR153,GX153,HD153,HJ153))</x:f>
      </x:c>
      <x:c r="IX153" s="27" t="str">
        <x:f>IF(C153="","",SUM(EK153,EQ153,EW153,FC153,FI153,FO153,FU153,GA153,GG153,GM153,GS153,GY153,HE153,HK153))</x:f>
      </x:c>
      <x:c r="IY153" s="27" t="str">
        <x:f>IF(C153="","",SUM(EL153,ER153,EX153,FD153,FJ153,FP153,FV153,GB153,GH153,GN153,GT153,GZ153,HF153,HL153))</x:f>
      </x:c>
      <x:c r="IZ153" s="27" t="str">
        <x:f>IF(C153="","",SUM(EM153,ES153,EY153,FE153,FK153,FQ153,FW153,GC153,GI153,GO153,GU153,HA153,HG153,HM153))</x:f>
      </x:c>
      <x:c r="JA153" s="27" t="str">
        <x:f>IF(C153="","",SUM(EN153,ET153,EZ153,FF153,FL153,FR153,FX153,GD153,GJ153,GP153,GV153,HB153,HH153,HN153))</x:f>
      </x:c>
      <x:c r="JB153" s="27" t="str">
        <x:f>IF(C153="","",SUM(EO153,EU153,FA153,FG153,FM153,FS153,FY153,GE153,GK153,GQ153,GW153,HC153,HI153,HO153))</x:f>
      </x:c>
      <x:c r="JC153" s="27" t="str">
        <x:f>IF(C153="","",0)</x:f>
      </x:c>
      <x:c r="JD153" s="27" t="str">
        <x:f>IF(C153="","",0)</x:f>
      </x:c>
      <x:c r="JE153" s="27" t="str">
        <x:f>IF(C153="","",0)</x:f>
      </x:c>
      <x:c r="JF153" s="27" t="str">
        <x:f>IF(C153="","",0)</x:f>
      </x:c>
      <x:c r="JG153" s="27" t="str">
        <x:f>IF(C153="","",0)</x:f>
      </x:c>
      <x:c r="JH153" s="27" t="str">
        <x:f>IF(C153="","",0)</x:f>
      </x:c>
      <x:c r="JI153" s="27" t="str">
        <x:f>IF(C153="","",HP153*1000000000+IW153*1000000+IQ153*10000+IK153*100+JC153+6/1000)</x:f>
      </x:c>
      <x:c r="JJ153" s="27" t="str">
        <x:f>IF(C153="","",HQ153*1000000000+IX153*1000000+IR153*10000+IL153*100+JD153+5/1000)</x:f>
      </x:c>
      <x:c r="JK153" s="27" t="str">
        <x:f>IF(C153="","",HR153*1000000000+IY153*1000000+IS153*10000+IM153*100+JE153+4/1000)</x:f>
      </x:c>
      <x:c r="JL153" s="27" t="str">
        <x:f>IF(C153="","",HS153*1000000000+IZ153*1000000+IT153*10000+IN153*100+JF153+3/1000)</x:f>
      </x:c>
      <x:c r="JM153" s="27" t="str">
        <x:f>IF(C153="","",HT153*1000000000+JA153*1000000+IU153*10000+IO153*100+JG153+2/1000)</x:f>
      </x:c>
      <x:c r="JN153" s="27" t="str">
        <x:f>IF(C153="","",HU153*1000000000+JB153*1000000+IV153*10000+IP153*100+JH153+1/1000)</x:f>
      </x:c>
    </x:row>
    <x:row r="154">
      <x:c r="A154" s="27"/>
      <x:c r="B154" s="28"/>
      <x:c r="C154" s="27"/>
      <x:c r="D154" s="27"/>
      <x:c r="E154" s="27"/>
      <x:c r="F154" s="27"/>
      <x:c r="G154" s="27"/>
      <x:c r="H154" s="27"/>
      <x:c r="I154" s="27"/>
      <x:c r="J154" s="27"/>
      <x:c r="K154" s="27"/>
      <x:c r="L154" s="27"/>
      <x:c r="M154" s="27"/>
      <x:c r="N154" s="27"/>
      <x:c r="O154" s="27"/>
      <x:c r="P154" s="27"/>
      <x:c r="Q154" s="27"/>
      <x:c r="R154" s="27"/>
      <x:c r="S154" s="27"/>
      <x:c r="T154" s="27"/>
      <x:c r="U154" s="27"/>
      <x:c r="V154" s="27"/>
      <x:c r="W154" s="27"/>
      <x:c r="X154" s="27"/>
      <x:c r="Y154" s="27"/>
      <x:c r="Z154" s="27"/>
      <x:c r="AA154" s="27"/>
      <x:c r="AB154" s="27"/>
      <x:c r="AC154" s="27"/>
      <x:c r="AD154" s="27"/>
      <x:c r="AE154" s="27"/>
      <x:c r="AF154" s="27"/>
      <x:c r="AG154" s="27"/>
      <x:c r="AH154" s="27"/>
      <x:c r="AI154" s="27"/>
      <x:c r="AJ154" s="27"/>
      <x:c r="AK154" s="27"/>
      <x:c r="AL154" s="27"/>
      <x:c r="AM154" s="27"/>
      <x:c r="AN154" s="27"/>
      <x:c r="AO154" s="27"/>
      <x:c r="AP154" s="27"/>
      <x:c r="AQ154" s="27"/>
      <x:c r="AR154" s="27"/>
      <x:c r="AS154" s="27"/>
      <x:c r="AT154" s="27"/>
      <x:c r="AU154" s="27"/>
      <x:c r="AV154" s="27"/>
      <x:c r="AW154" s="27"/>
      <x:c r="AX154" s="27"/>
      <x:c r="AY154" s="27"/>
      <x:c r="AZ154" s="27"/>
      <x:c r="BA154" s="27"/>
      <x:c r="BB154" s="27"/>
      <x:c r="BC154" s="27"/>
      <x:c r="BD154" s="27"/>
      <x:c r="BE154" s="27"/>
      <x:c r="BF154" s="27"/>
      <x:c r="BG154" s="27"/>
      <x:c r="BH154" s="27"/>
      <x:c r="BI154" s="27"/>
      <x:c r="BJ154" s="27"/>
      <x:c r="BK154" s="27"/>
      <x:c r="BL154" s="27"/>
      <x:c r="BM154" s="27"/>
      <x:c r="BN154" s="27"/>
      <x:c r="BO154" s="27"/>
      <x:c r="BP154" s="27"/>
      <x:c r="BQ154" s="27"/>
      <x:c r="BR154" s="27"/>
      <x:c r="BS154" s="27"/>
      <x:c r="BT154" s="27"/>
      <x:c r="BU154" s="27"/>
      <x:c r="BV154" s="27"/>
      <x:c r="BW154" s="27"/>
      <x:c r="BX154" s="27"/>
      <x:c r="BY154" s="27"/>
      <x:c r="BZ154" s="27"/>
      <x:c r="CA154" s="27"/>
      <x:c r="CB154" s="27"/>
      <x:c r="CC154" s="27"/>
      <x:c r="CD154" s="27"/>
      <x:c r="CE154" s="27"/>
      <x:c r="CF154" s="27"/>
      <x:c r="CG154" s="27"/>
      <x:c r="CH154" s="27"/>
      <x:c r="CI154" s="27"/>
      <x:c r="CJ154" s="27"/>
      <x:c r="CK154" s="27"/>
      <x:c r="CL154" s="27"/>
      <x:c r="CM154" s="27"/>
      <x:c r="CN154" s="27"/>
      <x:c r="CO154" s="27"/>
      <x:c r="CP154" s="27"/>
      <x:c r="CQ154" s="27"/>
      <x:c r="CR154" s="27"/>
      <x:c r="CS154" s="27"/>
      <x:c r="CT154" s="27"/>
      <x:c r="CU154" s="27"/>
      <x:c r="CV154" s="27"/>
      <x:c r="CW154" s="27"/>
      <x:c r="CX154" s="27"/>
      <x:c r="CY154" s="27"/>
      <x:c r="CZ154" s="27"/>
      <x:c r="DA154" s="27"/>
      <x:c r="DB154" s="27"/>
      <x:c r="DC154" s="27"/>
      <x:c r="DD154" s="27"/>
      <x:c r="DE154" s="27"/>
      <x:c r="DF154" s="27"/>
      <x:c r="DG154" s="27"/>
      <x:c r="DH154" s="27"/>
      <x:c r="DI154" s="27"/>
      <x:c r="DJ154" s="27"/>
      <x:c r="DK154" s="27"/>
      <x:c r="DL154" s="27"/>
      <x:c r="DM154" s="27"/>
      <x:c r="DN154" s="27"/>
      <x:c r="DO154" s="27"/>
      <x:c r="DP154" s="27"/>
      <x:c r="DQ154" s="27"/>
      <x:c r="DR154" s="27"/>
      <x:c r="DS154" s="27"/>
      <x:c r="DT154" s="27"/>
      <x:c r="DU154" s="27"/>
      <x:c r="DV154" s="27"/>
      <x:c r="DW154" s="27"/>
      <x:c r="DX154" s="27"/>
      <x:c r="DY154" s="27"/>
      <x:c r="DZ154" s="27"/>
      <x:c r="EA154" s="27"/>
      <x:c r="EB154" s="27"/>
      <x:c r="EC154" s="27"/>
      <x:c r="ED154" s="27"/>
      <x:c r="EE154" s="27"/>
      <x:c r="EF154" s="27"/>
      <x:c r="EG154" s="27"/>
      <x:c r="EH154" s="27"/>
      <x:c r="EI154" s="27"/>
      <x:c r="EJ154" s="27"/>
      <x:c r="EK154" s="27"/>
      <x:c r="EL154" s="27"/>
      <x:c r="EM154" s="27"/>
      <x:c r="EN154" s="27"/>
      <x:c r="EO154" s="27"/>
      <x:c r="EP154" s="27"/>
      <x:c r="EQ154" s="27"/>
      <x:c r="ER154" s="27"/>
      <x:c r="ES154" s="27"/>
      <x:c r="ET154" s="27"/>
      <x:c r="EU154" s="27"/>
      <x:c r="EV154" s="27"/>
      <x:c r="EW154" s="27"/>
      <x:c r="EX154" s="27"/>
      <x:c r="EY154" s="27"/>
      <x:c r="EZ154" s="27"/>
      <x:c r="FA154" s="27"/>
      <x:c r="FB154" s="27"/>
      <x:c r="FC154" s="27"/>
      <x:c r="FD154" s="27"/>
      <x:c r="FE154" s="27"/>
      <x:c r="FF154" s="27"/>
      <x:c r="FG154" s="27"/>
      <x:c r="FH154" s="27"/>
      <x:c r="FI154" s="27"/>
      <x:c r="FJ154" s="27"/>
      <x:c r="FK154" s="27"/>
      <x:c r="FL154" s="27"/>
      <x:c r="FM154" s="27"/>
      <x:c r="FN154" s="27"/>
      <x:c r="FO154" s="27"/>
      <x:c r="FP154" s="27"/>
      <x:c r="FQ154" s="27"/>
      <x:c r="FR154" s="27"/>
      <x:c r="FS154" s="27"/>
      <x:c r="FT154" s="27"/>
      <x:c r="FU154" s="27"/>
      <x:c r="FV154" s="27"/>
      <x:c r="FW154" s="27"/>
      <x:c r="FX154" s="27"/>
      <x:c r="FY154" s="27"/>
      <x:c r="FZ154" s="27"/>
      <x:c r="GA154" s="27"/>
      <x:c r="GB154" s="27"/>
      <x:c r="GC154" s="27"/>
      <x:c r="GD154" s="27"/>
      <x:c r="GE154" s="27"/>
      <x:c r="GF154" s="27"/>
      <x:c r="GG154" s="27"/>
      <x:c r="GH154" s="27"/>
      <x:c r="GI154" s="27"/>
      <x:c r="GJ154" s="27"/>
      <x:c r="GK154" s="27"/>
      <x:c r="GL154" s="27"/>
      <x:c r="GM154" s="27"/>
      <x:c r="GN154" s="27"/>
      <x:c r="GO154" s="27"/>
      <x:c r="GP154" s="27"/>
      <x:c r="GQ154" s="27"/>
      <x:c r="GR154" s="27"/>
      <x:c r="GS154" s="27"/>
      <x:c r="GT154" s="27"/>
      <x:c r="GU154" s="27"/>
      <x:c r="GV154" s="27"/>
      <x:c r="GW154" s="27"/>
      <x:c r="GX154" s="27"/>
      <x:c r="GY154" s="27"/>
      <x:c r="GZ154" s="27"/>
      <x:c r="HA154" s="27"/>
      <x:c r="HB154" s="27"/>
      <x:c r="HC154" s="27"/>
      <x:c r="HD154" s="27"/>
      <x:c r="HE154" s="27"/>
      <x:c r="HF154" s="27"/>
      <x:c r="HG154" s="27"/>
      <x:c r="HH154" s="27"/>
      <x:c r="HI154" s="27"/>
      <x:c r="HJ154" s="27"/>
      <x:c r="HK154" s="27"/>
      <x:c r="HL154" s="27"/>
      <x:c r="HM154" s="27"/>
      <x:c r="HN154" s="27"/>
      <x:c r="HO154" s="27"/>
      <x:c r="HP154" s="27" t="str">
        <x:f>IF(C154="","",SUM(H154,N154,T154,Z154,AF154,AL154,AR154,AX154,BD154,BJ154,BP154,BV154,CB154,CH154,CN154,CT154,CZ154,DF154,DL154,DR154,DX154,ED154,EJ154,EP154,EV154,FB154,FH154,FN154,FT154,FZ154,GF154,GL154,GR154,GX154,HD154,HJ154))</x:f>
      </x:c>
      <x:c r="HQ154" s="27" t="str">
        <x:f>IF(C154="","",SUM(I154,O154,U154,AA154,AG154,AM154,AS154,AY154,BE154,BK154,BQ154,BW154,CC154,CI154,CO154,CU154,DA154,DG154,DM154,DS154,DY154,EE154,EK154,EQ154,EW154,FC154,FI154,FO154,FU154,GA154,GG154,GM154,GS154,GY154,HE154,HK154))</x:f>
      </x:c>
      <x:c r="HR154" s="27" t="str">
        <x:f>IF(C154="","",SUM(J154,P154,V154,AB154,AH154,AN154,AT154,AZ154,BF154,BL154,BR154,BX154,CD154,CJ154,CP154,CV154,DB154,DH154,DN154,DT154,DZ154,EF154,EL154,ER154,EX154,FD154,FJ154,FP154,FV154,GB154,GH154,GN154,GT154,GZ154,HF154,HL154))</x:f>
      </x:c>
      <x:c r="HS154" s="27" t="str">
        <x:f>IF(C154="","",SUM(K154,Q154,W154,AC154,AI154,AO154,AU154,BA154,BG154,BM154,BS154,BY154,CE154,CK154,CQ154,CW154,DC154,DI154,DO154,DU154,EA154,EG154,EM154,ES154,EY154,FE154,FK154,FQ154,FW154,GC154,GI154,GO154,GU154,HA154,HG154,HM154))</x:f>
      </x:c>
      <x:c r="HT154" s="27" t="str">
        <x:f>IF(C154="","",SUM(L154,R154,X154,AD154,AJ154,AP154,AV154,BB154,BH154,BN154,BT154,BZ154,CF154,CL154,CR154,CX154,DD154,DJ154,DP154,DV154,EB154,EH154,EN154,ET154,EZ154,FF154,FL154,FR154,FX154,GD154,GJ154,GP154,GV154,HB154,HH154,HN154))</x:f>
      </x:c>
      <x:c r="HU154" s="27" t="str">
        <x:f>IF(C154="","",SUM(M154,S154,Y154,AE154,AK154,AQ154,AW154,BC154,BI154,BO154,BU154,CA154,CG154,CM154,CS154,CY154,DE154,DK154,DQ154,DW154,EC154,EI154,EO154,EU154,FA154,FG154,FM154,FS154,FY154,GE154,GK154,GQ154,GW154,HC154,HI154,HO154))</x:f>
      </x:c>
      <x:c r="HV154" s="27" t="str">
        <x:f>IF(C154="","",IF(JI154=LARGE(JI154:JN154,1),"R",IF(JJ154=LARGE(JI154:JN154,1),"I",IF(JK154=LARGE(JI154:JN154,1),"A",IF(JL154=LARGE(JI154:JN154,1),"S",IF(JM154=LARGE(JI154:JN154,1),"E",IF(JN154=LARGE(JI154:JN154,1),"C",""))))))&amp;IF(JI154=LARGE(JI154:JN154,2),"R",IF(JJ154=LARGE(JI154:JN154,2),"I",IF(JK154=LARGE(JI154:JN154,2),"A",IF(JL154=LARGE(JI154:JN154,2),"S",IF(JM154=LARGE(JI154:JN154,2),"E",IF(JN154=LARGE(JI154:JN154,2),"C",""))))))&amp;IF(JI154=LARGE(JI154:JN154,3),"R",IF(JJ154=LARGE(JI154:JN154,3),"I",IF(JK154=LARGE(JI154:JN154,3),"A",IF(JL154=LARGE(JI154:JN154,3),"S",IF(JM154=LARGE(JI154:JN154,3),"E",IF(JN154=LARGE(JI154:JN154,3),"C","")))))))</x:f>
      </x:c>
      <x:c r="HW154" s="27" t="str">
        <x:f>IF(C154="","",IF(JI154=LARGE(JI154:JN154,1),"นักปฏิบัติ",IF(JJ154=LARGE(JI154:JN154,1),"นักคิดวิเคราะห์",IF(JK154=LARGE(JI154:JN154,1),"นักสร้างสรรค์",IF(JL154=LARGE(JI154:JN154,1),"ผู้เข้าใจผู้คน",IF(JM154=LARGE(JI154:JN154,1),"ผู้นำการเปลี่ยนแปลง",IF(JN154=LARGE(JI154:JN154,1),"ผู้จัดระบบ","ผู้จัดระบบ")))))))</x:f>
      </x:c>
      <x:c r="HX154" s="27"/>
      <x:c r="HY154" s="27"/>
      <x:c r="HZ154" s="27"/>
      <x:c r="IA154" s="27"/>
      <x:c r="IB154" s="27"/>
      <x:c r="IC154" s="27"/>
      <x:c r="ID154" s="27"/>
      <x:c r="IE154" s="27"/>
      <x:c r="IF154" s="27"/>
      <x:c r="IG154" s="27"/>
      <x:c r="IH154" s="27"/>
      <x:c r="II154" s="27"/>
      <x:c r="IJ154" s="27"/>
      <x:c r="IK154" s="27" t="str">
        <x:f>IF(C154="","",SUM(H154,N154,T154,Z154,AF154,AL154,AR154,AX154,BD154,BJ154,BP154))</x:f>
      </x:c>
      <x:c r="IL154" s="27" t="str">
        <x:f>IF(C154="","",SUM(I154,O154,U154,AA154,AG154,AM154,AS154,AY154,BE154,BK154,BQ154))</x:f>
      </x:c>
      <x:c r="IM154" s="27" t="str">
        <x:f>IF(C154="","",SUM(J154,P154,V154,AB154,AH154,AN154,AT154,AZ154,BF154,BL154,BR154))</x:f>
      </x:c>
      <x:c r="IN154" s="27" t="str">
        <x:f>IF(C154="","",SUM(K154,Q154,W154,AC154,AI154,AO154,AU154,BA154,BG154,BM154,BS154))</x:f>
      </x:c>
      <x:c r="IO154" s="27" t="str">
        <x:f>IF(C154="","",SUM(L154,R154,X154,AD154,AJ154,AP154,AV154,BB154,BH154,BN154,BT154))</x:f>
      </x:c>
      <x:c r="IP154" s="27" t="str">
        <x:f>IF(C154="","",SUM(M154,S154,Y154,AE154,AK154,AQ154,AW154,BC154,BI154,BO154,BU154))</x:f>
      </x:c>
      <x:c r="IQ154" s="27" t="str">
        <x:f>IF(C154="","",SUM(BV154,CB154,CH154,CN154,CT154,CZ154,DF154,DL154,DR154,DX154,ED154))</x:f>
      </x:c>
      <x:c r="IR154" s="27" t="str">
        <x:f>IF(C154="","",SUM(BW154,CC154,CI154,CO154,CU154,DA154,DG154,DM154,DS154,DY154,EE154))</x:f>
      </x:c>
      <x:c r="IS154" s="27" t="str">
        <x:f>IF(C154="","",SUM(BX154,CD154,CJ154,CP154,CV154,DB154,DH154,DN154,DT154,DZ154,EF154))</x:f>
      </x:c>
      <x:c r="IT154" s="27" t="str">
        <x:f>IF(C154="","",SUM(BY154,CE154,CK154,CQ154,CW154,DC154,DI154,DO154,DU154,EA154,EG154))</x:f>
      </x:c>
      <x:c r="IU154" s="27" t="str">
        <x:f>IF(C154="","",SUM(BZ154,CF154,CL154,CR154,CX154,DD154,DJ154,DP154,DV154,EB154,EH154))</x:f>
      </x:c>
      <x:c r="IV154" s="27" t="str">
        <x:f>IF(C154="","",SUM(CA154,CG154,CM154,CS154,CY154,DE154,DK154,DQ154,DW154,EC154,EI154))</x:f>
      </x:c>
      <x:c r="IW154" s="27" t="str">
        <x:f>IF(C154="","",SUM(EJ154,EP154,EV154,FB154,FH154,FN154,FT154,FZ154,GF154,GL154,GR154,GX154,HD154,HJ154))</x:f>
      </x:c>
      <x:c r="IX154" s="27" t="str">
        <x:f>IF(C154="","",SUM(EK154,EQ154,EW154,FC154,FI154,FO154,FU154,GA154,GG154,GM154,GS154,GY154,HE154,HK154))</x:f>
      </x:c>
      <x:c r="IY154" s="27" t="str">
        <x:f>IF(C154="","",SUM(EL154,ER154,EX154,FD154,FJ154,FP154,FV154,GB154,GH154,GN154,GT154,GZ154,HF154,HL154))</x:f>
      </x:c>
      <x:c r="IZ154" s="27" t="str">
        <x:f>IF(C154="","",SUM(EM154,ES154,EY154,FE154,FK154,FQ154,FW154,GC154,GI154,GO154,GU154,HA154,HG154,HM154))</x:f>
      </x:c>
      <x:c r="JA154" s="27" t="str">
        <x:f>IF(C154="","",SUM(EN154,ET154,EZ154,FF154,FL154,FR154,FX154,GD154,GJ154,GP154,GV154,HB154,HH154,HN154))</x:f>
      </x:c>
      <x:c r="JB154" s="27" t="str">
        <x:f>IF(C154="","",SUM(EO154,EU154,FA154,FG154,FM154,FS154,FY154,GE154,GK154,GQ154,GW154,HC154,HI154,HO154))</x:f>
      </x:c>
      <x:c r="JC154" s="27" t="str">
        <x:f>IF(C154="","",0)</x:f>
      </x:c>
      <x:c r="JD154" s="27" t="str">
        <x:f>IF(C154="","",0)</x:f>
      </x:c>
      <x:c r="JE154" s="27" t="str">
        <x:f>IF(C154="","",0)</x:f>
      </x:c>
      <x:c r="JF154" s="27" t="str">
        <x:f>IF(C154="","",0)</x:f>
      </x:c>
      <x:c r="JG154" s="27" t="str">
        <x:f>IF(C154="","",0)</x:f>
      </x:c>
      <x:c r="JH154" s="27" t="str">
        <x:f>IF(C154="","",0)</x:f>
      </x:c>
      <x:c r="JI154" s="27" t="str">
        <x:f>IF(C154="","",HP154*1000000000+IW154*1000000+IQ154*10000+IK154*100+JC154+6/1000)</x:f>
      </x:c>
      <x:c r="JJ154" s="27" t="str">
        <x:f>IF(C154="","",HQ154*1000000000+IX154*1000000+IR154*10000+IL154*100+JD154+5/1000)</x:f>
      </x:c>
      <x:c r="JK154" s="27" t="str">
        <x:f>IF(C154="","",HR154*1000000000+IY154*1000000+IS154*10000+IM154*100+JE154+4/1000)</x:f>
      </x:c>
      <x:c r="JL154" s="27" t="str">
        <x:f>IF(C154="","",HS154*1000000000+IZ154*1000000+IT154*10000+IN154*100+JF154+3/1000)</x:f>
      </x:c>
      <x:c r="JM154" s="27" t="str">
        <x:f>IF(C154="","",HT154*1000000000+JA154*1000000+IU154*10000+IO154*100+JG154+2/1000)</x:f>
      </x:c>
      <x:c r="JN154" s="27" t="str">
        <x:f>IF(C154="","",HU154*1000000000+JB154*1000000+IV154*10000+IP154*100+JH154+1/1000)</x:f>
      </x:c>
    </x:row>
    <x:row r="155">
      <x:c r="A155" s="27"/>
      <x:c r="B155" s="28"/>
      <x:c r="C155" s="27"/>
      <x:c r="D155" s="27"/>
      <x:c r="E155" s="27"/>
      <x:c r="F155" s="27"/>
      <x:c r="G155" s="27"/>
      <x:c r="H155" s="27"/>
      <x:c r="I155" s="27"/>
      <x:c r="J155" s="27"/>
      <x:c r="K155" s="27"/>
      <x:c r="L155" s="27"/>
      <x:c r="M155" s="27"/>
      <x:c r="N155" s="27"/>
      <x:c r="O155" s="27"/>
      <x:c r="P155" s="27"/>
      <x:c r="Q155" s="27"/>
      <x:c r="R155" s="27"/>
      <x:c r="S155" s="27"/>
      <x:c r="T155" s="27"/>
      <x:c r="U155" s="27"/>
      <x:c r="V155" s="27"/>
      <x:c r="W155" s="27"/>
      <x:c r="X155" s="27"/>
      <x:c r="Y155" s="27"/>
      <x:c r="Z155" s="27"/>
      <x:c r="AA155" s="27"/>
      <x:c r="AB155" s="27"/>
      <x:c r="AC155" s="27"/>
      <x:c r="AD155" s="27"/>
      <x:c r="AE155" s="27"/>
      <x:c r="AF155" s="27"/>
      <x:c r="AG155" s="27"/>
      <x:c r="AH155" s="27"/>
      <x:c r="AI155" s="27"/>
      <x:c r="AJ155" s="27"/>
      <x:c r="AK155" s="27"/>
      <x:c r="AL155" s="27"/>
      <x:c r="AM155" s="27"/>
      <x:c r="AN155" s="27"/>
      <x:c r="AO155" s="27"/>
      <x:c r="AP155" s="27"/>
      <x:c r="AQ155" s="27"/>
      <x:c r="AR155" s="27"/>
      <x:c r="AS155" s="27"/>
      <x:c r="AT155" s="27"/>
      <x:c r="AU155" s="27"/>
      <x:c r="AV155" s="27"/>
      <x:c r="AW155" s="27"/>
      <x:c r="AX155" s="27"/>
      <x:c r="AY155" s="27"/>
      <x:c r="AZ155" s="27"/>
      <x:c r="BA155" s="27"/>
      <x:c r="BB155" s="27"/>
      <x:c r="BC155" s="27"/>
      <x:c r="BD155" s="27"/>
      <x:c r="BE155" s="27"/>
      <x:c r="BF155" s="27"/>
      <x:c r="BG155" s="27"/>
      <x:c r="BH155" s="27"/>
      <x:c r="BI155" s="27"/>
      <x:c r="BJ155" s="27"/>
      <x:c r="BK155" s="27"/>
      <x:c r="BL155" s="27"/>
      <x:c r="BM155" s="27"/>
      <x:c r="BN155" s="27"/>
      <x:c r="BO155" s="27"/>
      <x:c r="BP155" s="27"/>
      <x:c r="BQ155" s="27"/>
      <x:c r="BR155" s="27"/>
      <x:c r="BS155" s="27"/>
      <x:c r="BT155" s="27"/>
      <x:c r="BU155" s="27"/>
      <x:c r="BV155" s="27"/>
      <x:c r="BW155" s="27"/>
      <x:c r="BX155" s="27"/>
      <x:c r="BY155" s="27"/>
      <x:c r="BZ155" s="27"/>
      <x:c r="CA155" s="27"/>
      <x:c r="CB155" s="27"/>
      <x:c r="CC155" s="27"/>
      <x:c r="CD155" s="27"/>
      <x:c r="CE155" s="27"/>
      <x:c r="CF155" s="27"/>
      <x:c r="CG155" s="27"/>
      <x:c r="CH155" s="27"/>
      <x:c r="CI155" s="27"/>
      <x:c r="CJ155" s="27"/>
      <x:c r="CK155" s="27"/>
      <x:c r="CL155" s="27"/>
      <x:c r="CM155" s="27"/>
      <x:c r="CN155" s="27"/>
      <x:c r="CO155" s="27"/>
      <x:c r="CP155" s="27"/>
      <x:c r="CQ155" s="27"/>
      <x:c r="CR155" s="27"/>
      <x:c r="CS155" s="27"/>
      <x:c r="CT155" s="27"/>
      <x:c r="CU155" s="27"/>
      <x:c r="CV155" s="27"/>
      <x:c r="CW155" s="27"/>
      <x:c r="CX155" s="27"/>
      <x:c r="CY155" s="27"/>
      <x:c r="CZ155" s="27"/>
      <x:c r="DA155" s="27"/>
      <x:c r="DB155" s="27"/>
      <x:c r="DC155" s="27"/>
      <x:c r="DD155" s="27"/>
      <x:c r="DE155" s="27"/>
      <x:c r="DF155" s="27"/>
      <x:c r="DG155" s="27"/>
      <x:c r="DH155" s="27"/>
      <x:c r="DI155" s="27"/>
      <x:c r="DJ155" s="27"/>
      <x:c r="DK155" s="27"/>
      <x:c r="DL155" s="27"/>
      <x:c r="DM155" s="27"/>
      <x:c r="DN155" s="27"/>
      <x:c r="DO155" s="27"/>
      <x:c r="DP155" s="27"/>
      <x:c r="DQ155" s="27"/>
      <x:c r="DR155" s="27"/>
      <x:c r="DS155" s="27"/>
      <x:c r="DT155" s="27"/>
      <x:c r="DU155" s="27"/>
      <x:c r="DV155" s="27"/>
      <x:c r="DW155" s="27"/>
      <x:c r="DX155" s="27"/>
      <x:c r="DY155" s="27"/>
      <x:c r="DZ155" s="27"/>
      <x:c r="EA155" s="27"/>
      <x:c r="EB155" s="27"/>
      <x:c r="EC155" s="27"/>
      <x:c r="ED155" s="27"/>
      <x:c r="EE155" s="27"/>
      <x:c r="EF155" s="27"/>
      <x:c r="EG155" s="27"/>
      <x:c r="EH155" s="27"/>
      <x:c r="EI155" s="27"/>
      <x:c r="EJ155" s="27"/>
      <x:c r="EK155" s="27"/>
      <x:c r="EL155" s="27"/>
      <x:c r="EM155" s="27"/>
      <x:c r="EN155" s="27"/>
      <x:c r="EO155" s="27"/>
      <x:c r="EP155" s="27"/>
      <x:c r="EQ155" s="27"/>
      <x:c r="ER155" s="27"/>
      <x:c r="ES155" s="27"/>
      <x:c r="ET155" s="27"/>
      <x:c r="EU155" s="27"/>
      <x:c r="EV155" s="27"/>
      <x:c r="EW155" s="27"/>
      <x:c r="EX155" s="27"/>
      <x:c r="EY155" s="27"/>
      <x:c r="EZ155" s="27"/>
      <x:c r="FA155" s="27"/>
      <x:c r="FB155" s="27"/>
      <x:c r="FC155" s="27"/>
      <x:c r="FD155" s="27"/>
      <x:c r="FE155" s="27"/>
      <x:c r="FF155" s="27"/>
      <x:c r="FG155" s="27"/>
      <x:c r="FH155" s="27"/>
      <x:c r="FI155" s="27"/>
      <x:c r="FJ155" s="27"/>
      <x:c r="FK155" s="27"/>
      <x:c r="FL155" s="27"/>
      <x:c r="FM155" s="27"/>
      <x:c r="FN155" s="27"/>
      <x:c r="FO155" s="27"/>
      <x:c r="FP155" s="27"/>
      <x:c r="FQ155" s="27"/>
      <x:c r="FR155" s="27"/>
      <x:c r="FS155" s="27"/>
      <x:c r="FT155" s="27"/>
      <x:c r="FU155" s="27"/>
      <x:c r="FV155" s="27"/>
      <x:c r="FW155" s="27"/>
      <x:c r="FX155" s="27"/>
      <x:c r="FY155" s="27"/>
      <x:c r="FZ155" s="27"/>
      <x:c r="GA155" s="27"/>
      <x:c r="GB155" s="27"/>
      <x:c r="GC155" s="27"/>
      <x:c r="GD155" s="27"/>
      <x:c r="GE155" s="27"/>
      <x:c r="GF155" s="27"/>
      <x:c r="GG155" s="27"/>
      <x:c r="GH155" s="27"/>
      <x:c r="GI155" s="27"/>
      <x:c r="GJ155" s="27"/>
      <x:c r="GK155" s="27"/>
      <x:c r="GL155" s="27"/>
      <x:c r="GM155" s="27"/>
      <x:c r="GN155" s="27"/>
      <x:c r="GO155" s="27"/>
      <x:c r="GP155" s="27"/>
      <x:c r="GQ155" s="27"/>
      <x:c r="GR155" s="27"/>
      <x:c r="GS155" s="27"/>
      <x:c r="GT155" s="27"/>
      <x:c r="GU155" s="27"/>
      <x:c r="GV155" s="27"/>
      <x:c r="GW155" s="27"/>
      <x:c r="GX155" s="27"/>
      <x:c r="GY155" s="27"/>
      <x:c r="GZ155" s="27"/>
      <x:c r="HA155" s="27"/>
      <x:c r="HB155" s="27"/>
      <x:c r="HC155" s="27"/>
      <x:c r="HD155" s="27"/>
      <x:c r="HE155" s="27"/>
      <x:c r="HF155" s="27"/>
      <x:c r="HG155" s="27"/>
      <x:c r="HH155" s="27"/>
      <x:c r="HI155" s="27"/>
      <x:c r="HJ155" s="27"/>
      <x:c r="HK155" s="27"/>
      <x:c r="HL155" s="27"/>
      <x:c r="HM155" s="27"/>
      <x:c r="HN155" s="27"/>
      <x:c r="HO155" s="27"/>
      <x:c r="HP155" s="27" t="str">
        <x:f>IF(C155="","",SUM(H155,N155,T155,Z155,AF155,AL155,AR155,AX155,BD155,BJ155,BP155,BV155,CB155,CH155,CN155,CT155,CZ155,DF155,DL155,DR155,DX155,ED155,EJ155,EP155,EV155,FB155,FH155,FN155,FT155,FZ155,GF155,GL155,GR155,GX155,HD155,HJ155))</x:f>
      </x:c>
      <x:c r="HQ155" s="27" t="str">
        <x:f>IF(C155="","",SUM(I155,O155,U155,AA155,AG155,AM155,AS155,AY155,BE155,BK155,BQ155,BW155,CC155,CI155,CO155,CU155,DA155,DG155,DM155,DS155,DY155,EE155,EK155,EQ155,EW155,FC155,FI155,FO155,FU155,GA155,GG155,GM155,GS155,GY155,HE155,HK155))</x:f>
      </x:c>
      <x:c r="HR155" s="27" t="str">
        <x:f>IF(C155="","",SUM(J155,P155,V155,AB155,AH155,AN155,AT155,AZ155,BF155,BL155,BR155,BX155,CD155,CJ155,CP155,CV155,DB155,DH155,DN155,DT155,DZ155,EF155,EL155,ER155,EX155,FD155,FJ155,FP155,FV155,GB155,GH155,GN155,GT155,GZ155,HF155,HL155))</x:f>
      </x:c>
      <x:c r="HS155" s="27" t="str">
        <x:f>IF(C155="","",SUM(K155,Q155,W155,AC155,AI155,AO155,AU155,BA155,BG155,BM155,BS155,BY155,CE155,CK155,CQ155,CW155,DC155,DI155,DO155,DU155,EA155,EG155,EM155,ES155,EY155,FE155,FK155,FQ155,FW155,GC155,GI155,GO155,GU155,HA155,HG155,HM155))</x:f>
      </x:c>
      <x:c r="HT155" s="27" t="str">
        <x:f>IF(C155="","",SUM(L155,R155,X155,AD155,AJ155,AP155,AV155,BB155,BH155,BN155,BT155,BZ155,CF155,CL155,CR155,CX155,DD155,DJ155,DP155,DV155,EB155,EH155,EN155,ET155,EZ155,FF155,FL155,FR155,FX155,GD155,GJ155,GP155,GV155,HB155,HH155,HN155))</x:f>
      </x:c>
      <x:c r="HU155" s="27" t="str">
        <x:f>IF(C155="","",SUM(M155,S155,Y155,AE155,AK155,AQ155,AW155,BC155,BI155,BO155,BU155,CA155,CG155,CM155,CS155,CY155,DE155,DK155,DQ155,DW155,EC155,EI155,EO155,EU155,FA155,FG155,FM155,FS155,FY155,GE155,GK155,GQ155,GW155,HC155,HI155,HO155))</x:f>
      </x:c>
      <x:c r="HV155" s="27" t="str">
        <x:f>IF(C155="","",IF(JI155=LARGE(JI155:JN155,1),"R",IF(JJ155=LARGE(JI155:JN155,1),"I",IF(JK155=LARGE(JI155:JN155,1),"A",IF(JL155=LARGE(JI155:JN155,1),"S",IF(JM155=LARGE(JI155:JN155,1),"E",IF(JN155=LARGE(JI155:JN155,1),"C",""))))))&amp;IF(JI155=LARGE(JI155:JN155,2),"R",IF(JJ155=LARGE(JI155:JN155,2),"I",IF(JK155=LARGE(JI155:JN155,2),"A",IF(JL155=LARGE(JI155:JN155,2),"S",IF(JM155=LARGE(JI155:JN155,2),"E",IF(JN155=LARGE(JI155:JN155,2),"C",""))))))&amp;IF(JI155=LARGE(JI155:JN155,3),"R",IF(JJ155=LARGE(JI155:JN155,3),"I",IF(JK155=LARGE(JI155:JN155,3),"A",IF(JL155=LARGE(JI155:JN155,3),"S",IF(JM155=LARGE(JI155:JN155,3),"E",IF(JN155=LARGE(JI155:JN155,3),"C","")))))))</x:f>
      </x:c>
      <x:c r="HW155" s="27" t="str">
        <x:f>IF(C155="","",IF(JI155=LARGE(JI155:JN155,1),"นักปฏิบัติ",IF(JJ155=LARGE(JI155:JN155,1),"นักคิดวิเคราะห์",IF(JK155=LARGE(JI155:JN155,1),"นักสร้างสรรค์",IF(JL155=LARGE(JI155:JN155,1),"ผู้เข้าใจผู้คน",IF(JM155=LARGE(JI155:JN155,1),"ผู้นำการเปลี่ยนแปลง",IF(JN155=LARGE(JI155:JN155,1),"ผู้จัดระบบ","ผู้จัดระบบ")))))))</x:f>
      </x:c>
      <x:c r="HX155" s="27"/>
      <x:c r="HY155" s="27"/>
      <x:c r="HZ155" s="27"/>
      <x:c r="IA155" s="27"/>
      <x:c r="IB155" s="27"/>
      <x:c r="IC155" s="27"/>
      <x:c r="ID155" s="27"/>
      <x:c r="IE155" s="27"/>
      <x:c r="IF155" s="27"/>
      <x:c r="IG155" s="27"/>
      <x:c r="IH155" s="27"/>
      <x:c r="II155" s="27"/>
      <x:c r="IJ155" s="27"/>
      <x:c r="IK155" s="27" t="str">
        <x:f>IF(C155="","",SUM(H155,N155,T155,Z155,AF155,AL155,AR155,AX155,BD155,BJ155,BP155))</x:f>
      </x:c>
      <x:c r="IL155" s="27" t="str">
        <x:f>IF(C155="","",SUM(I155,O155,U155,AA155,AG155,AM155,AS155,AY155,BE155,BK155,BQ155))</x:f>
      </x:c>
      <x:c r="IM155" s="27" t="str">
        <x:f>IF(C155="","",SUM(J155,P155,V155,AB155,AH155,AN155,AT155,AZ155,BF155,BL155,BR155))</x:f>
      </x:c>
      <x:c r="IN155" s="27" t="str">
        <x:f>IF(C155="","",SUM(K155,Q155,W155,AC155,AI155,AO155,AU155,BA155,BG155,BM155,BS155))</x:f>
      </x:c>
      <x:c r="IO155" s="27" t="str">
        <x:f>IF(C155="","",SUM(L155,R155,X155,AD155,AJ155,AP155,AV155,BB155,BH155,BN155,BT155))</x:f>
      </x:c>
      <x:c r="IP155" s="27" t="str">
        <x:f>IF(C155="","",SUM(M155,S155,Y155,AE155,AK155,AQ155,AW155,BC155,BI155,BO155,BU155))</x:f>
      </x:c>
      <x:c r="IQ155" s="27" t="str">
        <x:f>IF(C155="","",SUM(BV155,CB155,CH155,CN155,CT155,CZ155,DF155,DL155,DR155,DX155,ED155))</x:f>
      </x:c>
      <x:c r="IR155" s="27" t="str">
        <x:f>IF(C155="","",SUM(BW155,CC155,CI155,CO155,CU155,DA155,DG155,DM155,DS155,DY155,EE155))</x:f>
      </x:c>
      <x:c r="IS155" s="27" t="str">
        <x:f>IF(C155="","",SUM(BX155,CD155,CJ155,CP155,CV155,DB155,DH155,DN155,DT155,DZ155,EF155))</x:f>
      </x:c>
      <x:c r="IT155" s="27" t="str">
        <x:f>IF(C155="","",SUM(BY155,CE155,CK155,CQ155,CW155,DC155,DI155,DO155,DU155,EA155,EG155))</x:f>
      </x:c>
      <x:c r="IU155" s="27" t="str">
        <x:f>IF(C155="","",SUM(BZ155,CF155,CL155,CR155,CX155,DD155,DJ155,DP155,DV155,EB155,EH155))</x:f>
      </x:c>
      <x:c r="IV155" s="27" t="str">
        <x:f>IF(C155="","",SUM(CA155,CG155,CM155,CS155,CY155,DE155,DK155,DQ155,DW155,EC155,EI155))</x:f>
      </x:c>
      <x:c r="IW155" s="27" t="str">
        <x:f>IF(C155="","",SUM(EJ155,EP155,EV155,FB155,FH155,FN155,FT155,FZ155,GF155,GL155,GR155,GX155,HD155,HJ155))</x:f>
      </x:c>
      <x:c r="IX155" s="27" t="str">
        <x:f>IF(C155="","",SUM(EK155,EQ155,EW155,FC155,FI155,FO155,FU155,GA155,GG155,GM155,GS155,GY155,HE155,HK155))</x:f>
      </x:c>
      <x:c r="IY155" s="27" t="str">
        <x:f>IF(C155="","",SUM(EL155,ER155,EX155,FD155,FJ155,FP155,FV155,GB155,GH155,GN155,GT155,GZ155,HF155,HL155))</x:f>
      </x:c>
      <x:c r="IZ155" s="27" t="str">
        <x:f>IF(C155="","",SUM(EM155,ES155,EY155,FE155,FK155,FQ155,FW155,GC155,GI155,GO155,GU155,HA155,HG155,HM155))</x:f>
      </x:c>
      <x:c r="JA155" s="27" t="str">
        <x:f>IF(C155="","",SUM(EN155,ET155,EZ155,FF155,FL155,FR155,FX155,GD155,GJ155,GP155,GV155,HB155,HH155,HN155))</x:f>
      </x:c>
      <x:c r="JB155" s="27" t="str">
        <x:f>IF(C155="","",SUM(EO155,EU155,FA155,FG155,FM155,FS155,FY155,GE155,GK155,GQ155,GW155,HC155,HI155,HO155))</x:f>
      </x:c>
      <x:c r="JC155" s="27" t="str">
        <x:f>IF(C155="","",0)</x:f>
      </x:c>
      <x:c r="JD155" s="27" t="str">
        <x:f>IF(C155="","",0)</x:f>
      </x:c>
      <x:c r="JE155" s="27" t="str">
        <x:f>IF(C155="","",0)</x:f>
      </x:c>
      <x:c r="JF155" s="27" t="str">
        <x:f>IF(C155="","",0)</x:f>
      </x:c>
      <x:c r="JG155" s="27" t="str">
        <x:f>IF(C155="","",0)</x:f>
      </x:c>
      <x:c r="JH155" s="27" t="str">
        <x:f>IF(C155="","",0)</x:f>
      </x:c>
      <x:c r="JI155" s="27" t="str">
        <x:f>IF(C155="","",HP155*1000000000+IW155*1000000+IQ155*10000+IK155*100+JC155+6/1000)</x:f>
      </x:c>
      <x:c r="JJ155" s="27" t="str">
        <x:f>IF(C155="","",HQ155*1000000000+IX155*1000000+IR155*10000+IL155*100+JD155+5/1000)</x:f>
      </x:c>
      <x:c r="JK155" s="27" t="str">
        <x:f>IF(C155="","",HR155*1000000000+IY155*1000000+IS155*10000+IM155*100+JE155+4/1000)</x:f>
      </x:c>
      <x:c r="JL155" s="27" t="str">
        <x:f>IF(C155="","",HS155*1000000000+IZ155*1000000+IT155*10000+IN155*100+JF155+3/1000)</x:f>
      </x:c>
      <x:c r="JM155" s="27" t="str">
        <x:f>IF(C155="","",HT155*1000000000+JA155*1000000+IU155*10000+IO155*100+JG155+2/1000)</x:f>
      </x:c>
      <x:c r="JN155" s="27" t="str">
        <x:f>IF(C155="","",HU155*1000000000+JB155*1000000+IV155*10000+IP155*100+JH155+1/1000)</x:f>
      </x:c>
    </x:row>
    <x:row r="156">
      <x:c r="A156" s="27"/>
      <x:c r="B156" s="28"/>
      <x:c r="C156" s="27"/>
      <x:c r="D156" s="27"/>
      <x:c r="E156" s="27"/>
      <x:c r="F156" s="27"/>
      <x:c r="G156" s="27"/>
      <x:c r="H156" s="27"/>
      <x:c r="I156" s="27"/>
      <x:c r="J156" s="27"/>
      <x:c r="K156" s="27"/>
      <x:c r="L156" s="27"/>
      <x:c r="M156" s="27"/>
      <x:c r="N156" s="27"/>
      <x:c r="O156" s="27"/>
      <x:c r="P156" s="27"/>
      <x:c r="Q156" s="27"/>
      <x:c r="R156" s="27"/>
      <x:c r="S156" s="27"/>
      <x:c r="T156" s="27"/>
      <x:c r="U156" s="27"/>
      <x:c r="V156" s="27"/>
      <x:c r="W156" s="27"/>
      <x:c r="X156" s="27"/>
      <x:c r="Y156" s="27"/>
      <x:c r="Z156" s="27"/>
      <x:c r="AA156" s="27"/>
      <x:c r="AB156" s="27"/>
      <x:c r="AC156" s="27"/>
      <x:c r="AD156" s="27"/>
      <x:c r="AE156" s="27"/>
      <x:c r="AF156" s="27"/>
      <x:c r="AG156" s="27"/>
      <x:c r="AH156" s="27"/>
      <x:c r="AI156" s="27"/>
      <x:c r="AJ156" s="27"/>
      <x:c r="AK156" s="27"/>
      <x:c r="AL156" s="27"/>
      <x:c r="AM156" s="27"/>
      <x:c r="AN156" s="27"/>
      <x:c r="AO156" s="27"/>
      <x:c r="AP156" s="27"/>
      <x:c r="AQ156" s="27"/>
      <x:c r="AR156" s="27"/>
      <x:c r="AS156" s="27"/>
      <x:c r="AT156" s="27"/>
      <x:c r="AU156" s="27"/>
      <x:c r="AV156" s="27"/>
      <x:c r="AW156" s="27"/>
      <x:c r="AX156" s="27"/>
      <x:c r="AY156" s="27"/>
      <x:c r="AZ156" s="27"/>
      <x:c r="BA156" s="27"/>
      <x:c r="BB156" s="27"/>
      <x:c r="BC156" s="27"/>
      <x:c r="BD156" s="27"/>
      <x:c r="BE156" s="27"/>
      <x:c r="BF156" s="27"/>
      <x:c r="BG156" s="27"/>
      <x:c r="BH156" s="27"/>
      <x:c r="BI156" s="27"/>
      <x:c r="BJ156" s="27"/>
      <x:c r="BK156" s="27"/>
      <x:c r="BL156" s="27"/>
      <x:c r="BM156" s="27"/>
      <x:c r="BN156" s="27"/>
      <x:c r="BO156" s="27"/>
      <x:c r="BP156" s="27"/>
      <x:c r="BQ156" s="27"/>
      <x:c r="BR156" s="27"/>
      <x:c r="BS156" s="27"/>
      <x:c r="BT156" s="27"/>
      <x:c r="BU156" s="27"/>
      <x:c r="BV156" s="27"/>
      <x:c r="BW156" s="27"/>
      <x:c r="BX156" s="27"/>
      <x:c r="BY156" s="27"/>
      <x:c r="BZ156" s="27"/>
      <x:c r="CA156" s="27"/>
      <x:c r="CB156" s="27"/>
      <x:c r="CC156" s="27"/>
      <x:c r="CD156" s="27"/>
      <x:c r="CE156" s="27"/>
      <x:c r="CF156" s="27"/>
      <x:c r="CG156" s="27"/>
      <x:c r="CH156" s="27"/>
      <x:c r="CI156" s="27"/>
      <x:c r="CJ156" s="27"/>
      <x:c r="CK156" s="27"/>
      <x:c r="CL156" s="27"/>
      <x:c r="CM156" s="27"/>
      <x:c r="CN156" s="27"/>
      <x:c r="CO156" s="27"/>
      <x:c r="CP156" s="27"/>
      <x:c r="CQ156" s="27"/>
      <x:c r="CR156" s="27"/>
      <x:c r="CS156" s="27"/>
      <x:c r="CT156" s="27"/>
      <x:c r="CU156" s="27"/>
      <x:c r="CV156" s="27"/>
      <x:c r="CW156" s="27"/>
      <x:c r="CX156" s="27"/>
      <x:c r="CY156" s="27"/>
      <x:c r="CZ156" s="27"/>
      <x:c r="DA156" s="27"/>
      <x:c r="DB156" s="27"/>
      <x:c r="DC156" s="27"/>
      <x:c r="DD156" s="27"/>
      <x:c r="DE156" s="27"/>
      <x:c r="DF156" s="27"/>
      <x:c r="DG156" s="27"/>
      <x:c r="DH156" s="27"/>
      <x:c r="DI156" s="27"/>
      <x:c r="DJ156" s="27"/>
      <x:c r="DK156" s="27"/>
      <x:c r="DL156" s="27"/>
      <x:c r="DM156" s="27"/>
      <x:c r="DN156" s="27"/>
      <x:c r="DO156" s="27"/>
      <x:c r="DP156" s="27"/>
      <x:c r="DQ156" s="27"/>
      <x:c r="DR156" s="27"/>
      <x:c r="DS156" s="27"/>
      <x:c r="DT156" s="27"/>
      <x:c r="DU156" s="27"/>
      <x:c r="DV156" s="27"/>
      <x:c r="DW156" s="27"/>
      <x:c r="DX156" s="27"/>
      <x:c r="DY156" s="27"/>
      <x:c r="DZ156" s="27"/>
      <x:c r="EA156" s="27"/>
      <x:c r="EB156" s="27"/>
      <x:c r="EC156" s="27"/>
      <x:c r="ED156" s="27"/>
      <x:c r="EE156" s="27"/>
      <x:c r="EF156" s="27"/>
      <x:c r="EG156" s="27"/>
      <x:c r="EH156" s="27"/>
      <x:c r="EI156" s="27"/>
      <x:c r="EJ156" s="27"/>
      <x:c r="EK156" s="27"/>
      <x:c r="EL156" s="27"/>
      <x:c r="EM156" s="27"/>
      <x:c r="EN156" s="27"/>
      <x:c r="EO156" s="27"/>
      <x:c r="EP156" s="27"/>
      <x:c r="EQ156" s="27"/>
      <x:c r="ER156" s="27"/>
      <x:c r="ES156" s="27"/>
      <x:c r="ET156" s="27"/>
      <x:c r="EU156" s="27"/>
      <x:c r="EV156" s="27"/>
      <x:c r="EW156" s="27"/>
      <x:c r="EX156" s="27"/>
      <x:c r="EY156" s="27"/>
      <x:c r="EZ156" s="27"/>
      <x:c r="FA156" s="27"/>
      <x:c r="FB156" s="27"/>
      <x:c r="FC156" s="27"/>
      <x:c r="FD156" s="27"/>
      <x:c r="FE156" s="27"/>
      <x:c r="FF156" s="27"/>
      <x:c r="FG156" s="27"/>
      <x:c r="FH156" s="27"/>
      <x:c r="FI156" s="27"/>
      <x:c r="FJ156" s="27"/>
      <x:c r="FK156" s="27"/>
      <x:c r="FL156" s="27"/>
      <x:c r="FM156" s="27"/>
      <x:c r="FN156" s="27"/>
      <x:c r="FO156" s="27"/>
      <x:c r="FP156" s="27"/>
      <x:c r="FQ156" s="27"/>
      <x:c r="FR156" s="27"/>
      <x:c r="FS156" s="27"/>
      <x:c r="FT156" s="27"/>
      <x:c r="FU156" s="27"/>
      <x:c r="FV156" s="27"/>
      <x:c r="FW156" s="27"/>
      <x:c r="FX156" s="27"/>
      <x:c r="FY156" s="27"/>
      <x:c r="FZ156" s="27"/>
      <x:c r="GA156" s="27"/>
      <x:c r="GB156" s="27"/>
      <x:c r="GC156" s="27"/>
      <x:c r="GD156" s="27"/>
      <x:c r="GE156" s="27"/>
      <x:c r="GF156" s="27"/>
      <x:c r="GG156" s="27"/>
      <x:c r="GH156" s="27"/>
      <x:c r="GI156" s="27"/>
      <x:c r="GJ156" s="27"/>
      <x:c r="GK156" s="27"/>
      <x:c r="GL156" s="27"/>
      <x:c r="GM156" s="27"/>
      <x:c r="GN156" s="27"/>
      <x:c r="GO156" s="27"/>
      <x:c r="GP156" s="27"/>
      <x:c r="GQ156" s="27"/>
      <x:c r="GR156" s="27"/>
      <x:c r="GS156" s="27"/>
      <x:c r="GT156" s="27"/>
      <x:c r="GU156" s="27"/>
      <x:c r="GV156" s="27"/>
      <x:c r="GW156" s="27"/>
      <x:c r="GX156" s="27"/>
      <x:c r="GY156" s="27"/>
      <x:c r="GZ156" s="27"/>
      <x:c r="HA156" s="27"/>
      <x:c r="HB156" s="27"/>
      <x:c r="HC156" s="27"/>
      <x:c r="HD156" s="27"/>
      <x:c r="HE156" s="27"/>
      <x:c r="HF156" s="27"/>
      <x:c r="HG156" s="27"/>
      <x:c r="HH156" s="27"/>
      <x:c r="HI156" s="27"/>
      <x:c r="HJ156" s="27"/>
      <x:c r="HK156" s="27"/>
      <x:c r="HL156" s="27"/>
      <x:c r="HM156" s="27"/>
      <x:c r="HN156" s="27"/>
      <x:c r="HO156" s="27"/>
      <x:c r="HP156" s="27" t="str">
        <x:f>IF(C156="","",SUM(H156,N156,T156,Z156,AF156,AL156,AR156,AX156,BD156,BJ156,BP156,BV156,CB156,CH156,CN156,CT156,CZ156,DF156,DL156,DR156,DX156,ED156,EJ156,EP156,EV156,FB156,FH156,FN156,FT156,FZ156,GF156,GL156,GR156,GX156,HD156,HJ156))</x:f>
      </x:c>
      <x:c r="HQ156" s="27" t="str">
        <x:f>IF(C156="","",SUM(I156,O156,U156,AA156,AG156,AM156,AS156,AY156,BE156,BK156,BQ156,BW156,CC156,CI156,CO156,CU156,DA156,DG156,DM156,DS156,DY156,EE156,EK156,EQ156,EW156,FC156,FI156,FO156,FU156,GA156,GG156,GM156,GS156,GY156,HE156,HK156))</x:f>
      </x:c>
      <x:c r="HR156" s="27" t="str">
        <x:f>IF(C156="","",SUM(J156,P156,V156,AB156,AH156,AN156,AT156,AZ156,BF156,BL156,BR156,BX156,CD156,CJ156,CP156,CV156,DB156,DH156,DN156,DT156,DZ156,EF156,EL156,ER156,EX156,FD156,FJ156,FP156,FV156,GB156,GH156,GN156,GT156,GZ156,HF156,HL156))</x:f>
      </x:c>
      <x:c r="HS156" s="27" t="str">
        <x:f>IF(C156="","",SUM(K156,Q156,W156,AC156,AI156,AO156,AU156,BA156,BG156,BM156,BS156,BY156,CE156,CK156,CQ156,CW156,DC156,DI156,DO156,DU156,EA156,EG156,EM156,ES156,EY156,FE156,FK156,FQ156,FW156,GC156,GI156,GO156,GU156,HA156,HG156,HM156))</x:f>
      </x:c>
      <x:c r="HT156" s="27" t="str">
        <x:f>IF(C156="","",SUM(L156,R156,X156,AD156,AJ156,AP156,AV156,BB156,BH156,BN156,BT156,BZ156,CF156,CL156,CR156,CX156,DD156,DJ156,DP156,DV156,EB156,EH156,EN156,ET156,EZ156,FF156,FL156,FR156,FX156,GD156,GJ156,GP156,GV156,HB156,HH156,HN156))</x:f>
      </x:c>
      <x:c r="HU156" s="27" t="str">
        <x:f>IF(C156="","",SUM(M156,S156,Y156,AE156,AK156,AQ156,AW156,BC156,BI156,BO156,BU156,CA156,CG156,CM156,CS156,CY156,DE156,DK156,DQ156,DW156,EC156,EI156,EO156,EU156,FA156,FG156,FM156,FS156,FY156,GE156,GK156,GQ156,GW156,HC156,HI156,HO156))</x:f>
      </x:c>
      <x:c r="HV156" s="27" t="str">
        <x:f>IF(C156="","",IF(JI156=LARGE(JI156:JN156,1),"R",IF(JJ156=LARGE(JI156:JN156,1),"I",IF(JK156=LARGE(JI156:JN156,1),"A",IF(JL156=LARGE(JI156:JN156,1),"S",IF(JM156=LARGE(JI156:JN156,1),"E",IF(JN156=LARGE(JI156:JN156,1),"C",""))))))&amp;IF(JI156=LARGE(JI156:JN156,2),"R",IF(JJ156=LARGE(JI156:JN156,2),"I",IF(JK156=LARGE(JI156:JN156,2),"A",IF(JL156=LARGE(JI156:JN156,2),"S",IF(JM156=LARGE(JI156:JN156,2),"E",IF(JN156=LARGE(JI156:JN156,2),"C",""))))))&amp;IF(JI156=LARGE(JI156:JN156,3),"R",IF(JJ156=LARGE(JI156:JN156,3),"I",IF(JK156=LARGE(JI156:JN156,3),"A",IF(JL156=LARGE(JI156:JN156,3),"S",IF(JM156=LARGE(JI156:JN156,3),"E",IF(JN156=LARGE(JI156:JN156,3),"C","")))))))</x:f>
      </x:c>
      <x:c r="HW156" s="27" t="str">
        <x:f>IF(C156="","",IF(JI156=LARGE(JI156:JN156,1),"นักปฏิบัติ",IF(JJ156=LARGE(JI156:JN156,1),"นักคิดวิเคราะห์",IF(JK156=LARGE(JI156:JN156,1),"นักสร้างสรรค์",IF(JL156=LARGE(JI156:JN156,1),"ผู้เข้าใจผู้คน",IF(JM156=LARGE(JI156:JN156,1),"ผู้นำการเปลี่ยนแปลง",IF(JN156=LARGE(JI156:JN156,1),"ผู้จัดระบบ","ผู้จัดระบบ")))))))</x:f>
      </x:c>
      <x:c r="HX156" s="27"/>
      <x:c r="HY156" s="27"/>
      <x:c r="HZ156" s="27"/>
      <x:c r="IA156" s="27"/>
      <x:c r="IB156" s="27"/>
      <x:c r="IC156" s="27"/>
      <x:c r="ID156" s="27"/>
      <x:c r="IE156" s="27"/>
      <x:c r="IF156" s="27"/>
      <x:c r="IG156" s="27"/>
      <x:c r="IH156" s="27"/>
      <x:c r="II156" s="27"/>
      <x:c r="IJ156" s="27"/>
      <x:c r="IK156" s="27" t="str">
        <x:f>IF(C156="","",SUM(H156,N156,T156,Z156,AF156,AL156,AR156,AX156,BD156,BJ156,BP156))</x:f>
      </x:c>
      <x:c r="IL156" s="27" t="str">
        <x:f>IF(C156="","",SUM(I156,O156,U156,AA156,AG156,AM156,AS156,AY156,BE156,BK156,BQ156))</x:f>
      </x:c>
      <x:c r="IM156" s="27" t="str">
        <x:f>IF(C156="","",SUM(J156,P156,V156,AB156,AH156,AN156,AT156,AZ156,BF156,BL156,BR156))</x:f>
      </x:c>
      <x:c r="IN156" s="27" t="str">
        <x:f>IF(C156="","",SUM(K156,Q156,W156,AC156,AI156,AO156,AU156,BA156,BG156,BM156,BS156))</x:f>
      </x:c>
      <x:c r="IO156" s="27" t="str">
        <x:f>IF(C156="","",SUM(L156,R156,X156,AD156,AJ156,AP156,AV156,BB156,BH156,BN156,BT156))</x:f>
      </x:c>
      <x:c r="IP156" s="27" t="str">
        <x:f>IF(C156="","",SUM(M156,S156,Y156,AE156,AK156,AQ156,AW156,BC156,BI156,BO156,BU156))</x:f>
      </x:c>
      <x:c r="IQ156" s="27" t="str">
        <x:f>IF(C156="","",SUM(BV156,CB156,CH156,CN156,CT156,CZ156,DF156,DL156,DR156,DX156,ED156))</x:f>
      </x:c>
      <x:c r="IR156" s="27" t="str">
        <x:f>IF(C156="","",SUM(BW156,CC156,CI156,CO156,CU156,DA156,DG156,DM156,DS156,DY156,EE156))</x:f>
      </x:c>
      <x:c r="IS156" s="27" t="str">
        <x:f>IF(C156="","",SUM(BX156,CD156,CJ156,CP156,CV156,DB156,DH156,DN156,DT156,DZ156,EF156))</x:f>
      </x:c>
      <x:c r="IT156" s="27" t="str">
        <x:f>IF(C156="","",SUM(BY156,CE156,CK156,CQ156,CW156,DC156,DI156,DO156,DU156,EA156,EG156))</x:f>
      </x:c>
      <x:c r="IU156" s="27" t="str">
        <x:f>IF(C156="","",SUM(BZ156,CF156,CL156,CR156,CX156,DD156,DJ156,DP156,DV156,EB156,EH156))</x:f>
      </x:c>
      <x:c r="IV156" s="27" t="str">
        <x:f>IF(C156="","",SUM(CA156,CG156,CM156,CS156,CY156,DE156,DK156,DQ156,DW156,EC156,EI156))</x:f>
      </x:c>
      <x:c r="IW156" s="27" t="str">
        <x:f>IF(C156="","",SUM(EJ156,EP156,EV156,FB156,FH156,FN156,FT156,FZ156,GF156,GL156,GR156,GX156,HD156,HJ156))</x:f>
      </x:c>
      <x:c r="IX156" s="27" t="str">
        <x:f>IF(C156="","",SUM(EK156,EQ156,EW156,FC156,FI156,FO156,FU156,GA156,GG156,GM156,GS156,GY156,HE156,HK156))</x:f>
      </x:c>
      <x:c r="IY156" s="27" t="str">
        <x:f>IF(C156="","",SUM(EL156,ER156,EX156,FD156,FJ156,FP156,FV156,GB156,GH156,GN156,GT156,GZ156,HF156,HL156))</x:f>
      </x:c>
      <x:c r="IZ156" s="27" t="str">
        <x:f>IF(C156="","",SUM(EM156,ES156,EY156,FE156,FK156,FQ156,FW156,GC156,GI156,GO156,GU156,HA156,HG156,HM156))</x:f>
      </x:c>
      <x:c r="JA156" s="27" t="str">
        <x:f>IF(C156="","",SUM(EN156,ET156,EZ156,FF156,FL156,FR156,FX156,GD156,GJ156,GP156,GV156,HB156,HH156,HN156))</x:f>
      </x:c>
      <x:c r="JB156" s="27" t="str">
        <x:f>IF(C156="","",SUM(EO156,EU156,FA156,FG156,FM156,FS156,FY156,GE156,GK156,GQ156,GW156,HC156,HI156,HO156))</x:f>
      </x:c>
      <x:c r="JC156" s="27" t="str">
        <x:f>IF(C156="","",0)</x:f>
      </x:c>
      <x:c r="JD156" s="27" t="str">
        <x:f>IF(C156="","",0)</x:f>
      </x:c>
      <x:c r="JE156" s="27" t="str">
        <x:f>IF(C156="","",0)</x:f>
      </x:c>
      <x:c r="JF156" s="27" t="str">
        <x:f>IF(C156="","",0)</x:f>
      </x:c>
      <x:c r="JG156" s="27" t="str">
        <x:f>IF(C156="","",0)</x:f>
      </x:c>
      <x:c r="JH156" s="27" t="str">
        <x:f>IF(C156="","",0)</x:f>
      </x:c>
      <x:c r="JI156" s="27" t="str">
        <x:f>IF(C156="","",HP156*1000000000+IW156*1000000+IQ156*10000+IK156*100+JC156+6/1000)</x:f>
      </x:c>
      <x:c r="JJ156" s="27" t="str">
        <x:f>IF(C156="","",HQ156*1000000000+IX156*1000000+IR156*10000+IL156*100+JD156+5/1000)</x:f>
      </x:c>
      <x:c r="JK156" s="27" t="str">
        <x:f>IF(C156="","",HR156*1000000000+IY156*1000000+IS156*10000+IM156*100+JE156+4/1000)</x:f>
      </x:c>
      <x:c r="JL156" s="27" t="str">
        <x:f>IF(C156="","",HS156*1000000000+IZ156*1000000+IT156*10000+IN156*100+JF156+3/1000)</x:f>
      </x:c>
      <x:c r="JM156" s="27" t="str">
        <x:f>IF(C156="","",HT156*1000000000+JA156*1000000+IU156*10000+IO156*100+JG156+2/1000)</x:f>
      </x:c>
      <x:c r="JN156" s="27" t="str">
        <x:f>IF(C156="","",HU156*1000000000+JB156*1000000+IV156*10000+IP156*100+JH156+1/1000)</x:f>
      </x:c>
    </x:row>
    <x:row r="157">
      <x:c r="A157" s="27"/>
      <x:c r="B157" s="28"/>
      <x:c r="C157" s="27"/>
      <x:c r="D157" s="27"/>
      <x:c r="E157" s="27"/>
      <x:c r="F157" s="27"/>
      <x:c r="G157" s="27"/>
      <x:c r="H157" s="27"/>
      <x:c r="I157" s="27"/>
      <x:c r="J157" s="27"/>
      <x:c r="K157" s="27"/>
      <x:c r="L157" s="27"/>
      <x:c r="M157" s="27"/>
      <x:c r="N157" s="27"/>
      <x:c r="O157" s="27"/>
      <x:c r="P157" s="27"/>
      <x:c r="Q157" s="27"/>
      <x:c r="R157" s="27"/>
      <x:c r="S157" s="27"/>
      <x:c r="T157" s="27"/>
      <x:c r="U157" s="27"/>
      <x:c r="V157" s="27"/>
      <x:c r="W157" s="27"/>
      <x:c r="X157" s="27"/>
      <x:c r="Y157" s="27"/>
      <x:c r="Z157" s="27"/>
      <x:c r="AA157" s="27"/>
      <x:c r="AB157" s="27"/>
      <x:c r="AC157" s="27"/>
      <x:c r="AD157" s="27"/>
      <x:c r="AE157" s="27"/>
      <x:c r="AF157" s="27"/>
      <x:c r="AG157" s="27"/>
      <x:c r="AH157" s="27"/>
      <x:c r="AI157" s="27"/>
      <x:c r="AJ157" s="27"/>
      <x:c r="AK157" s="27"/>
      <x:c r="AL157" s="27"/>
      <x:c r="AM157" s="27"/>
      <x:c r="AN157" s="27"/>
      <x:c r="AO157" s="27"/>
      <x:c r="AP157" s="27"/>
      <x:c r="AQ157" s="27"/>
      <x:c r="AR157" s="27"/>
      <x:c r="AS157" s="27"/>
      <x:c r="AT157" s="27"/>
      <x:c r="AU157" s="27"/>
      <x:c r="AV157" s="27"/>
      <x:c r="AW157" s="27"/>
      <x:c r="AX157" s="27"/>
      <x:c r="AY157" s="27"/>
      <x:c r="AZ157" s="27"/>
      <x:c r="BA157" s="27"/>
      <x:c r="BB157" s="27"/>
      <x:c r="BC157" s="27"/>
      <x:c r="BD157" s="27"/>
      <x:c r="BE157" s="27"/>
      <x:c r="BF157" s="27"/>
      <x:c r="BG157" s="27"/>
      <x:c r="BH157" s="27"/>
      <x:c r="BI157" s="27"/>
      <x:c r="BJ157" s="27"/>
      <x:c r="BK157" s="27"/>
      <x:c r="BL157" s="27"/>
      <x:c r="BM157" s="27"/>
      <x:c r="BN157" s="27"/>
      <x:c r="BO157" s="27"/>
      <x:c r="BP157" s="27"/>
      <x:c r="BQ157" s="27"/>
      <x:c r="BR157" s="27"/>
      <x:c r="BS157" s="27"/>
      <x:c r="BT157" s="27"/>
      <x:c r="BU157" s="27"/>
      <x:c r="BV157" s="27"/>
      <x:c r="BW157" s="27"/>
      <x:c r="BX157" s="27"/>
      <x:c r="BY157" s="27"/>
      <x:c r="BZ157" s="27"/>
      <x:c r="CA157" s="27"/>
      <x:c r="CB157" s="27"/>
      <x:c r="CC157" s="27"/>
      <x:c r="CD157" s="27"/>
      <x:c r="CE157" s="27"/>
      <x:c r="CF157" s="27"/>
      <x:c r="CG157" s="27"/>
      <x:c r="CH157" s="27"/>
      <x:c r="CI157" s="27"/>
      <x:c r="CJ157" s="27"/>
      <x:c r="CK157" s="27"/>
      <x:c r="CL157" s="27"/>
      <x:c r="CM157" s="27"/>
      <x:c r="CN157" s="27"/>
      <x:c r="CO157" s="27"/>
      <x:c r="CP157" s="27"/>
      <x:c r="CQ157" s="27"/>
      <x:c r="CR157" s="27"/>
      <x:c r="CS157" s="27"/>
      <x:c r="CT157" s="27"/>
      <x:c r="CU157" s="27"/>
      <x:c r="CV157" s="27"/>
      <x:c r="CW157" s="27"/>
      <x:c r="CX157" s="27"/>
      <x:c r="CY157" s="27"/>
      <x:c r="CZ157" s="27"/>
      <x:c r="DA157" s="27"/>
      <x:c r="DB157" s="27"/>
      <x:c r="DC157" s="27"/>
      <x:c r="DD157" s="27"/>
      <x:c r="DE157" s="27"/>
      <x:c r="DF157" s="27"/>
      <x:c r="DG157" s="27"/>
      <x:c r="DH157" s="27"/>
      <x:c r="DI157" s="27"/>
      <x:c r="DJ157" s="27"/>
      <x:c r="DK157" s="27"/>
      <x:c r="DL157" s="27"/>
      <x:c r="DM157" s="27"/>
      <x:c r="DN157" s="27"/>
      <x:c r="DO157" s="27"/>
      <x:c r="DP157" s="27"/>
      <x:c r="DQ157" s="27"/>
      <x:c r="DR157" s="27"/>
      <x:c r="DS157" s="27"/>
      <x:c r="DT157" s="27"/>
      <x:c r="DU157" s="27"/>
      <x:c r="DV157" s="27"/>
      <x:c r="DW157" s="27"/>
      <x:c r="DX157" s="27"/>
      <x:c r="DY157" s="27"/>
      <x:c r="DZ157" s="27"/>
      <x:c r="EA157" s="27"/>
      <x:c r="EB157" s="27"/>
      <x:c r="EC157" s="27"/>
      <x:c r="ED157" s="27"/>
      <x:c r="EE157" s="27"/>
      <x:c r="EF157" s="27"/>
      <x:c r="EG157" s="27"/>
      <x:c r="EH157" s="27"/>
      <x:c r="EI157" s="27"/>
      <x:c r="EJ157" s="27"/>
      <x:c r="EK157" s="27"/>
      <x:c r="EL157" s="27"/>
      <x:c r="EM157" s="27"/>
      <x:c r="EN157" s="27"/>
      <x:c r="EO157" s="27"/>
      <x:c r="EP157" s="27"/>
      <x:c r="EQ157" s="27"/>
      <x:c r="ER157" s="27"/>
      <x:c r="ES157" s="27"/>
      <x:c r="ET157" s="27"/>
      <x:c r="EU157" s="27"/>
      <x:c r="EV157" s="27"/>
      <x:c r="EW157" s="27"/>
      <x:c r="EX157" s="27"/>
      <x:c r="EY157" s="27"/>
      <x:c r="EZ157" s="27"/>
      <x:c r="FA157" s="27"/>
      <x:c r="FB157" s="27"/>
      <x:c r="FC157" s="27"/>
      <x:c r="FD157" s="27"/>
      <x:c r="FE157" s="27"/>
      <x:c r="FF157" s="27"/>
      <x:c r="FG157" s="27"/>
      <x:c r="FH157" s="27"/>
      <x:c r="FI157" s="27"/>
      <x:c r="FJ157" s="27"/>
      <x:c r="FK157" s="27"/>
      <x:c r="FL157" s="27"/>
      <x:c r="FM157" s="27"/>
      <x:c r="FN157" s="27"/>
      <x:c r="FO157" s="27"/>
      <x:c r="FP157" s="27"/>
      <x:c r="FQ157" s="27"/>
      <x:c r="FR157" s="27"/>
      <x:c r="FS157" s="27"/>
      <x:c r="FT157" s="27"/>
      <x:c r="FU157" s="27"/>
      <x:c r="FV157" s="27"/>
      <x:c r="FW157" s="27"/>
      <x:c r="FX157" s="27"/>
      <x:c r="FY157" s="27"/>
      <x:c r="FZ157" s="27"/>
      <x:c r="GA157" s="27"/>
      <x:c r="GB157" s="27"/>
      <x:c r="GC157" s="27"/>
      <x:c r="GD157" s="27"/>
      <x:c r="GE157" s="27"/>
      <x:c r="GF157" s="27"/>
      <x:c r="GG157" s="27"/>
      <x:c r="GH157" s="27"/>
      <x:c r="GI157" s="27"/>
      <x:c r="GJ157" s="27"/>
      <x:c r="GK157" s="27"/>
      <x:c r="GL157" s="27"/>
      <x:c r="GM157" s="27"/>
      <x:c r="GN157" s="27"/>
      <x:c r="GO157" s="27"/>
      <x:c r="GP157" s="27"/>
      <x:c r="GQ157" s="27"/>
      <x:c r="GR157" s="27"/>
      <x:c r="GS157" s="27"/>
      <x:c r="GT157" s="27"/>
      <x:c r="GU157" s="27"/>
      <x:c r="GV157" s="27"/>
      <x:c r="GW157" s="27"/>
      <x:c r="GX157" s="27"/>
      <x:c r="GY157" s="27"/>
      <x:c r="GZ157" s="27"/>
      <x:c r="HA157" s="27"/>
      <x:c r="HB157" s="27"/>
      <x:c r="HC157" s="27"/>
      <x:c r="HD157" s="27"/>
      <x:c r="HE157" s="27"/>
      <x:c r="HF157" s="27"/>
      <x:c r="HG157" s="27"/>
      <x:c r="HH157" s="27"/>
      <x:c r="HI157" s="27"/>
      <x:c r="HJ157" s="27"/>
      <x:c r="HK157" s="27"/>
      <x:c r="HL157" s="27"/>
      <x:c r="HM157" s="27"/>
      <x:c r="HN157" s="27"/>
      <x:c r="HO157" s="27"/>
      <x:c r="HP157" s="27" t="str">
        <x:f>IF(C157="","",SUM(H157,N157,T157,Z157,AF157,AL157,AR157,AX157,BD157,BJ157,BP157,BV157,CB157,CH157,CN157,CT157,CZ157,DF157,DL157,DR157,DX157,ED157,EJ157,EP157,EV157,FB157,FH157,FN157,FT157,FZ157,GF157,GL157,GR157,GX157,HD157,HJ157))</x:f>
      </x:c>
      <x:c r="HQ157" s="27" t="str">
        <x:f>IF(C157="","",SUM(I157,O157,U157,AA157,AG157,AM157,AS157,AY157,BE157,BK157,BQ157,BW157,CC157,CI157,CO157,CU157,DA157,DG157,DM157,DS157,DY157,EE157,EK157,EQ157,EW157,FC157,FI157,FO157,FU157,GA157,GG157,GM157,GS157,GY157,HE157,HK157))</x:f>
      </x:c>
      <x:c r="HR157" s="27" t="str">
        <x:f>IF(C157="","",SUM(J157,P157,V157,AB157,AH157,AN157,AT157,AZ157,BF157,BL157,BR157,BX157,CD157,CJ157,CP157,CV157,DB157,DH157,DN157,DT157,DZ157,EF157,EL157,ER157,EX157,FD157,FJ157,FP157,FV157,GB157,GH157,GN157,GT157,GZ157,HF157,HL157))</x:f>
      </x:c>
      <x:c r="HS157" s="27" t="str">
        <x:f>IF(C157="","",SUM(K157,Q157,W157,AC157,AI157,AO157,AU157,BA157,BG157,BM157,BS157,BY157,CE157,CK157,CQ157,CW157,DC157,DI157,DO157,DU157,EA157,EG157,EM157,ES157,EY157,FE157,FK157,FQ157,FW157,GC157,GI157,GO157,GU157,HA157,HG157,HM157))</x:f>
      </x:c>
      <x:c r="HT157" s="27" t="str">
        <x:f>IF(C157="","",SUM(L157,R157,X157,AD157,AJ157,AP157,AV157,BB157,BH157,BN157,BT157,BZ157,CF157,CL157,CR157,CX157,DD157,DJ157,DP157,DV157,EB157,EH157,EN157,ET157,EZ157,FF157,FL157,FR157,FX157,GD157,GJ157,GP157,GV157,HB157,HH157,HN157))</x:f>
      </x:c>
      <x:c r="HU157" s="27" t="str">
        <x:f>IF(C157="","",SUM(M157,S157,Y157,AE157,AK157,AQ157,AW157,BC157,BI157,BO157,BU157,CA157,CG157,CM157,CS157,CY157,DE157,DK157,DQ157,DW157,EC157,EI157,EO157,EU157,FA157,FG157,FM157,FS157,FY157,GE157,GK157,GQ157,GW157,HC157,HI157,HO157))</x:f>
      </x:c>
      <x:c r="HV157" s="27" t="str">
        <x:f>IF(C157="","",IF(JI157=LARGE(JI157:JN157,1),"R",IF(JJ157=LARGE(JI157:JN157,1),"I",IF(JK157=LARGE(JI157:JN157,1),"A",IF(JL157=LARGE(JI157:JN157,1),"S",IF(JM157=LARGE(JI157:JN157,1),"E",IF(JN157=LARGE(JI157:JN157,1),"C",""))))))&amp;IF(JI157=LARGE(JI157:JN157,2),"R",IF(JJ157=LARGE(JI157:JN157,2),"I",IF(JK157=LARGE(JI157:JN157,2),"A",IF(JL157=LARGE(JI157:JN157,2),"S",IF(JM157=LARGE(JI157:JN157,2),"E",IF(JN157=LARGE(JI157:JN157,2),"C",""))))))&amp;IF(JI157=LARGE(JI157:JN157,3),"R",IF(JJ157=LARGE(JI157:JN157,3),"I",IF(JK157=LARGE(JI157:JN157,3),"A",IF(JL157=LARGE(JI157:JN157,3),"S",IF(JM157=LARGE(JI157:JN157,3),"E",IF(JN157=LARGE(JI157:JN157,3),"C","")))))))</x:f>
      </x:c>
      <x:c r="HW157" s="27" t="str">
        <x:f>IF(C157="","",IF(JI157=LARGE(JI157:JN157,1),"นักปฏิบัติ",IF(JJ157=LARGE(JI157:JN157,1),"นักคิดวิเคราะห์",IF(JK157=LARGE(JI157:JN157,1),"นักสร้างสรรค์",IF(JL157=LARGE(JI157:JN157,1),"ผู้เข้าใจผู้คน",IF(JM157=LARGE(JI157:JN157,1),"ผู้นำการเปลี่ยนแปลง",IF(JN157=LARGE(JI157:JN157,1),"ผู้จัดระบบ","ผู้จัดระบบ")))))))</x:f>
      </x:c>
      <x:c r="HX157" s="27"/>
      <x:c r="HY157" s="27"/>
      <x:c r="HZ157" s="27"/>
      <x:c r="IA157" s="27"/>
      <x:c r="IB157" s="27"/>
      <x:c r="IC157" s="27"/>
      <x:c r="ID157" s="27"/>
      <x:c r="IE157" s="27"/>
      <x:c r="IF157" s="27"/>
      <x:c r="IG157" s="27"/>
      <x:c r="IH157" s="27"/>
      <x:c r="II157" s="27"/>
      <x:c r="IJ157" s="27"/>
      <x:c r="IK157" s="27" t="str">
        <x:f>IF(C157="","",SUM(H157,N157,T157,Z157,AF157,AL157,AR157,AX157,BD157,BJ157,BP157))</x:f>
      </x:c>
      <x:c r="IL157" s="27" t="str">
        <x:f>IF(C157="","",SUM(I157,O157,U157,AA157,AG157,AM157,AS157,AY157,BE157,BK157,BQ157))</x:f>
      </x:c>
      <x:c r="IM157" s="27" t="str">
        <x:f>IF(C157="","",SUM(J157,P157,V157,AB157,AH157,AN157,AT157,AZ157,BF157,BL157,BR157))</x:f>
      </x:c>
      <x:c r="IN157" s="27" t="str">
        <x:f>IF(C157="","",SUM(K157,Q157,W157,AC157,AI157,AO157,AU157,BA157,BG157,BM157,BS157))</x:f>
      </x:c>
      <x:c r="IO157" s="27" t="str">
        <x:f>IF(C157="","",SUM(L157,R157,X157,AD157,AJ157,AP157,AV157,BB157,BH157,BN157,BT157))</x:f>
      </x:c>
      <x:c r="IP157" s="27" t="str">
        <x:f>IF(C157="","",SUM(M157,S157,Y157,AE157,AK157,AQ157,AW157,BC157,BI157,BO157,BU157))</x:f>
      </x:c>
      <x:c r="IQ157" s="27" t="str">
        <x:f>IF(C157="","",SUM(BV157,CB157,CH157,CN157,CT157,CZ157,DF157,DL157,DR157,DX157,ED157))</x:f>
      </x:c>
      <x:c r="IR157" s="27" t="str">
        <x:f>IF(C157="","",SUM(BW157,CC157,CI157,CO157,CU157,DA157,DG157,DM157,DS157,DY157,EE157))</x:f>
      </x:c>
      <x:c r="IS157" s="27" t="str">
        <x:f>IF(C157="","",SUM(BX157,CD157,CJ157,CP157,CV157,DB157,DH157,DN157,DT157,DZ157,EF157))</x:f>
      </x:c>
      <x:c r="IT157" s="27" t="str">
        <x:f>IF(C157="","",SUM(BY157,CE157,CK157,CQ157,CW157,DC157,DI157,DO157,DU157,EA157,EG157))</x:f>
      </x:c>
      <x:c r="IU157" s="27" t="str">
        <x:f>IF(C157="","",SUM(BZ157,CF157,CL157,CR157,CX157,DD157,DJ157,DP157,DV157,EB157,EH157))</x:f>
      </x:c>
      <x:c r="IV157" s="27" t="str">
        <x:f>IF(C157="","",SUM(CA157,CG157,CM157,CS157,CY157,DE157,DK157,DQ157,DW157,EC157,EI157))</x:f>
      </x:c>
      <x:c r="IW157" s="27" t="str">
        <x:f>IF(C157="","",SUM(EJ157,EP157,EV157,FB157,FH157,FN157,FT157,FZ157,GF157,GL157,GR157,GX157,HD157,HJ157))</x:f>
      </x:c>
      <x:c r="IX157" s="27" t="str">
        <x:f>IF(C157="","",SUM(EK157,EQ157,EW157,FC157,FI157,FO157,FU157,GA157,GG157,GM157,GS157,GY157,HE157,HK157))</x:f>
      </x:c>
      <x:c r="IY157" s="27" t="str">
        <x:f>IF(C157="","",SUM(EL157,ER157,EX157,FD157,FJ157,FP157,FV157,GB157,GH157,GN157,GT157,GZ157,HF157,HL157))</x:f>
      </x:c>
      <x:c r="IZ157" s="27" t="str">
        <x:f>IF(C157="","",SUM(EM157,ES157,EY157,FE157,FK157,FQ157,FW157,GC157,GI157,GO157,GU157,HA157,HG157,HM157))</x:f>
      </x:c>
      <x:c r="JA157" s="27" t="str">
        <x:f>IF(C157="","",SUM(EN157,ET157,EZ157,FF157,FL157,FR157,FX157,GD157,GJ157,GP157,GV157,HB157,HH157,HN157))</x:f>
      </x:c>
      <x:c r="JB157" s="27" t="str">
        <x:f>IF(C157="","",SUM(EO157,EU157,FA157,FG157,FM157,FS157,FY157,GE157,GK157,GQ157,GW157,HC157,HI157,HO157))</x:f>
      </x:c>
      <x:c r="JC157" s="27" t="str">
        <x:f>IF(C157="","",0)</x:f>
      </x:c>
      <x:c r="JD157" s="27" t="str">
        <x:f>IF(C157="","",0)</x:f>
      </x:c>
      <x:c r="JE157" s="27" t="str">
        <x:f>IF(C157="","",0)</x:f>
      </x:c>
      <x:c r="JF157" s="27" t="str">
        <x:f>IF(C157="","",0)</x:f>
      </x:c>
      <x:c r="JG157" s="27" t="str">
        <x:f>IF(C157="","",0)</x:f>
      </x:c>
      <x:c r="JH157" s="27" t="str">
        <x:f>IF(C157="","",0)</x:f>
      </x:c>
      <x:c r="JI157" s="27" t="str">
        <x:f>IF(C157="","",HP157*1000000000+IW157*1000000+IQ157*10000+IK157*100+JC157+6/1000)</x:f>
      </x:c>
      <x:c r="JJ157" s="27" t="str">
        <x:f>IF(C157="","",HQ157*1000000000+IX157*1000000+IR157*10000+IL157*100+JD157+5/1000)</x:f>
      </x:c>
      <x:c r="JK157" s="27" t="str">
        <x:f>IF(C157="","",HR157*1000000000+IY157*1000000+IS157*10000+IM157*100+JE157+4/1000)</x:f>
      </x:c>
      <x:c r="JL157" s="27" t="str">
        <x:f>IF(C157="","",HS157*1000000000+IZ157*1000000+IT157*10000+IN157*100+JF157+3/1000)</x:f>
      </x:c>
      <x:c r="JM157" s="27" t="str">
        <x:f>IF(C157="","",HT157*1000000000+JA157*1000000+IU157*10000+IO157*100+JG157+2/1000)</x:f>
      </x:c>
      <x:c r="JN157" s="27" t="str">
        <x:f>IF(C157="","",HU157*1000000000+JB157*1000000+IV157*10000+IP157*100+JH157+1/1000)</x:f>
      </x:c>
    </x:row>
    <x:row r="158">
      <x:c r="A158" s="27"/>
      <x:c r="B158" s="28"/>
      <x:c r="C158" s="27"/>
      <x:c r="D158" s="27"/>
      <x:c r="E158" s="27"/>
      <x:c r="F158" s="27"/>
      <x:c r="G158" s="27"/>
      <x:c r="H158" s="27"/>
      <x:c r="I158" s="27"/>
      <x:c r="J158" s="27"/>
      <x:c r="K158" s="27"/>
      <x:c r="L158" s="27"/>
      <x:c r="M158" s="27"/>
      <x:c r="N158" s="27"/>
      <x:c r="O158" s="27"/>
      <x:c r="P158" s="27"/>
      <x:c r="Q158" s="27"/>
      <x:c r="R158" s="27"/>
      <x:c r="S158" s="27"/>
      <x:c r="T158" s="27"/>
      <x:c r="U158" s="27"/>
      <x:c r="V158" s="27"/>
      <x:c r="W158" s="27"/>
      <x:c r="X158" s="27"/>
      <x:c r="Y158" s="27"/>
      <x:c r="Z158" s="27"/>
      <x:c r="AA158" s="27"/>
      <x:c r="AB158" s="27"/>
      <x:c r="AC158" s="27"/>
      <x:c r="AD158" s="27"/>
      <x:c r="AE158" s="27"/>
      <x:c r="AF158" s="27"/>
      <x:c r="AG158" s="27"/>
      <x:c r="AH158" s="27"/>
      <x:c r="AI158" s="27"/>
      <x:c r="AJ158" s="27"/>
      <x:c r="AK158" s="27"/>
      <x:c r="AL158" s="27"/>
      <x:c r="AM158" s="27"/>
      <x:c r="AN158" s="27"/>
      <x:c r="AO158" s="27"/>
      <x:c r="AP158" s="27"/>
      <x:c r="AQ158" s="27"/>
      <x:c r="AR158" s="27"/>
      <x:c r="AS158" s="27"/>
      <x:c r="AT158" s="27"/>
      <x:c r="AU158" s="27"/>
      <x:c r="AV158" s="27"/>
      <x:c r="AW158" s="27"/>
      <x:c r="AX158" s="27"/>
      <x:c r="AY158" s="27"/>
      <x:c r="AZ158" s="27"/>
      <x:c r="BA158" s="27"/>
      <x:c r="BB158" s="27"/>
      <x:c r="BC158" s="27"/>
      <x:c r="BD158" s="27"/>
      <x:c r="BE158" s="27"/>
      <x:c r="BF158" s="27"/>
      <x:c r="BG158" s="27"/>
      <x:c r="BH158" s="27"/>
      <x:c r="BI158" s="27"/>
      <x:c r="BJ158" s="27"/>
      <x:c r="BK158" s="27"/>
      <x:c r="BL158" s="27"/>
      <x:c r="BM158" s="27"/>
      <x:c r="BN158" s="27"/>
      <x:c r="BO158" s="27"/>
      <x:c r="BP158" s="27"/>
      <x:c r="BQ158" s="27"/>
      <x:c r="BR158" s="27"/>
      <x:c r="BS158" s="27"/>
      <x:c r="BT158" s="27"/>
      <x:c r="BU158" s="27"/>
      <x:c r="BV158" s="27"/>
      <x:c r="BW158" s="27"/>
      <x:c r="BX158" s="27"/>
      <x:c r="BY158" s="27"/>
      <x:c r="BZ158" s="27"/>
      <x:c r="CA158" s="27"/>
      <x:c r="CB158" s="27"/>
      <x:c r="CC158" s="27"/>
      <x:c r="CD158" s="27"/>
      <x:c r="CE158" s="27"/>
      <x:c r="CF158" s="27"/>
      <x:c r="CG158" s="27"/>
      <x:c r="CH158" s="27"/>
      <x:c r="CI158" s="27"/>
      <x:c r="CJ158" s="27"/>
      <x:c r="CK158" s="27"/>
      <x:c r="CL158" s="27"/>
      <x:c r="CM158" s="27"/>
      <x:c r="CN158" s="27"/>
      <x:c r="CO158" s="27"/>
      <x:c r="CP158" s="27"/>
      <x:c r="CQ158" s="27"/>
      <x:c r="CR158" s="27"/>
      <x:c r="CS158" s="27"/>
      <x:c r="CT158" s="27"/>
      <x:c r="CU158" s="27"/>
      <x:c r="CV158" s="27"/>
      <x:c r="CW158" s="27"/>
      <x:c r="CX158" s="27"/>
      <x:c r="CY158" s="27"/>
      <x:c r="CZ158" s="27"/>
      <x:c r="DA158" s="27"/>
      <x:c r="DB158" s="27"/>
      <x:c r="DC158" s="27"/>
      <x:c r="DD158" s="27"/>
      <x:c r="DE158" s="27"/>
      <x:c r="DF158" s="27"/>
      <x:c r="DG158" s="27"/>
      <x:c r="DH158" s="27"/>
      <x:c r="DI158" s="27"/>
      <x:c r="DJ158" s="27"/>
      <x:c r="DK158" s="27"/>
      <x:c r="DL158" s="27"/>
      <x:c r="DM158" s="27"/>
      <x:c r="DN158" s="27"/>
      <x:c r="DO158" s="27"/>
      <x:c r="DP158" s="27"/>
      <x:c r="DQ158" s="27"/>
      <x:c r="DR158" s="27"/>
      <x:c r="DS158" s="27"/>
      <x:c r="DT158" s="27"/>
      <x:c r="DU158" s="27"/>
      <x:c r="DV158" s="27"/>
      <x:c r="DW158" s="27"/>
      <x:c r="DX158" s="27"/>
      <x:c r="DY158" s="27"/>
      <x:c r="DZ158" s="27"/>
      <x:c r="EA158" s="27"/>
      <x:c r="EB158" s="27"/>
      <x:c r="EC158" s="27"/>
      <x:c r="ED158" s="27"/>
      <x:c r="EE158" s="27"/>
      <x:c r="EF158" s="27"/>
      <x:c r="EG158" s="27"/>
      <x:c r="EH158" s="27"/>
      <x:c r="EI158" s="27"/>
      <x:c r="EJ158" s="27"/>
      <x:c r="EK158" s="27"/>
      <x:c r="EL158" s="27"/>
      <x:c r="EM158" s="27"/>
      <x:c r="EN158" s="27"/>
      <x:c r="EO158" s="27"/>
      <x:c r="EP158" s="27"/>
      <x:c r="EQ158" s="27"/>
      <x:c r="ER158" s="27"/>
      <x:c r="ES158" s="27"/>
      <x:c r="ET158" s="27"/>
      <x:c r="EU158" s="27"/>
      <x:c r="EV158" s="27"/>
      <x:c r="EW158" s="27"/>
      <x:c r="EX158" s="27"/>
      <x:c r="EY158" s="27"/>
      <x:c r="EZ158" s="27"/>
      <x:c r="FA158" s="27"/>
      <x:c r="FB158" s="27"/>
      <x:c r="FC158" s="27"/>
      <x:c r="FD158" s="27"/>
      <x:c r="FE158" s="27"/>
      <x:c r="FF158" s="27"/>
      <x:c r="FG158" s="27"/>
      <x:c r="FH158" s="27"/>
      <x:c r="FI158" s="27"/>
      <x:c r="FJ158" s="27"/>
      <x:c r="FK158" s="27"/>
      <x:c r="FL158" s="27"/>
      <x:c r="FM158" s="27"/>
      <x:c r="FN158" s="27"/>
      <x:c r="FO158" s="27"/>
      <x:c r="FP158" s="27"/>
      <x:c r="FQ158" s="27"/>
      <x:c r="FR158" s="27"/>
      <x:c r="FS158" s="27"/>
      <x:c r="FT158" s="27"/>
      <x:c r="FU158" s="27"/>
      <x:c r="FV158" s="27"/>
      <x:c r="FW158" s="27"/>
      <x:c r="FX158" s="27"/>
      <x:c r="FY158" s="27"/>
      <x:c r="FZ158" s="27"/>
      <x:c r="GA158" s="27"/>
      <x:c r="GB158" s="27"/>
      <x:c r="GC158" s="27"/>
      <x:c r="GD158" s="27"/>
      <x:c r="GE158" s="27"/>
      <x:c r="GF158" s="27"/>
      <x:c r="GG158" s="27"/>
      <x:c r="GH158" s="27"/>
      <x:c r="GI158" s="27"/>
      <x:c r="GJ158" s="27"/>
      <x:c r="GK158" s="27"/>
      <x:c r="GL158" s="27"/>
      <x:c r="GM158" s="27"/>
      <x:c r="GN158" s="27"/>
      <x:c r="GO158" s="27"/>
      <x:c r="GP158" s="27"/>
      <x:c r="GQ158" s="27"/>
      <x:c r="GR158" s="27"/>
      <x:c r="GS158" s="27"/>
      <x:c r="GT158" s="27"/>
      <x:c r="GU158" s="27"/>
      <x:c r="GV158" s="27"/>
      <x:c r="GW158" s="27"/>
      <x:c r="GX158" s="27"/>
      <x:c r="GY158" s="27"/>
      <x:c r="GZ158" s="27"/>
      <x:c r="HA158" s="27"/>
      <x:c r="HB158" s="27"/>
      <x:c r="HC158" s="27"/>
      <x:c r="HD158" s="27"/>
      <x:c r="HE158" s="27"/>
      <x:c r="HF158" s="27"/>
      <x:c r="HG158" s="27"/>
      <x:c r="HH158" s="27"/>
      <x:c r="HI158" s="27"/>
      <x:c r="HJ158" s="27"/>
      <x:c r="HK158" s="27"/>
      <x:c r="HL158" s="27"/>
      <x:c r="HM158" s="27"/>
      <x:c r="HN158" s="27"/>
      <x:c r="HO158" s="27"/>
      <x:c r="HP158" s="27" t="str">
        <x:f>IF(C158="","",SUM(H158,N158,T158,Z158,AF158,AL158,AR158,AX158,BD158,BJ158,BP158,BV158,CB158,CH158,CN158,CT158,CZ158,DF158,DL158,DR158,DX158,ED158,EJ158,EP158,EV158,FB158,FH158,FN158,FT158,FZ158,GF158,GL158,GR158,GX158,HD158,HJ158))</x:f>
      </x:c>
      <x:c r="HQ158" s="27" t="str">
        <x:f>IF(C158="","",SUM(I158,O158,U158,AA158,AG158,AM158,AS158,AY158,BE158,BK158,BQ158,BW158,CC158,CI158,CO158,CU158,DA158,DG158,DM158,DS158,DY158,EE158,EK158,EQ158,EW158,FC158,FI158,FO158,FU158,GA158,GG158,GM158,GS158,GY158,HE158,HK158))</x:f>
      </x:c>
      <x:c r="HR158" s="27" t="str">
        <x:f>IF(C158="","",SUM(J158,P158,V158,AB158,AH158,AN158,AT158,AZ158,BF158,BL158,BR158,BX158,CD158,CJ158,CP158,CV158,DB158,DH158,DN158,DT158,DZ158,EF158,EL158,ER158,EX158,FD158,FJ158,FP158,FV158,GB158,GH158,GN158,GT158,GZ158,HF158,HL158))</x:f>
      </x:c>
      <x:c r="HS158" s="27" t="str">
        <x:f>IF(C158="","",SUM(K158,Q158,W158,AC158,AI158,AO158,AU158,BA158,BG158,BM158,BS158,BY158,CE158,CK158,CQ158,CW158,DC158,DI158,DO158,DU158,EA158,EG158,EM158,ES158,EY158,FE158,FK158,FQ158,FW158,GC158,GI158,GO158,GU158,HA158,HG158,HM158))</x:f>
      </x:c>
      <x:c r="HT158" s="27" t="str">
        <x:f>IF(C158="","",SUM(L158,R158,X158,AD158,AJ158,AP158,AV158,BB158,BH158,BN158,BT158,BZ158,CF158,CL158,CR158,CX158,DD158,DJ158,DP158,DV158,EB158,EH158,EN158,ET158,EZ158,FF158,FL158,FR158,FX158,GD158,GJ158,GP158,GV158,HB158,HH158,HN158))</x:f>
      </x:c>
      <x:c r="HU158" s="27" t="str">
        <x:f>IF(C158="","",SUM(M158,S158,Y158,AE158,AK158,AQ158,AW158,BC158,BI158,BO158,BU158,CA158,CG158,CM158,CS158,CY158,DE158,DK158,DQ158,DW158,EC158,EI158,EO158,EU158,FA158,FG158,FM158,FS158,FY158,GE158,GK158,GQ158,GW158,HC158,HI158,HO158))</x:f>
      </x:c>
      <x:c r="HV158" s="27" t="str">
        <x:f>IF(C158="","",IF(JI158=LARGE(JI158:JN158,1),"R",IF(JJ158=LARGE(JI158:JN158,1),"I",IF(JK158=LARGE(JI158:JN158,1),"A",IF(JL158=LARGE(JI158:JN158,1),"S",IF(JM158=LARGE(JI158:JN158,1),"E",IF(JN158=LARGE(JI158:JN158,1),"C",""))))))&amp;IF(JI158=LARGE(JI158:JN158,2),"R",IF(JJ158=LARGE(JI158:JN158,2),"I",IF(JK158=LARGE(JI158:JN158,2),"A",IF(JL158=LARGE(JI158:JN158,2),"S",IF(JM158=LARGE(JI158:JN158,2),"E",IF(JN158=LARGE(JI158:JN158,2),"C",""))))))&amp;IF(JI158=LARGE(JI158:JN158,3),"R",IF(JJ158=LARGE(JI158:JN158,3),"I",IF(JK158=LARGE(JI158:JN158,3),"A",IF(JL158=LARGE(JI158:JN158,3),"S",IF(JM158=LARGE(JI158:JN158,3),"E",IF(JN158=LARGE(JI158:JN158,3),"C","")))))))</x:f>
      </x:c>
      <x:c r="HW158" s="27" t="str">
        <x:f>IF(C158="","",IF(JI158=LARGE(JI158:JN158,1),"นักปฏิบัติ",IF(JJ158=LARGE(JI158:JN158,1),"นักคิดวิเคราะห์",IF(JK158=LARGE(JI158:JN158,1),"นักสร้างสรรค์",IF(JL158=LARGE(JI158:JN158,1),"ผู้เข้าใจผู้คน",IF(JM158=LARGE(JI158:JN158,1),"ผู้นำการเปลี่ยนแปลง",IF(JN158=LARGE(JI158:JN158,1),"ผู้จัดระบบ","ผู้จัดระบบ")))))))</x:f>
      </x:c>
      <x:c r="HX158" s="27"/>
      <x:c r="HY158" s="27"/>
      <x:c r="HZ158" s="27"/>
      <x:c r="IA158" s="27"/>
      <x:c r="IB158" s="27"/>
      <x:c r="IC158" s="27"/>
      <x:c r="ID158" s="27"/>
      <x:c r="IE158" s="27"/>
      <x:c r="IF158" s="27"/>
      <x:c r="IG158" s="27"/>
      <x:c r="IH158" s="27"/>
      <x:c r="II158" s="27"/>
      <x:c r="IJ158" s="27"/>
      <x:c r="IK158" s="27" t="str">
        <x:f>IF(C158="","",SUM(H158,N158,T158,Z158,AF158,AL158,AR158,AX158,BD158,BJ158,BP158))</x:f>
      </x:c>
      <x:c r="IL158" s="27" t="str">
        <x:f>IF(C158="","",SUM(I158,O158,U158,AA158,AG158,AM158,AS158,AY158,BE158,BK158,BQ158))</x:f>
      </x:c>
      <x:c r="IM158" s="27" t="str">
        <x:f>IF(C158="","",SUM(J158,P158,V158,AB158,AH158,AN158,AT158,AZ158,BF158,BL158,BR158))</x:f>
      </x:c>
      <x:c r="IN158" s="27" t="str">
        <x:f>IF(C158="","",SUM(K158,Q158,W158,AC158,AI158,AO158,AU158,BA158,BG158,BM158,BS158))</x:f>
      </x:c>
      <x:c r="IO158" s="27" t="str">
        <x:f>IF(C158="","",SUM(L158,R158,X158,AD158,AJ158,AP158,AV158,BB158,BH158,BN158,BT158))</x:f>
      </x:c>
      <x:c r="IP158" s="27" t="str">
        <x:f>IF(C158="","",SUM(M158,S158,Y158,AE158,AK158,AQ158,AW158,BC158,BI158,BO158,BU158))</x:f>
      </x:c>
      <x:c r="IQ158" s="27" t="str">
        <x:f>IF(C158="","",SUM(BV158,CB158,CH158,CN158,CT158,CZ158,DF158,DL158,DR158,DX158,ED158))</x:f>
      </x:c>
      <x:c r="IR158" s="27" t="str">
        <x:f>IF(C158="","",SUM(BW158,CC158,CI158,CO158,CU158,DA158,DG158,DM158,DS158,DY158,EE158))</x:f>
      </x:c>
      <x:c r="IS158" s="27" t="str">
        <x:f>IF(C158="","",SUM(BX158,CD158,CJ158,CP158,CV158,DB158,DH158,DN158,DT158,DZ158,EF158))</x:f>
      </x:c>
      <x:c r="IT158" s="27" t="str">
        <x:f>IF(C158="","",SUM(BY158,CE158,CK158,CQ158,CW158,DC158,DI158,DO158,DU158,EA158,EG158))</x:f>
      </x:c>
      <x:c r="IU158" s="27" t="str">
        <x:f>IF(C158="","",SUM(BZ158,CF158,CL158,CR158,CX158,DD158,DJ158,DP158,DV158,EB158,EH158))</x:f>
      </x:c>
      <x:c r="IV158" s="27" t="str">
        <x:f>IF(C158="","",SUM(CA158,CG158,CM158,CS158,CY158,DE158,DK158,DQ158,DW158,EC158,EI158))</x:f>
      </x:c>
      <x:c r="IW158" s="27" t="str">
        <x:f>IF(C158="","",SUM(EJ158,EP158,EV158,FB158,FH158,FN158,FT158,FZ158,GF158,GL158,GR158,GX158,HD158,HJ158))</x:f>
      </x:c>
      <x:c r="IX158" s="27" t="str">
        <x:f>IF(C158="","",SUM(EK158,EQ158,EW158,FC158,FI158,FO158,FU158,GA158,GG158,GM158,GS158,GY158,HE158,HK158))</x:f>
      </x:c>
      <x:c r="IY158" s="27" t="str">
        <x:f>IF(C158="","",SUM(EL158,ER158,EX158,FD158,FJ158,FP158,FV158,GB158,GH158,GN158,GT158,GZ158,HF158,HL158))</x:f>
      </x:c>
      <x:c r="IZ158" s="27" t="str">
        <x:f>IF(C158="","",SUM(EM158,ES158,EY158,FE158,FK158,FQ158,FW158,GC158,GI158,GO158,GU158,HA158,HG158,HM158))</x:f>
      </x:c>
      <x:c r="JA158" s="27" t="str">
        <x:f>IF(C158="","",SUM(EN158,ET158,EZ158,FF158,FL158,FR158,FX158,GD158,GJ158,GP158,GV158,HB158,HH158,HN158))</x:f>
      </x:c>
      <x:c r="JB158" s="27" t="str">
        <x:f>IF(C158="","",SUM(EO158,EU158,FA158,FG158,FM158,FS158,FY158,GE158,GK158,GQ158,GW158,HC158,HI158,HO158))</x:f>
      </x:c>
      <x:c r="JC158" s="27" t="str">
        <x:f>IF(C158="","",0)</x:f>
      </x:c>
      <x:c r="JD158" s="27" t="str">
        <x:f>IF(C158="","",0)</x:f>
      </x:c>
      <x:c r="JE158" s="27" t="str">
        <x:f>IF(C158="","",0)</x:f>
      </x:c>
      <x:c r="JF158" s="27" t="str">
        <x:f>IF(C158="","",0)</x:f>
      </x:c>
      <x:c r="JG158" s="27" t="str">
        <x:f>IF(C158="","",0)</x:f>
      </x:c>
      <x:c r="JH158" s="27" t="str">
        <x:f>IF(C158="","",0)</x:f>
      </x:c>
      <x:c r="JI158" s="27" t="str">
        <x:f>IF(C158="","",HP158*1000000000+IW158*1000000+IQ158*10000+IK158*100+JC158+6/1000)</x:f>
      </x:c>
      <x:c r="JJ158" s="27" t="str">
        <x:f>IF(C158="","",HQ158*1000000000+IX158*1000000+IR158*10000+IL158*100+JD158+5/1000)</x:f>
      </x:c>
      <x:c r="JK158" s="27" t="str">
        <x:f>IF(C158="","",HR158*1000000000+IY158*1000000+IS158*10000+IM158*100+JE158+4/1000)</x:f>
      </x:c>
      <x:c r="JL158" s="27" t="str">
        <x:f>IF(C158="","",HS158*1000000000+IZ158*1000000+IT158*10000+IN158*100+JF158+3/1000)</x:f>
      </x:c>
      <x:c r="JM158" s="27" t="str">
        <x:f>IF(C158="","",HT158*1000000000+JA158*1000000+IU158*10000+IO158*100+JG158+2/1000)</x:f>
      </x:c>
      <x:c r="JN158" s="27" t="str">
        <x:f>IF(C158="","",HU158*1000000000+JB158*1000000+IV158*10000+IP158*100+JH158+1/1000)</x:f>
      </x:c>
    </x:row>
    <x:row r="159">
      <x:c r="A159" s="27"/>
      <x:c r="B159" s="28"/>
      <x:c r="C159" s="27"/>
      <x:c r="D159" s="27"/>
      <x:c r="E159" s="27"/>
      <x:c r="F159" s="27"/>
      <x:c r="G159" s="27"/>
      <x:c r="H159" s="27"/>
      <x:c r="I159" s="27"/>
      <x:c r="J159" s="27"/>
      <x:c r="K159" s="27"/>
      <x:c r="L159" s="27"/>
      <x:c r="M159" s="27"/>
      <x:c r="N159" s="27"/>
      <x:c r="O159" s="27"/>
      <x:c r="P159" s="27"/>
      <x:c r="Q159" s="27"/>
      <x:c r="R159" s="27"/>
      <x:c r="S159" s="27"/>
      <x:c r="T159" s="27"/>
      <x:c r="U159" s="27"/>
      <x:c r="V159" s="27"/>
      <x:c r="W159" s="27"/>
      <x:c r="X159" s="27"/>
      <x:c r="Y159" s="27"/>
      <x:c r="Z159" s="27"/>
      <x:c r="AA159" s="27"/>
      <x:c r="AB159" s="27"/>
      <x:c r="AC159" s="27"/>
      <x:c r="AD159" s="27"/>
      <x:c r="AE159" s="27"/>
      <x:c r="AF159" s="27"/>
      <x:c r="AG159" s="27"/>
      <x:c r="AH159" s="27"/>
      <x:c r="AI159" s="27"/>
      <x:c r="AJ159" s="27"/>
      <x:c r="AK159" s="27"/>
      <x:c r="AL159" s="27"/>
      <x:c r="AM159" s="27"/>
      <x:c r="AN159" s="27"/>
      <x:c r="AO159" s="27"/>
      <x:c r="AP159" s="27"/>
      <x:c r="AQ159" s="27"/>
      <x:c r="AR159" s="27"/>
      <x:c r="AS159" s="27"/>
      <x:c r="AT159" s="27"/>
      <x:c r="AU159" s="27"/>
      <x:c r="AV159" s="27"/>
      <x:c r="AW159" s="27"/>
      <x:c r="AX159" s="27"/>
      <x:c r="AY159" s="27"/>
      <x:c r="AZ159" s="27"/>
      <x:c r="BA159" s="27"/>
      <x:c r="BB159" s="27"/>
      <x:c r="BC159" s="27"/>
      <x:c r="BD159" s="27"/>
      <x:c r="BE159" s="27"/>
      <x:c r="BF159" s="27"/>
      <x:c r="BG159" s="27"/>
      <x:c r="BH159" s="27"/>
      <x:c r="BI159" s="27"/>
      <x:c r="BJ159" s="27"/>
      <x:c r="BK159" s="27"/>
      <x:c r="BL159" s="27"/>
      <x:c r="BM159" s="27"/>
      <x:c r="BN159" s="27"/>
      <x:c r="BO159" s="27"/>
      <x:c r="BP159" s="27"/>
      <x:c r="BQ159" s="27"/>
      <x:c r="BR159" s="27"/>
      <x:c r="BS159" s="27"/>
      <x:c r="BT159" s="27"/>
      <x:c r="BU159" s="27"/>
      <x:c r="BV159" s="27"/>
      <x:c r="BW159" s="27"/>
      <x:c r="BX159" s="27"/>
      <x:c r="BY159" s="27"/>
      <x:c r="BZ159" s="27"/>
      <x:c r="CA159" s="27"/>
      <x:c r="CB159" s="27"/>
      <x:c r="CC159" s="27"/>
      <x:c r="CD159" s="27"/>
      <x:c r="CE159" s="27"/>
      <x:c r="CF159" s="27"/>
      <x:c r="CG159" s="27"/>
      <x:c r="CH159" s="27"/>
      <x:c r="CI159" s="27"/>
      <x:c r="CJ159" s="27"/>
      <x:c r="CK159" s="27"/>
      <x:c r="CL159" s="27"/>
      <x:c r="CM159" s="27"/>
      <x:c r="CN159" s="27"/>
      <x:c r="CO159" s="27"/>
      <x:c r="CP159" s="27"/>
      <x:c r="CQ159" s="27"/>
      <x:c r="CR159" s="27"/>
      <x:c r="CS159" s="27"/>
      <x:c r="CT159" s="27"/>
      <x:c r="CU159" s="27"/>
      <x:c r="CV159" s="27"/>
      <x:c r="CW159" s="27"/>
      <x:c r="CX159" s="27"/>
      <x:c r="CY159" s="27"/>
      <x:c r="CZ159" s="27"/>
      <x:c r="DA159" s="27"/>
      <x:c r="DB159" s="27"/>
      <x:c r="DC159" s="27"/>
      <x:c r="DD159" s="27"/>
      <x:c r="DE159" s="27"/>
      <x:c r="DF159" s="27"/>
      <x:c r="DG159" s="27"/>
      <x:c r="DH159" s="27"/>
      <x:c r="DI159" s="27"/>
      <x:c r="DJ159" s="27"/>
      <x:c r="DK159" s="27"/>
      <x:c r="DL159" s="27"/>
      <x:c r="DM159" s="27"/>
      <x:c r="DN159" s="27"/>
      <x:c r="DO159" s="27"/>
      <x:c r="DP159" s="27"/>
      <x:c r="DQ159" s="27"/>
      <x:c r="DR159" s="27"/>
      <x:c r="DS159" s="27"/>
      <x:c r="DT159" s="27"/>
      <x:c r="DU159" s="27"/>
      <x:c r="DV159" s="27"/>
      <x:c r="DW159" s="27"/>
      <x:c r="DX159" s="27"/>
      <x:c r="DY159" s="27"/>
      <x:c r="DZ159" s="27"/>
      <x:c r="EA159" s="27"/>
      <x:c r="EB159" s="27"/>
      <x:c r="EC159" s="27"/>
      <x:c r="ED159" s="27"/>
      <x:c r="EE159" s="27"/>
      <x:c r="EF159" s="27"/>
      <x:c r="EG159" s="27"/>
      <x:c r="EH159" s="27"/>
      <x:c r="EI159" s="27"/>
      <x:c r="EJ159" s="27"/>
      <x:c r="EK159" s="27"/>
      <x:c r="EL159" s="27"/>
      <x:c r="EM159" s="27"/>
      <x:c r="EN159" s="27"/>
      <x:c r="EO159" s="27"/>
      <x:c r="EP159" s="27"/>
      <x:c r="EQ159" s="27"/>
      <x:c r="ER159" s="27"/>
      <x:c r="ES159" s="27"/>
      <x:c r="ET159" s="27"/>
      <x:c r="EU159" s="27"/>
      <x:c r="EV159" s="27"/>
      <x:c r="EW159" s="27"/>
      <x:c r="EX159" s="27"/>
      <x:c r="EY159" s="27"/>
      <x:c r="EZ159" s="27"/>
      <x:c r="FA159" s="27"/>
      <x:c r="FB159" s="27"/>
      <x:c r="FC159" s="27"/>
      <x:c r="FD159" s="27"/>
      <x:c r="FE159" s="27"/>
      <x:c r="FF159" s="27"/>
      <x:c r="FG159" s="27"/>
      <x:c r="FH159" s="27"/>
      <x:c r="FI159" s="27"/>
      <x:c r="FJ159" s="27"/>
      <x:c r="FK159" s="27"/>
      <x:c r="FL159" s="27"/>
      <x:c r="FM159" s="27"/>
      <x:c r="FN159" s="27"/>
      <x:c r="FO159" s="27"/>
      <x:c r="FP159" s="27"/>
      <x:c r="FQ159" s="27"/>
      <x:c r="FR159" s="27"/>
      <x:c r="FS159" s="27"/>
      <x:c r="FT159" s="27"/>
      <x:c r="FU159" s="27"/>
      <x:c r="FV159" s="27"/>
      <x:c r="FW159" s="27"/>
      <x:c r="FX159" s="27"/>
      <x:c r="FY159" s="27"/>
      <x:c r="FZ159" s="27"/>
      <x:c r="GA159" s="27"/>
      <x:c r="GB159" s="27"/>
      <x:c r="GC159" s="27"/>
      <x:c r="GD159" s="27"/>
      <x:c r="GE159" s="27"/>
      <x:c r="GF159" s="27"/>
      <x:c r="GG159" s="27"/>
      <x:c r="GH159" s="27"/>
      <x:c r="GI159" s="27"/>
      <x:c r="GJ159" s="27"/>
      <x:c r="GK159" s="27"/>
      <x:c r="GL159" s="27"/>
      <x:c r="GM159" s="27"/>
      <x:c r="GN159" s="27"/>
      <x:c r="GO159" s="27"/>
      <x:c r="GP159" s="27"/>
      <x:c r="GQ159" s="27"/>
      <x:c r="GR159" s="27"/>
      <x:c r="GS159" s="27"/>
      <x:c r="GT159" s="27"/>
      <x:c r="GU159" s="27"/>
      <x:c r="GV159" s="27"/>
      <x:c r="GW159" s="27"/>
      <x:c r="GX159" s="27"/>
      <x:c r="GY159" s="27"/>
      <x:c r="GZ159" s="27"/>
      <x:c r="HA159" s="27"/>
      <x:c r="HB159" s="27"/>
      <x:c r="HC159" s="27"/>
      <x:c r="HD159" s="27"/>
      <x:c r="HE159" s="27"/>
      <x:c r="HF159" s="27"/>
      <x:c r="HG159" s="27"/>
      <x:c r="HH159" s="27"/>
      <x:c r="HI159" s="27"/>
      <x:c r="HJ159" s="27"/>
      <x:c r="HK159" s="27"/>
      <x:c r="HL159" s="27"/>
      <x:c r="HM159" s="27"/>
      <x:c r="HN159" s="27"/>
      <x:c r="HO159" s="27"/>
      <x:c r="HP159" s="27" t="str">
        <x:f>IF(C159="","",SUM(H159,N159,T159,Z159,AF159,AL159,AR159,AX159,BD159,BJ159,BP159,BV159,CB159,CH159,CN159,CT159,CZ159,DF159,DL159,DR159,DX159,ED159,EJ159,EP159,EV159,FB159,FH159,FN159,FT159,FZ159,GF159,GL159,GR159,GX159,HD159,HJ159))</x:f>
      </x:c>
      <x:c r="HQ159" s="27" t="str">
        <x:f>IF(C159="","",SUM(I159,O159,U159,AA159,AG159,AM159,AS159,AY159,BE159,BK159,BQ159,BW159,CC159,CI159,CO159,CU159,DA159,DG159,DM159,DS159,DY159,EE159,EK159,EQ159,EW159,FC159,FI159,FO159,FU159,GA159,GG159,GM159,GS159,GY159,HE159,HK159))</x:f>
      </x:c>
      <x:c r="HR159" s="27" t="str">
        <x:f>IF(C159="","",SUM(J159,P159,V159,AB159,AH159,AN159,AT159,AZ159,BF159,BL159,BR159,BX159,CD159,CJ159,CP159,CV159,DB159,DH159,DN159,DT159,DZ159,EF159,EL159,ER159,EX159,FD159,FJ159,FP159,FV159,GB159,GH159,GN159,GT159,GZ159,HF159,HL159))</x:f>
      </x:c>
      <x:c r="HS159" s="27" t="str">
        <x:f>IF(C159="","",SUM(K159,Q159,W159,AC159,AI159,AO159,AU159,BA159,BG159,BM159,BS159,BY159,CE159,CK159,CQ159,CW159,DC159,DI159,DO159,DU159,EA159,EG159,EM159,ES159,EY159,FE159,FK159,FQ159,FW159,GC159,GI159,GO159,GU159,HA159,HG159,HM159))</x:f>
      </x:c>
      <x:c r="HT159" s="27" t="str">
        <x:f>IF(C159="","",SUM(L159,R159,X159,AD159,AJ159,AP159,AV159,BB159,BH159,BN159,BT159,BZ159,CF159,CL159,CR159,CX159,DD159,DJ159,DP159,DV159,EB159,EH159,EN159,ET159,EZ159,FF159,FL159,FR159,FX159,GD159,GJ159,GP159,GV159,HB159,HH159,HN159))</x:f>
      </x:c>
      <x:c r="HU159" s="27" t="str">
        <x:f>IF(C159="","",SUM(M159,S159,Y159,AE159,AK159,AQ159,AW159,BC159,BI159,BO159,BU159,CA159,CG159,CM159,CS159,CY159,DE159,DK159,DQ159,DW159,EC159,EI159,EO159,EU159,FA159,FG159,FM159,FS159,FY159,GE159,GK159,GQ159,GW159,HC159,HI159,HO159))</x:f>
      </x:c>
      <x:c r="HV159" s="27" t="str">
        <x:f>IF(C159="","",IF(JI159=LARGE(JI159:JN159,1),"R",IF(JJ159=LARGE(JI159:JN159,1),"I",IF(JK159=LARGE(JI159:JN159,1),"A",IF(JL159=LARGE(JI159:JN159,1),"S",IF(JM159=LARGE(JI159:JN159,1),"E",IF(JN159=LARGE(JI159:JN159,1),"C",""))))))&amp;IF(JI159=LARGE(JI159:JN159,2),"R",IF(JJ159=LARGE(JI159:JN159,2),"I",IF(JK159=LARGE(JI159:JN159,2),"A",IF(JL159=LARGE(JI159:JN159,2),"S",IF(JM159=LARGE(JI159:JN159,2),"E",IF(JN159=LARGE(JI159:JN159,2),"C",""))))))&amp;IF(JI159=LARGE(JI159:JN159,3),"R",IF(JJ159=LARGE(JI159:JN159,3),"I",IF(JK159=LARGE(JI159:JN159,3),"A",IF(JL159=LARGE(JI159:JN159,3),"S",IF(JM159=LARGE(JI159:JN159,3),"E",IF(JN159=LARGE(JI159:JN159,3),"C","")))))))</x:f>
      </x:c>
      <x:c r="HW159" s="27" t="str">
        <x:f>IF(C159="","",IF(JI159=LARGE(JI159:JN159,1),"นักปฏิบัติ",IF(JJ159=LARGE(JI159:JN159,1),"นักคิดวิเคราะห์",IF(JK159=LARGE(JI159:JN159,1),"นักสร้างสรรค์",IF(JL159=LARGE(JI159:JN159,1),"ผู้เข้าใจผู้คน",IF(JM159=LARGE(JI159:JN159,1),"ผู้นำการเปลี่ยนแปลง",IF(JN159=LARGE(JI159:JN159,1),"ผู้จัดระบบ","ผู้จัดระบบ")))))))</x:f>
      </x:c>
      <x:c r="HX159" s="27"/>
      <x:c r="HY159" s="27"/>
      <x:c r="HZ159" s="27"/>
      <x:c r="IA159" s="27"/>
      <x:c r="IB159" s="27"/>
      <x:c r="IC159" s="27"/>
      <x:c r="ID159" s="27"/>
      <x:c r="IE159" s="27"/>
      <x:c r="IF159" s="27"/>
      <x:c r="IG159" s="27"/>
      <x:c r="IH159" s="27"/>
      <x:c r="II159" s="27"/>
      <x:c r="IJ159" s="27"/>
      <x:c r="IK159" s="27" t="str">
        <x:f>IF(C159="","",SUM(H159,N159,T159,Z159,AF159,AL159,AR159,AX159,BD159,BJ159,BP159))</x:f>
      </x:c>
      <x:c r="IL159" s="27" t="str">
        <x:f>IF(C159="","",SUM(I159,O159,U159,AA159,AG159,AM159,AS159,AY159,BE159,BK159,BQ159))</x:f>
      </x:c>
      <x:c r="IM159" s="27" t="str">
        <x:f>IF(C159="","",SUM(J159,P159,V159,AB159,AH159,AN159,AT159,AZ159,BF159,BL159,BR159))</x:f>
      </x:c>
      <x:c r="IN159" s="27" t="str">
        <x:f>IF(C159="","",SUM(K159,Q159,W159,AC159,AI159,AO159,AU159,BA159,BG159,BM159,BS159))</x:f>
      </x:c>
      <x:c r="IO159" s="27" t="str">
        <x:f>IF(C159="","",SUM(L159,R159,X159,AD159,AJ159,AP159,AV159,BB159,BH159,BN159,BT159))</x:f>
      </x:c>
      <x:c r="IP159" s="27" t="str">
        <x:f>IF(C159="","",SUM(M159,S159,Y159,AE159,AK159,AQ159,AW159,BC159,BI159,BO159,BU159))</x:f>
      </x:c>
      <x:c r="IQ159" s="27" t="str">
        <x:f>IF(C159="","",SUM(BV159,CB159,CH159,CN159,CT159,CZ159,DF159,DL159,DR159,DX159,ED159))</x:f>
      </x:c>
      <x:c r="IR159" s="27" t="str">
        <x:f>IF(C159="","",SUM(BW159,CC159,CI159,CO159,CU159,DA159,DG159,DM159,DS159,DY159,EE159))</x:f>
      </x:c>
      <x:c r="IS159" s="27" t="str">
        <x:f>IF(C159="","",SUM(BX159,CD159,CJ159,CP159,CV159,DB159,DH159,DN159,DT159,DZ159,EF159))</x:f>
      </x:c>
      <x:c r="IT159" s="27" t="str">
        <x:f>IF(C159="","",SUM(BY159,CE159,CK159,CQ159,CW159,DC159,DI159,DO159,DU159,EA159,EG159))</x:f>
      </x:c>
      <x:c r="IU159" s="27" t="str">
        <x:f>IF(C159="","",SUM(BZ159,CF159,CL159,CR159,CX159,DD159,DJ159,DP159,DV159,EB159,EH159))</x:f>
      </x:c>
      <x:c r="IV159" s="27" t="str">
        <x:f>IF(C159="","",SUM(CA159,CG159,CM159,CS159,CY159,DE159,DK159,DQ159,DW159,EC159,EI159))</x:f>
      </x:c>
      <x:c r="IW159" s="27" t="str">
        <x:f>IF(C159="","",SUM(EJ159,EP159,EV159,FB159,FH159,FN159,FT159,FZ159,GF159,GL159,GR159,GX159,HD159,HJ159))</x:f>
      </x:c>
      <x:c r="IX159" s="27" t="str">
        <x:f>IF(C159="","",SUM(EK159,EQ159,EW159,FC159,FI159,FO159,FU159,GA159,GG159,GM159,GS159,GY159,HE159,HK159))</x:f>
      </x:c>
      <x:c r="IY159" s="27" t="str">
        <x:f>IF(C159="","",SUM(EL159,ER159,EX159,FD159,FJ159,FP159,FV159,GB159,GH159,GN159,GT159,GZ159,HF159,HL159))</x:f>
      </x:c>
      <x:c r="IZ159" s="27" t="str">
        <x:f>IF(C159="","",SUM(EM159,ES159,EY159,FE159,FK159,FQ159,FW159,GC159,GI159,GO159,GU159,HA159,HG159,HM159))</x:f>
      </x:c>
      <x:c r="JA159" s="27" t="str">
        <x:f>IF(C159="","",SUM(EN159,ET159,EZ159,FF159,FL159,FR159,FX159,GD159,GJ159,GP159,GV159,HB159,HH159,HN159))</x:f>
      </x:c>
      <x:c r="JB159" s="27" t="str">
        <x:f>IF(C159="","",SUM(EO159,EU159,FA159,FG159,FM159,FS159,FY159,GE159,GK159,GQ159,GW159,HC159,HI159,HO159))</x:f>
      </x:c>
      <x:c r="JC159" s="27" t="str">
        <x:f>IF(C159="","",0)</x:f>
      </x:c>
      <x:c r="JD159" s="27" t="str">
        <x:f>IF(C159="","",0)</x:f>
      </x:c>
      <x:c r="JE159" s="27" t="str">
        <x:f>IF(C159="","",0)</x:f>
      </x:c>
      <x:c r="JF159" s="27" t="str">
        <x:f>IF(C159="","",0)</x:f>
      </x:c>
      <x:c r="JG159" s="27" t="str">
        <x:f>IF(C159="","",0)</x:f>
      </x:c>
      <x:c r="JH159" s="27" t="str">
        <x:f>IF(C159="","",0)</x:f>
      </x:c>
      <x:c r="JI159" s="27" t="str">
        <x:f>IF(C159="","",HP159*1000000000+IW159*1000000+IQ159*10000+IK159*100+JC159+6/1000)</x:f>
      </x:c>
      <x:c r="JJ159" s="27" t="str">
        <x:f>IF(C159="","",HQ159*1000000000+IX159*1000000+IR159*10000+IL159*100+JD159+5/1000)</x:f>
      </x:c>
      <x:c r="JK159" s="27" t="str">
        <x:f>IF(C159="","",HR159*1000000000+IY159*1000000+IS159*10000+IM159*100+JE159+4/1000)</x:f>
      </x:c>
      <x:c r="JL159" s="27" t="str">
        <x:f>IF(C159="","",HS159*1000000000+IZ159*1000000+IT159*10000+IN159*100+JF159+3/1000)</x:f>
      </x:c>
      <x:c r="JM159" s="27" t="str">
        <x:f>IF(C159="","",HT159*1000000000+JA159*1000000+IU159*10000+IO159*100+JG159+2/1000)</x:f>
      </x:c>
      <x:c r="JN159" s="27" t="str">
        <x:f>IF(C159="","",HU159*1000000000+JB159*1000000+IV159*10000+IP159*100+JH159+1/1000)</x:f>
      </x:c>
    </x:row>
    <x:row r="160">
      <x:c r="A160" s="27"/>
      <x:c r="B160" s="28"/>
      <x:c r="C160" s="27"/>
      <x:c r="D160" s="27"/>
      <x:c r="E160" s="27"/>
      <x:c r="F160" s="27"/>
      <x:c r="G160" s="27"/>
      <x:c r="H160" s="27"/>
      <x:c r="I160" s="27"/>
      <x:c r="J160" s="27"/>
      <x:c r="K160" s="27"/>
      <x:c r="L160" s="27"/>
      <x:c r="M160" s="27"/>
      <x:c r="N160" s="27"/>
      <x:c r="O160" s="27"/>
      <x:c r="P160" s="27"/>
      <x:c r="Q160" s="27"/>
      <x:c r="R160" s="27"/>
      <x:c r="S160" s="27"/>
      <x:c r="T160" s="27"/>
      <x:c r="U160" s="27"/>
      <x:c r="V160" s="27"/>
      <x:c r="W160" s="27"/>
      <x:c r="X160" s="27"/>
      <x:c r="Y160" s="27"/>
      <x:c r="Z160" s="27"/>
      <x:c r="AA160" s="27"/>
      <x:c r="AB160" s="27"/>
      <x:c r="AC160" s="27"/>
      <x:c r="AD160" s="27"/>
      <x:c r="AE160" s="27"/>
      <x:c r="AF160" s="27"/>
      <x:c r="AG160" s="27"/>
      <x:c r="AH160" s="27"/>
      <x:c r="AI160" s="27"/>
      <x:c r="AJ160" s="27"/>
      <x:c r="AK160" s="27"/>
      <x:c r="AL160" s="27"/>
      <x:c r="AM160" s="27"/>
      <x:c r="AN160" s="27"/>
      <x:c r="AO160" s="27"/>
      <x:c r="AP160" s="27"/>
      <x:c r="AQ160" s="27"/>
      <x:c r="AR160" s="27"/>
      <x:c r="AS160" s="27"/>
      <x:c r="AT160" s="27"/>
      <x:c r="AU160" s="27"/>
      <x:c r="AV160" s="27"/>
      <x:c r="AW160" s="27"/>
      <x:c r="AX160" s="27"/>
      <x:c r="AY160" s="27"/>
      <x:c r="AZ160" s="27"/>
      <x:c r="BA160" s="27"/>
      <x:c r="BB160" s="27"/>
      <x:c r="BC160" s="27"/>
      <x:c r="BD160" s="27"/>
      <x:c r="BE160" s="27"/>
      <x:c r="BF160" s="27"/>
      <x:c r="BG160" s="27"/>
      <x:c r="BH160" s="27"/>
      <x:c r="BI160" s="27"/>
      <x:c r="BJ160" s="27"/>
      <x:c r="BK160" s="27"/>
      <x:c r="BL160" s="27"/>
      <x:c r="BM160" s="27"/>
      <x:c r="BN160" s="27"/>
      <x:c r="BO160" s="27"/>
      <x:c r="BP160" s="27"/>
      <x:c r="BQ160" s="27"/>
      <x:c r="BR160" s="27"/>
      <x:c r="BS160" s="27"/>
      <x:c r="BT160" s="27"/>
      <x:c r="BU160" s="27"/>
      <x:c r="BV160" s="27"/>
      <x:c r="BW160" s="27"/>
      <x:c r="BX160" s="27"/>
      <x:c r="BY160" s="27"/>
      <x:c r="BZ160" s="27"/>
      <x:c r="CA160" s="27"/>
      <x:c r="CB160" s="27"/>
      <x:c r="CC160" s="27"/>
      <x:c r="CD160" s="27"/>
      <x:c r="CE160" s="27"/>
      <x:c r="CF160" s="27"/>
      <x:c r="CG160" s="27"/>
      <x:c r="CH160" s="27"/>
      <x:c r="CI160" s="27"/>
      <x:c r="CJ160" s="27"/>
      <x:c r="CK160" s="27"/>
      <x:c r="CL160" s="27"/>
      <x:c r="CM160" s="27"/>
      <x:c r="CN160" s="27"/>
      <x:c r="CO160" s="27"/>
      <x:c r="CP160" s="27"/>
      <x:c r="CQ160" s="27"/>
      <x:c r="CR160" s="27"/>
      <x:c r="CS160" s="27"/>
      <x:c r="CT160" s="27"/>
      <x:c r="CU160" s="27"/>
      <x:c r="CV160" s="27"/>
      <x:c r="CW160" s="27"/>
      <x:c r="CX160" s="27"/>
      <x:c r="CY160" s="27"/>
      <x:c r="CZ160" s="27"/>
      <x:c r="DA160" s="27"/>
      <x:c r="DB160" s="27"/>
      <x:c r="DC160" s="27"/>
      <x:c r="DD160" s="27"/>
      <x:c r="DE160" s="27"/>
      <x:c r="DF160" s="27"/>
      <x:c r="DG160" s="27"/>
      <x:c r="DH160" s="27"/>
      <x:c r="DI160" s="27"/>
      <x:c r="DJ160" s="27"/>
      <x:c r="DK160" s="27"/>
      <x:c r="DL160" s="27"/>
      <x:c r="DM160" s="27"/>
      <x:c r="DN160" s="27"/>
      <x:c r="DO160" s="27"/>
      <x:c r="DP160" s="27"/>
      <x:c r="DQ160" s="27"/>
      <x:c r="DR160" s="27"/>
      <x:c r="DS160" s="27"/>
      <x:c r="DT160" s="27"/>
      <x:c r="DU160" s="27"/>
      <x:c r="DV160" s="27"/>
      <x:c r="DW160" s="27"/>
      <x:c r="DX160" s="27"/>
      <x:c r="DY160" s="27"/>
      <x:c r="DZ160" s="27"/>
      <x:c r="EA160" s="27"/>
      <x:c r="EB160" s="27"/>
      <x:c r="EC160" s="27"/>
      <x:c r="ED160" s="27"/>
      <x:c r="EE160" s="27"/>
      <x:c r="EF160" s="27"/>
      <x:c r="EG160" s="27"/>
      <x:c r="EH160" s="27"/>
      <x:c r="EI160" s="27"/>
      <x:c r="EJ160" s="27"/>
      <x:c r="EK160" s="27"/>
      <x:c r="EL160" s="27"/>
      <x:c r="EM160" s="27"/>
      <x:c r="EN160" s="27"/>
      <x:c r="EO160" s="27"/>
      <x:c r="EP160" s="27"/>
      <x:c r="EQ160" s="27"/>
      <x:c r="ER160" s="27"/>
      <x:c r="ES160" s="27"/>
      <x:c r="ET160" s="27"/>
      <x:c r="EU160" s="27"/>
      <x:c r="EV160" s="27"/>
      <x:c r="EW160" s="27"/>
      <x:c r="EX160" s="27"/>
      <x:c r="EY160" s="27"/>
      <x:c r="EZ160" s="27"/>
      <x:c r="FA160" s="27"/>
      <x:c r="FB160" s="27"/>
      <x:c r="FC160" s="27"/>
      <x:c r="FD160" s="27"/>
      <x:c r="FE160" s="27"/>
      <x:c r="FF160" s="27"/>
      <x:c r="FG160" s="27"/>
      <x:c r="FH160" s="27"/>
      <x:c r="FI160" s="27"/>
      <x:c r="FJ160" s="27"/>
      <x:c r="FK160" s="27"/>
      <x:c r="FL160" s="27"/>
      <x:c r="FM160" s="27"/>
      <x:c r="FN160" s="27"/>
      <x:c r="FO160" s="27"/>
      <x:c r="FP160" s="27"/>
      <x:c r="FQ160" s="27"/>
      <x:c r="FR160" s="27"/>
      <x:c r="FS160" s="27"/>
      <x:c r="FT160" s="27"/>
      <x:c r="FU160" s="27"/>
      <x:c r="FV160" s="27"/>
      <x:c r="FW160" s="27"/>
      <x:c r="FX160" s="27"/>
      <x:c r="FY160" s="27"/>
      <x:c r="FZ160" s="27"/>
      <x:c r="GA160" s="27"/>
      <x:c r="GB160" s="27"/>
      <x:c r="GC160" s="27"/>
      <x:c r="GD160" s="27"/>
      <x:c r="GE160" s="27"/>
      <x:c r="GF160" s="27"/>
      <x:c r="GG160" s="27"/>
      <x:c r="GH160" s="27"/>
      <x:c r="GI160" s="27"/>
      <x:c r="GJ160" s="27"/>
      <x:c r="GK160" s="27"/>
      <x:c r="GL160" s="27"/>
      <x:c r="GM160" s="27"/>
      <x:c r="GN160" s="27"/>
      <x:c r="GO160" s="27"/>
      <x:c r="GP160" s="27"/>
      <x:c r="GQ160" s="27"/>
      <x:c r="GR160" s="27"/>
      <x:c r="GS160" s="27"/>
      <x:c r="GT160" s="27"/>
      <x:c r="GU160" s="27"/>
      <x:c r="GV160" s="27"/>
      <x:c r="GW160" s="27"/>
      <x:c r="GX160" s="27"/>
      <x:c r="GY160" s="27"/>
      <x:c r="GZ160" s="27"/>
      <x:c r="HA160" s="27"/>
      <x:c r="HB160" s="27"/>
      <x:c r="HC160" s="27"/>
      <x:c r="HD160" s="27"/>
      <x:c r="HE160" s="27"/>
      <x:c r="HF160" s="27"/>
      <x:c r="HG160" s="27"/>
      <x:c r="HH160" s="27"/>
      <x:c r="HI160" s="27"/>
      <x:c r="HJ160" s="27"/>
      <x:c r="HK160" s="27"/>
      <x:c r="HL160" s="27"/>
      <x:c r="HM160" s="27"/>
      <x:c r="HN160" s="27"/>
      <x:c r="HO160" s="27"/>
      <x:c r="HP160" s="27" t="str">
        <x:f>IF(C160="","",SUM(H160,N160,T160,Z160,AF160,AL160,AR160,AX160,BD160,BJ160,BP160,BV160,CB160,CH160,CN160,CT160,CZ160,DF160,DL160,DR160,DX160,ED160,EJ160,EP160,EV160,FB160,FH160,FN160,FT160,FZ160,GF160,GL160,GR160,GX160,HD160,HJ160))</x:f>
      </x:c>
      <x:c r="HQ160" s="27" t="str">
        <x:f>IF(C160="","",SUM(I160,O160,U160,AA160,AG160,AM160,AS160,AY160,BE160,BK160,BQ160,BW160,CC160,CI160,CO160,CU160,DA160,DG160,DM160,DS160,DY160,EE160,EK160,EQ160,EW160,FC160,FI160,FO160,FU160,GA160,GG160,GM160,GS160,GY160,HE160,HK160))</x:f>
      </x:c>
      <x:c r="HR160" s="27" t="str">
        <x:f>IF(C160="","",SUM(J160,P160,V160,AB160,AH160,AN160,AT160,AZ160,BF160,BL160,BR160,BX160,CD160,CJ160,CP160,CV160,DB160,DH160,DN160,DT160,DZ160,EF160,EL160,ER160,EX160,FD160,FJ160,FP160,FV160,GB160,GH160,GN160,GT160,GZ160,HF160,HL160))</x:f>
      </x:c>
      <x:c r="HS160" s="27" t="str">
        <x:f>IF(C160="","",SUM(K160,Q160,W160,AC160,AI160,AO160,AU160,BA160,BG160,BM160,BS160,BY160,CE160,CK160,CQ160,CW160,DC160,DI160,DO160,DU160,EA160,EG160,EM160,ES160,EY160,FE160,FK160,FQ160,FW160,GC160,GI160,GO160,GU160,HA160,HG160,HM160))</x:f>
      </x:c>
      <x:c r="HT160" s="27" t="str">
        <x:f>IF(C160="","",SUM(L160,R160,X160,AD160,AJ160,AP160,AV160,BB160,BH160,BN160,BT160,BZ160,CF160,CL160,CR160,CX160,DD160,DJ160,DP160,DV160,EB160,EH160,EN160,ET160,EZ160,FF160,FL160,FR160,FX160,GD160,GJ160,GP160,GV160,HB160,HH160,HN160))</x:f>
      </x:c>
      <x:c r="HU160" s="27" t="str">
        <x:f>IF(C160="","",SUM(M160,S160,Y160,AE160,AK160,AQ160,AW160,BC160,BI160,BO160,BU160,CA160,CG160,CM160,CS160,CY160,DE160,DK160,DQ160,DW160,EC160,EI160,EO160,EU160,FA160,FG160,FM160,FS160,FY160,GE160,GK160,GQ160,GW160,HC160,HI160,HO160))</x:f>
      </x:c>
      <x:c r="HV160" s="27" t="str">
        <x:f>IF(C160="","",IF(JI160=LARGE(JI160:JN160,1),"R",IF(JJ160=LARGE(JI160:JN160,1),"I",IF(JK160=LARGE(JI160:JN160,1),"A",IF(JL160=LARGE(JI160:JN160,1),"S",IF(JM160=LARGE(JI160:JN160,1),"E",IF(JN160=LARGE(JI160:JN160,1),"C",""))))))&amp;IF(JI160=LARGE(JI160:JN160,2),"R",IF(JJ160=LARGE(JI160:JN160,2),"I",IF(JK160=LARGE(JI160:JN160,2),"A",IF(JL160=LARGE(JI160:JN160,2),"S",IF(JM160=LARGE(JI160:JN160,2),"E",IF(JN160=LARGE(JI160:JN160,2),"C",""))))))&amp;IF(JI160=LARGE(JI160:JN160,3),"R",IF(JJ160=LARGE(JI160:JN160,3),"I",IF(JK160=LARGE(JI160:JN160,3),"A",IF(JL160=LARGE(JI160:JN160,3),"S",IF(JM160=LARGE(JI160:JN160,3),"E",IF(JN160=LARGE(JI160:JN160,3),"C","")))))))</x:f>
      </x:c>
      <x:c r="HW160" s="27" t="str">
        <x:f>IF(C160="","",IF(JI160=LARGE(JI160:JN160,1),"นักปฏิบัติ",IF(JJ160=LARGE(JI160:JN160,1),"นักคิดวิเคราะห์",IF(JK160=LARGE(JI160:JN160,1),"นักสร้างสรรค์",IF(JL160=LARGE(JI160:JN160,1),"ผู้เข้าใจผู้คน",IF(JM160=LARGE(JI160:JN160,1),"ผู้นำการเปลี่ยนแปลง",IF(JN160=LARGE(JI160:JN160,1),"ผู้จัดระบบ","ผู้จัดระบบ")))))))</x:f>
      </x:c>
      <x:c r="HX160" s="27"/>
      <x:c r="HY160" s="27"/>
      <x:c r="HZ160" s="27"/>
      <x:c r="IA160" s="27"/>
      <x:c r="IB160" s="27"/>
      <x:c r="IC160" s="27"/>
      <x:c r="ID160" s="27"/>
      <x:c r="IE160" s="27"/>
      <x:c r="IF160" s="27"/>
      <x:c r="IG160" s="27"/>
      <x:c r="IH160" s="27"/>
      <x:c r="II160" s="27"/>
      <x:c r="IJ160" s="27"/>
      <x:c r="IK160" s="27" t="str">
        <x:f>IF(C160="","",SUM(H160,N160,T160,Z160,AF160,AL160,AR160,AX160,BD160,BJ160,BP160))</x:f>
      </x:c>
      <x:c r="IL160" s="27" t="str">
        <x:f>IF(C160="","",SUM(I160,O160,U160,AA160,AG160,AM160,AS160,AY160,BE160,BK160,BQ160))</x:f>
      </x:c>
      <x:c r="IM160" s="27" t="str">
        <x:f>IF(C160="","",SUM(J160,P160,V160,AB160,AH160,AN160,AT160,AZ160,BF160,BL160,BR160))</x:f>
      </x:c>
      <x:c r="IN160" s="27" t="str">
        <x:f>IF(C160="","",SUM(K160,Q160,W160,AC160,AI160,AO160,AU160,BA160,BG160,BM160,BS160))</x:f>
      </x:c>
      <x:c r="IO160" s="27" t="str">
        <x:f>IF(C160="","",SUM(L160,R160,X160,AD160,AJ160,AP160,AV160,BB160,BH160,BN160,BT160))</x:f>
      </x:c>
      <x:c r="IP160" s="27" t="str">
        <x:f>IF(C160="","",SUM(M160,S160,Y160,AE160,AK160,AQ160,AW160,BC160,BI160,BO160,BU160))</x:f>
      </x:c>
      <x:c r="IQ160" s="27" t="str">
        <x:f>IF(C160="","",SUM(BV160,CB160,CH160,CN160,CT160,CZ160,DF160,DL160,DR160,DX160,ED160))</x:f>
      </x:c>
      <x:c r="IR160" s="27" t="str">
        <x:f>IF(C160="","",SUM(BW160,CC160,CI160,CO160,CU160,DA160,DG160,DM160,DS160,DY160,EE160))</x:f>
      </x:c>
      <x:c r="IS160" s="27" t="str">
        <x:f>IF(C160="","",SUM(BX160,CD160,CJ160,CP160,CV160,DB160,DH160,DN160,DT160,DZ160,EF160))</x:f>
      </x:c>
      <x:c r="IT160" s="27" t="str">
        <x:f>IF(C160="","",SUM(BY160,CE160,CK160,CQ160,CW160,DC160,DI160,DO160,DU160,EA160,EG160))</x:f>
      </x:c>
      <x:c r="IU160" s="27" t="str">
        <x:f>IF(C160="","",SUM(BZ160,CF160,CL160,CR160,CX160,DD160,DJ160,DP160,DV160,EB160,EH160))</x:f>
      </x:c>
      <x:c r="IV160" s="27" t="str">
        <x:f>IF(C160="","",SUM(CA160,CG160,CM160,CS160,CY160,DE160,DK160,DQ160,DW160,EC160,EI160))</x:f>
      </x:c>
      <x:c r="IW160" s="27" t="str">
        <x:f>IF(C160="","",SUM(EJ160,EP160,EV160,FB160,FH160,FN160,FT160,FZ160,GF160,GL160,GR160,GX160,HD160,HJ160))</x:f>
      </x:c>
      <x:c r="IX160" s="27" t="str">
        <x:f>IF(C160="","",SUM(EK160,EQ160,EW160,FC160,FI160,FO160,FU160,GA160,GG160,GM160,GS160,GY160,HE160,HK160))</x:f>
      </x:c>
      <x:c r="IY160" s="27" t="str">
        <x:f>IF(C160="","",SUM(EL160,ER160,EX160,FD160,FJ160,FP160,FV160,GB160,GH160,GN160,GT160,GZ160,HF160,HL160))</x:f>
      </x:c>
      <x:c r="IZ160" s="27" t="str">
        <x:f>IF(C160="","",SUM(EM160,ES160,EY160,FE160,FK160,FQ160,FW160,GC160,GI160,GO160,GU160,HA160,HG160,HM160))</x:f>
      </x:c>
      <x:c r="JA160" s="27" t="str">
        <x:f>IF(C160="","",SUM(EN160,ET160,EZ160,FF160,FL160,FR160,FX160,GD160,GJ160,GP160,GV160,HB160,HH160,HN160))</x:f>
      </x:c>
      <x:c r="JB160" s="27" t="str">
        <x:f>IF(C160="","",SUM(EO160,EU160,FA160,FG160,FM160,FS160,FY160,GE160,GK160,GQ160,GW160,HC160,HI160,HO160))</x:f>
      </x:c>
      <x:c r="JC160" s="27" t="str">
        <x:f>IF(C160="","",0)</x:f>
      </x:c>
      <x:c r="JD160" s="27" t="str">
        <x:f>IF(C160="","",0)</x:f>
      </x:c>
      <x:c r="JE160" s="27" t="str">
        <x:f>IF(C160="","",0)</x:f>
      </x:c>
      <x:c r="JF160" s="27" t="str">
        <x:f>IF(C160="","",0)</x:f>
      </x:c>
      <x:c r="JG160" s="27" t="str">
        <x:f>IF(C160="","",0)</x:f>
      </x:c>
      <x:c r="JH160" s="27" t="str">
        <x:f>IF(C160="","",0)</x:f>
      </x:c>
      <x:c r="JI160" s="27" t="str">
        <x:f>IF(C160="","",HP160*1000000000+IW160*1000000+IQ160*10000+IK160*100+JC160+6/1000)</x:f>
      </x:c>
      <x:c r="JJ160" s="27" t="str">
        <x:f>IF(C160="","",HQ160*1000000000+IX160*1000000+IR160*10000+IL160*100+JD160+5/1000)</x:f>
      </x:c>
      <x:c r="JK160" s="27" t="str">
        <x:f>IF(C160="","",HR160*1000000000+IY160*1000000+IS160*10000+IM160*100+JE160+4/1000)</x:f>
      </x:c>
      <x:c r="JL160" s="27" t="str">
        <x:f>IF(C160="","",HS160*1000000000+IZ160*1000000+IT160*10000+IN160*100+JF160+3/1000)</x:f>
      </x:c>
      <x:c r="JM160" s="27" t="str">
        <x:f>IF(C160="","",HT160*1000000000+JA160*1000000+IU160*10000+IO160*100+JG160+2/1000)</x:f>
      </x:c>
      <x:c r="JN160" s="27" t="str">
        <x:f>IF(C160="","",HU160*1000000000+JB160*1000000+IV160*10000+IP160*100+JH160+1/1000)</x:f>
      </x:c>
    </x:row>
    <x:row r="161">
      <x:c r="A161" s="27"/>
      <x:c r="B161" s="28"/>
      <x:c r="C161" s="27"/>
      <x:c r="D161" s="27"/>
      <x:c r="E161" s="27"/>
      <x:c r="F161" s="27"/>
      <x:c r="G161" s="27"/>
      <x:c r="H161" s="27"/>
      <x:c r="I161" s="27"/>
      <x:c r="J161" s="27"/>
      <x:c r="K161" s="27"/>
      <x:c r="L161" s="27"/>
      <x:c r="M161" s="27"/>
      <x:c r="N161" s="27"/>
      <x:c r="O161" s="27"/>
      <x:c r="P161" s="27"/>
      <x:c r="Q161" s="27"/>
      <x:c r="R161" s="27"/>
      <x:c r="S161" s="27"/>
      <x:c r="T161" s="27"/>
      <x:c r="U161" s="27"/>
      <x:c r="V161" s="27"/>
      <x:c r="W161" s="27"/>
      <x:c r="X161" s="27"/>
      <x:c r="Y161" s="27"/>
      <x:c r="Z161" s="27"/>
      <x:c r="AA161" s="27"/>
      <x:c r="AB161" s="27"/>
      <x:c r="AC161" s="27"/>
      <x:c r="AD161" s="27"/>
      <x:c r="AE161" s="27"/>
      <x:c r="AF161" s="27"/>
      <x:c r="AG161" s="27"/>
      <x:c r="AH161" s="27"/>
      <x:c r="AI161" s="27"/>
      <x:c r="AJ161" s="27"/>
      <x:c r="AK161" s="27"/>
      <x:c r="AL161" s="27"/>
      <x:c r="AM161" s="27"/>
      <x:c r="AN161" s="27"/>
      <x:c r="AO161" s="27"/>
      <x:c r="AP161" s="27"/>
      <x:c r="AQ161" s="27"/>
      <x:c r="AR161" s="27"/>
      <x:c r="AS161" s="27"/>
      <x:c r="AT161" s="27"/>
      <x:c r="AU161" s="27"/>
      <x:c r="AV161" s="27"/>
      <x:c r="AW161" s="27"/>
      <x:c r="AX161" s="27"/>
      <x:c r="AY161" s="27"/>
      <x:c r="AZ161" s="27"/>
      <x:c r="BA161" s="27"/>
      <x:c r="BB161" s="27"/>
      <x:c r="BC161" s="27"/>
      <x:c r="BD161" s="27"/>
      <x:c r="BE161" s="27"/>
      <x:c r="BF161" s="27"/>
      <x:c r="BG161" s="27"/>
      <x:c r="BH161" s="27"/>
      <x:c r="BI161" s="27"/>
      <x:c r="BJ161" s="27"/>
      <x:c r="BK161" s="27"/>
      <x:c r="BL161" s="27"/>
      <x:c r="BM161" s="27"/>
      <x:c r="BN161" s="27"/>
      <x:c r="BO161" s="27"/>
      <x:c r="BP161" s="27"/>
      <x:c r="BQ161" s="27"/>
      <x:c r="BR161" s="27"/>
      <x:c r="BS161" s="27"/>
      <x:c r="BT161" s="27"/>
      <x:c r="BU161" s="27"/>
      <x:c r="BV161" s="27"/>
      <x:c r="BW161" s="27"/>
      <x:c r="BX161" s="27"/>
      <x:c r="BY161" s="27"/>
      <x:c r="BZ161" s="27"/>
      <x:c r="CA161" s="27"/>
      <x:c r="CB161" s="27"/>
      <x:c r="CC161" s="27"/>
      <x:c r="CD161" s="27"/>
      <x:c r="CE161" s="27"/>
      <x:c r="CF161" s="27"/>
      <x:c r="CG161" s="27"/>
      <x:c r="CH161" s="27"/>
      <x:c r="CI161" s="27"/>
      <x:c r="CJ161" s="27"/>
      <x:c r="CK161" s="27"/>
      <x:c r="CL161" s="27"/>
      <x:c r="CM161" s="27"/>
      <x:c r="CN161" s="27"/>
      <x:c r="CO161" s="27"/>
      <x:c r="CP161" s="27"/>
      <x:c r="CQ161" s="27"/>
      <x:c r="CR161" s="27"/>
      <x:c r="CS161" s="27"/>
      <x:c r="CT161" s="27"/>
      <x:c r="CU161" s="27"/>
      <x:c r="CV161" s="27"/>
      <x:c r="CW161" s="27"/>
      <x:c r="CX161" s="27"/>
      <x:c r="CY161" s="27"/>
      <x:c r="CZ161" s="27"/>
      <x:c r="DA161" s="27"/>
      <x:c r="DB161" s="27"/>
      <x:c r="DC161" s="27"/>
      <x:c r="DD161" s="27"/>
      <x:c r="DE161" s="27"/>
      <x:c r="DF161" s="27"/>
      <x:c r="DG161" s="27"/>
      <x:c r="DH161" s="27"/>
      <x:c r="DI161" s="27"/>
      <x:c r="DJ161" s="27"/>
      <x:c r="DK161" s="27"/>
      <x:c r="DL161" s="27"/>
      <x:c r="DM161" s="27"/>
      <x:c r="DN161" s="27"/>
      <x:c r="DO161" s="27"/>
      <x:c r="DP161" s="27"/>
      <x:c r="DQ161" s="27"/>
      <x:c r="DR161" s="27"/>
      <x:c r="DS161" s="27"/>
      <x:c r="DT161" s="27"/>
      <x:c r="DU161" s="27"/>
      <x:c r="DV161" s="27"/>
      <x:c r="DW161" s="27"/>
      <x:c r="DX161" s="27"/>
      <x:c r="DY161" s="27"/>
      <x:c r="DZ161" s="27"/>
      <x:c r="EA161" s="27"/>
      <x:c r="EB161" s="27"/>
      <x:c r="EC161" s="27"/>
      <x:c r="ED161" s="27"/>
      <x:c r="EE161" s="27"/>
      <x:c r="EF161" s="27"/>
      <x:c r="EG161" s="27"/>
      <x:c r="EH161" s="27"/>
      <x:c r="EI161" s="27"/>
      <x:c r="EJ161" s="27"/>
      <x:c r="EK161" s="27"/>
      <x:c r="EL161" s="27"/>
      <x:c r="EM161" s="27"/>
      <x:c r="EN161" s="27"/>
      <x:c r="EO161" s="27"/>
      <x:c r="EP161" s="27"/>
      <x:c r="EQ161" s="27"/>
      <x:c r="ER161" s="27"/>
      <x:c r="ES161" s="27"/>
      <x:c r="ET161" s="27"/>
      <x:c r="EU161" s="27"/>
      <x:c r="EV161" s="27"/>
      <x:c r="EW161" s="27"/>
      <x:c r="EX161" s="27"/>
      <x:c r="EY161" s="27"/>
      <x:c r="EZ161" s="27"/>
      <x:c r="FA161" s="27"/>
      <x:c r="FB161" s="27"/>
      <x:c r="FC161" s="27"/>
      <x:c r="FD161" s="27"/>
      <x:c r="FE161" s="27"/>
      <x:c r="FF161" s="27"/>
      <x:c r="FG161" s="27"/>
      <x:c r="FH161" s="27"/>
      <x:c r="FI161" s="27"/>
      <x:c r="FJ161" s="27"/>
      <x:c r="FK161" s="27"/>
      <x:c r="FL161" s="27"/>
      <x:c r="FM161" s="27"/>
      <x:c r="FN161" s="27"/>
      <x:c r="FO161" s="27"/>
      <x:c r="FP161" s="27"/>
      <x:c r="FQ161" s="27"/>
      <x:c r="FR161" s="27"/>
      <x:c r="FS161" s="27"/>
      <x:c r="FT161" s="27"/>
      <x:c r="FU161" s="27"/>
      <x:c r="FV161" s="27"/>
      <x:c r="FW161" s="27"/>
      <x:c r="FX161" s="27"/>
      <x:c r="FY161" s="27"/>
      <x:c r="FZ161" s="27"/>
      <x:c r="GA161" s="27"/>
      <x:c r="GB161" s="27"/>
      <x:c r="GC161" s="27"/>
      <x:c r="GD161" s="27"/>
      <x:c r="GE161" s="27"/>
      <x:c r="GF161" s="27"/>
      <x:c r="GG161" s="27"/>
      <x:c r="GH161" s="27"/>
      <x:c r="GI161" s="27"/>
      <x:c r="GJ161" s="27"/>
      <x:c r="GK161" s="27"/>
      <x:c r="GL161" s="27"/>
      <x:c r="GM161" s="27"/>
      <x:c r="GN161" s="27"/>
      <x:c r="GO161" s="27"/>
      <x:c r="GP161" s="27"/>
      <x:c r="GQ161" s="27"/>
      <x:c r="GR161" s="27"/>
      <x:c r="GS161" s="27"/>
      <x:c r="GT161" s="27"/>
      <x:c r="GU161" s="27"/>
      <x:c r="GV161" s="27"/>
      <x:c r="GW161" s="27"/>
      <x:c r="GX161" s="27"/>
      <x:c r="GY161" s="27"/>
      <x:c r="GZ161" s="27"/>
      <x:c r="HA161" s="27"/>
      <x:c r="HB161" s="27"/>
      <x:c r="HC161" s="27"/>
      <x:c r="HD161" s="27"/>
      <x:c r="HE161" s="27"/>
      <x:c r="HF161" s="27"/>
      <x:c r="HG161" s="27"/>
      <x:c r="HH161" s="27"/>
      <x:c r="HI161" s="27"/>
      <x:c r="HJ161" s="27"/>
      <x:c r="HK161" s="27"/>
      <x:c r="HL161" s="27"/>
      <x:c r="HM161" s="27"/>
      <x:c r="HN161" s="27"/>
      <x:c r="HO161" s="27"/>
      <x:c r="HP161" s="27" t="str">
        <x:f>IF(C161="","",SUM(H161,N161,T161,Z161,AF161,AL161,AR161,AX161,BD161,BJ161,BP161,BV161,CB161,CH161,CN161,CT161,CZ161,DF161,DL161,DR161,DX161,ED161,EJ161,EP161,EV161,FB161,FH161,FN161,FT161,FZ161,GF161,GL161,GR161,GX161,HD161,HJ161))</x:f>
      </x:c>
      <x:c r="HQ161" s="27" t="str">
        <x:f>IF(C161="","",SUM(I161,O161,U161,AA161,AG161,AM161,AS161,AY161,BE161,BK161,BQ161,BW161,CC161,CI161,CO161,CU161,DA161,DG161,DM161,DS161,DY161,EE161,EK161,EQ161,EW161,FC161,FI161,FO161,FU161,GA161,GG161,GM161,GS161,GY161,HE161,HK161))</x:f>
      </x:c>
      <x:c r="HR161" s="27" t="str">
        <x:f>IF(C161="","",SUM(J161,P161,V161,AB161,AH161,AN161,AT161,AZ161,BF161,BL161,BR161,BX161,CD161,CJ161,CP161,CV161,DB161,DH161,DN161,DT161,DZ161,EF161,EL161,ER161,EX161,FD161,FJ161,FP161,FV161,GB161,GH161,GN161,GT161,GZ161,HF161,HL161))</x:f>
      </x:c>
      <x:c r="HS161" s="27" t="str">
        <x:f>IF(C161="","",SUM(K161,Q161,W161,AC161,AI161,AO161,AU161,BA161,BG161,BM161,BS161,BY161,CE161,CK161,CQ161,CW161,DC161,DI161,DO161,DU161,EA161,EG161,EM161,ES161,EY161,FE161,FK161,FQ161,FW161,GC161,GI161,GO161,GU161,HA161,HG161,HM161))</x:f>
      </x:c>
      <x:c r="HT161" s="27" t="str">
        <x:f>IF(C161="","",SUM(L161,R161,X161,AD161,AJ161,AP161,AV161,BB161,BH161,BN161,BT161,BZ161,CF161,CL161,CR161,CX161,DD161,DJ161,DP161,DV161,EB161,EH161,EN161,ET161,EZ161,FF161,FL161,FR161,FX161,GD161,GJ161,GP161,GV161,HB161,HH161,HN161))</x:f>
      </x:c>
      <x:c r="HU161" s="27" t="str">
        <x:f>IF(C161="","",SUM(M161,S161,Y161,AE161,AK161,AQ161,AW161,BC161,BI161,BO161,BU161,CA161,CG161,CM161,CS161,CY161,DE161,DK161,DQ161,DW161,EC161,EI161,EO161,EU161,FA161,FG161,FM161,FS161,FY161,GE161,GK161,GQ161,GW161,HC161,HI161,HO161))</x:f>
      </x:c>
      <x:c r="HV161" s="27" t="str">
        <x:f>IF(C161="","",IF(JI161=LARGE(JI161:JN161,1),"R",IF(JJ161=LARGE(JI161:JN161,1),"I",IF(JK161=LARGE(JI161:JN161,1),"A",IF(JL161=LARGE(JI161:JN161,1),"S",IF(JM161=LARGE(JI161:JN161,1),"E",IF(JN161=LARGE(JI161:JN161,1),"C",""))))))&amp;IF(JI161=LARGE(JI161:JN161,2),"R",IF(JJ161=LARGE(JI161:JN161,2),"I",IF(JK161=LARGE(JI161:JN161,2),"A",IF(JL161=LARGE(JI161:JN161,2),"S",IF(JM161=LARGE(JI161:JN161,2),"E",IF(JN161=LARGE(JI161:JN161,2),"C",""))))))&amp;IF(JI161=LARGE(JI161:JN161,3),"R",IF(JJ161=LARGE(JI161:JN161,3),"I",IF(JK161=LARGE(JI161:JN161,3),"A",IF(JL161=LARGE(JI161:JN161,3),"S",IF(JM161=LARGE(JI161:JN161,3),"E",IF(JN161=LARGE(JI161:JN161,3),"C","")))))))</x:f>
      </x:c>
      <x:c r="HW161" s="27" t="str">
        <x:f>IF(C161="","",IF(JI161=LARGE(JI161:JN161,1),"นักปฏิบัติ",IF(JJ161=LARGE(JI161:JN161,1),"นักคิดวิเคราะห์",IF(JK161=LARGE(JI161:JN161,1),"นักสร้างสรรค์",IF(JL161=LARGE(JI161:JN161,1),"ผู้เข้าใจผู้คน",IF(JM161=LARGE(JI161:JN161,1),"ผู้นำการเปลี่ยนแปลง",IF(JN161=LARGE(JI161:JN161,1),"ผู้จัดระบบ","ผู้จัดระบบ")))))))</x:f>
      </x:c>
      <x:c r="HX161" s="27"/>
      <x:c r="HY161" s="27"/>
      <x:c r="HZ161" s="27"/>
      <x:c r="IA161" s="27"/>
      <x:c r="IB161" s="27"/>
      <x:c r="IC161" s="27"/>
      <x:c r="ID161" s="27"/>
      <x:c r="IE161" s="27"/>
      <x:c r="IF161" s="27"/>
      <x:c r="IG161" s="27"/>
      <x:c r="IH161" s="27"/>
      <x:c r="II161" s="27"/>
      <x:c r="IJ161" s="27"/>
      <x:c r="IK161" s="27" t="str">
        <x:f>IF(C161="","",SUM(H161,N161,T161,Z161,AF161,AL161,AR161,AX161,BD161,BJ161,BP161))</x:f>
      </x:c>
      <x:c r="IL161" s="27" t="str">
        <x:f>IF(C161="","",SUM(I161,O161,U161,AA161,AG161,AM161,AS161,AY161,BE161,BK161,BQ161))</x:f>
      </x:c>
      <x:c r="IM161" s="27" t="str">
        <x:f>IF(C161="","",SUM(J161,P161,V161,AB161,AH161,AN161,AT161,AZ161,BF161,BL161,BR161))</x:f>
      </x:c>
      <x:c r="IN161" s="27" t="str">
        <x:f>IF(C161="","",SUM(K161,Q161,W161,AC161,AI161,AO161,AU161,BA161,BG161,BM161,BS161))</x:f>
      </x:c>
      <x:c r="IO161" s="27" t="str">
        <x:f>IF(C161="","",SUM(L161,R161,X161,AD161,AJ161,AP161,AV161,BB161,BH161,BN161,BT161))</x:f>
      </x:c>
      <x:c r="IP161" s="27" t="str">
        <x:f>IF(C161="","",SUM(M161,S161,Y161,AE161,AK161,AQ161,AW161,BC161,BI161,BO161,BU161))</x:f>
      </x:c>
      <x:c r="IQ161" s="27" t="str">
        <x:f>IF(C161="","",SUM(BV161,CB161,CH161,CN161,CT161,CZ161,DF161,DL161,DR161,DX161,ED161))</x:f>
      </x:c>
      <x:c r="IR161" s="27" t="str">
        <x:f>IF(C161="","",SUM(BW161,CC161,CI161,CO161,CU161,DA161,DG161,DM161,DS161,DY161,EE161))</x:f>
      </x:c>
      <x:c r="IS161" s="27" t="str">
        <x:f>IF(C161="","",SUM(BX161,CD161,CJ161,CP161,CV161,DB161,DH161,DN161,DT161,DZ161,EF161))</x:f>
      </x:c>
      <x:c r="IT161" s="27" t="str">
        <x:f>IF(C161="","",SUM(BY161,CE161,CK161,CQ161,CW161,DC161,DI161,DO161,DU161,EA161,EG161))</x:f>
      </x:c>
      <x:c r="IU161" s="27" t="str">
        <x:f>IF(C161="","",SUM(BZ161,CF161,CL161,CR161,CX161,DD161,DJ161,DP161,DV161,EB161,EH161))</x:f>
      </x:c>
      <x:c r="IV161" s="27" t="str">
        <x:f>IF(C161="","",SUM(CA161,CG161,CM161,CS161,CY161,DE161,DK161,DQ161,DW161,EC161,EI161))</x:f>
      </x:c>
      <x:c r="IW161" s="27" t="str">
        <x:f>IF(C161="","",SUM(EJ161,EP161,EV161,FB161,FH161,FN161,FT161,FZ161,GF161,GL161,GR161,GX161,HD161,HJ161))</x:f>
      </x:c>
      <x:c r="IX161" s="27" t="str">
        <x:f>IF(C161="","",SUM(EK161,EQ161,EW161,FC161,FI161,FO161,FU161,GA161,GG161,GM161,GS161,GY161,HE161,HK161))</x:f>
      </x:c>
      <x:c r="IY161" s="27" t="str">
        <x:f>IF(C161="","",SUM(EL161,ER161,EX161,FD161,FJ161,FP161,FV161,GB161,GH161,GN161,GT161,GZ161,HF161,HL161))</x:f>
      </x:c>
      <x:c r="IZ161" s="27" t="str">
        <x:f>IF(C161="","",SUM(EM161,ES161,EY161,FE161,FK161,FQ161,FW161,GC161,GI161,GO161,GU161,HA161,HG161,HM161))</x:f>
      </x:c>
      <x:c r="JA161" s="27" t="str">
        <x:f>IF(C161="","",SUM(EN161,ET161,EZ161,FF161,FL161,FR161,FX161,GD161,GJ161,GP161,GV161,HB161,HH161,HN161))</x:f>
      </x:c>
      <x:c r="JB161" s="27" t="str">
        <x:f>IF(C161="","",SUM(EO161,EU161,FA161,FG161,FM161,FS161,FY161,GE161,GK161,GQ161,GW161,HC161,HI161,HO161))</x:f>
      </x:c>
      <x:c r="JC161" s="27" t="str">
        <x:f>IF(C161="","",0)</x:f>
      </x:c>
      <x:c r="JD161" s="27" t="str">
        <x:f>IF(C161="","",0)</x:f>
      </x:c>
      <x:c r="JE161" s="27" t="str">
        <x:f>IF(C161="","",0)</x:f>
      </x:c>
      <x:c r="JF161" s="27" t="str">
        <x:f>IF(C161="","",0)</x:f>
      </x:c>
      <x:c r="JG161" s="27" t="str">
        <x:f>IF(C161="","",0)</x:f>
      </x:c>
      <x:c r="JH161" s="27" t="str">
        <x:f>IF(C161="","",0)</x:f>
      </x:c>
      <x:c r="JI161" s="27" t="str">
        <x:f>IF(C161="","",HP161*1000000000+IW161*1000000+IQ161*10000+IK161*100+JC161+6/1000)</x:f>
      </x:c>
      <x:c r="JJ161" s="27" t="str">
        <x:f>IF(C161="","",HQ161*1000000000+IX161*1000000+IR161*10000+IL161*100+JD161+5/1000)</x:f>
      </x:c>
      <x:c r="JK161" s="27" t="str">
        <x:f>IF(C161="","",HR161*1000000000+IY161*1000000+IS161*10000+IM161*100+JE161+4/1000)</x:f>
      </x:c>
      <x:c r="JL161" s="27" t="str">
        <x:f>IF(C161="","",HS161*1000000000+IZ161*1000000+IT161*10000+IN161*100+JF161+3/1000)</x:f>
      </x:c>
      <x:c r="JM161" s="27" t="str">
        <x:f>IF(C161="","",HT161*1000000000+JA161*1000000+IU161*10000+IO161*100+JG161+2/1000)</x:f>
      </x:c>
      <x:c r="JN161" s="27" t="str">
        <x:f>IF(C161="","",HU161*1000000000+JB161*1000000+IV161*10000+IP161*100+JH161+1/1000)</x:f>
      </x:c>
    </x:row>
    <x:row r="162">
      <x:c r="A162" s="27"/>
      <x:c r="B162" s="28"/>
      <x:c r="C162" s="27"/>
      <x:c r="D162" s="27"/>
      <x:c r="E162" s="27"/>
      <x:c r="F162" s="27"/>
      <x:c r="G162" s="27"/>
      <x:c r="H162" s="27"/>
      <x:c r="I162" s="27"/>
      <x:c r="J162" s="27"/>
      <x:c r="K162" s="27"/>
      <x:c r="L162" s="27"/>
      <x:c r="M162" s="27"/>
      <x:c r="N162" s="27"/>
      <x:c r="O162" s="27"/>
      <x:c r="P162" s="27"/>
      <x:c r="Q162" s="27"/>
      <x:c r="R162" s="27"/>
      <x:c r="S162" s="27"/>
      <x:c r="T162" s="27"/>
      <x:c r="U162" s="27"/>
      <x:c r="V162" s="27"/>
      <x:c r="W162" s="27"/>
      <x:c r="X162" s="27"/>
      <x:c r="Y162" s="27"/>
      <x:c r="Z162" s="27"/>
      <x:c r="AA162" s="27"/>
      <x:c r="AB162" s="27"/>
      <x:c r="AC162" s="27"/>
      <x:c r="AD162" s="27"/>
      <x:c r="AE162" s="27"/>
      <x:c r="AF162" s="27"/>
      <x:c r="AG162" s="27"/>
      <x:c r="AH162" s="27"/>
      <x:c r="AI162" s="27"/>
      <x:c r="AJ162" s="27"/>
      <x:c r="AK162" s="27"/>
      <x:c r="AL162" s="27"/>
      <x:c r="AM162" s="27"/>
      <x:c r="AN162" s="27"/>
      <x:c r="AO162" s="27"/>
      <x:c r="AP162" s="27"/>
      <x:c r="AQ162" s="27"/>
      <x:c r="AR162" s="27"/>
      <x:c r="AS162" s="27"/>
      <x:c r="AT162" s="27"/>
      <x:c r="AU162" s="27"/>
      <x:c r="AV162" s="27"/>
      <x:c r="AW162" s="27"/>
      <x:c r="AX162" s="27"/>
      <x:c r="AY162" s="27"/>
      <x:c r="AZ162" s="27"/>
      <x:c r="BA162" s="27"/>
      <x:c r="BB162" s="27"/>
      <x:c r="BC162" s="27"/>
      <x:c r="BD162" s="27"/>
      <x:c r="BE162" s="27"/>
      <x:c r="BF162" s="27"/>
      <x:c r="BG162" s="27"/>
      <x:c r="BH162" s="27"/>
      <x:c r="BI162" s="27"/>
      <x:c r="BJ162" s="27"/>
      <x:c r="BK162" s="27"/>
      <x:c r="BL162" s="27"/>
      <x:c r="BM162" s="27"/>
      <x:c r="BN162" s="27"/>
      <x:c r="BO162" s="27"/>
      <x:c r="BP162" s="27"/>
      <x:c r="BQ162" s="27"/>
      <x:c r="BR162" s="27"/>
      <x:c r="BS162" s="27"/>
      <x:c r="BT162" s="27"/>
      <x:c r="BU162" s="27"/>
      <x:c r="BV162" s="27"/>
      <x:c r="BW162" s="27"/>
      <x:c r="BX162" s="27"/>
      <x:c r="BY162" s="27"/>
      <x:c r="BZ162" s="27"/>
      <x:c r="CA162" s="27"/>
      <x:c r="CB162" s="27"/>
      <x:c r="CC162" s="27"/>
      <x:c r="CD162" s="27"/>
      <x:c r="CE162" s="27"/>
      <x:c r="CF162" s="27"/>
      <x:c r="CG162" s="27"/>
      <x:c r="CH162" s="27"/>
      <x:c r="CI162" s="27"/>
      <x:c r="CJ162" s="27"/>
      <x:c r="CK162" s="27"/>
      <x:c r="CL162" s="27"/>
      <x:c r="CM162" s="27"/>
      <x:c r="CN162" s="27"/>
      <x:c r="CO162" s="27"/>
      <x:c r="CP162" s="27"/>
      <x:c r="CQ162" s="27"/>
      <x:c r="CR162" s="27"/>
      <x:c r="CS162" s="27"/>
      <x:c r="CT162" s="27"/>
      <x:c r="CU162" s="27"/>
      <x:c r="CV162" s="27"/>
      <x:c r="CW162" s="27"/>
      <x:c r="CX162" s="27"/>
      <x:c r="CY162" s="27"/>
      <x:c r="CZ162" s="27"/>
      <x:c r="DA162" s="27"/>
      <x:c r="DB162" s="27"/>
      <x:c r="DC162" s="27"/>
      <x:c r="DD162" s="27"/>
      <x:c r="DE162" s="27"/>
      <x:c r="DF162" s="27"/>
      <x:c r="DG162" s="27"/>
      <x:c r="DH162" s="27"/>
      <x:c r="DI162" s="27"/>
      <x:c r="DJ162" s="27"/>
      <x:c r="DK162" s="27"/>
      <x:c r="DL162" s="27"/>
      <x:c r="DM162" s="27"/>
      <x:c r="DN162" s="27"/>
      <x:c r="DO162" s="27"/>
      <x:c r="DP162" s="27"/>
      <x:c r="DQ162" s="27"/>
      <x:c r="DR162" s="27"/>
      <x:c r="DS162" s="27"/>
      <x:c r="DT162" s="27"/>
      <x:c r="DU162" s="27"/>
      <x:c r="DV162" s="27"/>
      <x:c r="DW162" s="27"/>
      <x:c r="DX162" s="27"/>
      <x:c r="DY162" s="27"/>
      <x:c r="DZ162" s="27"/>
      <x:c r="EA162" s="27"/>
      <x:c r="EB162" s="27"/>
      <x:c r="EC162" s="27"/>
      <x:c r="ED162" s="27"/>
      <x:c r="EE162" s="27"/>
      <x:c r="EF162" s="27"/>
      <x:c r="EG162" s="27"/>
      <x:c r="EH162" s="27"/>
      <x:c r="EI162" s="27"/>
      <x:c r="EJ162" s="27"/>
      <x:c r="EK162" s="27"/>
      <x:c r="EL162" s="27"/>
      <x:c r="EM162" s="27"/>
      <x:c r="EN162" s="27"/>
      <x:c r="EO162" s="27"/>
      <x:c r="EP162" s="27"/>
      <x:c r="EQ162" s="27"/>
      <x:c r="ER162" s="27"/>
      <x:c r="ES162" s="27"/>
      <x:c r="ET162" s="27"/>
      <x:c r="EU162" s="27"/>
      <x:c r="EV162" s="27"/>
      <x:c r="EW162" s="27"/>
      <x:c r="EX162" s="27"/>
      <x:c r="EY162" s="27"/>
      <x:c r="EZ162" s="27"/>
      <x:c r="FA162" s="27"/>
      <x:c r="FB162" s="27"/>
      <x:c r="FC162" s="27"/>
      <x:c r="FD162" s="27"/>
      <x:c r="FE162" s="27"/>
      <x:c r="FF162" s="27"/>
      <x:c r="FG162" s="27"/>
      <x:c r="FH162" s="27"/>
      <x:c r="FI162" s="27"/>
      <x:c r="FJ162" s="27"/>
      <x:c r="FK162" s="27"/>
      <x:c r="FL162" s="27"/>
      <x:c r="FM162" s="27"/>
      <x:c r="FN162" s="27"/>
      <x:c r="FO162" s="27"/>
      <x:c r="FP162" s="27"/>
      <x:c r="FQ162" s="27"/>
      <x:c r="FR162" s="27"/>
      <x:c r="FS162" s="27"/>
      <x:c r="FT162" s="27"/>
      <x:c r="FU162" s="27"/>
      <x:c r="FV162" s="27"/>
      <x:c r="FW162" s="27"/>
      <x:c r="FX162" s="27"/>
      <x:c r="FY162" s="27"/>
      <x:c r="FZ162" s="27"/>
      <x:c r="GA162" s="27"/>
      <x:c r="GB162" s="27"/>
      <x:c r="GC162" s="27"/>
      <x:c r="GD162" s="27"/>
      <x:c r="GE162" s="27"/>
      <x:c r="GF162" s="27"/>
      <x:c r="GG162" s="27"/>
      <x:c r="GH162" s="27"/>
      <x:c r="GI162" s="27"/>
      <x:c r="GJ162" s="27"/>
      <x:c r="GK162" s="27"/>
      <x:c r="GL162" s="27"/>
      <x:c r="GM162" s="27"/>
      <x:c r="GN162" s="27"/>
      <x:c r="GO162" s="27"/>
      <x:c r="GP162" s="27"/>
      <x:c r="GQ162" s="27"/>
      <x:c r="GR162" s="27"/>
      <x:c r="GS162" s="27"/>
      <x:c r="GT162" s="27"/>
      <x:c r="GU162" s="27"/>
      <x:c r="GV162" s="27"/>
      <x:c r="GW162" s="27"/>
      <x:c r="GX162" s="27"/>
      <x:c r="GY162" s="27"/>
      <x:c r="GZ162" s="27"/>
      <x:c r="HA162" s="27"/>
      <x:c r="HB162" s="27"/>
      <x:c r="HC162" s="27"/>
      <x:c r="HD162" s="27"/>
      <x:c r="HE162" s="27"/>
      <x:c r="HF162" s="27"/>
      <x:c r="HG162" s="27"/>
      <x:c r="HH162" s="27"/>
      <x:c r="HI162" s="27"/>
      <x:c r="HJ162" s="27"/>
      <x:c r="HK162" s="27"/>
      <x:c r="HL162" s="27"/>
      <x:c r="HM162" s="27"/>
      <x:c r="HN162" s="27"/>
      <x:c r="HO162" s="27"/>
      <x:c r="HP162" s="27" t="str">
        <x:f>IF(C162="","",SUM(H162,N162,T162,Z162,AF162,AL162,AR162,AX162,BD162,BJ162,BP162,BV162,CB162,CH162,CN162,CT162,CZ162,DF162,DL162,DR162,DX162,ED162,EJ162,EP162,EV162,FB162,FH162,FN162,FT162,FZ162,GF162,GL162,GR162,GX162,HD162,HJ162))</x:f>
      </x:c>
      <x:c r="HQ162" s="27" t="str">
        <x:f>IF(C162="","",SUM(I162,O162,U162,AA162,AG162,AM162,AS162,AY162,BE162,BK162,BQ162,BW162,CC162,CI162,CO162,CU162,DA162,DG162,DM162,DS162,DY162,EE162,EK162,EQ162,EW162,FC162,FI162,FO162,FU162,GA162,GG162,GM162,GS162,GY162,HE162,HK162))</x:f>
      </x:c>
      <x:c r="HR162" s="27" t="str">
        <x:f>IF(C162="","",SUM(J162,P162,V162,AB162,AH162,AN162,AT162,AZ162,BF162,BL162,BR162,BX162,CD162,CJ162,CP162,CV162,DB162,DH162,DN162,DT162,DZ162,EF162,EL162,ER162,EX162,FD162,FJ162,FP162,FV162,GB162,GH162,GN162,GT162,GZ162,HF162,HL162))</x:f>
      </x:c>
      <x:c r="HS162" s="27" t="str">
        <x:f>IF(C162="","",SUM(K162,Q162,W162,AC162,AI162,AO162,AU162,BA162,BG162,BM162,BS162,BY162,CE162,CK162,CQ162,CW162,DC162,DI162,DO162,DU162,EA162,EG162,EM162,ES162,EY162,FE162,FK162,FQ162,FW162,GC162,GI162,GO162,GU162,HA162,HG162,HM162))</x:f>
      </x:c>
      <x:c r="HT162" s="27" t="str">
        <x:f>IF(C162="","",SUM(L162,R162,X162,AD162,AJ162,AP162,AV162,BB162,BH162,BN162,BT162,BZ162,CF162,CL162,CR162,CX162,DD162,DJ162,DP162,DV162,EB162,EH162,EN162,ET162,EZ162,FF162,FL162,FR162,FX162,GD162,GJ162,GP162,GV162,HB162,HH162,HN162))</x:f>
      </x:c>
      <x:c r="HU162" s="27" t="str">
        <x:f>IF(C162="","",SUM(M162,S162,Y162,AE162,AK162,AQ162,AW162,BC162,BI162,BO162,BU162,CA162,CG162,CM162,CS162,CY162,DE162,DK162,DQ162,DW162,EC162,EI162,EO162,EU162,FA162,FG162,FM162,FS162,FY162,GE162,GK162,GQ162,GW162,HC162,HI162,HO162))</x:f>
      </x:c>
      <x:c r="HV162" s="27" t="str">
        <x:f>IF(C162="","",IF(JI162=LARGE(JI162:JN162,1),"R",IF(JJ162=LARGE(JI162:JN162,1),"I",IF(JK162=LARGE(JI162:JN162,1),"A",IF(JL162=LARGE(JI162:JN162,1),"S",IF(JM162=LARGE(JI162:JN162,1),"E",IF(JN162=LARGE(JI162:JN162,1),"C",""))))))&amp;IF(JI162=LARGE(JI162:JN162,2),"R",IF(JJ162=LARGE(JI162:JN162,2),"I",IF(JK162=LARGE(JI162:JN162,2),"A",IF(JL162=LARGE(JI162:JN162,2),"S",IF(JM162=LARGE(JI162:JN162,2),"E",IF(JN162=LARGE(JI162:JN162,2),"C",""))))))&amp;IF(JI162=LARGE(JI162:JN162,3),"R",IF(JJ162=LARGE(JI162:JN162,3),"I",IF(JK162=LARGE(JI162:JN162,3),"A",IF(JL162=LARGE(JI162:JN162,3),"S",IF(JM162=LARGE(JI162:JN162,3),"E",IF(JN162=LARGE(JI162:JN162,3),"C","")))))))</x:f>
      </x:c>
      <x:c r="HW162" s="27" t="str">
        <x:f>IF(C162="","",IF(JI162=LARGE(JI162:JN162,1),"นักปฏิบัติ",IF(JJ162=LARGE(JI162:JN162,1),"นักคิดวิเคราะห์",IF(JK162=LARGE(JI162:JN162,1),"นักสร้างสรรค์",IF(JL162=LARGE(JI162:JN162,1),"ผู้เข้าใจผู้คน",IF(JM162=LARGE(JI162:JN162,1),"ผู้นำการเปลี่ยนแปลง",IF(JN162=LARGE(JI162:JN162,1),"ผู้จัดระบบ","ผู้จัดระบบ")))))))</x:f>
      </x:c>
      <x:c r="HX162" s="27"/>
      <x:c r="HY162" s="27"/>
      <x:c r="HZ162" s="27"/>
      <x:c r="IA162" s="27"/>
      <x:c r="IB162" s="27"/>
      <x:c r="IC162" s="27"/>
      <x:c r="ID162" s="27"/>
      <x:c r="IE162" s="27"/>
      <x:c r="IF162" s="27"/>
      <x:c r="IG162" s="27"/>
      <x:c r="IH162" s="27"/>
      <x:c r="II162" s="27"/>
      <x:c r="IJ162" s="27"/>
      <x:c r="IK162" s="27" t="str">
        <x:f>IF(C162="","",SUM(H162,N162,T162,Z162,AF162,AL162,AR162,AX162,BD162,BJ162,BP162))</x:f>
      </x:c>
      <x:c r="IL162" s="27" t="str">
        <x:f>IF(C162="","",SUM(I162,O162,U162,AA162,AG162,AM162,AS162,AY162,BE162,BK162,BQ162))</x:f>
      </x:c>
      <x:c r="IM162" s="27" t="str">
        <x:f>IF(C162="","",SUM(J162,P162,V162,AB162,AH162,AN162,AT162,AZ162,BF162,BL162,BR162))</x:f>
      </x:c>
      <x:c r="IN162" s="27" t="str">
        <x:f>IF(C162="","",SUM(K162,Q162,W162,AC162,AI162,AO162,AU162,BA162,BG162,BM162,BS162))</x:f>
      </x:c>
      <x:c r="IO162" s="27" t="str">
        <x:f>IF(C162="","",SUM(L162,R162,X162,AD162,AJ162,AP162,AV162,BB162,BH162,BN162,BT162))</x:f>
      </x:c>
      <x:c r="IP162" s="27" t="str">
        <x:f>IF(C162="","",SUM(M162,S162,Y162,AE162,AK162,AQ162,AW162,BC162,BI162,BO162,BU162))</x:f>
      </x:c>
      <x:c r="IQ162" s="27" t="str">
        <x:f>IF(C162="","",SUM(BV162,CB162,CH162,CN162,CT162,CZ162,DF162,DL162,DR162,DX162,ED162))</x:f>
      </x:c>
      <x:c r="IR162" s="27" t="str">
        <x:f>IF(C162="","",SUM(BW162,CC162,CI162,CO162,CU162,DA162,DG162,DM162,DS162,DY162,EE162))</x:f>
      </x:c>
      <x:c r="IS162" s="27" t="str">
        <x:f>IF(C162="","",SUM(BX162,CD162,CJ162,CP162,CV162,DB162,DH162,DN162,DT162,DZ162,EF162))</x:f>
      </x:c>
      <x:c r="IT162" s="27" t="str">
        <x:f>IF(C162="","",SUM(BY162,CE162,CK162,CQ162,CW162,DC162,DI162,DO162,DU162,EA162,EG162))</x:f>
      </x:c>
      <x:c r="IU162" s="27" t="str">
        <x:f>IF(C162="","",SUM(BZ162,CF162,CL162,CR162,CX162,DD162,DJ162,DP162,DV162,EB162,EH162))</x:f>
      </x:c>
      <x:c r="IV162" s="27" t="str">
        <x:f>IF(C162="","",SUM(CA162,CG162,CM162,CS162,CY162,DE162,DK162,DQ162,DW162,EC162,EI162))</x:f>
      </x:c>
      <x:c r="IW162" s="27" t="str">
        <x:f>IF(C162="","",SUM(EJ162,EP162,EV162,FB162,FH162,FN162,FT162,FZ162,GF162,GL162,GR162,GX162,HD162,HJ162))</x:f>
      </x:c>
      <x:c r="IX162" s="27" t="str">
        <x:f>IF(C162="","",SUM(EK162,EQ162,EW162,FC162,FI162,FO162,FU162,GA162,GG162,GM162,GS162,GY162,HE162,HK162))</x:f>
      </x:c>
      <x:c r="IY162" s="27" t="str">
        <x:f>IF(C162="","",SUM(EL162,ER162,EX162,FD162,FJ162,FP162,FV162,GB162,GH162,GN162,GT162,GZ162,HF162,HL162))</x:f>
      </x:c>
      <x:c r="IZ162" s="27" t="str">
        <x:f>IF(C162="","",SUM(EM162,ES162,EY162,FE162,FK162,FQ162,FW162,GC162,GI162,GO162,GU162,HA162,HG162,HM162))</x:f>
      </x:c>
      <x:c r="JA162" s="27" t="str">
        <x:f>IF(C162="","",SUM(EN162,ET162,EZ162,FF162,FL162,FR162,FX162,GD162,GJ162,GP162,GV162,HB162,HH162,HN162))</x:f>
      </x:c>
      <x:c r="JB162" s="27" t="str">
        <x:f>IF(C162="","",SUM(EO162,EU162,FA162,FG162,FM162,FS162,FY162,GE162,GK162,GQ162,GW162,HC162,HI162,HO162))</x:f>
      </x:c>
      <x:c r="JC162" s="27" t="str">
        <x:f>IF(C162="","",0)</x:f>
      </x:c>
      <x:c r="JD162" s="27" t="str">
        <x:f>IF(C162="","",0)</x:f>
      </x:c>
      <x:c r="JE162" s="27" t="str">
        <x:f>IF(C162="","",0)</x:f>
      </x:c>
      <x:c r="JF162" s="27" t="str">
        <x:f>IF(C162="","",0)</x:f>
      </x:c>
      <x:c r="JG162" s="27" t="str">
        <x:f>IF(C162="","",0)</x:f>
      </x:c>
      <x:c r="JH162" s="27" t="str">
        <x:f>IF(C162="","",0)</x:f>
      </x:c>
      <x:c r="JI162" s="27" t="str">
        <x:f>IF(C162="","",HP162*1000000000+IW162*1000000+IQ162*10000+IK162*100+JC162+6/1000)</x:f>
      </x:c>
      <x:c r="JJ162" s="27" t="str">
        <x:f>IF(C162="","",HQ162*1000000000+IX162*1000000+IR162*10000+IL162*100+JD162+5/1000)</x:f>
      </x:c>
      <x:c r="JK162" s="27" t="str">
        <x:f>IF(C162="","",HR162*1000000000+IY162*1000000+IS162*10000+IM162*100+JE162+4/1000)</x:f>
      </x:c>
      <x:c r="JL162" s="27" t="str">
        <x:f>IF(C162="","",HS162*1000000000+IZ162*1000000+IT162*10000+IN162*100+JF162+3/1000)</x:f>
      </x:c>
      <x:c r="JM162" s="27" t="str">
        <x:f>IF(C162="","",HT162*1000000000+JA162*1000000+IU162*10000+IO162*100+JG162+2/1000)</x:f>
      </x:c>
      <x:c r="JN162" s="27" t="str">
        <x:f>IF(C162="","",HU162*1000000000+JB162*1000000+IV162*10000+IP162*100+JH162+1/1000)</x:f>
      </x:c>
    </x:row>
    <x:row r="163">
      <x:c r="A163" s="27"/>
      <x:c r="B163" s="28"/>
      <x:c r="C163" s="27"/>
      <x:c r="D163" s="27"/>
      <x:c r="E163" s="27"/>
      <x:c r="F163" s="27"/>
      <x:c r="G163" s="27"/>
      <x:c r="H163" s="27"/>
      <x:c r="I163" s="27"/>
      <x:c r="J163" s="27"/>
      <x:c r="K163" s="27"/>
      <x:c r="L163" s="27"/>
      <x:c r="M163" s="27"/>
      <x:c r="N163" s="27"/>
      <x:c r="O163" s="27"/>
      <x:c r="P163" s="27"/>
      <x:c r="Q163" s="27"/>
      <x:c r="R163" s="27"/>
      <x:c r="S163" s="27"/>
      <x:c r="T163" s="27"/>
      <x:c r="U163" s="27"/>
      <x:c r="V163" s="27"/>
      <x:c r="W163" s="27"/>
      <x:c r="X163" s="27"/>
      <x:c r="Y163" s="27"/>
      <x:c r="Z163" s="27"/>
      <x:c r="AA163" s="27"/>
      <x:c r="AB163" s="27"/>
      <x:c r="AC163" s="27"/>
      <x:c r="AD163" s="27"/>
      <x:c r="AE163" s="27"/>
      <x:c r="AF163" s="27"/>
      <x:c r="AG163" s="27"/>
      <x:c r="AH163" s="27"/>
      <x:c r="AI163" s="27"/>
      <x:c r="AJ163" s="27"/>
      <x:c r="AK163" s="27"/>
      <x:c r="AL163" s="27"/>
      <x:c r="AM163" s="27"/>
      <x:c r="AN163" s="27"/>
      <x:c r="AO163" s="27"/>
      <x:c r="AP163" s="27"/>
      <x:c r="AQ163" s="27"/>
      <x:c r="AR163" s="27"/>
      <x:c r="AS163" s="27"/>
      <x:c r="AT163" s="27"/>
      <x:c r="AU163" s="27"/>
      <x:c r="AV163" s="27"/>
      <x:c r="AW163" s="27"/>
      <x:c r="AX163" s="27"/>
      <x:c r="AY163" s="27"/>
      <x:c r="AZ163" s="27"/>
      <x:c r="BA163" s="27"/>
      <x:c r="BB163" s="27"/>
      <x:c r="BC163" s="27"/>
      <x:c r="BD163" s="27"/>
      <x:c r="BE163" s="27"/>
      <x:c r="BF163" s="27"/>
      <x:c r="BG163" s="27"/>
      <x:c r="BH163" s="27"/>
      <x:c r="BI163" s="27"/>
      <x:c r="BJ163" s="27"/>
      <x:c r="BK163" s="27"/>
      <x:c r="BL163" s="27"/>
      <x:c r="BM163" s="27"/>
      <x:c r="BN163" s="27"/>
      <x:c r="BO163" s="27"/>
      <x:c r="BP163" s="27"/>
      <x:c r="BQ163" s="27"/>
      <x:c r="BR163" s="27"/>
      <x:c r="BS163" s="27"/>
      <x:c r="BT163" s="27"/>
      <x:c r="BU163" s="27"/>
      <x:c r="BV163" s="27"/>
      <x:c r="BW163" s="27"/>
      <x:c r="BX163" s="27"/>
      <x:c r="BY163" s="27"/>
      <x:c r="BZ163" s="27"/>
      <x:c r="CA163" s="27"/>
      <x:c r="CB163" s="27"/>
      <x:c r="CC163" s="27"/>
      <x:c r="CD163" s="27"/>
      <x:c r="CE163" s="27"/>
      <x:c r="CF163" s="27"/>
      <x:c r="CG163" s="27"/>
      <x:c r="CH163" s="27"/>
      <x:c r="CI163" s="27"/>
      <x:c r="CJ163" s="27"/>
      <x:c r="CK163" s="27"/>
      <x:c r="CL163" s="27"/>
      <x:c r="CM163" s="27"/>
      <x:c r="CN163" s="27"/>
      <x:c r="CO163" s="27"/>
      <x:c r="CP163" s="27"/>
      <x:c r="CQ163" s="27"/>
      <x:c r="CR163" s="27"/>
      <x:c r="CS163" s="27"/>
      <x:c r="CT163" s="27"/>
      <x:c r="CU163" s="27"/>
      <x:c r="CV163" s="27"/>
      <x:c r="CW163" s="27"/>
      <x:c r="CX163" s="27"/>
      <x:c r="CY163" s="27"/>
      <x:c r="CZ163" s="27"/>
      <x:c r="DA163" s="27"/>
      <x:c r="DB163" s="27"/>
      <x:c r="DC163" s="27"/>
      <x:c r="DD163" s="27"/>
      <x:c r="DE163" s="27"/>
      <x:c r="DF163" s="27"/>
      <x:c r="DG163" s="27"/>
      <x:c r="DH163" s="27"/>
      <x:c r="DI163" s="27"/>
      <x:c r="DJ163" s="27"/>
      <x:c r="DK163" s="27"/>
      <x:c r="DL163" s="27"/>
      <x:c r="DM163" s="27"/>
      <x:c r="DN163" s="27"/>
      <x:c r="DO163" s="27"/>
      <x:c r="DP163" s="27"/>
      <x:c r="DQ163" s="27"/>
      <x:c r="DR163" s="27"/>
      <x:c r="DS163" s="27"/>
      <x:c r="DT163" s="27"/>
      <x:c r="DU163" s="27"/>
      <x:c r="DV163" s="27"/>
      <x:c r="DW163" s="27"/>
      <x:c r="DX163" s="27"/>
      <x:c r="DY163" s="27"/>
      <x:c r="DZ163" s="27"/>
      <x:c r="EA163" s="27"/>
      <x:c r="EB163" s="27"/>
      <x:c r="EC163" s="27"/>
      <x:c r="ED163" s="27"/>
      <x:c r="EE163" s="27"/>
      <x:c r="EF163" s="27"/>
      <x:c r="EG163" s="27"/>
      <x:c r="EH163" s="27"/>
      <x:c r="EI163" s="27"/>
      <x:c r="EJ163" s="27"/>
      <x:c r="EK163" s="27"/>
      <x:c r="EL163" s="27"/>
      <x:c r="EM163" s="27"/>
      <x:c r="EN163" s="27"/>
      <x:c r="EO163" s="27"/>
      <x:c r="EP163" s="27"/>
      <x:c r="EQ163" s="27"/>
      <x:c r="ER163" s="27"/>
      <x:c r="ES163" s="27"/>
      <x:c r="ET163" s="27"/>
      <x:c r="EU163" s="27"/>
      <x:c r="EV163" s="27"/>
      <x:c r="EW163" s="27"/>
      <x:c r="EX163" s="27"/>
      <x:c r="EY163" s="27"/>
      <x:c r="EZ163" s="27"/>
      <x:c r="FA163" s="27"/>
      <x:c r="FB163" s="27"/>
      <x:c r="FC163" s="27"/>
      <x:c r="FD163" s="27"/>
      <x:c r="FE163" s="27"/>
      <x:c r="FF163" s="27"/>
      <x:c r="FG163" s="27"/>
      <x:c r="FH163" s="27"/>
      <x:c r="FI163" s="27"/>
      <x:c r="FJ163" s="27"/>
      <x:c r="FK163" s="27"/>
      <x:c r="FL163" s="27"/>
      <x:c r="FM163" s="27"/>
      <x:c r="FN163" s="27"/>
      <x:c r="FO163" s="27"/>
      <x:c r="FP163" s="27"/>
      <x:c r="FQ163" s="27"/>
      <x:c r="FR163" s="27"/>
      <x:c r="FS163" s="27"/>
      <x:c r="FT163" s="27"/>
      <x:c r="FU163" s="27"/>
      <x:c r="FV163" s="27"/>
      <x:c r="FW163" s="27"/>
      <x:c r="FX163" s="27"/>
      <x:c r="FY163" s="27"/>
      <x:c r="FZ163" s="27"/>
      <x:c r="GA163" s="27"/>
      <x:c r="GB163" s="27"/>
      <x:c r="GC163" s="27"/>
      <x:c r="GD163" s="27"/>
      <x:c r="GE163" s="27"/>
      <x:c r="GF163" s="27"/>
      <x:c r="GG163" s="27"/>
      <x:c r="GH163" s="27"/>
      <x:c r="GI163" s="27"/>
      <x:c r="GJ163" s="27"/>
      <x:c r="GK163" s="27"/>
      <x:c r="GL163" s="27"/>
      <x:c r="GM163" s="27"/>
      <x:c r="GN163" s="27"/>
      <x:c r="GO163" s="27"/>
      <x:c r="GP163" s="27"/>
      <x:c r="GQ163" s="27"/>
      <x:c r="GR163" s="27"/>
      <x:c r="GS163" s="27"/>
      <x:c r="GT163" s="27"/>
      <x:c r="GU163" s="27"/>
      <x:c r="GV163" s="27"/>
      <x:c r="GW163" s="27"/>
      <x:c r="GX163" s="27"/>
      <x:c r="GY163" s="27"/>
      <x:c r="GZ163" s="27"/>
      <x:c r="HA163" s="27"/>
      <x:c r="HB163" s="27"/>
      <x:c r="HC163" s="27"/>
      <x:c r="HD163" s="27"/>
      <x:c r="HE163" s="27"/>
      <x:c r="HF163" s="27"/>
      <x:c r="HG163" s="27"/>
      <x:c r="HH163" s="27"/>
      <x:c r="HI163" s="27"/>
      <x:c r="HJ163" s="27"/>
      <x:c r="HK163" s="27"/>
      <x:c r="HL163" s="27"/>
      <x:c r="HM163" s="27"/>
      <x:c r="HN163" s="27"/>
      <x:c r="HO163" s="27"/>
      <x:c r="HP163" s="27" t="str">
        <x:f>IF(C163="","",SUM(H163,N163,T163,Z163,AF163,AL163,AR163,AX163,BD163,BJ163,BP163,BV163,CB163,CH163,CN163,CT163,CZ163,DF163,DL163,DR163,DX163,ED163,EJ163,EP163,EV163,FB163,FH163,FN163,FT163,FZ163,GF163,GL163,GR163,GX163,HD163,HJ163))</x:f>
      </x:c>
      <x:c r="HQ163" s="27" t="str">
        <x:f>IF(C163="","",SUM(I163,O163,U163,AA163,AG163,AM163,AS163,AY163,BE163,BK163,BQ163,BW163,CC163,CI163,CO163,CU163,DA163,DG163,DM163,DS163,DY163,EE163,EK163,EQ163,EW163,FC163,FI163,FO163,FU163,GA163,GG163,GM163,GS163,GY163,HE163,HK163))</x:f>
      </x:c>
      <x:c r="HR163" s="27" t="str">
        <x:f>IF(C163="","",SUM(J163,P163,V163,AB163,AH163,AN163,AT163,AZ163,BF163,BL163,BR163,BX163,CD163,CJ163,CP163,CV163,DB163,DH163,DN163,DT163,DZ163,EF163,EL163,ER163,EX163,FD163,FJ163,FP163,FV163,GB163,GH163,GN163,GT163,GZ163,HF163,HL163))</x:f>
      </x:c>
      <x:c r="HS163" s="27" t="str">
        <x:f>IF(C163="","",SUM(K163,Q163,W163,AC163,AI163,AO163,AU163,BA163,BG163,BM163,BS163,BY163,CE163,CK163,CQ163,CW163,DC163,DI163,DO163,DU163,EA163,EG163,EM163,ES163,EY163,FE163,FK163,FQ163,FW163,GC163,GI163,GO163,GU163,HA163,HG163,HM163))</x:f>
      </x:c>
      <x:c r="HT163" s="27" t="str">
        <x:f>IF(C163="","",SUM(L163,R163,X163,AD163,AJ163,AP163,AV163,BB163,BH163,BN163,BT163,BZ163,CF163,CL163,CR163,CX163,DD163,DJ163,DP163,DV163,EB163,EH163,EN163,ET163,EZ163,FF163,FL163,FR163,FX163,GD163,GJ163,GP163,GV163,HB163,HH163,HN163))</x:f>
      </x:c>
      <x:c r="HU163" s="27" t="str">
        <x:f>IF(C163="","",SUM(M163,S163,Y163,AE163,AK163,AQ163,AW163,BC163,BI163,BO163,BU163,CA163,CG163,CM163,CS163,CY163,DE163,DK163,DQ163,DW163,EC163,EI163,EO163,EU163,FA163,FG163,FM163,FS163,FY163,GE163,GK163,GQ163,GW163,HC163,HI163,HO163))</x:f>
      </x:c>
      <x:c r="HV163" s="27" t="str">
        <x:f>IF(C163="","",IF(JI163=LARGE(JI163:JN163,1),"R",IF(JJ163=LARGE(JI163:JN163,1),"I",IF(JK163=LARGE(JI163:JN163,1),"A",IF(JL163=LARGE(JI163:JN163,1),"S",IF(JM163=LARGE(JI163:JN163,1),"E",IF(JN163=LARGE(JI163:JN163,1),"C",""))))))&amp;IF(JI163=LARGE(JI163:JN163,2),"R",IF(JJ163=LARGE(JI163:JN163,2),"I",IF(JK163=LARGE(JI163:JN163,2),"A",IF(JL163=LARGE(JI163:JN163,2),"S",IF(JM163=LARGE(JI163:JN163,2),"E",IF(JN163=LARGE(JI163:JN163,2),"C",""))))))&amp;IF(JI163=LARGE(JI163:JN163,3),"R",IF(JJ163=LARGE(JI163:JN163,3),"I",IF(JK163=LARGE(JI163:JN163,3),"A",IF(JL163=LARGE(JI163:JN163,3),"S",IF(JM163=LARGE(JI163:JN163,3),"E",IF(JN163=LARGE(JI163:JN163,3),"C","")))))))</x:f>
      </x:c>
      <x:c r="HW163" s="27" t="str">
        <x:f>IF(C163="","",IF(JI163=LARGE(JI163:JN163,1),"นักปฏิบัติ",IF(JJ163=LARGE(JI163:JN163,1),"นักคิดวิเคราะห์",IF(JK163=LARGE(JI163:JN163,1),"นักสร้างสรรค์",IF(JL163=LARGE(JI163:JN163,1),"ผู้เข้าใจผู้คน",IF(JM163=LARGE(JI163:JN163,1),"ผู้นำการเปลี่ยนแปลง",IF(JN163=LARGE(JI163:JN163,1),"ผู้จัดระบบ","ผู้จัดระบบ")))))))</x:f>
      </x:c>
      <x:c r="HX163" s="27"/>
      <x:c r="HY163" s="27"/>
      <x:c r="HZ163" s="27"/>
      <x:c r="IA163" s="27"/>
      <x:c r="IB163" s="27"/>
      <x:c r="IC163" s="27"/>
      <x:c r="ID163" s="27"/>
      <x:c r="IE163" s="27"/>
      <x:c r="IF163" s="27"/>
      <x:c r="IG163" s="27"/>
      <x:c r="IH163" s="27"/>
      <x:c r="II163" s="27"/>
      <x:c r="IJ163" s="27"/>
      <x:c r="IK163" s="27" t="str">
        <x:f>IF(C163="","",SUM(H163,N163,T163,Z163,AF163,AL163,AR163,AX163,BD163,BJ163,BP163))</x:f>
      </x:c>
      <x:c r="IL163" s="27" t="str">
        <x:f>IF(C163="","",SUM(I163,O163,U163,AA163,AG163,AM163,AS163,AY163,BE163,BK163,BQ163))</x:f>
      </x:c>
      <x:c r="IM163" s="27" t="str">
        <x:f>IF(C163="","",SUM(J163,P163,V163,AB163,AH163,AN163,AT163,AZ163,BF163,BL163,BR163))</x:f>
      </x:c>
      <x:c r="IN163" s="27" t="str">
        <x:f>IF(C163="","",SUM(K163,Q163,W163,AC163,AI163,AO163,AU163,BA163,BG163,BM163,BS163))</x:f>
      </x:c>
      <x:c r="IO163" s="27" t="str">
        <x:f>IF(C163="","",SUM(L163,R163,X163,AD163,AJ163,AP163,AV163,BB163,BH163,BN163,BT163))</x:f>
      </x:c>
      <x:c r="IP163" s="27" t="str">
        <x:f>IF(C163="","",SUM(M163,S163,Y163,AE163,AK163,AQ163,AW163,BC163,BI163,BO163,BU163))</x:f>
      </x:c>
      <x:c r="IQ163" s="27" t="str">
        <x:f>IF(C163="","",SUM(BV163,CB163,CH163,CN163,CT163,CZ163,DF163,DL163,DR163,DX163,ED163))</x:f>
      </x:c>
      <x:c r="IR163" s="27" t="str">
        <x:f>IF(C163="","",SUM(BW163,CC163,CI163,CO163,CU163,DA163,DG163,DM163,DS163,DY163,EE163))</x:f>
      </x:c>
      <x:c r="IS163" s="27" t="str">
        <x:f>IF(C163="","",SUM(BX163,CD163,CJ163,CP163,CV163,DB163,DH163,DN163,DT163,DZ163,EF163))</x:f>
      </x:c>
      <x:c r="IT163" s="27" t="str">
        <x:f>IF(C163="","",SUM(BY163,CE163,CK163,CQ163,CW163,DC163,DI163,DO163,DU163,EA163,EG163))</x:f>
      </x:c>
      <x:c r="IU163" s="27" t="str">
        <x:f>IF(C163="","",SUM(BZ163,CF163,CL163,CR163,CX163,DD163,DJ163,DP163,DV163,EB163,EH163))</x:f>
      </x:c>
      <x:c r="IV163" s="27" t="str">
        <x:f>IF(C163="","",SUM(CA163,CG163,CM163,CS163,CY163,DE163,DK163,DQ163,DW163,EC163,EI163))</x:f>
      </x:c>
      <x:c r="IW163" s="27" t="str">
        <x:f>IF(C163="","",SUM(EJ163,EP163,EV163,FB163,FH163,FN163,FT163,FZ163,GF163,GL163,GR163,GX163,HD163,HJ163))</x:f>
      </x:c>
      <x:c r="IX163" s="27" t="str">
        <x:f>IF(C163="","",SUM(EK163,EQ163,EW163,FC163,FI163,FO163,FU163,GA163,GG163,GM163,GS163,GY163,HE163,HK163))</x:f>
      </x:c>
      <x:c r="IY163" s="27" t="str">
        <x:f>IF(C163="","",SUM(EL163,ER163,EX163,FD163,FJ163,FP163,FV163,GB163,GH163,GN163,GT163,GZ163,HF163,HL163))</x:f>
      </x:c>
      <x:c r="IZ163" s="27" t="str">
        <x:f>IF(C163="","",SUM(EM163,ES163,EY163,FE163,FK163,FQ163,FW163,GC163,GI163,GO163,GU163,HA163,HG163,HM163))</x:f>
      </x:c>
      <x:c r="JA163" s="27" t="str">
        <x:f>IF(C163="","",SUM(EN163,ET163,EZ163,FF163,FL163,FR163,FX163,GD163,GJ163,GP163,GV163,HB163,HH163,HN163))</x:f>
      </x:c>
      <x:c r="JB163" s="27" t="str">
        <x:f>IF(C163="","",SUM(EO163,EU163,FA163,FG163,FM163,FS163,FY163,GE163,GK163,GQ163,GW163,HC163,HI163,HO163))</x:f>
      </x:c>
      <x:c r="JC163" s="27" t="str">
        <x:f>IF(C163="","",0)</x:f>
      </x:c>
      <x:c r="JD163" s="27" t="str">
        <x:f>IF(C163="","",0)</x:f>
      </x:c>
      <x:c r="JE163" s="27" t="str">
        <x:f>IF(C163="","",0)</x:f>
      </x:c>
      <x:c r="JF163" s="27" t="str">
        <x:f>IF(C163="","",0)</x:f>
      </x:c>
      <x:c r="JG163" s="27" t="str">
        <x:f>IF(C163="","",0)</x:f>
      </x:c>
      <x:c r="JH163" s="27" t="str">
        <x:f>IF(C163="","",0)</x:f>
      </x:c>
      <x:c r="JI163" s="27" t="str">
        <x:f>IF(C163="","",HP163*1000000000+IW163*1000000+IQ163*10000+IK163*100+JC163+6/1000)</x:f>
      </x:c>
      <x:c r="JJ163" s="27" t="str">
        <x:f>IF(C163="","",HQ163*1000000000+IX163*1000000+IR163*10000+IL163*100+JD163+5/1000)</x:f>
      </x:c>
      <x:c r="JK163" s="27" t="str">
        <x:f>IF(C163="","",HR163*1000000000+IY163*1000000+IS163*10000+IM163*100+JE163+4/1000)</x:f>
      </x:c>
      <x:c r="JL163" s="27" t="str">
        <x:f>IF(C163="","",HS163*1000000000+IZ163*1000000+IT163*10000+IN163*100+JF163+3/1000)</x:f>
      </x:c>
      <x:c r="JM163" s="27" t="str">
        <x:f>IF(C163="","",HT163*1000000000+JA163*1000000+IU163*10000+IO163*100+JG163+2/1000)</x:f>
      </x:c>
      <x:c r="JN163" s="27" t="str">
        <x:f>IF(C163="","",HU163*1000000000+JB163*1000000+IV163*10000+IP163*100+JH163+1/1000)</x:f>
      </x:c>
    </x:row>
    <x:row r="164">
      <x:c r="A164" s="27"/>
      <x:c r="B164" s="28"/>
      <x:c r="C164" s="27"/>
      <x:c r="D164" s="27"/>
      <x:c r="E164" s="27"/>
      <x:c r="F164" s="27"/>
      <x:c r="G164" s="27"/>
      <x:c r="H164" s="27"/>
      <x:c r="I164" s="27"/>
      <x:c r="J164" s="27"/>
      <x:c r="K164" s="27"/>
      <x:c r="L164" s="27"/>
      <x:c r="M164" s="27"/>
      <x:c r="N164" s="27"/>
      <x:c r="O164" s="27"/>
      <x:c r="P164" s="27"/>
      <x:c r="Q164" s="27"/>
      <x:c r="R164" s="27"/>
      <x:c r="S164" s="27"/>
      <x:c r="T164" s="27"/>
      <x:c r="U164" s="27"/>
      <x:c r="V164" s="27"/>
      <x:c r="W164" s="27"/>
      <x:c r="X164" s="27"/>
      <x:c r="Y164" s="27"/>
      <x:c r="Z164" s="27"/>
      <x:c r="AA164" s="27"/>
      <x:c r="AB164" s="27"/>
      <x:c r="AC164" s="27"/>
      <x:c r="AD164" s="27"/>
      <x:c r="AE164" s="27"/>
      <x:c r="AF164" s="27"/>
      <x:c r="AG164" s="27"/>
      <x:c r="AH164" s="27"/>
      <x:c r="AI164" s="27"/>
      <x:c r="AJ164" s="27"/>
      <x:c r="AK164" s="27"/>
      <x:c r="AL164" s="27"/>
      <x:c r="AM164" s="27"/>
      <x:c r="AN164" s="27"/>
      <x:c r="AO164" s="27"/>
      <x:c r="AP164" s="27"/>
      <x:c r="AQ164" s="27"/>
      <x:c r="AR164" s="27"/>
      <x:c r="AS164" s="27"/>
      <x:c r="AT164" s="27"/>
      <x:c r="AU164" s="27"/>
      <x:c r="AV164" s="27"/>
      <x:c r="AW164" s="27"/>
      <x:c r="AX164" s="27"/>
      <x:c r="AY164" s="27"/>
      <x:c r="AZ164" s="27"/>
      <x:c r="BA164" s="27"/>
      <x:c r="BB164" s="27"/>
      <x:c r="BC164" s="27"/>
      <x:c r="BD164" s="27"/>
      <x:c r="BE164" s="27"/>
      <x:c r="BF164" s="27"/>
      <x:c r="BG164" s="27"/>
      <x:c r="BH164" s="27"/>
      <x:c r="BI164" s="27"/>
      <x:c r="BJ164" s="27"/>
      <x:c r="BK164" s="27"/>
      <x:c r="BL164" s="27"/>
      <x:c r="BM164" s="27"/>
      <x:c r="BN164" s="27"/>
      <x:c r="BO164" s="27"/>
      <x:c r="BP164" s="27"/>
      <x:c r="BQ164" s="27"/>
      <x:c r="BR164" s="27"/>
      <x:c r="BS164" s="27"/>
      <x:c r="BT164" s="27"/>
      <x:c r="BU164" s="27"/>
      <x:c r="BV164" s="27"/>
      <x:c r="BW164" s="27"/>
      <x:c r="BX164" s="27"/>
      <x:c r="BY164" s="27"/>
      <x:c r="BZ164" s="27"/>
      <x:c r="CA164" s="27"/>
      <x:c r="CB164" s="27"/>
      <x:c r="CC164" s="27"/>
      <x:c r="CD164" s="27"/>
      <x:c r="CE164" s="27"/>
      <x:c r="CF164" s="27"/>
      <x:c r="CG164" s="27"/>
      <x:c r="CH164" s="27"/>
      <x:c r="CI164" s="27"/>
      <x:c r="CJ164" s="27"/>
      <x:c r="CK164" s="27"/>
      <x:c r="CL164" s="27"/>
      <x:c r="CM164" s="27"/>
      <x:c r="CN164" s="27"/>
      <x:c r="CO164" s="27"/>
      <x:c r="CP164" s="27"/>
      <x:c r="CQ164" s="27"/>
      <x:c r="CR164" s="27"/>
      <x:c r="CS164" s="27"/>
      <x:c r="CT164" s="27"/>
      <x:c r="CU164" s="27"/>
      <x:c r="CV164" s="27"/>
      <x:c r="CW164" s="27"/>
      <x:c r="CX164" s="27"/>
      <x:c r="CY164" s="27"/>
      <x:c r="CZ164" s="27"/>
      <x:c r="DA164" s="27"/>
      <x:c r="DB164" s="27"/>
      <x:c r="DC164" s="27"/>
      <x:c r="DD164" s="27"/>
      <x:c r="DE164" s="27"/>
      <x:c r="DF164" s="27"/>
      <x:c r="DG164" s="27"/>
      <x:c r="DH164" s="27"/>
      <x:c r="DI164" s="27"/>
      <x:c r="DJ164" s="27"/>
      <x:c r="DK164" s="27"/>
      <x:c r="DL164" s="27"/>
      <x:c r="DM164" s="27"/>
      <x:c r="DN164" s="27"/>
      <x:c r="DO164" s="27"/>
      <x:c r="DP164" s="27"/>
      <x:c r="DQ164" s="27"/>
      <x:c r="DR164" s="27"/>
      <x:c r="DS164" s="27"/>
      <x:c r="DT164" s="27"/>
      <x:c r="DU164" s="27"/>
      <x:c r="DV164" s="27"/>
      <x:c r="DW164" s="27"/>
      <x:c r="DX164" s="27"/>
      <x:c r="DY164" s="27"/>
      <x:c r="DZ164" s="27"/>
      <x:c r="EA164" s="27"/>
      <x:c r="EB164" s="27"/>
      <x:c r="EC164" s="27"/>
      <x:c r="ED164" s="27"/>
      <x:c r="EE164" s="27"/>
      <x:c r="EF164" s="27"/>
      <x:c r="EG164" s="27"/>
      <x:c r="EH164" s="27"/>
      <x:c r="EI164" s="27"/>
      <x:c r="EJ164" s="27"/>
      <x:c r="EK164" s="27"/>
      <x:c r="EL164" s="27"/>
      <x:c r="EM164" s="27"/>
      <x:c r="EN164" s="27"/>
      <x:c r="EO164" s="27"/>
      <x:c r="EP164" s="27"/>
      <x:c r="EQ164" s="27"/>
      <x:c r="ER164" s="27"/>
      <x:c r="ES164" s="27"/>
      <x:c r="ET164" s="27"/>
      <x:c r="EU164" s="27"/>
      <x:c r="EV164" s="27"/>
      <x:c r="EW164" s="27"/>
      <x:c r="EX164" s="27"/>
      <x:c r="EY164" s="27"/>
      <x:c r="EZ164" s="27"/>
      <x:c r="FA164" s="27"/>
      <x:c r="FB164" s="27"/>
      <x:c r="FC164" s="27"/>
      <x:c r="FD164" s="27"/>
      <x:c r="FE164" s="27"/>
      <x:c r="FF164" s="27"/>
      <x:c r="FG164" s="27"/>
      <x:c r="FH164" s="27"/>
      <x:c r="FI164" s="27"/>
      <x:c r="FJ164" s="27"/>
      <x:c r="FK164" s="27"/>
      <x:c r="FL164" s="27"/>
      <x:c r="FM164" s="27"/>
      <x:c r="FN164" s="27"/>
      <x:c r="FO164" s="27"/>
      <x:c r="FP164" s="27"/>
      <x:c r="FQ164" s="27"/>
      <x:c r="FR164" s="27"/>
      <x:c r="FS164" s="27"/>
      <x:c r="FT164" s="27"/>
      <x:c r="FU164" s="27"/>
      <x:c r="FV164" s="27"/>
      <x:c r="FW164" s="27"/>
      <x:c r="FX164" s="27"/>
      <x:c r="FY164" s="27"/>
      <x:c r="FZ164" s="27"/>
      <x:c r="GA164" s="27"/>
      <x:c r="GB164" s="27"/>
      <x:c r="GC164" s="27"/>
      <x:c r="GD164" s="27"/>
      <x:c r="GE164" s="27"/>
      <x:c r="GF164" s="27"/>
      <x:c r="GG164" s="27"/>
      <x:c r="GH164" s="27"/>
      <x:c r="GI164" s="27"/>
      <x:c r="GJ164" s="27"/>
      <x:c r="GK164" s="27"/>
      <x:c r="GL164" s="27"/>
      <x:c r="GM164" s="27"/>
      <x:c r="GN164" s="27"/>
      <x:c r="GO164" s="27"/>
      <x:c r="GP164" s="27"/>
      <x:c r="GQ164" s="27"/>
      <x:c r="GR164" s="27"/>
      <x:c r="GS164" s="27"/>
      <x:c r="GT164" s="27"/>
      <x:c r="GU164" s="27"/>
      <x:c r="GV164" s="27"/>
      <x:c r="GW164" s="27"/>
      <x:c r="GX164" s="27"/>
      <x:c r="GY164" s="27"/>
      <x:c r="GZ164" s="27"/>
      <x:c r="HA164" s="27"/>
      <x:c r="HB164" s="27"/>
      <x:c r="HC164" s="27"/>
      <x:c r="HD164" s="27"/>
      <x:c r="HE164" s="27"/>
      <x:c r="HF164" s="27"/>
      <x:c r="HG164" s="27"/>
      <x:c r="HH164" s="27"/>
      <x:c r="HI164" s="27"/>
      <x:c r="HJ164" s="27"/>
      <x:c r="HK164" s="27"/>
      <x:c r="HL164" s="27"/>
      <x:c r="HM164" s="27"/>
      <x:c r="HN164" s="27"/>
      <x:c r="HO164" s="27"/>
      <x:c r="HP164" s="27" t="str">
        <x:f>IF(C164="","",SUM(H164,N164,T164,Z164,AF164,AL164,AR164,AX164,BD164,BJ164,BP164,BV164,CB164,CH164,CN164,CT164,CZ164,DF164,DL164,DR164,DX164,ED164,EJ164,EP164,EV164,FB164,FH164,FN164,FT164,FZ164,GF164,GL164,GR164,GX164,HD164,HJ164))</x:f>
      </x:c>
      <x:c r="HQ164" s="27" t="str">
        <x:f>IF(C164="","",SUM(I164,O164,U164,AA164,AG164,AM164,AS164,AY164,BE164,BK164,BQ164,BW164,CC164,CI164,CO164,CU164,DA164,DG164,DM164,DS164,DY164,EE164,EK164,EQ164,EW164,FC164,FI164,FO164,FU164,GA164,GG164,GM164,GS164,GY164,HE164,HK164))</x:f>
      </x:c>
      <x:c r="HR164" s="27" t="str">
        <x:f>IF(C164="","",SUM(J164,P164,V164,AB164,AH164,AN164,AT164,AZ164,BF164,BL164,BR164,BX164,CD164,CJ164,CP164,CV164,DB164,DH164,DN164,DT164,DZ164,EF164,EL164,ER164,EX164,FD164,FJ164,FP164,FV164,GB164,GH164,GN164,GT164,GZ164,HF164,HL164))</x:f>
      </x:c>
      <x:c r="HS164" s="27" t="str">
        <x:f>IF(C164="","",SUM(K164,Q164,W164,AC164,AI164,AO164,AU164,BA164,BG164,BM164,BS164,BY164,CE164,CK164,CQ164,CW164,DC164,DI164,DO164,DU164,EA164,EG164,EM164,ES164,EY164,FE164,FK164,FQ164,FW164,GC164,GI164,GO164,GU164,HA164,HG164,HM164))</x:f>
      </x:c>
      <x:c r="HT164" s="27" t="str">
        <x:f>IF(C164="","",SUM(L164,R164,X164,AD164,AJ164,AP164,AV164,BB164,BH164,BN164,BT164,BZ164,CF164,CL164,CR164,CX164,DD164,DJ164,DP164,DV164,EB164,EH164,EN164,ET164,EZ164,FF164,FL164,FR164,FX164,GD164,GJ164,GP164,GV164,HB164,HH164,HN164))</x:f>
      </x:c>
      <x:c r="HU164" s="27" t="str">
        <x:f>IF(C164="","",SUM(M164,S164,Y164,AE164,AK164,AQ164,AW164,BC164,BI164,BO164,BU164,CA164,CG164,CM164,CS164,CY164,DE164,DK164,DQ164,DW164,EC164,EI164,EO164,EU164,FA164,FG164,FM164,FS164,FY164,GE164,GK164,GQ164,GW164,HC164,HI164,HO164))</x:f>
      </x:c>
      <x:c r="HV164" s="27" t="str">
        <x:f>IF(C164="","",IF(JI164=LARGE(JI164:JN164,1),"R",IF(JJ164=LARGE(JI164:JN164,1),"I",IF(JK164=LARGE(JI164:JN164,1),"A",IF(JL164=LARGE(JI164:JN164,1),"S",IF(JM164=LARGE(JI164:JN164,1),"E",IF(JN164=LARGE(JI164:JN164,1),"C",""))))))&amp;IF(JI164=LARGE(JI164:JN164,2),"R",IF(JJ164=LARGE(JI164:JN164,2),"I",IF(JK164=LARGE(JI164:JN164,2),"A",IF(JL164=LARGE(JI164:JN164,2),"S",IF(JM164=LARGE(JI164:JN164,2),"E",IF(JN164=LARGE(JI164:JN164,2),"C",""))))))&amp;IF(JI164=LARGE(JI164:JN164,3),"R",IF(JJ164=LARGE(JI164:JN164,3),"I",IF(JK164=LARGE(JI164:JN164,3),"A",IF(JL164=LARGE(JI164:JN164,3),"S",IF(JM164=LARGE(JI164:JN164,3),"E",IF(JN164=LARGE(JI164:JN164,3),"C","")))))))</x:f>
      </x:c>
      <x:c r="HW164" s="27" t="str">
        <x:f>IF(C164="","",IF(JI164=LARGE(JI164:JN164,1),"นักปฏิบัติ",IF(JJ164=LARGE(JI164:JN164,1),"นักคิดวิเคราะห์",IF(JK164=LARGE(JI164:JN164,1),"นักสร้างสรรค์",IF(JL164=LARGE(JI164:JN164,1),"ผู้เข้าใจผู้คน",IF(JM164=LARGE(JI164:JN164,1),"ผู้นำการเปลี่ยนแปลง",IF(JN164=LARGE(JI164:JN164,1),"ผู้จัดระบบ","ผู้จัดระบบ")))))))</x:f>
      </x:c>
      <x:c r="HX164" s="27"/>
      <x:c r="HY164" s="27"/>
      <x:c r="HZ164" s="27"/>
      <x:c r="IA164" s="27"/>
      <x:c r="IB164" s="27"/>
      <x:c r="IC164" s="27"/>
      <x:c r="ID164" s="27"/>
      <x:c r="IE164" s="27"/>
      <x:c r="IF164" s="27"/>
      <x:c r="IG164" s="27"/>
      <x:c r="IH164" s="27"/>
      <x:c r="II164" s="27"/>
      <x:c r="IJ164" s="27"/>
      <x:c r="IK164" s="27" t="str">
        <x:f>IF(C164="","",SUM(H164,N164,T164,Z164,AF164,AL164,AR164,AX164,BD164,BJ164,BP164))</x:f>
      </x:c>
      <x:c r="IL164" s="27" t="str">
        <x:f>IF(C164="","",SUM(I164,O164,U164,AA164,AG164,AM164,AS164,AY164,BE164,BK164,BQ164))</x:f>
      </x:c>
      <x:c r="IM164" s="27" t="str">
        <x:f>IF(C164="","",SUM(J164,P164,V164,AB164,AH164,AN164,AT164,AZ164,BF164,BL164,BR164))</x:f>
      </x:c>
      <x:c r="IN164" s="27" t="str">
        <x:f>IF(C164="","",SUM(K164,Q164,W164,AC164,AI164,AO164,AU164,BA164,BG164,BM164,BS164))</x:f>
      </x:c>
      <x:c r="IO164" s="27" t="str">
        <x:f>IF(C164="","",SUM(L164,R164,X164,AD164,AJ164,AP164,AV164,BB164,BH164,BN164,BT164))</x:f>
      </x:c>
      <x:c r="IP164" s="27" t="str">
        <x:f>IF(C164="","",SUM(M164,S164,Y164,AE164,AK164,AQ164,AW164,BC164,BI164,BO164,BU164))</x:f>
      </x:c>
      <x:c r="IQ164" s="27" t="str">
        <x:f>IF(C164="","",SUM(BV164,CB164,CH164,CN164,CT164,CZ164,DF164,DL164,DR164,DX164,ED164))</x:f>
      </x:c>
      <x:c r="IR164" s="27" t="str">
        <x:f>IF(C164="","",SUM(BW164,CC164,CI164,CO164,CU164,DA164,DG164,DM164,DS164,DY164,EE164))</x:f>
      </x:c>
      <x:c r="IS164" s="27" t="str">
        <x:f>IF(C164="","",SUM(BX164,CD164,CJ164,CP164,CV164,DB164,DH164,DN164,DT164,DZ164,EF164))</x:f>
      </x:c>
      <x:c r="IT164" s="27" t="str">
        <x:f>IF(C164="","",SUM(BY164,CE164,CK164,CQ164,CW164,DC164,DI164,DO164,DU164,EA164,EG164))</x:f>
      </x:c>
      <x:c r="IU164" s="27" t="str">
        <x:f>IF(C164="","",SUM(BZ164,CF164,CL164,CR164,CX164,DD164,DJ164,DP164,DV164,EB164,EH164))</x:f>
      </x:c>
      <x:c r="IV164" s="27" t="str">
        <x:f>IF(C164="","",SUM(CA164,CG164,CM164,CS164,CY164,DE164,DK164,DQ164,DW164,EC164,EI164))</x:f>
      </x:c>
      <x:c r="IW164" s="27" t="str">
        <x:f>IF(C164="","",SUM(EJ164,EP164,EV164,FB164,FH164,FN164,FT164,FZ164,GF164,GL164,GR164,GX164,HD164,HJ164))</x:f>
      </x:c>
      <x:c r="IX164" s="27" t="str">
        <x:f>IF(C164="","",SUM(EK164,EQ164,EW164,FC164,FI164,FO164,FU164,GA164,GG164,GM164,GS164,GY164,HE164,HK164))</x:f>
      </x:c>
      <x:c r="IY164" s="27" t="str">
        <x:f>IF(C164="","",SUM(EL164,ER164,EX164,FD164,FJ164,FP164,FV164,GB164,GH164,GN164,GT164,GZ164,HF164,HL164))</x:f>
      </x:c>
      <x:c r="IZ164" s="27" t="str">
        <x:f>IF(C164="","",SUM(EM164,ES164,EY164,FE164,FK164,FQ164,FW164,GC164,GI164,GO164,GU164,HA164,HG164,HM164))</x:f>
      </x:c>
      <x:c r="JA164" s="27" t="str">
        <x:f>IF(C164="","",SUM(EN164,ET164,EZ164,FF164,FL164,FR164,FX164,GD164,GJ164,GP164,GV164,HB164,HH164,HN164))</x:f>
      </x:c>
      <x:c r="JB164" s="27" t="str">
        <x:f>IF(C164="","",SUM(EO164,EU164,FA164,FG164,FM164,FS164,FY164,GE164,GK164,GQ164,GW164,HC164,HI164,HO164))</x:f>
      </x:c>
      <x:c r="JC164" s="27" t="str">
        <x:f>IF(C164="","",0)</x:f>
      </x:c>
      <x:c r="JD164" s="27" t="str">
        <x:f>IF(C164="","",0)</x:f>
      </x:c>
      <x:c r="JE164" s="27" t="str">
        <x:f>IF(C164="","",0)</x:f>
      </x:c>
      <x:c r="JF164" s="27" t="str">
        <x:f>IF(C164="","",0)</x:f>
      </x:c>
      <x:c r="JG164" s="27" t="str">
        <x:f>IF(C164="","",0)</x:f>
      </x:c>
      <x:c r="JH164" s="27" t="str">
        <x:f>IF(C164="","",0)</x:f>
      </x:c>
      <x:c r="JI164" s="27" t="str">
        <x:f>IF(C164="","",HP164*1000000000+IW164*1000000+IQ164*10000+IK164*100+JC164+6/1000)</x:f>
      </x:c>
      <x:c r="JJ164" s="27" t="str">
        <x:f>IF(C164="","",HQ164*1000000000+IX164*1000000+IR164*10000+IL164*100+JD164+5/1000)</x:f>
      </x:c>
      <x:c r="JK164" s="27" t="str">
        <x:f>IF(C164="","",HR164*1000000000+IY164*1000000+IS164*10000+IM164*100+JE164+4/1000)</x:f>
      </x:c>
      <x:c r="JL164" s="27" t="str">
        <x:f>IF(C164="","",HS164*1000000000+IZ164*1000000+IT164*10000+IN164*100+JF164+3/1000)</x:f>
      </x:c>
      <x:c r="JM164" s="27" t="str">
        <x:f>IF(C164="","",HT164*1000000000+JA164*1000000+IU164*10000+IO164*100+JG164+2/1000)</x:f>
      </x:c>
      <x:c r="JN164" s="27" t="str">
        <x:f>IF(C164="","",HU164*1000000000+JB164*1000000+IV164*10000+IP164*100+JH164+1/1000)</x:f>
      </x:c>
    </x:row>
    <x:row r="165">
      <x:c r="A165" s="27"/>
      <x:c r="B165" s="28"/>
      <x:c r="C165" s="27"/>
      <x:c r="D165" s="27"/>
      <x:c r="E165" s="27"/>
      <x:c r="F165" s="27"/>
      <x:c r="G165" s="27"/>
      <x:c r="H165" s="27"/>
      <x:c r="I165" s="27"/>
      <x:c r="J165" s="27"/>
      <x:c r="K165" s="27"/>
      <x:c r="L165" s="27"/>
      <x:c r="M165" s="27"/>
      <x:c r="N165" s="27"/>
      <x:c r="O165" s="27"/>
      <x:c r="P165" s="27"/>
      <x:c r="Q165" s="27"/>
      <x:c r="R165" s="27"/>
      <x:c r="S165" s="27"/>
      <x:c r="T165" s="27"/>
      <x:c r="U165" s="27"/>
      <x:c r="V165" s="27"/>
      <x:c r="W165" s="27"/>
      <x:c r="X165" s="27"/>
      <x:c r="Y165" s="27"/>
      <x:c r="Z165" s="27"/>
      <x:c r="AA165" s="27"/>
      <x:c r="AB165" s="27"/>
      <x:c r="AC165" s="27"/>
      <x:c r="AD165" s="27"/>
      <x:c r="AE165" s="27"/>
      <x:c r="AF165" s="27"/>
      <x:c r="AG165" s="27"/>
      <x:c r="AH165" s="27"/>
      <x:c r="AI165" s="27"/>
      <x:c r="AJ165" s="27"/>
      <x:c r="AK165" s="27"/>
      <x:c r="AL165" s="27"/>
      <x:c r="AM165" s="27"/>
      <x:c r="AN165" s="27"/>
      <x:c r="AO165" s="27"/>
      <x:c r="AP165" s="27"/>
      <x:c r="AQ165" s="27"/>
      <x:c r="AR165" s="27"/>
      <x:c r="AS165" s="27"/>
      <x:c r="AT165" s="27"/>
      <x:c r="AU165" s="27"/>
      <x:c r="AV165" s="27"/>
      <x:c r="AW165" s="27"/>
      <x:c r="AX165" s="27"/>
      <x:c r="AY165" s="27"/>
      <x:c r="AZ165" s="27"/>
      <x:c r="BA165" s="27"/>
      <x:c r="BB165" s="27"/>
      <x:c r="BC165" s="27"/>
      <x:c r="BD165" s="27"/>
      <x:c r="BE165" s="27"/>
      <x:c r="BF165" s="27"/>
      <x:c r="BG165" s="27"/>
      <x:c r="BH165" s="27"/>
      <x:c r="BI165" s="27"/>
      <x:c r="BJ165" s="27"/>
      <x:c r="BK165" s="27"/>
      <x:c r="BL165" s="27"/>
      <x:c r="BM165" s="27"/>
      <x:c r="BN165" s="27"/>
      <x:c r="BO165" s="27"/>
      <x:c r="BP165" s="27"/>
      <x:c r="BQ165" s="27"/>
      <x:c r="BR165" s="27"/>
      <x:c r="BS165" s="27"/>
      <x:c r="BT165" s="27"/>
      <x:c r="BU165" s="27"/>
      <x:c r="BV165" s="27"/>
      <x:c r="BW165" s="27"/>
      <x:c r="BX165" s="27"/>
      <x:c r="BY165" s="27"/>
      <x:c r="BZ165" s="27"/>
      <x:c r="CA165" s="27"/>
      <x:c r="CB165" s="27"/>
      <x:c r="CC165" s="27"/>
      <x:c r="CD165" s="27"/>
      <x:c r="CE165" s="27"/>
      <x:c r="CF165" s="27"/>
      <x:c r="CG165" s="27"/>
      <x:c r="CH165" s="27"/>
      <x:c r="CI165" s="27"/>
      <x:c r="CJ165" s="27"/>
      <x:c r="CK165" s="27"/>
      <x:c r="CL165" s="27"/>
      <x:c r="CM165" s="27"/>
      <x:c r="CN165" s="27"/>
      <x:c r="CO165" s="27"/>
      <x:c r="CP165" s="27"/>
      <x:c r="CQ165" s="27"/>
      <x:c r="CR165" s="27"/>
      <x:c r="CS165" s="27"/>
      <x:c r="CT165" s="27"/>
      <x:c r="CU165" s="27"/>
      <x:c r="CV165" s="27"/>
      <x:c r="CW165" s="27"/>
      <x:c r="CX165" s="27"/>
      <x:c r="CY165" s="27"/>
      <x:c r="CZ165" s="27"/>
      <x:c r="DA165" s="27"/>
      <x:c r="DB165" s="27"/>
      <x:c r="DC165" s="27"/>
      <x:c r="DD165" s="27"/>
      <x:c r="DE165" s="27"/>
      <x:c r="DF165" s="27"/>
      <x:c r="DG165" s="27"/>
      <x:c r="DH165" s="27"/>
      <x:c r="DI165" s="27"/>
      <x:c r="DJ165" s="27"/>
      <x:c r="DK165" s="27"/>
      <x:c r="DL165" s="27"/>
      <x:c r="DM165" s="27"/>
      <x:c r="DN165" s="27"/>
      <x:c r="DO165" s="27"/>
      <x:c r="DP165" s="27"/>
      <x:c r="DQ165" s="27"/>
      <x:c r="DR165" s="27"/>
      <x:c r="DS165" s="27"/>
      <x:c r="DT165" s="27"/>
      <x:c r="DU165" s="27"/>
      <x:c r="DV165" s="27"/>
      <x:c r="DW165" s="27"/>
      <x:c r="DX165" s="27"/>
      <x:c r="DY165" s="27"/>
      <x:c r="DZ165" s="27"/>
      <x:c r="EA165" s="27"/>
      <x:c r="EB165" s="27"/>
      <x:c r="EC165" s="27"/>
      <x:c r="ED165" s="27"/>
      <x:c r="EE165" s="27"/>
      <x:c r="EF165" s="27"/>
      <x:c r="EG165" s="27"/>
      <x:c r="EH165" s="27"/>
      <x:c r="EI165" s="27"/>
      <x:c r="EJ165" s="27"/>
      <x:c r="EK165" s="27"/>
      <x:c r="EL165" s="27"/>
      <x:c r="EM165" s="27"/>
      <x:c r="EN165" s="27"/>
      <x:c r="EO165" s="27"/>
      <x:c r="EP165" s="27"/>
      <x:c r="EQ165" s="27"/>
      <x:c r="ER165" s="27"/>
      <x:c r="ES165" s="27"/>
      <x:c r="ET165" s="27"/>
      <x:c r="EU165" s="27"/>
      <x:c r="EV165" s="27"/>
      <x:c r="EW165" s="27"/>
      <x:c r="EX165" s="27"/>
      <x:c r="EY165" s="27"/>
      <x:c r="EZ165" s="27"/>
      <x:c r="FA165" s="27"/>
      <x:c r="FB165" s="27"/>
      <x:c r="FC165" s="27"/>
      <x:c r="FD165" s="27"/>
      <x:c r="FE165" s="27"/>
      <x:c r="FF165" s="27"/>
      <x:c r="FG165" s="27"/>
      <x:c r="FH165" s="27"/>
      <x:c r="FI165" s="27"/>
      <x:c r="FJ165" s="27"/>
      <x:c r="FK165" s="27"/>
      <x:c r="FL165" s="27"/>
      <x:c r="FM165" s="27"/>
      <x:c r="FN165" s="27"/>
      <x:c r="FO165" s="27"/>
      <x:c r="FP165" s="27"/>
      <x:c r="FQ165" s="27"/>
      <x:c r="FR165" s="27"/>
      <x:c r="FS165" s="27"/>
      <x:c r="FT165" s="27"/>
      <x:c r="FU165" s="27"/>
      <x:c r="FV165" s="27"/>
      <x:c r="FW165" s="27"/>
      <x:c r="FX165" s="27"/>
      <x:c r="FY165" s="27"/>
      <x:c r="FZ165" s="27"/>
      <x:c r="GA165" s="27"/>
      <x:c r="GB165" s="27"/>
      <x:c r="GC165" s="27"/>
      <x:c r="GD165" s="27"/>
      <x:c r="GE165" s="27"/>
      <x:c r="GF165" s="27"/>
      <x:c r="GG165" s="27"/>
      <x:c r="GH165" s="27"/>
      <x:c r="GI165" s="27"/>
      <x:c r="GJ165" s="27"/>
      <x:c r="GK165" s="27"/>
      <x:c r="GL165" s="27"/>
      <x:c r="GM165" s="27"/>
      <x:c r="GN165" s="27"/>
      <x:c r="GO165" s="27"/>
      <x:c r="GP165" s="27"/>
      <x:c r="GQ165" s="27"/>
      <x:c r="GR165" s="27"/>
      <x:c r="GS165" s="27"/>
      <x:c r="GT165" s="27"/>
      <x:c r="GU165" s="27"/>
      <x:c r="GV165" s="27"/>
      <x:c r="GW165" s="27"/>
      <x:c r="GX165" s="27"/>
      <x:c r="GY165" s="27"/>
      <x:c r="GZ165" s="27"/>
      <x:c r="HA165" s="27"/>
      <x:c r="HB165" s="27"/>
      <x:c r="HC165" s="27"/>
      <x:c r="HD165" s="27"/>
      <x:c r="HE165" s="27"/>
      <x:c r="HF165" s="27"/>
      <x:c r="HG165" s="27"/>
      <x:c r="HH165" s="27"/>
      <x:c r="HI165" s="27"/>
      <x:c r="HJ165" s="27"/>
      <x:c r="HK165" s="27"/>
      <x:c r="HL165" s="27"/>
      <x:c r="HM165" s="27"/>
      <x:c r="HN165" s="27"/>
      <x:c r="HO165" s="27"/>
      <x:c r="HP165" s="27" t="str">
        <x:f>IF(C165="","",SUM(H165,N165,T165,Z165,AF165,AL165,AR165,AX165,BD165,BJ165,BP165,BV165,CB165,CH165,CN165,CT165,CZ165,DF165,DL165,DR165,DX165,ED165,EJ165,EP165,EV165,FB165,FH165,FN165,FT165,FZ165,GF165,GL165,GR165,GX165,HD165,HJ165))</x:f>
      </x:c>
      <x:c r="HQ165" s="27" t="str">
        <x:f>IF(C165="","",SUM(I165,O165,U165,AA165,AG165,AM165,AS165,AY165,BE165,BK165,BQ165,BW165,CC165,CI165,CO165,CU165,DA165,DG165,DM165,DS165,DY165,EE165,EK165,EQ165,EW165,FC165,FI165,FO165,FU165,GA165,GG165,GM165,GS165,GY165,HE165,HK165))</x:f>
      </x:c>
      <x:c r="HR165" s="27" t="str">
        <x:f>IF(C165="","",SUM(J165,P165,V165,AB165,AH165,AN165,AT165,AZ165,BF165,BL165,BR165,BX165,CD165,CJ165,CP165,CV165,DB165,DH165,DN165,DT165,DZ165,EF165,EL165,ER165,EX165,FD165,FJ165,FP165,FV165,GB165,GH165,GN165,GT165,GZ165,HF165,HL165))</x:f>
      </x:c>
      <x:c r="HS165" s="27" t="str">
        <x:f>IF(C165="","",SUM(K165,Q165,W165,AC165,AI165,AO165,AU165,BA165,BG165,BM165,BS165,BY165,CE165,CK165,CQ165,CW165,DC165,DI165,DO165,DU165,EA165,EG165,EM165,ES165,EY165,FE165,FK165,FQ165,FW165,GC165,GI165,GO165,GU165,HA165,HG165,HM165))</x:f>
      </x:c>
      <x:c r="HT165" s="27" t="str">
        <x:f>IF(C165="","",SUM(L165,R165,X165,AD165,AJ165,AP165,AV165,BB165,BH165,BN165,BT165,BZ165,CF165,CL165,CR165,CX165,DD165,DJ165,DP165,DV165,EB165,EH165,EN165,ET165,EZ165,FF165,FL165,FR165,FX165,GD165,GJ165,GP165,GV165,HB165,HH165,HN165))</x:f>
      </x:c>
      <x:c r="HU165" s="27" t="str">
        <x:f>IF(C165="","",SUM(M165,S165,Y165,AE165,AK165,AQ165,AW165,BC165,BI165,BO165,BU165,CA165,CG165,CM165,CS165,CY165,DE165,DK165,DQ165,DW165,EC165,EI165,EO165,EU165,FA165,FG165,FM165,FS165,FY165,GE165,GK165,GQ165,GW165,HC165,HI165,HO165))</x:f>
      </x:c>
      <x:c r="HV165" s="27" t="str">
        <x:f>IF(C165="","",IF(JI165=LARGE(JI165:JN165,1),"R",IF(JJ165=LARGE(JI165:JN165,1),"I",IF(JK165=LARGE(JI165:JN165,1),"A",IF(JL165=LARGE(JI165:JN165,1),"S",IF(JM165=LARGE(JI165:JN165,1),"E",IF(JN165=LARGE(JI165:JN165,1),"C",""))))))&amp;IF(JI165=LARGE(JI165:JN165,2),"R",IF(JJ165=LARGE(JI165:JN165,2),"I",IF(JK165=LARGE(JI165:JN165,2),"A",IF(JL165=LARGE(JI165:JN165,2),"S",IF(JM165=LARGE(JI165:JN165,2),"E",IF(JN165=LARGE(JI165:JN165,2),"C",""))))))&amp;IF(JI165=LARGE(JI165:JN165,3),"R",IF(JJ165=LARGE(JI165:JN165,3),"I",IF(JK165=LARGE(JI165:JN165,3),"A",IF(JL165=LARGE(JI165:JN165,3),"S",IF(JM165=LARGE(JI165:JN165,3),"E",IF(JN165=LARGE(JI165:JN165,3),"C","")))))))</x:f>
      </x:c>
      <x:c r="HW165" s="27" t="str">
        <x:f>IF(C165="","",IF(JI165=LARGE(JI165:JN165,1),"นักปฏิบัติ",IF(JJ165=LARGE(JI165:JN165,1),"นักคิดวิเคราะห์",IF(JK165=LARGE(JI165:JN165,1),"นักสร้างสรรค์",IF(JL165=LARGE(JI165:JN165,1),"ผู้เข้าใจผู้คน",IF(JM165=LARGE(JI165:JN165,1),"ผู้นำการเปลี่ยนแปลง",IF(JN165=LARGE(JI165:JN165,1),"ผู้จัดระบบ","ผู้จัดระบบ")))))))</x:f>
      </x:c>
      <x:c r="HX165" s="27"/>
      <x:c r="HY165" s="27"/>
      <x:c r="HZ165" s="27"/>
      <x:c r="IA165" s="27"/>
      <x:c r="IB165" s="27"/>
      <x:c r="IC165" s="27"/>
      <x:c r="ID165" s="27"/>
      <x:c r="IE165" s="27"/>
      <x:c r="IF165" s="27"/>
      <x:c r="IG165" s="27"/>
      <x:c r="IH165" s="27"/>
      <x:c r="II165" s="27"/>
      <x:c r="IJ165" s="27"/>
      <x:c r="IK165" s="27" t="str">
        <x:f>IF(C165="","",SUM(H165,N165,T165,Z165,AF165,AL165,AR165,AX165,BD165,BJ165,BP165))</x:f>
      </x:c>
      <x:c r="IL165" s="27" t="str">
        <x:f>IF(C165="","",SUM(I165,O165,U165,AA165,AG165,AM165,AS165,AY165,BE165,BK165,BQ165))</x:f>
      </x:c>
      <x:c r="IM165" s="27" t="str">
        <x:f>IF(C165="","",SUM(J165,P165,V165,AB165,AH165,AN165,AT165,AZ165,BF165,BL165,BR165))</x:f>
      </x:c>
      <x:c r="IN165" s="27" t="str">
        <x:f>IF(C165="","",SUM(K165,Q165,W165,AC165,AI165,AO165,AU165,BA165,BG165,BM165,BS165))</x:f>
      </x:c>
      <x:c r="IO165" s="27" t="str">
        <x:f>IF(C165="","",SUM(L165,R165,X165,AD165,AJ165,AP165,AV165,BB165,BH165,BN165,BT165))</x:f>
      </x:c>
      <x:c r="IP165" s="27" t="str">
        <x:f>IF(C165="","",SUM(M165,S165,Y165,AE165,AK165,AQ165,AW165,BC165,BI165,BO165,BU165))</x:f>
      </x:c>
      <x:c r="IQ165" s="27" t="str">
        <x:f>IF(C165="","",SUM(BV165,CB165,CH165,CN165,CT165,CZ165,DF165,DL165,DR165,DX165,ED165))</x:f>
      </x:c>
      <x:c r="IR165" s="27" t="str">
        <x:f>IF(C165="","",SUM(BW165,CC165,CI165,CO165,CU165,DA165,DG165,DM165,DS165,DY165,EE165))</x:f>
      </x:c>
      <x:c r="IS165" s="27" t="str">
        <x:f>IF(C165="","",SUM(BX165,CD165,CJ165,CP165,CV165,DB165,DH165,DN165,DT165,DZ165,EF165))</x:f>
      </x:c>
      <x:c r="IT165" s="27" t="str">
        <x:f>IF(C165="","",SUM(BY165,CE165,CK165,CQ165,CW165,DC165,DI165,DO165,DU165,EA165,EG165))</x:f>
      </x:c>
      <x:c r="IU165" s="27" t="str">
        <x:f>IF(C165="","",SUM(BZ165,CF165,CL165,CR165,CX165,DD165,DJ165,DP165,DV165,EB165,EH165))</x:f>
      </x:c>
      <x:c r="IV165" s="27" t="str">
        <x:f>IF(C165="","",SUM(CA165,CG165,CM165,CS165,CY165,DE165,DK165,DQ165,DW165,EC165,EI165))</x:f>
      </x:c>
      <x:c r="IW165" s="27" t="str">
        <x:f>IF(C165="","",SUM(EJ165,EP165,EV165,FB165,FH165,FN165,FT165,FZ165,GF165,GL165,GR165,GX165,HD165,HJ165))</x:f>
      </x:c>
      <x:c r="IX165" s="27" t="str">
        <x:f>IF(C165="","",SUM(EK165,EQ165,EW165,FC165,FI165,FO165,FU165,GA165,GG165,GM165,GS165,GY165,HE165,HK165))</x:f>
      </x:c>
      <x:c r="IY165" s="27" t="str">
        <x:f>IF(C165="","",SUM(EL165,ER165,EX165,FD165,FJ165,FP165,FV165,GB165,GH165,GN165,GT165,GZ165,HF165,HL165))</x:f>
      </x:c>
      <x:c r="IZ165" s="27" t="str">
        <x:f>IF(C165="","",SUM(EM165,ES165,EY165,FE165,FK165,FQ165,FW165,GC165,GI165,GO165,GU165,HA165,HG165,HM165))</x:f>
      </x:c>
      <x:c r="JA165" s="27" t="str">
        <x:f>IF(C165="","",SUM(EN165,ET165,EZ165,FF165,FL165,FR165,FX165,GD165,GJ165,GP165,GV165,HB165,HH165,HN165))</x:f>
      </x:c>
      <x:c r="JB165" s="27" t="str">
        <x:f>IF(C165="","",SUM(EO165,EU165,FA165,FG165,FM165,FS165,FY165,GE165,GK165,GQ165,GW165,HC165,HI165,HO165))</x:f>
      </x:c>
      <x:c r="JC165" s="27" t="str">
        <x:f>IF(C165="","",0)</x:f>
      </x:c>
      <x:c r="JD165" s="27" t="str">
        <x:f>IF(C165="","",0)</x:f>
      </x:c>
      <x:c r="JE165" s="27" t="str">
        <x:f>IF(C165="","",0)</x:f>
      </x:c>
      <x:c r="JF165" s="27" t="str">
        <x:f>IF(C165="","",0)</x:f>
      </x:c>
      <x:c r="JG165" s="27" t="str">
        <x:f>IF(C165="","",0)</x:f>
      </x:c>
      <x:c r="JH165" s="27" t="str">
        <x:f>IF(C165="","",0)</x:f>
      </x:c>
      <x:c r="JI165" s="27" t="str">
        <x:f>IF(C165="","",HP165*1000000000+IW165*1000000+IQ165*10000+IK165*100+JC165+6/1000)</x:f>
      </x:c>
      <x:c r="JJ165" s="27" t="str">
        <x:f>IF(C165="","",HQ165*1000000000+IX165*1000000+IR165*10000+IL165*100+JD165+5/1000)</x:f>
      </x:c>
      <x:c r="JK165" s="27" t="str">
        <x:f>IF(C165="","",HR165*1000000000+IY165*1000000+IS165*10000+IM165*100+JE165+4/1000)</x:f>
      </x:c>
      <x:c r="JL165" s="27" t="str">
        <x:f>IF(C165="","",HS165*1000000000+IZ165*1000000+IT165*10000+IN165*100+JF165+3/1000)</x:f>
      </x:c>
      <x:c r="JM165" s="27" t="str">
        <x:f>IF(C165="","",HT165*1000000000+JA165*1000000+IU165*10000+IO165*100+JG165+2/1000)</x:f>
      </x:c>
      <x:c r="JN165" s="27" t="str">
        <x:f>IF(C165="","",HU165*1000000000+JB165*1000000+IV165*10000+IP165*100+JH165+1/1000)</x:f>
      </x:c>
    </x:row>
    <x:row r="166">
      <x:c r="A166" s="27"/>
      <x:c r="B166" s="28"/>
      <x:c r="C166" s="27"/>
      <x:c r="D166" s="27"/>
      <x:c r="E166" s="27"/>
      <x:c r="F166" s="27"/>
      <x:c r="G166" s="27"/>
      <x:c r="H166" s="27"/>
      <x:c r="I166" s="27"/>
      <x:c r="J166" s="27"/>
      <x:c r="K166" s="27"/>
      <x:c r="L166" s="27"/>
      <x:c r="M166" s="27"/>
      <x:c r="N166" s="27"/>
      <x:c r="O166" s="27"/>
      <x:c r="P166" s="27"/>
      <x:c r="Q166" s="27"/>
      <x:c r="R166" s="27"/>
      <x:c r="S166" s="27"/>
      <x:c r="T166" s="27"/>
      <x:c r="U166" s="27"/>
      <x:c r="V166" s="27"/>
      <x:c r="W166" s="27"/>
      <x:c r="X166" s="27"/>
      <x:c r="Y166" s="27"/>
      <x:c r="Z166" s="27"/>
      <x:c r="AA166" s="27"/>
      <x:c r="AB166" s="27"/>
      <x:c r="AC166" s="27"/>
      <x:c r="AD166" s="27"/>
      <x:c r="AE166" s="27"/>
      <x:c r="AF166" s="27"/>
      <x:c r="AG166" s="27"/>
      <x:c r="AH166" s="27"/>
      <x:c r="AI166" s="27"/>
      <x:c r="AJ166" s="27"/>
      <x:c r="AK166" s="27"/>
      <x:c r="AL166" s="27"/>
      <x:c r="AM166" s="27"/>
      <x:c r="AN166" s="27"/>
      <x:c r="AO166" s="27"/>
      <x:c r="AP166" s="27"/>
      <x:c r="AQ166" s="27"/>
      <x:c r="AR166" s="27"/>
      <x:c r="AS166" s="27"/>
      <x:c r="AT166" s="27"/>
      <x:c r="AU166" s="27"/>
      <x:c r="AV166" s="27"/>
      <x:c r="AW166" s="27"/>
      <x:c r="AX166" s="27"/>
      <x:c r="AY166" s="27"/>
      <x:c r="AZ166" s="27"/>
      <x:c r="BA166" s="27"/>
      <x:c r="BB166" s="27"/>
      <x:c r="BC166" s="27"/>
      <x:c r="BD166" s="27"/>
      <x:c r="BE166" s="27"/>
      <x:c r="BF166" s="27"/>
      <x:c r="BG166" s="27"/>
      <x:c r="BH166" s="27"/>
      <x:c r="BI166" s="27"/>
      <x:c r="BJ166" s="27"/>
      <x:c r="BK166" s="27"/>
      <x:c r="BL166" s="27"/>
      <x:c r="BM166" s="27"/>
      <x:c r="BN166" s="27"/>
      <x:c r="BO166" s="27"/>
      <x:c r="BP166" s="27"/>
      <x:c r="BQ166" s="27"/>
      <x:c r="BR166" s="27"/>
      <x:c r="BS166" s="27"/>
      <x:c r="BT166" s="27"/>
      <x:c r="BU166" s="27"/>
      <x:c r="BV166" s="27"/>
      <x:c r="BW166" s="27"/>
      <x:c r="BX166" s="27"/>
      <x:c r="BY166" s="27"/>
      <x:c r="BZ166" s="27"/>
      <x:c r="CA166" s="27"/>
      <x:c r="CB166" s="27"/>
      <x:c r="CC166" s="27"/>
      <x:c r="CD166" s="27"/>
      <x:c r="CE166" s="27"/>
      <x:c r="CF166" s="27"/>
      <x:c r="CG166" s="27"/>
      <x:c r="CH166" s="27"/>
      <x:c r="CI166" s="27"/>
      <x:c r="CJ166" s="27"/>
      <x:c r="CK166" s="27"/>
      <x:c r="CL166" s="27"/>
      <x:c r="CM166" s="27"/>
      <x:c r="CN166" s="27"/>
      <x:c r="CO166" s="27"/>
      <x:c r="CP166" s="27"/>
      <x:c r="CQ166" s="27"/>
      <x:c r="CR166" s="27"/>
      <x:c r="CS166" s="27"/>
      <x:c r="CT166" s="27"/>
      <x:c r="CU166" s="27"/>
      <x:c r="CV166" s="27"/>
      <x:c r="CW166" s="27"/>
      <x:c r="CX166" s="27"/>
      <x:c r="CY166" s="27"/>
      <x:c r="CZ166" s="27"/>
      <x:c r="DA166" s="27"/>
      <x:c r="DB166" s="27"/>
      <x:c r="DC166" s="27"/>
      <x:c r="DD166" s="27"/>
      <x:c r="DE166" s="27"/>
      <x:c r="DF166" s="27"/>
      <x:c r="DG166" s="27"/>
      <x:c r="DH166" s="27"/>
      <x:c r="DI166" s="27"/>
      <x:c r="DJ166" s="27"/>
      <x:c r="DK166" s="27"/>
      <x:c r="DL166" s="27"/>
      <x:c r="DM166" s="27"/>
      <x:c r="DN166" s="27"/>
      <x:c r="DO166" s="27"/>
      <x:c r="DP166" s="27"/>
      <x:c r="DQ166" s="27"/>
      <x:c r="DR166" s="27"/>
      <x:c r="DS166" s="27"/>
      <x:c r="DT166" s="27"/>
      <x:c r="DU166" s="27"/>
      <x:c r="DV166" s="27"/>
      <x:c r="DW166" s="27"/>
      <x:c r="DX166" s="27"/>
      <x:c r="DY166" s="27"/>
      <x:c r="DZ166" s="27"/>
      <x:c r="EA166" s="27"/>
      <x:c r="EB166" s="27"/>
      <x:c r="EC166" s="27"/>
      <x:c r="ED166" s="27"/>
      <x:c r="EE166" s="27"/>
      <x:c r="EF166" s="27"/>
      <x:c r="EG166" s="27"/>
      <x:c r="EH166" s="27"/>
      <x:c r="EI166" s="27"/>
      <x:c r="EJ166" s="27"/>
      <x:c r="EK166" s="27"/>
      <x:c r="EL166" s="27"/>
      <x:c r="EM166" s="27"/>
      <x:c r="EN166" s="27"/>
      <x:c r="EO166" s="27"/>
      <x:c r="EP166" s="27"/>
      <x:c r="EQ166" s="27"/>
      <x:c r="ER166" s="27"/>
      <x:c r="ES166" s="27"/>
      <x:c r="ET166" s="27"/>
      <x:c r="EU166" s="27"/>
      <x:c r="EV166" s="27"/>
      <x:c r="EW166" s="27"/>
      <x:c r="EX166" s="27"/>
      <x:c r="EY166" s="27"/>
      <x:c r="EZ166" s="27"/>
      <x:c r="FA166" s="27"/>
      <x:c r="FB166" s="27"/>
      <x:c r="FC166" s="27"/>
      <x:c r="FD166" s="27"/>
      <x:c r="FE166" s="27"/>
      <x:c r="FF166" s="27"/>
      <x:c r="FG166" s="27"/>
      <x:c r="FH166" s="27"/>
      <x:c r="FI166" s="27"/>
      <x:c r="FJ166" s="27"/>
      <x:c r="FK166" s="27"/>
      <x:c r="FL166" s="27"/>
      <x:c r="FM166" s="27"/>
      <x:c r="FN166" s="27"/>
      <x:c r="FO166" s="27"/>
      <x:c r="FP166" s="27"/>
      <x:c r="FQ166" s="27"/>
      <x:c r="FR166" s="27"/>
      <x:c r="FS166" s="27"/>
      <x:c r="FT166" s="27"/>
      <x:c r="FU166" s="27"/>
      <x:c r="FV166" s="27"/>
      <x:c r="FW166" s="27"/>
      <x:c r="FX166" s="27"/>
      <x:c r="FY166" s="27"/>
      <x:c r="FZ166" s="27"/>
      <x:c r="GA166" s="27"/>
      <x:c r="GB166" s="27"/>
      <x:c r="GC166" s="27"/>
      <x:c r="GD166" s="27"/>
      <x:c r="GE166" s="27"/>
      <x:c r="GF166" s="27"/>
      <x:c r="GG166" s="27"/>
      <x:c r="GH166" s="27"/>
      <x:c r="GI166" s="27"/>
      <x:c r="GJ166" s="27"/>
      <x:c r="GK166" s="27"/>
      <x:c r="GL166" s="27"/>
      <x:c r="GM166" s="27"/>
      <x:c r="GN166" s="27"/>
      <x:c r="GO166" s="27"/>
      <x:c r="GP166" s="27"/>
      <x:c r="GQ166" s="27"/>
      <x:c r="GR166" s="27"/>
      <x:c r="GS166" s="27"/>
      <x:c r="GT166" s="27"/>
      <x:c r="GU166" s="27"/>
      <x:c r="GV166" s="27"/>
      <x:c r="GW166" s="27"/>
      <x:c r="GX166" s="27"/>
      <x:c r="GY166" s="27"/>
      <x:c r="GZ166" s="27"/>
      <x:c r="HA166" s="27"/>
      <x:c r="HB166" s="27"/>
      <x:c r="HC166" s="27"/>
      <x:c r="HD166" s="27"/>
      <x:c r="HE166" s="27"/>
      <x:c r="HF166" s="27"/>
      <x:c r="HG166" s="27"/>
      <x:c r="HH166" s="27"/>
      <x:c r="HI166" s="27"/>
      <x:c r="HJ166" s="27"/>
      <x:c r="HK166" s="27"/>
      <x:c r="HL166" s="27"/>
      <x:c r="HM166" s="27"/>
      <x:c r="HN166" s="27"/>
      <x:c r="HO166" s="27"/>
      <x:c r="HP166" s="27" t="str">
        <x:f>IF(C166="","",SUM(H166,N166,T166,Z166,AF166,AL166,AR166,AX166,BD166,BJ166,BP166,BV166,CB166,CH166,CN166,CT166,CZ166,DF166,DL166,DR166,DX166,ED166,EJ166,EP166,EV166,FB166,FH166,FN166,FT166,FZ166,GF166,GL166,GR166,GX166,HD166,HJ166))</x:f>
      </x:c>
      <x:c r="HQ166" s="27" t="str">
        <x:f>IF(C166="","",SUM(I166,O166,U166,AA166,AG166,AM166,AS166,AY166,BE166,BK166,BQ166,BW166,CC166,CI166,CO166,CU166,DA166,DG166,DM166,DS166,DY166,EE166,EK166,EQ166,EW166,FC166,FI166,FO166,FU166,GA166,GG166,GM166,GS166,GY166,HE166,HK166))</x:f>
      </x:c>
      <x:c r="HR166" s="27" t="str">
        <x:f>IF(C166="","",SUM(J166,P166,V166,AB166,AH166,AN166,AT166,AZ166,BF166,BL166,BR166,BX166,CD166,CJ166,CP166,CV166,DB166,DH166,DN166,DT166,DZ166,EF166,EL166,ER166,EX166,FD166,FJ166,FP166,FV166,GB166,GH166,GN166,GT166,GZ166,HF166,HL166))</x:f>
      </x:c>
      <x:c r="HS166" s="27" t="str">
        <x:f>IF(C166="","",SUM(K166,Q166,W166,AC166,AI166,AO166,AU166,BA166,BG166,BM166,BS166,BY166,CE166,CK166,CQ166,CW166,DC166,DI166,DO166,DU166,EA166,EG166,EM166,ES166,EY166,FE166,FK166,FQ166,FW166,GC166,GI166,GO166,GU166,HA166,HG166,HM166))</x:f>
      </x:c>
      <x:c r="HT166" s="27" t="str">
        <x:f>IF(C166="","",SUM(L166,R166,X166,AD166,AJ166,AP166,AV166,BB166,BH166,BN166,BT166,BZ166,CF166,CL166,CR166,CX166,DD166,DJ166,DP166,DV166,EB166,EH166,EN166,ET166,EZ166,FF166,FL166,FR166,FX166,GD166,GJ166,GP166,GV166,HB166,HH166,HN166))</x:f>
      </x:c>
      <x:c r="HU166" s="27" t="str">
        <x:f>IF(C166="","",SUM(M166,S166,Y166,AE166,AK166,AQ166,AW166,BC166,BI166,BO166,BU166,CA166,CG166,CM166,CS166,CY166,DE166,DK166,DQ166,DW166,EC166,EI166,EO166,EU166,FA166,FG166,FM166,FS166,FY166,GE166,GK166,GQ166,GW166,HC166,HI166,HO166))</x:f>
      </x:c>
      <x:c r="HV166" s="27" t="str">
        <x:f>IF(C166="","",IF(JI166=LARGE(JI166:JN166,1),"R",IF(JJ166=LARGE(JI166:JN166,1),"I",IF(JK166=LARGE(JI166:JN166,1),"A",IF(JL166=LARGE(JI166:JN166,1),"S",IF(JM166=LARGE(JI166:JN166,1),"E",IF(JN166=LARGE(JI166:JN166,1),"C",""))))))&amp;IF(JI166=LARGE(JI166:JN166,2),"R",IF(JJ166=LARGE(JI166:JN166,2),"I",IF(JK166=LARGE(JI166:JN166,2),"A",IF(JL166=LARGE(JI166:JN166,2),"S",IF(JM166=LARGE(JI166:JN166,2),"E",IF(JN166=LARGE(JI166:JN166,2),"C",""))))))&amp;IF(JI166=LARGE(JI166:JN166,3),"R",IF(JJ166=LARGE(JI166:JN166,3),"I",IF(JK166=LARGE(JI166:JN166,3),"A",IF(JL166=LARGE(JI166:JN166,3),"S",IF(JM166=LARGE(JI166:JN166,3),"E",IF(JN166=LARGE(JI166:JN166,3),"C","")))))))</x:f>
      </x:c>
      <x:c r="HW166" s="27" t="str">
        <x:f>IF(C166="","",IF(JI166=LARGE(JI166:JN166,1),"นักปฏิบัติ",IF(JJ166=LARGE(JI166:JN166,1),"นักคิดวิเคราะห์",IF(JK166=LARGE(JI166:JN166,1),"นักสร้างสรรค์",IF(JL166=LARGE(JI166:JN166,1),"ผู้เข้าใจผู้คน",IF(JM166=LARGE(JI166:JN166,1),"ผู้นำการเปลี่ยนแปลง",IF(JN166=LARGE(JI166:JN166,1),"ผู้จัดระบบ","ผู้จัดระบบ")))))))</x:f>
      </x:c>
      <x:c r="HX166" s="27"/>
      <x:c r="HY166" s="27"/>
      <x:c r="HZ166" s="27"/>
      <x:c r="IA166" s="27"/>
      <x:c r="IB166" s="27"/>
      <x:c r="IC166" s="27"/>
      <x:c r="ID166" s="27"/>
      <x:c r="IE166" s="27"/>
      <x:c r="IF166" s="27"/>
      <x:c r="IG166" s="27"/>
      <x:c r="IH166" s="27"/>
      <x:c r="II166" s="27"/>
      <x:c r="IJ166" s="27"/>
      <x:c r="IK166" s="27" t="str">
        <x:f>IF(C166="","",SUM(H166,N166,T166,Z166,AF166,AL166,AR166,AX166,BD166,BJ166,BP166))</x:f>
      </x:c>
      <x:c r="IL166" s="27" t="str">
        <x:f>IF(C166="","",SUM(I166,O166,U166,AA166,AG166,AM166,AS166,AY166,BE166,BK166,BQ166))</x:f>
      </x:c>
      <x:c r="IM166" s="27" t="str">
        <x:f>IF(C166="","",SUM(J166,P166,V166,AB166,AH166,AN166,AT166,AZ166,BF166,BL166,BR166))</x:f>
      </x:c>
      <x:c r="IN166" s="27" t="str">
        <x:f>IF(C166="","",SUM(K166,Q166,W166,AC166,AI166,AO166,AU166,BA166,BG166,BM166,BS166))</x:f>
      </x:c>
      <x:c r="IO166" s="27" t="str">
        <x:f>IF(C166="","",SUM(L166,R166,X166,AD166,AJ166,AP166,AV166,BB166,BH166,BN166,BT166))</x:f>
      </x:c>
      <x:c r="IP166" s="27" t="str">
        <x:f>IF(C166="","",SUM(M166,S166,Y166,AE166,AK166,AQ166,AW166,BC166,BI166,BO166,BU166))</x:f>
      </x:c>
      <x:c r="IQ166" s="27" t="str">
        <x:f>IF(C166="","",SUM(BV166,CB166,CH166,CN166,CT166,CZ166,DF166,DL166,DR166,DX166,ED166))</x:f>
      </x:c>
      <x:c r="IR166" s="27" t="str">
        <x:f>IF(C166="","",SUM(BW166,CC166,CI166,CO166,CU166,DA166,DG166,DM166,DS166,DY166,EE166))</x:f>
      </x:c>
      <x:c r="IS166" s="27" t="str">
        <x:f>IF(C166="","",SUM(BX166,CD166,CJ166,CP166,CV166,DB166,DH166,DN166,DT166,DZ166,EF166))</x:f>
      </x:c>
      <x:c r="IT166" s="27" t="str">
        <x:f>IF(C166="","",SUM(BY166,CE166,CK166,CQ166,CW166,DC166,DI166,DO166,DU166,EA166,EG166))</x:f>
      </x:c>
      <x:c r="IU166" s="27" t="str">
        <x:f>IF(C166="","",SUM(BZ166,CF166,CL166,CR166,CX166,DD166,DJ166,DP166,DV166,EB166,EH166))</x:f>
      </x:c>
      <x:c r="IV166" s="27" t="str">
        <x:f>IF(C166="","",SUM(CA166,CG166,CM166,CS166,CY166,DE166,DK166,DQ166,DW166,EC166,EI166))</x:f>
      </x:c>
      <x:c r="IW166" s="27" t="str">
        <x:f>IF(C166="","",SUM(EJ166,EP166,EV166,FB166,FH166,FN166,FT166,FZ166,GF166,GL166,GR166,GX166,HD166,HJ166))</x:f>
      </x:c>
      <x:c r="IX166" s="27" t="str">
        <x:f>IF(C166="","",SUM(EK166,EQ166,EW166,FC166,FI166,FO166,FU166,GA166,GG166,GM166,GS166,GY166,HE166,HK166))</x:f>
      </x:c>
      <x:c r="IY166" s="27" t="str">
        <x:f>IF(C166="","",SUM(EL166,ER166,EX166,FD166,FJ166,FP166,FV166,GB166,GH166,GN166,GT166,GZ166,HF166,HL166))</x:f>
      </x:c>
      <x:c r="IZ166" s="27" t="str">
        <x:f>IF(C166="","",SUM(EM166,ES166,EY166,FE166,FK166,FQ166,FW166,GC166,GI166,GO166,GU166,HA166,HG166,HM166))</x:f>
      </x:c>
      <x:c r="JA166" s="27" t="str">
        <x:f>IF(C166="","",SUM(EN166,ET166,EZ166,FF166,FL166,FR166,FX166,GD166,GJ166,GP166,GV166,HB166,HH166,HN166))</x:f>
      </x:c>
      <x:c r="JB166" s="27" t="str">
        <x:f>IF(C166="","",SUM(EO166,EU166,FA166,FG166,FM166,FS166,FY166,GE166,GK166,GQ166,GW166,HC166,HI166,HO166))</x:f>
      </x:c>
      <x:c r="JC166" s="27" t="str">
        <x:f>IF(C166="","",0)</x:f>
      </x:c>
      <x:c r="JD166" s="27" t="str">
        <x:f>IF(C166="","",0)</x:f>
      </x:c>
      <x:c r="JE166" s="27" t="str">
        <x:f>IF(C166="","",0)</x:f>
      </x:c>
      <x:c r="JF166" s="27" t="str">
        <x:f>IF(C166="","",0)</x:f>
      </x:c>
      <x:c r="JG166" s="27" t="str">
        <x:f>IF(C166="","",0)</x:f>
      </x:c>
      <x:c r="JH166" s="27" t="str">
        <x:f>IF(C166="","",0)</x:f>
      </x:c>
      <x:c r="JI166" s="27" t="str">
        <x:f>IF(C166="","",HP166*1000000000+IW166*1000000+IQ166*10000+IK166*100+JC166+6/1000)</x:f>
      </x:c>
      <x:c r="JJ166" s="27" t="str">
        <x:f>IF(C166="","",HQ166*1000000000+IX166*1000000+IR166*10000+IL166*100+JD166+5/1000)</x:f>
      </x:c>
      <x:c r="JK166" s="27" t="str">
        <x:f>IF(C166="","",HR166*1000000000+IY166*1000000+IS166*10000+IM166*100+JE166+4/1000)</x:f>
      </x:c>
      <x:c r="JL166" s="27" t="str">
        <x:f>IF(C166="","",HS166*1000000000+IZ166*1000000+IT166*10000+IN166*100+JF166+3/1000)</x:f>
      </x:c>
      <x:c r="JM166" s="27" t="str">
        <x:f>IF(C166="","",HT166*1000000000+JA166*1000000+IU166*10000+IO166*100+JG166+2/1000)</x:f>
      </x:c>
      <x:c r="JN166" s="27" t="str">
        <x:f>IF(C166="","",HU166*1000000000+JB166*1000000+IV166*10000+IP166*100+JH166+1/1000)</x:f>
      </x:c>
    </x:row>
    <x:row r="167">
      <x:c r="A167" s="27"/>
      <x:c r="B167" s="28"/>
      <x:c r="C167" s="27"/>
      <x:c r="D167" s="27"/>
      <x:c r="E167" s="27"/>
      <x:c r="F167" s="27"/>
      <x:c r="G167" s="27"/>
      <x:c r="H167" s="27"/>
      <x:c r="I167" s="27"/>
      <x:c r="J167" s="27"/>
      <x:c r="K167" s="27"/>
      <x:c r="L167" s="27"/>
      <x:c r="M167" s="27"/>
      <x:c r="N167" s="27"/>
      <x:c r="O167" s="27"/>
      <x:c r="P167" s="27"/>
      <x:c r="Q167" s="27"/>
      <x:c r="R167" s="27"/>
      <x:c r="S167" s="27"/>
      <x:c r="T167" s="27"/>
      <x:c r="U167" s="27"/>
      <x:c r="V167" s="27"/>
      <x:c r="W167" s="27"/>
      <x:c r="X167" s="27"/>
      <x:c r="Y167" s="27"/>
      <x:c r="Z167" s="27"/>
      <x:c r="AA167" s="27"/>
      <x:c r="AB167" s="27"/>
      <x:c r="AC167" s="27"/>
      <x:c r="AD167" s="27"/>
      <x:c r="AE167" s="27"/>
      <x:c r="AF167" s="27"/>
      <x:c r="AG167" s="27"/>
      <x:c r="AH167" s="27"/>
      <x:c r="AI167" s="27"/>
      <x:c r="AJ167" s="27"/>
      <x:c r="AK167" s="27"/>
      <x:c r="AL167" s="27"/>
      <x:c r="AM167" s="27"/>
      <x:c r="AN167" s="27"/>
      <x:c r="AO167" s="27"/>
      <x:c r="AP167" s="27"/>
      <x:c r="AQ167" s="27"/>
      <x:c r="AR167" s="27"/>
      <x:c r="AS167" s="27"/>
      <x:c r="AT167" s="27"/>
      <x:c r="AU167" s="27"/>
      <x:c r="AV167" s="27"/>
      <x:c r="AW167" s="27"/>
      <x:c r="AX167" s="27"/>
      <x:c r="AY167" s="27"/>
      <x:c r="AZ167" s="27"/>
      <x:c r="BA167" s="27"/>
      <x:c r="BB167" s="27"/>
      <x:c r="BC167" s="27"/>
      <x:c r="BD167" s="27"/>
      <x:c r="BE167" s="27"/>
      <x:c r="BF167" s="27"/>
      <x:c r="BG167" s="27"/>
      <x:c r="BH167" s="27"/>
      <x:c r="BI167" s="27"/>
      <x:c r="BJ167" s="27"/>
      <x:c r="BK167" s="27"/>
      <x:c r="BL167" s="27"/>
      <x:c r="BM167" s="27"/>
      <x:c r="BN167" s="27"/>
      <x:c r="BO167" s="27"/>
      <x:c r="BP167" s="27"/>
      <x:c r="BQ167" s="27"/>
      <x:c r="BR167" s="27"/>
      <x:c r="BS167" s="27"/>
      <x:c r="BT167" s="27"/>
      <x:c r="BU167" s="27"/>
      <x:c r="BV167" s="27"/>
      <x:c r="BW167" s="27"/>
      <x:c r="BX167" s="27"/>
      <x:c r="BY167" s="27"/>
      <x:c r="BZ167" s="27"/>
      <x:c r="CA167" s="27"/>
      <x:c r="CB167" s="27"/>
      <x:c r="CC167" s="27"/>
      <x:c r="CD167" s="27"/>
      <x:c r="CE167" s="27"/>
      <x:c r="CF167" s="27"/>
      <x:c r="CG167" s="27"/>
      <x:c r="CH167" s="27"/>
      <x:c r="CI167" s="27"/>
      <x:c r="CJ167" s="27"/>
      <x:c r="CK167" s="27"/>
      <x:c r="CL167" s="27"/>
      <x:c r="CM167" s="27"/>
      <x:c r="CN167" s="27"/>
      <x:c r="CO167" s="27"/>
      <x:c r="CP167" s="27"/>
      <x:c r="CQ167" s="27"/>
      <x:c r="CR167" s="27"/>
      <x:c r="CS167" s="27"/>
      <x:c r="CT167" s="27"/>
      <x:c r="CU167" s="27"/>
      <x:c r="CV167" s="27"/>
      <x:c r="CW167" s="27"/>
      <x:c r="CX167" s="27"/>
      <x:c r="CY167" s="27"/>
      <x:c r="CZ167" s="27"/>
      <x:c r="DA167" s="27"/>
      <x:c r="DB167" s="27"/>
      <x:c r="DC167" s="27"/>
      <x:c r="DD167" s="27"/>
      <x:c r="DE167" s="27"/>
      <x:c r="DF167" s="27"/>
      <x:c r="DG167" s="27"/>
      <x:c r="DH167" s="27"/>
      <x:c r="DI167" s="27"/>
      <x:c r="DJ167" s="27"/>
      <x:c r="DK167" s="27"/>
      <x:c r="DL167" s="27"/>
      <x:c r="DM167" s="27"/>
      <x:c r="DN167" s="27"/>
      <x:c r="DO167" s="27"/>
      <x:c r="DP167" s="27"/>
      <x:c r="DQ167" s="27"/>
      <x:c r="DR167" s="27"/>
      <x:c r="DS167" s="27"/>
      <x:c r="DT167" s="27"/>
      <x:c r="DU167" s="27"/>
      <x:c r="DV167" s="27"/>
      <x:c r="DW167" s="27"/>
      <x:c r="DX167" s="27"/>
      <x:c r="DY167" s="27"/>
      <x:c r="DZ167" s="27"/>
      <x:c r="EA167" s="27"/>
      <x:c r="EB167" s="27"/>
      <x:c r="EC167" s="27"/>
      <x:c r="ED167" s="27"/>
      <x:c r="EE167" s="27"/>
      <x:c r="EF167" s="27"/>
      <x:c r="EG167" s="27"/>
      <x:c r="EH167" s="27"/>
      <x:c r="EI167" s="27"/>
      <x:c r="EJ167" s="27"/>
      <x:c r="EK167" s="27"/>
      <x:c r="EL167" s="27"/>
      <x:c r="EM167" s="27"/>
      <x:c r="EN167" s="27"/>
      <x:c r="EO167" s="27"/>
      <x:c r="EP167" s="27"/>
      <x:c r="EQ167" s="27"/>
      <x:c r="ER167" s="27"/>
      <x:c r="ES167" s="27"/>
      <x:c r="ET167" s="27"/>
      <x:c r="EU167" s="27"/>
      <x:c r="EV167" s="27"/>
      <x:c r="EW167" s="27"/>
      <x:c r="EX167" s="27"/>
      <x:c r="EY167" s="27"/>
      <x:c r="EZ167" s="27"/>
      <x:c r="FA167" s="27"/>
      <x:c r="FB167" s="27"/>
      <x:c r="FC167" s="27"/>
      <x:c r="FD167" s="27"/>
      <x:c r="FE167" s="27"/>
      <x:c r="FF167" s="27"/>
      <x:c r="FG167" s="27"/>
      <x:c r="FH167" s="27"/>
      <x:c r="FI167" s="27"/>
      <x:c r="FJ167" s="27"/>
      <x:c r="FK167" s="27"/>
      <x:c r="FL167" s="27"/>
      <x:c r="FM167" s="27"/>
      <x:c r="FN167" s="27"/>
      <x:c r="FO167" s="27"/>
      <x:c r="FP167" s="27"/>
      <x:c r="FQ167" s="27"/>
      <x:c r="FR167" s="27"/>
      <x:c r="FS167" s="27"/>
      <x:c r="FT167" s="27"/>
      <x:c r="FU167" s="27"/>
      <x:c r="FV167" s="27"/>
      <x:c r="FW167" s="27"/>
      <x:c r="FX167" s="27"/>
      <x:c r="FY167" s="27"/>
      <x:c r="FZ167" s="27"/>
      <x:c r="GA167" s="27"/>
      <x:c r="GB167" s="27"/>
      <x:c r="GC167" s="27"/>
      <x:c r="GD167" s="27"/>
      <x:c r="GE167" s="27"/>
      <x:c r="GF167" s="27"/>
      <x:c r="GG167" s="27"/>
      <x:c r="GH167" s="27"/>
      <x:c r="GI167" s="27"/>
      <x:c r="GJ167" s="27"/>
      <x:c r="GK167" s="27"/>
      <x:c r="GL167" s="27"/>
      <x:c r="GM167" s="27"/>
      <x:c r="GN167" s="27"/>
      <x:c r="GO167" s="27"/>
      <x:c r="GP167" s="27"/>
      <x:c r="GQ167" s="27"/>
      <x:c r="GR167" s="27"/>
      <x:c r="GS167" s="27"/>
      <x:c r="GT167" s="27"/>
      <x:c r="GU167" s="27"/>
      <x:c r="GV167" s="27"/>
      <x:c r="GW167" s="27"/>
      <x:c r="GX167" s="27"/>
      <x:c r="GY167" s="27"/>
      <x:c r="GZ167" s="27"/>
      <x:c r="HA167" s="27"/>
      <x:c r="HB167" s="27"/>
      <x:c r="HC167" s="27"/>
      <x:c r="HD167" s="27"/>
      <x:c r="HE167" s="27"/>
      <x:c r="HF167" s="27"/>
      <x:c r="HG167" s="27"/>
      <x:c r="HH167" s="27"/>
      <x:c r="HI167" s="27"/>
      <x:c r="HJ167" s="27"/>
      <x:c r="HK167" s="27"/>
      <x:c r="HL167" s="27"/>
      <x:c r="HM167" s="27"/>
      <x:c r="HN167" s="27"/>
      <x:c r="HO167" s="27"/>
      <x:c r="HP167" s="27" t="str">
        <x:f>IF(C167="","",SUM(H167,N167,T167,Z167,AF167,AL167,AR167,AX167,BD167,BJ167,BP167,BV167,CB167,CH167,CN167,CT167,CZ167,DF167,DL167,DR167,DX167,ED167,EJ167,EP167,EV167,FB167,FH167,FN167,FT167,FZ167,GF167,GL167,GR167,GX167,HD167,HJ167))</x:f>
      </x:c>
      <x:c r="HQ167" s="27" t="str">
        <x:f>IF(C167="","",SUM(I167,O167,U167,AA167,AG167,AM167,AS167,AY167,BE167,BK167,BQ167,BW167,CC167,CI167,CO167,CU167,DA167,DG167,DM167,DS167,DY167,EE167,EK167,EQ167,EW167,FC167,FI167,FO167,FU167,GA167,GG167,GM167,GS167,GY167,HE167,HK167))</x:f>
      </x:c>
      <x:c r="HR167" s="27" t="str">
        <x:f>IF(C167="","",SUM(J167,P167,V167,AB167,AH167,AN167,AT167,AZ167,BF167,BL167,BR167,BX167,CD167,CJ167,CP167,CV167,DB167,DH167,DN167,DT167,DZ167,EF167,EL167,ER167,EX167,FD167,FJ167,FP167,FV167,GB167,GH167,GN167,GT167,GZ167,HF167,HL167))</x:f>
      </x:c>
      <x:c r="HS167" s="27" t="str">
        <x:f>IF(C167="","",SUM(K167,Q167,W167,AC167,AI167,AO167,AU167,BA167,BG167,BM167,BS167,BY167,CE167,CK167,CQ167,CW167,DC167,DI167,DO167,DU167,EA167,EG167,EM167,ES167,EY167,FE167,FK167,FQ167,FW167,GC167,GI167,GO167,GU167,HA167,HG167,HM167))</x:f>
      </x:c>
      <x:c r="HT167" s="27" t="str">
        <x:f>IF(C167="","",SUM(L167,R167,X167,AD167,AJ167,AP167,AV167,BB167,BH167,BN167,BT167,BZ167,CF167,CL167,CR167,CX167,DD167,DJ167,DP167,DV167,EB167,EH167,EN167,ET167,EZ167,FF167,FL167,FR167,FX167,GD167,GJ167,GP167,GV167,HB167,HH167,HN167))</x:f>
      </x:c>
      <x:c r="HU167" s="27" t="str">
        <x:f>IF(C167="","",SUM(M167,S167,Y167,AE167,AK167,AQ167,AW167,BC167,BI167,BO167,BU167,CA167,CG167,CM167,CS167,CY167,DE167,DK167,DQ167,DW167,EC167,EI167,EO167,EU167,FA167,FG167,FM167,FS167,FY167,GE167,GK167,GQ167,GW167,HC167,HI167,HO167))</x:f>
      </x:c>
      <x:c r="HV167" s="27" t="str">
        <x:f>IF(C167="","",IF(JI167=LARGE(JI167:JN167,1),"R",IF(JJ167=LARGE(JI167:JN167,1),"I",IF(JK167=LARGE(JI167:JN167,1),"A",IF(JL167=LARGE(JI167:JN167,1),"S",IF(JM167=LARGE(JI167:JN167,1),"E",IF(JN167=LARGE(JI167:JN167,1),"C",""))))))&amp;IF(JI167=LARGE(JI167:JN167,2),"R",IF(JJ167=LARGE(JI167:JN167,2),"I",IF(JK167=LARGE(JI167:JN167,2),"A",IF(JL167=LARGE(JI167:JN167,2),"S",IF(JM167=LARGE(JI167:JN167,2),"E",IF(JN167=LARGE(JI167:JN167,2),"C",""))))))&amp;IF(JI167=LARGE(JI167:JN167,3),"R",IF(JJ167=LARGE(JI167:JN167,3),"I",IF(JK167=LARGE(JI167:JN167,3),"A",IF(JL167=LARGE(JI167:JN167,3),"S",IF(JM167=LARGE(JI167:JN167,3),"E",IF(JN167=LARGE(JI167:JN167,3),"C","")))))))</x:f>
      </x:c>
      <x:c r="HW167" s="27" t="str">
        <x:f>IF(C167="","",IF(JI167=LARGE(JI167:JN167,1),"นักปฏิบัติ",IF(JJ167=LARGE(JI167:JN167,1),"นักคิดวิเคราะห์",IF(JK167=LARGE(JI167:JN167,1),"นักสร้างสรรค์",IF(JL167=LARGE(JI167:JN167,1),"ผู้เข้าใจผู้คน",IF(JM167=LARGE(JI167:JN167,1),"ผู้นำการเปลี่ยนแปลง",IF(JN167=LARGE(JI167:JN167,1),"ผู้จัดระบบ","ผู้จัดระบบ")))))))</x:f>
      </x:c>
      <x:c r="HX167" s="27"/>
      <x:c r="HY167" s="27"/>
      <x:c r="HZ167" s="27"/>
      <x:c r="IA167" s="27"/>
      <x:c r="IB167" s="27"/>
      <x:c r="IC167" s="27"/>
      <x:c r="ID167" s="27"/>
      <x:c r="IE167" s="27"/>
      <x:c r="IF167" s="27"/>
      <x:c r="IG167" s="27"/>
      <x:c r="IH167" s="27"/>
      <x:c r="II167" s="27"/>
      <x:c r="IJ167" s="27"/>
      <x:c r="IK167" s="27" t="str">
        <x:f>IF(C167="","",SUM(H167,N167,T167,Z167,AF167,AL167,AR167,AX167,BD167,BJ167,BP167))</x:f>
      </x:c>
      <x:c r="IL167" s="27" t="str">
        <x:f>IF(C167="","",SUM(I167,O167,U167,AA167,AG167,AM167,AS167,AY167,BE167,BK167,BQ167))</x:f>
      </x:c>
      <x:c r="IM167" s="27" t="str">
        <x:f>IF(C167="","",SUM(J167,P167,V167,AB167,AH167,AN167,AT167,AZ167,BF167,BL167,BR167))</x:f>
      </x:c>
      <x:c r="IN167" s="27" t="str">
        <x:f>IF(C167="","",SUM(K167,Q167,W167,AC167,AI167,AO167,AU167,BA167,BG167,BM167,BS167))</x:f>
      </x:c>
      <x:c r="IO167" s="27" t="str">
        <x:f>IF(C167="","",SUM(L167,R167,X167,AD167,AJ167,AP167,AV167,BB167,BH167,BN167,BT167))</x:f>
      </x:c>
      <x:c r="IP167" s="27" t="str">
        <x:f>IF(C167="","",SUM(M167,S167,Y167,AE167,AK167,AQ167,AW167,BC167,BI167,BO167,BU167))</x:f>
      </x:c>
      <x:c r="IQ167" s="27" t="str">
        <x:f>IF(C167="","",SUM(BV167,CB167,CH167,CN167,CT167,CZ167,DF167,DL167,DR167,DX167,ED167))</x:f>
      </x:c>
      <x:c r="IR167" s="27" t="str">
        <x:f>IF(C167="","",SUM(BW167,CC167,CI167,CO167,CU167,DA167,DG167,DM167,DS167,DY167,EE167))</x:f>
      </x:c>
      <x:c r="IS167" s="27" t="str">
        <x:f>IF(C167="","",SUM(BX167,CD167,CJ167,CP167,CV167,DB167,DH167,DN167,DT167,DZ167,EF167))</x:f>
      </x:c>
      <x:c r="IT167" s="27" t="str">
        <x:f>IF(C167="","",SUM(BY167,CE167,CK167,CQ167,CW167,DC167,DI167,DO167,DU167,EA167,EG167))</x:f>
      </x:c>
      <x:c r="IU167" s="27" t="str">
        <x:f>IF(C167="","",SUM(BZ167,CF167,CL167,CR167,CX167,DD167,DJ167,DP167,DV167,EB167,EH167))</x:f>
      </x:c>
      <x:c r="IV167" s="27" t="str">
        <x:f>IF(C167="","",SUM(CA167,CG167,CM167,CS167,CY167,DE167,DK167,DQ167,DW167,EC167,EI167))</x:f>
      </x:c>
      <x:c r="IW167" s="27" t="str">
        <x:f>IF(C167="","",SUM(EJ167,EP167,EV167,FB167,FH167,FN167,FT167,FZ167,GF167,GL167,GR167,GX167,HD167,HJ167))</x:f>
      </x:c>
      <x:c r="IX167" s="27" t="str">
        <x:f>IF(C167="","",SUM(EK167,EQ167,EW167,FC167,FI167,FO167,FU167,GA167,GG167,GM167,GS167,GY167,HE167,HK167))</x:f>
      </x:c>
      <x:c r="IY167" s="27" t="str">
        <x:f>IF(C167="","",SUM(EL167,ER167,EX167,FD167,FJ167,FP167,FV167,GB167,GH167,GN167,GT167,GZ167,HF167,HL167))</x:f>
      </x:c>
      <x:c r="IZ167" s="27" t="str">
        <x:f>IF(C167="","",SUM(EM167,ES167,EY167,FE167,FK167,FQ167,FW167,GC167,GI167,GO167,GU167,HA167,HG167,HM167))</x:f>
      </x:c>
      <x:c r="JA167" s="27" t="str">
        <x:f>IF(C167="","",SUM(EN167,ET167,EZ167,FF167,FL167,FR167,FX167,GD167,GJ167,GP167,GV167,HB167,HH167,HN167))</x:f>
      </x:c>
      <x:c r="JB167" s="27" t="str">
        <x:f>IF(C167="","",SUM(EO167,EU167,FA167,FG167,FM167,FS167,FY167,GE167,GK167,GQ167,GW167,HC167,HI167,HO167))</x:f>
      </x:c>
      <x:c r="JC167" s="27" t="str">
        <x:f>IF(C167="","",0)</x:f>
      </x:c>
      <x:c r="JD167" s="27" t="str">
        <x:f>IF(C167="","",0)</x:f>
      </x:c>
      <x:c r="JE167" s="27" t="str">
        <x:f>IF(C167="","",0)</x:f>
      </x:c>
      <x:c r="JF167" s="27" t="str">
        <x:f>IF(C167="","",0)</x:f>
      </x:c>
      <x:c r="JG167" s="27" t="str">
        <x:f>IF(C167="","",0)</x:f>
      </x:c>
      <x:c r="JH167" s="27" t="str">
        <x:f>IF(C167="","",0)</x:f>
      </x:c>
      <x:c r="JI167" s="27" t="str">
        <x:f>IF(C167="","",HP167*1000000000+IW167*1000000+IQ167*10000+IK167*100+JC167+6/1000)</x:f>
      </x:c>
      <x:c r="JJ167" s="27" t="str">
        <x:f>IF(C167="","",HQ167*1000000000+IX167*1000000+IR167*10000+IL167*100+JD167+5/1000)</x:f>
      </x:c>
      <x:c r="JK167" s="27" t="str">
        <x:f>IF(C167="","",HR167*1000000000+IY167*1000000+IS167*10000+IM167*100+JE167+4/1000)</x:f>
      </x:c>
      <x:c r="JL167" s="27" t="str">
        <x:f>IF(C167="","",HS167*1000000000+IZ167*1000000+IT167*10000+IN167*100+JF167+3/1000)</x:f>
      </x:c>
      <x:c r="JM167" s="27" t="str">
        <x:f>IF(C167="","",HT167*1000000000+JA167*1000000+IU167*10000+IO167*100+JG167+2/1000)</x:f>
      </x:c>
      <x:c r="JN167" s="27" t="str">
        <x:f>IF(C167="","",HU167*1000000000+JB167*1000000+IV167*10000+IP167*100+JH167+1/1000)</x:f>
      </x:c>
    </x:row>
    <x:row r="168">
      <x:c r="A168" s="27"/>
      <x:c r="B168" s="28"/>
      <x:c r="C168" s="27"/>
      <x:c r="D168" s="27"/>
      <x:c r="E168" s="27"/>
      <x:c r="F168" s="27"/>
      <x:c r="G168" s="27"/>
      <x:c r="H168" s="27"/>
      <x:c r="I168" s="27"/>
      <x:c r="J168" s="27"/>
      <x:c r="K168" s="27"/>
      <x:c r="L168" s="27"/>
      <x:c r="M168" s="27"/>
      <x:c r="N168" s="27"/>
      <x:c r="O168" s="27"/>
      <x:c r="P168" s="27"/>
      <x:c r="Q168" s="27"/>
      <x:c r="R168" s="27"/>
      <x:c r="S168" s="27"/>
      <x:c r="T168" s="27"/>
      <x:c r="U168" s="27"/>
      <x:c r="V168" s="27"/>
      <x:c r="W168" s="27"/>
      <x:c r="X168" s="27"/>
      <x:c r="Y168" s="27"/>
      <x:c r="Z168" s="27"/>
      <x:c r="AA168" s="27"/>
      <x:c r="AB168" s="27"/>
      <x:c r="AC168" s="27"/>
      <x:c r="AD168" s="27"/>
      <x:c r="AE168" s="27"/>
      <x:c r="AF168" s="27"/>
      <x:c r="AG168" s="27"/>
      <x:c r="AH168" s="27"/>
      <x:c r="AI168" s="27"/>
      <x:c r="AJ168" s="27"/>
      <x:c r="AK168" s="27"/>
      <x:c r="AL168" s="27"/>
      <x:c r="AM168" s="27"/>
      <x:c r="AN168" s="27"/>
      <x:c r="AO168" s="27"/>
      <x:c r="AP168" s="27"/>
      <x:c r="AQ168" s="27"/>
      <x:c r="AR168" s="27"/>
      <x:c r="AS168" s="27"/>
      <x:c r="AT168" s="27"/>
      <x:c r="AU168" s="27"/>
      <x:c r="AV168" s="27"/>
      <x:c r="AW168" s="27"/>
      <x:c r="AX168" s="27"/>
      <x:c r="AY168" s="27"/>
      <x:c r="AZ168" s="27"/>
      <x:c r="BA168" s="27"/>
      <x:c r="BB168" s="27"/>
      <x:c r="BC168" s="27"/>
      <x:c r="BD168" s="27"/>
      <x:c r="BE168" s="27"/>
      <x:c r="BF168" s="27"/>
      <x:c r="BG168" s="27"/>
      <x:c r="BH168" s="27"/>
      <x:c r="BI168" s="27"/>
      <x:c r="BJ168" s="27"/>
      <x:c r="BK168" s="27"/>
      <x:c r="BL168" s="27"/>
      <x:c r="BM168" s="27"/>
      <x:c r="BN168" s="27"/>
      <x:c r="BO168" s="27"/>
      <x:c r="BP168" s="27"/>
      <x:c r="BQ168" s="27"/>
      <x:c r="BR168" s="27"/>
      <x:c r="BS168" s="27"/>
      <x:c r="BT168" s="27"/>
      <x:c r="BU168" s="27"/>
      <x:c r="BV168" s="27"/>
      <x:c r="BW168" s="27"/>
      <x:c r="BX168" s="27"/>
      <x:c r="BY168" s="27"/>
      <x:c r="BZ168" s="27"/>
      <x:c r="CA168" s="27"/>
      <x:c r="CB168" s="27"/>
      <x:c r="CC168" s="27"/>
      <x:c r="CD168" s="27"/>
      <x:c r="CE168" s="27"/>
      <x:c r="CF168" s="27"/>
      <x:c r="CG168" s="27"/>
      <x:c r="CH168" s="27"/>
      <x:c r="CI168" s="27"/>
      <x:c r="CJ168" s="27"/>
      <x:c r="CK168" s="27"/>
      <x:c r="CL168" s="27"/>
      <x:c r="CM168" s="27"/>
      <x:c r="CN168" s="27"/>
      <x:c r="CO168" s="27"/>
      <x:c r="CP168" s="27"/>
      <x:c r="CQ168" s="27"/>
      <x:c r="CR168" s="27"/>
      <x:c r="CS168" s="27"/>
      <x:c r="CT168" s="27"/>
      <x:c r="CU168" s="27"/>
      <x:c r="CV168" s="27"/>
      <x:c r="CW168" s="27"/>
      <x:c r="CX168" s="27"/>
      <x:c r="CY168" s="27"/>
      <x:c r="CZ168" s="27"/>
      <x:c r="DA168" s="27"/>
      <x:c r="DB168" s="27"/>
      <x:c r="DC168" s="27"/>
      <x:c r="DD168" s="27"/>
      <x:c r="DE168" s="27"/>
      <x:c r="DF168" s="27"/>
      <x:c r="DG168" s="27"/>
      <x:c r="DH168" s="27"/>
      <x:c r="DI168" s="27"/>
      <x:c r="DJ168" s="27"/>
      <x:c r="DK168" s="27"/>
      <x:c r="DL168" s="27"/>
      <x:c r="DM168" s="27"/>
      <x:c r="DN168" s="27"/>
      <x:c r="DO168" s="27"/>
      <x:c r="DP168" s="27"/>
      <x:c r="DQ168" s="27"/>
      <x:c r="DR168" s="27"/>
      <x:c r="DS168" s="27"/>
      <x:c r="DT168" s="27"/>
      <x:c r="DU168" s="27"/>
      <x:c r="DV168" s="27"/>
      <x:c r="DW168" s="27"/>
      <x:c r="DX168" s="27"/>
      <x:c r="DY168" s="27"/>
      <x:c r="DZ168" s="27"/>
      <x:c r="EA168" s="27"/>
      <x:c r="EB168" s="27"/>
      <x:c r="EC168" s="27"/>
      <x:c r="ED168" s="27"/>
      <x:c r="EE168" s="27"/>
      <x:c r="EF168" s="27"/>
      <x:c r="EG168" s="27"/>
      <x:c r="EH168" s="27"/>
      <x:c r="EI168" s="27"/>
      <x:c r="EJ168" s="27"/>
      <x:c r="EK168" s="27"/>
      <x:c r="EL168" s="27"/>
      <x:c r="EM168" s="27"/>
      <x:c r="EN168" s="27"/>
      <x:c r="EO168" s="27"/>
      <x:c r="EP168" s="27"/>
      <x:c r="EQ168" s="27"/>
      <x:c r="ER168" s="27"/>
      <x:c r="ES168" s="27"/>
      <x:c r="ET168" s="27"/>
      <x:c r="EU168" s="27"/>
      <x:c r="EV168" s="27"/>
      <x:c r="EW168" s="27"/>
      <x:c r="EX168" s="27"/>
      <x:c r="EY168" s="27"/>
      <x:c r="EZ168" s="27"/>
      <x:c r="FA168" s="27"/>
      <x:c r="FB168" s="27"/>
      <x:c r="FC168" s="27"/>
      <x:c r="FD168" s="27"/>
      <x:c r="FE168" s="27"/>
      <x:c r="FF168" s="27"/>
      <x:c r="FG168" s="27"/>
      <x:c r="FH168" s="27"/>
      <x:c r="FI168" s="27"/>
      <x:c r="FJ168" s="27"/>
      <x:c r="FK168" s="27"/>
      <x:c r="FL168" s="27"/>
      <x:c r="FM168" s="27"/>
      <x:c r="FN168" s="27"/>
      <x:c r="FO168" s="27"/>
      <x:c r="FP168" s="27"/>
      <x:c r="FQ168" s="27"/>
      <x:c r="FR168" s="27"/>
      <x:c r="FS168" s="27"/>
      <x:c r="FT168" s="27"/>
      <x:c r="FU168" s="27"/>
      <x:c r="FV168" s="27"/>
      <x:c r="FW168" s="27"/>
      <x:c r="FX168" s="27"/>
      <x:c r="FY168" s="27"/>
      <x:c r="FZ168" s="27"/>
      <x:c r="GA168" s="27"/>
      <x:c r="GB168" s="27"/>
      <x:c r="GC168" s="27"/>
      <x:c r="GD168" s="27"/>
      <x:c r="GE168" s="27"/>
      <x:c r="GF168" s="27"/>
      <x:c r="GG168" s="27"/>
      <x:c r="GH168" s="27"/>
      <x:c r="GI168" s="27"/>
      <x:c r="GJ168" s="27"/>
      <x:c r="GK168" s="27"/>
      <x:c r="GL168" s="27"/>
      <x:c r="GM168" s="27"/>
      <x:c r="GN168" s="27"/>
      <x:c r="GO168" s="27"/>
      <x:c r="GP168" s="27"/>
      <x:c r="GQ168" s="27"/>
      <x:c r="GR168" s="27"/>
      <x:c r="GS168" s="27"/>
      <x:c r="GT168" s="27"/>
      <x:c r="GU168" s="27"/>
      <x:c r="GV168" s="27"/>
      <x:c r="GW168" s="27"/>
      <x:c r="GX168" s="27"/>
      <x:c r="GY168" s="27"/>
      <x:c r="GZ168" s="27"/>
      <x:c r="HA168" s="27"/>
      <x:c r="HB168" s="27"/>
      <x:c r="HC168" s="27"/>
      <x:c r="HD168" s="27"/>
      <x:c r="HE168" s="27"/>
      <x:c r="HF168" s="27"/>
      <x:c r="HG168" s="27"/>
      <x:c r="HH168" s="27"/>
      <x:c r="HI168" s="27"/>
      <x:c r="HJ168" s="27"/>
      <x:c r="HK168" s="27"/>
      <x:c r="HL168" s="27"/>
      <x:c r="HM168" s="27"/>
      <x:c r="HN168" s="27"/>
      <x:c r="HO168" s="27"/>
      <x:c r="HP168" s="27" t="str">
        <x:f>IF(C168="","",SUM(H168,N168,T168,Z168,AF168,AL168,AR168,AX168,BD168,BJ168,BP168,BV168,CB168,CH168,CN168,CT168,CZ168,DF168,DL168,DR168,DX168,ED168,EJ168,EP168,EV168,FB168,FH168,FN168,FT168,FZ168,GF168,GL168,GR168,GX168,HD168,HJ168))</x:f>
      </x:c>
      <x:c r="HQ168" s="27" t="str">
        <x:f>IF(C168="","",SUM(I168,O168,U168,AA168,AG168,AM168,AS168,AY168,BE168,BK168,BQ168,BW168,CC168,CI168,CO168,CU168,DA168,DG168,DM168,DS168,DY168,EE168,EK168,EQ168,EW168,FC168,FI168,FO168,FU168,GA168,GG168,GM168,GS168,GY168,HE168,HK168))</x:f>
      </x:c>
      <x:c r="HR168" s="27" t="str">
        <x:f>IF(C168="","",SUM(J168,P168,V168,AB168,AH168,AN168,AT168,AZ168,BF168,BL168,BR168,BX168,CD168,CJ168,CP168,CV168,DB168,DH168,DN168,DT168,DZ168,EF168,EL168,ER168,EX168,FD168,FJ168,FP168,FV168,GB168,GH168,GN168,GT168,GZ168,HF168,HL168))</x:f>
      </x:c>
      <x:c r="HS168" s="27" t="str">
        <x:f>IF(C168="","",SUM(K168,Q168,W168,AC168,AI168,AO168,AU168,BA168,BG168,BM168,BS168,BY168,CE168,CK168,CQ168,CW168,DC168,DI168,DO168,DU168,EA168,EG168,EM168,ES168,EY168,FE168,FK168,FQ168,FW168,GC168,GI168,GO168,GU168,HA168,HG168,HM168))</x:f>
      </x:c>
      <x:c r="HT168" s="27" t="str">
        <x:f>IF(C168="","",SUM(L168,R168,X168,AD168,AJ168,AP168,AV168,BB168,BH168,BN168,BT168,BZ168,CF168,CL168,CR168,CX168,DD168,DJ168,DP168,DV168,EB168,EH168,EN168,ET168,EZ168,FF168,FL168,FR168,FX168,GD168,GJ168,GP168,GV168,HB168,HH168,HN168))</x:f>
      </x:c>
      <x:c r="HU168" s="27" t="str">
        <x:f>IF(C168="","",SUM(M168,S168,Y168,AE168,AK168,AQ168,AW168,BC168,BI168,BO168,BU168,CA168,CG168,CM168,CS168,CY168,DE168,DK168,DQ168,DW168,EC168,EI168,EO168,EU168,FA168,FG168,FM168,FS168,FY168,GE168,GK168,GQ168,GW168,HC168,HI168,HO168))</x:f>
      </x:c>
      <x:c r="HV168" s="27" t="str">
        <x:f>IF(C168="","",IF(JI168=LARGE(JI168:JN168,1),"R",IF(JJ168=LARGE(JI168:JN168,1),"I",IF(JK168=LARGE(JI168:JN168,1),"A",IF(JL168=LARGE(JI168:JN168,1),"S",IF(JM168=LARGE(JI168:JN168,1),"E",IF(JN168=LARGE(JI168:JN168,1),"C",""))))))&amp;IF(JI168=LARGE(JI168:JN168,2),"R",IF(JJ168=LARGE(JI168:JN168,2),"I",IF(JK168=LARGE(JI168:JN168,2),"A",IF(JL168=LARGE(JI168:JN168,2),"S",IF(JM168=LARGE(JI168:JN168,2),"E",IF(JN168=LARGE(JI168:JN168,2),"C",""))))))&amp;IF(JI168=LARGE(JI168:JN168,3),"R",IF(JJ168=LARGE(JI168:JN168,3),"I",IF(JK168=LARGE(JI168:JN168,3),"A",IF(JL168=LARGE(JI168:JN168,3),"S",IF(JM168=LARGE(JI168:JN168,3),"E",IF(JN168=LARGE(JI168:JN168,3),"C","")))))))</x:f>
      </x:c>
      <x:c r="HW168" s="27" t="str">
        <x:f>IF(C168="","",IF(JI168=LARGE(JI168:JN168,1),"นักปฏิบัติ",IF(JJ168=LARGE(JI168:JN168,1),"นักคิดวิเคราะห์",IF(JK168=LARGE(JI168:JN168,1),"นักสร้างสรรค์",IF(JL168=LARGE(JI168:JN168,1),"ผู้เข้าใจผู้คน",IF(JM168=LARGE(JI168:JN168,1),"ผู้นำการเปลี่ยนแปลง",IF(JN168=LARGE(JI168:JN168,1),"ผู้จัดระบบ","ผู้จัดระบบ")))))))</x:f>
      </x:c>
      <x:c r="HX168" s="27"/>
      <x:c r="HY168" s="27"/>
      <x:c r="HZ168" s="27"/>
      <x:c r="IA168" s="27"/>
      <x:c r="IB168" s="27"/>
      <x:c r="IC168" s="27"/>
      <x:c r="ID168" s="27"/>
      <x:c r="IE168" s="27"/>
      <x:c r="IF168" s="27"/>
      <x:c r="IG168" s="27"/>
      <x:c r="IH168" s="27"/>
      <x:c r="II168" s="27"/>
      <x:c r="IJ168" s="27"/>
      <x:c r="IK168" s="27" t="str">
        <x:f>IF(C168="","",SUM(H168,N168,T168,Z168,AF168,AL168,AR168,AX168,BD168,BJ168,BP168))</x:f>
      </x:c>
      <x:c r="IL168" s="27" t="str">
        <x:f>IF(C168="","",SUM(I168,O168,U168,AA168,AG168,AM168,AS168,AY168,BE168,BK168,BQ168))</x:f>
      </x:c>
      <x:c r="IM168" s="27" t="str">
        <x:f>IF(C168="","",SUM(J168,P168,V168,AB168,AH168,AN168,AT168,AZ168,BF168,BL168,BR168))</x:f>
      </x:c>
      <x:c r="IN168" s="27" t="str">
        <x:f>IF(C168="","",SUM(K168,Q168,W168,AC168,AI168,AO168,AU168,BA168,BG168,BM168,BS168))</x:f>
      </x:c>
      <x:c r="IO168" s="27" t="str">
        <x:f>IF(C168="","",SUM(L168,R168,X168,AD168,AJ168,AP168,AV168,BB168,BH168,BN168,BT168))</x:f>
      </x:c>
      <x:c r="IP168" s="27" t="str">
        <x:f>IF(C168="","",SUM(M168,S168,Y168,AE168,AK168,AQ168,AW168,BC168,BI168,BO168,BU168))</x:f>
      </x:c>
      <x:c r="IQ168" s="27" t="str">
        <x:f>IF(C168="","",SUM(BV168,CB168,CH168,CN168,CT168,CZ168,DF168,DL168,DR168,DX168,ED168))</x:f>
      </x:c>
      <x:c r="IR168" s="27" t="str">
        <x:f>IF(C168="","",SUM(BW168,CC168,CI168,CO168,CU168,DA168,DG168,DM168,DS168,DY168,EE168))</x:f>
      </x:c>
      <x:c r="IS168" s="27" t="str">
        <x:f>IF(C168="","",SUM(BX168,CD168,CJ168,CP168,CV168,DB168,DH168,DN168,DT168,DZ168,EF168))</x:f>
      </x:c>
      <x:c r="IT168" s="27" t="str">
        <x:f>IF(C168="","",SUM(BY168,CE168,CK168,CQ168,CW168,DC168,DI168,DO168,DU168,EA168,EG168))</x:f>
      </x:c>
      <x:c r="IU168" s="27" t="str">
        <x:f>IF(C168="","",SUM(BZ168,CF168,CL168,CR168,CX168,DD168,DJ168,DP168,DV168,EB168,EH168))</x:f>
      </x:c>
      <x:c r="IV168" s="27" t="str">
        <x:f>IF(C168="","",SUM(CA168,CG168,CM168,CS168,CY168,DE168,DK168,DQ168,DW168,EC168,EI168))</x:f>
      </x:c>
      <x:c r="IW168" s="27" t="str">
        <x:f>IF(C168="","",SUM(EJ168,EP168,EV168,FB168,FH168,FN168,FT168,FZ168,GF168,GL168,GR168,GX168,HD168,HJ168))</x:f>
      </x:c>
      <x:c r="IX168" s="27" t="str">
        <x:f>IF(C168="","",SUM(EK168,EQ168,EW168,FC168,FI168,FO168,FU168,GA168,GG168,GM168,GS168,GY168,HE168,HK168))</x:f>
      </x:c>
      <x:c r="IY168" s="27" t="str">
        <x:f>IF(C168="","",SUM(EL168,ER168,EX168,FD168,FJ168,FP168,FV168,GB168,GH168,GN168,GT168,GZ168,HF168,HL168))</x:f>
      </x:c>
      <x:c r="IZ168" s="27" t="str">
        <x:f>IF(C168="","",SUM(EM168,ES168,EY168,FE168,FK168,FQ168,FW168,GC168,GI168,GO168,GU168,HA168,HG168,HM168))</x:f>
      </x:c>
      <x:c r="JA168" s="27" t="str">
        <x:f>IF(C168="","",SUM(EN168,ET168,EZ168,FF168,FL168,FR168,FX168,GD168,GJ168,GP168,GV168,HB168,HH168,HN168))</x:f>
      </x:c>
      <x:c r="JB168" s="27" t="str">
        <x:f>IF(C168="","",SUM(EO168,EU168,FA168,FG168,FM168,FS168,FY168,GE168,GK168,GQ168,GW168,HC168,HI168,HO168))</x:f>
      </x:c>
      <x:c r="JC168" s="27" t="str">
        <x:f>IF(C168="","",0)</x:f>
      </x:c>
      <x:c r="JD168" s="27" t="str">
        <x:f>IF(C168="","",0)</x:f>
      </x:c>
      <x:c r="JE168" s="27" t="str">
        <x:f>IF(C168="","",0)</x:f>
      </x:c>
      <x:c r="JF168" s="27" t="str">
        <x:f>IF(C168="","",0)</x:f>
      </x:c>
      <x:c r="JG168" s="27" t="str">
        <x:f>IF(C168="","",0)</x:f>
      </x:c>
      <x:c r="JH168" s="27" t="str">
        <x:f>IF(C168="","",0)</x:f>
      </x:c>
      <x:c r="JI168" s="27" t="str">
        <x:f>IF(C168="","",HP168*1000000000+IW168*1000000+IQ168*10000+IK168*100+JC168+6/1000)</x:f>
      </x:c>
      <x:c r="JJ168" s="27" t="str">
        <x:f>IF(C168="","",HQ168*1000000000+IX168*1000000+IR168*10000+IL168*100+JD168+5/1000)</x:f>
      </x:c>
      <x:c r="JK168" s="27" t="str">
        <x:f>IF(C168="","",HR168*1000000000+IY168*1000000+IS168*10000+IM168*100+JE168+4/1000)</x:f>
      </x:c>
      <x:c r="JL168" s="27" t="str">
        <x:f>IF(C168="","",HS168*1000000000+IZ168*1000000+IT168*10000+IN168*100+JF168+3/1000)</x:f>
      </x:c>
      <x:c r="JM168" s="27" t="str">
        <x:f>IF(C168="","",HT168*1000000000+JA168*1000000+IU168*10000+IO168*100+JG168+2/1000)</x:f>
      </x:c>
      <x:c r="JN168" s="27" t="str">
        <x:f>IF(C168="","",HU168*1000000000+JB168*1000000+IV168*10000+IP168*100+JH168+1/1000)</x:f>
      </x:c>
    </x:row>
    <x:row r="169">
      <x:c r="A169" s="27"/>
      <x:c r="B169" s="28"/>
      <x:c r="C169" s="27"/>
      <x:c r="D169" s="27"/>
      <x:c r="E169" s="27"/>
      <x:c r="F169" s="27"/>
      <x:c r="G169" s="27"/>
      <x:c r="H169" s="27"/>
      <x:c r="I169" s="27"/>
      <x:c r="J169" s="27"/>
      <x:c r="K169" s="27"/>
      <x:c r="L169" s="27"/>
      <x:c r="M169" s="27"/>
      <x:c r="N169" s="27"/>
      <x:c r="O169" s="27"/>
      <x:c r="P169" s="27"/>
      <x:c r="Q169" s="27"/>
      <x:c r="R169" s="27"/>
      <x:c r="S169" s="27"/>
      <x:c r="T169" s="27"/>
      <x:c r="U169" s="27"/>
      <x:c r="V169" s="27"/>
      <x:c r="W169" s="27"/>
      <x:c r="X169" s="27"/>
      <x:c r="Y169" s="27"/>
      <x:c r="Z169" s="27"/>
      <x:c r="AA169" s="27"/>
      <x:c r="AB169" s="27"/>
      <x:c r="AC169" s="27"/>
      <x:c r="AD169" s="27"/>
      <x:c r="AE169" s="27"/>
      <x:c r="AF169" s="27"/>
      <x:c r="AG169" s="27"/>
      <x:c r="AH169" s="27"/>
      <x:c r="AI169" s="27"/>
      <x:c r="AJ169" s="27"/>
      <x:c r="AK169" s="27"/>
      <x:c r="AL169" s="27"/>
      <x:c r="AM169" s="27"/>
      <x:c r="AN169" s="27"/>
      <x:c r="AO169" s="27"/>
      <x:c r="AP169" s="27"/>
      <x:c r="AQ169" s="27"/>
      <x:c r="AR169" s="27"/>
      <x:c r="AS169" s="27"/>
      <x:c r="AT169" s="27"/>
      <x:c r="AU169" s="27"/>
      <x:c r="AV169" s="27"/>
      <x:c r="AW169" s="27"/>
      <x:c r="AX169" s="27"/>
      <x:c r="AY169" s="27"/>
      <x:c r="AZ169" s="27"/>
      <x:c r="BA169" s="27"/>
      <x:c r="BB169" s="27"/>
      <x:c r="BC169" s="27"/>
      <x:c r="BD169" s="27"/>
      <x:c r="BE169" s="27"/>
      <x:c r="BF169" s="27"/>
      <x:c r="BG169" s="27"/>
      <x:c r="BH169" s="27"/>
      <x:c r="BI169" s="27"/>
      <x:c r="BJ169" s="27"/>
      <x:c r="BK169" s="27"/>
      <x:c r="BL169" s="27"/>
      <x:c r="BM169" s="27"/>
      <x:c r="BN169" s="27"/>
      <x:c r="BO169" s="27"/>
      <x:c r="BP169" s="27"/>
      <x:c r="BQ169" s="27"/>
      <x:c r="BR169" s="27"/>
      <x:c r="BS169" s="27"/>
      <x:c r="BT169" s="27"/>
      <x:c r="BU169" s="27"/>
      <x:c r="BV169" s="27"/>
      <x:c r="BW169" s="27"/>
      <x:c r="BX169" s="27"/>
      <x:c r="BY169" s="27"/>
      <x:c r="BZ169" s="27"/>
      <x:c r="CA169" s="27"/>
      <x:c r="CB169" s="27"/>
      <x:c r="CC169" s="27"/>
      <x:c r="CD169" s="27"/>
      <x:c r="CE169" s="27"/>
      <x:c r="CF169" s="27"/>
      <x:c r="CG169" s="27"/>
      <x:c r="CH169" s="27"/>
      <x:c r="CI169" s="27"/>
      <x:c r="CJ169" s="27"/>
      <x:c r="CK169" s="27"/>
      <x:c r="CL169" s="27"/>
      <x:c r="CM169" s="27"/>
      <x:c r="CN169" s="27"/>
      <x:c r="CO169" s="27"/>
      <x:c r="CP169" s="27"/>
      <x:c r="CQ169" s="27"/>
      <x:c r="CR169" s="27"/>
      <x:c r="CS169" s="27"/>
      <x:c r="CT169" s="27"/>
      <x:c r="CU169" s="27"/>
      <x:c r="CV169" s="27"/>
      <x:c r="CW169" s="27"/>
      <x:c r="CX169" s="27"/>
      <x:c r="CY169" s="27"/>
      <x:c r="CZ169" s="27"/>
      <x:c r="DA169" s="27"/>
      <x:c r="DB169" s="27"/>
      <x:c r="DC169" s="27"/>
      <x:c r="DD169" s="27"/>
      <x:c r="DE169" s="27"/>
      <x:c r="DF169" s="27"/>
      <x:c r="DG169" s="27"/>
      <x:c r="DH169" s="27"/>
      <x:c r="DI169" s="27"/>
      <x:c r="DJ169" s="27"/>
      <x:c r="DK169" s="27"/>
      <x:c r="DL169" s="27"/>
      <x:c r="DM169" s="27"/>
      <x:c r="DN169" s="27"/>
      <x:c r="DO169" s="27"/>
      <x:c r="DP169" s="27"/>
      <x:c r="DQ169" s="27"/>
      <x:c r="DR169" s="27"/>
      <x:c r="DS169" s="27"/>
      <x:c r="DT169" s="27"/>
      <x:c r="DU169" s="27"/>
      <x:c r="DV169" s="27"/>
      <x:c r="DW169" s="27"/>
      <x:c r="DX169" s="27"/>
      <x:c r="DY169" s="27"/>
      <x:c r="DZ169" s="27"/>
      <x:c r="EA169" s="27"/>
      <x:c r="EB169" s="27"/>
      <x:c r="EC169" s="27"/>
      <x:c r="ED169" s="27"/>
      <x:c r="EE169" s="27"/>
      <x:c r="EF169" s="27"/>
      <x:c r="EG169" s="27"/>
      <x:c r="EH169" s="27"/>
      <x:c r="EI169" s="27"/>
      <x:c r="EJ169" s="27"/>
      <x:c r="EK169" s="27"/>
      <x:c r="EL169" s="27"/>
      <x:c r="EM169" s="27"/>
      <x:c r="EN169" s="27"/>
      <x:c r="EO169" s="27"/>
      <x:c r="EP169" s="27"/>
      <x:c r="EQ169" s="27"/>
      <x:c r="ER169" s="27"/>
      <x:c r="ES169" s="27"/>
      <x:c r="ET169" s="27"/>
      <x:c r="EU169" s="27"/>
      <x:c r="EV169" s="27"/>
      <x:c r="EW169" s="27"/>
      <x:c r="EX169" s="27"/>
      <x:c r="EY169" s="27"/>
      <x:c r="EZ169" s="27"/>
      <x:c r="FA169" s="27"/>
      <x:c r="FB169" s="27"/>
      <x:c r="FC169" s="27"/>
      <x:c r="FD169" s="27"/>
      <x:c r="FE169" s="27"/>
      <x:c r="FF169" s="27"/>
      <x:c r="FG169" s="27"/>
      <x:c r="FH169" s="27"/>
      <x:c r="FI169" s="27"/>
      <x:c r="FJ169" s="27"/>
      <x:c r="FK169" s="27"/>
      <x:c r="FL169" s="27"/>
      <x:c r="FM169" s="27"/>
      <x:c r="FN169" s="27"/>
      <x:c r="FO169" s="27"/>
      <x:c r="FP169" s="27"/>
      <x:c r="FQ169" s="27"/>
      <x:c r="FR169" s="27"/>
      <x:c r="FS169" s="27"/>
      <x:c r="FT169" s="27"/>
      <x:c r="FU169" s="27"/>
      <x:c r="FV169" s="27"/>
      <x:c r="FW169" s="27"/>
      <x:c r="FX169" s="27"/>
      <x:c r="FY169" s="27"/>
      <x:c r="FZ169" s="27"/>
      <x:c r="GA169" s="27"/>
      <x:c r="GB169" s="27"/>
      <x:c r="GC169" s="27"/>
      <x:c r="GD169" s="27"/>
      <x:c r="GE169" s="27"/>
      <x:c r="GF169" s="27"/>
      <x:c r="GG169" s="27"/>
      <x:c r="GH169" s="27"/>
      <x:c r="GI169" s="27"/>
      <x:c r="GJ169" s="27"/>
      <x:c r="GK169" s="27"/>
      <x:c r="GL169" s="27"/>
      <x:c r="GM169" s="27"/>
      <x:c r="GN169" s="27"/>
      <x:c r="GO169" s="27"/>
      <x:c r="GP169" s="27"/>
      <x:c r="GQ169" s="27"/>
      <x:c r="GR169" s="27"/>
      <x:c r="GS169" s="27"/>
      <x:c r="GT169" s="27"/>
      <x:c r="GU169" s="27"/>
      <x:c r="GV169" s="27"/>
      <x:c r="GW169" s="27"/>
      <x:c r="GX169" s="27"/>
      <x:c r="GY169" s="27"/>
      <x:c r="GZ169" s="27"/>
      <x:c r="HA169" s="27"/>
      <x:c r="HB169" s="27"/>
      <x:c r="HC169" s="27"/>
      <x:c r="HD169" s="27"/>
      <x:c r="HE169" s="27"/>
      <x:c r="HF169" s="27"/>
      <x:c r="HG169" s="27"/>
      <x:c r="HH169" s="27"/>
      <x:c r="HI169" s="27"/>
      <x:c r="HJ169" s="27"/>
      <x:c r="HK169" s="27"/>
      <x:c r="HL169" s="27"/>
      <x:c r="HM169" s="27"/>
      <x:c r="HN169" s="27"/>
      <x:c r="HO169" s="27"/>
      <x:c r="HP169" s="27" t="str">
        <x:f>IF(C169="","",SUM(H169,N169,T169,Z169,AF169,AL169,AR169,AX169,BD169,BJ169,BP169,BV169,CB169,CH169,CN169,CT169,CZ169,DF169,DL169,DR169,DX169,ED169,EJ169,EP169,EV169,FB169,FH169,FN169,FT169,FZ169,GF169,GL169,GR169,GX169,HD169,HJ169))</x:f>
      </x:c>
      <x:c r="HQ169" s="27" t="str">
        <x:f>IF(C169="","",SUM(I169,O169,U169,AA169,AG169,AM169,AS169,AY169,BE169,BK169,BQ169,BW169,CC169,CI169,CO169,CU169,DA169,DG169,DM169,DS169,DY169,EE169,EK169,EQ169,EW169,FC169,FI169,FO169,FU169,GA169,GG169,GM169,GS169,GY169,HE169,HK169))</x:f>
      </x:c>
      <x:c r="HR169" s="27" t="str">
        <x:f>IF(C169="","",SUM(J169,P169,V169,AB169,AH169,AN169,AT169,AZ169,BF169,BL169,BR169,BX169,CD169,CJ169,CP169,CV169,DB169,DH169,DN169,DT169,DZ169,EF169,EL169,ER169,EX169,FD169,FJ169,FP169,FV169,GB169,GH169,GN169,GT169,GZ169,HF169,HL169))</x:f>
      </x:c>
      <x:c r="HS169" s="27" t="str">
        <x:f>IF(C169="","",SUM(K169,Q169,W169,AC169,AI169,AO169,AU169,BA169,BG169,BM169,BS169,BY169,CE169,CK169,CQ169,CW169,DC169,DI169,DO169,DU169,EA169,EG169,EM169,ES169,EY169,FE169,FK169,FQ169,FW169,GC169,GI169,GO169,GU169,HA169,HG169,HM169))</x:f>
      </x:c>
      <x:c r="HT169" s="27" t="str">
        <x:f>IF(C169="","",SUM(L169,R169,X169,AD169,AJ169,AP169,AV169,BB169,BH169,BN169,BT169,BZ169,CF169,CL169,CR169,CX169,DD169,DJ169,DP169,DV169,EB169,EH169,EN169,ET169,EZ169,FF169,FL169,FR169,FX169,GD169,GJ169,GP169,GV169,HB169,HH169,HN169))</x:f>
      </x:c>
      <x:c r="HU169" s="27" t="str">
        <x:f>IF(C169="","",SUM(M169,S169,Y169,AE169,AK169,AQ169,AW169,BC169,BI169,BO169,BU169,CA169,CG169,CM169,CS169,CY169,DE169,DK169,DQ169,DW169,EC169,EI169,EO169,EU169,FA169,FG169,FM169,FS169,FY169,GE169,GK169,GQ169,GW169,HC169,HI169,HO169))</x:f>
      </x:c>
      <x:c r="HV169" s="27" t="str">
        <x:f>IF(C169="","",IF(JI169=LARGE(JI169:JN169,1),"R",IF(JJ169=LARGE(JI169:JN169,1),"I",IF(JK169=LARGE(JI169:JN169,1),"A",IF(JL169=LARGE(JI169:JN169,1),"S",IF(JM169=LARGE(JI169:JN169,1),"E",IF(JN169=LARGE(JI169:JN169,1),"C",""))))))&amp;IF(JI169=LARGE(JI169:JN169,2),"R",IF(JJ169=LARGE(JI169:JN169,2),"I",IF(JK169=LARGE(JI169:JN169,2),"A",IF(JL169=LARGE(JI169:JN169,2),"S",IF(JM169=LARGE(JI169:JN169,2),"E",IF(JN169=LARGE(JI169:JN169,2),"C",""))))))&amp;IF(JI169=LARGE(JI169:JN169,3),"R",IF(JJ169=LARGE(JI169:JN169,3),"I",IF(JK169=LARGE(JI169:JN169,3),"A",IF(JL169=LARGE(JI169:JN169,3),"S",IF(JM169=LARGE(JI169:JN169,3),"E",IF(JN169=LARGE(JI169:JN169,3),"C","")))))))</x:f>
      </x:c>
      <x:c r="HW169" s="27" t="str">
        <x:f>IF(C169="","",IF(JI169=LARGE(JI169:JN169,1),"นักปฏิบัติ",IF(JJ169=LARGE(JI169:JN169,1),"นักคิดวิเคราะห์",IF(JK169=LARGE(JI169:JN169,1),"นักสร้างสรรค์",IF(JL169=LARGE(JI169:JN169,1),"ผู้เข้าใจผู้คน",IF(JM169=LARGE(JI169:JN169,1),"ผู้นำการเปลี่ยนแปลง",IF(JN169=LARGE(JI169:JN169,1),"ผู้จัดระบบ","ผู้จัดระบบ")))))))</x:f>
      </x:c>
      <x:c r="HX169" s="27"/>
      <x:c r="HY169" s="27"/>
      <x:c r="HZ169" s="27"/>
      <x:c r="IA169" s="27"/>
      <x:c r="IB169" s="27"/>
      <x:c r="IC169" s="27"/>
      <x:c r="ID169" s="27"/>
      <x:c r="IE169" s="27"/>
      <x:c r="IF169" s="27"/>
      <x:c r="IG169" s="27"/>
      <x:c r="IH169" s="27"/>
      <x:c r="II169" s="27"/>
      <x:c r="IJ169" s="27"/>
      <x:c r="IK169" s="27" t="str">
        <x:f>IF(C169="","",SUM(H169,N169,T169,Z169,AF169,AL169,AR169,AX169,BD169,BJ169,BP169))</x:f>
      </x:c>
      <x:c r="IL169" s="27" t="str">
        <x:f>IF(C169="","",SUM(I169,O169,U169,AA169,AG169,AM169,AS169,AY169,BE169,BK169,BQ169))</x:f>
      </x:c>
      <x:c r="IM169" s="27" t="str">
        <x:f>IF(C169="","",SUM(J169,P169,V169,AB169,AH169,AN169,AT169,AZ169,BF169,BL169,BR169))</x:f>
      </x:c>
      <x:c r="IN169" s="27" t="str">
        <x:f>IF(C169="","",SUM(K169,Q169,W169,AC169,AI169,AO169,AU169,BA169,BG169,BM169,BS169))</x:f>
      </x:c>
      <x:c r="IO169" s="27" t="str">
        <x:f>IF(C169="","",SUM(L169,R169,X169,AD169,AJ169,AP169,AV169,BB169,BH169,BN169,BT169))</x:f>
      </x:c>
      <x:c r="IP169" s="27" t="str">
        <x:f>IF(C169="","",SUM(M169,S169,Y169,AE169,AK169,AQ169,AW169,BC169,BI169,BO169,BU169))</x:f>
      </x:c>
      <x:c r="IQ169" s="27" t="str">
        <x:f>IF(C169="","",SUM(BV169,CB169,CH169,CN169,CT169,CZ169,DF169,DL169,DR169,DX169,ED169))</x:f>
      </x:c>
      <x:c r="IR169" s="27" t="str">
        <x:f>IF(C169="","",SUM(BW169,CC169,CI169,CO169,CU169,DA169,DG169,DM169,DS169,DY169,EE169))</x:f>
      </x:c>
      <x:c r="IS169" s="27" t="str">
        <x:f>IF(C169="","",SUM(BX169,CD169,CJ169,CP169,CV169,DB169,DH169,DN169,DT169,DZ169,EF169))</x:f>
      </x:c>
      <x:c r="IT169" s="27" t="str">
        <x:f>IF(C169="","",SUM(BY169,CE169,CK169,CQ169,CW169,DC169,DI169,DO169,DU169,EA169,EG169))</x:f>
      </x:c>
      <x:c r="IU169" s="27" t="str">
        <x:f>IF(C169="","",SUM(BZ169,CF169,CL169,CR169,CX169,DD169,DJ169,DP169,DV169,EB169,EH169))</x:f>
      </x:c>
      <x:c r="IV169" s="27" t="str">
        <x:f>IF(C169="","",SUM(CA169,CG169,CM169,CS169,CY169,DE169,DK169,DQ169,DW169,EC169,EI169))</x:f>
      </x:c>
      <x:c r="IW169" s="27" t="str">
        <x:f>IF(C169="","",SUM(EJ169,EP169,EV169,FB169,FH169,FN169,FT169,FZ169,GF169,GL169,GR169,GX169,HD169,HJ169))</x:f>
      </x:c>
      <x:c r="IX169" s="27" t="str">
        <x:f>IF(C169="","",SUM(EK169,EQ169,EW169,FC169,FI169,FO169,FU169,GA169,GG169,GM169,GS169,GY169,HE169,HK169))</x:f>
      </x:c>
      <x:c r="IY169" s="27" t="str">
        <x:f>IF(C169="","",SUM(EL169,ER169,EX169,FD169,FJ169,FP169,FV169,GB169,GH169,GN169,GT169,GZ169,HF169,HL169))</x:f>
      </x:c>
      <x:c r="IZ169" s="27" t="str">
        <x:f>IF(C169="","",SUM(EM169,ES169,EY169,FE169,FK169,FQ169,FW169,GC169,GI169,GO169,GU169,HA169,HG169,HM169))</x:f>
      </x:c>
      <x:c r="JA169" s="27" t="str">
        <x:f>IF(C169="","",SUM(EN169,ET169,EZ169,FF169,FL169,FR169,FX169,GD169,GJ169,GP169,GV169,HB169,HH169,HN169))</x:f>
      </x:c>
      <x:c r="JB169" s="27" t="str">
        <x:f>IF(C169="","",SUM(EO169,EU169,FA169,FG169,FM169,FS169,FY169,GE169,GK169,GQ169,GW169,HC169,HI169,HO169))</x:f>
      </x:c>
      <x:c r="JC169" s="27" t="str">
        <x:f>IF(C169="","",0)</x:f>
      </x:c>
      <x:c r="JD169" s="27" t="str">
        <x:f>IF(C169="","",0)</x:f>
      </x:c>
      <x:c r="JE169" s="27" t="str">
        <x:f>IF(C169="","",0)</x:f>
      </x:c>
      <x:c r="JF169" s="27" t="str">
        <x:f>IF(C169="","",0)</x:f>
      </x:c>
      <x:c r="JG169" s="27" t="str">
        <x:f>IF(C169="","",0)</x:f>
      </x:c>
      <x:c r="JH169" s="27" t="str">
        <x:f>IF(C169="","",0)</x:f>
      </x:c>
      <x:c r="JI169" s="27" t="str">
        <x:f>IF(C169="","",HP169*1000000000+IW169*1000000+IQ169*10000+IK169*100+JC169+6/1000)</x:f>
      </x:c>
      <x:c r="JJ169" s="27" t="str">
        <x:f>IF(C169="","",HQ169*1000000000+IX169*1000000+IR169*10000+IL169*100+JD169+5/1000)</x:f>
      </x:c>
      <x:c r="JK169" s="27" t="str">
        <x:f>IF(C169="","",HR169*1000000000+IY169*1000000+IS169*10000+IM169*100+JE169+4/1000)</x:f>
      </x:c>
      <x:c r="JL169" s="27" t="str">
        <x:f>IF(C169="","",HS169*1000000000+IZ169*1000000+IT169*10000+IN169*100+JF169+3/1000)</x:f>
      </x:c>
      <x:c r="JM169" s="27" t="str">
        <x:f>IF(C169="","",HT169*1000000000+JA169*1000000+IU169*10000+IO169*100+JG169+2/1000)</x:f>
      </x:c>
      <x:c r="JN169" s="27" t="str">
        <x:f>IF(C169="","",HU169*1000000000+JB169*1000000+IV169*10000+IP169*100+JH169+1/1000)</x:f>
      </x:c>
    </x:row>
    <x:row r="170">
      <x:c r="A170" s="27"/>
      <x:c r="B170" s="28"/>
      <x:c r="C170" s="27"/>
      <x:c r="D170" s="27"/>
      <x:c r="E170" s="27"/>
      <x:c r="F170" s="27"/>
      <x:c r="G170" s="27"/>
      <x:c r="H170" s="27"/>
      <x:c r="I170" s="27"/>
      <x:c r="J170" s="27"/>
      <x:c r="K170" s="27"/>
      <x:c r="L170" s="27"/>
      <x:c r="M170" s="27"/>
      <x:c r="N170" s="27"/>
      <x:c r="O170" s="27"/>
      <x:c r="P170" s="27"/>
      <x:c r="Q170" s="27"/>
      <x:c r="R170" s="27"/>
      <x:c r="S170" s="27"/>
      <x:c r="T170" s="27"/>
      <x:c r="U170" s="27"/>
      <x:c r="V170" s="27"/>
      <x:c r="W170" s="27"/>
      <x:c r="X170" s="27"/>
      <x:c r="Y170" s="27"/>
      <x:c r="Z170" s="27"/>
      <x:c r="AA170" s="27"/>
      <x:c r="AB170" s="27"/>
      <x:c r="AC170" s="27"/>
      <x:c r="AD170" s="27"/>
      <x:c r="AE170" s="27"/>
      <x:c r="AF170" s="27"/>
      <x:c r="AG170" s="27"/>
      <x:c r="AH170" s="27"/>
      <x:c r="AI170" s="27"/>
      <x:c r="AJ170" s="27"/>
      <x:c r="AK170" s="27"/>
      <x:c r="AL170" s="27"/>
      <x:c r="AM170" s="27"/>
      <x:c r="AN170" s="27"/>
      <x:c r="AO170" s="27"/>
      <x:c r="AP170" s="27"/>
      <x:c r="AQ170" s="27"/>
      <x:c r="AR170" s="27"/>
      <x:c r="AS170" s="27"/>
      <x:c r="AT170" s="27"/>
      <x:c r="AU170" s="27"/>
      <x:c r="AV170" s="27"/>
      <x:c r="AW170" s="27"/>
      <x:c r="AX170" s="27"/>
      <x:c r="AY170" s="27"/>
      <x:c r="AZ170" s="27"/>
      <x:c r="BA170" s="27"/>
      <x:c r="BB170" s="27"/>
      <x:c r="BC170" s="27"/>
      <x:c r="BD170" s="27"/>
      <x:c r="BE170" s="27"/>
      <x:c r="BF170" s="27"/>
      <x:c r="BG170" s="27"/>
      <x:c r="BH170" s="27"/>
      <x:c r="BI170" s="27"/>
      <x:c r="BJ170" s="27"/>
      <x:c r="BK170" s="27"/>
      <x:c r="BL170" s="27"/>
      <x:c r="BM170" s="27"/>
      <x:c r="BN170" s="27"/>
      <x:c r="BO170" s="27"/>
      <x:c r="BP170" s="27"/>
      <x:c r="BQ170" s="27"/>
      <x:c r="BR170" s="27"/>
      <x:c r="BS170" s="27"/>
      <x:c r="BT170" s="27"/>
      <x:c r="BU170" s="27"/>
      <x:c r="BV170" s="27"/>
      <x:c r="BW170" s="27"/>
      <x:c r="BX170" s="27"/>
      <x:c r="BY170" s="27"/>
      <x:c r="BZ170" s="27"/>
      <x:c r="CA170" s="27"/>
      <x:c r="CB170" s="27"/>
      <x:c r="CC170" s="27"/>
      <x:c r="CD170" s="27"/>
      <x:c r="CE170" s="27"/>
      <x:c r="CF170" s="27"/>
      <x:c r="CG170" s="27"/>
      <x:c r="CH170" s="27"/>
      <x:c r="CI170" s="27"/>
      <x:c r="CJ170" s="27"/>
      <x:c r="CK170" s="27"/>
      <x:c r="CL170" s="27"/>
      <x:c r="CM170" s="27"/>
      <x:c r="CN170" s="27"/>
      <x:c r="CO170" s="27"/>
      <x:c r="CP170" s="27"/>
      <x:c r="CQ170" s="27"/>
      <x:c r="CR170" s="27"/>
      <x:c r="CS170" s="27"/>
      <x:c r="CT170" s="27"/>
      <x:c r="CU170" s="27"/>
      <x:c r="CV170" s="27"/>
      <x:c r="CW170" s="27"/>
      <x:c r="CX170" s="27"/>
      <x:c r="CY170" s="27"/>
      <x:c r="CZ170" s="27"/>
      <x:c r="DA170" s="27"/>
      <x:c r="DB170" s="27"/>
      <x:c r="DC170" s="27"/>
      <x:c r="DD170" s="27"/>
      <x:c r="DE170" s="27"/>
      <x:c r="DF170" s="27"/>
      <x:c r="DG170" s="27"/>
      <x:c r="DH170" s="27"/>
      <x:c r="DI170" s="27"/>
      <x:c r="DJ170" s="27"/>
      <x:c r="DK170" s="27"/>
      <x:c r="DL170" s="27"/>
      <x:c r="DM170" s="27"/>
      <x:c r="DN170" s="27"/>
      <x:c r="DO170" s="27"/>
      <x:c r="DP170" s="27"/>
      <x:c r="DQ170" s="27"/>
      <x:c r="DR170" s="27"/>
      <x:c r="DS170" s="27"/>
      <x:c r="DT170" s="27"/>
      <x:c r="DU170" s="27"/>
      <x:c r="DV170" s="27"/>
      <x:c r="DW170" s="27"/>
      <x:c r="DX170" s="27"/>
      <x:c r="DY170" s="27"/>
      <x:c r="DZ170" s="27"/>
      <x:c r="EA170" s="27"/>
      <x:c r="EB170" s="27"/>
      <x:c r="EC170" s="27"/>
      <x:c r="ED170" s="27"/>
      <x:c r="EE170" s="27"/>
      <x:c r="EF170" s="27"/>
      <x:c r="EG170" s="27"/>
      <x:c r="EH170" s="27"/>
      <x:c r="EI170" s="27"/>
      <x:c r="EJ170" s="27"/>
      <x:c r="EK170" s="27"/>
      <x:c r="EL170" s="27"/>
      <x:c r="EM170" s="27"/>
      <x:c r="EN170" s="27"/>
      <x:c r="EO170" s="27"/>
      <x:c r="EP170" s="27"/>
      <x:c r="EQ170" s="27"/>
      <x:c r="ER170" s="27"/>
      <x:c r="ES170" s="27"/>
      <x:c r="ET170" s="27"/>
      <x:c r="EU170" s="27"/>
      <x:c r="EV170" s="27"/>
      <x:c r="EW170" s="27"/>
      <x:c r="EX170" s="27"/>
      <x:c r="EY170" s="27"/>
      <x:c r="EZ170" s="27"/>
      <x:c r="FA170" s="27"/>
      <x:c r="FB170" s="27"/>
      <x:c r="FC170" s="27"/>
      <x:c r="FD170" s="27"/>
      <x:c r="FE170" s="27"/>
      <x:c r="FF170" s="27"/>
      <x:c r="FG170" s="27"/>
      <x:c r="FH170" s="27"/>
      <x:c r="FI170" s="27"/>
      <x:c r="FJ170" s="27"/>
      <x:c r="FK170" s="27"/>
      <x:c r="FL170" s="27"/>
      <x:c r="FM170" s="27"/>
      <x:c r="FN170" s="27"/>
      <x:c r="FO170" s="27"/>
      <x:c r="FP170" s="27"/>
      <x:c r="FQ170" s="27"/>
      <x:c r="FR170" s="27"/>
      <x:c r="FS170" s="27"/>
      <x:c r="FT170" s="27"/>
      <x:c r="FU170" s="27"/>
      <x:c r="FV170" s="27"/>
      <x:c r="FW170" s="27"/>
      <x:c r="FX170" s="27"/>
      <x:c r="FY170" s="27"/>
      <x:c r="FZ170" s="27"/>
      <x:c r="GA170" s="27"/>
      <x:c r="GB170" s="27"/>
      <x:c r="GC170" s="27"/>
      <x:c r="GD170" s="27"/>
      <x:c r="GE170" s="27"/>
      <x:c r="GF170" s="27"/>
      <x:c r="GG170" s="27"/>
      <x:c r="GH170" s="27"/>
      <x:c r="GI170" s="27"/>
      <x:c r="GJ170" s="27"/>
      <x:c r="GK170" s="27"/>
      <x:c r="GL170" s="27"/>
      <x:c r="GM170" s="27"/>
      <x:c r="GN170" s="27"/>
      <x:c r="GO170" s="27"/>
      <x:c r="GP170" s="27"/>
      <x:c r="GQ170" s="27"/>
      <x:c r="GR170" s="27"/>
      <x:c r="GS170" s="27"/>
      <x:c r="GT170" s="27"/>
      <x:c r="GU170" s="27"/>
      <x:c r="GV170" s="27"/>
      <x:c r="GW170" s="27"/>
      <x:c r="GX170" s="27"/>
      <x:c r="GY170" s="27"/>
      <x:c r="GZ170" s="27"/>
      <x:c r="HA170" s="27"/>
      <x:c r="HB170" s="27"/>
      <x:c r="HC170" s="27"/>
      <x:c r="HD170" s="27"/>
      <x:c r="HE170" s="27"/>
      <x:c r="HF170" s="27"/>
      <x:c r="HG170" s="27"/>
      <x:c r="HH170" s="27"/>
      <x:c r="HI170" s="27"/>
      <x:c r="HJ170" s="27"/>
      <x:c r="HK170" s="27"/>
      <x:c r="HL170" s="27"/>
      <x:c r="HM170" s="27"/>
      <x:c r="HN170" s="27"/>
      <x:c r="HO170" s="27"/>
      <x:c r="HP170" s="27" t="str">
        <x:f>IF(C170="","",SUM(H170,N170,T170,Z170,AF170,AL170,AR170,AX170,BD170,BJ170,BP170,BV170,CB170,CH170,CN170,CT170,CZ170,DF170,DL170,DR170,DX170,ED170,EJ170,EP170,EV170,FB170,FH170,FN170,FT170,FZ170,GF170,GL170,GR170,GX170,HD170,HJ170))</x:f>
      </x:c>
      <x:c r="HQ170" s="27" t="str">
        <x:f>IF(C170="","",SUM(I170,O170,U170,AA170,AG170,AM170,AS170,AY170,BE170,BK170,BQ170,BW170,CC170,CI170,CO170,CU170,DA170,DG170,DM170,DS170,DY170,EE170,EK170,EQ170,EW170,FC170,FI170,FO170,FU170,GA170,GG170,GM170,GS170,GY170,HE170,HK170))</x:f>
      </x:c>
      <x:c r="HR170" s="27" t="str">
        <x:f>IF(C170="","",SUM(J170,P170,V170,AB170,AH170,AN170,AT170,AZ170,BF170,BL170,BR170,BX170,CD170,CJ170,CP170,CV170,DB170,DH170,DN170,DT170,DZ170,EF170,EL170,ER170,EX170,FD170,FJ170,FP170,FV170,GB170,GH170,GN170,GT170,GZ170,HF170,HL170))</x:f>
      </x:c>
      <x:c r="HS170" s="27" t="str">
        <x:f>IF(C170="","",SUM(K170,Q170,W170,AC170,AI170,AO170,AU170,BA170,BG170,BM170,BS170,BY170,CE170,CK170,CQ170,CW170,DC170,DI170,DO170,DU170,EA170,EG170,EM170,ES170,EY170,FE170,FK170,FQ170,FW170,GC170,GI170,GO170,GU170,HA170,HG170,HM170))</x:f>
      </x:c>
      <x:c r="HT170" s="27" t="str">
        <x:f>IF(C170="","",SUM(L170,R170,X170,AD170,AJ170,AP170,AV170,BB170,BH170,BN170,BT170,BZ170,CF170,CL170,CR170,CX170,DD170,DJ170,DP170,DV170,EB170,EH170,EN170,ET170,EZ170,FF170,FL170,FR170,FX170,GD170,GJ170,GP170,GV170,HB170,HH170,HN170))</x:f>
      </x:c>
      <x:c r="HU170" s="27" t="str">
        <x:f>IF(C170="","",SUM(M170,S170,Y170,AE170,AK170,AQ170,AW170,BC170,BI170,BO170,BU170,CA170,CG170,CM170,CS170,CY170,DE170,DK170,DQ170,DW170,EC170,EI170,EO170,EU170,FA170,FG170,FM170,FS170,FY170,GE170,GK170,GQ170,GW170,HC170,HI170,HO170))</x:f>
      </x:c>
      <x:c r="HV170" s="27" t="str">
        <x:f>IF(C170="","",IF(JI170=LARGE(JI170:JN170,1),"R",IF(JJ170=LARGE(JI170:JN170,1),"I",IF(JK170=LARGE(JI170:JN170,1),"A",IF(JL170=LARGE(JI170:JN170,1),"S",IF(JM170=LARGE(JI170:JN170,1),"E",IF(JN170=LARGE(JI170:JN170,1),"C",""))))))&amp;IF(JI170=LARGE(JI170:JN170,2),"R",IF(JJ170=LARGE(JI170:JN170,2),"I",IF(JK170=LARGE(JI170:JN170,2),"A",IF(JL170=LARGE(JI170:JN170,2),"S",IF(JM170=LARGE(JI170:JN170,2),"E",IF(JN170=LARGE(JI170:JN170,2),"C",""))))))&amp;IF(JI170=LARGE(JI170:JN170,3),"R",IF(JJ170=LARGE(JI170:JN170,3),"I",IF(JK170=LARGE(JI170:JN170,3),"A",IF(JL170=LARGE(JI170:JN170,3),"S",IF(JM170=LARGE(JI170:JN170,3),"E",IF(JN170=LARGE(JI170:JN170,3),"C","")))))))</x:f>
      </x:c>
      <x:c r="HW170" s="27" t="str">
        <x:f>IF(C170="","",IF(JI170=LARGE(JI170:JN170,1),"นักปฏิบัติ",IF(JJ170=LARGE(JI170:JN170,1),"นักคิดวิเคราะห์",IF(JK170=LARGE(JI170:JN170,1),"นักสร้างสรรค์",IF(JL170=LARGE(JI170:JN170,1),"ผู้เข้าใจผู้คน",IF(JM170=LARGE(JI170:JN170,1),"ผู้นำการเปลี่ยนแปลง",IF(JN170=LARGE(JI170:JN170,1),"ผู้จัดระบบ","ผู้จัดระบบ")))))))</x:f>
      </x:c>
      <x:c r="HX170" s="27"/>
      <x:c r="HY170" s="27"/>
      <x:c r="HZ170" s="27"/>
      <x:c r="IA170" s="27"/>
      <x:c r="IB170" s="27"/>
      <x:c r="IC170" s="27"/>
      <x:c r="ID170" s="27"/>
      <x:c r="IE170" s="27"/>
      <x:c r="IF170" s="27"/>
      <x:c r="IG170" s="27"/>
      <x:c r="IH170" s="27"/>
      <x:c r="II170" s="27"/>
      <x:c r="IJ170" s="27"/>
      <x:c r="IK170" s="27" t="str">
        <x:f>IF(C170="","",SUM(H170,N170,T170,Z170,AF170,AL170,AR170,AX170,BD170,BJ170,BP170))</x:f>
      </x:c>
      <x:c r="IL170" s="27" t="str">
        <x:f>IF(C170="","",SUM(I170,O170,U170,AA170,AG170,AM170,AS170,AY170,BE170,BK170,BQ170))</x:f>
      </x:c>
      <x:c r="IM170" s="27" t="str">
        <x:f>IF(C170="","",SUM(J170,P170,V170,AB170,AH170,AN170,AT170,AZ170,BF170,BL170,BR170))</x:f>
      </x:c>
      <x:c r="IN170" s="27" t="str">
        <x:f>IF(C170="","",SUM(K170,Q170,W170,AC170,AI170,AO170,AU170,BA170,BG170,BM170,BS170))</x:f>
      </x:c>
      <x:c r="IO170" s="27" t="str">
        <x:f>IF(C170="","",SUM(L170,R170,X170,AD170,AJ170,AP170,AV170,BB170,BH170,BN170,BT170))</x:f>
      </x:c>
      <x:c r="IP170" s="27" t="str">
        <x:f>IF(C170="","",SUM(M170,S170,Y170,AE170,AK170,AQ170,AW170,BC170,BI170,BO170,BU170))</x:f>
      </x:c>
      <x:c r="IQ170" s="27" t="str">
        <x:f>IF(C170="","",SUM(BV170,CB170,CH170,CN170,CT170,CZ170,DF170,DL170,DR170,DX170,ED170))</x:f>
      </x:c>
      <x:c r="IR170" s="27" t="str">
        <x:f>IF(C170="","",SUM(BW170,CC170,CI170,CO170,CU170,DA170,DG170,DM170,DS170,DY170,EE170))</x:f>
      </x:c>
      <x:c r="IS170" s="27" t="str">
        <x:f>IF(C170="","",SUM(BX170,CD170,CJ170,CP170,CV170,DB170,DH170,DN170,DT170,DZ170,EF170))</x:f>
      </x:c>
      <x:c r="IT170" s="27" t="str">
        <x:f>IF(C170="","",SUM(BY170,CE170,CK170,CQ170,CW170,DC170,DI170,DO170,DU170,EA170,EG170))</x:f>
      </x:c>
      <x:c r="IU170" s="27" t="str">
        <x:f>IF(C170="","",SUM(BZ170,CF170,CL170,CR170,CX170,DD170,DJ170,DP170,DV170,EB170,EH170))</x:f>
      </x:c>
      <x:c r="IV170" s="27" t="str">
        <x:f>IF(C170="","",SUM(CA170,CG170,CM170,CS170,CY170,DE170,DK170,DQ170,DW170,EC170,EI170))</x:f>
      </x:c>
      <x:c r="IW170" s="27" t="str">
        <x:f>IF(C170="","",SUM(EJ170,EP170,EV170,FB170,FH170,FN170,FT170,FZ170,GF170,GL170,GR170,GX170,HD170,HJ170))</x:f>
      </x:c>
      <x:c r="IX170" s="27" t="str">
        <x:f>IF(C170="","",SUM(EK170,EQ170,EW170,FC170,FI170,FO170,FU170,GA170,GG170,GM170,GS170,GY170,HE170,HK170))</x:f>
      </x:c>
      <x:c r="IY170" s="27" t="str">
        <x:f>IF(C170="","",SUM(EL170,ER170,EX170,FD170,FJ170,FP170,FV170,GB170,GH170,GN170,GT170,GZ170,HF170,HL170))</x:f>
      </x:c>
      <x:c r="IZ170" s="27" t="str">
        <x:f>IF(C170="","",SUM(EM170,ES170,EY170,FE170,FK170,FQ170,FW170,GC170,GI170,GO170,GU170,HA170,HG170,HM170))</x:f>
      </x:c>
      <x:c r="JA170" s="27" t="str">
        <x:f>IF(C170="","",SUM(EN170,ET170,EZ170,FF170,FL170,FR170,FX170,GD170,GJ170,GP170,GV170,HB170,HH170,HN170))</x:f>
      </x:c>
      <x:c r="JB170" s="27" t="str">
        <x:f>IF(C170="","",SUM(EO170,EU170,FA170,FG170,FM170,FS170,FY170,GE170,GK170,GQ170,GW170,HC170,HI170,HO170))</x:f>
      </x:c>
      <x:c r="JC170" s="27" t="str">
        <x:f>IF(C170="","",0)</x:f>
      </x:c>
      <x:c r="JD170" s="27" t="str">
        <x:f>IF(C170="","",0)</x:f>
      </x:c>
      <x:c r="JE170" s="27" t="str">
        <x:f>IF(C170="","",0)</x:f>
      </x:c>
      <x:c r="JF170" s="27" t="str">
        <x:f>IF(C170="","",0)</x:f>
      </x:c>
      <x:c r="JG170" s="27" t="str">
        <x:f>IF(C170="","",0)</x:f>
      </x:c>
      <x:c r="JH170" s="27" t="str">
        <x:f>IF(C170="","",0)</x:f>
      </x:c>
      <x:c r="JI170" s="27" t="str">
        <x:f>IF(C170="","",HP170*1000000000+IW170*1000000+IQ170*10000+IK170*100+JC170+6/1000)</x:f>
      </x:c>
      <x:c r="JJ170" s="27" t="str">
        <x:f>IF(C170="","",HQ170*1000000000+IX170*1000000+IR170*10000+IL170*100+JD170+5/1000)</x:f>
      </x:c>
      <x:c r="JK170" s="27" t="str">
        <x:f>IF(C170="","",HR170*1000000000+IY170*1000000+IS170*10000+IM170*100+JE170+4/1000)</x:f>
      </x:c>
      <x:c r="JL170" s="27" t="str">
        <x:f>IF(C170="","",HS170*1000000000+IZ170*1000000+IT170*10000+IN170*100+JF170+3/1000)</x:f>
      </x:c>
      <x:c r="JM170" s="27" t="str">
        <x:f>IF(C170="","",HT170*1000000000+JA170*1000000+IU170*10000+IO170*100+JG170+2/1000)</x:f>
      </x:c>
      <x:c r="JN170" s="27" t="str">
        <x:f>IF(C170="","",HU170*1000000000+JB170*1000000+IV170*10000+IP170*100+JH170+1/1000)</x:f>
      </x:c>
    </x:row>
    <x:row r="171">
      <x:c r="A171" s="27"/>
      <x:c r="B171" s="28"/>
      <x:c r="C171" s="27"/>
      <x:c r="D171" s="27"/>
      <x:c r="E171" s="27"/>
      <x:c r="F171" s="27"/>
      <x:c r="G171" s="27"/>
      <x:c r="H171" s="27"/>
      <x:c r="I171" s="27"/>
      <x:c r="J171" s="27"/>
      <x:c r="K171" s="27"/>
      <x:c r="L171" s="27"/>
      <x:c r="M171" s="27"/>
      <x:c r="N171" s="27"/>
      <x:c r="O171" s="27"/>
      <x:c r="P171" s="27"/>
      <x:c r="Q171" s="27"/>
      <x:c r="R171" s="27"/>
      <x:c r="S171" s="27"/>
      <x:c r="T171" s="27"/>
      <x:c r="U171" s="27"/>
      <x:c r="V171" s="27"/>
      <x:c r="W171" s="27"/>
      <x:c r="X171" s="27"/>
      <x:c r="Y171" s="27"/>
      <x:c r="Z171" s="27"/>
      <x:c r="AA171" s="27"/>
      <x:c r="AB171" s="27"/>
      <x:c r="AC171" s="27"/>
      <x:c r="AD171" s="27"/>
      <x:c r="AE171" s="27"/>
      <x:c r="AF171" s="27"/>
      <x:c r="AG171" s="27"/>
      <x:c r="AH171" s="27"/>
      <x:c r="AI171" s="27"/>
      <x:c r="AJ171" s="27"/>
      <x:c r="AK171" s="27"/>
      <x:c r="AL171" s="27"/>
      <x:c r="AM171" s="27"/>
      <x:c r="AN171" s="27"/>
      <x:c r="AO171" s="27"/>
      <x:c r="AP171" s="27"/>
      <x:c r="AQ171" s="27"/>
      <x:c r="AR171" s="27"/>
      <x:c r="AS171" s="27"/>
      <x:c r="AT171" s="27"/>
      <x:c r="AU171" s="27"/>
      <x:c r="AV171" s="27"/>
      <x:c r="AW171" s="27"/>
      <x:c r="AX171" s="27"/>
      <x:c r="AY171" s="27"/>
      <x:c r="AZ171" s="27"/>
      <x:c r="BA171" s="27"/>
      <x:c r="BB171" s="27"/>
      <x:c r="BC171" s="27"/>
      <x:c r="BD171" s="27"/>
      <x:c r="BE171" s="27"/>
      <x:c r="BF171" s="27"/>
      <x:c r="BG171" s="27"/>
      <x:c r="BH171" s="27"/>
      <x:c r="BI171" s="27"/>
      <x:c r="BJ171" s="27"/>
      <x:c r="BK171" s="27"/>
      <x:c r="BL171" s="27"/>
      <x:c r="BM171" s="27"/>
      <x:c r="BN171" s="27"/>
      <x:c r="BO171" s="27"/>
      <x:c r="BP171" s="27"/>
      <x:c r="BQ171" s="27"/>
      <x:c r="BR171" s="27"/>
      <x:c r="BS171" s="27"/>
      <x:c r="BT171" s="27"/>
      <x:c r="BU171" s="27"/>
      <x:c r="BV171" s="27"/>
      <x:c r="BW171" s="27"/>
      <x:c r="BX171" s="27"/>
      <x:c r="BY171" s="27"/>
      <x:c r="BZ171" s="27"/>
      <x:c r="CA171" s="27"/>
      <x:c r="CB171" s="27"/>
      <x:c r="CC171" s="27"/>
      <x:c r="CD171" s="27"/>
      <x:c r="CE171" s="27"/>
      <x:c r="CF171" s="27"/>
      <x:c r="CG171" s="27"/>
      <x:c r="CH171" s="27"/>
      <x:c r="CI171" s="27"/>
      <x:c r="CJ171" s="27"/>
      <x:c r="CK171" s="27"/>
      <x:c r="CL171" s="27"/>
      <x:c r="CM171" s="27"/>
      <x:c r="CN171" s="27"/>
      <x:c r="CO171" s="27"/>
      <x:c r="CP171" s="27"/>
      <x:c r="CQ171" s="27"/>
      <x:c r="CR171" s="27"/>
      <x:c r="CS171" s="27"/>
      <x:c r="CT171" s="27"/>
      <x:c r="CU171" s="27"/>
      <x:c r="CV171" s="27"/>
      <x:c r="CW171" s="27"/>
      <x:c r="CX171" s="27"/>
      <x:c r="CY171" s="27"/>
      <x:c r="CZ171" s="27"/>
      <x:c r="DA171" s="27"/>
      <x:c r="DB171" s="27"/>
      <x:c r="DC171" s="27"/>
      <x:c r="DD171" s="27"/>
      <x:c r="DE171" s="27"/>
      <x:c r="DF171" s="27"/>
      <x:c r="DG171" s="27"/>
      <x:c r="DH171" s="27"/>
      <x:c r="DI171" s="27"/>
      <x:c r="DJ171" s="27"/>
      <x:c r="DK171" s="27"/>
      <x:c r="DL171" s="27"/>
      <x:c r="DM171" s="27"/>
      <x:c r="DN171" s="27"/>
      <x:c r="DO171" s="27"/>
      <x:c r="DP171" s="27"/>
      <x:c r="DQ171" s="27"/>
      <x:c r="DR171" s="27"/>
      <x:c r="DS171" s="27"/>
      <x:c r="DT171" s="27"/>
      <x:c r="DU171" s="27"/>
      <x:c r="DV171" s="27"/>
      <x:c r="DW171" s="27"/>
      <x:c r="DX171" s="27"/>
      <x:c r="DY171" s="27"/>
      <x:c r="DZ171" s="27"/>
      <x:c r="EA171" s="27"/>
      <x:c r="EB171" s="27"/>
      <x:c r="EC171" s="27"/>
      <x:c r="ED171" s="27"/>
      <x:c r="EE171" s="27"/>
      <x:c r="EF171" s="27"/>
      <x:c r="EG171" s="27"/>
      <x:c r="EH171" s="27"/>
      <x:c r="EI171" s="27"/>
      <x:c r="EJ171" s="27"/>
      <x:c r="EK171" s="27"/>
      <x:c r="EL171" s="27"/>
      <x:c r="EM171" s="27"/>
      <x:c r="EN171" s="27"/>
      <x:c r="EO171" s="27"/>
      <x:c r="EP171" s="27"/>
      <x:c r="EQ171" s="27"/>
      <x:c r="ER171" s="27"/>
      <x:c r="ES171" s="27"/>
      <x:c r="ET171" s="27"/>
      <x:c r="EU171" s="27"/>
      <x:c r="EV171" s="27"/>
      <x:c r="EW171" s="27"/>
      <x:c r="EX171" s="27"/>
      <x:c r="EY171" s="27"/>
      <x:c r="EZ171" s="27"/>
      <x:c r="FA171" s="27"/>
      <x:c r="FB171" s="27"/>
      <x:c r="FC171" s="27"/>
      <x:c r="FD171" s="27"/>
      <x:c r="FE171" s="27"/>
      <x:c r="FF171" s="27"/>
      <x:c r="FG171" s="27"/>
      <x:c r="FH171" s="27"/>
      <x:c r="FI171" s="27"/>
      <x:c r="FJ171" s="27"/>
      <x:c r="FK171" s="27"/>
      <x:c r="FL171" s="27"/>
      <x:c r="FM171" s="27"/>
      <x:c r="FN171" s="27"/>
      <x:c r="FO171" s="27"/>
      <x:c r="FP171" s="27"/>
      <x:c r="FQ171" s="27"/>
      <x:c r="FR171" s="27"/>
      <x:c r="FS171" s="27"/>
      <x:c r="FT171" s="27"/>
      <x:c r="FU171" s="27"/>
      <x:c r="FV171" s="27"/>
      <x:c r="FW171" s="27"/>
      <x:c r="FX171" s="27"/>
      <x:c r="FY171" s="27"/>
      <x:c r="FZ171" s="27"/>
      <x:c r="GA171" s="27"/>
      <x:c r="GB171" s="27"/>
      <x:c r="GC171" s="27"/>
      <x:c r="GD171" s="27"/>
      <x:c r="GE171" s="27"/>
      <x:c r="GF171" s="27"/>
      <x:c r="GG171" s="27"/>
      <x:c r="GH171" s="27"/>
      <x:c r="GI171" s="27"/>
      <x:c r="GJ171" s="27"/>
      <x:c r="GK171" s="27"/>
      <x:c r="GL171" s="27"/>
      <x:c r="GM171" s="27"/>
      <x:c r="GN171" s="27"/>
      <x:c r="GO171" s="27"/>
      <x:c r="GP171" s="27"/>
      <x:c r="GQ171" s="27"/>
      <x:c r="GR171" s="27"/>
      <x:c r="GS171" s="27"/>
      <x:c r="GT171" s="27"/>
      <x:c r="GU171" s="27"/>
      <x:c r="GV171" s="27"/>
      <x:c r="GW171" s="27"/>
      <x:c r="GX171" s="27"/>
      <x:c r="GY171" s="27"/>
      <x:c r="GZ171" s="27"/>
      <x:c r="HA171" s="27"/>
      <x:c r="HB171" s="27"/>
      <x:c r="HC171" s="27"/>
      <x:c r="HD171" s="27"/>
      <x:c r="HE171" s="27"/>
      <x:c r="HF171" s="27"/>
      <x:c r="HG171" s="27"/>
      <x:c r="HH171" s="27"/>
      <x:c r="HI171" s="27"/>
      <x:c r="HJ171" s="27"/>
      <x:c r="HK171" s="27"/>
      <x:c r="HL171" s="27"/>
      <x:c r="HM171" s="27"/>
      <x:c r="HN171" s="27"/>
      <x:c r="HO171" s="27"/>
      <x:c r="HP171" s="27" t="str">
        <x:f>IF(C171="","",SUM(H171,N171,T171,Z171,AF171,AL171,AR171,AX171,BD171,BJ171,BP171,BV171,CB171,CH171,CN171,CT171,CZ171,DF171,DL171,DR171,DX171,ED171,EJ171,EP171,EV171,FB171,FH171,FN171,FT171,FZ171,GF171,GL171,GR171,GX171,HD171,HJ171))</x:f>
      </x:c>
      <x:c r="HQ171" s="27" t="str">
        <x:f>IF(C171="","",SUM(I171,O171,U171,AA171,AG171,AM171,AS171,AY171,BE171,BK171,BQ171,BW171,CC171,CI171,CO171,CU171,DA171,DG171,DM171,DS171,DY171,EE171,EK171,EQ171,EW171,FC171,FI171,FO171,FU171,GA171,GG171,GM171,GS171,GY171,HE171,HK171))</x:f>
      </x:c>
      <x:c r="HR171" s="27" t="str">
        <x:f>IF(C171="","",SUM(J171,P171,V171,AB171,AH171,AN171,AT171,AZ171,BF171,BL171,BR171,BX171,CD171,CJ171,CP171,CV171,DB171,DH171,DN171,DT171,DZ171,EF171,EL171,ER171,EX171,FD171,FJ171,FP171,FV171,GB171,GH171,GN171,GT171,GZ171,HF171,HL171))</x:f>
      </x:c>
      <x:c r="HS171" s="27" t="str">
        <x:f>IF(C171="","",SUM(K171,Q171,W171,AC171,AI171,AO171,AU171,BA171,BG171,BM171,BS171,BY171,CE171,CK171,CQ171,CW171,DC171,DI171,DO171,DU171,EA171,EG171,EM171,ES171,EY171,FE171,FK171,FQ171,FW171,GC171,GI171,GO171,GU171,HA171,HG171,HM171))</x:f>
      </x:c>
      <x:c r="HT171" s="27" t="str">
        <x:f>IF(C171="","",SUM(L171,R171,X171,AD171,AJ171,AP171,AV171,BB171,BH171,BN171,BT171,BZ171,CF171,CL171,CR171,CX171,DD171,DJ171,DP171,DV171,EB171,EH171,EN171,ET171,EZ171,FF171,FL171,FR171,FX171,GD171,GJ171,GP171,GV171,HB171,HH171,HN171))</x:f>
      </x:c>
      <x:c r="HU171" s="27" t="str">
        <x:f>IF(C171="","",SUM(M171,S171,Y171,AE171,AK171,AQ171,AW171,BC171,BI171,BO171,BU171,CA171,CG171,CM171,CS171,CY171,DE171,DK171,DQ171,DW171,EC171,EI171,EO171,EU171,FA171,FG171,FM171,FS171,FY171,GE171,GK171,GQ171,GW171,HC171,HI171,HO171))</x:f>
      </x:c>
      <x:c r="HV171" s="27" t="str">
        <x:f>IF(C171="","",IF(JI171=LARGE(JI171:JN171,1),"R",IF(JJ171=LARGE(JI171:JN171,1),"I",IF(JK171=LARGE(JI171:JN171,1),"A",IF(JL171=LARGE(JI171:JN171,1),"S",IF(JM171=LARGE(JI171:JN171,1),"E",IF(JN171=LARGE(JI171:JN171,1),"C",""))))))&amp;IF(JI171=LARGE(JI171:JN171,2),"R",IF(JJ171=LARGE(JI171:JN171,2),"I",IF(JK171=LARGE(JI171:JN171,2),"A",IF(JL171=LARGE(JI171:JN171,2),"S",IF(JM171=LARGE(JI171:JN171,2),"E",IF(JN171=LARGE(JI171:JN171,2),"C",""))))))&amp;IF(JI171=LARGE(JI171:JN171,3),"R",IF(JJ171=LARGE(JI171:JN171,3),"I",IF(JK171=LARGE(JI171:JN171,3),"A",IF(JL171=LARGE(JI171:JN171,3),"S",IF(JM171=LARGE(JI171:JN171,3),"E",IF(JN171=LARGE(JI171:JN171,3),"C","")))))))</x:f>
      </x:c>
      <x:c r="HW171" s="27" t="str">
        <x:f>IF(C171="","",IF(JI171=LARGE(JI171:JN171,1),"นักปฏิบัติ",IF(JJ171=LARGE(JI171:JN171,1),"นักคิดวิเคราะห์",IF(JK171=LARGE(JI171:JN171,1),"นักสร้างสรรค์",IF(JL171=LARGE(JI171:JN171,1),"ผู้เข้าใจผู้คน",IF(JM171=LARGE(JI171:JN171,1),"ผู้นำการเปลี่ยนแปลง",IF(JN171=LARGE(JI171:JN171,1),"ผู้จัดระบบ","ผู้จัดระบบ")))))))</x:f>
      </x:c>
      <x:c r="HX171" s="27"/>
      <x:c r="HY171" s="27"/>
      <x:c r="HZ171" s="27"/>
      <x:c r="IA171" s="27"/>
      <x:c r="IB171" s="27"/>
      <x:c r="IC171" s="27"/>
      <x:c r="ID171" s="27"/>
      <x:c r="IE171" s="27"/>
      <x:c r="IF171" s="27"/>
      <x:c r="IG171" s="27"/>
      <x:c r="IH171" s="27"/>
      <x:c r="II171" s="27"/>
      <x:c r="IJ171" s="27"/>
      <x:c r="IK171" s="27" t="str">
        <x:f>IF(C171="","",SUM(H171,N171,T171,Z171,AF171,AL171,AR171,AX171,BD171,BJ171,BP171))</x:f>
      </x:c>
      <x:c r="IL171" s="27" t="str">
        <x:f>IF(C171="","",SUM(I171,O171,U171,AA171,AG171,AM171,AS171,AY171,BE171,BK171,BQ171))</x:f>
      </x:c>
      <x:c r="IM171" s="27" t="str">
        <x:f>IF(C171="","",SUM(J171,P171,V171,AB171,AH171,AN171,AT171,AZ171,BF171,BL171,BR171))</x:f>
      </x:c>
      <x:c r="IN171" s="27" t="str">
        <x:f>IF(C171="","",SUM(K171,Q171,W171,AC171,AI171,AO171,AU171,BA171,BG171,BM171,BS171))</x:f>
      </x:c>
      <x:c r="IO171" s="27" t="str">
        <x:f>IF(C171="","",SUM(L171,R171,X171,AD171,AJ171,AP171,AV171,BB171,BH171,BN171,BT171))</x:f>
      </x:c>
      <x:c r="IP171" s="27" t="str">
        <x:f>IF(C171="","",SUM(M171,S171,Y171,AE171,AK171,AQ171,AW171,BC171,BI171,BO171,BU171))</x:f>
      </x:c>
      <x:c r="IQ171" s="27" t="str">
        <x:f>IF(C171="","",SUM(BV171,CB171,CH171,CN171,CT171,CZ171,DF171,DL171,DR171,DX171,ED171))</x:f>
      </x:c>
      <x:c r="IR171" s="27" t="str">
        <x:f>IF(C171="","",SUM(BW171,CC171,CI171,CO171,CU171,DA171,DG171,DM171,DS171,DY171,EE171))</x:f>
      </x:c>
      <x:c r="IS171" s="27" t="str">
        <x:f>IF(C171="","",SUM(BX171,CD171,CJ171,CP171,CV171,DB171,DH171,DN171,DT171,DZ171,EF171))</x:f>
      </x:c>
      <x:c r="IT171" s="27" t="str">
        <x:f>IF(C171="","",SUM(BY171,CE171,CK171,CQ171,CW171,DC171,DI171,DO171,DU171,EA171,EG171))</x:f>
      </x:c>
      <x:c r="IU171" s="27" t="str">
        <x:f>IF(C171="","",SUM(BZ171,CF171,CL171,CR171,CX171,DD171,DJ171,DP171,DV171,EB171,EH171))</x:f>
      </x:c>
      <x:c r="IV171" s="27" t="str">
        <x:f>IF(C171="","",SUM(CA171,CG171,CM171,CS171,CY171,DE171,DK171,DQ171,DW171,EC171,EI171))</x:f>
      </x:c>
      <x:c r="IW171" s="27" t="str">
        <x:f>IF(C171="","",SUM(EJ171,EP171,EV171,FB171,FH171,FN171,FT171,FZ171,GF171,GL171,GR171,GX171,HD171,HJ171))</x:f>
      </x:c>
      <x:c r="IX171" s="27" t="str">
        <x:f>IF(C171="","",SUM(EK171,EQ171,EW171,FC171,FI171,FO171,FU171,GA171,GG171,GM171,GS171,GY171,HE171,HK171))</x:f>
      </x:c>
      <x:c r="IY171" s="27" t="str">
        <x:f>IF(C171="","",SUM(EL171,ER171,EX171,FD171,FJ171,FP171,FV171,GB171,GH171,GN171,GT171,GZ171,HF171,HL171))</x:f>
      </x:c>
      <x:c r="IZ171" s="27" t="str">
        <x:f>IF(C171="","",SUM(EM171,ES171,EY171,FE171,FK171,FQ171,FW171,GC171,GI171,GO171,GU171,HA171,HG171,HM171))</x:f>
      </x:c>
      <x:c r="JA171" s="27" t="str">
        <x:f>IF(C171="","",SUM(EN171,ET171,EZ171,FF171,FL171,FR171,FX171,GD171,GJ171,GP171,GV171,HB171,HH171,HN171))</x:f>
      </x:c>
      <x:c r="JB171" s="27" t="str">
        <x:f>IF(C171="","",SUM(EO171,EU171,FA171,FG171,FM171,FS171,FY171,GE171,GK171,GQ171,GW171,HC171,HI171,HO171))</x:f>
      </x:c>
      <x:c r="JC171" s="27" t="str">
        <x:f>IF(C171="","",0)</x:f>
      </x:c>
      <x:c r="JD171" s="27" t="str">
        <x:f>IF(C171="","",0)</x:f>
      </x:c>
      <x:c r="JE171" s="27" t="str">
        <x:f>IF(C171="","",0)</x:f>
      </x:c>
      <x:c r="JF171" s="27" t="str">
        <x:f>IF(C171="","",0)</x:f>
      </x:c>
      <x:c r="JG171" s="27" t="str">
        <x:f>IF(C171="","",0)</x:f>
      </x:c>
      <x:c r="JH171" s="27" t="str">
        <x:f>IF(C171="","",0)</x:f>
      </x:c>
      <x:c r="JI171" s="27" t="str">
        <x:f>IF(C171="","",HP171*1000000000+IW171*1000000+IQ171*10000+IK171*100+JC171+6/1000)</x:f>
      </x:c>
      <x:c r="JJ171" s="27" t="str">
        <x:f>IF(C171="","",HQ171*1000000000+IX171*1000000+IR171*10000+IL171*100+JD171+5/1000)</x:f>
      </x:c>
      <x:c r="JK171" s="27" t="str">
        <x:f>IF(C171="","",HR171*1000000000+IY171*1000000+IS171*10000+IM171*100+JE171+4/1000)</x:f>
      </x:c>
      <x:c r="JL171" s="27" t="str">
        <x:f>IF(C171="","",HS171*1000000000+IZ171*1000000+IT171*10000+IN171*100+JF171+3/1000)</x:f>
      </x:c>
      <x:c r="JM171" s="27" t="str">
        <x:f>IF(C171="","",HT171*1000000000+JA171*1000000+IU171*10000+IO171*100+JG171+2/1000)</x:f>
      </x:c>
      <x:c r="JN171" s="27" t="str">
        <x:f>IF(C171="","",HU171*1000000000+JB171*1000000+IV171*10000+IP171*100+JH171+1/1000)</x:f>
      </x:c>
    </x:row>
    <x:row r="172">
      <x:c r="A172" s="27"/>
      <x:c r="B172" s="28"/>
      <x:c r="C172" s="27"/>
      <x:c r="D172" s="27"/>
      <x:c r="E172" s="27"/>
      <x:c r="F172" s="27"/>
      <x:c r="G172" s="27"/>
      <x:c r="H172" s="27"/>
      <x:c r="I172" s="27"/>
      <x:c r="J172" s="27"/>
      <x:c r="K172" s="27"/>
      <x:c r="L172" s="27"/>
      <x:c r="M172" s="27"/>
      <x:c r="N172" s="27"/>
      <x:c r="O172" s="27"/>
      <x:c r="P172" s="27"/>
      <x:c r="Q172" s="27"/>
      <x:c r="R172" s="27"/>
      <x:c r="S172" s="27"/>
      <x:c r="T172" s="27"/>
      <x:c r="U172" s="27"/>
      <x:c r="V172" s="27"/>
      <x:c r="W172" s="27"/>
      <x:c r="X172" s="27"/>
      <x:c r="Y172" s="27"/>
      <x:c r="Z172" s="27"/>
      <x:c r="AA172" s="27"/>
      <x:c r="AB172" s="27"/>
      <x:c r="AC172" s="27"/>
      <x:c r="AD172" s="27"/>
      <x:c r="AE172" s="27"/>
      <x:c r="AF172" s="27"/>
      <x:c r="AG172" s="27"/>
      <x:c r="AH172" s="27"/>
      <x:c r="AI172" s="27"/>
      <x:c r="AJ172" s="27"/>
      <x:c r="AK172" s="27"/>
      <x:c r="AL172" s="27"/>
      <x:c r="AM172" s="27"/>
      <x:c r="AN172" s="27"/>
      <x:c r="AO172" s="27"/>
      <x:c r="AP172" s="27"/>
      <x:c r="AQ172" s="27"/>
      <x:c r="AR172" s="27"/>
      <x:c r="AS172" s="27"/>
      <x:c r="AT172" s="27"/>
      <x:c r="AU172" s="27"/>
      <x:c r="AV172" s="27"/>
      <x:c r="AW172" s="27"/>
      <x:c r="AX172" s="27"/>
      <x:c r="AY172" s="27"/>
      <x:c r="AZ172" s="27"/>
      <x:c r="BA172" s="27"/>
      <x:c r="BB172" s="27"/>
      <x:c r="BC172" s="27"/>
      <x:c r="BD172" s="27"/>
      <x:c r="BE172" s="27"/>
      <x:c r="BF172" s="27"/>
      <x:c r="BG172" s="27"/>
      <x:c r="BH172" s="27"/>
      <x:c r="BI172" s="27"/>
      <x:c r="BJ172" s="27"/>
      <x:c r="BK172" s="27"/>
      <x:c r="BL172" s="27"/>
      <x:c r="BM172" s="27"/>
      <x:c r="BN172" s="27"/>
      <x:c r="BO172" s="27"/>
      <x:c r="BP172" s="27"/>
      <x:c r="BQ172" s="27"/>
      <x:c r="BR172" s="27"/>
      <x:c r="BS172" s="27"/>
      <x:c r="BT172" s="27"/>
      <x:c r="BU172" s="27"/>
      <x:c r="BV172" s="27"/>
      <x:c r="BW172" s="27"/>
      <x:c r="BX172" s="27"/>
      <x:c r="BY172" s="27"/>
      <x:c r="BZ172" s="27"/>
      <x:c r="CA172" s="27"/>
      <x:c r="CB172" s="27"/>
      <x:c r="CC172" s="27"/>
      <x:c r="CD172" s="27"/>
      <x:c r="CE172" s="27"/>
      <x:c r="CF172" s="27"/>
      <x:c r="CG172" s="27"/>
      <x:c r="CH172" s="27"/>
      <x:c r="CI172" s="27"/>
      <x:c r="CJ172" s="27"/>
      <x:c r="CK172" s="27"/>
      <x:c r="CL172" s="27"/>
      <x:c r="CM172" s="27"/>
      <x:c r="CN172" s="27"/>
      <x:c r="CO172" s="27"/>
      <x:c r="CP172" s="27"/>
      <x:c r="CQ172" s="27"/>
      <x:c r="CR172" s="27"/>
      <x:c r="CS172" s="27"/>
      <x:c r="CT172" s="27"/>
      <x:c r="CU172" s="27"/>
      <x:c r="CV172" s="27"/>
      <x:c r="CW172" s="27"/>
      <x:c r="CX172" s="27"/>
      <x:c r="CY172" s="27"/>
      <x:c r="CZ172" s="27"/>
      <x:c r="DA172" s="27"/>
      <x:c r="DB172" s="27"/>
      <x:c r="DC172" s="27"/>
      <x:c r="DD172" s="27"/>
      <x:c r="DE172" s="27"/>
      <x:c r="DF172" s="27"/>
      <x:c r="DG172" s="27"/>
      <x:c r="DH172" s="27"/>
      <x:c r="DI172" s="27"/>
      <x:c r="DJ172" s="27"/>
      <x:c r="DK172" s="27"/>
      <x:c r="DL172" s="27"/>
      <x:c r="DM172" s="27"/>
      <x:c r="DN172" s="27"/>
      <x:c r="DO172" s="27"/>
      <x:c r="DP172" s="27"/>
      <x:c r="DQ172" s="27"/>
      <x:c r="DR172" s="27"/>
      <x:c r="DS172" s="27"/>
      <x:c r="DT172" s="27"/>
      <x:c r="DU172" s="27"/>
      <x:c r="DV172" s="27"/>
      <x:c r="DW172" s="27"/>
      <x:c r="DX172" s="27"/>
      <x:c r="DY172" s="27"/>
      <x:c r="DZ172" s="27"/>
      <x:c r="EA172" s="27"/>
      <x:c r="EB172" s="27"/>
      <x:c r="EC172" s="27"/>
      <x:c r="ED172" s="27"/>
      <x:c r="EE172" s="27"/>
      <x:c r="EF172" s="27"/>
      <x:c r="EG172" s="27"/>
      <x:c r="EH172" s="27"/>
      <x:c r="EI172" s="27"/>
      <x:c r="EJ172" s="27"/>
      <x:c r="EK172" s="27"/>
      <x:c r="EL172" s="27"/>
      <x:c r="EM172" s="27"/>
      <x:c r="EN172" s="27"/>
      <x:c r="EO172" s="27"/>
      <x:c r="EP172" s="27"/>
      <x:c r="EQ172" s="27"/>
      <x:c r="ER172" s="27"/>
      <x:c r="ES172" s="27"/>
      <x:c r="ET172" s="27"/>
      <x:c r="EU172" s="27"/>
      <x:c r="EV172" s="27"/>
      <x:c r="EW172" s="27"/>
      <x:c r="EX172" s="27"/>
      <x:c r="EY172" s="27"/>
      <x:c r="EZ172" s="27"/>
      <x:c r="FA172" s="27"/>
      <x:c r="FB172" s="27"/>
      <x:c r="FC172" s="27"/>
      <x:c r="FD172" s="27"/>
      <x:c r="FE172" s="27"/>
      <x:c r="FF172" s="27"/>
      <x:c r="FG172" s="27"/>
      <x:c r="FH172" s="27"/>
      <x:c r="FI172" s="27"/>
      <x:c r="FJ172" s="27"/>
      <x:c r="FK172" s="27"/>
      <x:c r="FL172" s="27"/>
      <x:c r="FM172" s="27"/>
      <x:c r="FN172" s="27"/>
      <x:c r="FO172" s="27"/>
      <x:c r="FP172" s="27"/>
      <x:c r="FQ172" s="27"/>
      <x:c r="FR172" s="27"/>
      <x:c r="FS172" s="27"/>
      <x:c r="FT172" s="27"/>
      <x:c r="FU172" s="27"/>
      <x:c r="FV172" s="27"/>
      <x:c r="FW172" s="27"/>
      <x:c r="FX172" s="27"/>
      <x:c r="FY172" s="27"/>
      <x:c r="FZ172" s="27"/>
      <x:c r="GA172" s="27"/>
      <x:c r="GB172" s="27"/>
      <x:c r="GC172" s="27"/>
      <x:c r="GD172" s="27"/>
      <x:c r="GE172" s="27"/>
      <x:c r="GF172" s="27"/>
      <x:c r="GG172" s="27"/>
      <x:c r="GH172" s="27"/>
      <x:c r="GI172" s="27"/>
      <x:c r="GJ172" s="27"/>
      <x:c r="GK172" s="27"/>
      <x:c r="GL172" s="27"/>
      <x:c r="GM172" s="27"/>
      <x:c r="GN172" s="27"/>
      <x:c r="GO172" s="27"/>
      <x:c r="GP172" s="27"/>
      <x:c r="GQ172" s="27"/>
      <x:c r="GR172" s="27"/>
      <x:c r="GS172" s="27"/>
      <x:c r="GT172" s="27"/>
      <x:c r="GU172" s="27"/>
      <x:c r="GV172" s="27"/>
      <x:c r="GW172" s="27"/>
      <x:c r="GX172" s="27"/>
      <x:c r="GY172" s="27"/>
      <x:c r="GZ172" s="27"/>
      <x:c r="HA172" s="27"/>
      <x:c r="HB172" s="27"/>
      <x:c r="HC172" s="27"/>
      <x:c r="HD172" s="27"/>
      <x:c r="HE172" s="27"/>
      <x:c r="HF172" s="27"/>
      <x:c r="HG172" s="27"/>
      <x:c r="HH172" s="27"/>
      <x:c r="HI172" s="27"/>
      <x:c r="HJ172" s="27"/>
      <x:c r="HK172" s="27"/>
      <x:c r="HL172" s="27"/>
      <x:c r="HM172" s="27"/>
      <x:c r="HN172" s="27"/>
      <x:c r="HO172" s="27"/>
      <x:c r="HP172" s="27" t="str">
        <x:f>IF(C172="","",SUM(H172,N172,T172,Z172,AF172,AL172,AR172,AX172,BD172,BJ172,BP172,BV172,CB172,CH172,CN172,CT172,CZ172,DF172,DL172,DR172,DX172,ED172,EJ172,EP172,EV172,FB172,FH172,FN172,FT172,FZ172,GF172,GL172,GR172,GX172,HD172,HJ172))</x:f>
      </x:c>
      <x:c r="HQ172" s="27" t="str">
        <x:f>IF(C172="","",SUM(I172,O172,U172,AA172,AG172,AM172,AS172,AY172,BE172,BK172,BQ172,BW172,CC172,CI172,CO172,CU172,DA172,DG172,DM172,DS172,DY172,EE172,EK172,EQ172,EW172,FC172,FI172,FO172,FU172,GA172,GG172,GM172,GS172,GY172,HE172,HK172))</x:f>
      </x:c>
      <x:c r="HR172" s="27" t="str">
        <x:f>IF(C172="","",SUM(J172,P172,V172,AB172,AH172,AN172,AT172,AZ172,BF172,BL172,BR172,BX172,CD172,CJ172,CP172,CV172,DB172,DH172,DN172,DT172,DZ172,EF172,EL172,ER172,EX172,FD172,FJ172,FP172,FV172,GB172,GH172,GN172,GT172,GZ172,HF172,HL172))</x:f>
      </x:c>
      <x:c r="HS172" s="27" t="str">
        <x:f>IF(C172="","",SUM(K172,Q172,W172,AC172,AI172,AO172,AU172,BA172,BG172,BM172,BS172,BY172,CE172,CK172,CQ172,CW172,DC172,DI172,DO172,DU172,EA172,EG172,EM172,ES172,EY172,FE172,FK172,FQ172,FW172,GC172,GI172,GO172,GU172,HA172,HG172,HM172))</x:f>
      </x:c>
      <x:c r="HT172" s="27" t="str">
        <x:f>IF(C172="","",SUM(L172,R172,X172,AD172,AJ172,AP172,AV172,BB172,BH172,BN172,BT172,BZ172,CF172,CL172,CR172,CX172,DD172,DJ172,DP172,DV172,EB172,EH172,EN172,ET172,EZ172,FF172,FL172,FR172,FX172,GD172,GJ172,GP172,GV172,HB172,HH172,HN172))</x:f>
      </x:c>
      <x:c r="HU172" s="27" t="str">
        <x:f>IF(C172="","",SUM(M172,S172,Y172,AE172,AK172,AQ172,AW172,BC172,BI172,BO172,BU172,CA172,CG172,CM172,CS172,CY172,DE172,DK172,DQ172,DW172,EC172,EI172,EO172,EU172,FA172,FG172,FM172,FS172,FY172,GE172,GK172,GQ172,GW172,HC172,HI172,HO172))</x:f>
      </x:c>
      <x:c r="HV172" s="27" t="str">
        <x:f>IF(C172="","",IF(JI172=LARGE(JI172:JN172,1),"R",IF(JJ172=LARGE(JI172:JN172,1),"I",IF(JK172=LARGE(JI172:JN172,1),"A",IF(JL172=LARGE(JI172:JN172,1),"S",IF(JM172=LARGE(JI172:JN172,1),"E",IF(JN172=LARGE(JI172:JN172,1),"C",""))))))&amp;IF(JI172=LARGE(JI172:JN172,2),"R",IF(JJ172=LARGE(JI172:JN172,2),"I",IF(JK172=LARGE(JI172:JN172,2),"A",IF(JL172=LARGE(JI172:JN172,2),"S",IF(JM172=LARGE(JI172:JN172,2),"E",IF(JN172=LARGE(JI172:JN172,2),"C",""))))))&amp;IF(JI172=LARGE(JI172:JN172,3),"R",IF(JJ172=LARGE(JI172:JN172,3),"I",IF(JK172=LARGE(JI172:JN172,3),"A",IF(JL172=LARGE(JI172:JN172,3),"S",IF(JM172=LARGE(JI172:JN172,3),"E",IF(JN172=LARGE(JI172:JN172,3),"C","")))))))</x:f>
      </x:c>
      <x:c r="HW172" s="27" t="str">
        <x:f>IF(C172="","",IF(JI172=LARGE(JI172:JN172,1),"นักปฏิบัติ",IF(JJ172=LARGE(JI172:JN172,1),"นักคิดวิเคราะห์",IF(JK172=LARGE(JI172:JN172,1),"นักสร้างสรรค์",IF(JL172=LARGE(JI172:JN172,1),"ผู้เข้าใจผู้คน",IF(JM172=LARGE(JI172:JN172,1),"ผู้นำการเปลี่ยนแปลง",IF(JN172=LARGE(JI172:JN172,1),"ผู้จัดระบบ","ผู้จัดระบบ")))))))</x:f>
      </x:c>
      <x:c r="HX172" s="27"/>
      <x:c r="HY172" s="27"/>
      <x:c r="HZ172" s="27"/>
      <x:c r="IA172" s="27"/>
      <x:c r="IB172" s="27"/>
      <x:c r="IC172" s="27"/>
      <x:c r="ID172" s="27"/>
      <x:c r="IE172" s="27"/>
      <x:c r="IF172" s="27"/>
      <x:c r="IG172" s="27"/>
      <x:c r="IH172" s="27"/>
      <x:c r="II172" s="27"/>
      <x:c r="IJ172" s="27"/>
      <x:c r="IK172" s="27" t="str">
        <x:f>IF(C172="","",SUM(H172,N172,T172,Z172,AF172,AL172,AR172,AX172,BD172,BJ172,BP172))</x:f>
      </x:c>
      <x:c r="IL172" s="27" t="str">
        <x:f>IF(C172="","",SUM(I172,O172,U172,AA172,AG172,AM172,AS172,AY172,BE172,BK172,BQ172))</x:f>
      </x:c>
      <x:c r="IM172" s="27" t="str">
        <x:f>IF(C172="","",SUM(J172,P172,V172,AB172,AH172,AN172,AT172,AZ172,BF172,BL172,BR172))</x:f>
      </x:c>
      <x:c r="IN172" s="27" t="str">
        <x:f>IF(C172="","",SUM(K172,Q172,W172,AC172,AI172,AO172,AU172,BA172,BG172,BM172,BS172))</x:f>
      </x:c>
      <x:c r="IO172" s="27" t="str">
        <x:f>IF(C172="","",SUM(L172,R172,X172,AD172,AJ172,AP172,AV172,BB172,BH172,BN172,BT172))</x:f>
      </x:c>
      <x:c r="IP172" s="27" t="str">
        <x:f>IF(C172="","",SUM(M172,S172,Y172,AE172,AK172,AQ172,AW172,BC172,BI172,BO172,BU172))</x:f>
      </x:c>
      <x:c r="IQ172" s="27" t="str">
        <x:f>IF(C172="","",SUM(BV172,CB172,CH172,CN172,CT172,CZ172,DF172,DL172,DR172,DX172,ED172))</x:f>
      </x:c>
      <x:c r="IR172" s="27" t="str">
        <x:f>IF(C172="","",SUM(BW172,CC172,CI172,CO172,CU172,DA172,DG172,DM172,DS172,DY172,EE172))</x:f>
      </x:c>
      <x:c r="IS172" s="27" t="str">
        <x:f>IF(C172="","",SUM(BX172,CD172,CJ172,CP172,CV172,DB172,DH172,DN172,DT172,DZ172,EF172))</x:f>
      </x:c>
      <x:c r="IT172" s="27" t="str">
        <x:f>IF(C172="","",SUM(BY172,CE172,CK172,CQ172,CW172,DC172,DI172,DO172,DU172,EA172,EG172))</x:f>
      </x:c>
      <x:c r="IU172" s="27" t="str">
        <x:f>IF(C172="","",SUM(BZ172,CF172,CL172,CR172,CX172,DD172,DJ172,DP172,DV172,EB172,EH172))</x:f>
      </x:c>
      <x:c r="IV172" s="27" t="str">
        <x:f>IF(C172="","",SUM(CA172,CG172,CM172,CS172,CY172,DE172,DK172,DQ172,DW172,EC172,EI172))</x:f>
      </x:c>
      <x:c r="IW172" s="27" t="str">
        <x:f>IF(C172="","",SUM(EJ172,EP172,EV172,FB172,FH172,FN172,FT172,FZ172,GF172,GL172,GR172,GX172,HD172,HJ172))</x:f>
      </x:c>
      <x:c r="IX172" s="27" t="str">
        <x:f>IF(C172="","",SUM(EK172,EQ172,EW172,FC172,FI172,FO172,FU172,GA172,GG172,GM172,GS172,GY172,HE172,HK172))</x:f>
      </x:c>
      <x:c r="IY172" s="27" t="str">
        <x:f>IF(C172="","",SUM(EL172,ER172,EX172,FD172,FJ172,FP172,FV172,GB172,GH172,GN172,GT172,GZ172,HF172,HL172))</x:f>
      </x:c>
      <x:c r="IZ172" s="27" t="str">
        <x:f>IF(C172="","",SUM(EM172,ES172,EY172,FE172,FK172,FQ172,FW172,GC172,GI172,GO172,GU172,HA172,HG172,HM172))</x:f>
      </x:c>
      <x:c r="JA172" s="27" t="str">
        <x:f>IF(C172="","",SUM(EN172,ET172,EZ172,FF172,FL172,FR172,FX172,GD172,GJ172,GP172,GV172,HB172,HH172,HN172))</x:f>
      </x:c>
      <x:c r="JB172" s="27" t="str">
        <x:f>IF(C172="","",SUM(EO172,EU172,FA172,FG172,FM172,FS172,FY172,GE172,GK172,GQ172,GW172,HC172,HI172,HO172))</x:f>
      </x:c>
      <x:c r="JC172" s="27" t="str">
        <x:f>IF(C172="","",0)</x:f>
      </x:c>
      <x:c r="JD172" s="27" t="str">
        <x:f>IF(C172="","",0)</x:f>
      </x:c>
      <x:c r="JE172" s="27" t="str">
        <x:f>IF(C172="","",0)</x:f>
      </x:c>
      <x:c r="JF172" s="27" t="str">
        <x:f>IF(C172="","",0)</x:f>
      </x:c>
      <x:c r="JG172" s="27" t="str">
        <x:f>IF(C172="","",0)</x:f>
      </x:c>
      <x:c r="JH172" s="27" t="str">
        <x:f>IF(C172="","",0)</x:f>
      </x:c>
      <x:c r="JI172" s="27" t="str">
        <x:f>IF(C172="","",HP172*1000000000+IW172*1000000+IQ172*10000+IK172*100+JC172+6/1000)</x:f>
      </x:c>
      <x:c r="JJ172" s="27" t="str">
        <x:f>IF(C172="","",HQ172*1000000000+IX172*1000000+IR172*10000+IL172*100+JD172+5/1000)</x:f>
      </x:c>
      <x:c r="JK172" s="27" t="str">
        <x:f>IF(C172="","",HR172*1000000000+IY172*1000000+IS172*10000+IM172*100+JE172+4/1000)</x:f>
      </x:c>
      <x:c r="JL172" s="27" t="str">
        <x:f>IF(C172="","",HS172*1000000000+IZ172*1000000+IT172*10000+IN172*100+JF172+3/1000)</x:f>
      </x:c>
      <x:c r="JM172" s="27" t="str">
        <x:f>IF(C172="","",HT172*1000000000+JA172*1000000+IU172*10000+IO172*100+JG172+2/1000)</x:f>
      </x:c>
      <x:c r="JN172" s="27" t="str">
        <x:f>IF(C172="","",HU172*1000000000+JB172*1000000+IV172*10000+IP172*100+JH172+1/1000)</x:f>
      </x:c>
    </x:row>
    <x:row r="173">
      <x:c r="A173" s="27"/>
      <x:c r="B173" s="28"/>
      <x:c r="C173" s="27"/>
      <x:c r="D173" s="27"/>
      <x:c r="E173" s="27"/>
      <x:c r="F173" s="27"/>
      <x:c r="G173" s="27"/>
      <x:c r="H173" s="27"/>
      <x:c r="I173" s="27"/>
      <x:c r="J173" s="27"/>
      <x:c r="K173" s="27"/>
      <x:c r="L173" s="27"/>
      <x:c r="M173" s="27"/>
      <x:c r="N173" s="27"/>
      <x:c r="O173" s="27"/>
      <x:c r="P173" s="27"/>
      <x:c r="Q173" s="27"/>
      <x:c r="R173" s="27"/>
      <x:c r="S173" s="27"/>
      <x:c r="T173" s="27"/>
      <x:c r="U173" s="27"/>
      <x:c r="V173" s="27"/>
      <x:c r="W173" s="27"/>
      <x:c r="X173" s="27"/>
      <x:c r="Y173" s="27"/>
      <x:c r="Z173" s="27"/>
      <x:c r="AA173" s="27"/>
      <x:c r="AB173" s="27"/>
      <x:c r="AC173" s="27"/>
      <x:c r="AD173" s="27"/>
      <x:c r="AE173" s="27"/>
      <x:c r="AF173" s="27"/>
      <x:c r="AG173" s="27"/>
      <x:c r="AH173" s="27"/>
      <x:c r="AI173" s="27"/>
      <x:c r="AJ173" s="27"/>
      <x:c r="AK173" s="27"/>
      <x:c r="AL173" s="27"/>
      <x:c r="AM173" s="27"/>
      <x:c r="AN173" s="27"/>
      <x:c r="AO173" s="27"/>
      <x:c r="AP173" s="27"/>
      <x:c r="AQ173" s="27"/>
      <x:c r="AR173" s="27"/>
      <x:c r="AS173" s="27"/>
      <x:c r="AT173" s="27"/>
      <x:c r="AU173" s="27"/>
      <x:c r="AV173" s="27"/>
      <x:c r="AW173" s="27"/>
      <x:c r="AX173" s="27"/>
      <x:c r="AY173" s="27"/>
      <x:c r="AZ173" s="27"/>
      <x:c r="BA173" s="27"/>
      <x:c r="BB173" s="27"/>
      <x:c r="BC173" s="27"/>
      <x:c r="BD173" s="27"/>
      <x:c r="BE173" s="27"/>
      <x:c r="BF173" s="27"/>
      <x:c r="BG173" s="27"/>
      <x:c r="BH173" s="27"/>
      <x:c r="BI173" s="27"/>
      <x:c r="BJ173" s="27"/>
      <x:c r="BK173" s="27"/>
      <x:c r="BL173" s="27"/>
      <x:c r="BM173" s="27"/>
      <x:c r="BN173" s="27"/>
      <x:c r="BO173" s="27"/>
      <x:c r="BP173" s="27"/>
      <x:c r="BQ173" s="27"/>
      <x:c r="BR173" s="27"/>
      <x:c r="BS173" s="27"/>
      <x:c r="BT173" s="27"/>
      <x:c r="BU173" s="27"/>
      <x:c r="BV173" s="27"/>
      <x:c r="BW173" s="27"/>
      <x:c r="BX173" s="27"/>
      <x:c r="BY173" s="27"/>
      <x:c r="BZ173" s="27"/>
      <x:c r="CA173" s="27"/>
      <x:c r="CB173" s="27"/>
      <x:c r="CC173" s="27"/>
      <x:c r="CD173" s="27"/>
      <x:c r="CE173" s="27"/>
      <x:c r="CF173" s="27"/>
      <x:c r="CG173" s="27"/>
      <x:c r="CH173" s="27"/>
      <x:c r="CI173" s="27"/>
      <x:c r="CJ173" s="27"/>
      <x:c r="CK173" s="27"/>
      <x:c r="CL173" s="27"/>
      <x:c r="CM173" s="27"/>
      <x:c r="CN173" s="27"/>
      <x:c r="CO173" s="27"/>
      <x:c r="CP173" s="27"/>
      <x:c r="CQ173" s="27"/>
      <x:c r="CR173" s="27"/>
      <x:c r="CS173" s="27"/>
      <x:c r="CT173" s="27"/>
      <x:c r="CU173" s="27"/>
      <x:c r="CV173" s="27"/>
      <x:c r="CW173" s="27"/>
      <x:c r="CX173" s="27"/>
      <x:c r="CY173" s="27"/>
      <x:c r="CZ173" s="27"/>
      <x:c r="DA173" s="27"/>
      <x:c r="DB173" s="27"/>
      <x:c r="DC173" s="27"/>
      <x:c r="DD173" s="27"/>
      <x:c r="DE173" s="27"/>
      <x:c r="DF173" s="27"/>
      <x:c r="DG173" s="27"/>
      <x:c r="DH173" s="27"/>
      <x:c r="DI173" s="27"/>
      <x:c r="DJ173" s="27"/>
      <x:c r="DK173" s="27"/>
      <x:c r="DL173" s="27"/>
      <x:c r="DM173" s="27"/>
      <x:c r="DN173" s="27"/>
      <x:c r="DO173" s="27"/>
      <x:c r="DP173" s="27"/>
      <x:c r="DQ173" s="27"/>
      <x:c r="DR173" s="27"/>
      <x:c r="DS173" s="27"/>
      <x:c r="DT173" s="27"/>
      <x:c r="DU173" s="27"/>
      <x:c r="DV173" s="27"/>
      <x:c r="DW173" s="27"/>
      <x:c r="DX173" s="27"/>
      <x:c r="DY173" s="27"/>
      <x:c r="DZ173" s="27"/>
      <x:c r="EA173" s="27"/>
      <x:c r="EB173" s="27"/>
      <x:c r="EC173" s="27"/>
      <x:c r="ED173" s="27"/>
      <x:c r="EE173" s="27"/>
      <x:c r="EF173" s="27"/>
      <x:c r="EG173" s="27"/>
      <x:c r="EH173" s="27"/>
      <x:c r="EI173" s="27"/>
      <x:c r="EJ173" s="27"/>
      <x:c r="EK173" s="27"/>
      <x:c r="EL173" s="27"/>
      <x:c r="EM173" s="27"/>
      <x:c r="EN173" s="27"/>
      <x:c r="EO173" s="27"/>
      <x:c r="EP173" s="27"/>
      <x:c r="EQ173" s="27"/>
      <x:c r="ER173" s="27"/>
      <x:c r="ES173" s="27"/>
      <x:c r="ET173" s="27"/>
      <x:c r="EU173" s="27"/>
      <x:c r="EV173" s="27"/>
      <x:c r="EW173" s="27"/>
      <x:c r="EX173" s="27"/>
      <x:c r="EY173" s="27"/>
      <x:c r="EZ173" s="27"/>
      <x:c r="FA173" s="27"/>
      <x:c r="FB173" s="27"/>
      <x:c r="FC173" s="27"/>
      <x:c r="FD173" s="27"/>
      <x:c r="FE173" s="27"/>
      <x:c r="FF173" s="27"/>
      <x:c r="FG173" s="27"/>
      <x:c r="FH173" s="27"/>
      <x:c r="FI173" s="27"/>
      <x:c r="FJ173" s="27"/>
      <x:c r="FK173" s="27"/>
      <x:c r="FL173" s="27"/>
      <x:c r="FM173" s="27"/>
      <x:c r="FN173" s="27"/>
      <x:c r="FO173" s="27"/>
      <x:c r="FP173" s="27"/>
      <x:c r="FQ173" s="27"/>
      <x:c r="FR173" s="27"/>
      <x:c r="FS173" s="27"/>
      <x:c r="FT173" s="27"/>
      <x:c r="FU173" s="27"/>
      <x:c r="FV173" s="27"/>
      <x:c r="FW173" s="27"/>
      <x:c r="FX173" s="27"/>
      <x:c r="FY173" s="27"/>
      <x:c r="FZ173" s="27"/>
      <x:c r="GA173" s="27"/>
      <x:c r="GB173" s="27"/>
      <x:c r="GC173" s="27"/>
      <x:c r="GD173" s="27"/>
      <x:c r="GE173" s="27"/>
      <x:c r="GF173" s="27"/>
      <x:c r="GG173" s="27"/>
      <x:c r="GH173" s="27"/>
      <x:c r="GI173" s="27"/>
      <x:c r="GJ173" s="27"/>
      <x:c r="GK173" s="27"/>
      <x:c r="GL173" s="27"/>
      <x:c r="GM173" s="27"/>
      <x:c r="GN173" s="27"/>
      <x:c r="GO173" s="27"/>
      <x:c r="GP173" s="27"/>
      <x:c r="GQ173" s="27"/>
      <x:c r="GR173" s="27"/>
      <x:c r="GS173" s="27"/>
      <x:c r="GT173" s="27"/>
      <x:c r="GU173" s="27"/>
      <x:c r="GV173" s="27"/>
      <x:c r="GW173" s="27"/>
      <x:c r="GX173" s="27"/>
      <x:c r="GY173" s="27"/>
      <x:c r="GZ173" s="27"/>
      <x:c r="HA173" s="27"/>
      <x:c r="HB173" s="27"/>
      <x:c r="HC173" s="27"/>
      <x:c r="HD173" s="27"/>
      <x:c r="HE173" s="27"/>
      <x:c r="HF173" s="27"/>
      <x:c r="HG173" s="27"/>
      <x:c r="HH173" s="27"/>
      <x:c r="HI173" s="27"/>
      <x:c r="HJ173" s="27"/>
      <x:c r="HK173" s="27"/>
      <x:c r="HL173" s="27"/>
      <x:c r="HM173" s="27"/>
      <x:c r="HN173" s="27"/>
      <x:c r="HO173" s="27"/>
      <x:c r="HP173" s="27" t="str">
        <x:f>IF(C173="","",SUM(H173,N173,T173,Z173,AF173,AL173,AR173,AX173,BD173,BJ173,BP173,BV173,CB173,CH173,CN173,CT173,CZ173,DF173,DL173,DR173,DX173,ED173,EJ173,EP173,EV173,FB173,FH173,FN173,FT173,FZ173,GF173,GL173,GR173,GX173,HD173,HJ173))</x:f>
      </x:c>
      <x:c r="HQ173" s="27" t="str">
        <x:f>IF(C173="","",SUM(I173,O173,U173,AA173,AG173,AM173,AS173,AY173,BE173,BK173,BQ173,BW173,CC173,CI173,CO173,CU173,DA173,DG173,DM173,DS173,DY173,EE173,EK173,EQ173,EW173,FC173,FI173,FO173,FU173,GA173,GG173,GM173,GS173,GY173,HE173,HK173))</x:f>
      </x:c>
      <x:c r="HR173" s="27" t="str">
        <x:f>IF(C173="","",SUM(J173,P173,V173,AB173,AH173,AN173,AT173,AZ173,BF173,BL173,BR173,BX173,CD173,CJ173,CP173,CV173,DB173,DH173,DN173,DT173,DZ173,EF173,EL173,ER173,EX173,FD173,FJ173,FP173,FV173,GB173,GH173,GN173,GT173,GZ173,HF173,HL173))</x:f>
      </x:c>
      <x:c r="HS173" s="27" t="str">
        <x:f>IF(C173="","",SUM(K173,Q173,W173,AC173,AI173,AO173,AU173,BA173,BG173,BM173,BS173,BY173,CE173,CK173,CQ173,CW173,DC173,DI173,DO173,DU173,EA173,EG173,EM173,ES173,EY173,FE173,FK173,FQ173,FW173,GC173,GI173,GO173,GU173,HA173,HG173,HM173))</x:f>
      </x:c>
      <x:c r="HT173" s="27" t="str">
        <x:f>IF(C173="","",SUM(L173,R173,X173,AD173,AJ173,AP173,AV173,BB173,BH173,BN173,BT173,BZ173,CF173,CL173,CR173,CX173,DD173,DJ173,DP173,DV173,EB173,EH173,EN173,ET173,EZ173,FF173,FL173,FR173,FX173,GD173,GJ173,GP173,GV173,HB173,HH173,HN173))</x:f>
      </x:c>
      <x:c r="HU173" s="27" t="str">
        <x:f>IF(C173="","",SUM(M173,S173,Y173,AE173,AK173,AQ173,AW173,BC173,BI173,BO173,BU173,CA173,CG173,CM173,CS173,CY173,DE173,DK173,DQ173,DW173,EC173,EI173,EO173,EU173,FA173,FG173,FM173,FS173,FY173,GE173,GK173,GQ173,GW173,HC173,HI173,HO173))</x:f>
      </x:c>
      <x:c r="HV173" s="27" t="str">
        <x:f>IF(C173="","",IF(JI173=LARGE(JI173:JN173,1),"R",IF(JJ173=LARGE(JI173:JN173,1),"I",IF(JK173=LARGE(JI173:JN173,1),"A",IF(JL173=LARGE(JI173:JN173,1),"S",IF(JM173=LARGE(JI173:JN173,1),"E",IF(JN173=LARGE(JI173:JN173,1),"C",""))))))&amp;IF(JI173=LARGE(JI173:JN173,2),"R",IF(JJ173=LARGE(JI173:JN173,2),"I",IF(JK173=LARGE(JI173:JN173,2),"A",IF(JL173=LARGE(JI173:JN173,2),"S",IF(JM173=LARGE(JI173:JN173,2),"E",IF(JN173=LARGE(JI173:JN173,2),"C",""))))))&amp;IF(JI173=LARGE(JI173:JN173,3),"R",IF(JJ173=LARGE(JI173:JN173,3),"I",IF(JK173=LARGE(JI173:JN173,3),"A",IF(JL173=LARGE(JI173:JN173,3),"S",IF(JM173=LARGE(JI173:JN173,3),"E",IF(JN173=LARGE(JI173:JN173,3),"C","")))))))</x:f>
      </x:c>
      <x:c r="HW173" s="27" t="str">
        <x:f>IF(C173="","",IF(JI173=LARGE(JI173:JN173,1),"นักปฏิบัติ",IF(JJ173=LARGE(JI173:JN173,1),"นักคิดวิเคราะห์",IF(JK173=LARGE(JI173:JN173,1),"นักสร้างสรรค์",IF(JL173=LARGE(JI173:JN173,1),"ผู้เข้าใจผู้คน",IF(JM173=LARGE(JI173:JN173,1),"ผู้นำการเปลี่ยนแปลง",IF(JN173=LARGE(JI173:JN173,1),"ผู้จัดระบบ","ผู้จัดระบบ")))))))</x:f>
      </x:c>
      <x:c r="HX173" s="27"/>
      <x:c r="HY173" s="27"/>
      <x:c r="HZ173" s="27"/>
      <x:c r="IA173" s="27"/>
      <x:c r="IB173" s="27"/>
      <x:c r="IC173" s="27"/>
      <x:c r="ID173" s="27"/>
      <x:c r="IE173" s="27"/>
      <x:c r="IF173" s="27"/>
      <x:c r="IG173" s="27"/>
      <x:c r="IH173" s="27"/>
      <x:c r="II173" s="27"/>
      <x:c r="IJ173" s="27"/>
      <x:c r="IK173" s="27" t="str">
        <x:f>IF(C173="","",SUM(H173,N173,T173,Z173,AF173,AL173,AR173,AX173,BD173,BJ173,BP173))</x:f>
      </x:c>
      <x:c r="IL173" s="27" t="str">
        <x:f>IF(C173="","",SUM(I173,O173,U173,AA173,AG173,AM173,AS173,AY173,BE173,BK173,BQ173))</x:f>
      </x:c>
      <x:c r="IM173" s="27" t="str">
        <x:f>IF(C173="","",SUM(J173,P173,V173,AB173,AH173,AN173,AT173,AZ173,BF173,BL173,BR173))</x:f>
      </x:c>
      <x:c r="IN173" s="27" t="str">
        <x:f>IF(C173="","",SUM(K173,Q173,W173,AC173,AI173,AO173,AU173,BA173,BG173,BM173,BS173))</x:f>
      </x:c>
      <x:c r="IO173" s="27" t="str">
        <x:f>IF(C173="","",SUM(L173,R173,X173,AD173,AJ173,AP173,AV173,BB173,BH173,BN173,BT173))</x:f>
      </x:c>
      <x:c r="IP173" s="27" t="str">
        <x:f>IF(C173="","",SUM(M173,S173,Y173,AE173,AK173,AQ173,AW173,BC173,BI173,BO173,BU173))</x:f>
      </x:c>
      <x:c r="IQ173" s="27" t="str">
        <x:f>IF(C173="","",SUM(BV173,CB173,CH173,CN173,CT173,CZ173,DF173,DL173,DR173,DX173,ED173))</x:f>
      </x:c>
      <x:c r="IR173" s="27" t="str">
        <x:f>IF(C173="","",SUM(BW173,CC173,CI173,CO173,CU173,DA173,DG173,DM173,DS173,DY173,EE173))</x:f>
      </x:c>
      <x:c r="IS173" s="27" t="str">
        <x:f>IF(C173="","",SUM(BX173,CD173,CJ173,CP173,CV173,DB173,DH173,DN173,DT173,DZ173,EF173))</x:f>
      </x:c>
      <x:c r="IT173" s="27" t="str">
        <x:f>IF(C173="","",SUM(BY173,CE173,CK173,CQ173,CW173,DC173,DI173,DO173,DU173,EA173,EG173))</x:f>
      </x:c>
      <x:c r="IU173" s="27" t="str">
        <x:f>IF(C173="","",SUM(BZ173,CF173,CL173,CR173,CX173,DD173,DJ173,DP173,DV173,EB173,EH173))</x:f>
      </x:c>
      <x:c r="IV173" s="27" t="str">
        <x:f>IF(C173="","",SUM(CA173,CG173,CM173,CS173,CY173,DE173,DK173,DQ173,DW173,EC173,EI173))</x:f>
      </x:c>
      <x:c r="IW173" s="27" t="str">
        <x:f>IF(C173="","",SUM(EJ173,EP173,EV173,FB173,FH173,FN173,FT173,FZ173,GF173,GL173,GR173,GX173,HD173,HJ173))</x:f>
      </x:c>
      <x:c r="IX173" s="27" t="str">
        <x:f>IF(C173="","",SUM(EK173,EQ173,EW173,FC173,FI173,FO173,FU173,GA173,GG173,GM173,GS173,GY173,HE173,HK173))</x:f>
      </x:c>
      <x:c r="IY173" s="27" t="str">
        <x:f>IF(C173="","",SUM(EL173,ER173,EX173,FD173,FJ173,FP173,FV173,GB173,GH173,GN173,GT173,GZ173,HF173,HL173))</x:f>
      </x:c>
      <x:c r="IZ173" s="27" t="str">
        <x:f>IF(C173="","",SUM(EM173,ES173,EY173,FE173,FK173,FQ173,FW173,GC173,GI173,GO173,GU173,HA173,HG173,HM173))</x:f>
      </x:c>
      <x:c r="JA173" s="27" t="str">
        <x:f>IF(C173="","",SUM(EN173,ET173,EZ173,FF173,FL173,FR173,FX173,GD173,GJ173,GP173,GV173,HB173,HH173,HN173))</x:f>
      </x:c>
      <x:c r="JB173" s="27" t="str">
        <x:f>IF(C173="","",SUM(EO173,EU173,FA173,FG173,FM173,FS173,FY173,GE173,GK173,GQ173,GW173,HC173,HI173,HO173))</x:f>
      </x:c>
      <x:c r="JC173" s="27" t="str">
        <x:f>IF(C173="","",0)</x:f>
      </x:c>
      <x:c r="JD173" s="27" t="str">
        <x:f>IF(C173="","",0)</x:f>
      </x:c>
      <x:c r="JE173" s="27" t="str">
        <x:f>IF(C173="","",0)</x:f>
      </x:c>
      <x:c r="JF173" s="27" t="str">
        <x:f>IF(C173="","",0)</x:f>
      </x:c>
      <x:c r="JG173" s="27" t="str">
        <x:f>IF(C173="","",0)</x:f>
      </x:c>
      <x:c r="JH173" s="27" t="str">
        <x:f>IF(C173="","",0)</x:f>
      </x:c>
      <x:c r="JI173" s="27" t="str">
        <x:f>IF(C173="","",HP173*1000000000+IW173*1000000+IQ173*10000+IK173*100+JC173+6/1000)</x:f>
      </x:c>
      <x:c r="JJ173" s="27" t="str">
        <x:f>IF(C173="","",HQ173*1000000000+IX173*1000000+IR173*10000+IL173*100+JD173+5/1000)</x:f>
      </x:c>
      <x:c r="JK173" s="27" t="str">
        <x:f>IF(C173="","",HR173*1000000000+IY173*1000000+IS173*10000+IM173*100+JE173+4/1000)</x:f>
      </x:c>
      <x:c r="JL173" s="27" t="str">
        <x:f>IF(C173="","",HS173*1000000000+IZ173*1000000+IT173*10000+IN173*100+JF173+3/1000)</x:f>
      </x:c>
      <x:c r="JM173" s="27" t="str">
        <x:f>IF(C173="","",HT173*1000000000+JA173*1000000+IU173*10000+IO173*100+JG173+2/1000)</x:f>
      </x:c>
      <x:c r="JN173" s="27" t="str">
        <x:f>IF(C173="","",HU173*1000000000+JB173*1000000+IV173*10000+IP173*100+JH173+1/1000)</x:f>
      </x:c>
    </x:row>
    <x:row r="174">
      <x:c r="A174" s="27"/>
      <x:c r="B174" s="28"/>
      <x:c r="C174" s="27"/>
      <x:c r="D174" s="27"/>
      <x:c r="E174" s="27"/>
      <x:c r="F174" s="27"/>
      <x:c r="G174" s="27"/>
      <x:c r="H174" s="27"/>
      <x:c r="I174" s="27"/>
      <x:c r="J174" s="27"/>
      <x:c r="K174" s="27"/>
      <x:c r="L174" s="27"/>
      <x:c r="M174" s="27"/>
      <x:c r="N174" s="27"/>
      <x:c r="O174" s="27"/>
      <x:c r="P174" s="27"/>
      <x:c r="Q174" s="27"/>
      <x:c r="R174" s="27"/>
      <x:c r="S174" s="27"/>
      <x:c r="T174" s="27"/>
      <x:c r="U174" s="27"/>
      <x:c r="V174" s="27"/>
      <x:c r="W174" s="27"/>
      <x:c r="X174" s="27"/>
      <x:c r="Y174" s="27"/>
      <x:c r="Z174" s="27"/>
      <x:c r="AA174" s="27"/>
      <x:c r="AB174" s="27"/>
      <x:c r="AC174" s="27"/>
      <x:c r="AD174" s="27"/>
      <x:c r="AE174" s="27"/>
      <x:c r="AF174" s="27"/>
      <x:c r="AG174" s="27"/>
      <x:c r="AH174" s="27"/>
      <x:c r="AI174" s="27"/>
      <x:c r="AJ174" s="27"/>
      <x:c r="AK174" s="27"/>
      <x:c r="AL174" s="27"/>
      <x:c r="AM174" s="27"/>
      <x:c r="AN174" s="27"/>
      <x:c r="AO174" s="27"/>
      <x:c r="AP174" s="27"/>
      <x:c r="AQ174" s="27"/>
      <x:c r="AR174" s="27"/>
      <x:c r="AS174" s="27"/>
      <x:c r="AT174" s="27"/>
      <x:c r="AU174" s="27"/>
      <x:c r="AV174" s="27"/>
      <x:c r="AW174" s="27"/>
      <x:c r="AX174" s="27"/>
      <x:c r="AY174" s="27"/>
      <x:c r="AZ174" s="27"/>
      <x:c r="BA174" s="27"/>
      <x:c r="BB174" s="27"/>
      <x:c r="BC174" s="27"/>
      <x:c r="BD174" s="27"/>
      <x:c r="BE174" s="27"/>
      <x:c r="BF174" s="27"/>
      <x:c r="BG174" s="27"/>
      <x:c r="BH174" s="27"/>
      <x:c r="BI174" s="27"/>
      <x:c r="BJ174" s="27"/>
      <x:c r="BK174" s="27"/>
      <x:c r="BL174" s="27"/>
      <x:c r="BM174" s="27"/>
      <x:c r="BN174" s="27"/>
      <x:c r="BO174" s="27"/>
      <x:c r="BP174" s="27"/>
      <x:c r="BQ174" s="27"/>
      <x:c r="BR174" s="27"/>
      <x:c r="BS174" s="27"/>
      <x:c r="BT174" s="27"/>
      <x:c r="BU174" s="27"/>
      <x:c r="BV174" s="27"/>
      <x:c r="BW174" s="27"/>
      <x:c r="BX174" s="27"/>
      <x:c r="BY174" s="27"/>
      <x:c r="BZ174" s="27"/>
      <x:c r="CA174" s="27"/>
      <x:c r="CB174" s="27"/>
      <x:c r="CC174" s="27"/>
      <x:c r="CD174" s="27"/>
      <x:c r="CE174" s="27"/>
      <x:c r="CF174" s="27"/>
      <x:c r="CG174" s="27"/>
      <x:c r="CH174" s="27"/>
      <x:c r="CI174" s="27"/>
      <x:c r="CJ174" s="27"/>
      <x:c r="CK174" s="27"/>
      <x:c r="CL174" s="27"/>
      <x:c r="CM174" s="27"/>
      <x:c r="CN174" s="27"/>
      <x:c r="CO174" s="27"/>
      <x:c r="CP174" s="27"/>
      <x:c r="CQ174" s="27"/>
      <x:c r="CR174" s="27"/>
      <x:c r="CS174" s="27"/>
      <x:c r="CT174" s="27"/>
      <x:c r="CU174" s="27"/>
      <x:c r="CV174" s="27"/>
      <x:c r="CW174" s="27"/>
      <x:c r="CX174" s="27"/>
      <x:c r="CY174" s="27"/>
      <x:c r="CZ174" s="27"/>
      <x:c r="DA174" s="27"/>
      <x:c r="DB174" s="27"/>
      <x:c r="DC174" s="27"/>
      <x:c r="DD174" s="27"/>
      <x:c r="DE174" s="27"/>
      <x:c r="DF174" s="27"/>
      <x:c r="DG174" s="27"/>
      <x:c r="DH174" s="27"/>
      <x:c r="DI174" s="27"/>
      <x:c r="DJ174" s="27"/>
      <x:c r="DK174" s="27"/>
      <x:c r="DL174" s="27"/>
      <x:c r="DM174" s="27"/>
      <x:c r="DN174" s="27"/>
      <x:c r="DO174" s="27"/>
      <x:c r="DP174" s="27"/>
      <x:c r="DQ174" s="27"/>
      <x:c r="DR174" s="27"/>
      <x:c r="DS174" s="27"/>
      <x:c r="DT174" s="27"/>
      <x:c r="DU174" s="27"/>
      <x:c r="DV174" s="27"/>
      <x:c r="DW174" s="27"/>
      <x:c r="DX174" s="27"/>
      <x:c r="DY174" s="27"/>
      <x:c r="DZ174" s="27"/>
      <x:c r="EA174" s="27"/>
      <x:c r="EB174" s="27"/>
      <x:c r="EC174" s="27"/>
      <x:c r="ED174" s="27"/>
      <x:c r="EE174" s="27"/>
      <x:c r="EF174" s="27"/>
      <x:c r="EG174" s="27"/>
      <x:c r="EH174" s="27"/>
      <x:c r="EI174" s="27"/>
      <x:c r="EJ174" s="27"/>
      <x:c r="EK174" s="27"/>
      <x:c r="EL174" s="27"/>
      <x:c r="EM174" s="27"/>
      <x:c r="EN174" s="27"/>
      <x:c r="EO174" s="27"/>
      <x:c r="EP174" s="27"/>
      <x:c r="EQ174" s="27"/>
      <x:c r="ER174" s="27"/>
      <x:c r="ES174" s="27"/>
      <x:c r="ET174" s="27"/>
      <x:c r="EU174" s="27"/>
      <x:c r="EV174" s="27"/>
      <x:c r="EW174" s="27"/>
      <x:c r="EX174" s="27"/>
      <x:c r="EY174" s="27"/>
      <x:c r="EZ174" s="27"/>
      <x:c r="FA174" s="27"/>
      <x:c r="FB174" s="27"/>
      <x:c r="FC174" s="27"/>
      <x:c r="FD174" s="27"/>
      <x:c r="FE174" s="27"/>
      <x:c r="FF174" s="27"/>
      <x:c r="FG174" s="27"/>
      <x:c r="FH174" s="27"/>
      <x:c r="FI174" s="27"/>
      <x:c r="FJ174" s="27"/>
      <x:c r="FK174" s="27"/>
      <x:c r="FL174" s="27"/>
      <x:c r="FM174" s="27"/>
      <x:c r="FN174" s="27"/>
      <x:c r="FO174" s="27"/>
      <x:c r="FP174" s="27"/>
      <x:c r="FQ174" s="27"/>
      <x:c r="FR174" s="27"/>
      <x:c r="FS174" s="27"/>
      <x:c r="FT174" s="27"/>
      <x:c r="FU174" s="27"/>
      <x:c r="FV174" s="27"/>
      <x:c r="FW174" s="27"/>
      <x:c r="FX174" s="27"/>
      <x:c r="FY174" s="27"/>
      <x:c r="FZ174" s="27"/>
      <x:c r="GA174" s="27"/>
      <x:c r="GB174" s="27"/>
      <x:c r="GC174" s="27"/>
      <x:c r="GD174" s="27"/>
      <x:c r="GE174" s="27"/>
      <x:c r="GF174" s="27"/>
      <x:c r="GG174" s="27"/>
      <x:c r="GH174" s="27"/>
      <x:c r="GI174" s="27"/>
      <x:c r="GJ174" s="27"/>
      <x:c r="GK174" s="27"/>
      <x:c r="GL174" s="27"/>
      <x:c r="GM174" s="27"/>
      <x:c r="GN174" s="27"/>
      <x:c r="GO174" s="27"/>
      <x:c r="GP174" s="27"/>
      <x:c r="GQ174" s="27"/>
      <x:c r="GR174" s="27"/>
      <x:c r="GS174" s="27"/>
      <x:c r="GT174" s="27"/>
      <x:c r="GU174" s="27"/>
      <x:c r="GV174" s="27"/>
      <x:c r="GW174" s="27"/>
      <x:c r="GX174" s="27"/>
      <x:c r="GY174" s="27"/>
      <x:c r="GZ174" s="27"/>
      <x:c r="HA174" s="27"/>
      <x:c r="HB174" s="27"/>
      <x:c r="HC174" s="27"/>
      <x:c r="HD174" s="27"/>
      <x:c r="HE174" s="27"/>
      <x:c r="HF174" s="27"/>
      <x:c r="HG174" s="27"/>
      <x:c r="HH174" s="27"/>
      <x:c r="HI174" s="27"/>
      <x:c r="HJ174" s="27"/>
      <x:c r="HK174" s="27"/>
      <x:c r="HL174" s="27"/>
      <x:c r="HM174" s="27"/>
      <x:c r="HN174" s="27"/>
      <x:c r="HO174" s="27"/>
      <x:c r="HP174" s="27" t="str">
        <x:f>IF(C174="","",SUM(H174,N174,T174,Z174,AF174,AL174,AR174,AX174,BD174,BJ174,BP174,BV174,CB174,CH174,CN174,CT174,CZ174,DF174,DL174,DR174,DX174,ED174,EJ174,EP174,EV174,FB174,FH174,FN174,FT174,FZ174,GF174,GL174,GR174,GX174,HD174,HJ174))</x:f>
      </x:c>
      <x:c r="HQ174" s="27" t="str">
        <x:f>IF(C174="","",SUM(I174,O174,U174,AA174,AG174,AM174,AS174,AY174,BE174,BK174,BQ174,BW174,CC174,CI174,CO174,CU174,DA174,DG174,DM174,DS174,DY174,EE174,EK174,EQ174,EW174,FC174,FI174,FO174,FU174,GA174,GG174,GM174,GS174,GY174,HE174,HK174))</x:f>
      </x:c>
      <x:c r="HR174" s="27" t="str">
        <x:f>IF(C174="","",SUM(J174,P174,V174,AB174,AH174,AN174,AT174,AZ174,BF174,BL174,BR174,BX174,CD174,CJ174,CP174,CV174,DB174,DH174,DN174,DT174,DZ174,EF174,EL174,ER174,EX174,FD174,FJ174,FP174,FV174,GB174,GH174,GN174,GT174,GZ174,HF174,HL174))</x:f>
      </x:c>
      <x:c r="HS174" s="27" t="str">
        <x:f>IF(C174="","",SUM(K174,Q174,W174,AC174,AI174,AO174,AU174,BA174,BG174,BM174,BS174,BY174,CE174,CK174,CQ174,CW174,DC174,DI174,DO174,DU174,EA174,EG174,EM174,ES174,EY174,FE174,FK174,FQ174,FW174,GC174,GI174,GO174,GU174,HA174,HG174,HM174))</x:f>
      </x:c>
      <x:c r="HT174" s="27" t="str">
        <x:f>IF(C174="","",SUM(L174,R174,X174,AD174,AJ174,AP174,AV174,BB174,BH174,BN174,BT174,BZ174,CF174,CL174,CR174,CX174,DD174,DJ174,DP174,DV174,EB174,EH174,EN174,ET174,EZ174,FF174,FL174,FR174,FX174,GD174,GJ174,GP174,GV174,HB174,HH174,HN174))</x:f>
      </x:c>
      <x:c r="HU174" s="27" t="str">
        <x:f>IF(C174="","",SUM(M174,S174,Y174,AE174,AK174,AQ174,AW174,BC174,BI174,BO174,BU174,CA174,CG174,CM174,CS174,CY174,DE174,DK174,DQ174,DW174,EC174,EI174,EO174,EU174,FA174,FG174,FM174,FS174,FY174,GE174,GK174,GQ174,GW174,HC174,HI174,HO174))</x:f>
      </x:c>
      <x:c r="HV174" s="27" t="str">
        <x:f>IF(C174="","",IF(JI174=LARGE(JI174:JN174,1),"R",IF(JJ174=LARGE(JI174:JN174,1),"I",IF(JK174=LARGE(JI174:JN174,1),"A",IF(JL174=LARGE(JI174:JN174,1),"S",IF(JM174=LARGE(JI174:JN174,1),"E",IF(JN174=LARGE(JI174:JN174,1),"C",""))))))&amp;IF(JI174=LARGE(JI174:JN174,2),"R",IF(JJ174=LARGE(JI174:JN174,2),"I",IF(JK174=LARGE(JI174:JN174,2),"A",IF(JL174=LARGE(JI174:JN174,2),"S",IF(JM174=LARGE(JI174:JN174,2),"E",IF(JN174=LARGE(JI174:JN174,2),"C",""))))))&amp;IF(JI174=LARGE(JI174:JN174,3),"R",IF(JJ174=LARGE(JI174:JN174,3),"I",IF(JK174=LARGE(JI174:JN174,3),"A",IF(JL174=LARGE(JI174:JN174,3),"S",IF(JM174=LARGE(JI174:JN174,3),"E",IF(JN174=LARGE(JI174:JN174,3),"C","")))))))</x:f>
      </x:c>
      <x:c r="HW174" s="27" t="str">
        <x:f>IF(C174="","",IF(JI174=LARGE(JI174:JN174,1),"นักปฏิบัติ",IF(JJ174=LARGE(JI174:JN174,1),"นักคิดวิเคราะห์",IF(JK174=LARGE(JI174:JN174,1),"นักสร้างสรรค์",IF(JL174=LARGE(JI174:JN174,1),"ผู้เข้าใจผู้คน",IF(JM174=LARGE(JI174:JN174,1),"ผู้นำการเปลี่ยนแปลง",IF(JN174=LARGE(JI174:JN174,1),"ผู้จัดระบบ","ผู้จัดระบบ")))))))</x:f>
      </x:c>
      <x:c r="HX174" s="27"/>
      <x:c r="HY174" s="27"/>
      <x:c r="HZ174" s="27"/>
      <x:c r="IA174" s="27"/>
      <x:c r="IB174" s="27"/>
      <x:c r="IC174" s="27"/>
      <x:c r="ID174" s="27"/>
      <x:c r="IE174" s="27"/>
      <x:c r="IF174" s="27"/>
      <x:c r="IG174" s="27"/>
      <x:c r="IH174" s="27"/>
      <x:c r="II174" s="27"/>
      <x:c r="IJ174" s="27"/>
      <x:c r="IK174" s="27" t="str">
        <x:f>IF(C174="","",SUM(H174,N174,T174,Z174,AF174,AL174,AR174,AX174,BD174,BJ174,BP174))</x:f>
      </x:c>
      <x:c r="IL174" s="27" t="str">
        <x:f>IF(C174="","",SUM(I174,O174,U174,AA174,AG174,AM174,AS174,AY174,BE174,BK174,BQ174))</x:f>
      </x:c>
      <x:c r="IM174" s="27" t="str">
        <x:f>IF(C174="","",SUM(J174,P174,V174,AB174,AH174,AN174,AT174,AZ174,BF174,BL174,BR174))</x:f>
      </x:c>
      <x:c r="IN174" s="27" t="str">
        <x:f>IF(C174="","",SUM(K174,Q174,W174,AC174,AI174,AO174,AU174,BA174,BG174,BM174,BS174))</x:f>
      </x:c>
      <x:c r="IO174" s="27" t="str">
        <x:f>IF(C174="","",SUM(L174,R174,X174,AD174,AJ174,AP174,AV174,BB174,BH174,BN174,BT174))</x:f>
      </x:c>
      <x:c r="IP174" s="27" t="str">
        <x:f>IF(C174="","",SUM(M174,S174,Y174,AE174,AK174,AQ174,AW174,BC174,BI174,BO174,BU174))</x:f>
      </x:c>
      <x:c r="IQ174" s="27" t="str">
        <x:f>IF(C174="","",SUM(BV174,CB174,CH174,CN174,CT174,CZ174,DF174,DL174,DR174,DX174,ED174))</x:f>
      </x:c>
      <x:c r="IR174" s="27" t="str">
        <x:f>IF(C174="","",SUM(BW174,CC174,CI174,CO174,CU174,DA174,DG174,DM174,DS174,DY174,EE174))</x:f>
      </x:c>
      <x:c r="IS174" s="27" t="str">
        <x:f>IF(C174="","",SUM(BX174,CD174,CJ174,CP174,CV174,DB174,DH174,DN174,DT174,DZ174,EF174))</x:f>
      </x:c>
      <x:c r="IT174" s="27" t="str">
        <x:f>IF(C174="","",SUM(BY174,CE174,CK174,CQ174,CW174,DC174,DI174,DO174,DU174,EA174,EG174))</x:f>
      </x:c>
      <x:c r="IU174" s="27" t="str">
        <x:f>IF(C174="","",SUM(BZ174,CF174,CL174,CR174,CX174,DD174,DJ174,DP174,DV174,EB174,EH174))</x:f>
      </x:c>
      <x:c r="IV174" s="27" t="str">
        <x:f>IF(C174="","",SUM(CA174,CG174,CM174,CS174,CY174,DE174,DK174,DQ174,DW174,EC174,EI174))</x:f>
      </x:c>
      <x:c r="IW174" s="27" t="str">
        <x:f>IF(C174="","",SUM(EJ174,EP174,EV174,FB174,FH174,FN174,FT174,FZ174,GF174,GL174,GR174,GX174,HD174,HJ174))</x:f>
      </x:c>
      <x:c r="IX174" s="27" t="str">
        <x:f>IF(C174="","",SUM(EK174,EQ174,EW174,FC174,FI174,FO174,FU174,GA174,GG174,GM174,GS174,GY174,HE174,HK174))</x:f>
      </x:c>
      <x:c r="IY174" s="27" t="str">
        <x:f>IF(C174="","",SUM(EL174,ER174,EX174,FD174,FJ174,FP174,FV174,GB174,GH174,GN174,GT174,GZ174,HF174,HL174))</x:f>
      </x:c>
      <x:c r="IZ174" s="27" t="str">
        <x:f>IF(C174="","",SUM(EM174,ES174,EY174,FE174,FK174,FQ174,FW174,GC174,GI174,GO174,GU174,HA174,HG174,HM174))</x:f>
      </x:c>
      <x:c r="JA174" s="27" t="str">
        <x:f>IF(C174="","",SUM(EN174,ET174,EZ174,FF174,FL174,FR174,FX174,GD174,GJ174,GP174,GV174,HB174,HH174,HN174))</x:f>
      </x:c>
      <x:c r="JB174" s="27" t="str">
        <x:f>IF(C174="","",SUM(EO174,EU174,FA174,FG174,FM174,FS174,FY174,GE174,GK174,GQ174,GW174,HC174,HI174,HO174))</x:f>
      </x:c>
      <x:c r="JC174" s="27" t="str">
        <x:f>IF(C174="","",0)</x:f>
      </x:c>
      <x:c r="JD174" s="27" t="str">
        <x:f>IF(C174="","",0)</x:f>
      </x:c>
      <x:c r="JE174" s="27" t="str">
        <x:f>IF(C174="","",0)</x:f>
      </x:c>
      <x:c r="JF174" s="27" t="str">
        <x:f>IF(C174="","",0)</x:f>
      </x:c>
      <x:c r="JG174" s="27" t="str">
        <x:f>IF(C174="","",0)</x:f>
      </x:c>
      <x:c r="JH174" s="27" t="str">
        <x:f>IF(C174="","",0)</x:f>
      </x:c>
      <x:c r="JI174" s="27" t="str">
        <x:f>IF(C174="","",HP174*1000000000+IW174*1000000+IQ174*10000+IK174*100+JC174+6/1000)</x:f>
      </x:c>
      <x:c r="JJ174" s="27" t="str">
        <x:f>IF(C174="","",HQ174*1000000000+IX174*1000000+IR174*10000+IL174*100+JD174+5/1000)</x:f>
      </x:c>
      <x:c r="JK174" s="27" t="str">
        <x:f>IF(C174="","",HR174*1000000000+IY174*1000000+IS174*10000+IM174*100+JE174+4/1000)</x:f>
      </x:c>
      <x:c r="JL174" s="27" t="str">
        <x:f>IF(C174="","",HS174*1000000000+IZ174*1000000+IT174*10000+IN174*100+JF174+3/1000)</x:f>
      </x:c>
      <x:c r="JM174" s="27" t="str">
        <x:f>IF(C174="","",HT174*1000000000+JA174*1000000+IU174*10000+IO174*100+JG174+2/1000)</x:f>
      </x:c>
      <x:c r="JN174" s="27" t="str">
        <x:f>IF(C174="","",HU174*1000000000+JB174*1000000+IV174*10000+IP174*100+JH174+1/1000)</x:f>
      </x:c>
    </x:row>
    <x:row r="175">
      <x:c r="A175" s="27"/>
      <x:c r="B175" s="28"/>
      <x:c r="C175" s="27"/>
      <x:c r="D175" s="27"/>
      <x:c r="E175" s="27"/>
      <x:c r="F175" s="27"/>
      <x:c r="G175" s="27"/>
      <x:c r="H175" s="27"/>
      <x:c r="I175" s="27"/>
      <x:c r="J175" s="27"/>
      <x:c r="K175" s="27"/>
      <x:c r="L175" s="27"/>
      <x:c r="M175" s="27"/>
      <x:c r="N175" s="27"/>
      <x:c r="O175" s="27"/>
      <x:c r="P175" s="27"/>
      <x:c r="Q175" s="27"/>
      <x:c r="R175" s="27"/>
      <x:c r="S175" s="27"/>
      <x:c r="T175" s="27"/>
      <x:c r="U175" s="27"/>
      <x:c r="V175" s="27"/>
      <x:c r="W175" s="27"/>
      <x:c r="X175" s="27"/>
      <x:c r="Y175" s="27"/>
      <x:c r="Z175" s="27"/>
      <x:c r="AA175" s="27"/>
      <x:c r="AB175" s="27"/>
      <x:c r="AC175" s="27"/>
      <x:c r="AD175" s="27"/>
      <x:c r="AE175" s="27"/>
      <x:c r="AF175" s="27"/>
      <x:c r="AG175" s="27"/>
      <x:c r="AH175" s="27"/>
      <x:c r="AI175" s="27"/>
      <x:c r="AJ175" s="27"/>
      <x:c r="AK175" s="27"/>
      <x:c r="AL175" s="27"/>
      <x:c r="AM175" s="27"/>
      <x:c r="AN175" s="27"/>
      <x:c r="AO175" s="27"/>
      <x:c r="AP175" s="27"/>
      <x:c r="AQ175" s="27"/>
      <x:c r="AR175" s="27"/>
      <x:c r="AS175" s="27"/>
      <x:c r="AT175" s="27"/>
      <x:c r="AU175" s="27"/>
      <x:c r="AV175" s="27"/>
      <x:c r="AW175" s="27"/>
      <x:c r="AX175" s="27"/>
      <x:c r="AY175" s="27"/>
      <x:c r="AZ175" s="27"/>
      <x:c r="BA175" s="27"/>
      <x:c r="BB175" s="27"/>
      <x:c r="BC175" s="27"/>
      <x:c r="BD175" s="27"/>
      <x:c r="BE175" s="27"/>
      <x:c r="BF175" s="27"/>
      <x:c r="BG175" s="27"/>
      <x:c r="BH175" s="27"/>
      <x:c r="BI175" s="27"/>
      <x:c r="BJ175" s="27"/>
      <x:c r="BK175" s="27"/>
      <x:c r="BL175" s="27"/>
      <x:c r="BM175" s="27"/>
      <x:c r="BN175" s="27"/>
      <x:c r="BO175" s="27"/>
      <x:c r="BP175" s="27"/>
      <x:c r="BQ175" s="27"/>
      <x:c r="BR175" s="27"/>
      <x:c r="BS175" s="27"/>
      <x:c r="BT175" s="27"/>
      <x:c r="BU175" s="27"/>
      <x:c r="BV175" s="27"/>
      <x:c r="BW175" s="27"/>
      <x:c r="BX175" s="27"/>
      <x:c r="BY175" s="27"/>
      <x:c r="BZ175" s="27"/>
      <x:c r="CA175" s="27"/>
      <x:c r="CB175" s="27"/>
      <x:c r="CC175" s="27"/>
      <x:c r="CD175" s="27"/>
      <x:c r="CE175" s="27"/>
      <x:c r="CF175" s="27"/>
      <x:c r="CG175" s="27"/>
      <x:c r="CH175" s="27"/>
      <x:c r="CI175" s="27"/>
      <x:c r="CJ175" s="27"/>
      <x:c r="CK175" s="27"/>
      <x:c r="CL175" s="27"/>
      <x:c r="CM175" s="27"/>
      <x:c r="CN175" s="27"/>
      <x:c r="CO175" s="27"/>
      <x:c r="CP175" s="27"/>
      <x:c r="CQ175" s="27"/>
      <x:c r="CR175" s="27"/>
      <x:c r="CS175" s="27"/>
      <x:c r="CT175" s="27"/>
      <x:c r="CU175" s="27"/>
      <x:c r="CV175" s="27"/>
      <x:c r="CW175" s="27"/>
      <x:c r="CX175" s="27"/>
      <x:c r="CY175" s="27"/>
      <x:c r="CZ175" s="27"/>
      <x:c r="DA175" s="27"/>
      <x:c r="DB175" s="27"/>
      <x:c r="DC175" s="27"/>
      <x:c r="DD175" s="27"/>
      <x:c r="DE175" s="27"/>
      <x:c r="DF175" s="27"/>
      <x:c r="DG175" s="27"/>
      <x:c r="DH175" s="27"/>
      <x:c r="DI175" s="27"/>
      <x:c r="DJ175" s="27"/>
      <x:c r="DK175" s="27"/>
      <x:c r="DL175" s="27"/>
      <x:c r="DM175" s="27"/>
      <x:c r="DN175" s="27"/>
      <x:c r="DO175" s="27"/>
      <x:c r="DP175" s="27"/>
      <x:c r="DQ175" s="27"/>
      <x:c r="DR175" s="27"/>
      <x:c r="DS175" s="27"/>
      <x:c r="DT175" s="27"/>
      <x:c r="DU175" s="27"/>
      <x:c r="DV175" s="27"/>
      <x:c r="DW175" s="27"/>
      <x:c r="DX175" s="27"/>
      <x:c r="DY175" s="27"/>
      <x:c r="DZ175" s="27"/>
      <x:c r="EA175" s="27"/>
      <x:c r="EB175" s="27"/>
      <x:c r="EC175" s="27"/>
      <x:c r="ED175" s="27"/>
      <x:c r="EE175" s="27"/>
      <x:c r="EF175" s="27"/>
      <x:c r="EG175" s="27"/>
      <x:c r="EH175" s="27"/>
      <x:c r="EI175" s="27"/>
      <x:c r="EJ175" s="27"/>
      <x:c r="EK175" s="27"/>
      <x:c r="EL175" s="27"/>
      <x:c r="EM175" s="27"/>
      <x:c r="EN175" s="27"/>
      <x:c r="EO175" s="27"/>
      <x:c r="EP175" s="27"/>
      <x:c r="EQ175" s="27"/>
      <x:c r="ER175" s="27"/>
      <x:c r="ES175" s="27"/>
      <x:c r="ET175" s="27"/>
      <x:c r="EU175" s="27"/>
      <x:c r="EV175" s="27"/>
      <x:c r="EW175" s="27"/>
      <x:c r="EX175" s="27"/>
      <x:c r="EY175" s="27"/>
      <x:c r="EZ175" s="27"/>
      <x:c r="FA175" s="27"/>
      <x:c r="FB175" s="27"/>
      <x:c r="FC175" s="27"/>
      <x:c r="FD175" s="27"/>
      <x:c r="FE175" s="27"/>
      <x:c r="FF175" s="27"/>
      <x:c r="FG175" s="27"/>
      <x:c r="FH175" s="27"/>
      <x:c r="FI175" s="27"/>
      <x:c r="FJ175" s="27"/>
      <x:c r="FK175" s="27"/>
      <x:c r="FL175" s="27"/>
      <x:c r="FM175" s="27"/>
      <x:c r="FN175" s="27"/>
      <x:c r="FO175" s="27"/>
      <x:c r="FP175" s="27"/>
      <x:c r="FQ175" s="27"/>
      <x:c r="FR175" s="27"/>
      <x:c r="FS175" s="27"/>
      <x:c r="FT175" s="27"/>
      <x:c r="FU175" s="27"/>
      <x:c r="FV175" s="27"/>
      <x:c r="FW175" s="27"/>
      <x:c r="FX175" s="27"/>
      <x:c r="FY175" s="27"/>
      <x:c r="FZ175" s="27"/>
      <x:c r="GA175" s="27"/>
      <x:c r="GB175" s="27"/>
      <x:c r="GC175" s="27"/>
      <x:c r="GD175" s="27"/>
      <x:c r="GE175" s="27"/>
      <x:c r="GF175" s="27"/>
      <x:c r="GG175" s="27"/>
      <x:c r="GH175" s="27"/>
      <x:c r="GI175" s="27"/>
      <x:c r="GJ175" s="27"/>
      <x:c r="GK175" s="27"/>
      <x:c r="GL175" s="27"/>
      <x:c r="GM175" s="27"/>
      <x:c r="GN175" s="27"/>
      <x:c r="GO175" s="27"/>
      <x:c r="GP175" s="27"/>
      <x:c r="GQ175" s="27"/>
      <x:c r="GR175" s="27"/>
      <x:c r="GS175" s="27"/>
      <x:c r="GT175" s="27"/>
      <x:c r="GU175" s="27"/>
      <x:c r="GV175" s="27"/>
      <x:c r="GW175" s="27"/>
      <x:c r="GX175" s="27"/>
      <x:c r="GY175" s="27"/>
      <x:c r="GZ175" s="27"/>
      <x:c r="HA175" s="27"/>
      <x:c r="HB175" s="27"/>
      <x:c r="HC175" s="27"/>
      <x:c r="HD175" s="27"/>
      <x:c r="HE175" s="27"/>
      <x:c r="HF175" s="27"/>
      <x:c r="HG175" s="27"/>
      <x:c r="HH175" s="27"/>
      <x:c r="HI175" s="27"/>
      <x:c r="HJ175" s="27"/>
      <x:c r="HK175" s="27"/>
      <x:c r="HL175" s="27"/>
      <x:c r="HM175" s="27"/>
      <x:c r="HN175" s="27"/>
      <x:c r="HO175" s="27"/>
      <x:c r="HP175" s="27" t="str">
        <x:f>IF(C175="","",SUM(H175,N175,T175,Z175,AF175,AL175,AR175,AX175,BD175,BJ175,BP175,BV175,CB175,CH175,CN175,CT175,CZ175,DF175,DL175,DR175,DX175,ED175,EJ175,EP175,EV175,FB175,FH175,FN175,FT175,FZ175,GF175,GL175,GR175,GX175,HD175,HJ175))</x:f>
      </x:c>
      <x:c r="HQ175" s="27" t="str">
        <x:f>IF(C175="","",SUM(I175,O175,U175,AA175,AG175,AM175,AS175,AY175,BE175,BK175,BQ175,BW175,CC175,CI175,CO175,CU175,DA175,DG175,DM175,DS175,DY175,EE175,EK175,EQ175,EW175,FC175,FI175,FO175,FU175,GA175,GG175,GM175,GS175,GY175,HE175,HK175))</x:f>
      </x:c>
      <x:c r="HR175" s="27" t="str">
        <x:f>IF(C175="","",SUM(J175,P175,V175,AB175,AH175,AN175,AT175,AZ175,BF175,BL175,BR175,BX175,CD175,CJ175,CP175,CV175,DB175,DH175,DN175,DT175,DZ175,EF175,EL175,ER175,EX175,FD175,FJ175,FP175,FV175,GB175,GH175,GN175,GT175,GZ175,HF175,HL175))</x:f>
      </x:c>
      <x:c r="HS175" s="27" t="str">
        <x:f>IF(C175="","",SUM(K175,Q175,W175,AC175,AI175,AO175,AU175,BA175,BG175,BM175,BS175,BY175,CE175,CK175,CQ175,CW175,DC175,DI175,DO175,DU175,EA175,EG175,EM175,ES175,EY175,FE175,FK175,FQ175,FW175,GC175,GI175,GO175,GU175,HA175,HG175,HM175))</x:f>
      </x:c>
      <x:c r="HT175" s="27" t="str">
        <x:f>IF(C175="","",SUM(L175,R175,X175,AD175,AJ175,AP175,AV175,BB175,BH175,BN175,BT175,BZ175,CF175,CL175,CR175,CX175,DD175,DJ175,DP175,DV175,EB175,EH175,EN175,ET175,EZ175,FF175,FL175,FR175,FX175,GD175,GJ175,GP175,GV175,HB175,HH175,HN175))</x:f>
      </x:c>
      <x:c r="HU175" s="27" t="str">
        <x:f>IF(C175="","",SUM(M175,S175,Y175,AE175,AK175,AQ175,AW175,BC175,BI175,BO175,BU175,CA175,CG175,CM175,CS175,CY175,DE175,DK175,DQ175,DW175,EC175,EI175,EO175,EU175,FA175,FG175,FM175,FS175,FY175,GE175,GK175,GQ175,GW175,HC175,HI175,HO175))</x:f>
      </x:c>
      <x:c r="HV175" s="27" t="str">
        <x:f>IF(C175="","",IF(JI175=LARGE(JI175:JN175,1),"R",IF(JJ175=LARGE(JI175:JN175,1),"I",IF(JK175=LARGE(JI175:JN175,1),"A",IF(JL175=LARGE(JI175:JN175,1),"S",IF(JM175=LARGE(JI175:JN175,1),"E",IF(JN175=LARGE(JI175:JN175,1),"C",""))))))&amp;IF(JI175=LARGE(JI175:JN175,2),"R",IF(JJ175=LARGE(JI175:JN175,2),"I",IF(JK175=LARGE(JI175:JN175,2),"A",IF(JL175=LARGE(JI175:JN175,2),"S",IF(JM175=LARGE(JI175:JN175,2),"E",IF(JN175=LARGE(JI175:JN175,2),"C",""))))))&amp;IF(JI175=LARGE(JI175:JN175,3),"R",IF(JJ175=LARGE(JI175:JN175,3),"I",IF(JK175=LARGE(JI175:JN175,3),"A",IF(JL175=LARGE(JI175:JN175,3),"S",IF(JM175=LARGE(JI175:JN175,3),"E",IF(JN175=LARGE(JI175:JN175,3),"C","")))))))</x:f>
      </x:c>
      <x:c r="HW175" s="27" t="str">
        <x:f>IF(C175="","",IF(JI175=LARGE(JI175:JN175,1),"นักปฏิบัติ",IF(JJ175=LARGE(JI175:JN175,1),"นักคิดวิเคราะห์",IF(JK175=LARGE(JI175:JN175,1),"นักสร้างสรรค์",IF(JL175=LARGE(JI175:JN175,1),"ผู้เข้าใจผู้คน",IF(JM175=LARGE(JI175:JN175,1),"ผู้นำการเปลี่ยนแปลง",IF(JN175=LARGE(JI175:JN175,1),"ผู้จัดระบบ","ผู้จัดระบบ")))))))</x:f>
      </x:c>
      <x:c r="HX175" s="27"/>
      <x:c r="HY175" s="27"/>
      <x:c r="HZ175" s="27"/>
      <x:c r="IA175" s="27"/>
      <x:c r="IB175" s="27"/>
      <x:c r="IC175" s="27"/>
      <x:c r="ID175" s="27"/>
      <x:c r="IE175" s="27"/>
      <x:c r="IF175" s="27"/>
      <x:c r="IG175" s="27"/>
      <x:c r="IH175" s="27"/>
      <x:c r="II175" s="27"/>
      <x:c r="IJ175" s="27"/>
      <x:c r="IK175" s="27" t="str">
        <x:f>IF(C175="","",SUM(H175,N175,T175,Z175,AF175,AL175,AR175,AX175,BD175,BJ175,BP175))</x:f>
      </x:c>
      <x:c r="IL175" s="27" t="str">
        <x:f>IF(C175="","",SUM(I175,O175,U175,AA175,AG175,AM175,AS175,AY175,BE175,BK175,BQ175))</x:f>
      </x:c>
      <x:c r="IM175" s="27" t="str">
        <x:f>IF(C175="","",SUM(J175,P175,V175,AB175,AH175,AN175,AT175,AZ175,BF175,BL175,BR175))</x:f>
      </x:c>
      <x:c r="IN175" s="27" t="str">
        <x:f>IF(C175="","",SUM(K175,Q175,W175,AC175,AI175,AO175,AU175,BA175,BG175,BM175,BS175))</x:f>
      </x:c>
      <x:c r="IO175" s="27" t="str">
        <x:f>IF(C175="","",SUM(L175,R175,X175,AD175,AJ175,AP175,AV175,BB175,BH175,BN175,BT175))</x:f>
      </x:c>
      <x:c r="IP175" s="27" t="str">
        <x:f>IF(C175="","",SUM(M175,S175,Y175,AE175,AK175,AQ175,AW175,BC175,BI175,BO175,BU175))</x:f>
      </x:c>
      <x:c r="IQ175" s="27" t="str">
        <x:f>IF(C175="","",SUM(BV175,CB175,CH175,CN175,CT175,CZ175,DF175,DL175,DR175,DX175,ED175))</x:f>
      </x:c>
      <x:c r="IR175" s="27" t="str">
        <x:f>IF(C175="","",SUM(BW175,CC175,CI175,CO175,CU175,DA175,DG175,DM175,DS175,DY175,EE175))</x:f>
      </x:c>
      <x:c r="IS175" s="27" t="str">
        <x:f>IF(C175="","",SUM(BX175,CD175,CJ175,CP175,CV175,DB175,DH175,DN175,DT175,DZ175,EF175))</x:f>
      </x:c>
      <x:c r="IT175" s="27" t="str">
        <x:f>IF(C175="","",SUM(BY175,CE175,CK175,CQ175,CW175,DC175,DI175,DO175,DU175,EA175,EG175))</x:f>
      </x:c>
      <x:c r="IU175" s="27" t="str">
        <x:f>IF(C175="","",SUM(BZ175,CF175,CL175,CR175,CX175,DD175,DJ175,DP175,DV175,EB175,EH175))</x:f>
      </x:c>
      <x:c r="IV175" s="27" t="str">
        <x:f>IF(C175="","",SUM(CA175,CG175,CM175,CS175,CY175,DE175,DK175,DQ175,DW175,EC175,EI175))</x:f>
      </x:c>
      <x:c r="IW175" s="27" t="str">
        <x:f>IF(C175="","",SUM(EJ175,EP175,EV175,FB175,FH175,FN175,FT175,FZ175,GF175,GL175,GR175,GX175,HD175,HJ175))</x:f>
      </x:c>
      <x:c r="IX175" s="27" t="str">
        <x:f>IF(C175="","",SUM(EK175,EQ175,EW175,FC175,FI175,FO175,FU175,GA175,GG175,GM175,GS175,GY175,HE175,HK175))</x:f>
      </x:c>
      <x:c r="IY175" s="27" t="str">
        <x:f>IF(C175="","",SUM(EL175,ER175,EX175,FD175,FJ175,FP175,FV175,GB175,GH175,GN175,GT175,GZ175,HF175,HL175))</x:f>
      </x:c>
      <x:c r="IZ175" s="27" t="str">
        <x:f>IF(C175="","",SUM(EM175,ES175,EY175,FE175,FK175,FQ175,FW175,GC175,GI175,GO175,GU175,HA175,HG175,HM175))</x:f>
      </x:c>
      <x:c r="JA175" s="27" t="str">
        <x:f>IF(C175="","",SUM(EN175,ET175,EZ175,FF175,FL175,FR175,FX175,GD175,GJ175,GP175,GV175,HB175,HH175,HN175))</x:f>
      </x:c>
      <x:c r="JB175" s="27" t="str">
        <x:f>IF(C175="","",SUM(EO175,EU175,FA175,FG175,FM175,FS175,FY175,GE175,GK175,GQ175,GW175,HC175,HI175,HO175))</x:f>
      </x:c>
      <x:c r="JC175" s="27" t="str">
        <x:f>IF(C175="","",0)</x:f>
      </x:c>
      <x:c r="JD175" s="27" t="str">
        <x:f>IF(C175="","",0)</x:f>
      </x:c>
      <x:c r="JE175" s="27" t="str">
        <x:f>IF(C175="","",0)</x:f>
      </x:c>
      <x:c r="JF175" s="27" t="str">
        <x:f>IF(C175="","",0)</x:f>
      </x:c>
      <x:c r="JG175" s="27" t="str">
        <x:f>IF(C175="","",0)</x:f>
      </x:c>
      <x:c r="JH175" s="27" t="str">
        <x:f>IF(C175="","",0)</x:f>
      </x:c>
      <x:c r="JI175" s="27" t="str">
        <x:f>IF(C175="","",HP175*1000000000+IW175*1000000+IQ175*10000+IK175*100+JC175+6/1000)</x:f>
      </x:c>
      <x:c r="JJ175" s="27" t="str">
        <x:f>IF(C175="","",HQ175*1000000000+IX175*1000000+IR175*10000+IL175*100+JD175+5/1000)</x:f>
      </x:c>
      <x:c r="JK175" s="27" t="str">
        <x:f>IF(C175="","",HR175*1000000000+IY175*1000000+IS175*10000+IM175*100+JE175+4/1000)</x:f>
      </x:c>
      <x:c r="JL175" s="27" t="str">
        <x:f>IF(C175="","",HS175*1000000000+IZ175*1000000+IT175*10000+IN175*100+JF175+3/1000)</x:f>
      </x:c>
      <x:c r="JM175" s="27" t="str">
        <x:f>IF(C175="","",HT175*1000000000+JA175*1000000+IU175*10000+IO175*100+JG175+2/1000)</x:f>
      </x:c>
      <x:c r="JN175" s="27" t="str">
        <x:f>IF(C175="","",HU175*1000000000+JB175*1000000+IV175*10000+IP175*100+JH175+1/1000)</x:f>
      </x:c>
    </x:row>
    <x:row r="176">
      <x:c r="A176" s="27"/>
      <x:c r="B176" s="28"/>
      <x:c r="C176" s="27"/>
      <x:c r="D176" s="27"/>
      <x:c r="E176" s="27"/>
      <x:c r="F176" s="27"/>
      <x:c r="G176" s="27"/>
      <x:c r="H176" s="27"/>
      <x:c r="I176" s="27"/>
      <x:c r="J176" s="27"/>
      <x:c r="K176" s="27"/>
      <x:c r="L176" s="27"/>
      <x:c r="M176" s="27"/>
      <x:c r="N176" s="27"/>
      <x:c r="O176" s="27"/>
      <x:c r="P176" s="27"/>
      <x:c r="Q176" s="27"/>
      <x:c r="R176" s="27"/>
      <x:c r="S176" s="27"/>
      <x:c r="T176" s="27"/>
      <x:c r="U176" s="27"/>
      <x:c r="V176" s="27"/>
      <x:c r="W176" s="27"/>
      <x:c r="X176" s="27"/>
      <x:c r="Y176" s="27"/>
      <x:c r="Z176" s="27"/>
      <x:c r="AA176" s="27"/>
      <x:c r="AB176" s="27"/>
      <x:c r="AC176" s="27"/>
      <x:c r="AD176" s="27"/>
      <x:c r="AE176" s="27"/>
      <x:c r="AF176" s="27"/>
      <x:c r="AG176" s="27"/>
      <x:c r="AH176" s="27"/>
      <x:c r="AI176" s="27"/>
      <x:c r="AJ176" s="27"/>
      <x:c r="AK176" s="27"/>
      <x:c r="AL176" s="27"/>
      <x:c r="AM176" s="27"/>
      <x:c r="AN176" s="27"/>
      <x:c r="AO176" s="27"/>
      <x:c r="AP176" s="27"/>
      <x:c r="AQ176" s="27"/>
      <x:c r="AR176" s="27"/>
      <x:c r="AS176" s="27"/>
      <x:c r="AT176" s="27"/>
      <x:c r="AU176" s="27"/>
      <x:c r="AV176" s="27"/>
      <x:c r="AW176" s="27"/>
      <x:c r="AX176" s="27"/>
      <x:c r="AY176" s="27"/>
      <x:c r="AZ176" s="27"/>
      <x:c r="BA176" s="27"/>
      <x:c r="BB176" s="27"/>
      <x:c r="BC176" s="27"/>
      <x:c r="BD176" s="27"/>
      <x:c r="BE176" s="27"/>
      <x:c r="BF176" s="27"/>
      <x:c r="BG176" s="27"/>
      <x:c r="BH176" s="27"/>
      <x:c r="BI176" s="27"/>
      <x:c r="BJ176" s="27"/>
      <x:c r="BK176" s="27"/>
      <x:c r="BL176" s="27"/>
      <x:c r="BM176" s="27"/>
      <x:c r="BN176" s="27"/>
      <x:c r="BO176" s="27"/>
      <x:c r="BP176" s="27"/>
      <x:c r="BQ176" s="27"/>
      <x:c r="BR176" s="27"/>
      <x:c r="BS176" s="27"/>
      <x:c r="BT176" s="27"/>
      <x:c r="BU176" s="27"/>
      <x:c r="BV176" s="27"/>
      <x:c r="BW176" s="27"/>
      <x:c r="BX176" s="27"/>
      <x:c r="BY176" s="27"/>
      <x:c r="BZ176" s="27"/>
      <x:c r="CA176" s="27"/>
      <x:c r="CB176" s="27"/>
      <x:c r="CC176" s="27"/>
      <x:c r="CD176" s="27"/>
      <x:c r="CE176" s="27"/>
      <x:c r="CF176" s="27"/>
      <x:c r="CG176" s="27"/>
      <x:c r="CH176" s="27"/>
      <x:c r="CI176" s="27"/>
      <x:c r="CJ176" s="27"/>
      <x:c r="CK176" s="27"/>
      <x:c r="CL176" s="27"/>
      <x:c r="CM176" s="27"/>
      <x:c r="CN176" s="27"/>
      <x:c r="CO176" s="27"/>
      <x:c r="CP176" s="27"/>
      <x:c r="CQ176" s="27"/>
      <x:c r="CR176" s="27"/>
      <x:c r="CS176" s="27"/>
      <x:c r="CT176" s="27"/>
      <x:c r="CU176" s="27"/>
      <x:c r="CV176" s="27"/>
      <x:c r="CW176" s="27"/>
      <x:c r="CX176" s="27"/>
      <x:c r="CY176" s="27"/>
      <x:c r="CZ176" s="27"/>
      <x:c r="DA176" s="27"/>
      <x:c r="DB176" s="27"/>
      <x:c r="DC176" s="27"/>
      <x:c r="DD176" s="27"/>
      <x:c r="DE176" s="27"/>
      <x:c r="DF176" s="27"/>
      <x:c r="DG176" s="27"/>
      <x:c r="DH176" s="27"/>
      <x:c r="DI176" s="27"/>
      <x:c r="DJ176" s="27"/>
      <x:c r="DK176" s="27"/>
      <x:c r="DL176" s="27"/>
      <x:c r="DM176" s="27"/>
      <x:c r="DN176" s="27"/>
      <x:c r="DO176" s="27"/>
      <x:c r="DP176" s="27"/>
      <x:c r="DQ176" s="27"/>
      <x:c r="DR176" s="27"/>
      <x:c r="DS176" s="27"/>
      <x:c r="DT176" s="27"/>
      <x:c r="DU176" s="27"/>
      <x:c r="DV176" s="27"/>
      <x:c r="DW176" s="27"/>
      <x:c r="DX176" s="27"/>
      <x:c r="DY176" s="27"/>
      <x:c r="DZ176" s="27"/>
      <x:c r="EA176" s="27"/>
      <x:c r="EB176" s="27"/>
      <x:c r="EC176" s="27"/>
      <x:c r="ED176" s="27"/>
      <x:c r="EE176" s="27"/>
      <x:c r="EF176" s="27"/>
      <x:c r="EG176" s="27"/>
      <x:c r="EH176" s="27"/>
      <x:c r="EI176" s="27"/>
      <x:c r="EJ176" s="27"/>
      <x:c r="EK176" s="27"/>
      <x:c r="EL176" s="27"/>
      <x:c r="EM176" s="27"/>
      <x:c r="EN176" s="27"/>
      <x:c r="EO176" s="27"/>
      <x:c r="EP176" s="27"/>
      <x:c r="EQ176" s="27"/>
      <x:c r="ER176" s="27"/>
      <x:c r="ES176" s="27"/>
      <x:c r="ET176" s="27"/>
      <x:c r="EU176" s="27"/>
      <x:c r="EV176" s="27"/>
      <x:c r="EW176" s="27"/>
      <x:c r="EX176" s="27"/>
      <x:c r="EY176" s="27"/>
      <x:c r="EZ176" s="27"/>
      <x:c r="FA176" s="27"/>
      <x:c r="FB176" s="27"/>
      <x:c r="FC176" s="27"/>
      <x:c r="FD176" s="27"/>
      <x:c r="FE176" s="27"/>
      <x:c r="FF176" s="27"/>
      <x:c r="FG176" s="27"/>
      <x:c r="FH176" s="27"/>
      <x:c r="FI176" s="27"/>
      <x:c r="FJ176" s="27"/>
      <x:c r="FK176" s="27"/>
      <x:c r="FL176" s="27"/>
      <x:c r="FM176" s="27"/>
      <x:c r="FN176" s="27"/>
      <x:c r="FO176" s="27"/>
      <x:c r="FP176" s="27"/>
      <x:c r="FQ176" s="27"/>
      <x:c r="FR176" s="27"/>
      <x:c r="FS176" s="27"/>
      <x:c r="FT176" s="27"/>
      <x:c r="FU176" s="27"/>
      <x:c r="FV176" s="27"/>
      <x:c r="FW176" s="27"/>
      <x:c r="FX176" s="27"/>
      <x:c r="FY176" s="27"/>
      <x:c r="FZ176" s="27"/>
      <x:c r="GA176" s="27"/>
      <x:c r="GB176" s="27"/>
      <x:c r="GC176" s="27"/>
      <x:c r="GD176" s="27"/>
      <x:c r="GE176" s="27"/>
      <x:c r="GF176" s="27"/>
      <x:c r="GG176" s="27"/>
      <x:c r="GH176" s="27"/>
      <x:c r="GI176" s="27"/>
      <x:c r="GJ176" s="27"/>
      <x:c r="GK176" s="27"/>
      <x:c r="GL176" s="27"/>
      <x:c r="GM176" s="27"/>
      <x:c r="GN176" s="27"/>
      <x:c r="GO176" s="27"/>
      <x:c r="GP176" s="27"/>
      <x:c r="GQ176" s="27"/>
      <x:c r="GR176" s="27"/>
      <x:c r="GS176" s="27"/>
      <x:c r="GT176" s="27"/>
      <x:c r="GU176" s="27"/>
      <x:c r="GV176" s="27"/>
      <x:c r="GW176" s="27"/>
      <x:c r="GX176" s="27"/>
      <x:c r="GY176" s="27"/>
      <x:c r="GZ176" s="27"/>
      <x:c r="HA176" s="27"/>
      <x:c r="HB176" s="27"/>
      <x:c r="HC176" s="27"/>
      <x:c r="HD176" s="27"/>
      <x:c r="HE176" s="27"/>
      <x:c r="HF176" s="27"/>
      <x:c r="HG176" s="27"/>
      <x:c r="HH176" s="27"/>
      <x:c r="HI176" s="27"/>
      <x:c r="HJ176" s="27"/>
      <x:c r="HK176" s="27"/>
      <x:c r="HL176" s="27"/>
      <x:c r="HM176" s="27"/>
      <x:c r="HN176" s="27"/>
      <x:c r="HO176" s="27"/>
      <x:c r="HP176" s="27" t="str">
        <x:f>IF(C176="","",SUM(H176,N176,T176,Z176,AF176,AL176,AR176,AX176,BD176,BJ176,BP176,BV176,CB176,CH176,CN176,CT176,CZ176,DF176,DL176,DR176,DX176,ED176,EJ176,EP176,EV176,FB176,FH176,FN176,FT176,FZ176,GF176,GL176,GR176,GX176,HD176,HJ176))</x:f>
      </x:c>
      <x:c r="HQ176" s="27" t="str">
        <x:f>IF(C176="","",SUM(I176,O176,U176,AA176,AG176,AM176,AS176,AY176,BE176,BK176,BQ176,BW176,CC176,CI176,CO176,CU176,DA176,DG176,DM176,DS176,DY176,EE176,EK176,EQ176,EW176,FC176,FI176,FO176,FU176,GA176,GG176,GM176,GS176,GY176,HE176,HK176))</x:f>
      </x:c>
      <x:c r="HR176" s="27" t="str">
        <x:f>IF(C176="","",SUM(J176,P176,V176,AB176,AH176,AN176,AT176,AZ176,BF176,BL176,BR176,BX176,CD176,CJ176,CP176,CV176,DB176,DH176,DN176,DT176,DZ176,EF176,EL176,ER176,EX176,FD176,FJ176,FP176,FV176,GB176,GH176,GN176,GT176,GZ176,HF176,HL176))</x:f>
      </x:c>
      <x:c r="HS176" s="27" t="str">
        <x:f>IF(C176="","",SUM(K176,Q176,W176,AC176,AI176,AO176,AU176,BA176,BG176,BM176,BS176,BY176,CE176,CK176,CQ176,CW176,DC176,DI176,DO176,DU176,EA176,EG176,EM176,ES176,EY176,FE176,FK176,FQ176,FW176,GC176,GI176,GO176,GU176,HA176,HG176,HM176))</x:f>
      </x:c>
      <x:c r="HT176" s="27" t="str">
        <x:f>IF(C176="","",SUM(L176,R176,X176,AD176,AJ176,AP176,AV176,BB176,BH176,BN176,BT176,BZ176,CF176,CL176,CR176,CX176,DD176,DJ176,DP176,DV176,EB176,EH176,EN176,ET176,EZ176,FF176,FL176,FR176,FX176,GD176,GJ176,GP176,GV176,HB176,HH176,HN176))</x:f>
      </x:c>
      <x:c r="HU176" s="27" t="str">
        <x:f>IF(C176="","",SUM(M176,S176,Y176,AE176,AK176,AQ176,AW176,BC176,BI176,BO176,BU176,CA176,CG176,CM176,CS176,CY176,DE176,DK176,DQ176,DW176,EC176,EI176,EO176,EU176,FA176,FG176,FM176,FS176,FY176,GE176,GK176,GQ176,GW176,HC176,HI176,HO176))</x:f>
      </x:c>
      <x:c r="HV176" s="27" t="str">
        <x:f>IF(C176="","",IF(JI176=LARGE(JI176:JN176,1),"R",IF(JJ176=LARGE(JI176:JN176,1),"I",IF(JK176=LARGE(JI176:JN176,1),"A",IF(JL176=LARGE(JI176:JN176,1),"S",IF(JM176=LARGE(JI176:JN176,1),"E",IF(JN176=LARGE(JI176:JN176,1),"C",""))))))&amp;IF(JI176=LARGE(JI176:JN176,2),"R",IF(JJ176=LARGE(JI176:JN176,2),"I",IF(JK176=LARGE(JI176:JN176,2),"A",IF(JL176=LARGE(JI176:JN176,2),"S",IF(JM176=LARGE(JI176:JN176,2),"E",IF(JN176=LARGE(JI176:JN176,2),"C",""))))))&amp;IF(JI176=LARGE(JI176:JN176,3),"R",IF(JJ176=LARGE(JI176:JN176,3),"I",IF(JK176=LARGE(JI176:JN176,3),"A",IF(JL176=LARGE(JI176:JN176,3),"S",IF(JM176=LARGE(JI176:JN176,3),"E",IF(JN176=LARGE(JI176:JN176,3),"C","")))))))</x:f>
      </x:c>
      <x:c r="HW176" s="27" t="str">
        <x:f>IF(C176="","",IF(JI176=LARGE(JI176:JN176,1),"นักปฏิบัติ",IF(JJ176=LARGE(JI176:JN176,1),"นักคิดวิเคราะห์",IF(JK176=LARGE(JI176:JN176,1),"นักสร้างสรรค์",IF(JL176=LARGE(JI176:JN176,1),"ผู้เข้าใจผู้คน",IF(JM176=LARGE(JI176:JN176,1),"ผู้นำการเปลี่ยนแปลง",IF(JN176=LARGE(JI176:JN176,1),"ผู้จัดระบบ","ผู้จัดระบบ")))))))</x:f>
      </x:c>
      <x:c r="HX176" s="27"/>
      <x:c r="HY176" s="27"/>
      <x:c r="HZ176" s="27"/>
      <x:c r="IA176" s="27"/>
      <x:c r="IB176" s="27"/>
      <x:c r="IC176" s="27"/>
      <x:c r="ID176" s="27"/>
      <x:c r="IE176" s="27"/>
      <x:c r="IF176" s="27"/>
      <x:c r="IG176" s="27"/>
      <x:c r="IH176" s="27"/>
      <x:c r="II176" s="27"/>
      <x:c r="IJ176" s="27"/>
      <x:c r="IK176" s="27" t="str">
        <x:f>IF(C176="","",SUM(H176,N176,T176,Z176,AF176,AL176,AR176,AX176,BD176,BJ176,BP176))</x:f>
      </x:c>
      <x:c r="IL176" s="27" t="str">
        <x:f>IF(C176="","",SUM(I176,O176,U176,AA176,AG176,AM176,AS176,AY176,BE176,BK176,BQ176))</x:f>
      </x:c>
      <x:c r="IM176" s="27" t="str">
        <x:f>IF(C176="","",SUM(J176,P176,V176,AB176,AH176,AN176,AT176,AZ176,BF176,BL176,BR176))</x:f>
      </x:c>
      <x:c r="IN176" s="27" t="str">
        <x:f>IF(C176="","",SUM(K176,Q176,W176,AC176,AI176,AO176,AU176,BA176,BG176,BM176,BS176))</x:f>
      </x:c>
      <x:c r="IO176" s="27" t="str">
        <x:f>IF(C176="","",SUM(L176,R176,X176,AD176,AJ176,AP176,AV176,BB176,BH176,BN176,BT176))</x:f>
      </x:c>
      <x:c r="IP176" s="27" t="str">
        <x:f>IF(C176="","",SUM(M176,S176,Y176,AE176,AK176,AQ176,AW176,BC176,BI176,BO176,BU176))</x:f>
      </x:c>
      <x:c r="IQ176" s="27" t="str">
        <x:f>IF(C176="","",SUM(BV176,CB176,CH176,CN176,CT176,CZ176,DF176,DL176,DR176,DX176,ED176))</x:f>
      </x:c>
      <x:c r="IR176" s="27" t="str">
        <x:f>IF(C176="","",SUM(BW176,CC176,CI176,CO176,CU176,DA176,DG176,DM176,DS176,DY176,EE176))</x:f>
      </x:c>
      <x:c r="IS176" s="27" t="str">
        <x:f>IF(C176="","",SUM(BX176,CD176,CJ176,CP176,CV176,DB176,DH176,DN176,DT176,DZ176,EF176))</x:f>
      </x:c>
      <x:c r="IT176" s="27" t="str">
        <x:f>IF(C176="","",SUM(BY176,CE176,CK176,CQ176,CW176,DC176,DI176,DO176,DU176,EA176,EG176))</x:f>
      </x:c>
      <x:c r="IU176" s="27" t="str">
        <x:f>IF(C176="","",SUM(BZ176,CF176,CL176,CR176,CX176,DD176,DJ176,DP176,DV176,EB176,EH176))</x:f>
      </x:c>
      <x:c r="IV176" s="27" t="str">
        <x:f>IF(C176="","",SUM(CA176,CG176,CM176,CS176,CY176,DE176,DK176,DQ176,DW176,EC176,EI176))</x:f>
      </x:c>
      <x:c r="IW176" s="27" t="str">
        <x:f>IF(C176="","",SUM(EJ176,EP176,EV176,FB176,FH176,FN176,FT176,FZ176,GF176,GL176,GR176,GX176,HD176,HJ176))</x:f>
      </x:c>
      <x:c r="IX176" s="27" t="str">
        <x:f>IF(C176="","",SUM(EK176,EQ176,EW176,FC176,FI176,FO176,FU176,GA176,GG176,GM176,GS176,GY176,HE176,HK176))</x:f>
      </x:c>
      <x:c r="IY176" s="27" t="str">
        <x:f>IF(C176="","",SUM(EL176,ER176,EX176,FD176,FJ176,FP176,FV176,GB176,GH176,GN176,GT176,GZ176,HF176,HL176))</x:f>
      </x:c>
      <x:c r="IZ176" s="27" t="str">
        <x:f>IF(C176="","",SUM(EM176,ES176,EY176,FE176,FK176,FQ176,FW176,GC176,GI176,GO176,GU176,HA176,HG176,HM176))</x:f>
      </x:c>
      <x:c r="JA176" s="27" t="str">
        <x:f>IF(C176="","",SUM(EN176,ET176,EZ176,FF176,FL176,FR176,FX176,GD176,GJ176,GP176,GV176,HB176,HH176,HN176))</x:f>
      </x:c>
      <x:c r="JB176" s="27" t="str">
        <x:f>IF(C176="","",SUM(EO176,EU176,FA176,FG176,FM176,FS176,FY176,GE176,GK176,GQ176,GW176,HC176,HI176,HO176))</x:f>
      </x:c>
      <x:c r="JC176" s="27" t="str">
        <x:f>IF(C176="","",0)</x:f>
      </x:c>
      <x:c r="JD176" s="27" t="str">
        <x:f>IF(C176="","",0)</x:f>
      </x:c>
      <x:c r="JE176" s="27" t="str">
        <x:f>IF(C176="","",0)</x:f>
      </x:c>
      <x:c r="JF176" s="27" t="str">
        <x:f>IF(C176="","",0)</x:f>
      </x:c>
      <x:c r="JG176" s="27" t="str">
        <x:f>IF(C176="","",0)</x:f>
      </x:c>
      <x:c r="JH176" s="27" t="str">
        <x:f>IF(C176="","",0)</x:f>
      </x:c>
      <x:c r="JI176" s="27" t="str">
        <x:f>IF(C176="","",HP176*1000000000+IW176*1000000+IQ176*10000+IK176*100+JC176+6/1000)</x:f>
      </x:c>
      <x:c r="JJ176" s="27" t="str">
        <x:f>IF(C176="","",HQ176*1000000000+IX176*1000000+IR176*10000+IL176*100+JD176+5/1000)</x:f>
      </x:c>
      <x:c r="JK176" s="27" t="str">
        <x:f>IF(C176="","",HR176*1000000000+IY176*1000000+IS176*10000+IM176*100+JE176+4/1000)</x:f>
      </x:c>
      <x:c r="JL176" s="27" t="str">
        <x:f>IF(C176="","",HS176*1000000000+IZ176*1000000+IT176*10000+IN176*100+JF176+3/1000)</x:f>
      </x:c>
      <x:c r="JM176" s="27" t="str">
        <x:f>IF(C176="","",HT176*1000000000+JA176*1000000+IU176*10000+IO176*100+JG176+2/1000)</x:f>
      </x:c>
      <x:c r="JN176" s="27" t="str">
        <x:f>IF(C176="","",HU176*1000000000+JB176*1000000+IV176*10000+IP176*100+JH176+1/1000)</x:f>
      </x:c>
    </x:row>
    <x:row r="177">
      <x:c r="A177" s="27"/>
      <x:c r="B177" s="28"/>
      <x:c r="C177" s="27"/>
      <x:c r="D177" s="27"/>
      <x:c r="E177" s="27"/>
      <x:c r="F177" s="27"/>
      <x:c r="G177" s="27"/>
      <x:c r="H177" s="27"/>
      <x:c r="I177" s="27"/>
      <x:c r="J177" s="27"/>
      <x:c r="K177" s="27"/>
      <x:c r="L177" s="27"/>
      <x:c r="M177" s="27"/>
      <x:c r="N177" s="27"/>
      <x:c r="O177" s="27"/>
      <x:c r="P177" s="27"/>
      <x:c r="Q177" s="27"/>
      <x:c r="R177" s="27"/>
      <x:c r="S177" s="27"/>
      <x:c r="T177" s="27"/>
      <x:c r="U177" s="27"/>
      <x:c r="V177" s="27"/>
      <x:c r="W177" s="27"/>
      <x:c r="X177" s="27"/>
      <x:c r="Y177" s="27"/>
      <x:c r="Z177" s="27"/>
      <x:c r="AA177" s="27"/>
      <x:c r="AB177" s="27"/>
      <x:c r="AC177" s="27"/>
      <x:c r="AD177" s="27"/>
      <x:c r="AE177" s="27"/>
      <x:c r="AF177" s="27"/>
      <x:c r="AG177" s="27"/>
      <x:c r="AH177" s="27"/>
      <x:c r="AI177" s="27"/>
      <x:c r="AJ177" s="27"/>
      <x:c r="AK177" s="27"/>
      <x:c r="AL177" s="27"/>
      <x:c r="AM177" s="27"/>
      <x:c r="AN177" s="27"/>
      <x:c r="AO177" s="27"/>
      <x:c r="AP177" s="27"/>
      <x:c r="AQ177" s="27"/>
      <x:c r="AR177" s="27"/>
      <x:c r="AS177" s="27"/>
      <x:c r="AT177" s="27"/>
      <x:c r="AU177" s="27"/>
      <x:c r="AV177" s="27"/>
      <x:c r="AW177" s="27"/>
      <x:c r="AX177" s="27"/>
      <x:c r="AY177" s="27"/>
      <x:c r="AZ177" s="27"/>
      <x:c r="BA177" s="27"/>
      <x:c r="BB177" s="27"/>
      <x:c r="BC177" s="27"/>
      <x:c r="BD177" s="27"/>
      <x:c r="BE177" s="27"/>
      <x:c r="BF177" s="27"/>
      <x:c r="BG177" s="27"/>
      <x:c r="BH177" s="27"/>
      <x:c r="BI177" s="27"/>
      <x:c r="BJ177" s="27"/>
      <x:c r="BK177" s="27"/>
      <x:c r="BL177" s="27"/>
      <x:c r="BM177" s="27"/>
      <x:c r="BN177" s="27"/>
      <x:c r="BO177" s="27"/>
      <x:c r="BP177" s="27"/>
      <x:c r="BQ177" s="27"/>
      <x:c r="BR177" s="27"/>
      <x:c r="BS177" s="27"/>
      <x:c r="BT177" s="27"/>
      <x:c r="BU177" s="27"/>
      <x:c r="BV177" s="27"/>
      <x:c r="BW177" s="27"/>
      <x:c r="BX177" s="27"/>
      <x:c r="BY177" s="27"/>
      <x:c r="BZ177" s="27"/>
      <x:c r="CA177" s="27"/>
      <x:c r="CB177" s="27"/>
      <x:c r="CC177" s="27"/>
      <x:c r="CD177" s="27"/>
      <x:c r="CE177" s="27"/>
      <x:c r="CF177" s="27"/>
      <x:c r="CG177" s="27"/>
      <x:c r="CH177" s="27"/>
      <x:c r="CI177" s="27"/>
      <x:c r="CJ177" s="27"/>
      <x:c r="CK177" s="27"/>
      <x:c r="CL177" s="27"/>
      <x:c r="CM177" s="27"/>
      <x:c r="CN177" s="27"/>
      <x:c r="CO177" s="27"/>
      <x:c r="CP177" s="27"/>
      <x:c r="CQ177" s="27"/>
      <x:c r="CR177" s="27"/>
      <x:c r="CS177" s="27"/>
      <x:c r="CT177" s="27"/>
      <x:c r="CU177" s="27"/>
      <x:c r="CV177" s="27"/>
      <x:c r="CW177" s="27"/>
      <x:c r="CX177" s="27"/>
      <x:c r="CY177" s="27"/>
      <x:c r="CZ177" s="27"/>
      <x:c r="DA177" s="27"/>
      <x:c r="DB177" s="27"/>
      <x:c r="DC177" s="27"/>
      <x:c r="DD177" s="27"/>
      <x:c r="DE177" s="27"/>
      <x:c r="DF177" s="27"/>
      <x:c r="DG177" s="27"/>
      <x:c r="DH177" s="27"/>
      <x:c r="DI177" s="27"/>
      <x:c r="DJ177" s="27"/>
      <x:c r="DK177" s="27"/>
      <x:c r="DL177" s="27"/>
      <x:c r="DM177" s="27"/>
      <x:c r="DN177" s="27"/>
      <x:c r="DO177" s="27"/>
      <x:c r="DP177" s="27"/>
      <x:c r="DQ177" s="27"/>
      <x:c r="DR177" s="27"/>
      <x:c r="DS177" s="27"/>
      <x:c r="DT177" s="27"/>
      <x:c r="DU177" s="27"/>
      <x:c r="DV177" s="27"/>
      <x:c r="DW177" s="27"/>
      <x:c r="DX177" s="27"/>
      <x:c r="DY177" s="27"/>
      <x:c r="DZ177" s="27"/>
      <x:c r="EA177" s="27"/>
      <x:c r="EB177" s="27"/>
      <x:c r="EC177" s="27"/>
      <x:c r="ED177" s="27"/>
      <x:c r="EE177" s="27"/>
      <x:c r="EF177" s="27"/>
      <x:c r="EG177" s="27"/>
      <x:c r="EH177" s="27"/>
      <x:c r="EI177" s="27"/>
      <x:c r="EJ177" s="27"/>
      <x:c r="EK177" s="27"/>
      <x:c r="EL177" s="27"/>
      <x:c r="EM177" s="27"/>
      <x:c r="EN177" s="27"/>
      <x:c r="EO177" s="27"/>
      <x:c r="EP177" s="27"/>
      <x:c r="EQ177" s="27"/>
      <x:c r="ER177" s="27"/>
      <x:c r="ES177" s="27"/>
      <x:c r="ET177" s="27"/>
      <x:c r="EU177" s="27"/>
      <x:c r="EV177" s="27"/>
      <x:c r="EW177" s="27"/>
      <x:c r="EX177" s="27"/>
      <x:c r="EY177" s="27"/>
      <x:c r="EZ177" s="27"/>
      <x:c r="FA177" s="27"/>
      <x:c r="FB177" s="27"/>
      <x:c r="FC177" s="27"/>
      <x:c r="FD177" s="27"/>
      <x:c r="FE177" s="27"/>
      <x:c r="FF177" s="27"/>
      <x:c r="FG177" s="27"/>
      <x:c r="FH177" s="27"/>
      <x:c r="FI177" s="27"/>
      <x:c r="FJ177" s="27"/>
      <x:c r="FK177" s="27"/>
      <x:c r="FL177" s="27"/>
      <x:c r="FM177" s="27"/>
      <x:c r="FN177" s="27"/>
      <x:c r="FO177" s="27"/>
      <x:c r="FP177" s="27"/>
      <x:c r="FQ177" s="27"/>
      <x:c r="FR177" s="27"/>
      <x:c r="FS177" s="27"/>
      <x:c r="FT177" s="27"/>
      <x:c r="FU177" s="27"/>
      <x:c r="FV177" s="27"/>
      <x:c r="FW177" s="27"/>
      <x:c r="FX177" s="27"/>
      <x:c r="FY177" s="27"/>
      <x:c r="FZ177" s="27"/>
      <x:c r="GA177" s="27"/>
      <x:c r="GB177" s="27"/>
      <x:c r="GC177" s="27"/>
      <x:c r="GD177" s="27"/>
      <x:c r="GE177" s="27"/>
      <x:c r="GF177" s="27"/>
      <x:c r="GG177" s="27"/>
      <x:c r="GH177" s="27"/>
      <x:c r="GI177" s="27"/>
      <x:c r="GJ177" s="27"/>
      <x:c r="GK177" s="27"/>
      <x:c r="GL177" s="27"/>
      <x:c r="GM177" s="27"/>
      <x:c r="GN177" s="27"/>
      <x:c r="GO177" s="27"/>
      <x:c r="GP177" s="27"/>
      <x:c r="GQ177" s="27"/>
      <x:c r="GR177" s="27"/>
      <x:c r="GS177" s="27"/>
      <x:c r="GT177" s="27"/>
      <x:c r="GU177" s="27"/>
      <x:c r="GV177" s="27"/>
      <x:c r="GW177" s="27"/>
      <x:c r="GX177" s="27"/>
      <x:c r="GY177" s="27"/>
      <x:c r="GZ177" s="27"/>
      <x:c r="HA177" s="27"/>
      <x:c r="HB177" s="27"/>
      <x:c r="HC177" s="27"/>
      <x:c r="HD177" s="27"/>
      <x:c r="HE177" s="27"/>
      <x:c r="HF177" s="27"/>
      <x:c r="HG177" s="27"/>
      <x:c r="HH177" s="27"/>
      <x:c r="HI177" s="27"/>
      <x:c r="HJ177" s="27"/>
      <x:c r="HK177" s="27"/>
      <x:c r="HL177" s="27"/>
      <x:c r="HM177" s="27"/>
      <x:c r="HN177" s="27"/>
      <x:c r="HO177" s="27"/>
      <x:c r="HP177" s="27" t="str">
        <x:f>IF(C177="","",SUM(H177,N177,T177,Z177,AF177,AL177,AR177,AX177,BD177,BJ177,BP177,BV177,CB177,CH177,CN177,CT177,CZ177,DF177,DL177,DR177,DX177,ED177,EJ177,EP177,EV177,FB177,FH177,FN177,FT177,FZ177,GF177,GL177,GR177,GX177,HD177,HJ177))</x:f>
      </x:c>
      <x:c r="HQ177" s="27" t="str">
        <x:f>IF(C177="","",SUM(I177,O177,U177,AA177,AG177,AM177,AS177,AY177,BE177,BK177,BQ177,BW177,CC177,CI177,CO177,CU177,DA177,DG177,DM177,DS177,DY177,EE177,EK177,EQ177,EW177,FC177,FI177,FO177,FU177,GA177,GG177,GM177,GS177,GY177,HE177,HK177))</x:f>
      </x:c>
      <x:c r="HR177" s="27" t="str">
        <x:f>IF(C177="","",SUM(J177,P177,V177,AB177,AH177,AN177,AT177,AZ177,BF177,BL177,BR177,BX177,CD177,CJ177,CP177,CV177,DB177,DH177,DN177,DT177,DZ177,EF177,EL177,ER177,EX177,FD177,FJ177,FP177,FV177,GB177,GH177,GN177,GT177,GZ177,HF177,HL177))</x:f>
      </x:c>
      <x:c r="HS177" s="27" t="str">
        <x:f>IF(C177="","",SUM(K177,Q177,W177,AC177,AI177,AO177,AU177,BA177,BG177,BM177,BS177,BY177,CE177,CK177,CQ177,CW177,DC177,DI177,DO177,DU177,EA177,EG177,EM177,ES177,EY177,FE177,FK177,FQ177,FW177,GC177,GI177,GO177,GU177,HA177,HG177,HM177))</x:f>
      </x:c>
      <x:c r="HT177" s="27" t="str">
        <x:f>IF(C177="","",SUM(L177,R177,X177,AD177,AJ177,AP177,AV177,BB177,BH177,BN177,BT177,BZ177,CF177,CL177,CR177,CX177,DD177,DJ177,DP177,DV177,EB177,EH177,EN177,ET177,EZ177,FF177,FL177,FR177,FX177,GD177,GJ177,GP177,GV177,HB177,HH177,HN177))</x:f>
      </x:c>
      <x:c r="HU177" s="27" t="str">
        <x:f>IF(C177="","",SUM(M177,S177,Y177,AE177,AK177,AQ177,AW177,BC177,BI177,BO177,BU177,CA177,CG177,CM177,CS177,CY177,DE177,DK177,DQ177,DW177,EC177,EI177,EO177,EU177,FA177,FG177,FM177,FS177,FY177,GE177,GK177,GQ177,GW177,HC177,HI177,HO177))</x:f>
      </x:c>
      <x:c r="HV177" s="27" t="str">
        <x:f>IF(C177="","",IF(JI177=LARGE(JI177:JN177,1),"R",IF(JJ177=LARGE(JI177:JN177,1),"I",IF(JK177=LARGE(JI177:JN177,1),"A",IF(JL177=LARGE(JI177:JN177,1),"S",IF(JM177=LARGE(JI177:JN177,1),"E",IF(JN177=LARGE(JI177:JN177,1),"C",""))))))&amp;IF(JI177=LARGE(JI177:JN177,2),"R",IF(JJ177=LARGE(JI177:JN177,2),"I",IF(JK177=LARGE(JI177:JN177,2),"A",IF(JL177=LARGE(JI177:JN177,2),"S",IF(JM177=LARGE(JI177:JN177,2),"E",IF(JN177=LARGE(JI177:JN177,2),"C",""))))))&amp;IF(JI177=LARGE(JI177:JN177,3),"R",IF(JJ177=LARGE(JI177:JN177,3),"I",IF(JK177=LARGE(JI177:JN177,3),"A",IF(JL177=LARGE(JI177:JN177,3),"S",IF(JM177=LARGE(JI177:JN177,3),"E",IF(JN177=LARGE(JI177:JN177,3),"C","")))))))</x:f>
      </x:c>
      <x:c r="HW177" s="27" t="str">
        <x:f>IF(C177="","",IF(JI177=LARGE(JI177:JN177,1),"นักปฏิบัติ",IF(JJ177=LARGE(JI177:JN177,1),"นักคิดวิเคราะห์",IF(JK177=LARGE(JI177:JN177,1),"นักสร้างสรรค์",IF(JL177=LARGE(JI177:JN177,1),"ผู้เข้าใจผู้คน",IF(JM177=LARGE(JI177:JN177,1),"ผู้นำการเปลี่ยนแปลง",IF(JN177=LARGE(JI177:JN177,1),"ผู้จัดระบบ","ผู้จัดระบบ")))))))</x:f>
      </x:c>
      <x:c r="HX177" s="27"/>
      <x:c r="HY177" s="27"/>
      <x:c r="HZ177" s="27"/>
      <x:c r="IA177" s="27"/>
      <x:c r="IB177" s="27"/>
      <x:c r="IC177" s="27"/>
      <x:c r="ID177" s="27"/>
      <x:c r="IE177" s="27"/>
      <x:c r="IF177" s="27"/>
      <x:c r="IG177" s="27"/>
      <x:c r="IH177" s="27"/>
      <x:c r="II177" s="27"/>
      <x:c r="IJ177" s="27"/>
      <x:c r="IK177" s="27" t="str">
        <x:f>IF(C177="","",SUM(H177,N177,T177,Z177,AF177,AL177,AR177,AX177,BD177,BJ177,BP177))</x:f>
      </x:c>
      <x:c r="IL177" s="27" t="str">
        <x:f>IF(C177="","",SUM(I177,O177,U177,AA177,AG177,AM177,AS177,AY177,BE177,BK177,BQ177))</x:f>
      </x:c>
      <x:c r="IM177" s="27" t="str">
        <x:f>IF(C177="","",SUM(J177,P177,V177,AB177,AH177,AN177,AT177,AZ177,BF177,BL177,BR177))</x:f>
      </x:c>
      <x:c r="IN177" s="27" t="str">
        <x:f>IF(C177="","",SUM(K177,Q177,W177,AC177,AI177,AO177,AU177,BA177,BG177,BM177,BS177))</x:f>
      </x:c>
      <x:c r="IO177" s="27" t="str">
        <x:f>IF(C177="","",SUM(L177,R177,X177,AD177,AJ177,AP177,AV177,BB177,BH177,BN177,BT177))</x:f>
      </x:c>
      <x:c r="IP177" s="27" t="str">
        <x:f>IF(C177="","",SUM(M177,S177,Y177,AE177,AK177,AQ177,AW177,BC177,BI177,BO177,BU177))</x:f>
      </x:c>
      <x:c r="IQ177" s="27" t="str">
        <x:f>IF(C177="","",SUM(BV177,CB177,CH177,CN177,CT177,CZ177,DF177,DL177,DR177,DX177,ED177))</x:f>
      </x:c>
      <x:c r="IR177" s="27" t="str">
        <x:f>IF(C177="","",SUM(BW177,CC177,CI177,CO177,CU177,DA177,DG177,DM177,DS177,DY177,EE177))</x:f>
      </x:c>
      <x:c r="IS177" s="27" t="str">
        <x:f>IF(C177="","",SUM(BX177,CD177,CJ177,CP177,CV177,DB177,DH177,DN177,DT177,DZ177,EF177))</x:f>
      </x:c>
      <x:c r="IT177" s="27" t="str">
        <x:f>IF(C177="","",SUM(BY177,CE177,CK177,CQ177,CW177,DC177,DI177,DO177,DU177,EA177,EG177))</x:f>
      </x:c>
      <x:c r="IU177" s="27" t="str">
        <x:f>IF(C177="","",SUM(BZ177,CF177,CL177,CR177,CX177,DD177,DJ177,DP177,DV177,EB177,EH177))</x:f>
      </x:c>
      <x:c r="IV177" s="27" t="str">
        <x:f>IF(C177="","",SUM(CA177,CG177,CM177,CS177,CY177,DE177,DK177,DQ177,DW177,EC177,EI177))</x:f>
      </x:c>
      <x:c r="IW177" s="27" t="str">
        <x:f>IF(C177="","",SUM(EJ177,EP177,EV177,FB177,FH177,FN177,FT177,FZ177,GF177,GL177,GR177,GX177,HD177,HJ177))</x:f>
      </x:c>
      <x:c r="IX177" s="27" t="str">
        <x:f>IF(C177="","",SUM(EK177,EQ177,EW177,FC177,FI177,FO177,FU177,GA177,GG177,GM177,GS177,GY177,HE177,HK177))</x:f>
      </x:c>
      <x:c r="IY177" s="27" t="str">
        <x:f>IF(C177="","",SUM(EL177,ER177,EX177,FD177,FJ177,FP177,FV177,GB177,GH177,GN177,GT177,GZ177,HF177,HL177))</x:f>
      </x:c>
      <x:c r="IZ177" s="27" t="str">
        <x:f>IF(C177="","",SUM(EM177,ES177,EY177,FE177,FK177,FQ177,FW177,GC177,GI177,GO177,GU177,HA177,HG177,HM177))</x:f>
      </x:c>
      <x:c r="JA177" s="27" t="str">
        <x:f>IF(C177="","",SUM(EN177,ET177,EZ177,FF177,FL177,FR177,FX177,GD177,GJ177,GP177,GV177,HB177,HH177,HN177))</x:f>
      </x:c>
      <x:c r="JB177" s="27" t="str">
        <x:f>IF(C177="","",SUM(EO177,EU177,FA177,FG177,FM177,FS177,FY177,GE177,GK177,GQ177,GW177,HC177,HI177,HO177))</x:f>
      </x:c>
      <x:c r="JC177" s="27" t="str">
        <x:f>IF(C177="","",0)</x:f>
      </x:c>
      <x:c r="JD177" s="27" t="str">
        <x:f>IF(C177="","",0)</x:f>
      </x:c>
      <x:c r="JE177" s="27" t="str">
        <x:f>IF(C177="","",0)</x:f>
      </x:c>
      <x:c r="JF177" s="27" t="str">
        <x:f>IF(C177="","",0)</x:f>
      </x:c>
      <x:c r="JG177" s="27" t="str">
        <x:f>IF(C177="","",0)</x:f>
      </x:c>
      <x:c r="JH177" s="27" t="str">
        <x:f>IF(C177="","",0)</x:f>
      </x:c>
      <x:c r="JI177" s="27" t="str">
        <x:f>IF(C177="","",HP177*1000000000+IW177*1000000+IQ177*10000+IK177*100+JC177+6/1000)</x:f>
      </x:c>
      <x:c r="JJ177" s="27" t="str">
        <x:f>IF(C177="","",HQ177*1000000000+IX177*1000000+IR177*10000+IL177*100+JD177+5/1000)</x:f>
      </x:c>
      <x:c r="JK177" s="27" t="str">
        <x:f>IF(C177="","",HR177*1000000000+IY177*1000000+IS177*10000+IM177*100+JE177+4/1000)</x:f>
      </x:c>
      <x:c r="JL177" s="27" t="str">
        <x:f>IF(C177="","",HS177*1000000000+IZ177*1000000+IT177*10000+IN177*100+JF177+3/1000)</x:f>
      </x:c>
      <x:c r="JM177" s="27" t="str">
        <x:f>IF(C177="","",HT177*1000000000+JA177*1000000+IU177*10000+IO177*100+JG177+2/1000)</x:f>
      </x:c>
      <x:c r="JN177" s="27" t="str">
        <x:f>IF(C177="","",HU177*1000000000+JB177*1000000+IV177*10000+IP177*100+JH177+1/1000)</x:f>
      </x:c>
    </x:row>
    <x:row r="178">
      <x:c r="A178" s="27"/>
      <x:c r="B178" s="28"/>
      <x:c r="C178" s="27"/>
      <x:c r="D178" s="27"/>
      <x:c r="E178" s="27"/>
      <x:c r="F178" s="27"/>
      <x:c r="G178" s="27"/>
      <x:c r="H178" s="27"/>
      <x:c r="I178" s="27"/>
      <x:c r="J178" s="27"/>
      <x:c r="K178" s="27"/>
      <x:c r="L178" s="27"/>
      <x:c r="M178" s="27"/>
      <x:c r="N178" s="27"/>
      <x:c r="O178" s="27"/>
      <x:c r="P178" s="27"/>
      <x:c r="Q178" s="27"/>
      <x:c r="R178" s="27"/>
      <x:c r="S178" s="27"/>
      <x:c r="T178" s="27"/>
      <x:c r="U178" s="27"/>
      <x:c r="V178" s="27"/>
      <x:c r="W178" s="27"/>
      <x:c r="X178" s="27"/>
      <x:c r="Y178" s="27"/>
      <x:c r="Z178" s="27"/>
      <x:c r="AA178" s="27"/>
      <x:c r="AB178" s="27"/>
      <x:c r="AC178" s="27"/>
      <x:c r="AD178" s="27"/>
      <x:c r="AE178" s="27"/>
      <x:c r="AF178" s="27"/>
      <x:c r="AG178" s="27"/>
      <x:c r="AH178" s="27"/>
      <x:c r="AI178" s="27"/>
      <x:c r="AJ178" s="27"/>
      <x:c r="AK178" s="27"/>
      <x:c r="AL178" s="27"/>
      <x:c r="AM178" s="27"/>
      <x:c r="AN178" s="27"/>
      <x:c r="AO178" s="27"/>
      <x:c r="AP178" s="27"/>
      <x:c r="AQ178" s="27"/>
      <x:c r="AR178" s="27"/>
      <x:c r="AS178" s="27"/>
      <x:c r="AT178" s="27"/>
      <x:c r="AU178" s="27"/>
      <x:c r="AV178" s="27"/>
      <x:c r="AW178" s="27"/>
      <x:c r="AX178" s="27"/>
      <x:c r="AY178" s="27"/>
      <x:c r="AZ178" s="27"/>
      <x:c r="BA178" s="27"/>
      <x:c r="BB178" s="27"/>
      <x:c r="BC178" s="27"/>
      <x:c r="BD178" s="27"/>
      <x:c r="BE178" s="27"/>
      <x:c r="BF178" s="27"/>
      <x:c r="BG178" s="27"/>
      <x:c r="BH178" s="27"/>
      <x:c r="BI178" s="27"/>
      <x:c r="BJ178" s="27"/>
      <x:c r="BK178" s="27"/>
      <x:c r="BL178" s="27"/>
      <x:c r="BM178" s="27"/>
      <x:c r="BN178" s="27"/>
      <x:c r="BO178" s="27"/>
      <x:c r="BP178" s="27"/>
      <x:c r="BQ178" s="27"/>
      <x:c r="BR178" s="27"/>
      <x:c r="BS178" s="27"/>
      <x:c r="BT178" s="27"/>
      <x:c r="BU178" s="27"/>
      <x:c r="BV178" s="27"/>
      <x:c r="BW178" s="27"/>
      <x:c r="BX178" s="27"/>
      <x:c r="BY178" s="27"/>
      <x:c r="BZ178" s="27"/>
      <x:c r="CA178" s="27"/>
      <x:c r="CB178" s="27"/>
      <x:c r="CC178" s="27"/>
      <x:c r="CD178" s="27"/>
      <x:c r="CE178" s="27"/>
      <x:c r="CF178" s="27"/>
      <x:c r="CG178" s="27"/>
      <x:c r="CH178" s="27"/>
      <x:c r="CI178" s="27"/>
      <x:c r="CJ178" s="27"/>
      <x:c r="CK178" s="27"/>
      <x:c r="CL178" s="27"/>
      <x:c r="CM178" s="27"/>
      <x:c r="CN178" s="27"/>
      <x:c r="CO178" s="27"/>
      <x:c r="CP178" s="27"/>
      <x:c r="CQ178" s="27"/>
      <x:c r="CR178" s="27"/>
      <x:c r="CS178" s="27"/>
      <x:c r="CT178" s="27"/>
      <x:c r="CU178" s="27"/>
      <x:c r="CV178" s="27"/>
      <x:c r="CW178" s="27"/>
      <x:c r="CX178" s="27"/>
      <x:c r="CY178" s="27"/>
      <x:c r="CZ178" s="27"/>
      <x:c r="DA178" s="27"/>
      <x:c r="DB178" s="27"/>
      <x:c r="DC178" s="27"/>
      <x:c r="DD178" s="27"/>
      <x:c r="DE178" s="27"/>
      <x:c r="DF178" s="27"/>
      <x:c r="DG178" s="27"/>
      <x:c r="DH178" s="27"/>
      <x:c r="DI178" s="27"/>
      <x:c r="DJ178" s="27"/>
      <x:c r="DK178" s="27"/>
      <x:c r="DL178" s="27"/>
      <x:c r="DM178" s="27"/>
      <x:c r="DN178" s="27"/>
      <x:c r="DO178" s="27"/>
      <x:c r="DP178" s="27"/>
      <x:c r="DQ178" s="27"/>
      <x:c r="DR178" s="27"/>
      <x:c r="DS178" s="27"/>
      <x:c r="DT178" s="27"/>
      <x:c r="DU178" s="27"/>
      <x:c r="DV178" s="27"/>
      <x:c r="DW178" s="27"/>
      <x:c r="DX178" s="27"/>
      <x:c r="DY178" s="27"/>
      <x:c r="DZ178" s="27"/>
      <x:c r="EA178" s="27"/>
      <x:c r="EB178" s="27"/>
      <x:c r="EC178" s="27"/>
      <x:c r="ED178" s="27"/>
      <x:c r="EE178" s="27"/>
      <x:c r="EF178" s="27"/>
      <x:c r="EG178" s="27"/>
      <x:c r="EH178" s="27"/>
      <x:c r="EI178" s="27"/>
      <x:c r="EJ178" s="27"/>
      <x:c r="EK178" s="27"/>
      <x:c r="EL178" s="27"/>
      <x:c r="EM178" s="27"/>
      <x:c r="EN178" s="27"/>
      <x:c r="EO178" s="27"/>
      <x:c r="EP178" s="27"/>
      <x:c r="EQ178" s="27"/>
      <x:c r="ER178" s="27"/>
      <x:c r="ES178" s="27"/>
      <x:c r="ET178" s="27"/>
      <x:c r="EU178" s="27"/>
      <x:c r="EV178" s="27"/>
      <x:c r="EW178" s="27"/>
      <x:c r="EX178" s="27"/>
      <x:c r="EY178" s="27"/>
      <x:c r="EZ178" s="27"/>
      <x:c r="FA178" s="27"/>
      <x:c r="FB178" s="27"/>
      <x:c r="FC178" s="27"/>
      <x:c r="FD178" s="27"/>
      <x:c r="FE178" s="27"/>
      <x:c r="FF178" s="27"/>
      <x:c r="FG178" s="27"/>
      <x:c r="FH178" s="27"/>
      <x:c r="FI178" s="27"/>
      <x:c r="FJ178" s="27"/>
      <x:c r="FK178" s="27"/>
      <x:c r="FL178" s="27"/>
      <x:c r="FM178" s="27"/>
      <x:c r="FN178" s="27"/>
      <x:c r="FO178" s="27"/>
      <x:c r="FP178" s="27"/>
      <x:c r="FQ178" s="27"/>
      <x:c r="FR178" s="27"/>
      <x:c r="FS178" s="27"/>
      <x:c r="FT178" s="27"/>
      <x:c r="FU178" s="27"/>
      <x:c r="FV178" s="27"/>
      <x:c r="FW178" s="27"/>
      <x:c r="FX178" s="27"/>
      <x:c r="FY178" s="27"/>
      <x:c r="FZ178" s="27"/>
      <x:c r="GA178" s="27"/>
      <x:c r="GB178" s="27"/>
      <x:c r="GC178" s="27"/>
      <x:c r="GD178" s="27"/>
      <x:c r="GE178" s="27"/>
      <x:c r="GF178" s="27"/>
      <x:c r="GG178" s="27"/>
      <x:c r="GH178" s="27"/>
      <x:c r="GI178" s="27"/>
      <x:c r="GJ178" s="27"/>
      <x:c r="GK178" s="27"/>
      <x:c r="GL178" s="27"/>
      <x:c r="GM178" s="27"/>
      <x:c r="GN178" s="27"/>
      <x:c r="GO178" s="27"/>
      <x:c r="GP178" s="27"/>
      <x:c r="GQ178" s="27"/>
      <x:c r="GR178" s="27"/>
      <x:c r="GS178" s="27"/>
      <x:c r="GT178" s="27"/>
      <x:c r="GU178" s="27"/>
      <x:c r="GV178" s="27"/>
      <x:c r="GW178" s="27"/>
      <x:c r="GX178" s="27"/>
      <x:c r="GY178" s="27"/>
      <x:c r="GZ178" s="27"/>
      <x:c r="HA178" s="27"/>
      <x:c r="HB178" s="27"/>
      <x:c r="HC178" s="27"/>
      <x:c r="HD178" s="27"/>
      <x:c r="HE178" s="27"/>
      <x:c r="HF178" s="27"/>
      <x:c r="HG178" s="27"/>
      <x:c r="HH178" s="27"/>
      <x:c r="HI178" s="27"/>
      <x:c r="HJ178" s="27"/>
      <x:c r="HK178" s="27"/>
      <x:c r="HL178" s="27"/>
      <x:c r="HM178" s="27"/>
      <x:c r="HN178" s="27"/>
      <x:c r="HO178" s="27"/>
      <x:c r="HP178" s="27" t="str">
        <x:f>IF(C178="","",SUM(H178,N178,T178,Z178,AF178,AL178,AR178,AX178,BD178,BJ178,BP178,BV178,CB178,CH178,CN178,CT178,CZ178,DF178,DL178,DR178,DX178,ED178,EJ178,EP178,EV178,FB178,FH178,FN178,FT178,FZ178,GF178,GL178,GR178,GX178,HD178,HJ178))</x:f>
      </x:c>
      <x:c r="HQ178" s="27" t="str">
        <x:f>IF(C178="","",SUM(I178,O178,U178,AA178,AG178,AM178,AS178,AY178,BE178,BK178,BQ178,BW178,CC178,CI178,CO178,CU178,DA178,DG178,DM178,DS178,DY178,EE178,EK178,EQ178,EW178,FC178,FI178,FO178,FU178,GA178,GG178,GM178,GS178,GY178,HE178,HK178))</x:f>
      </x:c>
      <x:c r="HR178" s="27" t="str">
        <x:f>IF(C178="","",SUM(J178,P178,V178,AB178,AH178,AN178,AT178,AZ178,BF178,BL178,BR178,BX178,CD178,CJ178,CP178,CV178,DB178,DH178,DN178,DT178,DZ178,EF178,EL178,ER178,EX178,FD178,FJ178,FP178,FV178,GB178,GH178,GN178,GT178,GZ178,HF178,HL178))</x:f>
      </x:c>
      <x:c r="HS178" s="27" t="str">
        <x:f>IF(C178="","",SUM(K178,Q178,W178,AC178,AI178,AO178,AU178,BA178,BG178,BM178,BS178,BY178,CE178,CK178,CQ178,CW178,DC178,DI178,DO178,DU178,EA178,EG178,EM178,ES178,EY178,FE178,FK178,FQ178,FW178,GC178,GI178,GO178,GU178,HA178,HG178,HM178))</x:f>
      </x:c>
      <x:c r="HT178" s="27" t="str">
        <x:f>IF(C178="","",SUM(L178,R178,X178,AD178,AJ178,AP178,AV178,BB178,BH178,BN178,BT178,BZ178,CF178,CL178,CR178,CX178,DD178,DJ178,DP178,DV178,EB178,EH178,EN178,ET178,EZ178,FF178,FL178,FR178,FX178,GD178,GJ178,GP178,GV178,HB178,HH178,HN178))</x:f>
      </x:c>
      <x:c r="HU178" s="27" t="str">
        <x:f>IF(C178="","",SUM(M178,S178,Y178,AE178,AK178,AQ178,AW178,BC178,BI178,BO178,BU178,CA178,CG178,CM178,CS178,CY178,DE178,DK178,DQ178,DW178,EC178,EI178,EO178,EU178,FA178,FG178,FM178,FS178,FY178,GE178,GK178,GQ178,GW178,HC178,HI178,HO178))</x:f>
      </x:c>
      <x:c r="HV178" s="27" t="str">
        <x:f>IF(C178="","",IF(JI178=LARGE(JI178:JN178,1),"R",IF(JJ178=LARGE(JI178:JN178,1),"I",IF(JK178=LARGE(JI178:JN178,1),"A",IF(JL178=LARGE(JI178:JN178,1),"S",IF(JM178=LARGE(JI178:JN178,1),"E",IF(JN178=LARGE(JI178:JN178,1),"C",""))))))&amp;IF(JI178=LARGE(JI178:JN178,2),"R",IF(JJ178=LARGE(JI178:JN178,2),"I",IF(JK178=LARGE(JI178:JN178,2),"A",IF(JL178=LARGE(JI178:JN178,2),"S",IF(JM178=LARGE(JI178:JN178,2),"E",IF(JN178=LARGE(JI178:JN178,2),"C",""))))))&amp;IF(JI178=LARGE(JI178:JN178,3),"R",IF(JJ178=LARGE(JI178:JN178,3),"I",IF(JK178=LARGE(JI178:JN178,3),"A",IF(JL178=LARGE(JI178:JN178,3),"S",IF(JM178=LARGE(JI178:JN178,3),"E",IF(JN178=LARGE(JI178:JN178,3),"C","")))))))</x:f>
      </x:c>
      <x:c r="HW178" s="27" t="str">
        <x:f>IF(C178="","",IF(JI178=LARGE(JI178:JN178,1),"นักปฏิบัติ",IF(JJ178=LARGE(JI178:JN178,1),"นักคิดวิเคราะห์",IF(JK178=LARGE(JI178:JN178,1),"นักสร้างสรรค์",IF(JL178=LARGE(JI178:JN178,1),"ผู้เข้าใจผู้คน",IF(JM178=LARGE(JI178:JN178,1),"ผู้นำการเปลี่ยนแปลง",IF(JN178=LARGE(JI178:JN178,1),"ผู้จัดระบบ","ผู้จัดระบบ")))))))</x:f>
      </x:c>
      <x:c r="HX178" s="27"/>
      <x:c r="HY178" s="27"/>
      <x:c r="HZ178" s="27"/>
      <x:c r="IA178" s="27"/>
      <x:c r="IB178" s="27"/>
      <x:c r="IC178" s="27"/>
      <x:c r="ID178" s="27"/>
      <x:c r="IE178" s="27"/>
      <x:c r="IF178" s="27"/>
      <x:c r="IG178" s="27"/>
      <x:c r="IH178" s="27"/>
      <x:c r="II178" s="27"/>
      <x:c r="IJ178" s="27"/>
      <x:c r="IK178" s="27" t="str">
        <x:f>IF(C178="","",SUM(H178,N178,T178,Z178,AF178,AL178,AR178,AX178,BD178,BJ178,BP178))</x:f>
      </x:c>
      <x:c r="IL178" s="27" t="str">
        <x:f>IF(C178="","",SUM(I178,O178,U178,AA178,AG178,AM178,AS178,AY178,BE178,BK178,BQ178))</x:f>
      </x:c>
      <x:c r="IM178" s="27" t="str">
        <x:f>IF(C178="","",SUM(J178,P178,V178,AB178,AH178,AN178,AT178,AZ178,BF178,BL178,BR178))</x:f>
      </x:c>
      <x:c r="IN178" s="27" t="str">
        <x:f>IF(C178="","",SUM(K178,Q178,W178,AC178,AI178,AO178,AU178,BA178,BG178,BM178,BS178))</x:f>
      </x:c>
      <x:c r="IO178" s="27" t="str">
        <x:f>IF(C178="","",SUM(L178,R178,X178,AD178,AJ178,AP178,AV178,BB178,BH178,BN178,BT178))</x:f>
      </x:c>
      <x:c r="IP178" s="27" t="str">
        <x:f>IF(C178="","",SUM(M178,S178,Y178,AE178,AK178,AQ178,AW178,BC178,BI178,BO178,BU178))</x:f>
      </x:c>
      <x:c r="IQ178" s="27" t="str">
        <x:f>IF(C178="","",SUM(BV178,CB178,CH178,CN178,CT178,CZ178,DF178,DL178,DR178,DX178,ED178))</x:f>
      </x:c>
      <x:c r="IR178" s="27" t="str">
        <x:f>IF(C178="","",SUM(BW178,CC178,CI178,CO178,CU178,DA178,DG178,DM178,DS178,DY178,EE178))</x:f>
      </x:c>
      <x:c r="IS178" s="27" t="str">
        <x:f>IF(C178="","",SUM(BX178,CD178,CJ178,CP178,CV178,DB178,DH178,DN178,DT178,DZ178,EF178))</x:f>
      </x:c>
      <x:c r="IT178" s="27" t="str">
        <x:f>IF(C178="","",SUM(BY178,CE178,CK178,CQ178,CW178,DC178,DI178,DO178,DU178,EA178,EG178))</x:f>
      </x:c>
      <x:c r="IU178" s="27" t="str">
        <x:f>IF(C178="","",SUM(BZ178,CF178,CL178,CR178,CX178,DD178,DJ178,DP178,DV178,EB178,EH178))</x:f>
      </x:c>
      <x:c r="IV178" s="27" t="str">
        <x:f>IF(C178="","",SUM(CA178,CG178,CM178,CS178,CY178,DE178,DK178,DQ178,DW178,EC178,EI178))</x:f>
      </x:c>
      <x:c r="IW178" s="27" t="str">
        <x:f>IF(C178="","",SUM(EJ178,EP178,EV178,FB178,FH178,FN178,FT178,FZ178,GF178,GL178,GR178,GX178,HD178,HJ178))</x:f>
      </x:c>
      <x:c r="IX178" s="27" t="str">
        <x:f>IF(C178="","",SUM(EK178,EQ178,EW178,FC178,FI178,FO178,FU178,GA178,GG178,GM178,GS178,GY178,HE178,HK178))</x:f>
      </x:c>
      <x:c r="IY178" s="27" t="str">
        <x:f>IF(C178="","",SUM(EL178,ER178,EX178,FD178,FJ178,FP178,FV178,GB178,GH178,GN178,GT178,GZ178,HF178,HL178))</x:f>
      </x:c>
      <x:c r="IZ178" s="27" t="str">
        <x:f>IF(C178="","",SUM(EM178,ES178,EY178,FE178,FK178,FQ178,FW178,GC178,GI178,GO178,GU178,HA178,HG178,HM178))</x:f>
      </x:c>
      <x:c r="JA178" s="27" t="str">
        <x:f>IF(C178="","",SUM(EN178,ET178,EZ178,FF178,FL178,FR178,FX178,GD178,GJ178,GP178,GV178,HB178,HH178,HN178))</x:f>
      </x:c>
      <x:c r="JB178" s="27" t="str">
        <x:f>IF(C178="","",SUM(EO178,EU178,FA178,FG178,FM178,FS178,FY178,GE178,GK178,GQ178,GW178,HC178,HI178,HO178))</x:f>
      </x:c>
      <x:c r="JC178" s="27" t="str">
        <x:f>IF(C178="","",0)</x:f>
      </x:c>
      <x:c r="JD178" s="27" t="str">
        <x:f>IF(C178="","",0)</x:f>
      </x:c>
      <x:c r="JE178" s="27" t="str">
        <x:f>IF(C178="","",0)</x:f>
      </x:c>
      <x:c r="JF178" s="27" t="str">
        <x:f>IF(C178="","",0)</x:f>
      </x:c>
      <x:c r="JG178" s="27" t="str">
        <x:f>IF(C178="","",0)</x:f>
      </x:c>
      <x:c r="JH178" s="27" t="str">
        <x:f>IF(C178="","",0)</x:f>
      </x:c>
      <x:c r="JI178" s="27" t="str">
        <x:f>IF(C178="","",HP178*1000000000+IW178*1000000+IQ178*10000+IK178*100+JC178+6/1000)</x:f>
      </x:c>
      <x:c r="JJ178" s="27" t="str">
        <x:f>IF(C178="","",HQ178*1000000000+IX178*1000000+IR178*10000+IL178*100+JD178+5/1000)</x:f>
      </x:c>
      <x:c r="JK178" s="27" t="str">
        <x:f>IF(C178="","",HR178*1000000000+IY178*1000000+IS178*10000+IM178*100+JE178+4/1000)</x:f>
      </x:c>
      <x:c r="JL178" s="27" t="str">
        <x:f>IF(C178="","",HS178*1000000000+IZ178*1000000+IT178*10000+IN178*100+JF178+3/1000)</x:f>
      </x:c>
      <x:c r="JM178" s="27" t="str">
        <x:f>IF(C178="","",HT178*1000000000+JA178*1000000+IU178*10000+IO178*100+JG178+2/1000)</x:f>
      </x:c>
      <x:c r="JN178" s="27" t="str">
        <x:f>IF(C178="","",HU178*1000000000+JB178*1000000+IV178*10000+IP178*100+JH178+1/1000)</x:f>
      </x:c>
    </x:row>
    <x:row r="179">
      <x:c r="A179" s="27"/>
      <x:c r="B179" s="28"/>
      <x:c r="C179" s="27"/>
      <x:c r="D179" s="27"/>
      <x:c r="E179" s="27"/>
      <x:c r="F179" s="27"/>
      <x:c r="G179" s="27"/>
      <x:c r="H179" s="27"/>
      <x:c r="I179" s="27"/>
      <x:c r="J179" s="27"/>
      <x:c r="K179" s="27"/>
      <x:c r="L179" s="27"/>
      <x:c r="M179" s="27"/>
      <x:c r="N179" s="27"/>
      <x:c r="O179" s="27"/>
      <x:c r="P179" s="27"/>
      <x:c r="Q179" s="27"/>
      <x:c r="R179" s="27"/>
      <x:c r="S179" s="27"/>
      <x:c r="T179" s="27"/>
      <x:c r="U179" s="27"/>
      <x:c r="V179" s="27"/>
      <x:c r="W179" s="27"/>
      <x:c r="X179" s="27"/>
      <x:c r="Y179" s="27"/>
      <x:c r="Z179" s="27"/>
      <x:c r="AA179" s="27"/>
      <x:c r="AB179" s="27"/>
      <x:c r="AC179" s="27"/>
      <x:c r="AD179" s="27"/>
      <x:c r="AE179" s="27"/>
      <x:c r="AF179" s="27"/>
      <x:c r="AG179" s="27"/>
      <x:c r="AH179" s="27"/>
      <x:c r="AI179" s="27"/>
      <x:c r="AJ179" s="27"/>
      <x:c r="AK179" s="27"/>
      <x:c r="AL179" s="27"/>
      <x:c r="AM179" s="27"/>
      <x:c r="AN179" s="27"/>
      <x:c r="AO179" s="27"/>
      <x:c r="AP179" s="27"/>
      <x:c r="AQ179" s="27"/>
      <x:c r="AR179" s="27"/>
      <x:c r="AS179" s="27"/>
      <x:c r="AT179" s="27"/>
      <x:c r="AU179" s="27"/>
      <x:c r="AV179" s="27"/>
      <x:c r="AW179" s="27"/>
      <x:c r="AX179" s="27"/>
      <x:c r="AY179" s="27"/>
      <x:c r="AZ179" s="27"/>
      <x:c r="BA179" s="27"/>
      <x:c r="BB179" s="27"/>
      <x:c r="BC179" s="27"/>
      <x:c r="BD179" s="27"/>
      <x:c r="BE179" s="27"/>
      <x:c r="BF179" s="27"/>
      <x:c r="BG179" s="27"/>
      <x:c r="BH179" s="27"/>
      <x:c r="BI179" s="27"/>
      <x:c r="BJ179" s="27"/>
      <x:c r="BK179" s="27"/>
      <x:c r="BL179" s="27"/>
      <x:c r="BM179" s="27"/>
      <x:c r="BN179" s="27"/>
      <x:c r="BO179" s="27"/>
      <x:c r="BP179" s="27"/>
      <x:c r="BQ179" s="27"/>
      <x:c r="BR179" s="27"/>
      <x:c r="BS179" s="27"/>
      <x:c r="BT179" s="27"/>
      <x:c r="BU179" s="27"/>
      <x:c r="BV179" s="27"/>
      <x:c r="BW179" s="27"/>
      <x:c r="BX179" s="27"/>
      <x:c r="BY179" s="27"/>
      <x:c r="BZ179" s="27"/>
      <x:c r="CA179" s="27"/>
      <x:c r="CB179" s="27"/>
      <x:c r="CC179" s="27"/>
      <x:c r="CD179" s="27"/>
      <x:c r="CE179" s="27"/>
      <x:c r="CF179" s="27"/>
      <x:c r="CG179" s="27"/>
      <x:c r="CH179" s="27"/>
      <x:c r="CI179" s="27"/>
      <x:c r="CJ179" s="27"/>
      <x:c r="CK179" s="27"/>
      <x:c r="CL179" s="27"/>
      <x:c r="CM179" s="27"/>
      <x:c r="CN179" s="27"/>
      <x:c r="CO179" s="27"/>
      <x:c r="CP179" s="27"/>
      <x:c r="CQ179" s="27"/>
      <x:c r="CR179" s="27"/>
      <x:c r="CS179" s="27"/>
      <x:c r="CT179" s="27"/>
      <x:c r="CU179" s="27"/>
      <x:c r="CV179" s="27"/>
      <x:c r="CW179" s="27"/>
      <x:c r="CX179" s="27"/>
      <x:c r="CY179" s="27"/>
      <x:c r="CZ179" s="27"/>
      <x:c r="DA179" s="27"/>
      <x:c r="DB179" s="27"/>
      <x:c r="DC179" s="27"/>
      <x:c r="DD179" s="27"/>
      <x:c r="DE179" s="27"/>
      <x:c r="DF179" s="27"/>
      <x:c r="DG179" s="27"/>
      <x:c r="DH179" s="27"/>
      <x:c r="DI179" s="27"/>
      <x:c r="DJ179" s="27"/>
      <x:c r="DK179" s="27"/>
      <x:c r="DL179" s="27"/>
      <x:c r="DM179" s="27"/>
      <x:c r="DN179" s="27"/>
      <x:c r="DO179" s="27"/>
      <x:c r="DP179" s="27"/>
      <x:c r="DQ179" s="27"/>
      <x:c r="DR179" s="27"/>
      <x:c r="DS179" s="27"/>
      <x:c r="DT179" s="27"/>
      <x:c r="DU179" s="27"/>
      <x:c r="DV179" s="27"/>
      <x:c r="DW179" s="27"/>
      <x:c r="DX179" s="27"/>
      <x:c r="DY179" s="27"/>
      <x:c r="DZ179" s="27"/>
      <x:c r="EA179" s="27"/>
      <x:c r="EB179" s="27"/>
      <x:c r="EC179" s="27"/>
      <x:c r="ED179" s="27"/>
      <x:c r="EE179" s="27"/>
      <x:c r="EF179" s="27"/>
      <x:c r="EG179" s="27"/>
      <x:c r="EH179" s="27"/>
      <x:c r="EI179" s="27"/>
      <x:c r="EJ179" s="27"/>
      <x:c r="EK179" s="27"/>
      <x:c r="EL179" s="27"/>
      <x:c r="EM179" s="27"/>
      <x:c r="EN179" s="27"/>
      <x:c r="EO179" s="27"/>
      <x:c r="EP179" s="27"/>
      <x:c r="EQ179" s="27"/>
      <x:c r="ER179" s="27"/>
      <x:c r="ES179" s="27"/>
      <x:c r="ET179" s="27"/>
      <x:c r="EU179" s="27"/>
      <x:c r="EV179" s="27"/>
      <x:c r="EW179" s="27"/>
      <x:c r="EX179" s="27"/>
      <x:c r="EY179" s="27"/>
      <x:c r="EZ179" s="27"/>
      <x:c r="FA179" s="27"/>
      <x:c r="FB179" s="27"/>
      <x:c r="FC179" s="27"/>
      <x:c r="FD179" s="27"/>
      <x:c r="FE179" s="27"/>
      <x:c r="FF179" s="27"/>
      <x:c r="FG179" s="27"/>
      <x:c r="FH179" s="27"/>
      <x:c r="FI179" s="27"/>
      <x:c r="FJ179" s="27"/>
      <x:c r="FK179" s="27"/>
      <x:c r="FL179" s="27"/>
      <x:c r="FM179" s="27"/>
      <x:c r="FN179" s="27"/>
      <x:c r="FO179" s="27"/>
      <x:c r="FP179" s="27"/>
      <x:c r="FQ179" s="27"/>
      <x:c r="FR179" s="27"/>
      <x:c r="FS179" s="27"/>
      <x:c r="FT179" s="27"/>
      <x:c r="FU179" s="27"/>
      <x:c r="FV179" s="27"/>
      <x:c r="FW179" s="27"/>
      <x:c r="FX179" s="27"/>
      <x:c r="FY179" s="27"/>
      <x:c r="FZ179" s="27"/>
      <x:c r="GA179" s="27"/>
      <x:c r="GB179" s="27"/>
      <x:c r="GC179" s="27"/>
      <x:c r="GD179" s="27"/>
      <x:c r="GE179" s="27"/>
      <x:c r="GF179" s="27"/>
      <x:c r="GG179" s="27"/>
      <x:c r="GH179" s="27"/>
      <x:c r="GI179" s="27"/>
      <x:c r="GJ179" s="27"/>
      <x:c r="GK179" s="27"/>
      <x:c r="GL179" s="27"/>
      <x:c r="GM179" s="27"/>
      <x:c r="GN179" s="27"/>
      <x:c r="GO179" s="27"/>
      <x:c r="GP179" s="27"/>
      <x:c r="GQ179" s="27"/>
      <x:c r="GR179" s="27"/>
      <x:c r="GS179" s="27"/>
      <x:c r="GT179" s="27"/>
      <x:c r="GU179" s="27"/>
      <x:c r="GV179" s="27"/>
      <x:c r="GW179" s="27"/>
      <x:c r="GX179" s="27"/>
      <x:c r="GY179" s="27"/>
      <x:c r="GZ179" s="27"/>
      <x:c r="HA179" s="27"/>
      <x:c r="HB179" s="27"/>
      <x:c r="HC179" s="27"/>
      <x:c r="HD179" s="27"/>
      <x:c r="HE179" s="27"/>
      <x:c r="HF179" s="27"/>
      <x:c r="HG179" s="27"/>
      <x:c r="HH179" s="27"/>
      <x:c r="HI179" s="27"/>
      <x:c r="HJ179" s="27"/>
      <x:c r="HK179" s="27"/>
      <x:c r="HL179" s="27"/>
      <x:c r="HM179" s="27"/>
      <x:c r="HN179" s="27"/>
      <x:c r="HO179" s="27"/>
      <x:c r="HP179" s="27" t="str">
        <x:f>IF(C179="","",SUM(H179,N179,T179,Z179,AF179,AL179,AR179,AX179,BD179,BJ179,BP179,BV179,CB179,CH179,CN179,CT179,CZ179,DF179,DL179,DR179,DX179,ED179,EJ179,EP179,EV179,FB179,FH179,FN179,FT179,FZ179,GF179,GL179,GR179,GX179,HD179,HJ179))</x:f>
      </x:c>
      <x:c r="HQ179" s="27" t="str">
        <x:f>IF(C179="","",SUM(I179,O179,U179,AA179,AG179,AM179,AS179,AY179,BE179,BK179,BQ179,BW179,CC179,CI179,CO179,CU179,DA179,DG179,DM179,DS179,DY179,EE179,EK179,EQ179,EW179,FC179,FI179,FO179,FU179,GA179,GG179,GM179,GS179,GY179,HE179,HK179))</x:f>
      </x:c>
      <x:c r="HR179" s="27" t="str">
        <x:f>IF(C179="","",SUM(J179,P179,V179,AB179,AH179,AN179,AT179,AZ179,BF179,BL179,BR179,BX179,CD179,CJ179,CP179,CV179,DB179,DH179,DN179,DT179,DZ179,EF179,EL179,ER179,EX179,FD179,FJ179,FP179,FV179,GB179,GH179,GN179,GT179,GZ179,HF179,HL179))</x:f>
      </x:c>
      <x:c r="HS179" s="27" t="str">
        <x:f>IF(C179="","",SUM(K179,Q179,W179,AC179,AI179,AO179,AU179,BA179,BG179,BM179,BS179,BY179,CE179,CK179,CQ179,CW179,DC179,DI179,DO179,DU179,EA179,EG179,EM179,ES179,EY179,FE179,FK179,FQ179,FW179,GC179,GI179,GO179,GU179,HA179,HG179,HM179))</x:f>
      </x:c>
      <x:c r="HT179" s="27" t="str">
        <x:f>IF(C179="","",SUM(L179,R179,X179,AD179,AJ179,AP179,AV179,BB179,BH179,BN179,BT179,BZ179,CF179,CL179,CR179,CX179,DD179,DJ179,DP179,DV179,EB179,EH179,EN179,ET179,EZ179,FF179,FL179,FR179,FX179,GD179,GJ179,GP179,GV179,HB179,HH179,HN179))</x:f>
      </x:c>
      <x:c r="HU179" s="27" t="str">
        <x:f>IF(C179="","",SUM(M179,S179,Y179,AE179,AK179,AQ179,AW179,BC179,BI179,BO179,BU179,CA179,CG179,CM179,CS179,CY179,DE179,DK179,DQ179,DW179,EC179,EI179,EO179,EU179,FA179,FG179,FM179,FS179,FY179,GE179,GK179,GQ179,GW179,HC179,HI179,HO179))</x:f>
      </x:c>
      <x:c r="HV179" s="27" t="str">
        <x:f>IF(C179="","",IF(JI179=LARGE(JI179:JN179,1),"R",IF(JJ179=LARGE(JI179:JN179,1),"I",IF(JK179=LARGE(JI179:JN179,1),"A",IF(JL179=LARGE(JI179:JN179,1),"S",IF(JM179=LARGE(JI179:JN179,1),"E",IF(JN179=LARGE(JI179:JN179,1),"C",""))))))&amp;IF(JI179=LARGE(JI179:JN179,2),"R",IF(JJ179=LARGE(JI179:JN179,2),"I",IF(JK179=LARGE(JI179:JN179,2),"A",IF(JL179=LARGE(JI179:JN179,2),"S",IF(JM179=LARGE(JI179:JN179,2),"E",IF(JN179=LARGE(JI179:JN179,2),"C",""))))))&amp;IF(JI179=LARGE(JI179:JN179,3),"R",IF(JJ179=LARGE(JI179:JN179,3),"I",IF(JK179=LARGE(JI179:JN179,3),"A",IF(JL179=LARGE(JI179:JN179,3),"S",IF(JM179=LARGE(JI179:JN179,3),"E",IF(JN179=LARGE(JI179:JN179,3),"C","")))))))</x:f>
      </x:c>
      <x:c r="HW179" s="27" t="str">
        <x:f>IF(C179="","",IF(JI179=LARGE(JI179:JN179,1),"นักปฏิบัติ",IF(JJ179=LARGE(JI179:JN179,1),"นักคิดวิเคราะห์",IF(JK179=LARGE(JI179:JN179,1),"นักสร้างสรรค์",IF(JL179=LARGE(JI179:JN179,1),"ผู้เข้าใจผู้คน",IF(JM179=LARGE(JI179:JN179,1),"ผู้นำการเปลี่ยนแปลง",IF(JN179=LARGE(JI179:JN179,1),"ผู้จัดระบบ","ผู้จัดระบบ")))))))</x:f>
      </x:c>
      <x:c r="HX179" s="27"/>
      <x:c r="HY179" s="27"/>
      <x:c r="HZ179" s="27"/>
      <x:c r="IA179" s="27"/>
      <x:c r="IB179" s="27"/>
      <x:c r="IC179" s="27"/>
      <x:c r="ID179" s="27"/>
      <x:c r="IE179" s="27"/>
      <x:c r="IF179" s="27"/>
      <x:c r="IG179" s="27"/>
      <x:c r="IH179" s="27"/>
      <x:c r="II179" s="27"/>
      <x:c r="IJ179" s="27"/>
      <x:c r="IK179" s="27" t="str">
        <x:f>IF(C179="","",SUM(H179,N179,T179,Z179,AF179,AL179,AR179,AX179,BD179,BJ179,BP179))</x:f>
      </x:c>
      <x:c r="IL179" s="27" t="str">
        <x:f>IF(C179="","",SUM(I179,O179,U179,AA179,AG179,AM179,AS179,AY179,BE179,BK179,BQ179))</x:f>
      </x:c>
      <x:c r="IM179" s="27" t="str">
        <x:f>IF(C179="","",SUM(J179,P179,V179,AB179,AH179,AN179,AT179,AZ179,BF179,BL179,BR179))</x:f>
      </x:c>
      <x:c r="IN179" s="27" t="str">
        <x:f>IF(C179="","",SUM(K179,Q179,W179,AC179,AI179,AO179,AU179,BA179,BG179,BM179,BS179))</x:f>
      </x:c>
      <x:c r="IO179" s="27" t="str">
        <x:f>IF(C179="","",SUM(L179,R179,X179,AD179,AJ179,AP179,AV179,BB179,BH179,BN179,BT179))</x:f>
      </x:c>
      <x:c r="IP179" s="27" t="str">
        <x:f>IF(C179="","",SUM(M179,S179,Y179,AE179,AK179,AQ179,AW179,BC179,BI179,BO179,BU179))</x:f>
      </x:c>
      <x:c r="IQ179" s="27" t="str">
        <x:f>IF(C179="","",SUM(BV179,CB179,CH179,CN179,CT179,CZ179,DF179,DL179,DR179,DX179,ED179))</x:f>
      </x:c>
      <x:c r="IR179" s="27" t="str">
        <x:f>IF(C179="","",SUM(BW179,CC179,CI179,CO179,CU179,DA179,DG179,DM179,DS179,DY179,EE179))</x:f>
      </x:c>
      <x:c r="IS179" s="27" t="str">
        <x:f>IF(C179="","",SUM(BX179,CD179,CJ179,CP179,CV179,DB179,DH179,DN179,DT179,DZ179,EF179))</x:f>
      </x:c>
      <x:c r="IT179" s="27" t="str">
        <x:f>IF(C179="","",SUM(BY179,CE179,CK179,CQ179,CW179,DC179,DI179,DO179,DU179,EA179,EG179))</x:f>
      </x:c>
      <x:c r="IU179" s="27" t="str">
        <x:f>IF(C179="","",SUM(BZ179,CF179,CL179,CR179,CX179,DD179,DJ179,DP179,DV179,EB179,EH179))</x:f>
      </x:c>
      <x:c r="IV179" s="27" t="str">
        <x:f>IF(C179="","",SUM(CA179,CG179,CM179,CS179,CY179,DE179,DK179,DQ179,DW179,EC179,EI179))</x:f>
      </x:c>
      <x:c r="IW179" s="27" t="str">
        <x:f>IF(C179="","",SUM(EJ179,EP179,EV179,FB179,FH179,FN179,FT179,FZ179,GF179,GL179,GR179,GX179,HD179,HJ179))</x:f>
      </x:c>
      <x:c r="IX179" s="27" t="str">
        <x:f>IF(C179="","",SUM(EK179,EQ179,EW179,FC179,FI179,FO179,FU179,GA179,GG179,GM179,GS179,GY179,HE179,HK179))</x:f>
      </x:c>
      <x:c r="IY179" s="27" t="str">
        <x:f>IF(C179="","",SUM(EL179,ER179,EX179,FD179,FJ179,FP179,FV179,GB179,GH179,GN179,GT179,GZ179,HF179,HL179))</x:f>
      </x:c>
      <x:c r="IZ179" s="27" t="str">
        <x:f>IF(C179="","",SUM(EM179,ES179,EY179,FE179,FK179,FQ179,FW179,GC179,GI179,GO179,GU179,HA179,HG179,HM179))</x:f>
      </x:c>
      <x:c r="JA179" s="27" t="str">
        <x:f>IF(C179="","",SUM(EN179,ET179,EZ179,FF179,FL179,FR179,FX179,GD179,GJ179,GP179,GV179,HB179,HH179,HN179))</x:f>
      </x:c>
      <x:c r="JB179" s="27" t="str">
        <x:f>IF(C179="","",SUM(EO179,EU179,FA179,FG179,FM179,FS179,FY179,GE179,GK179,GQ179,GW179,HC179,HI179,HO179))</x:f>
      </x:c>
      <x:c r="JC179" s="27" t="str">
        <x:f>IF(C179="","",0)</x:f>
      </x:c>
      <x:c r="JD179" s="27" t="str">
        <x:f>IF(C179="","",0)</x:f>
      </x:c>
      <x:c r="JE179" s="27" t="str">
        <x:f>IF(C179="","",0)</x:f>
      </x:c>
      <x:c r="JF179" s="27" t="str">
        <x:f>IF(C179="","",0)</x:f>
      </x:c>
      <x:c r="JG179" s="27" t="str">
        <x:f>IF(C179="","",0)</x:f>
      </x:c>
      <x:c r="JH179" s="27" t="str">
        <x:f>IF(C179="","",0)</x:f>
      </x:c>
      <x:c r="JI179" s="27" t="str">
        <x:f>IF(C179="","",HP179*1000000000+IW179*1000000+IQ179*10000+IK179*100+JC179+6/1000)</x:f>
      </x:c>
      <x:c r="JJ179" s="27" t="str">
        <x:f>IF(C179="","",HQ179*1000000000+IX179*1000000+IR179*10000+IL179*100+JD179+5/1000)</x:f>
      </x:c>
      <x:c r="JK179" s="27" t="str">
        <x:f>IF(C179="","",HR179*1000000000+IY179*1000000+IS179*10000+IM179*100+JE179+4/1000)</x:f>
      </x:c>
      <x:c r="JL179" s="27" t="str">
        <x:f>IF(C179="","",HS179*1000000000+IZ179*1000000+IT179*10000+IN179*100+JF179+3/1000)</x:f>
      </x:c>
      <x:c r="JM179" s="27" t="str">
        <x:f>IF(C179="","",HT179*1000000000+JA179*1000000+IU179*10000+IO179*100+JG179+2/1000)</x:f>
      </x:c>
      <x:c r="JN179" s="27" t="str">
        <x:f>IF(C179="","",HU179*1000000000+JB179*1000000+IV179*10000+IP179*100+JH179+1/1000)</x:f>
      </x:c>
    </x:row>
    <x:row r="180">
      <x:c r="A180" s="27"/>
      <x:c r="B180" s="28"/>
      <x:c r="C180" s="27"/>
      <x:c r="D180" s="27"/>
      <x:c r="E180" s="27"/>
      <x:c r="F180" s="27"/>
      <x:c r="G180" s="27"/>
      <x:c r="H180" s="27"/>
      <x:c r="I180" s="27"/>
      <x:c r="J180" s="27"/>
      <x:c r="K180" s="27"/>
      <x:c r="L180" s="27"/>
      <x:c r="M180" s="27"/>
      <x:c r="N180" s="27"/>
      <x:c r="O180" s="27"/>
      <x:c r="P180" s="27"/>
      <x:c r="Q180" s="27"/>
      <x:c r="R180" s="27"/>
      <x:c r="S180" s="27"/>
      <x:c r="T180" s="27"/>
      <x:c r="U180" s="27"/>
      <x:c r="V180" s="27"/>
      <x:c r="W180" s="27"/>
      <x:c r="X180" s="27"/>
      <x:c r="Y180" s="27"/>
      <x:c r="Z180" s="27"/>
      <x:c r="AA180" s="27"/>
      <x:c r="AB180" s="27"/>
      <x:c r="AC180" s="27"/>
      <x:c r="AD180" s="27"/>
      <x:c r="AE180" s="27"/>
      <x:c r="AF180" s="27"/>
      <x:c r="AG180" s="27"/>
      <x:c r="AH180" s="27"/>
      <x:c r="AI180" s="27"/>
      <x:c r="AJ180" s="27"/>
      <x:c r="AK180" s="27"/>
      <x:c r="AL180" s="27"/>
      <x:c r="AM180" s="27"/>
      <x:c r="AN180" s="27"/>
      <x:c r="AO180" s="27"/>
      <x:c r="AP180" s="27"/>
      <x:c r="AQ180" s="27"/>
      <x:c r="AR180" s="27"/>
      <x:c r="AS180" s="27"/>
      <x:c r="AT180" s="27"/>
      <x:c r="AU180" s="27"/>
      <x:c r="AV180" s="27"/>
      <x:c r="AW180" s="27"/>
      <x:c r="AX180" s="27"/>
      <x:c r="AY180" s="27"/>
      <x:c r="AZ180" s="27"/>
      <x:c r="BA180" s="27"/>
      <x:c r="BB180" s="27"/>
      <x:c r="BC180" s="27"/>
      <x:c r="BD180" s="27"/>
      <x:c r="BE180" s="27"/>
      <x:c r="BF180" s="27"/>
      <x:c r="BG180" s="27"/>
      <x:c r="BH180" s="27"/>
      <x:c r="BI180" s="27"/>
      <x:c r="BJ180" s="27"/>
      <x:c r="BK180" s="27"/>
      <x:c r="BL180" s="27"/>
      <x:c r="BM180" s="27"/>
      <x:c r="BN180" s="27"/>
      <x:c r="BO180" s="27"/>
      <x:c r="BP180" s="27"/>
      <x:c r="BQ180" s="27"/>
      <x:c r="BR180" s="27"/>
      <x:c r="BS180" s="27"/>
      <x:c r="BT180" s="27"/>
      <x:c r="BU180" s="27"/>
      <x:c r="BV180" s="27"/>
      <x:c r="BW180" s="27"/>
      <x:c r="BX180" s="27"/>
      <x:c r="BY180" s="27"/>
      <x:c r="BZ180" s="27"/>
      <x:c r="CA180" s="27"/>
      <x:c r="CB180" s="27"/>
      <x:c r="CC180" s="27"/>
      <x:c r="CD180" s="27"/>
      <x:c r="CE180" s="27"/>
      <x:c r="CF180" s="27"/>
      <x:c r="CG180" s="27"/>
      <x:c r="CH180" s="27"/>
      <x:c r="CI180" s="27"/>
      <x:c r="CJ180" s="27"/>
      <x:c r="CK180" s="27"/>
      <x:c r="CL180" s="27"/>
      <x:c r="CM180" s="27"/>
      <x:c r="CN180" s="27"/>
      <x:c r="CO180" s="27"/>
      <x:c r="CP180" s="27"/>
      <x:c r="CQ180" s="27"/>
      <x:c r="CR180" s="27"/>
      <x:c r="CS180" s="27"/>
      <x:c r="CT180" s="27"/>
      <x:c r="CU180" s="27"/>
      <x:c r="CV180" s="27"/>
      <x:c r="CW180" s="27"/>
      <x:c r="CX180" s="27"/>
      <x:c r="CY180" s="27"/>
      <x:c r="CZ180" s="27"/>
      <x:c r="DA180" s="27"/>
      <x:c r="DB180" s="27"/>
      <x:c r="DC180" s="27"/>
      <x:c r="DD180" s="27"/>
      <x:c r="DE180" s="27"/>
      <x:c r="DF180" s="27"/>
      <x:c r="DG180" s="27"/>
      <x:c r="DH180" s="27"/>
      <x:c r="DI180" s="27"/>
      <x:c r="DJ180" s="27"/>
      <x:c r="DK180" s="27"/>
      <x:c r="DL180" s="27"/>
      <x:c r="DM180" s="27"/>
      <x:c r="DN180" s="27"/>
      <x:c r="DO180" s="27"/>
      <x:c r="DP180" s="27"/>
      <x:c r="DQ180" s="27"/>
      <x:c r="DR180" s="27"/>
      <x:c r="DS180" s="27"/>
      <x:c r="DT180" s="27"/>
      <x:c r="DU180" s="27"/>
      <x:c r="DV180" s="27"/>
      <x:c r="DW180" s="27"/>
      <x:c r="DX180" s="27"/>
      <x:c r="DY180" s="27"/>
      <x:c r="DZ180" s="27"/>
      <x:c r="EA180" s="27"/>
      <x:c r="EB180" s="27"/>
      <x:c r="EC180" s="27"/>
      <x:c r="ED180" s="27"/>
      <x:c r="EE180" s="27"/>
      <x:c r="EF180" s="27"/>
      <x:c r="EG180" s="27"/>
      <x:c r="EH180" s="27"/>
      <x:c r="EI180" s="27"/>
      <x:c r="EJ180" s="27"/>
      <x:c r="EK180" s="27"/>
      <x:c r="EL180" s="27"/>
      <x:c r="EM180" s="27"/>
      <x:c r="EN180" s="27"/>
      <x:c r="EO180" s="27"/>
      <x:c r="EP180" s="27"/>
      <x:c r="EQ180" s="27"/>
      <x:c r="ER180" s="27"/>
      <x:c r="ES180" s="27"/>
      <x:c r="ET180" s="27"/>
      <x:c r="EU180" s="27"/>
      <x:c r="EV180" s="27"/>
      <x:c r="EW180" s="27"/>
      <x:c r="EX180" s="27"/>
      <x:c r="EY180" s="27"/>
      <x:c r="EZ180" s="27"/>
      <x:c r="FA180" s="27"/>
      <x:c r="FB180" s="27"/>
      <x:c r="FC180" s="27"/>
      <x:c r="FD180" s="27"/>
      <x:c r="FE180" s="27"/>
      <x:c r="FF180" s="27"/>
      <x:c r="FG180" s="27"/>
      <x:c r="FH180" s="27"/>
      <x:c r="FI180" s="27"/>
      <x:c r="FJ180" s="27"/>
      <x:c r="FK180" s="27"/>
      <x:c r="FL180" s="27"/>
      <x:c r="FM180" s="27"/>
      <x:c r="FN180" s="27"/>
      <x:c r="FO180" s="27"/>
      <x:c r="FP180" s="27"/>
      <x:c r="FQ180" s="27"/>
      <x:c r="FR180" s="27"/>
      <x:c r="FS180" s="27"/>
      <x:c r="FT180" s="27"/>
      <x:c r="FU180" s="27"/>
      <x:c r="FV180" s="27"/>
      <x:c r="FW180" s="27"/>
      <x:c r="FX180" s="27"/>
      <x:c r="FY180" s="27"/>
      <x:c r="FZ180" s="27"/>
      <x:c r="GA180" s="27"/>
      <x:c r="GB180" s="27"/>
      <x:c r="GC180" s="27"/>
      <x:c r="GD180" s="27"/>
      <x:c r="GE180" s="27"/>
      <x:c r="GF180" s="27"/>
      <x:c r="GG180" s="27"/>
      <x:c r="GH180" s="27"/>
      <x:c r="GI180" s="27"/>
      <x:c r="GJ180" s="27"/>
      <x:c r="GK180" s="27"/>
      <x:c r="GL180" s="27"/>
      <x:c r="GM180" s="27"/>
      <x:c r="GN180" s="27"/>
      <x:c r="GO180" s="27"/>
      <x:c r="GP180" s="27"/>
      <x:c r="GQ180" s="27"/>
      <x:c r="GR180" s="27"/>
      <x:c r="GS180" s="27"/>
      <x:c r="GT180" s="27"/>
      <x:c r="GU180" s="27"/>
      <x:c r="GV180" s="27"/>
      <x:c r="GW180" s="27"/>
      <x:c r="GX180" s="27"/>
      <x:c r="GY180" s="27"/>
      <x:c r="GZ180" s="27"/>
      <x:c r="HA180" s="27"/>
      <x:c r="HB180" s="27"/>
      <x:c r="HC180" s="27"/>
      <x:c r="HD180" s="27"/>
      <x:c r="HE180" s="27"/>
      <x:c r="HF180" s="27"/>
      <x:c r="HG180" s="27"/>
      <x:c r="HH180" s="27"/>
      <x:c r="HI180" s="27"/>
      <x:c r="HJ180" s="27"/>
      <x:c r="HK180" s="27"/>
      <x:c r="HL180" s="27"/>
      <x:c r="HM180" s="27"/>
      <x:c r="HN180" s="27"/>
      <x:c r="HO180" s="27"/>
      <x:c r="HP180" s="27" t="str">
        <x:f>IF(C180="","",SUM(H180,N180,T180,Z180,AF180,AL180,AR180,AX180,BD180,BJ180,BP180,BV180,CB180,CH180,CN180,CT180,CZ180,DF180,DL180,DR180,DX180,ED180,EJ180,EP180,EV180,FB180,FH180,FN180,FT180,FZ180,GF180,GL180,GR180,GX180,HD180,HJ180))</x:f>
      </x:c>
      <x:c r="HQ180" s="27" t="str">
        <x:f>IF(C180="","",SUM(I180,O180,U180,AA180,AG180,AM180,AS180,AY180,BE180,BK180,BQ180,BW180,CC180,CI180,CO180,CU180,DA180,DG180,DM180,DS180,DY180,EE180,EK180,EQ180,EW180,FC180,FI180,FO180,FU180,GA180,GG180,GM180,GS180,GY180,HE180,HK180))</x:f>
      </x:c>
      <x:c r="HR180" s="27" t="str">
        <x:f>IF(C180="","",SUM(J180,P180,V180,AB180,AH180,AN180,AT180,AZ180,BF180,BL180,BR180,BX180,CD180,CJ180,CP180,CV180,DB180,DH180,DN180,DT180,DZ180,EF180,EL180,ER180,EX180,FD180,FJ180,FP180,FV180,GB180,GH180,GN180,GT180,GZ180,HF180,HL180))</x:f>
      </x:c>
      <x:c r="HS180" s="27" t="str">
        <x:f>IF(C180="","",SUM(K180,Q180,W180,AC180,AI180,AO180,AU180,BA180,BG180,BM180,BS180,BY180,CE180,CK180,CQ180,CW180,DC180,DI180,DO180,DU180,EA180,EG180,EM180,ES180,EY180,FE180,FK180,FQ180,FW180,GC180,GI180,GO180,GU180,HA180,HG180,HM180))</x:f>
      </x:c>
      <x:c r="HT180" s="27" t="str">
        <x:f>IF(C180="","",SUM(L180,R180,X180,AD180,AJ180,AP180,AV180,BB180,BH180,BN180,BT180,BZ180,CF180,CL180,CR180,CX180,DD180,DJ180,DP180,DV180,EB180,EH180,EN180,ET180,EZ180,FF180,FL180,FR180,FX180,GD180,GJ180,GP180,GV180,HB180,HH180,HN180))</x:f>
      </x:c>
      <x:c r="HU180" s="27" t="str">
        <x:f>IF(C180="","",SUM(M180,S180,Y180,AE180,AK180,AQ180,AW180,BC180,BI180,BO180,BU180,CA180,CG180,CM180,CS180,CY180,DE180,DK180,DQ180,DW180,EC180,EI180,EO180,EU180,FA180,FG180,FM180,FS180,FY180,GE180,GK180,GQ180,GW180,HC180,HI180,HO180))</x:f>
      </x:c>
      <x:c r="HV180" s="27" t="str">
        <x:f>IF(C180="","",IF(JI180=LARGE(JI180:JN180,1),"R",IF(JJ180=LARGE(JI180:JN180,1),"I",IF(JK180=LARGE(JI180:JN180,1),"A",IF(JL180=LARGE(JI180:JN180,1),"S",IF(JM180=LARGE(JI180:JN180,1),"E",IF(JN180=LARGE(JI180:JN180,1),"C",""))))))&amp;IF(JI180=LARGE(JI180:JN180,2),"R",IF(JJ180=LARGE(JI180:JN180,2),"I",IF(JK180=LARGE(JI180:JN180,2),"A",IF(JL180=LARGE(JI180:JN180,2),"S",IF(JM180=LARGE(JI180:JN180,2),"E",IF(JN180=LARGE(JI180:JN180,2),"C",""))))))&amp;IF(JI180=LARGE(JI180:JN180,3),"R",IF(JJ180=LARGE(JI180:JN180,3),"I",IF(JK180=LARGE(JI180:JN180,3),"A",IF(JL180=LARGE(JI180:JN180,3),"S",IF(JM180=LARGE(JI180:JN180,3),"E",IF(JN180=LARGE(JI180:JN180,3),"C","")))))))</x:f>
      </x:c>
      <x:c r="HW180" s="27" t="str">
        <x:f>IF(C180="","",IF(JI180=LARGE(JI180:JN180,1),"นักปฏิบัติ",IF(JJ180=LARGE(JI180:JN180,1),"นักคิดวิเคราะห์",IF(JK180=LARGE(JI180:JN180,1),"นักสร้างสรรค์",IF(JL180=LARGE(JI180:JN180,1),"ผู้เข้าใจผู้คน",IF(JM180=LARGE(JI180:JN180,1),"ผู้นำการเปลี่ยนแปลง",IF(JN180=LARGE(JI180:JN180,1),"ผู้จัดระบบ","ผู้จัดระบบ")))))))</x:f>
      </x:c>
      <x:c r="HX180" s="27"/>
      <x:c r="HY180" s="27"/>
      <x:c r="HZ180" s="27"/>
      <x:c r="IA180" s="27"/>
      <x:c r="IB180" s="27"/>
      <x:c r="IC180" s="27"/>
      <x:c r="ID180" s="27"/>
      <x:c r="IE180" s="27"/>
      <x:c r="IF180" s="27"/>
      <x:c r="IG180" s="27"/>
      <x:c r="IH180" s="27"/>
      <x:c r="II180" s="27"/>
      <x:c r="IJ180" s="27"/>
      <x:c r="IK180" s="27" t="str">
        <x:f>IF(C180="","",SUM(H180,N180,T180,Z180,AF180,AL180,AR180,AX180,BD180,BJ180,BP180))</x:f>
      </x:c>
      <x:c r="IL180" s="27" t="str">
        <x:f>IF(C180="","",SUM(I180,O180,U180,AA180,AG180,AM180,AS180,AY180,BE180,BK180,BQ180))</x:f>
      </x:c>
      <x:c r="IM180" s="27" t="str">
        <x:f>IF(C180="","",SUM(J180,P180,V180,AB180,AH180,AN180,AT180,AZ180,BF180,BL180,BR180))</x:f>
      </x:c>
      <x:c r="IN180" s="27" t="str">
        <x:f>IF(C180="","",SUM(K180,Q180,W180,AC180,AI180,AO180,AU180,BA180,BG180,BM180,BS180))</x:f>
      </x:c>
      <x:c r="IO180" s="27" t="str">
        <x:f>IF(C180="","",SUM(L180,R180,X180,AD180,AJ180,AP180,AV180,BB180,BH180,BN180,BT180))</x:f>
      </x:c>
      <x:c r="IP180" s="27" t="str">
        <x:f>IF(C180="","",SUM(M180,S180,Y180,AE180,AK180,AQ180,AW180,BC180,BI180,BO180,BU180))</x:f>
      </x:c>
      <x:c r="IQ180" s="27" t="str">
        <x:f>IF(C180="","",SUM(BV180,CB180,CH180,CN180,CT180,CZ180,DF180,DL180,DR180,DX180,ED180))</x:f>
      </x:c>
      <x:c r="IR180" s="27" t="str">
        <x:f>IF(C180="","",SUM(BW180,CC180,CI180,CO180,CU180,DA180,DG180,DM180,DS180,DY180,EE180))</x:f>
      </x:c>
      <x:c r="IS180" s="27" t="str">
        <x:f>IF(C180="","",SUM(BX180,CD180,CJ180,CP180,CV180,DB180,DH180,DN180,DT180,DZ180,EF180))</x:f>
      </x:c>
      <x:c r="IT180" s="27" t="str">
        <x:f>IF(C180="","",SUM(BY180,CE180,CK180,CQ180,CW180,DC180,DI180,DO180,DU180,EA180,EG180))</x:f>
      </x:c>
      <x:c r="IU180" s="27" t="str">
        <x:f>IF(C180="","",SUM(BZ180,CF180,CL180,CR180,CX180,DD180,DJ180,DP180,DV180,EB180,EH180))</x:f>
      </x:c>
      <x:c r="IV180" s="27" t="str">
        <x:f>IF(C180="","",SUM(CA180,CG180,CM180,CS180,CY180,DE180,DK180,DQ180,DW180,EC180,EI180))</x:f>
      </x:c>
      <x:c r="IW180" s="27" t="str">
        <x:f>IF(C180="","",SUM(EJ180,EP180,EV180,FB180,FH180,FN180,FT180,FZ180,GF180,GL180,GR180,GX180,HD180,HJ180))</x:f>
      </x:c>
      <x:c r="IX180" s="27" t="str">
        <x:f>IF(C180="","",SUM(EK180,EQ180,EW180,FC180,FI180,FO180,FU180,GA180,GG180,GM180,GS180,GY180,HE180,HK180))</x:f>
      </x:c>
      <x:c r="IY180" s="27" t="str">
        <x:f>IF(C180="","",SUM(EL180,ER180,EX180,FD180,FJ180,FP180,FV180,GB180,GH180,GN180,GT180,GZ180,HF180,HL180))</x:f>
      </x:c>
      <x:c r="IZ180" s="27" t="str">
        <x:f>IF(C180="","",SUM(EM180,ES180,EY180,FE180,FK180,FQ180,FW180,GC180,GI180,GO180,GU180,HA180,HG180,HM180))</x:f>
      </x:c>
      <x:c r="JA180" s="27" t="str">
        <x:f>IF(C180="","",SUM(EN180,ET180,EZ180,FF180,FL180,FR180,FX180,GD180,GJ180,GP180,GV180,HB180,HH180,HN180))</x:f>
      </x:c>
      <x:c r="JB180" s="27" t="str">
        <x:f>IF(C180="","",SUM(EO180,EU180,FA180,FG180,FM180,FS180,FY180,GE180,GK180,GQ180,GW180,HC180,HI180,HO180))</x:f>
      </x:c>
      <x:c r="JC180" s="27" t="str">
        <x:f>IF(C180="","",0)</x:f>
      </x:c>
      <x:c r="JD180" s="27" t="str">
        <x:f>IF(C180="","",0)</x:f>
      </x:c>
      <x:c r="JE180" s="27" t="str">
        <x:f>IF(C180="","",0)</x:f>
      </x:c>
      <x:c r="JF180" s="27" t="str">
        <x:f>IF(C180="","",0)</x:f>
      </x:c>
      <x:c r="JG180" s="27" t="str">
        <x:f>IF(C180="","",0)</x:f>
      </x:c>
      <x:c r="JH180" s="27" t="str">
        <x:f>IF(C180="","",0)</x:f>
      </x:c>
      <x:c r="JI180" s="27" t="str">
        <x:f>IF(C180="","",HP180*1000000000+IW180*1000000+IQ180*10000+IK180*100+JC180+6/1000)</x:f>
      </x:c>
      <x:c r="JJ180" s="27" t="str">
        <x:f>IF(C180="","",HQ180*1000000000+IX180*1000000+IR180*10000+IL180*100+JD180+5/1000)</x:f>
      </x:c>
      <x:c r="JK180" s="27" t="str">
        <x:f>IF(C180="","",HR180*1000000000+IY180*1000000+IS180*10000+IM180*100+JE180+4/1000)</x:f>
      </x:c>
      <x:c r="JL180" s="27" t="str">
        <x:f>IF(C180="","",HS180*1000000000+IZ180*1000000+IT180*10000+IN180*100+JF180+3/1000)</x:f>
      </x:c>
      <x:c r="JM180" s="27" t="str">
        <x:f>IF(C180="","",HT180*1000000000+JA180*1000000+IU180*10000+IO180*100+JG180+2/1000)</x:f>
      </x:c>
      <x:c r="JN180" s="27" t="str">
        <x:f>IF(C180="","",HU180*1000000000+JB180*1000000+IV180*10000+IP180*100+JH180+1/1000)</x:f>
      </x:c>
    </x:row>
    <x:row r="181">
      <x:c r="A181" s="27"/>
      <x:c r="B181" s="28"/>
      <x:c r="C181" s="27"/>
      <x:c r="D181" s="27"/>
      <x:c r="E181" s="27"/>
      <x:c r="F181" s="27"/>
      <x:c r="G181" s="27"/>
      <x:c r="H181" s="27"/>
      <x:c r="I181" s="27"/>
      <x:c r="J181" s="27"/>
      <x:c r="K181" s="27"/>
      <x:c r="L181" s="27"/>
      <x:c r="M181" s="27"/>
      <x:c r="N181" s="27"/>
      <x:c r="O181" s="27"/>
      <x:c r="P181" s="27"/>
      <x:c r="Q181" s="27"/>
      <x:c r="R181" s="27"/>
      <x:c r="S181" s="27"/>
      <x:c r="T181" s="27"/>
      <x:c r="U181" s="27"/>
      <x:c r="V181" s="27"/>
      <x:c r="W181" s="27"/>
      <x:c r="X181" s="27"/>
      <x:c r="Y181" s="27"/>
      <x:c r="Z181" s="27"/>
      <x:c r="AA181" s="27"/>
      <x:c r="AB181" s="27"/>
      <x:c r="AC181" s="27"/>
      <x:c r="AD181" s="27"/>
      <x:c r="AE181" s="27"/>
      <x:c r="AF181" s="27"/>
      <x:c r="AG181" s="27"/>
      <x:c r="AH181" s="27"/>
      <x:c r="AI181" s="27"/>
      <x:c r="AJ181" s="27"/>
      <x:c r="AK181" s="27"/>
      <x:c r="AL181" s="27"/>
      <x:c r="AM181" s="27"/>
      <x:c r="AN181" s="27"/>
      <x:c r="AO181" s="27"/>
      <x:c r="AP181" s="27"/>
      <x:c r="AQ181" s="27"/>
      <x:c r="AR181" s="27"/>
      <x:c r="AS181" s="27"/>
      <x:c r="AT181" s="27"/>
      <x:c r="AU181" s="27"/>
      <x:c r="AV181" s="27"/>
      <x:c r="AW181" s="27"/>
      <x:c r="AX181" s="27"/>
      <x:c r="AY181" s="27"/>
      <x:c r="AZ181" s="27"/>
      <x:c r="BA181" s="27"/>
      <x:c r="BB181" s="27"/>
      <x:c r="BC181" s="27"/>
      <x:c r="BD181" s="27"/>
      <x:c r="BE181" s="27"/>
      <x:c r="BF181" s="27"/>
      <x:c r="BG181" s="27"/>
      <x:c r="BH181" s="27"/>
      <x:c r="BI181" s="27"/>
      <x:c r="BJ181" s="27"/>
      <x:c r="BK181" s="27"/>
      <x:c r="BL181" s="27"/>
      <x:c r="BM181" s="27"/>
      <x:c r="BN181" s="27"/>
      <x:c r="BO181" s="27"/>
      <x:c r="BP181" s="27"/>
      <x:c r="BQ181" s="27"/>
      <x:c r="BR181" s="27"/>
      <x:c r="BS181" s="27"/>
      <x:c r="BT181" s="27"/>
      <x:c r="BU181" s="27"/>
      <x:c r="BV181" s="27"/>
      <x:c r="BW181" s="27"/>
      <x:c r="BX181" s="27"/>
      <x:c r="BY181" s="27"/>
      <x:c r="BZ181" s="27"/>
      <x:c r="CA181" s="27"/>
      <x:c r="CB181" s="27"/>
      <x:c r="CC181" s="27"/>
      <x:c r="CD181" s="27"/>
      <x:c r="CE181" s="27"/>
      <x:c r="CF181" s="27"/>
      <x:c r="CG181" s="27"/>
      <x:c r="CH181" s="27"/>
      <x:c r="CI181" s="27"/>
      <x:c r="CJ181" s="27"/>
      <x:c r="CK181" s="27"/>
      <x:c r="CL181" s="27"/>
      <x:c r="CM181" s="27"/>
      <x:c r="CN181" s="27"/>
      <x:c r="CO181" s="27"/>
      <x:c r="CP181" s="27"/>
      <x:c r="CQ181" s="27"/>
      <x:c r="CR181" s="27"/>
      <x:c r="CS181" s="27"/>
      <x:c r="CT181" s="27"/>
      <x:c r="CU181" s="27"/>
      <x:c r="CV181" s="27"/>
      <x:c r="CW181" s="27"/>
      <x:c r="CX181" s="27"/>
      <x:c r="CY181" s="27"/>
      <x:c r="CZ181" s="27"/>
      <x:c r="DA181" s="27"/>
      <x:c r="DB181" s="27"/>
      <x:c r="DC181" s="27"/>
      <x:c r="DD181" s="27"/>
      <x:c r="DE181" s="27"/>
      <x:c r="DF181" s="27"/>
      <x:c r="DG181" s="27"/>
      <x:c r="DH181" s="27"/>
      <x:c r="DI181" s="27"/>
      <x:c r="DJ181" s="27"/>
      <x:c r="DK181" s="27"/>
      <x:c r="DL181" s="27"/>
      <x:c r="DM181" s="27"/>
      <x:c r="DN181" s="27"/>
      <x:c r="DO181" s="27"/>
      <x:c r="DP181" s="27"/>
      <x:c r="DQ181" s="27"/>
      <x:c r="DR181" s="27"/>
      <x:c r="DS181" s="27"/>
      <x:c r="DT181" s="27"/>
      <x:c r="DU181" s="27"/>
      <x:c r="DV181" s="27"/>
      <x:c r="DW181" s="27"/>
      <x:c r="DX181" s="27"/>
      <x:c r="DY181" s="27"/>
      <x:c r="DZ181" s="27"/>
      <x:c r="EA181" s="27"/>
      <x:c r="EB181" s="27"/>
      <x:c r="EC181" s="27"/>
      <x:c r="ED181" s="27"/>
      <x:c r="EE181" s="27"/>
      <x:c r="EF181" s="27"/>
      <x:c r="EG181" s="27"/>
      <x:c r="EH181" s="27"/>
      <x:c r="EI181" s="27"/>
      <x:c r="EJ181" s="27"/>
      <x:c r="EK181" s="27"/>
      <x:c r="EL181" s="27"/>
      <x:c r="EM181" s="27"/>
      <x:c r="EN181" s="27"/>
      <x:c r="EO181" s="27"/>
      <x:c r="EP181" s="27"/>
      <x:c r="EQ181" s="27"/>
      <x:c r="ER181" s="27"/>
      <x:c r="ES181" s="27"/>
      <x:c r="ET181" s="27"/>
      <x:c r="EU181" s="27"/>
      <x:c r="EV181" s="27"/>
      <x:c r="EW181" s="27"/>
      <x:c r="EX181" s="27"/>
      <x:c r="EY181" s="27"/>
      <x:c r="EZ181" s="27"/>
      <x:c r="FA181" s="27"/>
      <x:c r="FB181" s="27"/>
      <x:c r="FC181" s="27"/>
      <x:c r="FD181" s="27"/>
      <x:c r="FE181" s="27"/>
      <x:c r="FF181" s="27"/>
      <x:c r="FG181" s="27"/>
      <x:c r="FH181" s="27"/>
      <x:c r="FI181" s="27"/>
      <x:c r="FJ181" s="27"/>
      <x:c r="FK181" s="27"/>
      <x:c r="FL181" s="27"/>
      <x:c r="FM181" s="27"/>
      <x:c r="FN181" s="27"/>
      <x:c r="FO181" s="27"/>
      <x:c r="FP181" s="27"/>
      <x:c r="FQ181" s="27"/>
      <x:c r="FR181" s="27"/>
      <x:c r="FS181" s="27"/>
      <x:c r="FT181" s="27"/>
      <x:c r="FU181" s="27"/>
      <x:c r="FV181" s="27"/>
      <x:c r="FW181" s="27"/>
      <x:c r="FX181" s="27"/>
      <x:c r="FY181" s="27"/>
      <x:c r="FZ181" s="27"/>
      <x:c r="GA181" s="27"/>
      <x:c r="GB181" s="27"/>
      <x:c r="GC181" s="27"/>
      <x:c r="GD181" s="27"/>
      <x:c r="GE181" s="27"/>
      <x:c r="GF181" s="27"/>
      <x:c r="GG181" s="27"/>
      <x:c r="GH181" s="27"/>
      <x:c r="GI181" s="27"/>
      <x:c r="GJ181" s="27"/>
      <x:c r="GK181" s="27"/>
      <x:c r="GL181" s="27"/>
      <x:c r="GM181" s="27"/>
      <x:c r="GN181" s="27"/>
      <x:c r="GO181" s="27"/>
      <x:c r="GP181" s="27"/>
      <x:c r="GQ181" s="27"/>
      <x:c r="GR181" s="27"/>
      <x:c r="GS181" s="27"/>
      <x:c r="GT181" s="27"/>
      <x:c r="GU181" s="27"/>
      <x:c r="GV181" s="27"/>
      <x:c r="GW181" s="27"/>
      <x:c r="GX181" s="27"/>
      <x:c r="GY181" s="27"/>
      <x:c r="GZ181" s="27"/>
      <x:c r="HA181" s="27"/>
      <x:c r="HB181" s="27"/>
      <x:c r="HC181" s="27"/>
      <x:c r="HD181" s="27"/>
      <x:c r="HE181" s="27"/>
      <x:c r="HF181" s="27"/>
      <x:c r="HG181" s="27"/>
      <x:c r="HH181" s="27"/>
      <x:c r="HI181" s="27"/>
      <x:c r="HJ181" s="27"/>
      <x:c r="HK181" s="27"/>
      <x:c r="HL181" s="27"/>
      <x:c r="HM181" s="27"/>
      <x:c r="HN181" s="27"/>
      <x:c r="HO181" s="27"/>
      <x:c r="HP181" s="27" t="str">
        <x:f>IF(C181="","",SUM(H181,N181,T181,Z181,AF181,AL181,AR181,AX181,BD181,BJ181,BP181,BV181,CB181,CH181,CN181,CT181,CZ181,DF181,DL181,DR181,DX181,ED181,EJ181,EP181,EV181,FB181,FH181,FN181,FT181,FZ181,GF181,GL181,GR181,GX181,HD181,HJ181))</x:f>
      </x:c>
      <x:c r="HQ181" s="27" t="str">
        <x:f>IF(C181="","",SUM(I181,O181,U181,AA181,AG181,AM181,AS181,AY181,BE181,BK181,BQ181,BW181,CC181,CI181,CO181,CU181,DA181,DG181,DM181,DS181,DY181,EE181,EK181,EQ181,EW181,FC181,FI181,FO181,FU181,GA181,GG181,GM181,GS181,GY181,HE181,HK181))</x:f>
      </x:c>
      <x:c r="HR181" s="27" t="str">
        <x:f>IF(C181="","",SUM(J181,P181,V181,AB181,AH181,AN181,AT181,AZ181,BF181,BL181,BR181,BX181,CD181,CJ181,CP181,CV181,DB181,DH181,DN181,DT181,DZ181,EF181,EL181,ER181,EX181,FD181,FJ181,FP181,FV181,GB181,GH181,GN181,GT181,GZ181,HF181,HL181))</x:f>
      </x:c>
      <x:c r="HS181" s="27" t="str">
        <x:f>IF(C181="","",SUM(K181,Q181,W181,AC181,AI181,AO181,AU181,BA181,BG181,BM181,BS181,BY181,CE181,CK181,CQ181,CW181,DC181,DI181,DO181,DU181,EA181,EG181,EM181,ES181,EY181,FE181,FK181,FQ181,FW181,GC181,GI181,GO181,GU181,HA181,HG181,HM181))</x:f>
      </x:c>
      <x:c r="HT181" s="27" t="str">
        <x:f>IF(C181="","",SUM(L181,R181,X181,AD181,AJ181,AP181,AV181,BB181,BH181,BN181,BT181,BZ181,CF181,CL181,CR181,CX181,DD181,DJ181,DP181,DV181,EB181,EH181,EN181,ET181,EZ181,FF181,FL181,FR181,FX181,GD181,GJ181,GP181,GV181,HB181,HH181,HN181))</x:f>
      </x:c>
      <x:c r="HU181" s="27" t="str">
        <x:f>IF(C181="","",SUM(M181,S181,Y181,AE181,AK181,AQ181,AW181,BC181,BI181,BO181,BU181,CA181,CG181,CM181,CS181,CY181,DE181,DK181,DQ181,DW181,EC181,EI181,EO181,EU181,FA181,FG181,FM181,FS181,FY181,GE181,GK181,GQ181,GW181,HC181,HI181,HO181))</x:f>
      </x:c>
      <x:c r="HV181" s="27" t="str">
        <x:f>IF(C181="","",IF(JI181=LARGE(JI181:JN181,1),"R",IF(JJ181=LARGE(JI181:JN181,1),"I",IF(JK181=LARGE(JI181:JN181,1),"A",IF(JL181=LARGE(JI181:JN181,1),"S",IF(JM181=LARGE(JI181:JN181,1),"E",IF(JN181=LARGE(JI181:JN181,1),"C",""))))))&amp;IF(JI181=LARGE(JI181:JN181,2),"R",IF(JJ181=LARGE(JI181:JN181,2),"I",IF(JK181=LARGE(JI181:JN181,2),"A",IF(JL181=LARGE(JI181:JN181,2),"S",IF(JM181=LARGE(JI181:JN181,2),"E",IF(JN181=LARGE(JI181:JN181,2),"C",""))))))&amp;IF(JI181=LARGE(JI181:JN181,3),"R",IF(JJ181=LARGE(JI181:JN181,3),"I",IF(JK181=LARGE(JI181:JN181,3),"A",IF(JL181=LARGE(JI181:JN181,3),"S",IF(JM181=LARGE(JI181:JN181,3),"E",IF(JN181=LARGE(JI181:JN181,3),"C","")))))))</x:f>
      </x:c>
      <x:c r="HW181" s="27" t="str">
        <x:f>IF(C181="","",IF(JI181=LARGE(JI181:JN181,1),"นักปฏิบัติ",IF(JJ181=LARGE(JI181:JN181,1),"นักคิดวิเคราะห์",IF(JK181=LARGE(JI181:JN181,1),"นักสร้างสรรค์",IF(JL181=LARGE(JI181:JN181,1),"ผู้เข้าใจผู้คน",IF(JM181=LARGE(JI181:JN181,1),"ผู้นำการเปลี่ยนแปลง",IF(JN181=LARGE(JI181:JN181,1),"ผู้จัดระบบ","ผู้จัดระบบ")))))))</x:f>
      </x:c>
      <x:c r="HX181" s="27"/>
      <x:c r="HY181" s="27"/>
      <x:c r="HZ181" s="27"/>
      <x:c r="IA181" s="27"/>
      <x:c r="IB181" s="27"/>
      <x:c r="IC181" s="27"/>
      <x:c r="ID181" s="27"/>
      <x:c r="IE181" s="27"/>
      <x:c r="IF181" s="27"/>
      <x:c r="IG181" s="27"/>
      <x:c r="IH181" s="27"/>
      <x:c r="II181" s="27"/>
      <x:c r="IJ181" s="27"/>
      <x:c r="IK181" s="27" t="str">
        <x:f>IF(C181="","",SUM(H181,N181,T181,Z181,AF181,AL181,AR181,AX181,BD181,BJ181,BP181))</x:f>
      </x:c>
      <x:c r="IL181" s="27" t="str">
        <x:f>IF(C181="","",SUM(I181,O181,U181,AA181,AG181,AM181,AS181,AY181,BE181,BK181,BQ181))</x:f>
      </x:c>
      <x:c r="IM181" s="27" t="str">
        <x:f>IF(C181="","",SUM(J181,P181,V181,AB181,AH181,AN181,AT181,AZ181,BF181,BL181,BR181))</x:f>
      </x:c>
      <x:c r="IN181" s="27" t="str">
        <x:f>IF(C181="","",SUM(K181,Q181,W181,AC181,AI181,AO181,AU181,BA181,BG181,BM181,BS181))</x:f>
      </x:c>
      <x:c r="IO181" s="27" t="str">
        <x:f>IF(C181="","",SUM(L181,R181,X181,AD181,AJ181,AP181,AV181,BB181,BH181,BN181,BT181))</x:f>
      </x:c>
      <x:c r="IP181" s="27" t="str">
        <x:f>IF(C181="","",SUM(M181,S181,Y181,AE181,AK181,AQ181,AW181,BC181,BI181,BO181,BU181))</x:f>
      </x:c>
      <x:c r="IQ181" s="27" t="str">
        <x:f>IF(C181="","",SUM(BV181,CB181,CH181,CN181,CT181,CZ181,DF181,DL181,DR181,DX181,ED181))</x:f>
      </x:c>
      <x:c r="IR181" s="27" t="str">
        <x:f>IF(C181="","",SUM(BW181,CC181,CI181,CO181,CU181,DA181,DG181,DM181,DS181,DY181,EE181))</x:f>
      </x:c>
      <x:c r="IS181" s="27" t="str">
        <x:f>IF(C181="","",SUM(BX181,CD181,CJ181,CP181,CV181,DB181,DH181,DN181,DT181,DZ181,EF181))</x:f>
      </x:c>
      <x:c r="IT181" s="27" t="str">
        <x:f>IF(C181="","",SUM(BY181,CE181,CK181,CQ181,CW181,DC181,DI181,DO181,DU181,EA181,EG181))</x:f>
      </x:c>
      <x:c r="IU181" s="27" t="str">
        <x:f>IF(C181="","",SUM(BZ181,CF181,CL181,CR181,CX181,DD181,DJ181,DP181,DV181,EB181,EH181))</x:f>
      </x:c>
      <x:c r="IV181" s="27" t="str">
        <x:f>IF(C181="","",SUM(CA181,CG181,CM181,CS181,CY181,DE181,DK181,DQ181,DW181,EC181,EI181))</x:f>
      </x:c>
      <x:c r="IW181" s="27" t="str">
        <x:f>IF(C181="","",SUM(EJ181,EP181,EV181,FB181,FH181,FN181,FT181,FZ181,GF181,GL181,GR181,GX181,HD181,HJ181))</x:f>
      </x:c>
      <x:c r="IX181" s="27" t="str">
        <x:f>IF(C181="","",SUM(EK181,EQ181,EW181,FC181,FI181,FO181,FU181,GA181,GG181,GM181,GS181,GY181,HE181,HK181))</x:f>
      </x:c>
      <x:c r="IY181" s="27" t="str">
        <x:f>IF(C181="","",SUM(EL181,ER181,EX181,FD181,FJ181,FP181,FV181,GB181,GH181,GN181,GT181,GZ181,HF181,HL181))</x:f>
      </x:c>
      <x:c r="IZ181" s="27" t="str">
        <x:f>IF(C181="","",SUM(EM181,ES181,EY181,FE181,FK181,FQ181,FW181,GC181,GI181,GO181,GU181,HA181,HG181,HM181))</x:f>
      </x:c>
      <x:c r="JA181" s="27" t="str">
        <x:f>IF(C181="","",SUM(EN181,ET181,EZ181,FF181,FL181,FR181,FX181,GD181,GJ181,GP181,GV181,HB181,HH181,HN181))</x:f>
      </x:c>
      <x:c r="JB181" s="27" t="str">
        <x:f>IF(C181="","",SUM(EO181,EU181,FA181,FG181,FM181,FS181,FY181,GE181,GK181,GQ181,GW181,HC181,HI181,HO181))</x:f>
      </x:c>
      <x:c r="JC181" s="27" t="str">
        <x:f>IF(C181="","",0)</x:f>
      </x:c>
      <x:c r="JD181" s="27" t="str">
        <x:f>IF(C181="","",0)</x:f>
      </x:c>
      <x:c r="JE181" s="27" t="str">
        <x:f>IF(C181="","",0)</x:f>
      </x:c>
      <x:c r="JF181" s="27" t="str">
        <x:f>IF(C181="","",0)</x:f>
      </x:c>
      <x:c r="JG181" s="27" t="str">
        <x:f>IF(C181="","",0)</x:f>
      </x:c>
      <x:c r="JH181" s="27" t="str">
        <x:f>IF(C181="","",0)</x:f>
      </x:c>
      <x:c r="JI181" s="27" t="str">
        <x:f>IF(C181="","",HP181*1000000000+IW181*1000000+IQ181*10000+IK181*100+JC181+6/1000)</x:f>
      </x:c>
      <x:c r="JJ181" s="27" t="str">
        <x:f>IF(C181="","",HQ181*1000000000+IX181*1000000+IR181*10000+IL181*100+JD181+5/1000)</x:f>
      </x:c>
      <x:c r="JK181" s="27" t="str">
        <x:f>IF(C181="","",HR181*1000000000+IY181*1000000+IS181*10000+IM181*100+JE181+4/1000)</x:f>
      </x:c>
      <x:c r="JL181" s="27" t="str">
        <x:f>IF(C181="","",HS181*1000000000+IZ181*1000000+IT181*10000+IN181*100+JF181+3/1000)</x:f>
      </x:c>
      <x:c r="JM181" s="27" t="str">
        <x:f>IF(C181="","",HT181*1000000000+JA181*1000000+IU181*10000+IO181*100+JG181+2/1000)</x:f>
      </x:c>
      <x:c r="JN181" s="27" t="str">
        <x:f>IF(C181="","",HU181*1000000000+JB181*1000000+IV181*10000+IP181*100+JH181+1/1000)</x:f>
      </x:c>
    </x:row>
    <x:row r="182">
      <x:c r="A182" s="27"/>
      <x:c r="B182" s="28"/>
      <x:c r="C182" s="27"/>
      <x:c r="D182" s="27"/>
      <x:c r="E182" s="27"/>
      <x:c r="F182" s="27"/>
      <x:c r="G182" s="27"/>
      <x:c r="H182" s="27"/>
      <x:c r="I182" s="27"/>
      <x:c r="J182" s="27"/>
      <x:c r="K182" s="27"/>
      <x:c r="L182" s="27"/>
      <x:c r="M182" s="27"/>
      <x:c r="N182" s="27"/>
      <x:c r="O182" s="27"/>
      <x:c r="P182" s="27"/>
      <x:c r="Q182" s="27"/>
      <x:c r="R182" s="27"/>
      <x:c r="S182" s="27"/>
      <x:c r="T182" s="27"/>
      <x:c r="U182" s="27"/>
      <x:c r="V182" s="27"/>
      <x:c r="W182" s="27"/>
      <x:c r="X182" s="27"/>
      <x:c r="Y182" s="27"/>
      <x:c r="Z182" s="27"/>
      <x:c r="AA182" s="27"/>
      <x:c r="AB182" s="27"/>
      <x:c r="AC182" s="27"/>
      <x:c r="AD182" s="27"/>
      <x:c r="AE182" s="27"/>
      <x:c r="AF182" s="27"/>
      <x:c r="AG182" s="27"/>
      <x:c r="AH182" s="27"/>
      <x:c r="AI182" s="27"/>
      <x:c r="AJ182" s="27"/>
      <x:c r="AK182" s="27"/>
      <x:c r="AL182" s="27"/>
      <x:c r="AM182" s="27"/>
      <x:c r="AN182" s="27"/>
      <x:c r="AO182" s="27"/>
      <x:c r="AP182" s="27"/>
      <x:c r="AQ182" s="27"/>
      <x:c r="AR182" s="27"/>
      <x:c r="AS182" s="27"/>
      <x:c r="AT182" s="27"/>
      <x:c r="AU182" s="27"/>
      <x:c r="AV182" s="27"/>
      <x:c r="AW182" s="27"/>
      <x:c r="AX182" s="27"/>
      <x:c r="AY182" s="27"/>
      <x:c r="AZ182" s="27"/>
      <x:c r="BA182" s="27"/>
      <x:c r="BB182" s="27"/>
      <x:c r="BC182" s="27"/>
      <x:c r="BD182" s="27"/>
      <x:c r="BE182" s="27"/>
      <x:c r="BF182" s="27"/>
      <x:c r="BG182" s="27"/>
      <x:c r="BH182" s="27"/>
      <x:c r="BI182" s="27"/>
      <x:c r="BJ182" s="27"/>
      <x:c r="BK182" s="27"/>
      <x:c r="BL182" s="27"/>
      <x:c r="BM182" s="27"/>
      <x:c r="BN182" s="27"/>
      <x:c r="BO182" s="27"/>
      <x:c r="BP182" s="27"/>
      <x:c r="BQ182" s="27"/>
      <x:c r="BR182" s="27"/>
      <x:c r="BS182" s="27"/>
      <x:c r="BT182" s="27"/>
      <x:c r="BU182" s="27"/>
      <x:c r="BV182" s="27"/>
      <x:c r="BW182" s="27"/>
      <x:c r="BX182" s="27"/>
      <x:c r="BY182" s="27"/>
      <x:c r="BZ182" s="27"/>
      <x:c r="CA182" s="27"/>
      <x:c r="CB182" s="27"/>
      <x:c r="CC182" s="27"/>
      <x:c r="CD182" s="27"/>
      <x:c r="CE182" s="27"/>
      <x:c r="CF182" s="27"/>
      <x:c r="CG182" s="27"/>
      <x:c r="CH182" s="27"/>
      <x:c r="CI182" s="27"/>
      <x:c r="CJ182" s="27"/>
      <x:c r="CK182" s="27"/>
      <x:c r="CL182" s="27"/>
      <x:c r="CM182" s="27"/>
      <x:c r="CN182" s="27"/>
      <x:c r="CO182" s="27"/>
      <x:c r="CP182" s="27"/>
      <x:c r="CQ182" s="27"/>
      <x:c r="CR182" s="27"/>
      <x:c r="CS182" s="27"/>
      <x:c r="CT182" s="27"/>
      <x:c r="CU182" s="27"/>
      <x:c r="CV182" s="27"/>
      <x:c r="CW182" s="27"/>
      <x:c r="CX182" s="27"/>
      <x:c r="CY182" s="27"/>
      <x:c r="CZ182" s="27"/>
      <x:c r="DA182" s="27"/>
      <x:c r="DB182" s="27"/>
      <x:c r="DC182" s="27"/>
      <x:c r="DD182" s="27"/>
      <x:c r="DE182" s="27"/>
      <x:c r="DF182" s="27"/>
      <x:c r="DG182" s="27"/>
      <x:c r="DH182" s="27"/>
      <x:c r="DI182" s="27"/>
      <x:c r="DJ182" s="27"/>
      <x:c r="DK182" s="27"/>
      <x:c r="DL182" s="27"/>
      <x:c r="DM182" s="27"/>
      <x:c r="DN182" s="27"/>
      <x:c r="DO182" s="27"/>
      <x:c r="DP182" s="27"/>
      <x:c r="DQ182" s="27"/>
      <x:c r="DR182" s="27"/>
      <x:c r="DS182" s="27"/>
      <x:c r="DT182" s="27"/>
      <x:c r="DU182" s="27"/>
      <x:c r="DV182" s="27"/>
      <x:c r="DW182" s="27"/>
      <x:c r="DX182" s="27"/>
      <x:c r="DY182" s="27"/>
      <x:c r="DZ182" s="27"/>
      <x:c r="EA182" s="27"/>
      <x:c r="EB182" s="27"/>
      <x:c r="EC182" s="27"/>
      <x:c r="ED182" s="27"/>
      <x:c r="EE182" s="27"/>
      <x:c r="EF182" s="27"/>
      <x:c r="EG182" s="27"/>
      <x:c r="EH182" s="27"/>
      <x:c r="EI182" s="27"/>
      <x:c r="EJ182" s="27"/>
      <x:c r="EK182" s="27"/>
      <x:c r="EL182" s="27"/>
      <x:c r="EM182" s="27"/>
      <x:c r="EN182" s="27"/>
      <x:c r="EO182" s="27"/>
      <x:c r="EP182" s="27"/>
      <x:c r="EQ182" s="27"/>
      <x:c r="ER182" s="27"/>
      <x:c r="ES182" s="27"/>
      <x:c r="ET182" s="27"/>
      <x:c r="EU182" s="27"/>
      <x:c r="EV182" s="27"/>
      <x:c r="EW182" s="27"/>
      <x:c r="EX182" s="27"/>
      <x:c r="EY182" s="27"/>
      <x:c r="EZ182" s="27"/>
      <x:c r="FA182" s="27"/>
      <x:c r="FB182" s="27"/>
      <x:c r="FC182" s="27"/>
      <x:c r="FD182" s="27"/>
      <x:c r="FE182" s="27"/>
      <x:c r="FF182" s="27"/>
      <x:c r="FG182" s="27"/>
      <x:c r="FH182" s="27"/>
      <x:c r="FI182" s="27"/>
      <x:c r="FJ182" s="27"/>
      <x:c r="FK182" s="27"/>
      <x:c r="FL182" s="27"/>
      <x:c r="FM182" s="27"/>
      <x:c r="FN182" s="27"/>
      <x:c r="FO182" s="27"/>
      <x:c r="FP182" s="27"/>
      <x:c r="FQ182" s="27"/>
      <x:c r="FR182" s="27"/>
      <x:c r="FS182" s="27"/>
      <x:c r="FT182" s="27"/>
      <x:c r="FU182" s="27"/>
      <x:c r="FV182" s="27"/>
      <x:c r="FW182" s="27"/>
      <x:c r="FX182" s="27"/>
      <x:c r="FY182" s="27"/>
      <x:c r="FZ182" s="27"/>
      <x:c r="GA182" s="27"/>
      <x:c r="GB182" s="27"/>
      <x:c r="GC182" s="27"/>
      <x:c r="GD182" s="27"/>
      <x:c r="GE182" s="27"/>
      <x:c r="GF182" s="27"/>
      <x:c r="GG182" s="27"/>
      <x:c r="GH182" s="27"/>
      <x:c r="GI182" s="27"/>
      <x:c r="GJ182" s="27"/>
      <x:c r="GK182" s="27"/>
      <x:c r="GL182" s="27"/>
      <x:c r="GM182" s="27"/>
      <x:c r="GN182" s="27"/>
      <x:c r="GO182" s="27"/>
      <x:c r="GP182" s="27"/>
      <x:c r="GQ182" s="27"/>
      <x:c r="GR182" s="27"/>
      <x:c r="GS182" s="27"/>
      <x:c r="GT182" s="27"/>
      <x:c r="GU182" s="27"/>
      <x:c r="GV182" s="27"/>
      <x:c r="GW182" s="27"/>
      <x:c r="GX182" s="27"/>
      <x:c r="GY182" s="27"/>
      <x:c r="GZ182" s="27"/>
      <x:c r="HA182" s="27"/>
      <x:c r="HB182" s="27"/>
      <x:c r="HC182" s="27"/>
      <x:c r="HD182" s="27"/>
      <x:c r="HE182" s="27"/>
      <x:c r="HF182" s="27"/>
      <x:c r="HG182" s="27"/>
      <x:c r="HH182" s="27"/>
      <x:c r="HI182" s="27"/>
      <x:c r="HJ182" s="27"/>
      <x:c r="HK182" s="27"/>
      <x:c r="HL182" s="27"/>
      <x:c r="HM182" s="27"/>
      <x:c r="HN182" s="27"/>
      <x:c r="HO182" s="27"/>
      <x:c r="HP182" s="27" t="str">
        <x:f>IF(C182="","",SUM(H182,N182,T182,Z182,AF182,AL182,AR182,AX182,BD182,BJ182,BP182,BV182,CB182,CH182,CN182,CT182,CZ182,DF182,DL182,DR182,DX182,ED182,EJ182,EP182,EV182,FB182,FH182,FN182,FT182,FZ182,GF182,GL182,GR182,GX182,HD182,HJ182))</x:f>
      </x:c>
      <x:c r="HQ182" s="27" t="str">
        <x:f>IF(C182="","",SUM(I182,O182,U182,AA182,AG182,AM182,AS182,AY182,BE182,BK182,BQ182,BW182,CC182,CI182,CO182,CU182,DA182,DG182,DM182,DS182,DY182,EE182,EK182,EQ182,EW182,FC182,FI182,FO182,FU182,GA182,GG182,GM182,GS182,GY182,HE182,HK182))</x:f>
      </x:c>
      <x:c r="HR182" s="27" t="str">
        <x:f>IF(C182="","",SUM(J182,P182,V182,AB182,AH182,AN182,AT182,AZ182,BF182,BL182,BR182,BX182,CD182,CJ182,CP182,CV182,DB182,DH182,DN182,DT182,DZ182,EF182,EL182,ER182,EX182,FD182,FJ182,FP182,FV182,GB182,GH182,GN182,GT182,GZ182,HF182,HL182))</x:f>
      </x:c>
      <x:c r="HS182" s="27" t="str">
        <x:f>IF(C182="","",SUM(K182,Q182,W182,AC182,AI182,AO182,AU182,BA182,BG182,BM182,BS182,BY182,CE182,CK182,CQ182,CW182,DC182,DI182,DO182,DU182,EA182,EG182,EM182,ES182,EY182,FE182,FK182,FQ182,FW182,GC182,GI182,GO182,GU182,HA182,HG182,HM182))</x:f>
      </x:c>
      <x:c r="HT182" s="27" t="str">
        <x:f>IF(C182="","",SUM(L182,R182,X182,AD182,AJ182,AP182,AV182,BB182,BH182,BN182,BT182,BZ182,CF182,CL182,CR182,CX182,DD182,DJ182,DP182,DV182,EB182,EH182,EN182,ET182,EZ182,FF182,FL182,FR182,FX182,GD182,GJ182,GP182,GV182,HB182,HH182,HN182))</x:f>
      </x:c>
      <x:c r="HU182" s="27" t="str">
        <x:f>IF(C182="","",SUM(M182,S182,Y182,AE182,AK182,AQ182,AW182,BC182,BI182,BO182,BU182,CA182,CG182,CM182,CS182,CY182,DE182,DK182,DQ182,DW182,EC182,EI182,EO182,EU182,FA182,FG182,FM182,FS182,FY182,GE182,GK182,GQ182,GW182,HC182,HI182,HO182))</x:f>
      </x:c>
      <x:c r="HV182" s="27" t="str">
        <x:f>IF(C182="","",IF(JI182=LARGE(JI182:JN182,1),"R",IF(JJ182=LARGE(JI182:JN182,1),"I",IF(JK182=LARGE(JI182:JN182,1),"A",IF(JL182=LARGE(JI182:JN182,1),"S",IF(JM182=LARGE(JI182:JN182,1),"E",IF(JN182=LARGE(JI182:JN182,1),"C",""))))))&amp;IF(JI182=LARGE(JI182:JN182,2),"R",IF(JJ182=LARGE(JI182:JN182,2),"I",IF(JK182=LARGE(JI182:JN182,2),"A",IF(JL182=LARGE(JI182:JN182,2),"S",IF(JM182=LARGE(JI182:JN182,2),"E",IF(JN182=LARGE(JI182:JN182,2),"C",""))))))&amp;IF(JI182=LARGE(JI182:JN182,3),"R",IF(JJ182=LARGE(JI182:JN182,3),"I",IF(JK182=LARGE(JI182:JN182,3),"A",IF(JL182=LARGE(JI182:JN182,3),"S",IF(JM182=LARGE(JI182:JN182,3),"E",IF(JN182=LARGE(JI182:JN182,3),"C","")))))))</x:f>
      </x:c>
      <x:c r="HW182" s="27" t="str">
        <x:f>IF(C182="","",IF(JI182=LARGE(JI182:JN182,1),"นักปฏิบัติ",IF(JJ182=LARGE(JI182:JN182,1),"นักคิดวิเคราะห์",IF(JK182=LARGE(JI182:JN182,1),"นักสร้างสรรค์",IF(JL182=LARGE(JI182:JN182,1),"ผู้เข้าใจผู้คน",IF(JM182=LARGE(JI182:JN182,1),"ผู้นำการเปลี่ยนแปลง",IF(JN182=LARGE(JI182:JN182,1),"ผู้จัดระบบ","ผู้จัดระบบ")))))))</x:f>
      </x:c>
      <x:c r="HX182" s="27"/>
      <x:c r="HY182" s="27"/>
      <x:c r="HZ182" s="27"/>
      <x:c r="IA182" s="27"/>
      <x:c r="IB182" s="27"/>
      <x:c r="IC182" s="27"/>
      <x:c r="ID182" s="27"/>
      <x:c r="IE182" s="27"/>
      <x:c r="IF182" s="27"/>
      <x:c r="IG182" s="27"/>
      <x:c r="IH182" s="27"/>
      <x:c r="II182" s="27"/>
      <x:c r="IJ182" s="27"/>
      <x:c r="IK182" s="27" t="str">
        <x:f>IF(C182="","",SUM(H182,N182,T182,Z182,AF182,AL182,AR182,AX182,BD182,BJ182,BP182))</x:f>
      </x:c>
      <x:c r="IL182" s="27" t="str">
        <x:f>IF(C182="","",SUM(I182,O182,U182,AA182,AG182,AM182,AS182,AY182,BE182,BK182,BQ182))</x:f>
      </x:c>
      <x:c r="IM182" s="27" t="str">
        <x:f>IF(C182="","",SUM(J182,P182,V182,AB182,AH182,AN182,AT182,AZ182,BF182,BL182,BR182))</x:f>
      </x:c>
      <x:c r="IN182" s="27" t="str">
        <x:f>IF(C182="","",SUM(K182,Q182,W182,AC182,AI182,AO182,AU182,BA182,BG182,BM182,BS182))</x:f>
      </x:c>
      <x:c r="IO182" s="27" t="str">
        <x:f>IF(C182="","",SUM(L182,R182,X182,AD182,AJ182,AP182,AV182,BB182,BH182,BN182,BT182))</x:f>
      </x:c>
      <x:c r="IP182" s="27" t="str">
        <x:f>IF(C182="","",SUM(M182,S182,Y182,AE182,AK182,AQ182,AW182,BC182,BI182,BO182,BU182))</x:f>
      </x:c>
      <x:c r="IQ182" s="27" t="str">
        <x:f>IF(C182="","",SUM(BV182,CB182,CH182,CN182,CT182,CZ182,DF182,DL182,DR182,DX182,ED182))</x:f>
      </x:c>
      <x:c r="IR182" s="27" t="str">
        <x:f>IF(C182="","",SUM(BW182,CC182,CI182,CO182,CU182,DA182,DG182,DM182,DS182,DY182,EE182))</x:f>
      </x:c>
      <x:c r="IS182" s="27" t="str">
        <x:f>IF(C182="","",SUM(BX182,CD182,CJ182,CP182,CV182,DB182,DH182,DN182,DT182,DZ182,EF182))</x:f>
      </x:c>
      <x:c r="IT182" s="27" t="str">
        <x:f>IF(C182="","",SUM(BY182,CE182,CK182,CQ182,CW182,DC182,DI182,DO182,DU182,EA182,EG182))</x:f>
      </x:c>
      <x:c r="IU182" s="27" t="str">
        <x:f>IF(C182="","",SUM(BZ182,CF182,CL182,CR182,CX182,DD182,DJ182,DP182,DV182,EB182,EH182))</x:f>
      </x:c>
      <x:c r="IV182" s="27" t="str">
        <x:f>IF(C182="","",SUM(CA182,CG182,CM182,CS182,CY182,DE182,DK182,DQ182,DW182,EC182,EI182))</x:f>
      </x:c>
      <x:c r="IW182" s="27" t="str">
        <x:f>IF(C182="","",SUM(EJ182,EP182,EV182,FB182,FH182,FN182,FT182,FZ182,GF182,GL182,GR182,GX182,HD182,HJ182))</x:f>
      </x:c>
      <x:c r="IX182" s="27" t="str">
        <x:f>IF(C182="","",SUM(EK182,EQ182,EW182,FC182,FI182,FO182,FU182,GA182,GG182,GM182,GS182,GY182,HE182,HK182))</x:f>
      </x:c>
      <x:c r="IY182" s="27" t="str">
        <x:f>IF(C182="","",SUM(EL182,ER182,EX182,FD182,FJ182,FP182,FV182,GB182,GH182,GN182,GT182,GZ182,HF182,HL182))</x:f>
      </x:c>
      <x:c r="IZ182" s="27" t="str">
        <x:f>IF(C182="","",SUM(EM182,ES182,EY182,FE182,FK182,FQ182,FW182,GC182,GI182,GO182,GU182,HA182,HG182,HM182))</x:f>
      </x:c>
      <x:c r="JA182" s="27" t="str">
        <x:f>IF(C182="","",SUM(EN182,ET182,EZ182,FF182,FL182,FR182,FX182,GD182,GJ182,GP182,GV182,HB182,HH182,HN182))</x:f>
      </x:c>
      <x:c r="JB182" s="27" t="str">
        <x:f>IF(C182="","",SUM(EO182,EU182,FA182,FG182,FM182,FS182,FY182,GE182,GK182,GQ182,GW182,HC182,HI182,HO182))</x:f>
      </x:c>
      <x:c r="JC182" s="27" t="str">
        <x:f>IF(C182="","",0)</x:f>
      </x:c>
      <x:c r="JD182" s="27" t="str">
        <x:f>IF(C182="","",0)</x:f>
      </x:c>
      <x:c r="JE182" s="27" t="str">
        <x:f>IF(C182="","",0)</x:f>
      </x:c>
      <x:c r="JF182" s="27" t="str">
        <x:f>IF(C182="","",0)</x:f>
      </x:c>
      <x:c r="JG182" s="27" t="str">
        <x:f>IF(C182="","",0)</x:f>
      </x:c>
      <x:c r="JH182" s="27" t="str">
        <x:f>IF(C182="","",0)</x:f>
      </x:c>
      <x:c r="JI182" s="27" t="str">
        <x:f>IF(C182="","",HP182*1000000000+IW182*1000000+IQ182*10000+IK182*100+JC182+6/1000)</x:f>
      </x:c>
      <x:c r="JJ182" s="27" t="str">
        <x:f>IF(C182="","",HQ182*1000000000+IX182*1000000+IR182*10000+IL182*100+JD182+5/1000)</x:f>
      </x:c>
      <x:c r="JK182" s="27" t="str">
        <x:f>IF(C182="","",HR182*1000000000+IY182*1000000+IS182*10000+IM182*100+JE182+4/1000)</x:f>
      </x:c>
      <x:c r="JL182" s="27" t="str">
        <x:f>IF(C182="","",HS182*1000000000+IZ182*1000000+IT182*10000+IN182*100+JF182+3/1000)</x:f>
      </x:c>
      <x:c r="JM182" s="27" t="str">
        <x:f>IF(C182="","",HT182*1000000000+JA182*1000000+IU182*10000+IO182*100+JG182+2/1000)</x:f>
      </x:c>
      <x:c r="JN182" s="27" t="str">
        <x:f>IF(C182="","",HU182*1000000000+JB182*1000000+IV182*10000+IP182*100+JH182+1/1000)</x:f>
      </x:c>
    </x:row>
    <x:row r="183">
      <x:c r="A183" s="27"/>
      <x:c r="B183" s="28"/>
      <x:c r="C183" s="27"/>
      <x:c r="D183" s="27"/>
      <x:c r="E183" s="27"/>
      <x:c r="F183" s="27"/>
      <x:c r="G183" s="27"/>
      <x:c r="H183" s="27"/>
      <x:c r="I183" s="27"/>
      <x:c r="J183" s="27"/>
      <x:c r="K183" s="27"/>
      <x:c r="L183" s="27"/>
      <x:c r="M183" s="27"/>
      <x:c r="N183" s="27"/>
      <x:c r="O183" s="27"/>
      <x:c r="P183" s="27"/>
      <x:c r="Q183" s="27"/>
      <x:c r="R183" s="27"/>
      <x:c r="S183" s="27"/>
      <x:c r="T183" s="27"/>
      <x:c r="U183" s="27"/>
      <x:c r="V183" s="27"/>
      <x:c r="W183" s="27"/>
      <x:c r="X183" s="27"/>
      <x:c r="Y183" s="27"/>
      <x:c r="Z183" s="27"/>
      <x:c r="AA183" s="27"/>
      <x:c r="AB183" s="27"/>
      <x:c r="AC183" s="27"/>
      <x:c r="AD183" s="27"/>
      <x:c r="AE183" s="27"/>
      <x:c r="AF183" s="27"/>
      <x:c r="AG183" s="27"/>
      <x:c r="AH183" s="27"/>
      <x:c r="AI183" s="27"/>
      <x:c r="AJ183" s="27"/>
      <x:c r="AK183" s="27"/>
      <x:c r="AL183" s="27"/>
      <x:c r="AM183" s="27"/>
      <x:c r="AN183" s="27"/>
      <x:c r="AO183" s="27"/>
      <x:c r="AP183" s="27"/>
      <x:c r="AQ183" s="27"/>
      <x:c r="AR183" s="27"/>
      <x:c r="AS183" s="27"/>
      <x:c r="AT183" s="27"/>
      <x:c r="AU183" s="27"/>
      <x:c r="AV183" s="27"/>
      <x:c r="AW183" s="27"/>
      <x:c r="AX183" s="27"/>
      <x:c r="AY183" s="27"/>
      <x:c r="AZ183" s="27"/>
      <x:c r="BA183" s="27"/>
      <x:c r="BB183" s="27"/>
      <x:c r="BC183" s="27"/>
      <x:c r="BD183" s="27"/>
      <x:c r="BE183" s="27"/>
      <x:c r="BF183" s="27"/>
      <x:c r="BG183" s="27"/>
      <x:c r="BH183" s="27"/>
      <x:c r="BI183" s="27"/>
      <x:c r="BJ183" s="27"/>
      <x:c r="BK183" s="27"/>
      <x:c r="BL183" s="27"/>
      <x:c r="BM183" s="27"/>
      <x:c r="BN183" s="27"/>
      <x:c r="BO183" s="27"/>
      <x:c r="BP183" s="27"/>
      <x:c r="BQ183" s="27"/>
      <x:c r="BR183" s="27"/>
      <x:c r="BS183" s="27"/>
      <x:c r="BT183" s="27"/>
      <x:c r="BU183" s="27"/>
      <x:c r="BV183" s="27"/>
      <x:c r="BW183" s="27"/>
      <x:c r="BX183" s="27"/>
      <x:c r="BY183" s="27"/>
      <x:c r="BZ183" s="27"/>
      <x:c r="CA183" s="27"/>
      <x:c r="CB183" s="27"/>
      <x:c r="CC183" s="27"/>
      <x:c r="CD183" s="27"/>
      <x:c r="CE183" s="27"/>
      <x:c r="CF183" s="27"/>
      <x:c r="CG183" s="27"/>
      <x:c r="CH183" s="27"/>
      <x:c r="CI183" s="27"/>
      <x:c r="CJ183" s="27"/>
      <x:c r="CK183" s="27"/>
      <x:c r="CL183" s="27"/>
      <x:c r="CM183" s="27"/>
      <x:c r="CN183" s="27"/>
      <x:c r="CO183" s="27"/>
      <x:c r="CP183" s="27"/>
      <x:c r="CQ183" s="27"/>
      <x:c r="CR183" s="27"/>
      <x:c r="CS183" s="27"/>
      <x:c r="CT183" s="27"/>
      <x:c r="CU183" s="27"/>
      <x:c r="CV183" s="27"/>
      <x:c r="CW183" s="27"/>
      <x:c r="CX183" s="27"/>
      <x:c r="CY183" s="27"/>
      <x:c r="CZ183" s="27"/>
      <x:c r="DA183" s="27"/>
      <x:c r="DB183" s="27"/>
      <x:c r="DC183" s="27"/>
      <x:c r="DD183" s="27"/>
      <x:c r="DE183" s="27"/>
      <x:c r="DF183" s="27"/>
      <x:c r="DG183" s="27"/>
      <x:c r="DH183" s="27"/>
      <x:c r="DI183" s="27"/>
      <x:c r="DJ183" s="27"/>
      <x:c r="DK183" s="27"/>
      <x:c r="DL183" s="27"/>
      <x:c r="DM183" s="27"/>
      <x:c r="DN183" s="27"/>
      <x:c r="DO183" s="27"/>
      <x:c r="DP183" s="27"/>
      <x:c r="DQ183" s="27"/>
      <x:c r="DR183" s="27"/>
      <x:c r="DS183" s="27"/>
      <x:c r="DT183" s="27"/>
      <x:c r="DU183" s="27"/>
      <x:c r="DV183" s="27"/>
      <x:c r="DW183" s="27"/>
      <x:c r="DX183" s="27"/>
      <x:c r="DY183" s="27"/>
      <x:c r="DZ183" s="27"/>
      <x:c r="EA183" s="27"/>
      <x:c r="EB183" s="27"/>
      <x:c r="EC183" s="27"/>
      <x:c r="ED183" s="27"/>
      <x:c r="EE183" s="27"/>
      <x:c r="EF183" s="27"/>
      <x:c r="EG183" s="27"/>
      <x:c r="EH183" s="27"/>
      <x:c r="EI183" s="27"/>
      <x:c r="EJ183" s="27"/>
      <x:c r="EK183" s="27"/>
      <x:c r="EL183" s="27"/>
      <x:c r="EM183" s="27"/>
      <x:c r="EN183" s="27"/>
      <x:c r="EO183" s="27"/>
      <x:c r="EP183" s="27"/>
      <x:c r="EQ183" s="27"/>
      <x:c r="ER183" s="27"/>
      <x:c r="ES183" s="27"/>
      <x:c r="ET183" s="27"/>
      <x:c r="EU183" s="27"/>
      <x:c r="EV183" s="27"/>
      <x:c r="EW183" s="27"/>
      <x:c r="EX183" s="27"/>
      <x:c r="EY183" s="27"/>
      <x:c r="EZ183" s="27"/>
      <x:c r="FA183" s="27"/>
      <x:c r="FB183" s="27"/>
      <x:c r="FC183" s="27"/>
      <x:c r="FD183" s="27"/>
      <x:c r="FE183" s="27"/>
      <x:c r="FF183" s="27"/>
      <x:c r="FG183" s="27"/>
      <x:c r="FH183" s="27"/>
      <x:c r="FI183" s="27"/>
      <x:c r="FJ183" s="27"/>
      <x:c r="FK183" s="27"/>
      <x:c r="FL183" s="27"/>
      <x:c r="FM183" s="27"/>
      <x:c r="FN183" s="27"/>
      <x:c r="FO183" s="27"/>
      <x:c r="FP183" s="27"/>
      <x:c r="FQ183" s="27"/>
      <x:c r="FR183" s="27"/>
      <x:c r="FS183" s="27"/>
      <x:c r="FT183" s="27"/>
      <x:c r="FU183" s="27"/>
      <x:c r="FV183" s="27"/>
      <x:c r="FW183" s="27"/>
      <x:c r="FX183" s="27"/>
      <x:c r="FY183" s="27"/>
      <x:c r="FZ183" s="27"/>
      <x:c r="GA183" s="27"/>
      <x:c r="GB183" s="27"/>
      <x:c r="GC183" s="27"/>
      <x:c r="GD183" s="27"/>
      <x:c r="GE183" s="27"/>
      <x:c r="GF183" s="27"/>
      <x:c r="GG183" s="27"/>
      <x:c r="GH183" s="27"/>
      <x:c r="GI183" s="27"/>
      <x:c r="GJ183" s="27"/>
      <x:c r="GK183" s="27"/>
      <x:c r="GL183" s="27"/>
      <x:c r="GM183" s="27"/>
      <x:c r="GN183" s="27"/>
      <x:c r="GO183" s="27"/>
      <x:c r="GP183" s="27"/>
      <x:c r="GQ183" s="27"/>
      <x:c r="GR183" s="27"/>
      <x:c r="GS183" s="27"/>
      <x:c r="GT183" s="27"/>
      <x:c r="GU183" s="27"/>
      <x:c r="GV183" s="27"/>
      <x:c r="GW183" s="27"/>
      <x:c r="GX183" s="27"/>
      <x:c r="GY183" s="27"/>
      <x:c r="GZ183" s="27"/>
      <x:c r="HA183" s="27"/>
      <x:c r="HB183" s="27"/>
      <x:c r="HC183" s="27"/>
      <x:c r="HD183" s="27"/>
      <x:c r="HE183" s="27"/>
      <x:c r="HF183" s="27"/>
      <x:c r="HG183" s="27"/>
      <x:c r="HH183" s="27"/>
      <x:c r="HI183" s="27"/>
      <x:c r="HJ183" s="27"/>
      <x:c r="HK183" s="27"/>
      <x:c r="HL183" s="27"/>
      <x:c r="HM183" s="27"/>
      <x:c r="HN183" s="27"/>
      <x:c r="HO183" s="27"/>
      <x:c r="HP183" s="27" t="str">
        <x:f>IF(C183="","",SUM(H183,N183,T183,Z183,AF183,AL183,AR183,AX183,BD183,BJ183,BP183,BV183,CB183,CH183,CN183,CT183,CZ183,DF183,DL183,DR183,DX183,ED183,EJ183,EP183,EV183,FB183,FH183,FN183,FT183,FZ183,GF183,GL183,GR183,GX183,HD183,HJ183))</x:f>
      </x:c>
      <x:c r="HQ183" s="27" t="str">
        <x:f>IF(C183="","",SUM(I183,O183,U183,AA183,AG183,AM183,AS183,AY183,BE183,BK183,BQ183,BW183,CC183,CI183,CO183,CU183,DA183,DG183,DM183,DS183,DY183,EE183,EK183,EQ183,EW183,FC183,FI183,FO183,FU183,GA183,GG183,GM183,GS183,GY183,HE183,HK183))</x:f>
      </x:c>
      <x:c r="HR183" s="27" t="str">
        <x:f>IF(C183="","",SUM(J183,P183,V183,AB183,AH183,AN183,AT183,AZ183,BF183,BL183,BR183,BX183,CD183,CJ183,CP183,CV183,DB183,DH183,DN183,DT183,DZ183,EF183,EL183,ER183,EX183,FD183,FJ183,FP183,FV183,GB183,GH183,GN183,GT183,GZ183,HF183,HL183))</x:f>
      </x:c>
      <x:c r="HS183" s="27" t="str">
        <x:f>IF(C183="","",SUM(K183,Q183,W183,AC183,AI183,AO183,AU183,BA183,BG183,BM183,BS183,BY183,CE183,CK183,CQ183,CW183,DC183,DI183,DO183,DU183,EA183,EG183,EM183,ES183,EY183,FE183,FK183,FQ183,FW183,GC183,GI183,GO183,GU183,HA183,HG183,HM183))</x:f>
      </x:c>
      <x:c r="HT183" s="27" t="str">
        <x:f>IF(C183="","",SUM(L183,R183,X183,AD183,AJ183,AP183,AV183,BB183,BH183,BN183,BT183,BZ183,CF183,CL183,CR183,CX183,DD183,DJ183,DP183,DV183,EB183,EH183,EN183,ET183,EZ183,FF183,FL183,FR183,FX183,GD183,GJ183,GP183,GV183,HB183,HH183,HN183))</x:f>
      </x:c>
      <x:c r="HU183" s="27" t="str">
        <x:f>IF(C183="","",SUM(M183,S183,Y183,AE183,AK183,AQ183,AW183,BC183,BI183,BO183,BU183,CA183,CG183,CM183,CS183,CY183,DE183,DK183,DQ183,DW183,EC183,EI183,EO183,EU183,FA183,FG183,FM183,FS183,FY183,GE183,GK183,GQ183,GW183,HC183,HI183,HO183))</x:f>
      </x:c>
      <x:c r="HV183" s="27" t="str">
        <x:f>IF(C183="","",IF(JI183=LARGE(JI183:JN183,1),"R",IF(JJ183=LARGE(JI183:JN183,1),"I",IF(JK183=LARGE(JI183:JN183,1),"A",IF(JL183=LARGE(JI183:JN183,1),"S",IF(JM183=LARGE(JI183:JN183,1),"E",IF(JN183=LARGE(JI183:JN183,1),"C",""))))))&amp;IF(JI183=LARGE(JI183:JN183,2),"R",IF(JJ183=LARGE(JI183:JN183,2),"I",IF(JK183=LARGE(JI183:JN183,2),"A",IF(JL183=LARGE(JI183:JN183,2),"S",IF(JM183=LARGE(JI183:JN183,2),"E",IF(JN183=LARGE(JI183:JN183,2),"C",""))))))&amp;IF(JI183=LARGE(JI183:JN183,3),"R",IF(JJ183=LARGE(JI183:JN183,3),"I",IF(JK183=LARGE(JI183:JN183,3),"A",IF(JL183=LARGE(JI183:JN183,3),"S",IF(JM183=LARGE(JI183:JN183,3),"E",IF(JN183=LARGE(JI183:JN183,3),"C","")))))))</x:f>
      </x:c>
      <x:c r="HW183" s="27" t="str">
        <x:f>IF(C183="","",IF(JI183=LARGE(JI183:JN183,1),"นักปฏิบัติ",IF(JJ183=LARGE(JI183:JN183,1),"นักคิดวิเคราะห์",IF(JK183=LARGE(JI183:JN183,1),"นักสร้างสรรค์",IF(JL183=LARGE(JI183:JN183,1),"ผู้เข้าใจผู้คน",IF(JM183=LARGE(JI183:JN183,1),"ผู้นำการเปลี่ยนแปลง",IF(JN183=LARGE(JI183:JN183,1),"ผู้จัดระบบ","ผู้จัดระบบ")))))))</x:f>
      </x:c>
      <x:c r="HX183" s="27"/>
      <x:c r="HY183" s="27"/>
      <x:c r="HZ183" s="27"/>
      <x:c r="IA183" s="27"/>
      <x:c r="IB183" s="27"/>
      <x:c r="IC183" s="27"/>
      <x:c r="ID183" s="27"/>
      <x:c r="IE183" s="27"/>
      <x:c r="IF183" s="27"/>
      <x:c r="IG183" s="27"/>
      <x:c r="IH183" s="27"/>
      <x:c r="II183" s="27"/>
      <x:c r="IJ183" s="27"/>
      <x:c r="IK183" s="27" t="str">
        <x:f>IF(C183="","",SUM(H183,N183,T183,Z183,AF183,AL183,AR183,AX183,BD183,BJ183,BP183))</x:f>
      </x:c>
      <x:c r="IL183" s="27" t="str">
        <x:f>IF(C183="","",SUM(I183,O183,U183,AA183,AG183,AM183,AS183,AY183,BE183,BK183,BQ183))</x:f>
      </x:c>
      <x:c r="IM183" s="27" t="str">
        <x:f>IF(C183="","",SUM(J183,P183,V183,AB183,AH183,AN183,AT183,AZ183,BF183,BL183,BR183))</x:f>
      </x:c>
      <x:c r="IN183" s="27" t="str">
        <x:f>IF(C183="","",SUM(K183,Q183,W183,AC183,AI183,AO183,AU183,BA183,BG183,BM183,BS183))</x:f>
      </x:c>
      <x:c r="IO183" s="27" t="str">
        <x:f>IF(C183="","",SUM(L183,R183,X183,AD183,AJ183,AP183,AV183,BB183,BH183,BN183,BT183))</x:f>
      </x:c>
      <x:c r="IP183" s="27" t="str">
        <x:f>IF(C183="","",SUM(M183,S183,Y183,AE183,AK183,AQ183,AW183,BC183,BI183,BO183,BU183))</x:f>
      </x:c>
      <x:c r="IQ183" s="27" t="str">
        <x:f>IF(C183="","",SUM(BV183,CB183,CH183,CN183,CT183,CZ183,DF183,DL183,DR183,DX183,ED183))</x:f>
      </x:c>
      <x:c r="IR183" s="27" t="str">
        <x:f>IF(C183="","",SUM(BW183,CC183,CI183,CO183,CU183,DA183,DG183,DM183,DS183,DY183,EE183))</x:f>
      </x:c>
      <x:c r="IS183" s="27" t="str">
        <x:f>IF(C183="","",SUM(BX183,CD183,CJ183,CP183,CV183,DB183,DH183,DN183,DT183,DZ183,EF183))</x:f>
      </x:c>
      <x:c r="IT183" s="27" t="str">
        <x:f>IF(C183="","",SUM(BY183,CE183,CK183,CQ183,CW183,DC183,DI183,DO183,DU183,EA183,EG183))</x:f>
      </x:c>
      <x:c r="IU183" s="27" t="str">
        <x:f>IF(C183="","",SUM(BZ183,CF183,CL183,CR183,CX183,DD183,DJ183,DP183,DV183,EB183,EH183))</x:f>
      </x:c>
      <x:c r="IV183" s="27" t="str">
        <x:f>IF(C183="","",SUM(CA183,CG183,CM183,CS183,CY183,DE183,DK183,DQ183,DW183,EC183,EI183))</x:f>
      </x:c>
      <x:c r="IW183" s="27" t="str">
        <x:f>IF(C183="","",SUM(EJ183,EP183,EV183,FB183,FH183,FN183,FT183,FZ183,GF183,GL183,GR183,GX183,HD183,HJ183))</x:f>
      </x:c>
      <x:c r="IX183" s="27" t="str">
        <x:f>IF(C183="","",SUM(EK183,EQ183,EW183,FC183,FI183,FO183,FU183,GA183,GG183,GM183,GS183,GY183,HE183,HK183))</x:f>
      </x:c>
      <x:c r="IY183" s="27" t="str">
        <x:f>IF(C183="","",SUM(EL183,ER183,EX183,FD183,FJ183,FP183,FV183,GB183,GH183,GN183,GT183,GZ183,HF183,HL183))</x:f>
      </x:c>
      <x:c r="IZ183" s="27" t="str">
        <x:f>IF(C183="","",SUM(EM183,ES183,EY183,FE183,FK183,FQ183,FW183,GC183,GI183,GO183,GU183,HA183,HG183,HM183))</x:f>
      </x:c>
      <x:c r="JA183" s="27" t="str">
        <x:f>IF(C183="","",SUM(EN183,ET183,EZ183,FF183,FL183,FR183,FX183,GD183,GJ183,GP183,GV183,HB183,HH183,HN183))</x:f>
      </x:c>
      <x:c r="JB183" s="27" t="str">
        <x:f>IF(C183="","",SUM(EO183,EU183,FA183,FG183,FM183,FS183,FY183,GE183,GK183,GQ183,GW183,HC183,HI183,HO183))</x:f>
      </x:c>
      <x:c r="JC183" s="27" t="str">
        <x:f>IF(C183="","",0)</x:f>
      </x:c>
      <x:c r="JD183" s="27" t="str">
        <x:f>IF(C183="","",0)</x:f>
      </x:c>
      <x:c r="JE183" s="27" t="str">
        <x:f>IF(C183="","",0)</x:f>
      </x:c>
      <x:c r="JF183" s="27" t="str">
        <x:f>IF(C183="","",0)</x:f>
      </x:c>
      <x:c r="JG183" s="27" t="str">
        <x:f>IF(C183="","",0)</x:f>
      </x:c>
      <x:c r="JH183" s="27" t="str">
        <x:f>IF(C183="","",0)</x:f>
      </x:c>
      <x:c r="JI183" s="27" t="str">
        <x:f>IF(C183="","",HP183*1000000000+IW183*1000000+IQ183*10000+IK183*100+JC183+6/1000)</x:f>
      </x:c>
      <x:c r="JJ183" s="27" t="str">
        <x:f>IF(C183="","",HQ183*1000000000+IX183*1000000+IR183*10000+IL183*100+JD183+5/1000)</x:f>
      </x:c>
      <x:c r="JK183" s="27" t="str">
        <x:f>IF(C183="","",HR183*1000000000+IY183*1000000+IS183*10000+IM183*100+JE183+4/1000)</x:f>
      </x:c>
      <x:c r="JL183" s="27" t="str">
        <x:f>IF(C183="","",HS183*1000000000+IZ183*1000000+IT183*10000+IN183*100+JF183+3/1000)</x:f>
      </x:c>
      <x:c r="JM183" s="27" t="str">
        <x:f>IF(C183="","",HT183*1000000000+JA183*1000000+IU183*10000+IO183*100+JG183+2/1000)</x:f>
      </x:c>
      <x:c r="JN183" s="27" t="str">
        <x:f>IF(C183="","",HU183*1000000000+JB183*1000000+IV183*10000+IP183*100+JH183+1/1000)</x:f>
      </x:c>
    </x:row>
    <x:row r="184">
      <x:c r="A184" s="27"/>
      <x:c r="B184" s="28"/>
      <x:c r="C184" s="27"/>
      <x:c r="D184" s="27"/>
      <x:c r="E184" s="27"/>
      <x:c r="F184" s="27"/>
      <x:c r="G184" s="27"/>
      <x:c r="H184" s="27"/>
      <x:c r="I184" s="27"/>
      <x:c r="J184" s="27"/>
      <x:c r="K184" s="27"/>
      <x:c r="L184" s="27"/>
      <x:c r="M184" s="27"/>
      <x:c r="N184" s="27"/>
      <x:c r="O184" s="27"/>
      <x:c r="P184" s="27"/>
      <x:c r="Q184" s="27"/>
      <x:c r="R184" s="27"/>
      <x:c r="S184" s="27"/>
      <x:c r="T184" s="27"/>
      <x:c r="U184" s="27"/>
      <x:c r="V184" s="27"/>
      <x:c r="W184" s="27"/>
      <x:c r="X184" s="27"/>
      <x:c r="Y184" s="27"/>
      <x:c r="Z184" s="27"/>
      <x:c r="AA184" s="27"/>
      <x:c r="AB184" s="27"/>
      <x:c r="AC184" s="27"/>
      <x:c r="AD184" s="27"/>
      <x:c r="AE184" s="27"/>
      <x:c r="AF184" s="27"/>
      <x:c r="AG184" s="27"/>
      <x:c r="AH184" s="27"/>
      <x:c r="AI184" s="27"/>
      <x:c r="AJ184" s="27"/>
      <x:c r="AK184" s="27"/>
      <x:c r="AL184" s="27"/>
      <x:c r="AM184" s="27"/>
      <x:c r="AN184" s="27"/>
      <x:c r="AO184" s="27"/>
      <x:c r="AP184" s="27"/>
      <x:c r="AQ184" s="27"/>
      <x:c r="AR184" s="27"/>
      <x:c r="AS184" s="27"/>
      <x:c r="AT184" s="27"/>
      <x:c r="AU184" s="27"/>
      <x:c r="AV184" s="27"/>
      <x:c r="AW184" s="27"/>
      <x:c r="AX184" s="27"/>
      <x:c r="AY184" s="27"/>
      <x:c r="AZ184" s="27"/>
      <x:c r="BA184" s="27"/>
      <x:c r="BB184" s="27"/>
      <x:c r="BC184" s="27"/>
      <x:c r="BD184" s="27"/>
      <x:c r="BE184" s="27"/>
      <x:c r="BF184" s="27"/>
      <x:c r="BG184" s="27"/>
      <x:c r="BH184" s="27"/>
      <x:c r="BI184" s="27"/>
      <x:c r="BJ184" s="27"/>
      <x:c r="BK184" s="27"/>
      <x:c r="BL184" s="27"/>
      <x:c r="BM184" s="27"/>
      <x:c r="BN184" s="27"/>
      <x:c r="BO184" s="27"/>
      <x:c r="BP184" s="27"/>
      <x:c r="BQ184" s="27"/>
      <x:c r="BR184" s="27"/>
      <x:c r="BS184" s="27"/>
      <x:c r="BT184" s="27"/>
      <x:c r="BU184" s="27"/>
      <x:c r="BV184" s="27"/>
      <x:c r="BW184" s="27"/>
      <x:c r="BX184" s="27"/>
      <x:c r="BY184" s="27"/>
      <x:c r="BZ184" s="27"/>
      <x:c r="CA184" s="27"/>
      <x:c r="CB184" s="27"/>
      <x:c r="CC184" s="27"/>
      <x:c r="CD184" s="27"/>
      <x:c r="CE184" s="27"/>
      <x:c r="CF184" s="27"/>
      <x:c r="CG184" s="27"/>
      <x:c r="CH184" s="27"/>
      <x:c r="CI184" s="27"/>
      <x:c r="CJ184" s="27"/>
      <x:c r="CK184" s="27"/>
      <x:c r="CL184" s="27"/>
      <x:c r="CM184" s="27"/>
      <x:c r="CN184" s="27"/>
      <x:c r="CO184" s="27"/>
      <x:c r="CP184" s="27"/>
      <x:c r="CQ184" s="27"/>
      <x:c r="CR184" s="27"/>
      <x:c r="CS184" s="27"/>
      <x:c r="CT184" s="27"/>
      <x:c r="CU184" s="27"/>
      <x:c r="CV184" s="27"/>
      <x:c r="CW184" s="27"/>
      <x:c r="CX184" s="27"/>
      <x:c r="CY184" s="27"/>
      <x:c r="CZ184" s="27"/>
      <x:c r="DA184" s="27"/>
      <x:c r="DB184" s="27"/>
      <x:c r="DC184" s="27"/>
      <x:c r="DD184" s="27"/>
      <x:c r="DE184" s="27"/>
      <x:c r="DF184" s="27"/>
      <x:c r="DG184" s="27"/>
      <x:c r="DH184" s="27"/>
      <x:c r="DI184" s="27"/>
      <x:c r="DJ184" s="27"/>
      <x:c r="DK184" s="27"/>
      <x:c r="DL184" s="27"/>
      <x:c r="DM184" s="27"/>
      <x:c r="DN184" s="27"/>
      <x:c r="DO184" s="27"/>
      <x:c r="DP184" s="27"/>
      <x:c r="DQ184" s="27"/>
      <x:c r="DR184" s="27"/>
      <x:c r="DS184" s="27"/>
      <x:c r="DT184" s="27"/>
      <x:c r="DU184" s="27"/>
      <x:c r="DV184" s="27"/>
      <x:c r="DW184" s="27"/>
      <x:c r="DX184" s="27"/>
      <x:c r="DY184" s="27"/>
      <x:c r="DZ184" s="27"/>
      <x:c r="EA184" s="27"/>
      <x:c r="EB184" s="27"/>
      <x:c r="EC184" s="27"/>
      <x:c r="ED184" s="27"/>
      <x:c r="EE184" s="27"/>
      <x:c r="EF184" s="27"/>
      <x:c r="EG184" s="27"/>
      <x:c r="EH184" s="27"/>
      <x:c r="EI184" s="27"/>
      <x:c r="EJ184" s="27"/>
      <x:c r="EK184" s="27"/>
      <x:c r="EL184" s="27"/>
      <x:c r="EM184" s="27"/>
      <x:c r="EN184" s="27"/>
      <x:c r="EO184" s="27"/>
      <x:c r="EP184" s="27"/>
      <x:c r="EQ184" s="27"/>
      <x:c r="ER184" s="27"/>
      <x:c r="ES184" s="27"/>
      <x:c r="ET184" s="27"/>
      <x:c r="EU184" s="27"/>
      <x:c r="EV184" s="27"/>
      <x:c r="EW184" s="27"/>
      <x:c r="EX184" s="27"/>
      <x:c r="EY184" s="27"/>
      <x:c r="EZ184" s="27"/>
      <x:c r="FA184" s="27"/>
      <x:c r="FB184" s="27"/>
      <x:c r="FC184" s="27"/>
      <x:c r="FD184" s="27"/>
      <x:c r="FE184" s="27"/>
      <x:c r="FF184" s="27"/>
      <x:c r="FG184" s="27"/>
      <x:c r="FH184" s="27"/>
      <x:c r="FI184" s="27"/>
      <x:c r="FJ184" s="27"/>
      <x:c r="FK184" s="27"/>
      <x:c r="FL184" s="27"/>
      <x:c r="FM184" s="27"/>
      <x:c r="FN184" s="27"/>
      <x:c r="FO184" s="27"/>
      <x:c r="FP184" s="27"/>
      <x:c r="FQ184" s="27"/>
      <x:c r="FR184" s="27"/>
      <x:c r="FS184" s="27"/>
      <x:c r="FT184" s="27"/>
      <x:c r="FU184" s="27"/>
      <x:c r="FV184" s="27"/>
      <x:c r="FW184" s="27"/>
      <x:c r="FX184" s="27"/>
      <x:c r="FY184" s="27"/>
      <x:c r="FZ184" s="27"/>
      <x:c r="GA184" s="27"/>
      <x:c r="GB184" s="27"/>
      <x:c r="GC184" s="27"/>
      <x:c r="GD184" s="27"/>
      <x:c r="GE184" s="27"/>
      <x:c r="GF184" s="27"/>
      <x:c r="GG184" s="27"/>
      <x:c r="GH184" s="27"/>
      <x:c r="GI184" s="27"/>
      <x:c r="GJ184" s="27"/>
      <x:c r="GK184" s="27"/>
      <x:c r="GL184" s="27"/>
      <x:c r="GM184" s="27"/>
      <x:c r="GN184" s="27"/>
      <x:c r="GO184" s="27"/>
      <x:c r="GP184" s="27"/>
      <x:c r="GQ184" s="27"/>
      <x:c r="GR184" s="27"/>
      <x:c r="GS184" s="27"/>
      <x:c r="GT184" s="27"/>
      <x:c r="GU184" s="27"/>
      <x:c r="GV184" s="27"/>
      <x:c r="GW184" s="27"/>
      <x:c r="GX184" s="27"/>
      <x:c r="GY184" s="27"/>
      <x:c r="GZ184" s="27"/>
      <x:c r="HA184" s="27"/>
      <x:c r="HB184" s="27"/>
      <x:c r="HC184" s="27"/>
      <x:c r="HD184" s="27"/>
      <x:c r="HE184" s="27"/>
      <x:c r="HF184" s="27"/>
      <x:c r="HG184" s="27"/>
      <x:c r="HH184" s="27"/>
      <x:c r="HI184" s="27"/>
      <x:c r="HJ184" s="27"/>
      <x:c r="HK184" s="27"/>
      <x:c r="HL184" s="27"/>
      <x:c r="HM184" s="27"/>
      <x:c r="HN184" s="27"/>
      <x:c r="HO184" s="27"/>
      <x:c r="HP184" s="27" t="str">
        <x:f>IF(C184="","",SUM(H184,N184,T184,Z184,AF184,AL184,AR184,AX184,BD184,BJ184,BP184,BV184,CB184,CH184,CN184,CT184,CZ184,DF184,DL184,DR184,DX184,ED184,EJ184,EP184,EV184,FB184,FH184,FN184,FT184,FZ184,GF184,GL184,GR184,GX184,HD184,HJ184))</x:f>
      </x:c>
      <x:c r="HQ184" s="27" t="str">
        <x:f>IF(C184="","",SUM(I184,O184,U184,AA184,AG184,AM184,AS184,AY184,BE184,BK184,BQ184,BW184,CC184,CI184,CO184,CU184,DA184,DG184,DM184,DS184,DY184,EE184,EK184,EQ184,EW184,FC184,FI184,FO184,FU184,GA184,GG184,GM184,GS184,GY184,HE184,HK184))</x:f>
      </x:c>
      <x:c r="HR184" s="27" t="str">
        <x:f>IF(C184="","",SUM(J184,P184,V184,AB184,AH184,AN184,AT184,AZ184,BF184,BL184,BR184,BX184,CD184,CJ184,CP184,CV184,DB184,DH184,DN184,DT184,DZ184,EF184,EL184,ER184,EX184,FD184,FJ184,FP184,FV184,GB184,GH184,GN184,GT184,GZ184,HF184,HL184))</x:f>
      </x:c>
      <x:c r="HS184" s="27" t="str">
        <x:f>IF(C184="","",SUM(K184,Q184,W184,AC184,AI184,AO184,AU184,BA184,BG184,BM184,BS184,BY184,CE184,CK184,CQ184,CW184,DC184,DI184,DO184,DU184,EA184,EG184,EM184,ES184,EY184,FE184,FK184,FQ184,FW184,GC184,GI184,GO184,GU184,HA184,HG184,HM184))</x:f>
      </x:c>
      <x:c r="HT184" s="27" t="str">
        <x:f>IF(C184="","",SUM(L184,R184,X184,AD184,AJ184,AP184,AV184,BB184,BH184,BN184,BT184,BZ184,CF184,CL184,CR184,CX184,DD184,DJ184,DP184,DV184,EB184,EH184,EN184,ET184,EZ184,FF184,FL184,FR184,FX184,GD184,GJ184,GP184,GV184,HB184,HH184,HN184))</x:f>
      </x:c>
      <x:c r="HU184" s="27" t="str">
        <x:f>IF(C184="","",SUM(M184,S184,Y184,AE184,AK184,AQ184,AW184,BC184,BI184,BO184,BU184,CA184,CG184,CM184,CS184,CY184,DE184,DK184,DQ184,DW184,EC184,EI184,EO184,EU184,FA184,FG184,FM184,FS184,FY184,GE184,GK184,GQ184,GW184,HC184,HI184,HO184))</x:f>
      </x:c>
      <x:c r="HV184" s="27" t="str">
        <x:f>IF(C184="","",IF(JI184=LARGE(JI184:JN184,1),"R",IF(JJ184=LARGE(JI184:JN184,1),"I",IF(JK184=LARGE(JI184:JN184,1),"A",IF(JL184=LARGE(JI184:JN184,1),"S",IF(JM184=LARGE(JI184:JN184,1),"E",IF(JN184=LARGE(JI184:JN184,1),"C",""))))))&amp;IF(JI184=LARGE(JI184:JN184,2),"R",IF(JJ184=LARGE(JI184:JN184,2),"I",IF(JK184=LARGE(JI184:JN184,2),"A",IF(JL184=LARGE(JI184:JN184,2),"S",IF(JM184=LARGE(JI184:JN184,2),"E",IF(JN184=LARGE(JI184:JN184,2),"C",""))))))&amp;IF(JI184=LARGE(JI184:JN184,3),"R",IF(JJ184=LARGE(JI184:JN184,3),"I",IF(JK184=LARGE(JI184:JN184,3),"A",IF(JL184=LARGE(JI184:JN184,3),"S",IF(JM184=LARGE(JI184:JN184,3),"E",IF(JN184=LARGE(JI184:JN184,3),"C","")))))))</x:f>
      </x:c>
      <x:c r="HW184" s="27" t="str">
        <x:f>IF(C184="","",IF(JI184=LARGE(JI184:JN184,1),"นักปฏิบัติ",IF(JJ184=LARGE(JI184:JN184,1),"นักคิดวิเคราะห์",IF(JK184=LARGE(JI184:JN184,1),"นักสร้างสรรค์",IF(JL184=LARGE(JI184:JN184,1),"ผู้เข้าใจผู้คน",IF(JM184=LARGE(JI184:JN184,1),"ผู้นำการเปลี่ยนแปลง",IF(JN184=LARGE(JI184:JN184,1),"ผู้จัดระบบ","ผู้จัดระบบ")))))))</x:f>
      </x:c>
      <x:c r="HX184" s="27"/>
      <x:c r="HY184" s="27"/>
      <x:c r="HZ184" s="27"/>
      <x:c r="IA184" s="27"/>
      <x:c r="IB184" s="27"/>
      <x:c r="IC184" s="27"/>
      <x:c r="ID184" s="27"/>
      <x:c r="IE184" s="27"/>
      <x:c r="IF184" s="27"/>
      <x:c r="IG184" s="27"/>
      <x:c r="IH184" s="27"/>
      <x:c r="II184" s="27"/>
      <x:c r="IJ184" s="27"/>
      <x:c r="IK184" s="27" t="str">
        <x:f>IF(C184="","",SUM(H184,N184,T184,Z184,AF184,AL184,AR184,AX184,BD184,BJ184,BP184))</x:f>
      </x:c>
      <x:c r="IL184" s="27" t="str">
        <x:f>IF(C184="","",SUM(I184,O184,U184,AA184,AG184,AM184,AS184,AY184,BE184,BK184,BQ184))</x:f>
      </x:c>
      <x:c r="IM184" s="27" t="str">
        <x:f>IF(C184="","",SUM(J184,P184,V184,AB184,AH184,AN184,AT184,AZ184,BF184,BL184,BR184))</x:f>
      </x:c>
      <x:c r="IN184" s="27" t="str">
        <x:f>IF(C184="","",SUM(K184,Q184,W184,AC184,AI184,AO184,AU184,BA184,BG184,BM184,BS184))</x:f>
      </x:c>
      <x:c r="IO184" s="27" t="str">
        <x:f>IF(C184="","",SUM(L184,R184,X184,AD184,AJ184,AP184,AV184,BB184,BH184,BN184,BT184))</x:f>
      </x:c>
      <x:c r="IP184" s="27" t="str">
        <x:f>IF(C184="","",SUM(M184,S184,Y184,AE184,AK184,AQ184,AW184,BC184,BI184,BO184,BU184))</x:f>
      </x:c>
      <x:c r="IQ184" s="27" t="str">
        <x:f>IF(C184="","",SUM(BV184,CB184,CH184,CN184,CT184,CZ184,DF184,DL184,DR184,DX184,ED184))</x:f>
      </x:c>
      <x:c r="IR184" s="27" t="str">
        <x:f>IF(C184="","",SUM(BW184,CC184,CI184,CO184,CU184,DA184,DG184,DM184,DS184,DY184,EE184))</x:f>
      </x:c>
      <x:c r="IS184" s="27" t="str">
        <x:f>IF(C184="","",SUM(BX184,CD184,CJ184,CP184,CV184,DB184,DH184,DN184,DT184,DZ184,EF184))</x:f>
      </x:c>
      <x:c r="IT184" s="27" t="str">
        <x:f>IF(C184="","",SUM(BY184,CE184,CK184,CQ184,CW184,DC184,DI184,DO184,DU184,EA184,EG184))</x:f>
      </x:c>
      <x:c r="IU184" s="27" t="str">
        <x:f>IF(C184="","",SUM(BZ184,CF184,CL184,CR184,CX184,DD184,DJ184,DP184,DV184,EB184,EH184))</x:f>
      </x:c>
      <x:c r="IV184" s="27" t="str">
        <x:f>IF(C184="","",SUM(CA184,CG184,CM184,CS184,CY184,DE184,DK184,DQ184,DW184,EC184,EI184))</x:f>
      </x:c>
      <x:c r="IW184" s="27" t="str">
        <x:f>IF(C184="","",SUM(EJ184,EP184,EV184,FB184,FH184,FN184,FT184,FZ184,GF184,GL184,GR184,GX184,HD184,HJ184))</x:f>
      </x:c>
      <x:c r="IX184" s="27" t="str">
        <x:f>IF(C184="","",SUM(EK184,EQ184,EW184,FC184,FI184,FO184,FU184,GA184,GG184,GM184,GS184,GY184,HE184,HK184))</x:f>
      </x:c>
      <x:c r="IY184" s="27" t="str">
        <x:f>IF(C184="","",SUM(EL184,ER184,EX184,FD184,FJ184,FP184,FV184,GB184,GH184,GN184,GT184,GZ184,HF184,HL184))</x:f>
      </x:c>
      <x:c r="IZ184" s="27" t="str">
        <x:f>IF(C184="","",SUM(EM184,ES184,EY184,FE184,FK184,FQ184,FW184,GC184,GI184,GO184,GU184,HA184,HG184,HM184))</x:f>
      </x:c>
      <x:c r="JA184" s="27" t="str">
        <x:f>IF(C184="","",SUM(EN184,ET184,EZ184,FF184,FL184,FR184,FX184,GD184,GJ184,GP184,GV184,HB184,HH184,HN184))</x:f>
      </x:c>
      <x:c r="JB184" s="27" t="str">
        <x:f>IF(C184="","",SUM(EO184,EU184,FA184,FG184,FM184,FS184,FY184,GE184,GK184,GQ184,GW184,HC184,HI184,HO184))</x:f>
      </x:c>
      <x:c r="JC184" s="27" t="str">
        <x:f>IF(C184="","",0)</x:f>
      </x:c>
      <x:c r="JD184" s="27" t="str">
        <x:f>IF(C184="","",0)</x:f>
      </x:c>
      <x:c r="JE184" s="27" t="str">
        <x:f>IF(C184="","",0)</x:f>
      </x:c>
      <x:c r="JF184" s="27" t="str">
        <x:f>IF(C184="","",0)</x:f>
      </x:c>
      <x:c r="JG184" s="27" t="str">
        <x:f>IF(C184="","",0)</x:f>
      </x:c>
      <x:c r="JH184" s="27" t="str">
        <x:f>IF(C184="","",0)</x:f>
      </x:c>
      <x:c r="JI184" s="27" t="str">
        <x:f>IF(C184="","",HP184*1000000000+IW184*1000000+IQ184*10000+IK184*100+JC184+6/1000)</x:f>
      </x:c>
      <x:c r="JJ184" s="27" t="str">
        <x:f>IF(C184="","",HQ184*1000000000+IX184*1000000+IR184*10000+IL184*100+JD184+5/1000)</x:f>
      </x:c>
      <x:c r="JK184" s="27" t="str">
        <x:f>IF(C184="","",HR184*1000000000+IY184*1000000+IS184*10000+IM184*100+JE184+4/1000)</x:f>
      </x:c>
      <x:c r="JL184" s="27" t="str">
        <x:f>IF(C184="","",HS184*1000000000+IZ184*1000000+IT184*10000+IN184*100+JF184+3/1000)</x:f>
      </x:c>
      <x:c r="JM184" s="27" t="str">
        <x:f>IF(C184="","",HT184*1000000000+JA184*1000000+IU184*10000+IO184*100+JG184+2/1000)</x:f>
      </x:c>
      <x:c r="JN184" s="27" t="str">
        <x:f>IF(C184="","",HU184*1000000000+JB184*1000000+IV184*10000+IP184*100+JH184+1/1000)</x:f>
      </x:c>
    </x:row>
    <x:row r="185">
      <x:c r="A185" s="27"/>
      <x:c r="B185" s="28"/>
      <x:c r="C185" s="27"/>
      <x:c r="D185" s="27"/>
      <x:c r="E185" s="27"/>
      <x:c r="F185" s="27"/>
      <x:c r="G185" s="27"/>
      <x:c r="H185" s="27"/>
      <x:c r="I185" s="27"/>
      <x:c r="J185" s="27"/>
      <x:c r="K185" s="27"/>
      <x:c r="L185" s="27"/>
      <x:c r="M185" s="27"/>
      <x:c r="N185" s="27"/>
      <x:c r="O185" s="27"/>
      <x:c r="P185" s="27"/>
      <x:c r="Q185" s="27"/>
      <x:c r="R185" s="27"/>
      <x:c r="S185" s="27"/>
      <x:c r="T185" s="27"/>
      <x:c r="U185" s="27"/>
      <x:c r="V185" s="27"/>
      <x:c r="W185" s="27"/>
      <x:c r="X185" s="27"/>
      <x:c r="Y185" s="27"/>
      <x:c r="Z185" s="27"/>
      <x:c r="AA185" s="27"/>
      <x:c r="AB185" s="27"/>
      <x:c r="AC185" s="27"/>
      <x:c r="AD185" s="27"/>
      <x:c r="AE185" s="27"/>
      <x:c r="AF185" s="27"/>
      <x:c r="AG185" s="27"/>
      <x:c r="AH185" s="27"/>
      <x:c r="AI185" s="27"/>
      <x:c r="AJ185" s="27"/>
      <x:c r="AK185" s="27"/>
      <x:c r="AL185" s="27"/>
      <x:c r="AM185" s="27"/>
      <x:c r="AN185" s="27"/>
      <x:c r="AO185" s="27"/>
      <x:c r="AP185" s="27"/>
      <x:c r="AQ185" s="27"/>
      <x:c r="AR185" s="27"/>
      <x:c r="AS185" s="27"/>
      <x:c r="AT185" s="27"/>
      <x:c r="AU185" s="27"/>
      <x:c r="AV185" s="27"/>
      <x:c r="AW185" s="27"/>
      <x:c r="AX185" s="27"/>
      <x:c r="AY185" s="27"/>
      <x:c r="AZ185" s="27"/>
      <x:c r="BA185" s="27"/>
      <x:c r="BB185" s="27"/>
      <x:c r="BC185" s="27"/>
      <x:c r="BD185" s="27"/>
      <x:c r="BE185" s="27"/>
      <x:c r="BF185" s="27"/>
      <x:c r="BG185" s="27"/>
      <x:c r="BH185" s="27"/>
      <x:c r="BI185" s="27"/>
      <x:c r="BJ185" s="27"/>
      <x:c r="BK185" s="27"/>
      <x:c r="BL185" s="27"/>
      <x:c r="BM185" s="27"/>
      <x:c r="BN185" s="27"/>
      <x:c r="BO185" s="27"/>
      <x:c r="BP185" s="27"/>
      <x:c r="BQ185" s="27"/>
      <x:c r="BR185" s="27"/>
      <x:c r="BS185" s="27"/>
      <x:c r="BT185" s="27"/>
      <x:c r="BU185" s="27"/>
      <x:c r="BV185" s="27"/>
      <x:c r="BW185" s="27"/>
      <x:c r="BX185" s="27"/>
      <x:c r="BY185" s="27"/>
      <x:c r="BZ185" s="27"/>
      <x:c r="CA185" s="27"/>
      <x:c r="CB185" s="27"/>
      <x:c r="CC185" s="27"/>
      <x:c r="CD185" s="27"/>
      <x:c r="CE185" s="27"/>
      <x:c r="CF185" s="27"/>
      <x:c r="CG185" s="27"/>
      <x:c r="CH185" s="27"/>
      <x:c r="CI185" s="27"/>
      <x:c r="CJ185" s="27"/>
      <x:c r="CK185" s="27"/>
      <x:c r="CL185" s="27"/>
      <x:c r="CM185" s="27"/>
      <x:c r="CN185" s="27"/>
      <x:c r="CO185" s="27"/>
      <x:c r="CP185" s="27"/>
      <x:c r="CQ185" s="27"/>
      <x:c r="CR185" s="27"/>
      <x:c r="CS185" s="27"/>
      <x:c r="CT185" s="27"/>
      <x:c r="CU185" s="27"/>
      <x:c r="CV185" s="27"/>
      <x:c r="CW185" s="27"/>
      <x:c r="CX185" s="27"/>
      <x:c r="CY185" s="27"/>
      <x:c r="CZ185" s="27"/>
      <x:c r="DA185" s="27"/>
      <x:c r="DB185" s="27"/>
      <x:c r="DC185" s="27"/>
      <x:c r="DD185" s="27"/>
      <x:c r="DE185" s="27"/>
      <x:c r="DF185" s="27"/>
      <x:c r="DG185" s="27"/>
      <x:c r="DH185" s="27"/>
      <x:c r="DI185" s="27"/>
      <x:c r="DJ185" s="27"/>
      <x:c r="DK185" s="27"/>
      <x:c r="DL185" s="27"/>
      <x:c r="DM185" s="27"/>
      <x:c r="DN185" s="27"/>
      <x:c r="DO185" s="27"/>
      <x:c r="DP185" s="27"/>
      <x:c r="DQ185" s="27"/>
      <x:c r="DR185" s="27"/>
      <x:c r="DS185" s="27"/>
      <x:c r="DT185" s="27"/>
      <x:c r="DU185" s="27"/>
      <x:c r="DV185" s="27"/>
      <x:c r="DW185" s="27"/>
      <x:c r="DX185" s="27"/>
      <x:c r="DY185" s="27"/>
      <x:c r="DZ185" s="27"/>
      <x:c r="EA185" s="27"/>
      <x:c r="EB185" s="27"/>
      <x:c r="EC185" s="27"/>
      <x:c r="ED185" s="27"/>
      <x:c r="EE185" s="27"/>
      <x:c r="EF185" s="27"/>
      <x:c r="EG185" s="27"/>
      <x:c r="EH185" s="27"/>
      <x:c r="EI185" s="27"/>
      <x:c r="EJ185" s="27"/>
      <x:c r="EK185" s="27"/>
      <x:c r="EL185" s="27"/>
      <x:c r="EM185" s="27"/>
      <x:c r="EN185" s="27"/>
      <x:c r="EO185" s="27"/>
      <x:c r="EP185" s="27"/>
      <x:c r="EQ185" s="27"/>
      <x:c r="ER185" s="27"/>
      <x:c r="ES185" s="27"/>
      <x:c r="ET185" s="27"/>
      <x:c r="EU185" s="27"/>
      <x:c r="EV185" s="27"/>
      <x:c r="EW185" s="27"/>
      <x:c r="EX185" s="27"/>
      <x:c r="EY185" s="27"/>
      <x:c r="EZ185" s="27"/>
      <x:c r="FA185" s="27"/>
      <x:c r="FB185" s="27"/>
      <x:c r="FC185" s="27"/>
      <x:c r="FD185" s="27"/>
      <x:c r="FE185" s="27"/>
      <x:c r="FF185" s="27"/>
      <x:c r="FG185" s="27"/>
      <x:c r="FH185" s="27"/>
      <x:c r="FI185" s="27"/>
      <x:c r="FJ185" s="27"/>
      <x:c r="FK185" s="27"/>
      <x:c r="FL185" s="27"/>
      <x:c r="FM185" s="27"/>
      <x:c r="FN185" s="27"/>
      <x:c r="FO185" s="27"/>
      <x:c r="FP185" s="27"/>
      <x:c r="FQ185" s="27"/>
      <x:c r="FR185" s="27"/>
      <x:c r="FS185" s="27"/>
      <x:c r="FT185" s="27"/>
      <x:c r="FU185" s="27"/>
      <x:c r="FV185" s="27"/>
      <x:c r="FW185" s="27"/>
      <x:c r="FX185" s="27"/>
      <x:c r="FY185" s="27"/>
      <x:c r="FZ185" s="27"/>
      <x:c r="GA185" s="27"/>
      <x:c r="GB185" s="27"/>
      <x:c r="GC185" s="27"/>
      <x:c r="GD185" s="27"/>
      <x:c r="GE185" s="27"/>
      <x:c r="GF185" s="27"/>
      <x:c r="GG185" s="27"/>
      <x:c r="GH185" s="27"/>
      <x:c r="GI185" s="27"/>
      <x:c r="GJ185" s="27"/>
      <x:c r="GK185" s="27"/>
      <x:c r="GL185" s="27"/>
      <x:c r="GM185" s="27"/>
      <x:c r="GN185" s="27"/>
      <x:c r="GO185" s="27"/>
      <x:c r="GP185" s="27"/>
      <x:c r="GQ185" s="27"/>
      <x:c r="GR185" s="27"/>
      <x:c r="GS185" s="27"/>
      <x:c r="GT185" s="27"/>
      <x:c r="GU185" s="27"/>
      <x:c r="GV185" s="27"/>
      <x:c r="GW185" s="27"/>
      <x:c r="GX185" s="27"/>
      <x:c r="GY185" s="27"/>
      <x:c r="GZ185" s="27"/>
      <x:c r="HA185" s="27"/>
      <x:c r="HB185" s="27"/>
      <x:c r="HC185" s="27"/>
      <x:c r="HD185" s="27"/>
      <x:c r="HE185" s="27"/>
      <x:c r="HF185" s="27"/>
      <x:c r="HG185" s="27"/>
      <x:c r="HH185" s="27"/>
      <x:c r="HI185" s="27"/>
      <x:c r="HJ185" s="27"/>
      <x:c r="HK185" s="27"/>
      <x:c r="HL185" s="27"/>
      <x:c r="HM185" s="27"/>
      <x:c r="HN185" s="27"/>
      <x:c r="HO185" s="27"/>
      <x:c r="HP185" s="27" t="str">
        <x:f>IF(C185="","",SUM(H185,N185,T185,Z185,AF185,AL185,AR185,AX185,BD185,BJ185,BP185,BV185,CB185,CH185,CN185,CT185,CZ185,DF185,DL185,DR185,DX185,ED185,EJ185,EP185,EV185,FB185,FH185,FN185,FT185,FZ185,GF185,GL185,GR185,GX185,HD185,HJ185))</x:f>
      </x:c>
      <x:c r="HQ185" s="27" t="str">
        <x:f>IF(C185="","",SUM(I185,O185,U185,AA185,AG185,AM185,AS185,AY185,BE185,BK185,BQ185,BW185,CC185,CI185,CO185,CU185,DA185,DG185,DM185,DS185,DY185,EE185,EK185,EQ185,EW185,FC185,FI185,FO185,FU185,GA185,GG185,GM185,GS185,GY185,HE185,HK185))</x:f>
      </x:c>
      <x:c r="HR185" s="27" t="str">
        <x:f>IF(C185="","",SUM(J185,P185,V185,AB185,AH185,AN185,AT185,AZ185,BF185,BL185,BR185,BX185,CD185,CJ185,CP185,CV185,DB185,DH185,DN185,DT185,DZ185,EF185,EL185,ER185,EX185,FD185,FJ185,FP185,FV185,GB185,GH185,GN185,GT185,GZ185,HF185,HL185))</x:f>
      </x:c>
      <x:c r="HS185" s="27" t="str">
        <x:f>IF(C185="","",SUM(K185,Q185,W185,AC185,AI185,AO185,AU185,BA185,BG185,BM185,BS185,BY185,CE185,CK185,CQ185,CW185,DC185,DI185,DO185,DU185,EA185,EG185,EM185,ES185,EY185,FE185,FK185,FQ185,FW185,GC185,GI185,GO185,GU185,HA185,HG185,HM185))</x:f>
      </x:c>
      <x:c r="HT185" s="27" t="str">
        <x:f>IF(C185="","",SUM(L185,R185,X185,AD185,AJ185,AP185,AV185,BB185,BH185,BN185,BT185,BZ185,CF185,CL185,CR185,CX185,DD185,DJ185,DP185,DV185,EB185,EH185,EN185,ET185,EZ185,FF185,FL185,FR185,FX185,GD185,GJ185,GP185,GV185,HB185,HH185,HN185))</x:f>
      </x:c>
      <x:c r="HU185" s="27" t="str">
        <x:f>IF(C185="","",SUM(M185,S185,Y185,AE185,AK185,AQ185,AW185,BC185,BI185,BO185,BU185,CA185,CG185,CM185,CS185,CY185,DE185,DK185,DQ185,DW185,EC185,EI185,EO185,EU185,FA185,FG185,FM185,FS185,FY185,GE185,GK185,GQ185,GW185,HC185,HI185,HO185))</x:f>
      </x:c>
      <x:c r="HV185" s="27" t="str">
        <x:f>IF(C185="","",IF(JI185=LARGE(JI185:JN185,1),"R",IF(JJ185=LARGE(JI185:JN185,1),"I",IF(JK185=LARGE(JI185:JN185,1),"A",IF(JL185=LARGE(JI185:JN185,1),"S",IF(JM185=LARGE(JI185:JN185,1),"E",IF(JN185=LARGE(JI185:JN185,1),"C",""))))))&amp;IF(JI185=LARGE(JI185:JN185,2),"R",IF(JJ185=LARGE(JI185:JN185,2),"I",IF(JK185=LARGE(JI185:JN185,2),"A",IF(JL185=LARGE(JI185:JN185,2),"S",IF(JM185=LARGE(JI185:JN185,2),"E",IF(JN185=LARGE(JI185:JN185,2),"C",""))))))&amp;IF(JI185=LARGE(JI185:JN185,3),"R",IF(JJ185=LARGE(JI185:JN185,3),"I",IF(JK185=LARGE(JI185:JN185,3),"A",IF(JL185=LARGE(JI185:JN185,3),"S",IF(JM185=LARGE(JI185:JN185,3),"E",IF(JN185=LARGE(JI185:JN185,3),"C","")))))))</x:f>
      </x:c>
      <x:c r="HW185" s="27" t="str">
        <x:f>IF(C185="","",IF(JI185=LARGE(JI185:JN185,1),"นักปฏิบัติ",IF(JJ185=LARGE(JI185:JN185,1),"นักคิดวิเคราะห์",IF(JK185=LARGE(JI185:JN185,1),"นักสร้างสรรค์",IF(JL185=LARGE(JI185:JN185,1),"ผู้เข้าใจผู้คน",IF(JM185=LARGE(JI185:JN185,1),"ผู้นำการเปลี่ยนแปลง",IF(JN185=LARGE(JI185:JN185,1),"ผู้จัดระบบ","ผู้จัดระบบ")))))))</x:f>
      </x:c>
      <x:c r="HX185" s="27"/>
      <x:c r="HY185" s="27"/>
      <x:c r="HZ185" s="27"/>
      <x:c r="IA185" s="27"/>
      <x:c r="IB185" s="27"/>
      <x:c r="IC185" s="27"/>
      <x:c r="ID185" s="27"/>
      <x:c r="IE185" s="27"/>
      <x:c r="IF185" s="27"/>
      <x:c r="IG185" s="27"/>
      <x:c r="IH185" s="27"/>
      <x:c r="II185" s="27"/>
      <x:c r="IJ185" s="27"/>
      <x:c r="IK185" s="27" t="str">
        <x:f>IF(C185="","",SUM(H185,N185,T185,Z185,AF185,AL185,AR185,AX185,BD185,BJ185,BP185))</x:f>
      </x:c>
      <x:c r="IL185" s="27" t="str">
        <x:f>IF(C185="","",SUM(I185,O185,U185,AA185,AG185,AM185,AS185,AY185,BE185,BK185,BQ185))</x:f>
      </x:c>
      <x:c r="IM185" s="27" t="str">
        <x:f>IF(C185="","",SUM(J185,P185,V185,AB185,AH185,AN185,AT185,AZ185,BF185,BL185,BR185))</x:f>
      </x:c>
      <x:c r="IN185" s="27" t="str">
        <x:f>IF(C185="","",SUM(K185,Q185,W185,AC185,AI185,AO185,AU185,BA185,BG185,BM185,BS185))</x:f>
      </x:c>
      <x:c r="IO185" s="27" t="str">
        <x:f>IF(C185="","",SUM(L185,R185,X185,AD185,AJ185,AP185,AV185,BB185,BH185,BN185,BT185))</x:f>
      </x:c>
      <x:c r="IP185" s="27" t="str">
        <x:f>IF(C185="","",SUM(M185,S185,Y185,AE185,AK185,AQ185,AW185,BC185,BI185,BO185,BU185))</x:f>
      </x:c>
      <x:c r="IQ185" s="27" t="str">
        <x:f>IF(C185="","",SUM(BV185,CB185,CH185,CN185,CT185,CZ185,DF185,DL185,DR185,DX185,ED185))</x:f>
      </x:c>
      <x:c r="IR185" s="27" t="str">
        <x:f>IF(C185="","",SUM(BW185,CC185,CI185,CO185,CU185,DA185,DG185,DM185,DS185,DY185,EE185))</x:f>
      </x:c>
      <x:c r="IS185" s="27" t="str">
        <x:f>IF(C185="","",SUM(BX185,CD185,CJ185,CP185,CV185,DB185,DH185,DN185,DT185,DZ185,EF185))</x:f>
      </x:c>
      <x:c r="IT185" s="27" t="str">
        <x:f>IF(C185="","",SUM(BY185,CE185,CK185,CQ185,CW185,DC185,DI185,DO185,DU185,EA185,EG185))</x:f>
      </x:c>
      <x:c r="IU185" s="27" t="str">
        <x:f>IF(C185="","",SUM(BZ185,CF185,CL185,CR185,CX185,DD185,DJ185,DP185,DV185,EB185,EH185))</x:f>
      </x:c>
      <x:c r="IV185" s="27" t="str">
        <x:f>IF(C185="","",SUM(CA185,CG185,CM185,CS185,CY185,DE185,DK185,DQ185,DW185,EC185,EI185))</x:f>
      </x:c>
      <x:c r="IW185" s="27" t="str">
        <x:f>IF(C185="","",SUM(EJ185,EP185,EV185,FB185,FH185,FN185,FT185,FZ185,GF185,GL185,GR185,GX185,HD185,HJ185))</x:f>
      </x:c>
      <x:c r="IX185" s="27" t="str">
        <x:f>IF(C185="","",SUM(EK185,EQ185,EW185,FC185,FI185,FO185,FU185,GA185,GG185,GM185,GS185,GY185,HE185,HK185))</x:f>
      </x:c>
      <x:c r="IY185" s="27" t="str">
        <x:f>IF(C185="","",SUM(EL185,ER185,EX185,FD185,FJ185,FP185,FV185,GB185,GH185,GN185,GT185,GZ185,HF185,HL185))</x:f>
      </x:c>
      <x:c r="IZ185" s="27" t="str">
        <x:f>IF(C185="","",SUM(EM185,ES185,EY185,FE185,FK185,FQ185,FW185,GC185,GI185,GO185,GU185,HA185,HG185,HM185))</x:f>
      </x:c>
      <x:c r="JA185" s="27" t="str">
        <x:f>IF(C185="","",SUM(EN185,ET185,EZ185,FF185,FL185,FR185,FX185,GD185,GJ185,GP185,GV185,HB185,HH185,HN185))</x:f>
      </x:c>
      <x:c r="JB185" s="27" t="str">
        <x:f>IF(C185="","",SUM(EO185,EU185,FA185,FG185,FM185,FS185,FY185,GE185,GK185,GQ185,GW185,HC185,HI185,HO185))</x:f>
      </x:c>
      <x:c r="JC185" s="27" t="str">
        <x:f>IF(C185="","",0)</x:f>
      </x:c>
      <x:c r="JD185" s="27" t="str">
        <x:f>IF(C185="","",0)</x:f>
      </x:c>
      <x:c r="JE185" s="27" t="str">
        <x:f>IF(C185="","",0)</x:f>
      </x:c>
      <x:c r="JF185" s="27" t="str">
        <x:f>IF(C185="","",0)</x:f>
      </x:c>
      <x:c r="JG185" s="27" t="str">
        <x:f>IF(C185="","",0)</x:f>
      </x:c>
      <x:c r="JH185" s="27" t="str">
        <x:f>IF(C185="","",0)</x:f>
      </x:c>
      <x:c r="JI185" s="27" t="str">
        <x:f>IF(C185="","",HP185*1000000000+IW185*1000000+IQ185*10000+IK185*100+JC185+6/1000)</x:f>
      </x:c>
      <x:c r="JJ185" s="27" t="str">
        <x:f>IF(C185="","",HQ185*1000000000+IX185*1000000+IR185*10000+IL185*100+JD185+5/1000)</x:f>
      </x:c>
      <x:c r="JK185" s="27" t="str">
        <x:f>IF(C185="","",HR185*1000000000+IY185*1000000+IS185*10000+IM185*100+JE185+4/1000)</x:f>
      </x:c>
      <x:c r="JL185" s="27" t="str">
        <x:f>IF(C185="","",HS185*1000000000+IZ185*1000000+IT185*10000+IN185*100+JF185+3/1000)</x:f>
      </x:c>
      <x:c r="JM185" s="27" t="str">
        <x:f>IF(C185="","",HT185*1000000000+JA185*1000000+IU185*10000+IO185*100+JG185+2/1000)</x:f>
      </x:c>
      <x:c r="JN185" s="27" t="str">
        <x:f>IF(C185="","",HU185*1000000000+JB185*1000000+IV185*10000+IP185*100+JH185+1/1000)</x:f>
      </x:c>
    </x:row>
    <x:row r="186">
      <x:c r="A186" s="27"/>
      <x:c r="B186" s="28"/>
      <x:c r="C186" s="27"/>
      <x:c r="D186" s="27"/>
      <x:c r="E186" s="27"/>
      <x:c r="F186" s="27"/>
      <x:c r="G186" s="27"/>
      <x:c r="H186" s="27"/>
      <x:c r="I186" s="27"/>
      <x:c r="J186" s="27"/>
      <x:c r="K186" s="27"/>
      <x:c r="L186" s="27"/>
      <x:c r="M186" s="27"/>
      <x:c r="N186" s="27"/>
      <x:c r="O186" s="27"/>
      <x:c r="P186" s="27"/>
      <x:c r="Q186" s="27"/>
      <x:c r="R186" s="27"/>
      <x:c r="S186" s="27"/>
      <x:c r="T186" s="27"/>
      <x:c r="U186" s="27"/>
      <x:c r="V186" s="27"/>
      <x:c r="W186" s="27"/>
      <x:c r="X186" s="27"/>
      <x:c r="Y186" s="27"/>
      <x:c r="Z186" s="27"/>
      <x:c r="AA186" s="27"/>
      <x:c r="AB186" s="27"/>
      <x:c r="AC186" s="27"/>
      <x:c r="AD186" s="27"/>
      <x:c r="AE186" s="27"/>
      <x:c r="AF186" s="27"/>
      <x:c r="AG186" s="27"/>
      <x:c r="AH186" s="27"/>
      <x:c r="AI186" s="27"/>
      <x:c r="AJ186" s="27"/>
      <x:c r="AK186" s="27"/>
      <x:c r="AL186" s="27"/>
      <x:c r="AM186" s="27"/>
      <x:c r="AN186" s="27"/>
      <x:c r="AO186" s="27"/>
      <x:c r="AP186" s="27"/>
      <x:c r="AQ186" s="27"/>
      <x:c r="AR186" s="27"/>
      <x:c r="AS186" s="27"/>
      <x:c r="AT186" s="27"/>
      <x:c r="AU186" s="27"/>
      <x:c r="AV186" s="27"/>
      <x:c r="AW186" s="27"/>
      <x:c r="AX186" s="27"/>
      <x:c r="AY186" s="27"/>
      <x:c r="AZ186" s="27"/>
      <x:c r="BA186" s="27"/>
      <x:c r="BB186" s="27"/>
      <x:c r="BC186" s="27"/>
      <x:c r="BD186" s="27"/>
      <x:c r="BE186" s="27"/>
      <x:c r="BF186" s="27"/>
      <x:c r="BG186" s="27"/>
      <x:c r="BH186" s="27"/>
      <x:c r="BI186" s="27"/>
      <x:c r="BJ186" s="27"/>
      <x:c r="BK186" s="27"/>
      <x:c r="BL186" s="27"/>
      <x:c r="BM186" s="27"/>
      <x:c r="BN186" s="27"/>
      <x:c r="BO186" s="27"/>
      <x:c r="BP186" s="27"/>
      <x:c r="BQ186" s="27"/>
      <x:c r="BR186" s="27"/>
      <x:c r="BS186" s="27"/>
      <x:c r="BT186" s="27"/>
      <x:c r="BU186" s="27"/>
      <x:c r="BV186" s="27"/>
      <x:c r="BW186" s="27"/>
      <x:c r="BX186" s="27"/>
      <x:c r="BY186" s="27"/>
      <x:c r="BZ186" s="27"/>
      <x:c r="CA186" s="27"/>
      <x:c r="CB186" s="27"/>
      <x:c r="CC186" s="27"/>
      <x:c r="CD186" s="27"/>
      <x:c r="CE186" s="27"/>
      <x:c r="CF186" s="27"/>
      <x:c r="CG186" s="27"/>
      <x:c r="CH186" s="27"/>
      <x:c r="CI186" s="27"/>
      <x:c r="CJ186" s="27"/>
      <x:c r="CK186" s="27"/>
      <x:c r="CL186" s="27"/>
      <x:c r="CM186" s="27"/>
      <x:c r="CN186" s="27"/>
      <x:c r="CO186" s="27"/>
      <x:c r="CP186" s="27"/>
      <x:c r="CQ186" s="27"/>
      <x:c r="CR186" s="27"/>
      <x:c r="CS186" s="27"/>
      <x:c r="CT186" s="27"/>
      <x:c r="CU186" s="27"/>
      <x:c r="CV186" s="27"/>
      <x:c r="CW186" s="27"/>
      <x:c r="CX186" s="27"/>
      <x:c r="CY186" s="27"/>
      <x:c r="CZ186" s="27"/>
      <x:c r="DA186" s="27"/>
      <x:c r="DB186" s="27"/>
      <x:c r="DC186" s="27"/>
      <x:c r="DD186" s="27"/>
      <x:c r="DE186" s="27"/>
      <x:c r="DF186" s="27"/>
      <x:c r="DG186" s="27"/>
      <x:c r="DH186" s="27"/>
      <x:c r="DI186" s="27"/>
      <x:c r="DJ186" s="27"/>
      <x:c r="DK186" s="27"/>
      <x:c r="DL186" s="27"/>
      <x:c r="DM186" s="27"/>
      <x:c r="DN186" s="27"/>
      <x:c r="DO186" s="27"/>
      <x:c r="DP186" s="27"/>
      <x:c r="DQ186" s="27"/>
      <x:c r="DR186" s="27"/>
      <x:c r="DS186" s="27"/>
      <x:c r="DT186" s="27"/>
      <x:c r="DU186" s="27"/>
      <x:c r="DV186" s="27"/>
      <x:c r="DW186" s="27"/>
      <x:c r="DX186" s="27"/>
      <x:c r="DY186" s="27"/>
      <x:c r="DZ186" s="27"/>
      <x:c r="EA186" s="27"/>
      <x:c r="EB186" s="27"/>
      <x:c r="EC186" s="27"/>
      <x:c r="ED186" s="27"/>
      <x:c r="EE186" s="27"/>
      <x:c r="EF186" s="27"/>
      <x:c r="EG186" s="27"/>
      <x:c r="EH186" s="27"/>
      <x:c r="EI186" s="27"/>
      <x:c r="EJ186" s="27"/>
      <x:c r="EK186" s="27"/>
      <x:c r="EL186" s="27"/>
      <x:c r="EM186" s="27"/>
      <x:c r="EN186" s="27"/>
      <x:c r="EO186" s="27"/>
      <x:c r="EP186" s="27"/>
      <x:c r="EQ186" s="27"/>
      <x:c r="ER186" s="27"/>
      <x:c r="ES186" s="27"/>
      <x:c r="ET186" s="27"/>
      <x:c r="EU186" s="27"/>
      <x:c r="EV186" s="27"/>
      <x:c r="EW186" s="27"/>
      <x:c r="EX186" s="27"/>
      <x:c r="EY186" s="27"/>
      <x:c r="EZ186" s="27"/>
      <x:c r="FA186" s="27"/>
      <x:c r="FB186" s="27"/>
      <x:c r="FC186" s="27"/>
      <x:c r="FD186" s="27"/>
      <x:c r="FE186" s="27"/>
      <x:c r="FF186" s="27"/>
      <x:c r="FG186" s="27"/>
      <x:c r="FH186" s="27"/>
      <x:c r="FI186" s="27"/>
      <x:c r="FJ186" s="27"/>
      <x:c r="FK186" s="27"/>
      <x:c r="FL186" s="27"/>
      <x:c r="FM186" s="27"/>
      <x:c r="FN186" s="27"/>
      <x:c r="FO186" s="27"/>
      <x:c r="FP186" s="27"/>
      <x:c r="FQ186" s="27"/>
      <x:c r="FR186" s="27"/>
      <x:c r="FS186" s="27"/>
      <x:c r="FT186" s="27"/>
      <x:c r="FU186" s="27"/>
      <x:c r="FV186" s="27"/>
      <x:c r="FW186" s="27"/>
      <x:c r="FX186" s="27"/>
      <x:c r="FY186" s="27"/>
      <x:c r="FZ186" s="27"/>
      <x:c r="GA186" s="27"/>
      <x:c r="GB186" s="27"/>
      <x:c r="GC186" s="27"/>
      <x:c r="GD186" s="27"/>
      <x:c r="GE186" s="27"/>
      <x:c r="GF186" s="27"/>
      <x:c r="GG186" s="27"/>
      <x:c r="GH186" s="27"/>
      <x:c r="GI186" s="27"/>
      <x:c r="GJ186" s="27"/>
      <x:c r="GK186" s="27"/>
      <x:c r="GL186" s="27"/>
      <x:c r="GM186" s="27"/>
      <x:c r="GN186" s="27"/>
      <x:c r="GO186" s="27"/>
      <x:c r="GP186" s="27"/>
      <x:c r="GQ186" s="27"/>
      <x:c r="GR186" s="27"/>
      <x:c r="GS186" s="27"/>
      <x:c r="GT186" s="27"/>
      <x:c r="GU186" s="27"/>
      <x:c r="GV186" s="27"/>
      <x:c r="GW186" s="27"/>
      <x:c r="GX186" s="27"/>
      <x:c r="GY186" s="27"/>
      <x:c r="GZ186" s="27"/>
      <x:c r="HA186" s="27"/>
      <x:c r="HB186" s="27"/>
      <x:c r="HC186" s="27"/>
      <x:c r="HD186" s="27"/>
      <x:c r="HE186" s="27"/>
      <x:c r="HF186" s="27"/>
      <x:c r="HG186" s="27"/>
      <x:c r="HH186" s="27"/>
      <x:c r="HI186" s="27"/>
      <x:c r="HJ186" s="27"/>
      <x:c r="HK186" s="27"/>
      <x:c r="HL186" s="27"/>
      <x:c r="HM186" s="27"/>
      <x:c r="HN186" s="27"/>
      <x:c r="HO186" s="27"/>
      <x:c r="HP186" s="27" t="str">
        <x:f>IF(C186="","",SUM(H186,N186,T186,Z186,AF186,AL186,AR186,AX186,BD186,BJ186,BP186,BV186,CB186,CH186,CN186,CT186,CZ186,DF186,DL186,DR186,DX186,ED186,EJ186,EP186,EV186,FB186,FH186,FN186,FT186,FZ186,GF186,GL186,GR186,GX186,HD186,HJ186))</x:f>
      </x:c>
      <x:c r="HQ186" s="27" t="str">
        <x:f>IF(C186="","",SUM(I186,O186,U186,AA186,AG186,AM186,AS186,AY186,BE186,BK186,BQ186,BW186,CC186,CI186,CO186,CU186,DA186,DG186,DM186,DS186,DY186,EE186,EK186,EQ186,EW186,FC186,FI186,FO186,FU186,GA186,GG186,GM186,GS186,GY186,HE186,HK186))</x:f>
      </x:c>
      <x:c r="HR186" s="27" t="str">
        <x:f>IF(C186="","",SUM(J186,P186,V186,AB186,AH186,AN186,AT186,AZ186,BF186,BL186,BR186,BX186,CD186,CJ186,CP186,CV186,DB186,DH186,DN186,DT186,DZ186,EF186,EL186,ER186,EX186,FD186,FJ186,FP186,FV186,GB186,GH186,GN186,GT186,GZ186,HF186,HL186))</x:f>
      </x:c>
      <x:c r="HS186" s="27" t="str">
        <x:f>IF(C186="","",SUM(K186,Q186,W186,AC186,AI186,AO186,AU186,BA186,BG186,BM186,BS186,BY186,CE186,CK186,CQ186,CW186,DC186,DI186,DO186,DU186,EA186,EG186,EM186,ES186,EY186,FE186,FK186,FQ186,FW186,GC186,GI186,GO186,GU186,HA186,HG186,HM186))</x:f>
      </x:c>
      <x:c r="HT186" s="27" t="str">
        <x:f>IF(C186="","",SUM(L186,R186,X186,AD186,AJ186,AP186,AV186,BB186,BH186,BN186,BT186,BZ186,CF186,CL186,CR186,CX186,DD186,DJ186,DP186,DV186,EB186,EH186,EN186,ET186,EZ186,FF186,FL186,FR186,FX186,GD186,GJ186,GP186,GV186,HB186,HH186,HN186))</x:f>
      </x:c>
      <x:c r="HU186" s="27" t="str">
        <x:f>IF(C186="","",SUM(M186,S186,Y186,AE186,AK186,AQ186,AW186,BC186,BI186,BO186,BU186,CA186,CG186,CM186,CS186,CY186,DE186,DK186,DQ186,DW186,EC186,EI186,EO186,EU186,FA186,FG186,FM186,FS186,FY186,GE186,GK186,GQ186,GW186,HC186,HI186,HO186))</x:f>
      </x:c>
      <x:c r="HV186" s="27" t="str">
        <x:f>IF(C186="","",IF(JI186=LARGE(JI186:JN186,1),"R",IF(JJ186=LARGE(JI186:JN186,1),"I",IF(JK186=LARGE(JI186:JN186,1),"A",IF(JL186=LARGE(JI186:JN186,1),"S",IF(JM186=LARGE(JI186:JN186,1),"E",IF(JN186=LARGE(JI186:JN186,1),"C",""))))))&amp;IF(JI186=LARGE(JI186:JN186,2),"R",IF(JJ186=LARGE(JI186:JN186,2),"I",IF(JK186=LARGE(JI186:JN186,2),"A",IF(JL186=LARGE(JI186:JN186,2),"S",IF(JM186=LARGE(JI186:JN186,2),"E",IF(JN186=LARGE(JI186:JN186,2),"C",""))))))&amp;IF(JI186=LARGE(JI186:JN186,3),"R",IF(JJ186=LARGE(JI186:JN186,3),"I",IF(JK186=LARGE(JI186:JN186,3),"A",IF(JL186=LARGE(JI186:JN186,3),"S",IF(JM186=LARGE(JI186:JN186,3),"E",IF(JN186=LARGE(JI186:JN186,3),"C","")))))))</x:f>
      </x:c>
      <x:c r="HW186" s="27" t="str">
        <x:f>IF(C186="","",IF(JI186=LARGE(JI186:JN186,1),"นักปฏิบัติ",IF(JJ186=LARGE(JI186:JN186,1),"นักคิดวิเคราะห์",IF(JK186=LARGE(JI186:JN186,1),"นักสร้างสรรค์",IF(JL186=LARGE(JI186:JN186,1),"ผู้เข้าใจผู้คน",IF(JM186=LARGE(JI186:JN186,1),"ผู้นำการเปลี่ยนแปลง",IF(JN186=LARGE(JI186:JN186,1),"ผู้จัดระบบ","ผู้จัดระบบ")))))))</x:f>
      </x:c>
      <x:c r="HX186" s="27"/>
      <x:c r="HY186" s="27"/>
      <x:c r="HZ186" s="27"/>
      <x:c r="IA186" s="27"/>
      <x:c r="IB186" s="27"/>
      <x:c r="IC186" s="27"/>
      <x:c r="ID186" s="27"/>
      <x:c r="IE186" s="27"/>
      <x:c r="IF186" s="27"/>
      <x:c r="IG186" s="27"/>
      <x:c r="IH186" s="27"/>
      <x:c r="II186" s="27"/>
      <x:c r="IJ186" s="27"/>
      <x:c r="IK186" s="27" t="str">
        <x:f>IF(C186="","",SUM(H186,N186,T186,Z186,AF186,AL186,AR186,AX186,BD186,BJ186,BP186))</x:f>
      </x:c>
      <x:c r="IL186" s="27" t="str">
        <x:f>IF(C186="","",SUM(I186,O186,U186,AA186,AG186,AM186,AS186,AY186,BE186,BK186,BQ186))</x:f>
      </x:c>
      <x:c r="IM186" s="27" t="str">
        <x:f>IF(C186="","",SUM(J186,P186,V186,AB186,AH186,AN186,AT186,AZ186,BF186,BL186,BR186))</x:f>
      </x:c>
      <x:c r="IN186" s="27" t="str">
        <x:f>IF(C186="","",SUM(K186,Q186,W186,AC186,AI186,AO186,AU186,BA186,BG186,BM186,BS186))</x:f>
      </x:c>
      <x:c r="IO186" s="27" t="str">
        <x:f>IF(C186="","",SUM(L186,R186,X186,AD186,AJ186,AP186,AV186,BB186,BH186,BN186,BT186))</x:f>
      </x:c>
      <x:c r="IP186" s="27" t="str">
        <x:f>IF(C186="","",SUM(M186,S186,Y186,AE186,AK186,AQ186,AW186,BC186,BI186,BO186,BU186))</x:f>
      </x:c>
      <x:c r="IQ186" s="27" t="str">
        <x:f>IF(C186="","",SUM(BV186,CB186,CH186,CN186,CT186,CZ186,DF186,DL186,DR186,DX186,ED186))</x:f>
      </x:c>
      <x:c r="IR186" s="27" t="str">
        <x:f>IF(C186="","",SUM(BW186,CC186,CI186,CO186,CU186,DA186,DG186,DM186,DS186,DY186,EE186))</x:f>
      </x:c>
      <x:c r="IS186" s="27" t="str">
        <x:f>IF(C186="","",SUM(BX186,CD186,CJ186,CP186,CV186,DB186,DH186,DN186,DT186,DZ186,EF186))</x:f>
      </x:c>
      <x:c r="IT186" s="27" t="str">
        <x:f>IF(C186="","",SUM(BY186,CE186,CK186,CQ186,CW186,DC186,DI186,DO186,DU186,EA186,EG186))</x:f>
      </x:c>
      <x:c r="IU186" s="27" t="str">
        <x:f>IF(C186="","",SUM(BZ186,CF186,CL186,CR186,CX186,DD186,DJ186,DP186,DV186,EB186,EH186))</x:f>
      </x:c>
      <x:c r="IV186" s="27" t="str">
        <x:f>IF(C186="","",SUM(CA186,CG186,CM186,CS186,CY186,DE186,DK186,DQ186,DW186,EC186,EI186))</x:f>
      </x:c>
      <x:c r="IW186" s="27" t="str">
        <x:f>IF(C186="","",SUM(EJ186,EP186,EV186,FB186,FH186,FN186,FT186,FZ186,GF186,GL186,GR186,GX186,HD186,HJ186))</x:f>
      </x:c>
      <x:c r="IX186" s="27" t="str">
        <x:f>IF(C186="","",SUM(EK186,EQ186,EW186,FC186,FI186,FO186,FU186,GA186,GG186,GM186,GS186,GY186,HE186,HK186))</x:f>
      </x:c>
      <x:c r="IY186" s="27" t="str">
        <x:f>IF(C186="","",SUM(EL186,ER186,EX186,FD186,FJ186,FP186,FV186,GB186,GH186,GN186,GT186,GZ186,HF186,HL186))</x:f>
      </x:c>
      <x:c r="IZ186" s="27" t="str">
        <x:f>IF(C186="","",SUM(EM186,ES186,EY186,FE186,FK186,FQ186,FW186,GC186,GI186,GO186,GU186,HA186,HG186,HM186))</x:f>
      </x:c>
      <x:c r="JA186" s="27" t="str">
        <x:f>IF(C186="","",SUM(EN186,ET186,EZ186,FF186,FL186,FR186,FX186,GD186,GJ186,GP186,GV186,HB186,HH186,HN186))</x:f>
      </x:c>
      <x:c r="JB186" s="27" t="str">
        <x:f>IF(C186="","",SUM(EO186,EU186,FA186,FG186,FM186,FS186,FY186,GE186,GK186,GQ186,GW186,HC186,HI186,HO186))</x:f>
      </x:c>
      <x:c r="JC186" s="27" t="str">
        <x:f>IF(C186="","",0)</x:f>
      </x:c>
      <x:c r="JD186" s="27" t="str">
        <x:f>IF(C186="","",0)</x:f>
      </x:c>
      <x:c r="JE186" s="27" t="str">
        <x:f>IF(C186="","",0)</x:f>
      </x:c>
      <x:c r="JF186" s="27" t="str">
        <x:f>IF(C186="","",0)</x:f>
      </x:c>
      <x:c r="JG186" s="27" t="str">
        <x:f>IF(C186="","",0)</x:f>
      </x:c>
      <x:c r="JH186" s="27" t="str">
        <x:f>IF(C186="","",0)</x:f>
      </x:c>
      <x:c r="JI186" s="27" t="str">
        <x:f>IF(C186="","",HP186*1000000000+IW186*1000000+IQ186*10000+IK186*100+JC186+6/1000)</x:f>
      </x:c>
      <x:c r="JJ186" s="27" t="str">
        <x:f>IF(C186="","",HQ186*1000000000+IX186*1000000+IR186*10000+IL186*100+JD186+5/1000)</x:f>
      </x:c>
      <x:c r="JK186" s="27" t="str">
        <x:f>IF(C186="","",HR186*1000000000+IY186*1000000+IS186*10000+IM186*100+JE186+4/1000)</x:f>
      </x:c>
      <x:c r="JL186" s="27" t="str">
        <x:f>IF(C186="","",HS186*1000000000+IZ186*1000000+IT186*10000+IN186*100+JF186+3/1000)</x:f>
      </x:c>
      <x:c r="JM186" s="27" t="str">
        <x:f>IF(C186="","",HT186*1000000000+JA186*1000000+IU186*10000+IO186*100+JG186+2/1000)</x:f>
      </x:c>
      <x:c r="JN186" s="27" t="str">
        <x:f>IF(C186="","",HU186*1000000000+JB186*1000000+IV186*10000+IP186*100+JH186+1/1000)</x:f>
      </x:c>
    </x:row>
    <x:row r="187">
      <x:c r="A187" s="27"/>
      <x:c r="B187" s="28"/>
      <x:c r="C187" s="27"/>
      <x:c r="D187" s="27"/>
      <x:c r="E187" s="27"/>
      <x:c r="F187" s="27"/>
      <x:c r="G187" s="27"/>
      <x:c r="H187" s="27"/>
      <x:c r="I187" s="27"/>
      <x:c r="J187" s="27"/>
      <x:c r="K187" s="27"/>
      <x:c r="L187" s="27"/>
      <x:c r="M187" s="27"/>
      <x:c r="N187" s="27"/>
      <x:c r="O187" s="27"/>
      <x:c r="P187" s="27"/>
      <x:c r="Q187" s="27"/>
      <x:c r="R187" s="27"/>
      <x:c r="S187" s="27"/>
      <x:c r="T187" s="27"/>
      <x:c r="U187" s="27"/>
      <x:c r="V187" s="27"/>
      <x:c r="W187" s="27"/>
      <x:c r="X187" s="27"/>
      <x:c r="Y187" s="27"/>
      <x:c r="Z187" s="27"/>
      <x:c r="AA187" s="27"/>
      <x:c r="AB187" s="27"/>
      <x:c r="AC187" s="27"/>
      <x:c r="AD187" s="27"/>
      <x:c r="AE187" s="27"/>
      <x:c r="AF187" s="27"/>
      <x:c r="AG187" s="27"/>
      <x:c r="AH187" s="27"/>
      <x:c r="AI187" s="27"/>
      <x:c r="AJ187" s="27"/>
      <x:c r="AK187" s="27"/>
      <x:c r="AL187" s="27"/>
      <x:c r="AM187" s="27"/>
      <x:c r="AN187" s="27"/>
      <x:c r="AO187" s="27"/>
      <x:c r="AP187" s="27"/>
      <x:c r="AQ187" s="27"/>
      <x:c r="AR187" s="27"/>
      <x:c r="AS187" s="27"/>
      <x:c r="AT187" s="27"/>
      <x:c r="AU187" s="27"/>
      <x:c r="AV187" s="27"/>
      <x:c r="AW187" s="27"/>
      <x:c r="AX187" s="27"/>
      <x:c r="AY187" s="27"/>
      <x:c r="AZ187" s="27"/>
      <x:c r="BA187" s="27"/>
      <x:c r="BB187" s="27"/>
      <x:c r="BC187" s="27"/>
      <x:c r="BD187" s="27"/>
      <x:c r="BE187" s="27"/>
      <x:c r="BF187" s="27"/>
      <x:c r="BG187" s="27"/>
      <x:c r="BH187" s="27"/>
      <x:c r="BI187" s="27"/>
      <x:c r="BJ187" s="27"/>
      <x:c r="BK187" s="27"/>
      <x:c r="BL187" s="27"/>
      <x:c r="BM187" s="27"/>
      <x:c r="BN187" s="27"/>
      <x:c r="BO187" s="27"/>
      <x:c r="BP187" s="27"/>
      <x:c r="BQ187" s="27"/>
      <x:c r="BR187" s="27"/>
      <x:c r="BS187" s="27"/>
      <x:c r="BT187" s="27"/>
      <x:c r="BU187" s="27"/>
      <x:c r="BV187" s="27"/>
      <x:c r="BW187" s="27"/>
      <x:c r="BX187" s="27"/>
      <x:c r="BY187" s="27"/>
      <x:c r="BZ187" s="27"/>
      <x:c r="CA187" s="27"/>
      <x:c r="CB187" s="27"/>
      <x:c r="CC187" s="27"/>
      <x:c r="CD187" s="27"/>
      <x:c r="CE187" s="27"/>
      <x:c r="CF187" s="27"/>
      <x:c r="CG187" s="27"/>
      <x:c r="CH187" s="27"/>
      <x:c r="CI187" s="27"/>
      <x:c r="CJ187" s="27"/>
      <x:c r="CK187" s="27"/>
      <x:c r="CL187" s="27"/>
      <x:c r="CM187" s="27"/>
      <x:c r="CN187" s="27"/>
      <x:c r="CO187" s="27"/>
      <x:c r="CP187" s="27"/>
      <x:c r="CQ187" s="27"/>
      <x:c r="CR187" s="27"/>
      <x:c r="CS187" s="27"/>
      <x:c r="CT187" s="27"/>
      <x:c r="CU187" s="27"/>
      <x:c r="CV187" s="27"/>
      <x:c r="CW187" s="27"/>
      <x:c r="CX187" s="27"/>
      <x:c r="CY187" s="27"/>
      <x:c r="CZ187" s="27"/>
      <x:c r="DA187" s="27"/>
      <x:c r="DB187" s="27"/>
      <x:c r="DC187" s="27"/>
      <x:c r="DD187" s="27"/>
      <x:c r="DE187" s="27"/>
      <x:c r="DF187" s="27"/>
      <x:c r="DG187" s="27"/>
      <x:c r="DH187" s="27"/>
      <x:c r="DI187" s="27"/>
      <x:c r="DJ187" s="27"/>
      <x:c r="DK187" s="27"/>
      <x:c r="DL187" s="27"/>
      <x:c r="DM187" s="27"/>
      <x:c r="DN187" s="27"/>
      <x:c r="DO187" s="27"/>
      <x:c r="DP187" s="27"/>
      <x:c r="DQ187" s="27"/>
      <x:c r="DR187" s="27"/>
      <x:c r="DS187" s="27"/>
      <x:c r="DT187" s="27"/>
      <x:c r="DU187" s="27"/>
      <x:c r="DV187" s="27"/>
      <x:c r="DW187" s="27"/>
      <x:c r="DX187" s="27"/>
      <x:c r="DY187" s="27"/>
      <x:c r="DZ187" s="27"/>
      <x:c r="EA187" s="27"/>
      <x:c r="EB187" s="27"/>
      <x:c r="EC187" s="27"/>
      <x:c r="ED187" s="27"/>
      <x:c r="EE187" s="27"/>
      <x:c r="EF187" s="27"/>
      <x:c r="EG187" s="27"/>
      <x:c r="EH187" s="27"/>
      <x:c r="EI187" s="27"/>
      <x:c r="EJ187" s="27"/>
      <x:c r="EK187" s="27"/>
      <x:c r="EL187" s="27"/>
      <x:c r="EM187" s="27"/>
      <x:c r="EN187" s="27"/>
      <x:c r="EO187" s="27"/>
      <x:c r="EP187" s="27"/>
      <x:c r="EQ187" s="27"/>
      <x:c r="ER187" s="27"/>
      <x:c r="ES187" s="27"/>
      <x:c r="ET187" s="27"/>
      <x:c r="EU187" s="27"/>
      <x:c r="EV187" s="27"/>
      <x:c r="EW187" s="27"/>
      <x:c r="EX187" s="27"/>
      <x:c r="EY187" s="27"/>
      <x:c r="EZ187" s="27"/>
      <x:c r="FA187" s="27"/>
      <x:c r="FB187" s="27"/>
      <x:c r="FC187" s="27"/>
      <x:c r="FD187" s="27"/>
      <x:c r="FE187" s="27"/>
      <x:c r="FF187" s="27"/>
      <x:c r="FG187" s="27"/>
      <x:c r="FH187" s="27"/>
      <x:c r="FI187" s="27"/>
      <x:c r="FJ187" s="27"/>
      <x:c r="FK187" s="27"/>
      <x:c r="FL187" s="27"/>
      <x:c r="FM187" s="27"/>
      <x:c r="FN187" s="27"/>
      <x:c r="FO187" s="27"/>
      <x:c r="FP187" s="27"/>
      <x:c r="FQ187" s="27"/>
      <x:c r="FR187" s="27"/>
      <x:c r="FS187" s="27"/>
      <x:c r="FT187" s="27"/>
      <x:c r="FU187" s="27"/>
      <x:c r="FV187" s="27"/>
      <x:c r="FW187" s="27"/>
      <x:c r="FX187" s="27"/>
      <x:c r="FY187" s="27"/>
      <x:c r="FZ187" s="27"/>
      <x:c r="GA187" s="27"/>
      <x:c r="GB187" s="27"/>
      <x:c r="GC187" s="27"/>
      <x:c r="GD187" s="27"/>
      <x:c r="GE187" s="27"/>
      <x:c r="GF187" s="27"/>
      <x:c r="GG187" s="27"/>
      <x:c r="GH187" s="27"/>
      <x:c r="GI187" s="27"/>
      <x:c r="GJ187" s="27"/>
      <x:c r="GK187" s="27"/>
      <x:c r="GL187" s="27"/>
      <x:c r="GM187" s="27"/>
      <x:c r="GN187" s="27"/>
      <x:c r="GO187" s="27"/>
      <x:c r="GP187" s="27"/>
      <x:c r="GQ187" s="27"/>
      <x:c r="GR187" s="27"/>
      <x:c r="GS187" s="27"/>
      <x:c r="GT187" s="27"/>
      <x:c r="GU187" s="27"/>
      <x:c r="GV187" s="27"/>
      <x:c r="GW187" s="27"/>
      <x:c r="GX187" s="27"/>
      <x:c r="GY187" s="27"/>
      <x:c r="GZ187" s="27"/>
      <x:c r="HA187" s="27"/>
      <x:c r="HB187" s="27"/>
      <x:c r="HC187" s="27"/>
      <x:c r="HD187" s="27"/>
      <x:c r="HE187" s="27"/>
      <x:c r="HF187" s="27"/>
      <x:c r="HG187" s="27"/>
      <x:c r="HH187" s="27"/>
      <x:c r="HI187" s="27"/>
      <x:c r="HJ187" s="27"/>
      <x:c r="HK187" s="27"/>
      <x:c r="HL187" s="27"/>
      <x:c r="HM187" s="27"/>
      <x:c r="HN187" s="27"/>
      <x:c r="HO187" s="27"/>
      <x:c r="HP187" s="27" t="str">
        <x:f>IF(C187="","",SUM(H187,N187,T187,Z187,AF187,AL187,AR187,AX187,BD187,BJ187,BP187,BV187,CB187,CH187,CN187,CT187,CZ187,DF187,DL187,DR187,DX187,ED187,EJ187,EP187,EV187,FB187,FH187,FN187,FT187,FZ187,GF187,GL187,GR187,GX187,HD187,HJ187))</x:f>
      </x:c>
      <x:c r="HQ187" s="27" t="str">
        <x:f>IF(C187="","",SUM(I187,O187,U187,AA187,AG187,AM187,AS187,AY187,BE187,BK187,BQ187,BW187,CC187,CI187,CO187,CU187,DA187,DG187,DM187,DS187,DY187,EE187,EK187,EQ187,EW187,FC187,FI187,FO187,FU187,GA187,GG187,GM187,GS187,GY187,HE187,HK187))</x:f>
      </x:c>
      <x:c r="HR187" s="27" t="str">
        <x:f>IF(C187="","",SUM(J187,P187,V187,AB187,AH187,AN187,AT187,AZ187,BF187,BL187,BR187,BX187,CD187,CJ187,CP187,CV187,DB187,DH187,DN187,DT187,DZ187,EF187,EL187,ER187,EX187,FD187,FJ187,FP187,FV187,GB187,GH187,GN187,GT187,GZ187,HF187,HL187))</x:f>
      </x:c>
      <x:c r="HS187" s="27" t="str">
        <x:f>IF(C187="","",SUM(K187,Q187,W187,AC187,AI187,AO187,AU187,BA187,BG187,BM187,BS187,BY187,CE187,CK187,CQ187,CW187,DC187,DI187,DO187,DU187,EA187,EG187,EM187,ES187,EY187,FE187,FK187,FQ187,FW187,GC187,GI187,GO187,GU187,HA187,HG187,HM187))</x:f>
      </x:c>
      <x:c r="HT187" s="27" t="str">
        <x:f>IF(C187="","",SUM(L187,R187,X187,AD187,AJ187,AP187,AV187,BB187,BH187,BN187,BT187,BZ187,CF187,CL187,CR187,CX187,DD187,DJ187,DP187,DV187,EB187,EH187,EN187,ET187,EZ187,FF187,FL187,FR187,FX187,GD187,GJ187,GP187,GV187,HB187,HH187,HN187))</x:f>
      </x:c>
      <x:c r="HU187" s="27" t="str">
        <x:f>IF(C187="","",SUM(M187,S187,Y187,AE187,AK187,AQ187,AW187,BC187,BI187,BO187,BU187,CA187,CG187,CM187,CS187,CY187,DE187,DK187,DQ187,DW187,EC187,EI187,EO187,EU187,FA187,FG187,FM187,FS187,FY187,GE187,GK187,GQ187,GW187,HC187,HI187,HO187))</x:f>
      </x:c>
      <x:c r="HV187" s="27" t="str">
        <x:f>IF(C187="","",IF(JI187=LARGE(JI187:JN187,1),"R",IF(JJ187=LARGE(JI187:JN187,1),"I",IF(JK187=LARGE(JI187:JN187,1),"A",IF(JL187=LARGE(JI187:JN187,1),"S",IF(JM187=LARGE(JI187:JN187,1),"E",IF(JN187=LARGE(JI187:JN187,1),"C",""))))))&amp;IF(JI187=LARGE(JI187:JN187,2),"R",IF(JJ187=LARGE(JI187:JN187,2),"I",IF(JK187=LARGE(JI187:JN187,2),"A",IF(JL187=LARGE(JI187:JN187,2),"S",IF(JM187=LARGE(JI187:JN187,2),"E",IF(JN187=LARGE(JI187:JN187,2),"C",""))))))&amp;IF(JI187=LARGE(JI187:JN187,3),"R",IF(JJ187=LARGE(JI187:JN187,3),"I",IF(JK187=LARGE(JI187:JN187,3),"A",IF(JL187=LARGE(JI187:JN187,3),"S",IF(JM187=LARGE(JI187:JN187,3),"E",IF(JN187=LARGE(JI187:JN187,3),"C","")))))))</x:f>
      </x:c>
      <x:c r="HW187" s="27" t="str">
        <x:f>IF(C187="","",IF(JI187=LARGE(JI187:JN187,1),"นักปฏิบัติ",IF(JJ187=LARGE(JI187:JN187,1),"นักคิดวิเคราะห์",IF(JK187=LARGE(JI187:JN187,1),"นักสร้างสรรค์",IF(JL187=LARGE(JI187:JN187,1),"ผู้เข้าใจผู้คน",IF(JM187=LARGE(JI187:JN187,1),"ผู้นำการเปลี่ยนแปลง",IF(JN187=LARGE(JI187:JN187,1),"ผู้จัดระบบ","ผู้จัดระบบ")))))))</x:f>
      </x:c>
      <x:c r="HX187" s="27"/>
      <x:c r="HY187" s="27"/>
      <x:c r="HZ187" s="27"/>
      <x:c r="IA187" s="27"/>
      <x:c r="IB187" s="27"/>
      <x:c r="IC187" s="27"/>
      <x:c r="ID187" s="27"/>
      <x:c r="IE187" s="27"/>
      <x:c r="IF187" s="27"/>
      <x:c r="IG187" s="27"/>
      <x:c r="IH187" s="27"/>
      <x:c r="II187" s="27"/>
      <x:c r="IJ187" s="27"/>
      <x:c r="IK187" s="27" t="str">
        <x:f>IF(C187="","",SUM(H187,N187,T187,Z187,AF187,AL187,AR187,AX187,BD187,BJ187,BP187))</x:f>
      </x:c>
      <x:c r="IL187" s="27" t="str">
        <x:f>IF(C187="","",SUM(I187,O187,U187,AA187,AG187,AM187,AS187,AY187,BE187,BK187,BQ187))</x:f>
      </x:c>
      <x:c r="IM187" s="27" t="str">
        <x:f>IF(C187="","",SUM(J187,P187,V187,AB187,AH187,AN187,AT187,AZ187,BF187,BL187,BR187))</x:f>
      </x:c>
      <x:c r="IN187" s="27" t="str">
        <x:f>IF(C187="","",SUM(K187,Q187,W187,AC187,AI187,AO187,AU187,BA187,BG187,BM187,BS187))</x:f>
      </x:c>
      <x:c r="IO187" s="27" t="str">
        <x:f>IF(C187="","",SUM(L187,R187,X187,AD187,AJ187,AP187,AV187,BB187,BH187,BN187,BT187))</x:f>
      </x:c>
      <x:c r="IP187" s="27" t="str">
        <x:f>IF(C187="","",SUM(M187,S187,Y187,AE187,AK187,AQ187,AW187,BC187,BI187,BO187,BU187))</x:f>
      </x:c>
      <x:c r="IQ187" s="27" t="str">
        <x:f>IF(C187="","",SUM(BV187,CB187,CH187,CN187,CT187,CZ187,DF187,DL187,DR187,DX187,ED187))</x:f>
      </x:c>
      <x:c r="IR187" s="27" t="str">
        <x:f>IF(C187="","",SUM(BW187,CC187,CI187,CO187,CU187,DA187,DG187,DM187,DS187,DY187,EE187))</x:f>
      </x:c>
      <x:c r="IS187" s="27" t="str">
        <x:f>IF(C187="","",SUM(BX187,CD187,CJ187,CP187,CV187,DB187,DH187,DN187,DT187,DZ187,EF187))</x:f>
      </x:c>
      <x:c r="IT187" s="27" t="str">
        <x:f>IF(C187="","",SUM(BY187,CE187,CK187,CQ187,CW187,DC187,DI187,DO187,DU187,EA187,EG187))</x:f>
      </x:c>
      <x:c r="IU187" s="27" t="str">
        <x:f>IF(C187="","",SUM(BZ187,CF187,CL187,CR187,CX187,DD187,DJ187,DP187,DV187,EB187,EH187))</x:f>
      </x:c>
      <x:c r="IV187" s="27" t="str">
        <x:f>IF(C187="","",SUM(CA187,CG187,CM187,CS187,CY187,DE187,DK187,DQ187,DW187,EC187,EI187))</x:f>
      </x:c>
      <x:c r="IW187" s="27" t="str">
        <x:f>IF(C187="","",SUM(EJ187,EP187,EV187,FB187,FH187,FN187,FT187,FZ187,GF187,GL187,GR187,GX187,HD187,HJ187))</x:f>
      </x:c>
      <x:c r="IX187" s="27" t="str">
        <x:f>IF(C187="","",SUM(EK187,EQ187,EW187,FC187,FI187,FO187,FU187,GA187,GG187,GM187,GS187,GY187,HE187,HK187))</x:f>
      </x:c>
      <x:c r="IY187" s="27" t="str">
        <x:f>IF(C187="","",SUM(EL187,ER187,EX187,FD187,FJ187,FP187,FV187,GB187,GH187,GN187,GT187,GZ187,HF187,HL187))</x:f>
      </x:c>
      <x:c r="IZ187" s="27" t="str">
        <x:f>IF(C187="","",SUM(EM187,ES187,EY187,FE187,FK187,FQ187,FW187,GC187,GI187,GO187,GU187,HA187,HG187,HM187))</x:f>
      </x:c>
      <x:c r="JA187" s="27" t="str">
        <x:f>IF(C187="","",SUM(EN187,ET187,EZ187,FF187,FL187,FR187,FX187,GD187,GJ187,GP187,GV187,HB187,HH187,HN187))</x:f>
      </x:c>
      <x:c r="JB187" s="27" t="str">
        <x:f>IF(C187="","",SUM(EO187,EU187,FA187,FG187,FM187,FS187,FY187,GE187,GK187,GQ187,GW187,HC187,HI187,HO187))</x:f>
      </x:c>
      <x:c r="JC187" s="27" t="str">
        <x:f>IF(C187="","",0)</x:f>
      </x:c>
      <x:c r="JD187" s="27" t="str">
        <x:f>IF(C187="","",0)</x:f>
      </x:c>
      <x:c r="JE187" s="27" t="str">
        <x:f>IF(C187="","",0)</x:f>
      </x:c>
      <x:c r="JF187" s="27" t="str">
        <x:f>IF(C187="","",0)</x:f>
      </x:c>
      <x:c r="JG187" s="27" t="str">
        <x:f>IF(C187="","",0)</x:f>
      </x:c>
      <x:c r="JH187" s="27" t="str">
        <x:f>IF(C187="","",0)</x:f>
      </x:c>
      <x:c r="JI187" s="27" t="str">
        <x:f>IF(C187="","",HP187*1000000000+IW187*1000000+IQ187*10000+IK187*100+JC187+6/1000)</x:f>
      </x:c>
      <x:c r="JJ187" s="27" t="str">
        <x:f>IF(C187="","",HQ187*1000000000+IX187*1000000+IR187*10000+IL187*100+JD187+5/1000)</x:f>
      </x:c>
      <x:c r="JK187" s="27" t="str">
        <x:f>IF(C187="","",HR187*1000000000+IY187*1000000+IS187*10000+IM187*100+JE187+4/1000)</x:f>
      </x:c>
      <x:c r="JL187" s="27" t="str">
        <x:f>IF(C187="","",HS187*1000000000+IZ187*1000000+IT187*10000+IN187*100+JF187+3/1000)</x:f>
      </x:c>
      <x:c r="JM187" s="27" t="str">
        <x:f>IF(C187="","",HT187*1000000000+JA187*1000000+IU187*10000+IO187*100+JG187+2/1000)</x:f>
      </x:c>
      <x:c r="JN187" s="27" t="str">
        <x:f>IF(C187="","",HU187*1000000000+JB187*1000000+IV187*10000+IP187*100+JH187+1/1000)</x:f>
      </x:c>
    </x:row>
    <x:row r="188">
      <x:c r="A188" s="27"/>
      <x:c r="B188" s="28"/>
      <x:c r="C188" s="27"/>
      <x:c r="D188" s="27"/>
      <x:c r="E188" s="27"/>
      <x:c r="F188" s="27"/>
      <x:c r="G188" s="27"/>
      <x:c r="H188" s="27"/>
      <x:c r="I188" s="27"/>
      <x:c r="J188" s="27"/>
      <x:c r="K188" s="27"/>
      <x:c r="L188" s="27"/>
      <x:c r="M188" s="27"/>
      <x:c r="N188" s="27"/>
      <x:c r="O188" s="27"/>
      <x:c r="P188" s="27"/>
      <x:c r="Q188" s="27"/>
      <x:c r="R188" s="27"/>
      <x:c r="S188" s="27"/>
      <x:c r="T188" s="27"/>
      <x:c r="U188" s="27"/>
      <x:c r="V188" s="27"/>
      <x:c r="W188" s="27"/>
      <x:c r="X188" s="27"/>
      <x:c r="Y188" s="27"/>
      <x:c r="Z188" s="27"/>
      <x:c r="AA188" s="27"/>
      <x:c r="AB188" s="27"/>
      <x:c r="AC188" s="27"/>
      <x:c r="AD188" s="27"/>
      <x:c r="AE188" s="27"/>
      <x:c r="AF188" s="27"/>
      <x:c r="AG188" s="27"/>
      <x:c r="AH188" s="27"/>
      <x:c r="AI188" s="27"/>
      <x:c r="AJ188" s="27"/>
      <x:c r="AK188" s="27"/>
      <x:c r="AL188" s="27"/>
      <x:c r="AM188" s="27"/>
      <x:c r="AN188" s="27"/>
      <x:c r="AO188" s="27"/>
      <x:c r="AP188" s="27"/>
      <x:c r="AQ188" s="27"/>
      <x:c r="AR188" s="27"/>
      <x:c r="AS188" s="27"/>
      <x:c r="AT188" s="27"/>
      <x:c r="AU188" s="27"/>
      <x:c r="AV188" s="27"/>
      <x:c r="AW188" s="27"/>
      <x:c r="AX188" s="27"/>
      <x:c r="AY188" s="27"/>
      <x:c r="AZ188" s="27"/>
      <x:c r="BA188" s="27"/>
      <x:c r="BB188" s="27"/>
      <x:c r="BC188" s="27"/>
      <x:c r="BD188" s="27"/>
      <x:c r="BE188" s="27"/>
      <x:c r="BF188" s="27"/>
      <x:c r="BG188" s="27"/>
      <x:c r="BH188" s="27"/>
      <x:c r="BI188" s="27"/>
      <x:c r="BJ188" s="27"/>
      <x:c r="BK188" s="27"/>
      <x:c r="BL188" s="27"/>
      <x:c r="BM188" s="27"/>
      <x:c r="BN188" s="27"/>
      <x:c r="BO188" s="27"/>
      <x:c r="BP188" s="27"/>
      <x:c r="BQ188" s="27"/>
      <x:c r="BR188" s="27"/>
      <x:c r="BS188" s="27"/>
      <x:c r="BT188" s="27"/>
      <x:c r="BU188" s="27"/>
      <x:c r="BV188" s="27"/>
      <x:c r="BW188" s="27"/>
      <x:c r="BX188" s="27"/>
      <x:c r="BY188" s="27"/>
      <x:c r="BZ188" s="27"/>
      <x:c r="CA188" s="27"/>
      <x:c r="CB188" s="27"/>
      <x:c r="CC188" s="27"/>
      <x:c r="CD188" s="27"/>
      <x:c r="CE188" s="27"/>
      <x:c r="CF188" s="27"/>
      <x:c r="CG188" s="27"/>
      <x:c r="CH188" s="27"/>
      <x:c r="CI188" s="27"/>
      <x:c r="CJ188" s="27"/>
      <x:c r="CK188" s="27"/>
      <x:c r="CL188" s="27"/>
      <x:c r="CM188" s="27"/>
      <x:c r="CN188" s="27"/>
      <x:c r="CO188" s="27"/>
      <x:c r="CP188" s="27"/>
      <x:c r="CQ188" s="27"/>
      <x:c r="CR188" s="27"/>
      <x:c r="CS188" s="27"/>
      <x:c r="CT188" s="27"/>
      <x:c r="CU188" s="27"/>
      <x:c r="CV188" s="27"/>
      <x:c r="CW188" s="27"/>
      <x:c r="CX188" s="27"/>
      <x:c r="CY188" s="27"/>
      <x:c r="CZ188" s="27"/>
      <x:c r="DA188" s="27"/>
      <x:c r="DB188" s="27"/>
      <x:c r="DC188" s="27"/>
      <x:c r="DD188" s="27"/>
      <x:c r="DE188" s="27"/>
      <x:c r="DF188" s="27"/>
      <x:c r="DG188" s="27"/>
      <x:c r="DH188" s="27"/>
      <x:c r="DI188" s="27"/>
      <x:c r="DJ188" s="27"/>
      <x:c r="DK188" s="27"/>
      <x:c r="DL188" s="27"/>
      <x:c r="DM188" s="27"/>
      <x:c r="DN188" s="27"/>
      <x:c r="DO188" s="27"/>
      <x:c r="DP188" s="27"/>
      <x:c r="DQ188" s="27"/>
      <x:c r="DR188" s="27"/>
      <x:c r="DS188" s="27"/>
      <x:c r="DT188" s="27"/>
      <x:c r="DU188" s="27"/>
      <x:c r="DV188" s="27"/>
      <x:c r="DW188" s="27"/>
      <x:c r="DX188" s="27"/>
      <x:c r="DY188" s="27"/>
      <x:c r="DZ188" s="27"/>
      <x:c r="EA188" s="27"/>
      <x:c r="EB188" s="27"/>
      <x:c r="EC188" s="27"/>
      <x:c r="ED188" s="27"/>
      <x:c r="EE188" s="27"/>
      <x:c r="EF188" s="27"/>
      <x:c r="EG188" s="27"/>
      <x:c r="EH188" s="27"/>
      <x:c r="EI188" s="27"/>
      <x:c r="EJ188" s="27"/>
      <x:c r="EK188" s="27"/>
      <x:c r="EL188" s="27"/>
      <x:c r="EM188" s="27"/>
      <x:c r="EN188" s="27"/>
      <x:c r="EO188" s="27"/>
      <x:c r="EP188" s="27"/>
      <x:c r="EQ188" s="27"/>
      <x:c r="ER188" s="27"/>
      <x:c r="ES188" s="27"/>
      <x:c r="ET188" s="27"/>
      <x:c r="EU188" s="27"/>
      <x:c r="EV188" s="27"/>
      <x:c r="EW188" s="27"/>
      <x:c r="EX188" s="27"/>
      <x:c r="EY188" s="27"/>
      <x:c r="EZ188" s="27"/>
      <x:c r="FA188" s="27"/>
      <x:c r="FB188" s="27"/>
      <x:c r="FC188" s="27"/>
      <x:c r="FD188" s="27"/>
      <x:c r="FE188" s="27"/>
      <x:c r="FF188" s="27"/>
      <x:c r="FG188" s="27"/>
      <x:c r="FH188" s="27"/>
      <x:c r="FI188" s="27"/>
      <x:c r="FJ188" s="27"/>
      <x:c r="FK188" s="27"/>
      <x:c r="FL188" s="27"/>
      <x:c r="FM188" s="27"/>
      <x:c r="FN188" s="27"/>
      <x:c r="FO188" s="27"/>
      <x:c r="FP188" s="27"/>
      <x:c r="FQ188" s="27"/>
      <x:c r="FR188" s="27"/>
      <x:c r="FS188" s="27"/>
      <x:c r="FT188" s="27"/>
      <x:c r="FU188" s="27"/>
      <x:c r="FV188" s="27"/>
      <x:c r="FW188" s="27"/>
      <x:c r="FX188" s="27"/>
      <x:c r="FY188" s="27"/>
      <x:c r="FZ188" s="27"/>
      <x:c r="GA188" s="27"/>
      <x:c r="GB188" s="27"/>
      <x:c r="GC188" s="27"/>
      <x:c r="GD188" s="27"/>
      <x:c r="GE188" s="27"/>
      <x:c r="GF188" s="27"/>
      <x:c r="GG188" s="27"/>
      <x:c r="GH188" s="27"/>
      <x:c r="GI188" s="27"/>
      <x:c r="GJ188" s="27"/>
      <x:c r="GK188" s="27"/>
      <x:c r="GL188" s="27"/>
      <x:c r="GM188" s="27"/>
      <x:c r="GN188" s="27"/>
      <x:c r="GO188" s="27"/>
      <x:c r="GP188" s="27"/>
      <x:c r="GQ188" s="27"/>
      <x:c r="GR188" s="27"/>
      <x:c r="GS188" s="27"/>
      <x:c r="GT188" s="27"/>
      <x:c r="GU188" s="27"/>
      <x:c r="GV188" s="27"/>
      <x:c r="GW188" s="27"/>
      <x:c r="GX188" s="27"/>
      <x:c r="GY188" s="27"/>
      <x:c r="GZ188" s="27"/>
      <x:c r="HA188" s="27"/>
      <x:c r="HB188" s="27"/>
      <x:c r="HC188" s="27"/>
      <x:c r="HD188" s="27"/>
      <x:c r="HE188" s="27"/>
      <x:c r="HF188" s="27"/>
      <x:c r="HG188" s="27"/>
      <x:c r="HH188" s="27"/>
      <x:c r="HI188" s="27"/>
      <x:c r="HJ188" s="27"/>
      <x:c r="HK188" s="27"/>
      <x:c r="HL188" s="27"/>
      <x:c r="HM188" s="27"/>
      <x:c r="HN188" s="27"/>
      <x:c r="HO188" s="27"/>
      <x:c r="HP188" s="27" t="str">
        <x:f>IF(C188="","",SUM(H188,N188,T188,Z188,AF188,AL188,AR188,AX188,BD188,BJ188,BP188,BV188,CB188,CH188,CN188,CT188,CZ188,DF188,DL188,DR188,DX188,ED188,EJ188,EP188,EV188,FB188,FH188,FN188,FT188,FZ188,GF188,GL188,GR188,GX188,HD188,HJ188))</x:f>
      </x:c>
      <x:c r="HQ188" s="27" t="str">
        <x:f>IF(C188="","",SUM(I188,O188,U188,AA188,AG188,AM188,AS188,AY188,BE188,BK188,BQ188,BW188,CC188,CI188,CO188,CU188,DA188,DG188,DM188,DS188,DY188,EE188,EK188,EQ188,EW188,FC188,FI188,FO188,FU188,GA188,GG188,GM188,GS188,GY188,HE188,HK188))</x:f>
      </x:c>
      <x:c r="HR188" s="27" t="str">
        <x:f>IF(C188="","",SUM(J188,P188,V188,AB188,AH188,AN188,AT188,AZ188,BF188,BL188,BR188,BX188,CD188,CJ188,CP188,CV188,DB188,DH188,DN188,DT188,DZ188,EF188,EL188,ER188,EX188,FD188,FJ188,FP188,FV188,GB188,GH188,GN188,GT188,GZ188,HF188,HL188))</x:f>
      </x:c>
      <x:c r="HS188" s="27" t="str">
        <x:f>IF(C188="","",SUM(K188,Q188,W188,AC188,AI188,AO188,AU188,BA188,BG188,BM188,BS188,BY188,CE188,CK188,CQ188,CW188,DC188,DI188,DO188,DU188,EA188,EG188,EM188,ES188,EY188,FE188,FK188,FQ188,FW188,GC188,GI188,GO188,GU188,HA188,HG188,HM188))</x:f>
      </x:c>
      <x:c r="HT188" s="27" t="str">
        <x:f>IF(C188="","",SUM(L188,R188,X188,AD188,AJ188,AP188,AV188,BB188,BH188,BN188,BT188,BZ188,CF188,CL188,CR188,CX188,DD188,DJ188,DP188,DV188,EB188,EH188,EN188,ET188,EZ188,FF188,FL188,FR188,FX188,GD188,GJ188,GP188,GV188,HB188,HH188,HN188))</x:f>
      </x:c>
      <x:c r="HU188" s="27" t="str">
        <x:f>IF(C188="","",SUM(M188,S188,Y188,AE188,AK188,AQ188,AW188,BC188,BI188,BO188,BU188,CA188,CG188,CM188,CS188,CY188,DE188,DK188,DQ188,DW188,EC188,EI188,EO188,EU188,FA188,FG188,FM188,FS188,FY188,GE188,GK188,GQ188,GW188,HC188,HI188,HO188))</x:f>
      </x:c>
      <x:c r="HV188" s="27" t="str">
        <x:f>IF(C188="","",IF(JI188=LARGE(JI188:JN188,1),"R",IF(JJ188=LARGE(JI188:JN188,1),"I",IF(JK188=LARGE(JI188:JN188,1),"A",IF(JL188=LARGE(JI188:JN188,1),"S",IF(JM188=LARGE(JI188:JN188,1),"E",IF(JN188=LARGE(JI188:JN188,1),"C",""))))))&amp;IF(JI188=LARGE(JI188:JN188,2),"R",IF(JJ188=LARGE(JI188:JN188,2),"I",IF(JK188=LARGE(JI188:JN188,2),"A",IF(JL188=LARGE(JI188:JN188,2),"S",IF(JM188=LARGE(JI188:JN188,2),"E",IF(JN188=LARGE(JI188:JN188,2),"C",""))))))&amp;IF(JI188=LARGE(JI188:JN188,3),"R",IF(JJ188=LARGE(JI188:JN188,3),"I",IF(JK188=LARGE(JI188:JN188,3),"A",IF(JL188=LARGE(JI188:JN188,3),"S",IF(JM188=LARGE(JI188:JN188,3),"E",IF(JN188=LARGE(JI188:JN188,3),"C","")))))))</x:f>
      </x:c>
      <x:c r="HW188" s="27" t="str">
        <x:f>IF(C188="","",IF(JI188=LARGE(JI188:JN188,1),"นักปฏิบัติ",IF(JJ188=LARGE(JI188:JN188,1),"นักคิดวิเคราะห์",IF(JK188=LARGE(JI188:JN188,1),"นักสร้างสรรค์",IF(JL188=LARGE(JI188:JN188,1),"ผู้เข้าใจผู้คน",IF(JM188=LARGE(JI188:JN188,1),"ผู้นำการเปลี่ยนแปลง",IF(JN188=LARGE(JI188:JN188,1),"ผู้จัดระบบ","ผู้จัดระบบ")))))))</x:f>
      </x:c>
      <x:c r="HX188" s="27"/>
      <x:c r="HY188" s="27"/>
      <x:c r="HZ188" s="27"/>
      <x:c r="IA188" s="27"/>
      <x:c r="IB188" s="27"/>
      <x:c r="IC188" s="27"/>
      <x:c r="ID188" s="27"/>
      <x:c r="IE188" s="27"/>
      <x:c r="IF188" s="27"/>
      <x:c r="IG188" s="27"/>
      <x:c r="IH188" s="27"/>
      <x:c r="II188" s="27"/>
      <x:c r="IJ188" s="27"/>
      <x:c r="IK188" s="27" t="str">
        <x:f>IF(C188="","",SUM(H188,N188,T188,Z188,AF188,AL188,AR188,AX188,BD188,BJ188,BP188))</x:f>
      </x:c>
      <x:c r="IL188" s="27" t="str">
        <x:f>IF(C188="","",SUM(I188,O188,U188,AA188,AG188,AM188,AS188,AY188,BE188,BK188,BQ188))</x:f>
      </x:c>
      <x:c r="IM188" s="27" t="str">
        <x:f>IF(C188="","",SUM(J188,P188,V188,AB188,AH188,AN188,AT188,AZ188,BF188,BL188,BR188))</x:f>
      </x:c>
      <x:c r="IN188" s="27" t="str">
        <x:f>IF(C188="","",SUM(K188,Q188,W188,AC188,AI188,AO188,AU188,BA188,BG188,BM188,BS188))</x:f>
      </x:c>
      <x:c r="IO188" s="27" t="str">
        <x:f>IF(C188="","",SUM(L188,R188,X188,AD188,AJ188,AP188,AV188,BB188,BH188,BN188,BT188))</x:f>
      </x:c>
      <x:c r="IP188" s="27" t="str">
        <x:f>IF(C188="","",SUM(M188,S188,Y188,AE188,AK188,AQ188,AW188,BC188,BI188,BO188,BU188))</x:f>
      </x:c>
      <x:c r="IQ188" s="27" t="str">
        <x:f>IF(C188="","",SUM(BV188,CB188,CH188,CN188,CT188,CZ188,DF188,DL188,DR188,DX188,ED188))</x:f>
      </x:c>
      <x:c r="IR188" s="27" t="str">
        <x:f>IF(C188="","",SUM(BW188,CC188,CI188,CO188,CU188,DA188,DG188,DM188,DS188,DY188,EE188))</x:f>
      </x:c>
      <x:c r="IS188" s="27" t="str">
        <x:f>IF(C188="","",SUM(BX188,CD188,CJ188,CP188,CV188,DB188,DH188,DN188,DT188,DZ188,EF188))</x:f>
      </x:c>
      <x:c r="IT188" s="27" t="str">
        <x:f>IF(C188="","",SUM(BY188,CE188,CK188,CQ188,CW188,DC188,DI188,DO188,DU188,EA188,EG188))</x:f>
      </x:c>
      <x:c r="IU188" s="27" t="str">
        <x:f>IF(C188="","",SUM(BZ188,CF188,CL188,CR188,CX188,DD188,DJ188,DP188,DV188,EB188,EH188))</x:f>
      </x:c>
      <x:c r="IV188" s="27" t="str">
        <x:f>IF(C188="","",SUM(CA188,CG188,CM188,CS188,CY188,DE188,DK188,DQ188,DW188,EC188,EI188))</x:f>
      </x:c>
      <x:c r="IW188" s="27" t="str">
        <x:f>IF(C188="","",SUM(EJ188,EP188,EV188,FB188,FH188,FN188,FT188,FZ188,GF188,GL188,GR188,GX188,HD188,HJ188))</x:f>
      </x:c>
      <x:c r="IX188" s="27" t="str">
        <x:f>IF(C188="","",SUM(EK188,EQ188,EW188,FC188,FI188,FO188,FU188,GA188,GG188,GM188,GS188,GY188,HE188,HK188))</x:f>
      </x:c>
      <x:c r="IY188" s="27" t="str">
        <x:f>IF(C188="","",SUM(EL188,ER188,EX188,FD188,FJ188,FP188,FV188,GB188,GH188,GN188,GT188,GZ188,HF188,HL188))</x:f>
      </x:c>
      <x:c r="IZ188" s="27" t="str">
        <x:f>IF(C188="","",SUM(EM188,ES188,EY188,FE188,FK188,FQ188,FW188,GC188,GI188,GO188,GU188,HA188,HG188,HM188))</x:f>
      </x:c>
      <x:c r="JA188" s="27" t="str">
        <x:f>IF(C188="","",SUM(EN188,ET188,EZ188,FF188,FL188,FR188,FX188,GD188,GJ188,GP188,GV188,HB188,HH188,HN188))</x:f>
      </x:c>
      <x:c r="JB188" s="27" t="str">
        <x:f>IF(C188="","",SUM(EO188,EU188,FA188,FG188,FM188,FS188,FY188,GE188,GK188,GQ188,GW188,HC188,HI188,HO188))</x:f>
      </x:c>
      <x:c r="JC188" s="27" t="str">
        <x:f>IF(C188="","",0)</x:f>
      </x:c>
      <x:c r="JD188" s="27" t="str">
        <x:f>IF(C188="","",0)</x:f>
      </x:c>
      <x:c r="JE188" s="27" t="str">
        <x:f>IF(C188="","",0)</x:f>
      </x:c>
      <x:c r="JF188" s="27" t="str">
        <x:f>IF(C188="","",0)</x:f>
      </x:c>
      <x:c r="JG188" s="27" t="str">
        <x:f>IF(C188="","",0)</x:f>
      </x:c>
      <x:c r="JH188" s="27" t="str">
        <x:f>IF(C188="","",0)</x:f>
      </x:c>
      <x:c r="JI188" s="27" t="str">
        <x:f>IF(C188="","",HP188*1000000000+IW188*1000000+IQ188*10000+IK188*100+JC188+6/1000)</x:f>
      </x:c>
      <x:c r="JJ188" s="27" t="str">
        <x:f>IF(C188="","",HQ188*1000000000+IX188*1000000+IR188*10000+IL188*100+JD188+5/1000)</x:f>
      </x:c>
      <x:c r="JK188" s="27" t="str">
        <x:f>IF(C188="","",HR188*1000000000+IY188*1000000+IS188*10000+IM188*100+JE188+4/1000)</x:f>
      </x:c>
      <x:c r="JL188" s="27" t="str">
        <x:f>IF(C188="","",HS188*1000000000+IZ188*1000000+IT188*10000+IN188*100+JF188+3/1000)</x:f>
      </x:c>
      <x:c r="JM188" s="27" t="str">
        <x:f>IF(C188="","",HT188*1000000000+JA188*1000000+IU188*10000+IO188*100+JG188+2/1000)</x:f>
      </x:c>
      <x:c r="JN188" s="27" t="str">
        <x:f>IF(C188="","",HU188*1000000000+JB188*1000000+IV188*10000+IP188*100+JH188+1/1000)</x:f>
      </x:c>
    </x:row>
    <x:row r="189">
      <x:c r="A189" s="27"/>
      <x:c r="B189" s="28"/>
      <x:c r="C189" s="27"/>
      <x:c r="D189" s="27"/>
      <x:c r="E189" s="27"/>
      <x:c r="F189" s="27"/>
      <x:c r="G189" s="27"/>
      <x:c r="H189" s="27"/>
      <x:c r="I189" s="27"/>
      <x:c r="J189" s="27"/>
      <x:c r="K189" s="27"/>
      <x:c r="L189" s="27"/>
      <x:c r="M189" s="27"/>
      <x:c r="N189" s="27"/>
      <x:c r="O189" s="27"/>
      <x:c r="P189" s="27"/>
      <x:c r="Q189" s="27"/>
      <x:c r="R189" s="27"/>
      <x:c r="S189" s="27"/>
      <x:c r="T189" s="27"/>
      <x:c r="U189" s="27"/>
      <x:c r="V189" s="27"/>
      <x:c r="W189" s="27"/>
      <x:c r="X189" s="27"/>
      <x:c r="Y189" s="27"/>
      <x:c r="Z189" s="27"/>
      <x:c r="AA189" s="27"/>
      <x:c r="AB189" s="27"/>
      <x:c r="AC189" s="27"/>
      <x:c r="AD189" s="27"/>
      <x:c r="AE189" s="27"/>
      <x:c r="AF189" s="27"/>
      <x:c r="AG189" s="27"/>
      <x:c r="AH189" s="27"/>
      <x:c r="AI189" s="27"/>
      <x:c r="AJ189" s="27"/>
      <x:c r="AK189" s="27"/>
      <x:c r="AL189" s="27"/>
      <x:c r="AM189" s="27"/>
      <x:c r="AN189" s="27"/>
      <x:c r="AO189" s="27"/>
      <x:c r="AP189" s="27"/>
      <x:c r="AQ189" s="27"/>
      <x:c r="AR189" s="27"/>
      <x:c r="AS189" s="27"/>
      <x:c r="AT189" s="27"/>
      <x:c r="AU189" s="27"/>
      <x:c r="AV189" s="27"/>
      <x:c r="AW189" s="27"/>
      <x:c r="AX189" s="27"/>
      <x:c r="AY189" s="27"/>
      <x:c r="AZ189" s="27"/>
      <x:c r="BA189" s="27"/>
      <x:c r="BB189" s="27"/>
      <x:c r="BC189" s="27"/>
      <x:c r="BD189" s="27"/>
      <x:c r="BE189" s="27"/>
      <x:c r="BF189" s="27"/>
      <x:c r="BG189" s="27"/>
      <x:c r="BH189" s="27"/>
      <x:c r="BI189" s="27"/>
      <x:c r="BJ189" s="27"/>
      <x:c r="BK189" s="27"/>
      <x:c r="BL189" s="27"/>
      <x:c r="BM189" s="27"/>
      <x:c r="BN189" s="27"/>
      <x:c r="BO189" s="27"/>
      <x:c r="BP189" s="27"/>
      <x:c r="BQ189" s="27"/>
      <x:c r="BR189" s="27"/>
      <x:c r="BS189" s="27"/>
      <x:c r="BT189" s="27"/>
      <x:c r="BU189" s="27"/>
      <x:c r="BV189" s="27"/>
      <x:c r="BW189" s="27"/>
      <x:c r="BX189" s="27"/>
      <x:c r="BY189" s="27"/>
      <x:c r="BZ189" s="27"/>
      <x:c r="CA189" s="27"/>
      <x:c r="CB189" s="27"/>
      <x:c r="CC189" s="27"/>
      <x:c r="CD189" s="27"/>
      <x:c r="CE189" s="27"/>
      <x:c r="CF189" s="27"/>
      <x:c r="CG189" s="27"/>
      <x:c r="CH189" s="27"/>
      <x:c r="CI189" s="27"/>
      <x:c r="CJ189" s="27"/>
      <x:c r="CK189" s="27"/>
      <x:c r="CL189" s="27"/>
      <x:c r="CM189" s="27"/>
      <x:c r="CN189" s="27"/>
      <x:c r="CO189" s="27"/>
      <x:c r="CP189" s="27"/>
      <x:c r="CQ189" s="27"/>
      <x:c r="CR189" s="27"/>
      <x:c r="CS189" s="27"/>
      <x:c r="CT189" s="27"/>
      <x:c r="CU189" s="27"/>
      <x:c r="CV189" s="27"/>
      <x:c r="CW189" s="27"/>
      <x:c r="CX189" s="27"/>
      <x:c r="CY189" s="27"/>
      <x:c r="CZ189" s="27"/>
      <x:c r="DA189" s="27"/>
      <x:c r="DB189" s="27"/>
      <x:c r="DC189" s="27"/>
      <x:c r="DD189" s="27"/>
      <x:c r="DE189" s="27"/>
      <x:c r="DF189" s="27"/>
      <x:c r="DG189" s="27"/>
      <x:c r="DH189" s="27"/>
      <x:c r="DI189" s="27"/>
      <x:c r="DJ189" s="27"/>
      <x:c r="DK189" s="27"/>
      <x:c r="DL189" s="27"/>
      <x:c r="DM189" s="27"/>
      <x:c r="DN189" s="27"/>
      <x:c r="DO189" s="27"/>
      <x:c r="DP189" s="27"/>
      <x:c r="DQ189" s="27"/>
      <x:c r="DR189" s="27"/>
      <x:c r="DS189" s="27"/>
      <x:c r="DT189" s="27"/>
      <x:c r="DU189" s="27"/>
      <x:c r="DV189" s="27"/>
      <x:c r="DW189" s="27"/>
      <x:c r="DX189" s="27"/>
      <x:c r="DY189" s="27"/>
      <x:c r="DZ189" s="27"/>
      <x:c r="EA189" s="27"/>
      <x:c r="EB189" s="27"/>
      <x:c r="EC189" s="27"/>
      <x:c r="ED189" s="27"/>
      <x:c r="EE189" s="27"/>
      <x:c r="EF189" s="27"/>
      <x:c r="EG189" s="27"/>
      <x:c r="EH189" s="27"/>
      <x:c r="EI189" s="27"/>
      <x:c r="EJ189" s="27"/>
      <x:c r="EK189" s="27"/>
      <x:c r="EL189" s="27"/>
      <x:c r="EM189" s="27"/>
      <x:c r="EN189" s="27"/>
      <x:c r="EO189" s="27"/>
      <x:c r="EP189" s="27"/>
      <x:c r="EQ189" s="27"/>
      <x:c r="ER189" s="27"/>
      <x:c r="ES189" s="27"/>
      <x:c r="ET189" s="27"/>
      <x:c r="EU189" s="27"/>
      <x:c r="EV189" s="27"/>
      <x:c r="EW189" s="27"/>
      <x:c r="EX189" s="27"/>
      <x:c r="EY189" s="27"/>
      <x:c r="EZ189" s="27"/>
      <x:c r="FA189" s="27"/>
      <x:c r="FB189" s="27"/>
      <x:c r="FC189" s="27"/>
      <x:c r="FD189" s="27"/>
      <x:c r="FE189" s="27"/>
      <x:c r="FF189" s="27"/>
      <x:c r="FG189" s="27"/>
      <x:c r="FH189" s="27"/>
      <x:c r="FI189" s="27"/>
      <x:c r="FJ189" s="27"/>
      <x:c r="FK189" s="27"/>
      <x:c r="FL189" s="27"/>
      <x:c r="FM189" s="27"/>
      <x:c r="FN189" s="27"/>
      <x:c r="FO189" s="27"/>
      <x:c r="FP189" s="27"/>
      <x:c r="FQ189" s="27"/>
      <x:c r="FR189" s="27"/>
      <x:c r="FS189" s="27"/>
      <x:c r="FT189" s="27"/>
      <x:c r="FU189" s="27"/>
      <x:c r="FV189" s="27"/>
      <x:c r="FW189" s="27"/>
      <x:c r="FX189" s="27"/>
      <x:c r="FY189" s="27"/>
      <x:c r="FZ189" s="27"/>
      <x:c r="GA189" s="27"/>
      <x:c r="GB189" s="27"/>
      <x:c r="GC189" s="27"/>
      <x:c r="GD189" s="27"/>
      <x:c r="GE189" s="27"/>
      <x:c r="GF189" s="27"/>
      <x:c r="GG189" s="27"/>
      <x:c r="GH189" s="27"/>
      <x:c r="GI189" s="27"/>
      <x:c r="GJ189" s="27"/>
      <x:c r="GK189" s="27"/>
      <x:c r="GL189" s="27"/>
      <x:c r="GM189" s="27"/>
      <x:c r="GN189" s="27"/>
      <x:c r="GO189" s="27"/>
      <x:c r="GP189" s="27"/>
      <x:c r="GQ189" s="27"/>
      <x:c r="GR189" s="27"/>
      <x:c r="GS189" s="27"/>
      <x:c r="GT189" s="27"/>
      <x:c r="GU189" s="27"/>
      <x:c r="GV189" s="27"/>
      <x:c r="GW189" s="27"/>
      <x:c r="GX189" s="27"/>
      <x:c r="GY189" s="27"/>
      <x:c r="GZ189" s="27"/>
      <x:c r="HA189" s="27"/>
      <x:c r="HB189" s="27"/>
      <x:c r="HC189" s="27"/>
      <x:c r="HD189" s="27"/>
      <x:c r="HE189" s="27"/>
      <x:c r="HF189" s="27"/>
      <x:c r="HG189" s="27"/>
      <x:c r="HH189" s="27"/>
      <x:c r="HI189" s="27"/>
      <x:c r="HJ189" s="27"/>
      <x:c r="HK189" s="27"/>
      <x:c r="HL189" s="27"/>
      <x:c r="HM189" s="27"/>
      <x:c r="HN189" s="27"/>
      <x:c r="HO189" s="27"/>
      <x:c r="HP189" s="27" t="str">
        <x:f>IF(C189="","",SUM(H189,N189,T189,Z189,AF189,AL189,AR189,AX189,BD189,BJ189,BP189,BV189,CB189,CH189,CN189,CT189,CZ189,DF189,DL189,DR189,DX189,ED189,EJ189,EP189,EV189,FB189,FH189,FN189,FT189,FZ189,GF189,GL189,GR189,GX189,HD189,HJ189))</x:f>
      </x:c>
      <x:c r="HQ189" s="27" t="str">
        <x:f>IF(C189="","",SUM(I189,O189,U189,AA189,AG189,AM189,AS189,AY189,BE189,BK189,BQ189,BW189,CC189,CI189,CO189,CU189,DA189,DG189,DM189,DS189,DY189,EE189,EK189,EQ189,EW189,FC189,FI189,FO189,FU189,GA189,GG189,GM189,GS189,GY189,HE189,HK189))</x:f>
      </x:c>
      <x:c r="HR189" s="27" t="str">
        <x:f>IF(C189="","",SUM(J189,P189,V189,AB189,AH189,AN189,AT189,AZ189,BF189,BL189,BR189,BX189,CD189,CJ189,CP189,CV189,DB189,DH189,DN189,DT189,DZ189,EF189,EL189,ER189,EX189,FD189,FJ189,FP189,FV189,GB189,GH189,GN189,GT189,GZ189,HF189,HL189))</x:f>
      </x:c>
      <x:c r="HS189" s="27" t="str">
        <x:f>IF(C189="","",SUM(K189,Q189,W189,AC189,AI189,AO189,AU189,BA189,BG189,BM189,BS189,BY189,CE189,CK189,CQ189,CW189,DC189,DI189,DO189,DU189,EA189,EG189,EM189,ES189,EY189,FE189,FK189,FQ189,FW189,GC189,GI189,GO189,GU189,HA189,HG189,HM189))</x:f>
      </x:c>
      <x:c r="HT189" s="27" t="str">
        <x:f>IF(C189="","",SUM(L189,R189,X189,AD189,AJ189,AP189,AV189,BB189,BH189,BN189,BT189,BZ189,CF189,CL189,CR189,CX189,DD189,DJ189,DP189,DV189,EB189,EH189,EN189,ET189,EZ189,FF189,FL189,FR189,FX189,GD189,GJ189,GP189,GV189,HB189,HH189,HN189))</x:f>
      </x:c>
      <x:c r="HU189" s="27" t="str">
        <x:f>IF(C189="","",SUM(M189,S189,Y189,AE189,AK189,AQ189,AW189,BC189,BI189,BO189,BU189,CA189,CG189,CM189,CS189,CY189,DE189,DK189,DQ189,DW189,EC189,EI189,EO189,EU189,FA189,FG189,FM189,FS189,FY189,GE189,GK189,GQ189,GW189,HC189,HI189,HO189))</x:f>
      </x:c>
      <x:c r="HV189" s="27" t="str">
        <x:f>IF(C189="","",IF(JI189=LARGE(JI189:JN189,1),"R",IF(JJ189=LARGE(JI189:JN189,1),"I",IF(JK189=LARGE(JI189:JN189,1),"A",IF(JL189=LARGE(JI189:JN189,1),"S",IF(JM189=LARGE(JI189:JN189,1),"E",IF(JN189=LARGE(JI189:JN189,1),"C",""))))))&amp;IF(JI189=LARGE(JI189:JN189,2),"R",IF(JJ189=LARGE(JI189:JN189,2),"I",IF(JK189=LARGE(JI189:JN189,2),"A",IF(JL189=LARGE(JI189:JN189,2),"S",IF(JM189=LARGE(JI189:JN189,2),"E",IF(JN189=LARGE(JI189:JN189,2),"C",""))))))&amp;IF(JI189=LARGE(JI189:JN189,3),"R",IF(JJ189=LARGE(JI189:JN189,3),"I",IF(JK189=LARGE(JI189:JN189,3),"A",IF(JL189=LARGE(JI189:JN189,3),"S",IF(JM189=LARGE(JI189:JN189,3),"E",IF(JN189=LARGE(JI189:JN189,3),"C","")))))))</x:f>
      </x:c>
      <x:c r="HW189" s="27" t="str">
        <x:f>IF(C189="","",IF(JI189=LARGE(JI189:JN189,1),"นักปฏิบัติ",IF(JJ189=LARGE(JI189:JN189,1),"นักคิดวิเคราะห์",IF(JK189=LARGE(JI189:JN189,1),"นักสร้างสรรค์",IF(JL189=LARGE(JI189:JN189,1),"ผู้เข้าใจผู้คน",IF(JM189=LARGE(JI189:JN189,1),"ผู้นำการเปลี่ยนแปลง",IF(JN189=LARGE(JI189:JN189,1),"ผู้จัดระบบ","ผู้จัดระบบ")))))))</x:f>
      </x:c>
      <x:c r="HX189" s="27"/>
      <x:c r="HY189" s="27"/>
      <x:c r="HZ189" s="27"/>
      <x:c r="IA189" s="27"/>
      <x:c r="IB189" s="27"/>
      <x:c r="IC189" s="27"/>
      <x:c r="ID189" s="27"/>
      <x:c r="IE189" s="27"/>
      <x:c r="IF189" s="27"/>
      <x:c r="IG189" s="27"/>
      <x:c r="IH189" s="27"/>
      <x:c r="II189" s="27"/>
      <x:c r="IJ189" s="27"/>
      <x:c r="IK189" s="27" t="str">
        <x:f>IF(C189="","",SUM(H189,N189,T189,Z189,AF189,AL189,AR189,AX189,BD189,BJ189,BP189))</x:f>
      </x:c>
      <x:c r="IL189" s="27" t="str">
        <x:f>IF(C189="","",SUM(I189,O189,U189,AA189,AG189,AM189,AS189,AY189,BE189,BK189,BQ189))</x:f>
      </x:c>
      <x:c r="IM189" s="27" t="str">
        <x:f>IF(C189="","",SUM(J189,P189,V189,AB189,AH189,AN189,AT189,AZ189,BF189,BL189,BR189))</x:f>
      </x:c>
      <x:c r="IN189" s="27" t="str">
        <x:f>IF(C189="","",SUM(K189,Q189,W189,AC189,AI189,AO189,AU189,BA189,BG189,BM189,BS189))</x:f>
      </x:c>
      <x:c r="IO189" s="27" t="str">
        <x:f>IF(C189="","",SUM(L189,R189,X189,AD189,AJ189,AP189,AV189,BB189,BH189,BN189,BT189))</x:f>
      </x:c>
      <x:c r="IP189" s="27" t="str">
        <x:f>IF(C189="","",SUM(M189,S189,Y189,AE189,AK189,AQ189,AW189,BC189,BI189,BO189,BU189))</x:f>
      </x:c>
      <x:c r="IQ189" s="27" t="str">
        <x:f>IF(C189="","",SUM(BV189,CB189,CH189,CN189,CT189,CZ189,DF189,DL189,DR189,DX189,ED189))</x:f>
      </x:c>
      <x:c r="IR189" s="27" t="str">
        <x:f>IF(C189="","",SUM(BW189,CC189,CI189,CO189,CU189,DA189,DG189,DM189,DS189,DY189,EE189))</x:f>
      </x:c>
      <x:c r="IS189" s="27" t="str">
        <x:f>IF(C189="","",SUM(BX189,CD189,CJ189,CP189,CV189,DB189,DH189,DN189,DT189,DZ189,EF189))</x:f>
      </x:c>
      <x:c r="IT189" s="27" t="str">
        <x:f>IF(C189="","",SUM(BY189,CE189,CK189,CQ189,CW189,DC189,DI189,DO189,DU189,EA189,EG189))</x:f>
      </x:c>
      <x:c r="IU189" s="27" t="str">
        <x:f>IF(C189="","",SUM(BZ189,CF189,CL189,CR189,CX189,DD189,DJ189,DP189,DV189,EB189,EH189))</x:f>
      </x:c>
      <x:c r="IV189" s="27" t="str">
        <x:f>IF(C189="","",SUM(CA189,CG189,CM189,CS189,CY189,DE189,DK189,DQ189,DW189,EC189,EI189))</x:f>
      </x:c>
      <x:c r="IW189" s="27" t="str">
        <x:f>IF(C189="","",SUM(EJ189,EP189,EV189,FB189,FH189,FN189,FT189,FZ189,GF189,GL189,GR189,GX189,HD189,HJ189))</x:f>
      </x:c>
      <x:c r="IX189" s="27" t="str">
        <x:f>IF(C189="","",SUM(EK189,EQ189,EW189,FC189,FI189,FO189,FU189,GA189,GG189,GM189,GS189,GY189,HE189,HK189))</x:f>
      </x:c>
      <x:c r="IY189" s="27" t="str">
        <x:f>IF(C189="","",SUM(EL189,ER189,EX189,FD189,FJ189,FP189,FV189,GB189,GH189,GN189,GT189,GZ189,HF189,HL189))</x:f>
      </x:c>
      <x:c r="IZ189" s="27" t="str">
        <x:f>IF(C189="","",SUM(EM189,ES189,EY189,FE189,FK189,FQ189,FW189,GC189,GI189,GO189,GU189,HA189,HG189,HM189))</x:f>
      </x:c>
      <x:c r="JA189" s="27" t="str">
        <x:f>IF(C189="","",SUM(EN189,ET189,EZ189,FF189,FL189,FR189,FX189,GD189,GJ189,GP189,GV189,HB189,HH189,HN189))</x:f>
      </x:c>
      <x:c r="JB189" s="27" t="str">
        <x:f>IF(C189="","",SUM(EO189,EU189,FA189,FG189,FM189,FS189,FY189,GE189,GK189,GQ189,GW189,HC189,HI189,HO189))</x:f>
      </x:c>
      <x:c r="JC189" s="27" t="str">
        <x:f>IF(C189="","",0)</x:f>
      </x:c>
      <x:c r="JD189" s="27" t="str">
        <x:f>IF(C189="","",0)</x:f>
      </x:c>
      <x:c r="JE189" s="27" t="str">
        <x:f>IF(C189="","",0)</x:f>
      </x:c>
      <x:c r="JF189" s="27" t="str">
        <x:f>IF(C189="","",0)</x:f>
      </x:c>
      <x:c r="JG189" s="27" t="str">
        <x:f>IF(C189="","",0)</x:f>
      </x:c>
      <x:c r="JH189" s="27" t="str">
        <x:f>IF(C189="","",0)</x:f>
      </x:c>
      <x:c r="JI189" s="27" t="str">
        <x:f>IF(C189="","",HP189*1000000000+IW189*1000000+IQ189*10000+IK189*100+JC189+6/1000)</x:f>
      </x:c>
      <x:c r="JJ189" s="27" t="str">
        <x:f>IF(C189="","",HQ189*1000000000+IX189*1000000+IR189*10000+IL189*100+JD189+5/1000)</x:f>
      </x:c>
      <x:c r="JK189" s="27" t="str">
        <x:f>IF(C189="","",HR189*1000000000+IY189*1000000+IS189*10000+IM189*100+JE189+4/1000)</x:f>
      </x:c>
      <x:c r="JL189" s="27" t="str">
        <x:f>IF(C189="","",HS189*1000000000+IZ189*1000000+IT189*10000+IN189*100+JF189+3/1000)</x:f>
      </x:c>
      <x:c r="JM189" s="27" t="str">
        <x:f>IF(C189="","",HT189*1000000000+JA189*1000000+IU189*10000+IO189*100+JG189+2/1000)</x:f>
      </x:c>
      <x:c r="JN189" s="27" t="str">
        <x:f>IF(C189="","",HU189*1000000000+JB189*1000000+IV189*10000+IP189*100+JH189+1/1000)</x:f>
      </x:c>
    </x:row>
    <x:row r="190">
      <x:c r="A190" s="27"/>
      <x:c r="B190" s="28"/>
      <x:c r="C190" s="27"/>
      <x:c r="D190" s="27"/>
      <x:c r="E190" s="27"/>
      <x:c r="F190" s="27"/>
      <x:c r="G190" s="27"/>
      <x:c r="H190" s="27"/>
      <x:c r="I190" s="27"/>
      <x:c r="J190" s="27"/>
      <x:c r="K190" s="27"/>
      <x:c r="L190" s="27"/>
      <x:c r="M190" s="27"/>
      <x:c r="N190" s="27"/>
      <x:c r="O190" s="27"/>
      <x:c r="P190" s="27"/>
      <x:c r="Q190" s="27"/>
      <x:c r="R190" s="27"/>
      <x:c r="S190" s="27"/>
      <x:c r="T190" s="27"/>
      <x:c r="U190" s="27"/>
      <x:c r="V190" s="27"/>
      <x:c r="W190" s="27"/>
      <x:c r="X190" s="27"/>
      <x:c r="Y190" s="27"/>
      <x:c r="Z190" s="27"/>
      <x:c r="AA190" s="27"/>
      <x:c r="AB190" s="27"/>
      <x:c r="AC190" s="27"/>
      <x:c r="AD190" s="27"/>
      <x:c r="AE190" s="27"/>
      <x:c r="AF190" s="27"/>
      <x:c r="AG190" s="27"/>
      <x:c r="AH190" s="27"/>
      <x:c r="AI190" s="27"/>
      <x:c r="AJ190" s="27"/>
      <x:c r="AK190" s="27"/>
      <x:c r="AL190" s="27"/>
      <x:c r="AM190" s="27"/>
      <x:c r="AN190" s="27"/>
      <x:c r="AO190" s="27"/>
      <x:c r="AP190" s="27"/>
      <x:c r="AQ190" s="27"/>
      <x:c r="AR190" s="27"/>
      <x:c r="AS190" s="27"/>
      <x:c r="AT190" s="27"/>
      <x:c r="AU190" s="27"/>
      <x:c r="AV190" s="27"/>
      <x:c r="AW190" s="27"/>
      <x:c r="AX190" s="27"/>
      <x:c r="AY190" s="27"/>
      <x:c r="AZ190" s="27"/>
      <x:c r="BA190" s="27"/>
      <x:c r="BB190" s="27"/>
      <x:c r="BC190" s="27"/>
      <x:c r="BD190" s="27"/>
      <x:c r="BE190" s="27"/>
      <x:c r="BF190" s="27"/>
      <x:c r="BG190" s="27"/>
      <x:c r="BH190" s="27"/>
      <x:c r="BI190" s="27"/>
      <x:c r="BJ190" s="27"/>
      <x:c r="BK190" s="27"/>
      <x:c r="BL190" s="27"/>
      <x:c r="BM190" s="27"/>
      <x:c r="BN190" s="27"/>
      <x:c r="BO190" s="27"/>
      <x:c r="BP190" s="27"/>
      <x:c r="BQ190" s="27"/>
      <x:c r="BR190" s="27"/>
      <x:c r="BS190" s="27"/>
      <x:c r="BT190" s="27"/>
      <x:c r="BU190" s="27"/>
      <x:c r="BV190" s="27"/>
      <x:c r="BW190" s="27"/>
      <x:c r="BX190" s="27"/>
      <x:c r="BY190" s="27"/>
      <x:c r="BZ190" s="27"/>
      <x:c r="CA190" s="27"/>
      <x:c r="CB190" s="27"/>
      <x:c r="CC190" s="27"/>
      <x:c r="CD190" s="27"/>
      <x:c r="CE190" s="27"/>
      <x:c r="CF190" s="27"/>
      <x:c r="CG190" s="27"/>
      <x:c r="CH190" s="27"/>
      <x:c r="CI190" s="27"/>
      <x:c r="CJ190" s="27"/>
      <x:c r="CK190" s="27"/>
      <x:c r="CL190" s="27"/>
      <x:c r="CM190" s="27"/>
      <x:c r="CN190" s="27"/>
      <x:c r="CO190" s="27"/>
      <x:c r="CP190" s="27"/>
      <x:c r="CQ190" s="27"/>
      <x:c r="CR190" s="27"/>
      <x:c r="CS190" s="27"/>
      <x:c r="CT190" s="27"/>
      <x:c r="CU190" s="27"/>
      <x:c r="CV190" s="27"/>
      <x:c r="CW190" s="27"/>
      <x:c r="CX190" s="27"/>
      <x:c r="CY190" s="27"/>
      <x:c r="CZ190" s="27"/>
      <x:c r="DA190" s="27"/>
      <x:c r="DB190" s="27"/>
      <x:c r="DC190" s="27"/>
      <x:c r="DD190" s="27"/>
      <x:c r="DE190" s="27"/>
      <x:c r="DF190" s="27"/>
      <x:c r="DG190" s="27"/>
      <x:c r="DH190" s="27"/>
      <x:c r="DI190" s="27"/>
      <x:c r="DJ190" s="27"/>
      <x:c r="DK190" s="27"/>
      <x:c r="DL190" s="27"/>
      <x:c r="DM190" s="27"/>
      <x:c r="DN190" s="27"/>
      <x:c r="DO190" s="27"/>
      <x:c r="DP190" s="27"/>
      <x:c r="DQ190" s="27"/>
      <x:c r="DR190" s="27"/>
      <x:c r="DS190" s="27"/>
      <x:c r="DT190" s="27"/>
      <x:c r="DU190" s="27"/>
      <x:c r="DV190" s="27"/>
      <x:c r="DW190" s="27"/>
      <x:c r="DX190" s="27"/>
      <x:c r="DY190" s="27"/>
      <x:c r="DZ190" s="27"/>
      <x:c r="EA190" s="27"/>
      <x:c r="EB190" s="27"/>
      <x:c r="EC190" s="27"/>
      <x:c r="ED190" s="27"/>
      <x:c r="EE190" s="27"/>
      <x:c r="EF190" s="27"/>
      <x:c r="EG190" s="27"/>
      <x:c r="EH190" s="27"/>
      <x:c r="EI190" s="27"/>
      <x:c r="EJ190" s="27"/>
      <x:c r="EK190" s="27"/>
      <x:c r="EL190" s="27"/>
      <x:c r="EM190" s="27"/>
      <x:c r="EN190" s="27"/>
      <x:c r="EO190" s="27"/>
      <x:c r="EP190" s="27"/>
      <x:c r="EQ190" s="27"/>
      <x:c r="ER190" s="27"/>
      <x:c r="ES190" s="27"/>
      <x:c r="ET190" s="27"/>
      <x:c r="EU190" s="27"/>
      <x:c r="EV190" s="27"/>
      <x:c r="EW190" s="27"/>
      <x:c r="EX190" s="27"/>
      <x:c r="EY190" s="27"/>
      <x:c r="EZ190" s="27"/>
      <x:c r="FA190" s="27"/>
      <x:c r="FB190" s="27"/>
      <x:c r="FC190" s="27"/>
      <x:c r="FD190" s="27"/>
      <x:c r="FE190" s="27"/>
      <x:c r="FF190" s="27"/>
      <x:c r="FG190" s="27"/>
      <x:c r="FH190" s="27"/>
      <x:c r="FI190" s="27"/>
      <x:c r="FJ190" s="27"/>
      <x:c r="FK190" s="27"/>
      <x:c r="FL190" s="27"/>
      <x:c r="FM190" s="27"/>
      <x:c r="FN190" s="27"/>
      <x:c r="FO190" s="27"/>
      <x:c r="FP190" s="27"/>
      <x:c r="FQ190" s="27"/>
      <x:c r="FR190" s="27"/>
      <x:c r="FS190" s="27"/>
      <x:c r="FT190" s="27"/>
      <x:c r="FU190" s="27"/>
      <x:c r="FV190" s="27"/>
      <x:c r="FW190" s="27"/>
      <x:c r="FX190" s="27"/>
      <x:c r="FY190" s="27"/>
      <x:c r="FZ190" s="27"/>
      <x:c r="GA190" s="27"/>
      <x:c r="GB190" s="27"/>
      <x:c r="GC190" s="27"/>
      <x:c r="GD190" s="27"/>
      <x:c r="GE190" s="27"/>
      <x:c r="GF190" s="27"/>
      <x:c r="GG190" s="27"/>
      <x:c r="GH190" s="27"/>
      <x:c r="GI190" s="27"/>
      <x:c r="GJ190" s="27"/>
      <x:c r="GK190" s="27"/>
      <x:c r="GL190" s="27"/>
      <x:c r="GM190" s="27"/>
      <x:c r="GN190" s="27"/>
      <x:c r="GO190" s="27"/>
      <x:c r="GP190" s="27"/>
      <x:c r="GQ190" s="27"/>
      <x:c r="GR190" s="27"/>
      <x:c r="GS190" s="27"/>
      <x:c r="GT190" s="27"/>
      <x:c r="GU190" s="27"/>
      <x:c r="GV190" s="27"/>
      <x:c r="GW190" s="27"/>
      <x:c r="GX190" s="27"/>
      <x:c r="GY190" s="27"/>
      <x:c r="GZ190" s="27"/>
      <x:c r="HA190" s="27"/>
      <x:c r="HB190" s="27"/>
      <x:c r="HC190" s="27"/>
      <x:c r="HD190" s="27"/>
      <x:c r="HE190" s="27"/>
      <x:c r="HF190" s="27"/>
      <x:c r="HG190" s="27"/>
      <x:c r="HH190" s="27"/>
      <x:c r="HI190" s="27"/>
      <x:c r="HJ190" s="27"/>
      <x:c r="HK190" s="27"/>
      <x:c r="HL190" s="27"/>
      <x:c r="HM190" s="27"/>
      <x:c r="HN190" s="27"/>
      <x:c r="HO190" s="27"/>
      <x:c r="HP190" s="27" t="str">
        <x:f>IF(C190="","",SUM(H190,N190,T190,Z190,AF190,AL190,AR190,AX190,BD190,BJ190,BP190,BV190,CB190,CH190,CN190,CT190,CZ190,DF190,DL190,DR190,DX190,ED190,EJ190,EP190,EV190,FB190,FH190,FN190,FT190,FZ190,GF190,GL190,GR190,GX190,HD190,HJ190))</x:f>
      </x:c>
      <x:c r="HQ190" s="27" t="str">
        <x:f>IF(C190="","",SUM(I190,O190,U190,AA190,AG190,AM190,AS190,AY190,BE190,BK190,BQ190,BW190,CC190,CI190,CO190,CU190,DA190,DG190,DM190,DS190,DY190,EE190,EK190,EQ190,EW190,FC190,FI190,FO190,FU190,GA190,GG190,GM190,GS190,GY190,HE190,HK190))</x:f>
      </x:c>
      <x:c r="HR190" s="27" t="str">
        <x:f>IF(C190="","",SUM(J190,P190,V190,AB190,AH190,AN190,AT190,AZ190,BF190,BL190,BR190,BX190,CD190,CJ190,CP190,CV190,DB190,DH190,DN190,DT190,DZ190,EF190,EL190,ER190,EX190,FD190,FJ190,FP190,FV190,GB190,GH190,GN190,GT190,GZ190,HF190,HL190))</x:f>
      </x:c>
      <x:c r="HS190" s="27" t="str">
        <x:f>IF(C190="","",SUM(K190,Q190,W190,AC190,AI190,AO190,AU190,BA190,BG190,BM190,BS190,BY190,CE190,CK190,CQ190,CW190,DC190,DI190,DO190,DU190,EA190,EG190,EM190,ES190,EY190,FE190,FK190,FQ190,FW190,GC190,GI190,GO190,GU190,HA190,HG190,HM190))</x:f>
      </x:c>
      <x:c r="HT190" s="27" t="str">
        <x:f>IF(C190="","",SUM(L190,R190,X190,AD190,AJ190,AP190,AV190,BB190,BH190,BN190,BT190,BZ190,CF190,CL190,CR190,CX190,DD190,DJ190,DP190,DV190,EB190,EH190,EN190,ET190,EZ190,FF190,FL190,FR190,FX190,GD190,GJ190,GP190,GV190,HB190,HH190,HN190))</x:f>
      </x:c>
      <x:c r="HU190" s="27" t="str">
        <x:f>IF(C190="","",SUM(M190,S190,Y190,AE190,AK190,AQ190,AW190,BC190,BI190,BO190,BU190,CA190,CG190,CM190,CS190,CY190,DE190,DK190,DQ190,DW190,EC190,EI190,EO190,EU190,FA190,FG190,FM190,FS190,FY190,GE190,GK190,GQ190,GW190,HC190,HI190,HO190))</x:f>
      </x:c>
      <x:c r="HV190" s="27" t="str">
        <x:f>IF(C190="","",IF(JI190=LARGE(JI190:JN190,1),"R",IF(JJ190=LARGE(JI190:JN190,1),"I",IF(JK190=LARGE(JI190:JN190,1),"A",IF(JL190=LARGE(JI190:JN190,1),"S",IF(JM190=LARGE(JI190:JN190,1),"E",IF(JN190=LARGE(JI190:JN190,1),"C",""))))))&amp;IF(JI190=LARGE(JI190:JN190,2),"R",IF(JJ190=LARGE(JI190:JN190,2),"I",IF(JK190=LARGE(JI190:JN190,2),"A",IF(JL190=LARGE(JI190:JN190,2),"S",IF(JM190=LARGE(JI190:JN190,2),"E",IF(JN190=LARGE(JI190:JN190,2),"C",""))))))&amp;IF(JI190=LARGE(JI190:JN190,3),"R",IF(JJ190=LARGE(JI190:JN190,3),"I",IF(JK190=LARGE(JI190:JN190,3),"A",IF(JL190=LARGE(JI190:JN190,3),"S",IF(JM190=LARGE(JI190:JN190,3),"E",IF(JN190=LARGE(JI190:JN190,3),"C","")))))))</x:f>
      </x:c>
      <x:c r="HW190" s="27" t="str">
        <x:f>IF(C190="","",IF(JI190=LARGE(JI190:JN190,1),"นักปฏิบัติ",IF(JJ190=LARGE(JI190:JN190,1),"นักคิดวิเคราะห์",IF(JK190=LARGE(JI190:JN190,1),"นักสร้างสรรค์",IF(JL190=LARGE(JI190:JN190,1),"ผู้เข้าใจผู้คน",IF(JM190=LARGE(JI190:JN190,1),"ผู้นำการเปลี่ยนแปลง",IF(JN190=LARGE(JI190:JN190,1),"ผู้จัดระบบ","ผู้จัดระบบ")))))))</x:f>
      </x:c>
      <x:c r="HX190" s="27"/>
      <x:c r="HY190" s="27"/>
      <x:c r="HZ190" s="27"/>
      <x:c r="IA190" s="27"/>
      <x:c r="IB190" s="27"/>
      <x:c r="IC190" s="27"/>
      <x:c r="ID190" s="27"/>
      <x:c r="IE190" s="27"/>
      <x:c r="IF190" s="27"/>
      <x:c r="IG190" s="27"/>
      <x:c r="IH190" s="27"/>
      <x:c r="II190" s="27"/>
      <x:c r="IJ190" s="27"/>
      <x:c r="IK190" s="27" t="str">
        <x:f>IF(C190="","",SUM(H190,N190,T190,Z190,AF190,AL190,AR190,AX190,BD190,BJ190,BP190))</x:f>
      </x:c>
      <x:c r="IL190" s="27" t="str">
        <x:f>IF(C190="","",SUM(I190,O190,U190,AA190,AG190,AM190,AS190,AY190,BE190,BK190,BQ190))</x:f>
      </x:c>
      <x:c r="IM190" s="27" t="str">
        <x:f>IF(C190="","",SUM(J190,P190,V190,AB190,AH190,AN190,AT190,AZ190,BF190,BL190,BR190))</x:f>
      </x:c>
      <x:c r="IN190" s="27" t="str">
        <x:f>IF(C190="","",SUM(K190,Q190,W190,AC190,AI190,AO190,AU190,BA190,BG190,BM190,BS190))</x:f>
      </x:c>
      <x:c r="IO190" s="27" t="str">
        <x:f>IF(C190="","",SUM(L190,R190,X190,AD190,AJ190,AP190,AV190,BB190,BH190,BN190,BT190))</x:f>
      </x:c>
      <x:c r="IP190" s="27" t="str">
        <x:f>IF(C190="","",SUM(M190,S190,Y190,AE190,AK190,AQ190,AW190,BC190,BI190,BO190,BU190))</x:f>
      </x:c>
      <x:c r="IQ190" s="27" t="str">
        <x:f>IF(C190="","",SUM(BV190,CB190,CH190,CN190,CT190,CZ190,DF190,DL190,DR190,DX190,ED190))</x:f>
      </x:c>
      <x:c r="IR190" s="27" t="str">
        <x:f>IF(C190="","",SUM(BW190,CC190,CI190,CO190,CU190,DA190,DG190,DM190,DS190,DY190,EE190))</x:f>
      </x:c>
      <x:c r="IS190" s="27" t="str">
        <x:f>IF(C190="","",SUM(BX190,CD190,CJ190,CP190,CV190,DB190,DH190,DN190,DT190,DZ190,EF190))</x:f>
      </x:c>
      <x:c r="IT190" s="27" t="str">
        <x:f>IF(C190="","",SUM(BY190,CE190,CK190,CQ190,CW190,DC190,DI190,DO190,DU190,EA190,EG190))</x:f>
      </x:c>
      <x:c r="IU190" s="27" t="str">
        <x:f>IF(C190="","",SUM(BZ190,CF190,CL190,CR190,CX190,DD190,DJ190,DP190,DV190,EB190,EH190))</x:f>
      </x:c>
      <x:c r="IV190" s="27" t="str">
        <x:f>IF(C190="","",SUM(CA190,CG190,CM190,CS190,CY190,DE190,DK190,DQ190,DW190,EC190,EI190))</x:f>
      </x:c>
      <x:c r="IW190" s="27" t="str">
        <x:f>IF(C190="","",SUM(EJ190,EP190,EV190,FB190,FH190,FN190,FT190,FZ190,GF190,GL190,GR190,GX190,HD190,HJ190))</x:f>
      </x:c>
      <x:c r="IX190" s="27" t="str">
        <x:f>IF(C190="","",SUM(EK190,EQ190,EW190,FC190,FI190,FO190,FU190,GA190,GG190,GM190,GS190,GY190,HE190,HK190))</x:f>
      </x:c>
      <x:c r="IY190" s="27" t="str">
        <x:f>IF(C190="","",SUM(EL190,ER190,EX190,FD190,FJ190,FP190,FV190,GB190,GH190,GN190,GT190,GZ190,HF190,HL190))</x:f>
      </x:c>
      <x:c r="IZ190" s="27" t="str">
        <x:f>IF(C190="","",SUM(EM190,ES190,EY190,FE190,FK190,FQ190,FW190,GC190,GI190,GO190,GU190,HA190,HG190,HM190))</x:f>
      </x:c>
      <x:c r="JA190" s="27" t="str">
        <x:f>IF(C190="","",SUM(EN190,ET190,EZ190,FF190,FL190,FR190,FX190,GD190,GJ190,GP190,GV190,HB190,HH190,HN190))</x:f>
      </x:c>
      <x:c r="JB190" s="27" t="str">
        <x:f>IF(C190="","",SUM(EO190,EU190,FA190,FG190,FM190,FS190,FY190,GE190,GK190,GQ190,GW190,HC190,HI190,HO190))</x:f>
      </x:c>
      <x:c r="JC190" s="27" t="str">
        <x:f>IF(C190="","",0)</x:f>
      </x:c>
      <x:c r="JD190" s="27" t="str">
        <x:f>IF(C190="","",0)</x:f>
      </x:c>
      <x:c r="JE190" s="27" t="str">
        <x:f>IF(C190="","",0)</x:f>
      </x:c>
      <x:c r="JF190" s="27" t="str">
        <x:f>IF(C190="","",0)</x:f>
      </x:c>
      <x:c r="JG190" s="27" t="str">
        <x:f>IF(C190="","",0)</x:f>
      </x:c>
      <x:c r="JH190" s="27" t="str">
        <x:f>IF(C190="","",0)</x:f>
      </x:c>
      <x:c r="JI190" s="27" t="str">
        <x:f>IF(C190="","",HP190*1000000000+IW190*1000000+IQ190*10000+IK190*100+JC190+6/1000)</x:f>
      </x:c>
      <x:c r="JJ190" s="27" t="str">
        <x:f>IF(C190="","",HQ190*1000000000+IX190*1000000+IR190*10000+IL190*100+JD190+5/1000)</x:f>
      </x:c>
      <x:c r="JK190" s="27" t="str">
        <x:f>IF(C190="","",HR190*1000000000+IY190*1000000+IS190*10000+IM190*100+JE190+4/1000)</x:f>
      </x:c>
      <x:c r="JL190" s="27" t="str">
        <x:f>IF(C190="","",HS190*1000000000+IZ190*1000000+IT190*10000+IN190*100+JF190+3/1000)</x:f>
      </x:c>
      <x:c r="JM190" s="27" t="str">
        <x:f>IF(C190="","",HT190*1000000000+JA190*1000000+IU190*10000+IO190*100+JG190+2/1000)</x:f>
      </x:c>
      <x:c r="JN190" s="27" t="str">
        <x:f>IF(C190="","",HU190*1000000000+JB190*1000000+IV190*10000+IP190*100+JH190+1/1000)</x:f>
      </x:c>
    </x:row>
    <x:row r="191">
      <x:c r="A191" s="27"/>
      <x:c r="B191" s="28"/>
      <x:c r="C191" s="27"/>
      <x:c r="D191" s="27"/>
      <x:c r="E191" s="27"/>
      <x:c r="F191" s="27"/>
      <x:c r="G191" s="27"/>
      <x:c r="H191" s="27"/>
      <x:c r="I191" s="27"/>
      <x:c r="J191" s="27"/>
      <x:c r="K191" s="27"/>
      <x:c r="L191" s="27"/>
      <x:c r="M191" s="27"/>
      <x:c r="N191" s="27"/>
      <x:c r="O191" s="27"/>
      <x:c r="P191" s="27"/>
      <x:c r="Q191" s="27"/>
      <x:c r="R191" s="27"/>
      <x:c r="S191" s="27"/>
      <x:c r="T191" s="27"/>
      <x:c r="U191" s="27"/>
      <x:c r="V191" s="27"/>
      <x:c r="W191" s="27"/>
      <x:c r="X191" s="27"/>
      <x:c r="Y191" s="27"/>
      <x:c r="Z191" s="27"/>
      <x:c r="AA191" s="27"/>
      <x:c r="AB191" s="27"/>
      <x:c r="AC191" s="27"/>
      <x:c r="AD191" s="27"/>
      <x:c r="AE191" s="27"/>
      <x:c r="AF191" s="27"/>
      <x:c r="AG191" s="27"/>
      <x:c r="AH191" s="27"/>
      <x:c r="AI191" s="27"/>
      <x:c r="AJ191" s="27"/>
      <x:c r="AK191" s="27"/>
      <x:c r="AL191" s="27"/>
      <x:c r="AM191" s="27"/>
      <x:c r="AN191" s="27"/>
      <x:c r="AO191" s="27"/>
      <x:c r="AP191" s="27"/>
      <x:c r="AQ191" s="27"/>
      <x:c r="AR191" s="27"/>
      <x:c r="AS191" s="27"/>
      <x:c r="AT191" s="27"/>
      <x:c r="AU191" s="27"/>
      <x:c r="AV191" s="27"/>
      <x:c r="AW191" s="27"/>
      <x:c r="AX191" s="27"/>
      <x:c r="AY191" s="27"/>
      <x:c r="AZ191" s="27"/>
      <x:c r="BA191" s="27"/>
      <x:c r="BB191" s="27"/>
      <x:c r="BC191" s="27"/>
      <x:c r="BD191" s="27"/>
      <x:c r="BE191" s="27"/>
      <x:c r="BF191" s="27"/>
      <x:c r="BG191" s="27"/>
      <x:c r="BH191" s="27"/>
      <x:c r="BI191" s="27"/>
      <x:c r="BJ191" s="27"/>
      <x:c r="BK191" s="27"/>
      <x:c r="BL191" s="27"/>
      <x:c r="BM191" s="27"/>
      <x:c r="BN191" s="27"/>
      <x:c r="BO191" s="27"/>
      <x:c r="BP191" s="27"/>
      <x:c r="BQ191" s="27"/>
      <x:c r="BR191" s="27"/>
      <x:c r="BS191" s="27"/>
      <x:c r="BT191" s="27"/>
      <x:c r="BU191" s="27"/>
      <x:c r="BV191" s="27"/>
      <x:c r="BW191" s="27"/>
      <x:c r="BX191" s="27"/>
      <x:c r="BY191" s="27"/>
      <x:c r="BZ191" s="27"/>
      <x:c r="CA191" s="27"/>
      <x:c r="CB191" s="27"/>
      <x:c r="CC191" s="27"/>
      <x:c r="CD191" s="27"/>
      <x:c r="CE191" s="27"/>
      <x:c r="CF191" s="27"/>
      <x:c r="CG191" s="27"/>
      <x:c r="CH191" s="27"/>
      <x:c r="CI191" s="27"/>
      <x:c r="CJ191" s="27"/>
      <x:c r="CK191" s="27"/>
      <x:c r="CL191" s="27"/>
      <x:c r="CM191" s="27"/>
      <x:c r="CN191" s="27"/>
      <x:c r="CO191" s="27"/>
      <x:c r="CP191" s="27"/>
      <x:c r="CQ191" s="27"/>
      <x:c r="CR191" s="27"/>
      <x:c r="CS191" s="27"/>
      <x:c r="CT191" s="27"/>
      <x:c r="CU191" s="27"/>
      <x:c r="CV191" s="27"/>
      <x:c r="CW191" s="27"/>
      <x:c r="CX191" s="27"/>
      <x:c r="CY191" s="27"/>
      <x:c r="CZ191" s="27"/>
      <x:c r="DA191" s="27"/>
      <x:c r="DB191" s="27"/>
      <x:c r="DC191" s="27"/>
      <x:c r="DD191" s="27"/>
      <x:c r="DE191" s="27"/>
      <x:c r="DF191" s="27"/>
      <x:c r="DG191" s="27"/>
      <x:c r="DH191" s="27"/>
      <x:c r="DI191" s="27"/>
      <x:c r="DJ191" s="27"/>
      <x:c r="DK191" s="27"/>
      <x:c r="DL191" s="27"/>
      <x:c r="DM191" s="27"/>
      <x:c r="DN191" s="27"/>
      <x:c r="DO191" s="27"/>
      <x:c r="DP191" s="27"/>
      <x:c r="DQ191" s="27"/>
      <x:c r="DR191" s="27"/>
      <x:c r="DS191" s="27"/>
      <x:c r="DT191" s="27"/>
      <x:c r="DU191" s="27"/>
      <x:c r="DV191" s="27"/>
      <x:c r="DW191" s="27"/>
      <x:c r="DX191" s="27"/>
      <x:c r="DY191" s="27"/>
      <x:c r="DZ191" s="27"/>
      <x:c r="EA191" s="27"/>
      <x:c r="EB191" s="27"/>
      <x:c r="EC191" s="27"/>
      <x:c r="ED191" s="27"/>
      <x:c r="EE191" s="27"/>
      <x:c r="EF191" s="27"/>
      <x:c r="EG191" s="27"/>
      <x:c r="EH191" s="27"/>
      <x:c r="EI191" s="27"/>
      <x:c r="EJ191" s="27"/>
      <x:c r="EK191" s="27"/>
      <x:c r="EL191" s="27"/>
      <x:c r="EM191" s="27"/>
      <x:c r="EN191" s="27"/>
      <x:c r="EO191" s="27"/>
      <x:c r="EP191" s="27"/>
      <x:c r="EQ191" s="27"/>
      <x:c r="ER191" s="27"/>
      <x:c r="ES191" s="27"/>
      <x:c r="ET191" s="27"/>
      <x:c r="EU191" s="27"/>
      <x:c r="EV191" s="27"/>
      <x:c r="EW191" s="27"/>
      <x:c r="EX191" s="27"/>
      <x:c r="EY191" s="27"/>
      <x:c r="EZ191" s="27"/>
      <x:c r="FA191" s="27"/>
      <x:c r="FB191" s="27"/>
      <x:c r="FC191" s="27"/>
      <x:c r="FD191" s="27"/>
      <x:c r="FE191" s="27"/>
      <x:c r="FF191" s="27"/>
      <x:c r="FG191" s="27"/>
      <x:c r="FH191" s="27"/>
      <x:c r="FI191" s="27"/>
      <x:c r="FJ191" s="27"/>
      <x:c r="FK191" s="27"/>
      <x:c r="FL191" s="27"/>
      <x:c r="FM191" s="27"/>
      <x:c r="FN191" s="27"/>
      <x:c r="FO191" s="27"/>
      <x:c r="FP191" s="27"/>
      <x:c r="FQ191" s="27"/>
      <x:c r="FR191" s="27"/>
      <x:c r="FS191" s="27"/>
      <x:c r="FT191" s="27"/>
      <x:c r="FU191" s="27"/>
      <x:c r="FV191" s="27"/>
      <x:c r="FW191" s="27"/>
      <x:c r="FX191" s="27"/>
      <x:c r="FY191" s="27"/>
      <x:c r="FZ191" s="27"/>
      <x:c r="GA191" s="27"/>
      <x:c r="GB191" s="27"/>
      <x:c r="GC191" s="27"/>
      <x:c r="GD191" s="27"/>
      <x:c r="GE191" s="27"/>
      <x:c r="GF191" s="27"/>
      <x:c r="GG191" s="27"/>
      <x:c r="GH191" s="27"/>
      <x:c r="GI191" s="27"/>
      <x:c r="GJ191" s="27"/>
      <x:c r="GK191" s="27"/>
      <x:c r="GL191" s="27"/>
      <x:c r="GM191" s="27"/>
      <x:c r="GN191" s="27"/>
      <x:c r="GO191" s="27"/>
      <x:c r="GP191" s="27"/>
      <x:c r="GQ191" s="27"/>
      <x:c r="GR191" s="27"/>
      <x:c r="GS191" s="27"/>
      <x:c r="GT191" s="27"/>
      <x:c r="GU191" s="27"/>
      <x:c r="GV191" s="27"/>
      <x:c r="GW191" s="27"/>
      <x:c r="GX191" s="27"/>
      <x:c r="GY191" s="27"/>
      <x:c r="GZ191" s="27"/>
      <x:c r="HA191" s="27"/>
      <x:c r="HB191" s="27"/>
      <x:c r="HC191" s="27"/>
      <x:c r="HD191" s="27"/>
      <x:c r="HE191" s="27"/>
      <x:c r="HF191" s="27"/>
      <x:c r="HG191" s="27"/>
      <x:c r="HH191" s="27"/>
      <x:c r="HI191" s="27"/>
      <x:c r="HJ191" s="27"/>
      <x:c r="HK191" s="27"/>
      <x:c r="HL191" s="27"/>
      <x:c r="HM191" s="27"/>
      <x:c r="HN191" s="27"/>
      <x:c r="HO191" s="27"/>
      <x:c r="HP191" s="27" t="str">
        <x:f>IF(C191="","",SUM(H191,N191,T191,Z191,AF191,AL191,AR191,AX191,BD191,BJ191,BP191,BV191,CB191,CH191,CN191,CT191,CZ191,DF191,DL191,DR191,DX191,ED191,EJ191,EP191,EV191,FB191,FH191,FN191,FT191,FZ191,GF191,GL191,GR191,GX191,HD191,HJ191))</x:f>
      </x:c>
      <x:c r="HQ191" s="27" t="str">
        <x:f>IF(C191="","",SUM(I191,O191,U191,AA191,AG191,AM191,AS191,AY191,BE191,BK191,BQ191,BW191,CC191,CI191,CO191,CU191,DA191,DG191,DM191,DS191,DY191,EE191,EK191,EQ191,EW191,FC191,FI191,FO191,FU191,GA191,GG191,GM191,GS191,GY191,HE191,HK191))</x:f>
      </x:c>
      <x:c r="HR191" s="27" t="str">
        <x:f>IF(C191="","",SUM(J191,P191,V191,AB191,AH191,AN191,AT191,AZ191,BF191,BL191,BR191,BX191,CD191,CJ191,CP191,CV191,DB191,DH191,DN191,DT191,DZ191,EF191,EL191,ER191,EX191,FD191,FJ191,FP191,FV191,GB191,GH191,GN191,GT191,GZ191,HF191,HL191))</x:f>
      </x:c>
      <x:c r="HS191" s="27" t="str">
        <x:f>IF(C191="","",SUM(K191,Q191,W191,AC191,AI191,AO191,AU191,BA191,BG191,BM191,BS191,BY191,CE191,CK191,CQ191,CW191,DC191,DI191,DO191,DU191,EA191,EG191,EM191,ES191,EY191,FE191,FK191,FQ191,FW191,GC191,GI191,GO191,GU191,HA191,HG191,HM191))</x:f>
      </x:c>
      <x:c r="HT191" s="27" t="str">
        <x:f>IF(C191="","",SUM(L191,R191,X191,AD191,AJ191,AP191,AV191,BB191,BH191,BN191,BT191,BZ191,CF191,CL191,CR191,CX191,DD191,DJ191,DP191,DV191,EB191,EH191,EN191,ET191,EZ191,FF191,FL191,FR191,FX191,GD191,GJ191,GP191,GV191,HB191,HH191,HN191))</x:f>
      </x:c>
      <x:c r="HU191" s="27" t="str">
        <x:f>IF(C191="","",SUM(M191,S191,Y191,AE191,AK191,AQ191,AW191,BC191,BI191,BO191,BU191,CA191,CG191,CM191,CS191,CY191,DE191,DK191,DQ191,DW191,EC191,EI191,EO191,EU191,FA191,FG191,FM191,FS191,FY191,GE191,GK191,GQ191,GW191,HC191,HI191,HO191))</x:f>
      </x:c>
      <x:c r="HV191" s="27" t="str">
        <x:f>IF(C191="","",IF(JI191=LARGE(JI191:JN191,1),"R",IF(JJ191=LARGE(JI191:JN191,1),"I",IF(JK191=LARGE(JI191:JN191,1),"A",IF(JL191=LARGE(JI191:JN191,1),"S",IF(JM191=LARGE(JI191:JN191,1),"E",IF(JN191=LARGE(JI191:JN191,1),"C",""))))))&amp;IF(JI191=LARGE(JI191:JN191,2),"R",IF(JJ191=LARGE(JI191:JN191,2),"I",IF(JK191=LARGE(JI191:JN191,2),"A",IF(JL191=LARGE(JI191:JN191,2),"S",IF(JM191=LARGE(JI191:JN191,2),"E",IF(JN191=LARGE(JI191:JN191,2),"C",""))))))&amp;IF(JI191=LARGE(JI191:JN191,3),"R",IF(JJ191=LARGE(JI191:JN191,3),"I",IF(JK191=LARGE(JI191:JN191,3),"A",IF(JL191=LARGE(JI191:JN191,3),"S",IF(JM191=LARGE(JI191:JN191,3),"E",IF(JN191=LARGE(JI191:JN191,3),"C","")))))))</x:f>
      </x:c>
      <x:c r="HW191" s="27" t="str">
        <x:f>IF(C191="","",IF(JI191=LARGE(JI191:JN191,1),"นักปฏิบัติ",IF(JJ191=LARGE(JI191:JN191,1),"นักคิดวิเคราะห์",IF(JK191=LARGE(JI191:JN191,1),"นักสร้างสรรค์",IF(JL191=LARGE(JI191:JN191,1),"ผู้เข้าใจผู้คน",IF(JM191=LARGE(JI191:JN191,1),"ผู้นำการเปลี่ยนแปลง",IF(JN191=LARGE(JI191:JN191,1),"ผู้จัดระบบ","ผู้จัดระบบ")))))))</x:f>
      </x:c>
      <x:c r="HX191" s="27"/>
      <x:c r="HY191" s="27"/>
      <x:c r="HZ191" s="27"/>
      <x:c r="IA191" s="27"/>
      <x:c r="IB191" s="27"/>
      <x:c r="IC191" s="27"/>
      <x:c r="ID191" s="27"/>
      <x:c r="IE191" s="27"/>
      <x:c r="IF191" s="27"/>
      <x:c r="IG191" s="27"/>
      <x:c r="IH191" s="27"/>
      <x:c r="II191" s="27"/>
      <x:c r="IJ191" s="27"/>
      <x:c r="IK191" s="27" t="str">
        <x:f>IF(C191="","",SUM(H191,N191,T191,Z191,AF191,AL191,AR191,AX191,BD191,BJ191,BP191))</x:f>
      </x:c>
      <x:c r="IL191" s="27" t="str">
        <x:f>IF(C191="","",SUM(I191,O191,U191,AA191,AG191,AM191,AS191,AY191,BE191,BK191,BQ191))</x:f>
      </x:c>
      <x:c r="IM191" s="27" t="str">
        <x:f>IF(C191="","",SUM(J191,P191,V191,AB191,AH191,AN191,AT191,AZ191,BF191,BL191,BR191))</x:f>
      </x:c>
      <x:c r="IN191" s="27" t="str">
        <x:f>IF(C191="","",SUM(K191,Q191,W191,AC191,AI191,AO191,AU191,BA191,BG191,BM191,BS191))</x:f>
      </x:c>
      <x:c r="IO191" s="27" t="str">
        <x:f>IF(C191="","",SUM(L191,R191,X191,AD191,AJ191,AP191,AV191,BB191,BH191,BN191,BT191))</x:f>
      </x:c>
      <x:c r="IP191" s="27" t="str">
        <x:f>IF(C191="","",SUM(M191,S191,Y191,AE191,AK191,AQ191,AW191,BC191,BI191,BO191,BU191))</x:f>
      </x:c>
      <x:c r="IQ191" s="27" t="str">
        <x:f>IF(C191="","",SUM(BV191,CB191,CH191,CN191,CT191,CZ191,DF191,DL191,DR191,DX191,ED191))</x:f>
      </x:c>
      <x:c r="IR191" s="27" t="str">
        <x:f>IF(C191="","",SUM(BW191,CC191,CI191,CO191,CU191,DA191,DG191,DM191,DS191,DY191,EE191))</x:f>
      </x:c>
      <x:c r="IS191" s="27" t="str">
        <x:f>IF(C191="","",SUM(BX191,CD191,CJ191,CP191,CV191,DB191,DH191,DN191,DT191,DZ191,EF191))</x:f>
      </x:c>
      <x:c r="IT191" s="27" t="str">
        <x:f>IF(C191="","",SUM(BY191,CE191,CK191,CQ191,CW191,DC191,DI191,DO191,DU191,EA191,EG191))</x:f>
      </x:c>
      <x:c r="IU191" s="27" t="str">
        <x:f>IF(C191="","",SUM(BZ191,CF191,CL191,CR191,CX191,DD191,DJ191,DP191,DV191,EB191,EH191))</x:f>
      </x:c>
      <x:c r="IV191" s="27" t="str">
        <x:f>IF(C191="","",SUM(CA191,CG191,CM191,CS191,CY191,DE191,DK191,DQ191,DW191,EC191,EI191))</x:f>
      </x:c>
      <x:c r="IW191" s="27" t="str">
        <x:f>IF(C191="","",SUM(EJ191,EP191,EV191,FB191,FH191,FN191,FT191,FZ191,GF191,GL191,GR191,GX191,HD191,HJ191))</x:f>
      </x:c>
      <x:c r="IX191" s="27" t="str">
        <x:f>IF(C191="","",SUM(EK191,EQ191,EW191,FC191,FI191,FO191,FU191,GA191,GG191,GM191,GS191,GY191,HE191,HK191))</x:f>
      </x:c>
      <x:c r="IY191" s="27" t="str">
        <x:f>IF(C191="","",SUM(EL191,ER191,EX191,FD191,FJ191,FP191,FV191,GB191,GH191,GN191,GT191,GZ191,HF191,HL191))</x:f>
      </x:c>
      <x:c r="IZ191" s="27" t="str">
        <x:f>IF(C191="","",SUM(EM191,ES191,EY191,FE191,FK191,FQ191,FW191,GC191,GI191,GO191,GU191,HA191,HG191,HM191))</x:f>
      </x:c>
      <x:c r="JA191" s="27" t="str">
        <x:f>IF(C191="","",SUM(EN191,ET191,EZ191,FF191,FL191,FR191,FX191,GD191,GJ191,GP191,GV191,HB191,HH191,HN191))</x:f>
      </x:c>
      <x:c r="JB191" s="27" t="str">
        <x:f>IF(C191="","",SUM(EO191,EU191,FA191,FG191,FM191,FS191,FY191,GE191,GK191,GQ191,GW191,HC191,HI191,HO191))</x:f>
      </x:c>
      <x:c r="JC191" s="27" t="str">
        <x:f>IF(C191="","",0)</x:f>
      </x:c>
      <x:c r="JD191" s="27" t="str">
        <x:f>IF(C191="","",0)</x:f>
      </x:c>
      <x:c r="JE191" s="27" t="str">
        <x:f>IF(C191="","",0)</x:f>
      </x:c>
      <x:c r="JF191" s="27" t="str">
        <x:f>IF(C191="","",0)</x:f>
      </x:c>
      <x:c r="JG191" s="27" t="str">
        <x:f>IF(C191="","",0)</x:f>
      </x:c>
      <x:c r="JH191" s="27" t="str">
        <x:f>IF(C191="","",0)</x:f>
      </x:c>
      <x:c r="JI191" s="27" t="str">
        <x:f>IF(C191="","",HP191*1000000000+IW191*1000000+IQ191*10000+IK191*100+JC191+6/1000)</x:f>
      </x:c>
      <x:c r="JJ191" s="27" t="str">
        <x:f>IF(C191="","",HQ191*1000000000+IX191*1000000+IR191*10000+IL191*100+JD191+5/1000)</x:f>
      </x:c>
      <x:c r="JK191" s="27" t="str">
        <x:f>IF(C191="","",HR191*1000000000+IY191*1000000+IS191*10000+IM191*100+JE191+4/1000)</x:f>
      </x:c>
      <x:c r="JL191" s="27" t="str">
        <x:f>IF(C191="","",HS191*1000000000+IZ191*1000000+IT191*10000+IN191*100+JF191+3/1000)</x:f>
      </x:c>
      <x:c r="JM191" s="27" t="str">
        <x:f>IF(C191="","",HT191*1000000000+JA191*1000000+IU191*10000+IO191*100+JG191+2/1000)</x:f>
      </x:c>
      <x:c r="JN191" s="27" t="str">
        <x:f>IF(C191="","",HU191*1000000000+JB191*1000000+IV191*10000+IP191*100+JH191+1/1000)</x:f>
      </x:c>
    </x:row>
    <x:row r="192">
      <x:c r="A192" s="27"/>
      <x:c r="B192" s="28"/>
      <x:c r="C192" s="27"/>
      <x:c r="D192" s="27"/>
      <x:c r="E192" s="27"/>
      <x:c r="F192" s="27"/>
      <x:c r="G192" s="27"/>
      <x:c r="H192" s="27"/>
      <x:c r="I192" s="27"/>
      <x:c r="J192" s="27"/>
      <x:c r="K192" s="27"/>
      <x:c r="L192" s="27"/>
      <x:c r="M192" s="27"/>
      <x:c r="N192" s="27"/>
      <x:c r="O192" s="27"/>
      <x:c r="P192" s="27"/>
      <x:c r="Q192" s="27"/>
      <x:c r="R192" s="27"/>
      <x:c r="S192" s="27"/>
      <x:c r="T192" s="27"/>
      <x:c r="U192" s="27"/>
      <x:c r="V192" s="27"/>
      <x:c r="W192" s="27"/>
      <x:c r="X192" s="27"/>
      <x:c r="Y192" s="27"/>
      <x:c r="Z192" s="27"/>
      <x:c r="AA192" s="27"/>
      <x:c r="AB192" s="27"/>
      <x:c r="AC192" s="27"/>
      <x:c r="AD192" s="27"/>
      <x:c r="AE192" s="27"/>
      <x:c r="AF192" s="27"/>
      <x:c r="AG192" s="27"/>
      <x:c r="AH192" s="27"/>
      <x:c r="AI192" s="27"/>
      <x:c r="AJ192" s="27"/>
      <x:c r="AK192" s="27"/>
      <x:c r="AL192" s="27"/>
      <x:c r="AM192" s="27"/>
      <x:c r="AN192" s="27"/>
      <x:c r="AO192" s="27"/>
      <x:c r="AP192" s="27"/>
      <x:c r="AQ192" s="27"/>
      <x:c r="AR192" s="27"/>
      <x:c r="AS192" s="27"/>
      <x:c r="AT192" s="27"/>
      <x:c r="AU192" s="27"/>
      <x:c r="AV192" s="27"/>
      <x:c r="AW192" s="27"/>
      <x:c r="AX192" s="27"/>
      <x:c r="AY192" s="27"/>
      <x:c r="AZ192" s="27"/>
      <x:c r="BA192" s="27"/>
      <x:c r="BB192" s="27"/>
      <x:c r="BC192" s="27"/>
      <x:c r="BD192" s="27"/>
      <x:c r="BE192" s="27"/>
      <x:c r="BF192" s="27"/>
      <x:c r="BG192" s="27"/>
      <x:c r="BH192" s="27"/>
      <x:c r="BI192" s="27"/>
      <x:c r="BJ192" s="27"/>
      <x:c r="BK192" s="27"/>
      <x:c r="BL192" s="27"/>
      <x:c r="BM192" s="27"/>
      <x:c r="BN192" s="27"/>
      <x:c r="BO192" s="27"/>
      <x:c r="BP192" s="27"/>
      <x:c r="BQ192" s="27"/>
      <x:c r="BR192" s="27"/>
      <x:c r="BS192" s="27"/>
      <x:c r="BT192" s="27"/>
      <x:c r="BU192" s="27"/>
      <x:c r="BV192" s="27"/>
      <x:c r="BW192" s="27"/>
      <x:c r="BX192" s="27"/>
      <x:c r="BY192" s="27"/>
      <x:c r="BZ192" s="27"/>
      <x:c r="CA192" s="27"/>
      <x:c r="CB192" s="27"/>
      <x:c r="CC192" s="27"/>
      <x:c r="CD192" s="27"/>
      <x:c r="CE192" s="27"/>
      <x:c r="CF192" s="27"/>
      <x:c r="CG192" s="27"/>
      <x:c r="CH192" s="27"/>
      <x:c r="CI192" s="27"/>
      <x:c r="CJ192" s="27"/>
      <x:c r="CK192" s="27"/>
      <x:c r="CL192" s="27"/>
      <x:c r="CM192" s="27"/>
      <x:c r="CN192" s="27"/>
      <x:c r="CO192" s="27"/>
      <x:c r="CP192" s="27"/>
      <x:c r="CQ192" s="27"/>
      <x:c r="CR192" s="27"/>
      <x:c r="CS192" s="27"/>
      <x:c r="CT192" s="27"/>
      <x:c r="CU192" s="27"/>
      <x:c r="CV192" s="27"/>
      <x:c r="CW192" s="27"/>
      <x:c r="CX192" s="27"/>
      <x:c r="CY192" s="27"/>
      <x:c r="CZ192" s="27"/>
      <x:c r="DA192" s="27"/>
      <x:c r="DB192" s="27"/>
      <x:c r="DC192" s="27"/>
      <x:c r="DD192" s="27"/>
      <x:c r="DE192" s="27"/>
      <x:c r="DF192" s="27"/>
      <x:c r="DG192" s="27"/>
      <x:c r="DH192" s="27"/>
      <x:c r="DI192" s="27"/>
      <x:c r="DJ192" s="27"/>
      <x:c r="DK192" s="27"/>
      <x:c r="DL192" s="27"/>
      <x:c r="DM192" s="27"/>
      <x:c r="DN192" s="27"/>
      <x:c r="DO192" s="27"/>
      <x:c r="DP192" s="27"/>
      <x:c r="DQ192" s="27"/>
      <x:c r="DR192" s="27"/>
      <x:c r="DS192" s="27"/>
      <x:c r="DT192" s="27"/>
      <x:c r="DU192" s="27"/>
      <x:c r="DV192" s="27"/>
      <x:c r="DW192" s="27"/>
      <x:c r="DX192" s="27"/>
      <x:c r="DY192" s="27"/>
      <x:c r="DZ192" s="27"/>
      <x:c r="EA192" s="27"/>
      <x:c r="EB192" s="27"/>
      <x:c r="EC192" s="27"/>
      <x:c r="ED192" s="27"/>
      <x:c r="EE192" s="27"/>
      <x:c r="EF192" s="27"/>
      <x:c r="EG192" s="27"/>
      <x:c r="EH192" s="27"/>
      <x:c r="EI192" s="27"/>
      <x:c r="EJ192" s="27"/>
      <x:c r="EK192" s="27"/>
      <x:c r="EL192" s="27"/>
      <x:c r="EM192" s="27"/>
      <x:c r="EN192" s="27"/>
      <x:c r="EO192" s="27"/>
      <x:c r="EP192" s="27"/>
      <x:c r="EQ192" s="27"/>
      <x:c r="ER192" s="27"/>
      <x:c r="ES192" s="27"/>
      <x:c r="ET192" s="27"/>
      <x:c r="EU192" s="27"/>
      <x:c r="EV192" s="27"/>
      <x:c r="EW192" s="27"/>
      <x:c r="EX192" s="27"/>
      <x:c r="EY192" s="27"/>
      <x:c r="EZ192" s="27"/>
      <x:c r="FA192" s="27"/>
      <x:c r="FB192" s="27"/>
      <x:c r="FC192" s="27"/>
      <x:c r="FD192" s="27"/>
      <x:c r="FE192" s="27"/>
      <x:c r="FF192" s="27"/>
      <x:c r="FG192" s="27"/>
      <x:c r="FH192" s="27"/>
      <x:c r="FI192" s="27"/>
      <x:c r="FJ192" s="27"/>
      <x:c r="FK192" s="27"/>
      <x:c r="FL192" s="27"/>
      <x:c r="FM192" s="27"/>
      <x:c r="FN192" s="27"/>
      <x:c r="FO192" s="27"/>
      <x:c r="FP192" s="27"/>
      <x:c r="FQ192" s="27"/>
      <x:c r="FR192" s="27"/>
      <x:c r="FS192" s="27"/>
      <x:c r="FT192" s="27"/>
      <x:c r="FU192" s="27"/>
      <x:c r="FV192" s="27"/>
      <x:c r="FW192" s="27"/>
      <x:c r="FX192" s="27"/>
      <x:c r="FY192" s="27"/>
      <x:c r="FZ192" s="27"/>
      <x:c r="GA192" s="27"/>
      <x:c r="GB192" s="27"/>
      <x:c r="GC192" s="27"/>
      <x:c r="GD192" s="27"/>
      <x:c r="GE192" s="27"/>
      <x:c r="GF192" s="27"/>
      <x:c r="GG192" s="27"/>
      <x:c r="GH192" s="27"/>
      <x:c r="GI192" s="27"/>
      <x:c r="GJ192" s="27"/>
      <x:c r="GK192" s="27"/>
      <x:c r="GL192" s="27"/>
      <x:c r="GM192" s="27"/>
      <x:c r="GN192" s="27"/>
      <x:c r="GO192" s="27"/>
      <x:c r="GP192" s="27"/>
      <x:c r="GQ192" s="27"/>
      <x:c r="GR192" s="27"/>
      <x:c r="GS192" s="27"/>
      <x:c r="GT192" s="27"/>
      <x:c r="GU192" s="27"/>
      <x:c r="GV192" s="27"/>
      <x:c r="GW192" s="27"/>
      <x:c r="GX192" s="27"/>
      <x:c r="GY192" s="27"/>
      <x:c r="GZ192" s="27"/>
      <x:c r="HA192" s="27"/>
      <x:c r="HB192" s="27"/>
      <x:c r="HC192" s="27"/>
      <x:c r="HD192" s="27"/>
      <x:c r="HE192" s="27"/>
      <x:c r="HF192" s="27"/>
      <x:c r="HG192" s="27"/>
      <x:c r="HH192" s="27"/>
      <x:c r="HI192" s="27"/>
      <x:c r="HJ192" s="27"/>
      <x:c r="HK192" s="27"/>
      <x:c r="HL192" s="27"/>
      <x:c r="HM192" s="27"/>
      <x:c r="HN192" s="27"/>
      <x:c r="HO192" s="27"/>
      <x:c r="HP192" s="27" t="str">
        <x:f>IF(C192="","",SUM(H192,N192,T192,Z192,AF192,AL192,AR192,AX192,BD192,BJ192,BP192,BV192,CB192,CH192,CN192,CT192,CZ192,DF192,DL192,DR192,DX192,ED192,EJ192,EP192,EV192,FB192,FH192,FN192,FT192,FZ192,GF192,GL192,GR192,GX192,HD192,HJ192))</x:f>
      </x:c>
      <x:c r="HQ192" s="27" t="str">
        <x:f>IF(C192="","",SUM(I192,O192,U192,AA192,AG192,AM192,AS192,AY192,BE192,BK192,BQ192,BW192,CC192,CI192,CO192,CU192,DA192,DG192,DM192,DS192,DY192,EE192,EK192,EQ192,EW192,FC192,FI192,FO192,FU192,GA192,GG192,GM192,GS192,GY192,HE192,HK192))</x:f>
      </x:c>
      <x:c r="HR192" s="27" t="str">
        <x:f>IF(C192="","",SUM(J192,P192,V192,AB192,AH192,AN192,AT192,AZ192,BF192,BL192,BR192,BX192,CD192,CJ192,CP192,CV192,DB192,DH192,DN192,DT192,DZ192,EF192,EL192,ER192,EX192,FD192,FJ192,FP192,FV192,GB192,GH192,GN192,GT192,GZ192,HF192,HL192))</x:f>
      </x:c>
      <x:c r="HS192" s="27" t="str">
        <x:f>IF(C192="","",SUM(K192,Q192,W192,AC192,AI192,AO192,AU192,BA192,BG192,BM192,BS192,BY192,CE192,CK192,CQ192,CW192,DC192,DI192,DO192,DU192,EA192,EG192,EM192,ES192,EY192,FE192,FK192,FQ192,FW192,GC192,GI192,GO192,GU192,HA192,HG192,HM192))</x:f>
      </x:c>
      <x:c r="HT192" s="27" t="str">
        <x:f>IF(C192="","",SUM(L192,R192,X192,AD192,AJ192,AP192,AV192,BB192,BH192,BN192,BT192,BZ192,CF192,CL192,CR192,CX192,DD192,DJ192,DP192,DV192,EB192,EH192,EN192,ET192,EZ192,FF192,FL192,FR192,FX192,GD192,GJ192,GP192,GV192,HB192,HH192,HN192))</x:f>
      </x:c>
      <x:c r="HU192" s="27" t="str">
        <x:f>IF(C192="","",SUM(M192,S192,Y192,AE192,AK192,AQ192,AW192,BC192,BI192,BO192,BU192,CA192,CG192,CM192,CS192,CY192,DE192,DK192,DQ192,DW192,EC192,EI192,EO192,EU192,FA192,FG192,FM192,FS192,FY192,GE192,GK192,GQ192,GW192,HC192,HI192,HO192))</x:f>
      </x:c>
      <x:c r="HV192" s="27" t="str">
        <x:f>IF(C192="","",IF(JI192=LARGE(JI192:JN192,1),"R",IF(JJ192=LARGE(JI192:JN192,1),"I",IF(JK192=LARGE(JI192:JN192,1),"A",IF(JL192=LARGE(JI192:JN192,1),"S",IF(JM192=LARGE(JI192:JN192,1),"E",IF(JN192=LARGE(JI192:JN192,1),"C",""))))))&amp;IF(JI192=LARGE(JI192:JN192,2),"R",IF(JJ192=LARGE(JI192:JN192,2),"I",IF(JK192=LARGE(JI192:JN192,2),"A",IF(JL192=LARGE(JI192:JN192,2),"S",IF(JM192=LARGE(JI192:JN192,2),"E",IF(JN192=LARGE(JI192:JN192,2),"C",""))))))&amp;IF(JI192=LARGE(JI192:JN192,3),"R",IF(JJ192=LARGE(JI192:JN192,3),"I",IF(JK192=LARGE(JI192:JN192,3),"A",IF(JL192=LARGE(JI192:JN192,3),"S",IF(JM192=LARGE(JI192:JN192,3),"E",IF(JN192=LARGE(JI192:JN192,3),"C","")))))))</x:f>
      </x:c>
      <x:c r="HW192" s="27" t="str">
        <x:f>IF(C192="","",IF(JI192=LARGE(JI192:JN192,1),"นักปฏิบัติ",IF(JJ192=LARGE(JI192:JN192,1),"นักคิดวิเคราะห์",IF(JK192=LARGE(JI192:JN192,1),"นักสร้างสรรค์",IF(JL192=LARGE(JI192:JN192,1),"ผู้เข้าใจผู้คน",IF(JM192=LARGE(JI192:JN192,1),"ผู้นำการเปลี่ยนแปลง",IF(JN192=LARGE(JI192:JN192,1),"ผู้จัดระบบ","ผู้จัดระบบ")))))))</x:f>
      </x:c>
      <x:c r="HX192" s="27"/>
      <x:c r="HY192" s="27"/>
      <x:c r="HZ192" s="27"/>
      <x:c r="IA192" s="27"/>
      <x:c r="IB192" s="27"/>
      <x:c r="IC192" s="27"/>
      <x:c r="ID192" s="27"/>
      <x:c r="IE192" s="27"/>
      <x:c r="IF192" s="27"/>
      <x:c r="IG192" s="27"/>
      <x:c r="IH192" s="27"/>
      <x:c r="II192" s="27"/>
      <x:c r="IJ192" s="27"/>
      <x:c r="IK192" s="27" t="str">
        <x:f>IF(C192="","",SUM(H192,N192,T192,Z192,AF192,AL192,AR192,AX192,BD192,BJ192,BP192))</x:f>
      </x:c>
      <x:c r="IL192" s="27" t="str">
        <x:f>IF(C192="","",SUM(I192,O192,U192,AA192,AG192,AM192,AS192,AY192,BE192,BK192,BQ192))</x:f>
      </x:c>
      <x:c r="IM192" s="27" t="str">
        <x:f>IF(C192="","",SUM(J192,P192,V192,AB192,AH192,AN192,AT192,AZ192,BF192,BL192,BR192))</x:f>
      </x:c>
      <x:c r="IN192" s="27" t="str">
        <x:f>IF(C192="","",SUM(K192,Q192,W192,AC192,AI192,AO192,AU192,BA192,BG192,BM192,BS192))</x:f>
      </x:c>
      <x:c r="IO192" s="27" t="str">
        <x:f>IF(C192="","",SUM(L192,R192,X192,AD192,AJ192,AP192,AV192,BB192,BH192,BN192,BT192))</x:f>
      </x:c>
      <x:c r="IP192" s="27" t="str">
        <x:f>IF(C192="","",SUM(M192,S192,Y192,AE192,AK192,AQ192,AW192,BC192,BI192,BO192,BU192))</x:f>
      </x:c>
      <x:c r="IQ192" s="27" t="str">
        <x:f>IF(C192="","",SUM(BV192,CB192,CH192,CN192,CT192,CZ192,DF192,DL192,DR192,DX192,ED192))</x:f>
      </x:c>
      <x:c r="IR192" s="27" t="str">
        <x:f>IF(C192="","",SUM(BW192,CC192,CI192,CO192,CU192,DA192,DG192,DM192,DS192,DY192,EE192))</x:f>
      </x:c>
      <x:c r="IS192" s="27" t="str">
        <x:f>IF(C192="","",SUM(BX192,CD192,CJ192,CP192,CV192,DB192,DH192,DN192,DT192,DZ192,EF192))</x:f>
      </x:c>
      <x:c r="IT192" s="27" t="str">
        <x:f>IF(C192="","",SUM(BY192,CE192,CK192,CQ192,CW192,DC192,DI192,DO192,DU192,EA192,EG192))</x:f>
      </x:c>
      <x:c r="IU192" s="27" t="str">
        <x:f>IF(C192="","",SUM(BZ192,CF192,CL192,CR192,CX192,DD192,DJ192,DP192,DV192,EB192,EH192))</x:f>
      </x:c>
      <x:c r="IV192" s="27" t="str">
        <x:f>IF(C192="","",SUM(CA192,CG192,CM192,CS192,CY192,DE192,DK192,DQ192,DW192,EC192,EI192))</x:f>
      </x:c>
      <x:c r="IW192" s="27" t="str">
        <x:f>IF(C192="","",SUM(EJ192,EP192,EV192,FB192,FH192,FN192,FT192,FZ192,GF192,GL192,GR192,GX192,HD192,HJ192))</x:f>
      </x:c>
      <x:c r="IX192" s="27" t="str">
        <x:f>IF(C192="","",SUM(EK192,EQ192,EW192,FC192,FI192,FO192,FU192,GA192,GG192,GM192,GS192,GY192,HE192,HK192))</x:f>
      </x:c>
      <x:c r="IY192" s="27" t="str">
        <x:f>IF(C192="","",SUM(EL192,ER192,EX192,FD192,FJ192,FP192,FV192,GB192,GH192,GN192,GT192,GZ192,HF192,HL192))</x:f>
      </x:c>
      <x:c r="IZ192" s="27" t="str">
        <x:f>IF(C192="","",SUM(EM192,ES192,EY192,FE192,FK192,FQ192,FW192,GC192,GI192,GO192,GU192,HA192,HG192,HM192))</x:f>
      </x:c>
      <x:c r="JA192" s="27" t="str">
        <x:f>IF(C192="","",SUM(EN192,ET192,EZ192,FF192,FL192,FR192,FX192,GD192,GJ192,GP192,GV192,HB192,HH192,HN192))</x:f>
      </x:c>
      <x:c r="JB192" s="27" t="str">
        <x:f>IF(C192="","",SUM(EO192,EU192,FA192,FG192,FM192,FS192,FY192,GE192,GK192,GQ192,GW192,HC192,HI192,HO192))</x:f>
      </x:c>
      <x:c r="JC192" s="27" t="str">
        <x:f>IF(C192="","",0)</x:f>
      </x:c>
      <x:c r="JD192" s="27" t="str">
        <x:f>IF(C192="","",0)</x:f>
      </x:c>
      <x:c r="JE192" s="27" t="str">
        <x:f>IF(C192="","",0)</x:f>
      </x:c>
      <x:c r="JF192" s="27" t="str">
        <x:f>IF(C192="","",0)</x:f>
      </x:c>
      <x:c r="JG192" s="27" t="str">
        <x:f>IF(C192="","",0)</x:f>
      </x:c>
      <x:c r="JH192" s="27" t="str">
        <x:f>IF(C192="","",0)</x:f>
      </x:c>
      <x:c r="JI192" s="27" t="str">
        <x:f>IF(C192="","",HP192*1000000000+IW192*1000000+IQ192*10000+IK192*100+JC192+6/1000)</x:f>
      </x:c>
      <x:c r="JJ192" s="27" t="str">
        <x:f>IF(C192="","",HQ192*1000000000+IX192*1000000+IR192*10000+IL192*100+JD192+5/1000)</x:f>
      </x:c>
      <x:c r="JK192" s="27" t="str">
        <x:f>IF(C192="","",HR192*1000000000+IY192*1000000+IS192*10000+IM192*100+JE192+4/1000)</x:f>
      </x:c>
      <x:c r="JL192" s="27" t="str">
        <x:f>IF(C192="","",HS192*1000000000+IZ192*1000000+IT192*10000+IN192*100+JF192+3/1000)</x:f>
      </x:c>
      <x:c r="JM192" s="27" t="str">
        <x:f>IF(C192="","",HT192*1000000000+JA192*1000000+IU192*10000+IO192*100+JG192+2/1000)</x:f>
      </x:c>
      <x:c r="JN192" s="27" t="str">
        <x:f>IF(C192="","",HU192*1000000000+JB192*1000000+IV192*10000+IP192*100+JH192+1/1000)</x:f>
      </x:c>
    </x:row>
    <x:row r="193">
      <x:c r="A193" s="27"/>
      <x:c r="B193" s="28"/>
      <x:c r="C193" s="27"/>
      <x:c r="D193" s="27"/>
      <x:c r="E193" s="27"/>
      <x:c r="F193" s="27"/>
      <x:c r="G193" s="27"/>
      <x:c r="H193" s="27"/>
      <x:c r="I193" s="27"/>
      <x:c r="J193" s="27"/>
      <x:c r="K193" s="27"/>
      <x:c r="L193" s="27"/>
      <x:c r="M193" s="27"/>
      <x:c r="N193" s="27"/>
      <x:c r="O193" s="27"/>
      <x:c r="P193" s="27"/>
      <x:c r="Q193" s="27"/>
      <x:c r="R193" s="27"/>
      <x:c r="S193" s="27"/>
      <x:c r="T193" s="27"/>
      <x:c r="U193" s="27"/>
      <x:c r="V193" s="27"/>
      <x:c r="W193" s="27"/>
      <x:c r="X193" s="27"/>
      <x:c r="Y193" s="27"/>
      <x:c r="Z193" s="27"/>
      <x:c r="AA193" s="27"/>
      <x:c r="AB193" s="27"/>
      <x:c r="AC193" s="27"/>
      <x:c r="AD193" s="27"/>
      <x:c r="AE193" s="27"/>
      <x:c r="AF193" s="27"/>
      <x:c r="AG193" s="27"/>
      <x:c r="AH193" s="27"/>
      <x:c r="AI193" s="27"/>
      <x:c r="AJ193" s="27"/>
      <x:c r="AK193" s="27"/>
      <x:c r="AL193" s="27"/>
      <x:c r="AM193" s="27"/>
      <x:c r="AN193" s="27"/>
      <x:c r="AO193" s="27"/>
      <x:c r="AP193" s="27"/>
      <x:c r="AQ193" s="27"/>
      <x:c r="AR193" s="27"/>
      <x:c r="AS193" s="27"/>
      <x:c r="AT193" s="27"/>
      <x:c r="AU193" s="27"/>
      <x:c r="AV193" s="27"/>
      <x:c r="AW193" s="27"/>
      <x:c r="AX193" s="27"/>
      <x:c r="AY193" s="27"/>
      <x:c r="AZ193" s="27"/>
      <x:c r="BA193" s="27"/>
      <x:c r="BB193" s="27"/>
      <x:c r="BC193" s="27"/>
      <x:c r="BD193" s="27"/>
      <x:c r="BE193" s="27"/>
      <x:c r="BF193" s="27"/>
      <x:c r="BG193" s="27"/>
      <x:c r="BH193" s="27"/>
      <x:c r="BI193" s="27"/>
      <x:c r="BJ193" s="27"/>
      <x:c r="BK193" s="27"/>
      <x:c r="BL193" s="27"/>
      <x:c r="BM193" s="27"/>
      <x:c r="BN193" s="27"/>
      <x:c r="BO193" s="27"/>
      <x:c r="BP193" s="27"/>
      <x:c r="BQ193" s="27"/>
      <x:c r="BR193" s="27"/>
      <x:c r="BS193" s="27"/>
      <x:c r="BT193" s="27"/>
      <x:c r="BU193" s="27"/>
      <x:c r="BV193" s="27"/>
      <x:c r="BW193" s="27"/>
      <x:c r="BX193" s="27"/>
      <x:c r="BY193" s="27"/>
      <x:c r="BZ193" s="27"/>
      <x:c r="CA193" s="27"/>
      <x:c r="CB193" s="27"/>
      <x:c r="CC193" s="27"/>
      <x:c r="CD193" s="27"/>
      <x:c r="CE193" s="27"/>
      <x:c r="CF193" s="27"/>
      <x:c r="CG193" s="27"/>
      <x:c r="CH193" s="27"/>
      <x:c r="CI193" s="27"/>
      <x:c r="CJ193" s="27"/>
      <x:c r="CK193" s="27"/>
      <x:c r="CL193" s="27"/>
      <x:c r="CM193" s="27"/>
      <x:c r="CN193" s="27"/>
      <x:c r="CO193" s="27"/>
      <x:c r="CP193" s="27"/>
      <x:c r="CQ193" s="27"/>
      <x:c r="CR193" s="27"/>
      <x:c r="CS193" s="27"/>
      <x:c r="CT193" s="27"/>
      <x:c r="CU193" s="27"/>
      <x:c r="CV193" s="27"/>
      <x:c r="CW193" s="27"/>
      <x:c r="CX193" s="27"/>
      <x:c r="CY193" s="27"/>
      <x:c r="CZ193" s="27"/>
      <x:c r="DA193" s="27"/>
      <x:c r="DB193" s="27"/>
      <x:c r="DC193" s="27"/>
      <x:c r="DD193" s="27"/>
      <x:c r="DE193" s="27"/>
      <x:c r="DF193" s="27"/>
      <x:c r="DG193" s="27"/>
      <x:c r="DH193" s="27"/>
      <x:c r="DI193" s="27"/>
      <x:c r="DJ193" s="27"/>
      <x:c r="DK193" s="27"/>
      <x:c r="DL193" s="27"/>
      <x:c r="DM193" s="27"/>
      <x:c r="DN193" s="27"/>
      <x:c r="DO193" s="27"/>
      <x:c r="DP193" s="27"/>
      <x:c r="DQ193" s="27"/>
      <x:c r="DR193" s="27"/>
      <x:c r="DS193" s="27"/>
      <x:c r="DT193" s="27"/>
      <x:c r="DU193" s="27"/>
      <x:c r="DV193" s="27"/>
      <x:c r="DW193" s="27"/>
      <x:c r="DX193" s="27"/>
      <x:c r="DY193" s="27"/>
      <x:c r="DZ193" s="27"/>
      <x:c r="EA193" s="27"/>
      <x:c r="EB193" s="27"/>
      <x:c r="EC193" s="27"/>
      <x:c r="ED193" s="27"/>
      <x:c r="EE193" s="27"/>
      <x:c r="EF193" s="27"/>
      <x:c r="EG193" s="27"/>
      <x:c r="EH193" s="27"/>
      <x:c r="EI193" s="27"/>
      <x:c r="EJ193" s="27"/>
      <x:c r="EK193" s="27"/>
      <x:c r="EL193" s="27"/>
      <x:c r="EM193" s="27"/>
      <x:c r="EN193" s="27"/>
      <x:c r="EO193" s="27"/>
      <x:c r="EP193" s="27"/>
      <x:c r="EQ193" s="27"/>
      <x:c r="ER193" s="27"/>
      <x:c r="ES193" s="27"/>
      <x:c r="ET193" s="27"/>
      <x:c r="EU193" s="27"/>
      <x:c r="EV193" s="27"/>
      <x:c r="EW193" s="27"/>
      <x:c r="EX193" s="27"/>
      <x:c r="EY193" s="27"/>
      <x:c r="EZ193" s="27"/>
      <x:c r="FA193" s="27"/>
      <x:c r="FB193" s="27"/>
      <x:c r="FC193" s="27"/>
      <x:c r="FD193" s="27"/>
      <x:c r="FE193" s="27"/>
      <x:c r="FF193" s="27"/>
      <x:c r="FG193" s="27"/>
      <x:c r="FH193" s="27"/>
      <x:c r="FI193" s="27"/>
      <x:c r="FJ193" s="27"/>
      <x:c r="FK193" s="27"/>
      <x:c r="FL193" s="27"/>
      <x:c r="FM193" s="27"/>
      <x:c r="FN193" s="27"/>
      <x:c r="FO193" s="27"/>
      <x:c r="FP193" s="27"/>
      <x:c r="FQ193" s="27"/>
      <x:c r="FR193" s="27"/>
      <x:c r="FS193" s="27"/>
      <x:c r="FT193" s="27"/>
      <x:c r="FU193" s="27"/>
      <x:c r="FV193" s="27"/>
      <x:c r="FW193" s="27"/>
      <x:c r="FX193" s="27"/>
      <x:c r="FY193" s="27"/>
      <x:c r="FZ193" s="27"/>
      <x:c r="GA193" s="27"/>
      <x:c r="GB193" s="27"/>
      <x:c r="GC193" s="27"/>
      <x:c r="GD193" s="27"/>
      <x:c r="GE193" s="27"/>
      <x:c r="GF193" s="27"/>
      <x:c r="GG193" s="27"/>
      <x:c r="GH193" s="27"/>
      <x:c r="GI193" s="27"/>
      <x:c r="GJ193" s="27"/>
      <x:c r="GK193" s="27"/>
      <x:c r="GL193" s="27"/>
      <x:c r="GM193" s="27"/>
      <x:c r="GN193" s="27"/>
      <x:c r="GO193" s="27"/>
      <x:c r="GP193" s="27"/>
      <x:c r="GQ193" s="27"/>
      <x:c r="GR193" s="27"/>
      <x:c r="GS193" s="27"/>
      <x:c r="GT193" s="27"/>
      <x:c r="GU193" s="27"/>
      <x:c r="GV193" s="27"/>
      <x:c r="GW193" s="27"/>
      <x:c r="GX193" s="27"/>
      <x:c r="GY193" s="27"/>
      <x:c r="GZ193" s="27"/>
      <x:c r="HA193" s="27"/>
      <x:c r="HB193" s="27"/>
      <x:c r="HC193" s="27"/>
      <x:c r="HD193" s="27"/>
      <x:c r="HE193" s="27"/>
      <x:c r="HF193" s="27"/>
      <x:c r="HG193" s="27"/>
      <x:c r="HH193" s="27"/>
      <x:c r="HI193" s="27"/>
      <x:c r="HJ193" s="27"/>
      <x:c r="HK193" s="27"/>
      <x:c r="HL193" s="27"/>
      <x:c r="HM193" s="27"/>
      <x:c r="HN193" s="27"/>
      <x:c r="HO193" s="27"/>
      <x:c r="HP193" s="27" t="str">
        <x:f>IF(C193="","",SUM(H193,N193,T193,Z193,AF193,AL193,AR193,AX193,BD193,BJ193,BP193,BV193,CB193,CH193,CN193,CT193,CZ193,DF193,DL193,DR193,DX193,ED193,EJ193,EP193,EV193,FB193,FH193,FN193,FT193,FZ193,GF193,GL193,GR193,GX193,HD193,HJ193))</x:f>
      </x:c>
      <x:c r="HQ193" s="27" t="str">
        <x:f>IF(C193="","",SUM(I193,O193,U193,AA193,AG193,AM193,AS193,AY193,BE193,BK193,BQ193,BW193,CC193,CI193,CO193,CU193,DA193,DG193,DM193,DS193,DY193,EE193,EK193,EQ193,EW193,FC193,FI193,FO193,FU193,GA193,GG193,GM193,GS193,GY193,HE193,HK193))</x:f>
      </x:c>
      <x:c r="HR193" s="27" t="str">
        <x:f>IF(C193="","",SUM(J193,P193,V193,AB193,AH193,AN193,AT193,AZ193,BF193,BL193,BR193,BX193,CD193,CJ193,CP193,CV193,DB193,DH193,DN193,DT193,DZ193,EF193,EL193,ER193,EX193,FD193,FJ193,FP193,FV193,GB193,GH193,GN193,GT193,GZ193,HF193,HL193))</x:f>
      </x:c>
      <x:c r="HS193" s="27" t="str">
        <x:f>IF(C193="","",SUM(K193,Q193,W193,AC193,AI193,AO193,AU193,BA193,BG193,BM193,BS193,BY193,CE193,CK193,CQ193,CW193,DC193,DI193,DO193,DU193,EA193,EG193,EM193,ES193,EY193,FE193,FK193,FQ193,FW193,GC193,GI193,GO193,GU193,HA193,HG193,HM193))</x:f>
      </x:c>
      <x:c r="HT193" s="27" t="str">
        <x:f>IF(C193="","",SUM(L193,R193,X193,AD193,AJ193,AP193,AV193,BB193,BH193,BN193,BT193,BZ193,CF193,CL193,CR193,CX193,DD193,DJ193,DP193,DV193,EB193,EH193,EN193,ET193,EZ193,FF193,FL193,FR193,FX193,GD193,GJ193,GP193,GV193,HB193,HH193,HN193))</x:f>
      </x:c>
      <x:c r="HU193" s="27" t="str">
        <x:f>IF(C193="","",SUM(M193,S193,Y193,AE193,AK193,AQ193,AW193,BC193,BI193,BO193,BU193,CA193,CG193,CM193,CS193,CY193,DE193,DK193,DQ193,DW193,EC193,EI193,EO193,EU193,FA193,FG193,FM193,FS193,FY193,GE193,GK193,GQ193,GW193,HC193,HI193,HO193))</x:f>
      </x:c>
      <x:c r="HV193" s="27" t="str">
        <x:f>IF(C193="","",IF(JI193=LARGE(JI193:JN193,1),"R",IF(JJ193=LARGE(JI193:JN193,1),"I",IF(JK193=LARGE(JI193:JN193,1),"A",IF(JL193=LARGE(JI193:JN193,1),"S",IF(JM193=LARGE(JI193:JN193,1),"E",IF(JN193=LARGE(JI193:JN193,1),"C",""))))))&amp;IF(JI193=LARGE(JI193:JN193,2),"R",IF(JJ193=LARGE(JI193:JN193,2),"I",IF(JK193=LARGE(JI193:JN193,2),"A",IF(JL193=LARGE(JI193:JN193,2),"S",IF(JM193=LARGE(JI193:JN193,2),"E",IF(JN193=LARGE(JI193:JN193,2),"C",""))))))&amp;IF(JI193=LARGE(JI193:JN193,3),"R",IF(JJ193=LARGE(JI193:JN193,3),"I",IF(JK193=LARGE(JI193:JN193,3),"A",IF(JL193=LARGE(JI193:JN193,3),"S",IF(JM193=LARGE(JI193:JN193,3),"E",IF(JN193=LARGE(JI193:JN193,3),"C","")))))))</x:f>
      </x:c>
      <x:c r="HW193" s="27" t="str">
        <x:f>IF(C193="","",IF(JI193=LARGE(JI193:JN193,1),"นักปฏิบัติ",IF(JJ193=LARGE(JI193:JN193,1),"นักคิดวิเคราะห์",IF(JK193=LARGE(JI193:JN193,1),"นักสร้างสรรค์",IF(JL193=LARGE(JI193:JN193,1),"ผู้เข้าใจผู้คน",IF(JM193=LARGE(JI193:JN193,1),"ผู้นำการเปลี่ยนแปลง",IF(JN193=LARGE(JI193:JN193,1),"ผู้จัดระบบ","ผู้จัดระบบ")))))))</x:f>
      </x:c>
      <x:c r="HX193" s="27"/>
      <x:c r="HY193" s="27"/>
      <x:c r="HZ193" s="27"/>
      <x:c r="IA193" s="27"/>
      <x:c r="IB193" s="27"/>
      <x:c r="IC193" s="27"/>
      <x:c r="ID193" s="27"/>
      <x:c r="IE193" s="27"/>
      <x:c r="IF193" s="27"/>
      <x:c r="IG193" s="27"/>
      <x:c r="IH193" s="27"/>
      <x:c r="II193" s="27"/>
      <x:c r="IJ193" s="27"/>
      <x:c r="IK193" s="27" t="str">
        <x:f>IF(C193="","",SUM(H193,N193,T193,Z193,AF193,AL193,AR193,AX193,BD193,BJ193,BP193))</x:f>
      </x:c>
      <x:c r="IL193" s="27" t="str">
        <x:f>IF(C193="","",SUM(I193,O193,U193,AA193,AG193,AM193,AS193,AY193,BE193,BK193,BQ193))</x:f>
      </x:c>
      <x:c r="IM193" s="27" t="str">
        <x:f>IF(C193="","",SUM(J193,P193,V193,AB193,AH193,AN193,AT193,AZ193,BF193,BL193,BR193))</x:f>
      </x:c>
      <x:c r="IN193" s="27" t="str">
        <x:f>IF(C193="","",SUM(K193,Q193,W193,AC193,AI193,AO193,AU193,BA193,BG193,BM193,BS193))</x:f>
      </x:c>
      <x:c r="IO193" s="27" t="str">
        <x:f>IF(C193="","",SUM(L193,R193,X193,AD193,AJ193,AP193,AV193,BB193,BH193,BN193,BT193))</x:f>
      </x:c>
      <x:c r="IP193" s="27" t="str">
        <x:f>IF(C193="","",SUM(M193,S193,Y193,AE193,AK193,AQ193,AW193,BC193,BI193,BO193,BU193))</x:f>
      </x:c>
      <x:c r="IQ193" s="27" t="str">
        <x:f>IF(C193="","",SUM(BV193,CB193,CH193,CN193,CT193,CZ193,DF193,DL193,DR193,DX193,ED193))</x:f>
      </x:c>
      <x:c r="IR193" s="27" t="str">
        <x:f>IF(C193="","",SUM(BW193,CC193,CI193,CO193,CU193,DA193,DG193,DM193,DS193,DY193,EE193))</x:f>
      </x:c>
      <x:c r="IS193" s="27" t="str">
        <x:f>IF(C193="","",SUM(BX193,CD193,CJ193,CP193,CV193,DB193,DH193,DN193,DT193,DZ193,EF193))</x:f>
      </x:c>
      <x:c r="IT193" s="27" t="str">
        <x:f>IF(C193="","",SUM(BY193,CE193,CK193,CQ193,CW193,DC193,DI193,DO193,DU193,EA193,EG193))</x:f>
      </x:c>
      <x:c r="IU193" s="27" t="str">
        <x:f>IF(C193="","",SUM(BZ193,CF193,CL193,CR193,CX193,DD193,DJ193,DP193,DV193,EB193,EH193))</x:f>
      </x:c>
      <x:c r="IV193" s="27" t="str">
        <x:f>IF(C193="","",SUM(CA193,CG193,CM193,CS193,CY193,DE193,DK193,DQ193,DW193,EC193,EI193))</x:f>
      </x:c>
      <x:c r="IW193" s="27" t="str">
        <x:f>IF(C193="","",SUM(EJ193,EP193,EV193,FB193,FH193,FN193,FT193,FZ193,GF193,GL193,GR193,GX193,HD193,HJ193))</x:f>
      </x:c>
      <x:c r="IX193" s="27" t="str">
        <x:f>IF(C193="","",SUM(EK193,EQ193,EW193,FC193,FI193,FO193,FU193,GA193,GG193,GM193,GS193,GY193,HE193,HK193))</x:f>
      </x:c>
      <x:c r="IY193" s="27" t="str">
        <x:f>IF(C193="","",SUM(EL193,ER193,EX193,FD193,FJ193,FP193,FV193,GB193,GH193,GN193,GT193,GZ193,HF193,HL193))</x:f>
      </x:c>
      <x:c r="IZ193" s="27" t="str">
        <x:f>IF(C193="","",SUM(EM193,ES193,EY193,FE193,FK193,FQ193,FW193,GC193,GI193,GO193,GU193,HA193,HG193,HM193))</x:f>
      </x:c>
      <x:c r="JA193" s="27" t="str">
        <x:f>IF(C193="","",SUM(EN193,ET193,EZ193,FF193,FL193,FR193,FX193,GD193,GJ193,GP193,GV193,HB193,HH193,HN193))</x:f>
      </x:c>
      <x:c r="JB193" s="27" t="str">
        <x:f>IF(C193="","",SUM(EO193,EU193,FA193,FG193,FM193,FS193,FY193,GE193,GK193,GQ193,GW193,HC193,HI193,HO193))</x:f>
      </x:c>
      <x:c r="JC193" s="27" t="str">
        <x:f>IF(C193="","",0)</x:f>
      </x:c>
      <x:c r="JD193" s="27" t="str">
        <x:f>IF(C193="","",0)</x:f>
      </x:c>
      <x:c r="JE193" s="27" t="str">
        <x:f>IF(C193="","",0)</x:f>
      </x:c>
      <x:c r="JF193" s="27" t="str">
        <x:f>IF(C193="","",0)</x:f>
      </x:c>
      <x:c r="JG193" s="27" t="str">
        <x:f>IF(C193="","",0)</x:f>
      </x:c>
      <x:c r="JH193" s="27" t="str">
        <x:f>IF(C193="","",0)</x:f>
      </x:c>
      <x:c r="JI193" s="27" t="str">
        <x:f>IF(C193="","",HP193*1000000000+IW193*1000000+IQ193*10000+IK193*100+JC193+6/1000)</x:f>
      </x:c>
      <x:c r="JJ193" s="27" t="str">
        <x:f>IF(C193="","",HQ193*1000000000+IX193*1000000+IR193*10000+IL193*100+JD193+5/1000)</x:f>
      </x:c>
      <x:c r="JK193" s="27" t="str">
        <x:f>IF(C193="","",HR193*1000000000+IY193*1000000+IS193*10000+IM193*100+JE193+4/1000)</x:f>
      </x:c>
      <x:c r="JL193" s="27" t="str">
        <x:f>IF(C193="","",HS193*1000000000+IZ193*1000000+IT193*10000+IN193*100+JF193+3/1000)</x:f>
      </x:c>
      <x:c r="JM193" s="27" t="str">
        <x:f>IF(C193="","",HT193*1000000000+JA193*1000000+IU193*10000+IO193*100+JG193+2/1000)</x:f>
      </x:c>
      <x:c r="JN193" s="27" t="str">
        <x:f>IF(C193="","",HU193*1000000000+JB193*1000000+IV193*10000+IP193*100+JH193+1/1000)</x:f>
      </x:c>
    </x:row>
    <x:row r="194">
      <x:c r="A194" s="27"/>
      <x:c r="B194" s="28"/>
      <x:c r="C194" s="27"/>
      <x:c r="D194" s="27"/>
      <x:c r="E194" s="27"/>
      <x:c r="F194" s="27"/>
      <x:c r="G194" s="27"/>
      <x:c r="H194" s="27"/>
      <x:c r="I194" s="27"/>
      <x:c r="J194" s="27"/>
      <x:c r="K194" s="27"/>
      <x:c r="L194" s="27"/>
      <x:c r="M194" s="27"/>
      <x:c r="N194" s="27"/>
      <x:c r="O194" s="27"/>
      <x:c r="P194" s="27"/>
      <x:c r="Q194" s="27"/>
      <x:c r="R194" s="27"/>
      <x:c r="S194" s="27"/>
      <x:c r="T194" s="27"/>
      <x:c r="U194" s="27"/>
      <x:c r="V194" s="27"/>
      <x:c r="W194" s="27"/>
      <x:c r="X194" s="27"/>
      <x:c r="Y194" s="27"/>
      <x:c r="Z194" s="27"/>
      <x:c r="AA194" s="27"/>
      <x:c r="AB194" s="27"/>
      <x:c r="AC194" s="27"/>
      <x:c r="AD194" s="27"/>
      <x:c r="AE194" s="27"/>
      <x:c r="AF194" s="27"/>
      <x:c r="AG194" s="27"/>
      <x:c r="AH194" s="27"/>
      <x:c r="AI194" s="27"/>
      <x:c r="AJ194" s="27"/>
      <x:c r="AK194" s="27"/>
      <x:c r="AL194" s="27"/>
      <x:c r="AM194" s="27"/>
      <x:c r="AN194" s="27"/>
      <x:c r="AO194" s="27"/>
      <x:c r="AP194" s="27"/>
      <x:c r="AQ194" s="27"/>
      <x:c r="AR194" s="27"/>
      <x:c r="AS194" s="27"/>
      <x:c r="AT194" s="27"/>
      <x:c r="AU194" s="27"/>
      <x:c r="AV194" s="27"/>
      <x:c r="AW194" s="27"/>
      <x:c r="AX194" s="27"/>
      <x:c r="AY194" s="27"/>
      <x:c r="AZ194" s="27"/>
      <x:c r="BA194" s="27"/>
      <x:c r="BB194" s="27"/>
      <x:c r="BC194" s="27"/>
      <x:c r="BD194" s="27"/>
      <x:c r="BE194" s="27"/>
      <x:c r="BF194" s="27"/>
      <x:c r="BG194" s="27"/>
      <x:c r="BH194" s="27"/>
      <x:c r="BI194" s="27"/>
      <x:c r="BJ194" s="27"/>
      <x:c r="BK194" s="27"/>
      <x:c r="BL194" s="27"/>
      <x:c r="BM194" s="27"/>
      <x:c r="BN194" s="27"/>
      <x:c r="BO194" s="27"/>
      <x:c r="BP194" s="27"/>
      <x:c r="BQ194" s="27"/>
      <x:c r="BR194" s="27"/>
      <x:c r="BS194" s="27"/>
      <x:c r="BT194" s="27"/>
      <x:c r="BU194" s="27"/>
      <x:c r="BV194" s="27"/>
      <x:c r="BW194" s="27"/>
      <x:c r="BX194" s="27"/>
      <x:c r="BY194" s="27"/>
      <x:c r="BZ194" s="27"/>
      <x:c r="CA194" s="27"/>
      <x:c r="CB194" s="27"/>
      <x:c r="CC194" s="27"/>
      <x:c r="CD194" s="27"/>
      <x:c r="CE194" s="27"/>
      <x:c r="CF194" s="27"/>
      <x:c r="CG194" s="27"/>
      <x:c r="CH194" s="27"/>
      <x:c r="CI194" s="27"/>
      <x:c r="CJ194" s="27"/>
      <x:c r="CK194" s="27"/>
      <x:c r="CL194" s="27"/>
      <x:c r="CM194" s="27"/>
      <x:c r="CN194" s="27"/>
      <x:c r="CO194" s="27"/>
      <x:c r="CP194" s="27"/>
      <x:c r="CQ194" s="27"/>
      <x:c r="CR194" s="27"/>
      <x:c r="CS194" s="27"/>
      <x:c r="CT194" s="27"/>
      <x:c r="CU194" s="27"/>
      <x:c r="CV194" s="27"/>
      <x:c r="CW194" s="27"/>
      <x:c r="CX194" s="27"/>
      <x:c r="CY194" s="27"/>
      <x:c r="CZ194" s="27"/>
      <x:c r="DA194" s="27"/>
      <x:c r="DB194" s="27"/>
      <x:c r="DC194" s="27"/>
      <x:c r="DD194" s="27"/>
      <x:c r="DE194" s="27"/>
      <x:c r="DF194" s="27"/>
      <x:c r="DG194" s="27"/>
      <x:c r="DH194" s="27"/>
      <x:c r="DI194" s="27"/>
      <x:c r="DJ194" s="27"/>
      <x:c r="DK194" s="27"/>
      <x:c r="DL194" s="27"/>
      <x:c r="DM194" s="27"/>
      <x:c r="DN194" s="27"/>
      <x:c r="DO194" s="27"/>
      <x:c r="DP194" s="27"/>
      <x:c r="DQ194" s="27"/>
      <x:c r="DR194" s="27"/>
      <x:c r="DS194" s="27"/>
      <x:c r="DT194" s="27"/>
      <x:c r="DU194" s="27"/>
      <x:c r="DV194" s="27"/>
      <x:c r="DW194" s="27"/>
      <x:c r="DX194" s="27"/>
      <x:c r="DY194" s="27"/>
      <x:c r="DZ194" s="27"/>
      <x:c r="EA194" s="27"/>
      <x:c r="EB194" s="27"/>
      <x:c r="EC194" s="27"/>
      <x:c r="ED194" s="27"/>
      <x:c r="EE194" s="27"/>
      <x:c r="EF194" s="27"/>
      <x:c r="EG194" s="27"/>
      <x:c r="EH194" s="27"/>
      <x:c r="EI194" s="27"/>
      <x:c r="EJ194" s="27"/>
      <x:c r="EK194" s="27"/>
      <x:c r="EL194" s="27"/>
      <x:c r="EM194" s="27"/>
      <x:c r="EN194" s="27"/>
      <x:c r="EO194" s="27"/>
      <x:c r="EP194" s="27"/>
      <x:c r="EQ194" s="27"/>
      <x:c r="ER194" s="27"/>
      <x:c r="ES194" s="27"/>
      <x:c r="ET194" s="27"/>
      <x:c r="EU194" s="27"/>
      <x:c r="EV194" s="27"/>
      <x:c r="EW194" s="27"/>
      <x:c r="EX194" s="27"/>
      <x:c r="EY194" s="27"/>
      <x:c r="EZ194" s="27"/>
      <x:c r="FA194" s="27"/>
      <x:c r="FB194" s="27"/>
      <x:c r="FC194" s="27"/>
      <x:c r="FD194" s="27"/>
      <x:c r="FE194" s="27"/>
      <x:c r="FF194" s="27"/>
      <x:c r="FG194" s="27"/>
      <x:c r="FH194" s="27"/>
      <x:c r="FI194" s="27"/>
      <x:c r="FJ194" s="27"/>
      <x:c r="FK194" s="27"/>
      <x:c r="FL194" s="27"/>
      <x:c r="FM194" s="27"/>
      <x:c r="FN194" s="27"/>
      <x:c r="FO194" s="27"/>
      <x:c r="FP194" s="27"/>
      <x:c r="FQ194" s="27"/>
      <x:c r="FR194" s="27"/>
      <x:c r="FS194" s="27"/>
      <x:c r="FT194" s="27"/>
      <x:c r="FU194" s="27"/>
      <x:c r="FV194" s="27"/>
      <x:c r="FW194" s="27"/>
      <x:c r="FX194" s="27"/>
      <x:c r="FY194" s="27"/>
      <x:c r="FZ194" s="27"/>
      <x:c r="GA194" s="27"/>
      <x:c r="GB194" s="27"/>
      <x:c r="GC194" s="27"/>
      <x:c r="GD194" s="27"/>
      <x:c r="GE194" s="27"/>
      <x:c r="GF194" s="27"/>
      <x:c r="GG194" s="27"/>
      <x:c r="GH194" s="27"/>
      <x:c r="GI194" s="27"/>
      <x:c r="GJ194" s="27"/>
      <x:c r="GK194" s="27"/>
      <x:c r="GL194" s="27"/>
      <x:c r="GM194" s="27"/>
      <x:c r="GN194" s="27"/>
      <x:c r="GO194" s="27"/>
      <x:c r="GP194" s="27"/>
      <x:c r="GQ194" s="27"/>
      <x:c r="GR194" s="27"/>
      <x:c r="GS194" s="27"/>
      <x:c r="GT194" s="27"/>
      <x:c r="GU194" s="27"/>
      <x:c r="GV194" s="27"/>
      <x:c r="GW194" s="27"/>
      <x:c r="GX194" s="27"/>
      <x:c r="GY194" s="27"/>
      <x:c r="GZ194" s="27"/>
      <x:c r="HA194" s="27"/>
      <x:c r="HB194" s="27"/>
      <x:c r="HC194" s="27"/>
      <x:c r="HD194" s="27"/>
      <x:c r="HE194" s="27"/>
      <x:c r="HF194" s="27"/>
      <x:c r="HG194" s="27"/>
      <x:c r="HH194" s="27"/>
      <x:c r="HI194" s="27"/>
      <x:c r="HJ194" s="27"/>
      <x:c r="HK194" s="27"/>
      <x:c r="HL194" s="27"/>
      <x:c r="HM194" s="27"/>
      <x:c r="HN194" s="27"/>
      <x:c r="HO194" s="27"/>
      <x:c r="HP194" s="27" t="str">
        <x:f>IF(C194="","",SUM(H194,N194,T194,Z194,AF194,AL194,AR194,AX194,BD194,BJ194,BP194,BV194,CB194,CH194,CN194,CT194,CZ194,DF194,DL194,DR194,DX194,ED194,EJ194,EP194,EV194,FB194,FH194,FN194,FT194,FZ194,GF194,GL194,GR194,GX194,HD194,HJ194))</x:f>
      </x:c>
      <x:c r="HQ194" s="27" t="str">
        <x:f>IF(C194="","",SUM(I194,O194,U194,AA194,AG194,AM194,AS194,AY194,BE194,BK194,BQ194,BW194,CC194,CI194,CO194,CU194,DA194,DG194,DM194,DS194,DY194,EE194,EK194,EQ194,EW194,FC194,FI194,FO194,FU194,GA194,GG194,GM194,GS194,GY194,HE194,HK194))</x:f>
      </x:c>
      <x:c r="HR194" s="27" t="str">
        <x:f>IF(C194="","",SUM(J194,P194,V194,AB194,AH194,AN194,AT194,AZ194,BF194,BL194,BR194,BX194,CD194,CJ194,CP194,CV194,DB194,DH194,DN194,DT194,DZ194,EF194,EL194,ER194,EX194,FD194,FJ194,FP194,FV194,GB194,GH194,GN194,GT194,GZ194,HF194,HL194))</x:f>
      </x:c>
      <x:c r="HS194" s="27" t="str">
        <x:f>IF(C194="","",SUM(K194,Q194,W194,AC194,AI194,AO194,AU194,BA194,BG194,BM194,BS194,BY194,CE194,CK194,CQ194,CW194,DC194,DI194,DO194,DU194,EA194,EG194,EM194,ES194,EY194,FE194,FK194,FQ194,FW194,GC194,GI194,GO194,GU194,HA194,HG194,HM194))</x:f>
      </x:c>
      <x:c r="HT194" s="27" t="str">
        <x:f>IF(C194="","",SUM(L194,R194,X194,AD194,AJ194,AP194,AV194,BB194,BH194,BN194,BT194,BZ194,CF194,CL194,CR194,CX194,DD194,DJ194,DP194,DV194,EB194,EH194,EN194,ET194,EZ194,FF194,FL194,FR194,FX194,GD194,GJ194,GP194,GV194,HB194,HH194,HN194))</x:f>
      </x:c>
      <x:c r="HU194" s="27" t="str">
        <x:f>IF(C194="","",SUM(M194,S194,Y194,AE194,AK194,AQ194,AW194,BC194,BI194,BO194,BU194,CA194,CG194,CM194,CS194,CY194,DE194,DK194,DQ194,DW194,EC194,EI194,EO194,EU194,FA194,FG194,FM194,FS194,FY194,GE194,GK194,GQ194,GW194,HC194,HI194,HO194))</x:f>
      </x:c>
      <x:c r="HV194" s="27" t="str">
        <x:f>IF(C194="","",IF(JI194=LARGE(JI194:JN194,1),"R",IF(JJ194=LARGE(JI194:JN194,1),"I",IF(JK194=LARGE(JI194:JN194,1),"A",IF(JL194=LARGE(JI194:JN194,1),"S",IF(JM194=LARGE(JI194:JN194,1),"E",IF(JN194=LARGE(JI194:JN194,1),"C",""))))))&amp;IF(JI194=LARGE(JI194:JN194,2),"R",IF(JJ194=LARGE(JI194:JN194,2),"I",IF(JK194=LARGE(JI194:JN194,2),"A",IF(JL194=LARGE(JI194:JN194,2),"S",IF(JM194=LARGE(JI194:JN194,2),"E",IF(JN194=LARGE(JI194:JN194,2),"C",""))))))&amp;IF(JI194=LARGE(JI194:JN194,3),"R",IF(JJ194=LARGE(JI194:JN194,3),"I",IF(JK194=LARGE(JI194:JN194,3),"A",IF(JL194=LARGE(JI194:JN194,3),"S",IF(JM194=LARGE(JI194:JN194,3),"E",IF(JN194=LARGE(JI194:JN194,3),"C","")))))))</x:f>
      </x:c>
      <x:c r="HW194" s="27" t="str">
        <x:f>IF(C194="","",IF(JI194=LARGE(JI194:JN194,1),"นักปฏิบัติ",IF(JJ194=LARGE(JI194:JN194,1),"นักคิดวิเคราะห์",IF(JK194=LARGE(JI194:JN194,1),"นักสร้างสรรค์",IF(JL194=LARGE(JI194:JN194,1),"ผู้เข้าใจผู้คน",IF(JM194=LARGE(JI194:JN194,1),"ผู้นำการเปลี่ยนแปลง",IF(JN194=LARGE(JI194:JN194,1),"ผู้จัดระบบ","ผู้จัดระบบ")))))))</x:f>
      </x:c>
      <x:c r="HX194" s="27"/>
      <x:c r="HY194" s="27"/>
      <x:c r="HZ194" s="27"/>
      <x:c r="IA194" s="27"/>
      <x:c r="IB194" s="27"/>
      <x:c r="IC194" s="27"/>
      <x:c r="ID194" s="27"/>
      <x:c r="IE194" s="27"/>
      <x:c r="IF194" s="27"/>
      <x:c r="IG194" s="27"/>
      <x:c r="IH194" s="27"/>
      <x:c r="II194" s="27"/>
      <x:c r="IJ194" s="27"/>
      <x:c r="IK194" s="27" t="str">
        <x:f>IF(C194="","",SUM(H194,N194,T194,Z194,AF194,AL194,AR194,AX194,BD194,BJ194,BP194))</x:f>
      </x:c>
      <x:c r="IL194" s="27" t="str">
        <x:f>IF(C194="","",SUM(I194,O194,U194,AA194,AG194,AM194,AS194,AY194,BE194,BK194,BQ194))</x:f>
      </x:c>
      <x:c r="IM194" s="27" t="str">
        <x:f>IF(C194="","",SUM(J194,P194,V194,AB194,AH194,AN194,AT194,AZ194,BF194,BL194,BR194))</x:f>
      </x:c>
      <x:c r="IN194" s="27" t="str">
        <x:f>IF(C194="","",SUM(K194,Q194,W194,AC194,AI194,AO194,AU194,BA194,BG194,BM194,BS194))</x:f>
      </x:c>
      <x:c r="IO194" s="27" t="str">
        <x:f>IF(C194="","",SUM(L194,R194,X194,AD194,AJ194,AP194,AV194,BB194,BH194,BN194,BT194))</x:f>
      </x:c>
      <x:c r="IP194" s="27" t="str">
        <x:f>IF(C194="","",SUM(M194,S194,Y194,AE194,AK194,AQ194,AW194,BC194,BI194,BO194,BU194))</x:f>
      </x:c>
      <x:c r="IQ194" s="27" t="str">
        <x:f>IF(C194="","",SUM(BV194,CB194,CH194,CN194,CT194,CZ194,DF194,DL194,DR194,DX194,ED194))</x:f>
      </x:c>
      <x:c r="IR194" s="27" t="str">
        <x:f>IF(C194="","",SUM(BW194,CC194,CI194,CO194,CU194,DA194,DG194,DM194,DS194,DY194,EE194))</x:f>
      </x:c>
      <x:c r="IS194" s="27" t="str">
        <x:f>IF(C194="","",SUM(BX194,CD194,CJ194,CP194,CV194,DB194,DH194,DN194,DT194,DZ194,EF194))</x:f>
      </x:c>
      <x:c r="IT194" s="27" t="str">
        <x:f>IF(C194="","",SUM(BY194,CE194,CK194,CQ194,CW194,DC194,DI194,DO194,DU194,EA194,EG194))</x:f>
      </x:c>
      <x:c r="IU194" s="27" t="str">
        <x:f>IF(C194="","",SUM(BZ194,CF194,CL194,CR194,CX194,DD194,DJ194,DP194,DV194,EB194,EH194))</x:f>
      </x:c>
      <x:c r="IV194" s="27" t="str">
        <x:f>IF(C194="","",SUM(CA194,CG194,CM194,CS194,CY194,DE194,DK194,DQ194,DW194,EC194,EI194))</x:f>
      </x:c>
      <x:c r="IW194" s="27" t="str">
        <x:f>IF(C194="","",SUM(EJ194,EP194,EV194,FB194,FH194,FN194,FT194,FZ194,GF194,GL194,GR194,GX194,HD194,HJ194))</x:f>
      </x:c>
      <x:c r="IX194" s="27" t="str">
        <x:f>IF(C194="","",SUM(EK194,EQ194,EW194,FC194,FI194,FO194,FU194,GA194,GG194,GM194,GS194,GY194,HE194,HK194))</x:f>
      </x:c>
      <x:c r="IY194" s="27" t="str">
        <x:f>IF(C194="","",SUM(EL194,ER194,EX194,FD194,FJ194,FP194,FV194,GB194,GH194,GN194,GT194,GZ194,HF194,HL194))</x:f>
      </x:c>
      <x:c r="IZ194" s="27" t="str">
        <x:f>IF(C194="","",SUM(EM194,ES194,EY194,FE194,FK194,FQ194,FW194,GC194,GI194,GO194,GU194,HA194,HG194,HM194))</x:f>
      </x:c>
      <x:c r="JA194" s="27" t="str">
        <x:f>IF(C194="","",SUM(EN194,ET194,EZ194,FF194,FL194,FR194,FX194,GD194,GJ194,GP194,GV194,HB194,HH194,HN194))</x:f>
      </x:c>
      <x:c r="JB194" s="27" t="str">
        <x:f>IF(C194="","",SUM(EO194,EU194,FA194,FG194,FM194,FS194,FY194,GE194,GK194,GQ194,GW194,HC194,HI194,HO194))</x:f>
      </x:c>
      <x:c r="JC194" s="27" t="str">
        <x:f>IF(C194="","",0)</x:f>
      </x:c>
      <x:c r="JD194" s="27" t="str">
        <x:f>IF(C194="","",0)</x:f>
      </x:c>
      <x:c r="JE194" s="27" t="str">
        <x:f>IF(C194="","",0)</x:f>
      </x:c>
      <x:c r="JF194" s="27" t="str">
        <x:f>IF(C194="","",0)</x:f>
      </x:c>
      <x:c r="JG194" s="27" t="str">
        <x:f>IF(C194="","",0)</x:f>
      </x:c>
      <x:c r="JH194" s="27" t="str">
        <x:f>IF(C194="","",0)</x:f>
      </x:c>
      <x:c r="JI194" s="27" t="str">
        <x:f>IF(C194="","",HP194*1000000000+IW194*1000000+IQ194*10000+IK194*100+JC194+6/1000)</x:f>
      </x:c>
      <x:c r="JJ194" s="27" t="str">
        <x:f>IF(C194="","",HQ194*1000000000+IX194*1000000+IR194*10000+IL194*100+JD194+5/1000)</x:f>
      </x:c>
      <x:c r="JK194" s="27" t="str">
        <x:f>IF(C194="","",HR194*1000000000+IY194*1000000+IS194*10000+IM194*100+JE194+4/1000)</x:f>
      </x:c>
      <x:c r="JL194" s="27" t="str">
        <x:f>IF(C194="","",HS194*1000000000+IZ194*1000000+IT194*10000+IN194*100+JF194+3/1000)</x:f>
      </x:c>
      <x:c r="JM194" s="27" t="str">
        <x:f>IF(C194="","",HT194*1000000000+JA194*1000000+IU194*10000+IO194*100+JG194+2/1000)</x:f>
      </x:c>
      <x:c r="JN194" s="27" t="str">
        <x:f>IF(C194="","",HU194*1000000000+JB194*1000000+IV194*10000+IP194*100+JH194+1/1000)</x:f>
      </x:c>
    </x:row>
    <x:row r="195">
      <x:c r="A195" s="27"/>
      <x:c r="B195" s="28"/>
      <x:c r="C195" s="27"/>
      <x:c r="D195" s="27"/>
      <x:c r="E195" s="27"/>
      <x:c r="F195" s="27"/>
      <x:c r="G195" s="27"/>
      <x:c r="H195" s="27"/>
      <x:c r="I195" s="27"/>
      <x:c r="J195" s="27"/>
      <x:c r="K195" s="27"/>
      <x:c r="L195" s="27"/>
      <x:c r="M195" s="27"/>
      <x:c r="N195" s="27"/>
      <x:c r="O195" s="27"/>
      <x:c r="P195" s="27"/>
      <x:c r="Q195" s="27"/>
      <x:c r="R195" s="27"/>
      <x:c r="S195" s="27"/>
      <x:c r="T195" s="27"/>
      <x:c r="U195" s="27"/>
      <x:c r="V195" s="27"/>
      <x:c r="W195" s="27"/>
      <x:c r="X195" s="27"/>
      <x:c r="Y195" s="27"/>
      <x:c r="Z195" s="27"/>
      <x:c r="AA195" s="27"/>
      <x:c r="AB195" s="27"/>
      <x:c r="AC195" s="27"/>
      <x:c r="AD195" s="27"/>
      <x:c r="AE195" s="27"/>
      <x:c r="AF195" s="27"/>
      <x:c r="AG195" s="27"/>
      <x:c r="AH195" s="27"/>
      <x:c r="AI195" s="27"/>
      <x:c r="AJ195" s="27"/>
      <x:c r="AK195" s="27"/>
      <x:c r="AL195" s="27"/>
      <x:c r="AM195" s="27"/>
      <x:c r="AN195" s="27"/>
      <x:c r="AO195" s="27"/>
      <x:c r="AP195" s="27"/>
      <x:c r="AQ195" s="27"/>
      <x:c r="AR195" s="27"/>
      <x:c r="AS195" s="27"/>
      <x:c r="AT195" s="27"/>
      <x:c r="AU195" s="27"/>
      <x:c r="AV195" s="27"/>
      <x:c r="AW195" s="27"/>
      <x:c r="AX195" s="27"/>
      <x:c r="AY195" s="27"/>
      <x:c r="AZ195" s="27"/>
      <x:c r="BA195" s="27"/>
      <x:c r="BB195" s="27"/>
      <x:c r="BC195" s="27"/>
      <x:c r="BD195" s="27"/>
      <x:c r="BE195" s="27"/>
      <x:c r="BF195" s="27"/>
      <x:c r="BG195" s="27"/>
      <x:c r="BH195" s="27"/>
      <x:c r="BI195" s="27"/>
      <x:c r="BJ195" s="27"/>
      <x:c r="BK195" s="27"/>
      <x:c r="BL195" s="27"/>
      <x:c r="BM195" s="27"/>
      <x:c r="BN195" s="27"/>
      <x:c r="BO195" s="27"/>
      <x:c r="BP195" s="27"/>
      <x:c r="BQ195" s="27"/>
      <x:c r="BR195" s="27"/>
      <x:c r="BS195" s="27"/>
      <x:c r="BT195" s="27"/>
      <x:c r="BU195" s="27"/>
      <x:c r="BV195" s="27"/>
      <x:c r="BW195" s="27"/>
      <x:c r="BX195" s="27"/>
      <x:c r="BY195" s="27"/>
      <x:c r="BZ195" s="27"/>
      <x:c r="CA195" s="27"/>
      <x:c r="CB195" s="27"/>
      <x:c r="CC195" s="27"/>
      <x:c r="CD195" s="27"/>
      <x:c r="CE195" s="27"/>
      <x:c r="CF195" s="27"/>
      <x:c r="CG195" s="27"/>
      <x:c r="CH195" s="27"/>
      <x:c r="CI195" s="27"/>
      <x:c r="CJ195" s="27"/>
      <x:c r="CK195" s="27"/>
      <x:c r="CL195" s="27"/>
      <x:c r="CM195" s="27"/>
      <x:c r="CN195" s="27"/>
      <x:c r="CO195" s="27"/>
      <x:c r="CP195" s="27"/>
      <x:c r="CQ195" s="27"/>
      <x:c r="CR195" s="27"/>
      <x:c r="CS195" s="27"/>
      <x:c r="CT195" s="27"/>
      <x:c r="CU195" s="27"/>
      <x:c r="CV195" s="27"/>
      <x:c r="CW195" s="27"/>
      <x:c r="CX195" s="27"/>
      <x:c r="CY195" s="27"/>
      <x:c r="CZ195" s="27"/>
      <x:c r="DA195" s="27"/>
      <x:c r="DB195" s="27"/>
      <x:c r="DC195" s="27"/>
      <x:c r="DD195" s="27"/>
      <x:c r="DE195" s="27"/>
      <x:c r="DF195" s="27"/>
      <x:c r="DG195" s="27"/>
      <x:c r="DH195" s="27"/>
      <x:c r="DI195" s="27"/>
      <x:c r="DJ195" s="27"/>
      <x:c r="DK195" s="27"/>
      <x:c r="DL195" s="27"/>
      <x:c r="DM195" s="27"/>
      <x:c r="DN195" s="27"/>
      <x:c r="DO195" s="27"/>
      <x:c r="DP195" s="27"/>
      <x:c r="DQ195" s="27"/>
      <x:c r="DR195" s="27"/>
      <x:c r="DS195" s="27"/>
      <x:c r="DT195" s="27"/>
      <x:c r="DU195" s="27"/>
      <x:c r="DV195" s="27"/>
      <x:c r="DW195" s="27"/>
      <x:c r="DX195" s="27"/>
      <x:c r="DY195" s="27"/>
      <x:c r="DZ195" s="27"/>
      <x:c r="EA195" s="27"/>
      <x:c r="EB195" s="27"/>
      <x:c r="EC195" s="27"/>
      <x:c r="ED195" s="27"/>
      <x:c r="EE195" s="27"/>
      <x:c r="EF195" s="27"/>
      <x:c r="EG195" s="27"/>
      <x:c r="EH195" s="27"/>
      <x:c r="EI195" s="27"/>
      <x:c r="EJ195" s="27"/>
      <x:c r="EK195" s="27"/>
      <x:c r="EL195" s="27"/>
      <x:c r="EM195" s="27"/>
      <x:c r="EN195" s="27"/>
      <x:c r="EO195" s="27"/>
      <x:c r="EP195" s="27"/>
      <x:c r="EQ195" s="27"/>
      <x:c r="ER195" s="27"/>
      <x:c r="ES195" s="27"/>
      <x:c r="ET195" s="27"/>
      <x:c r="EU195" s="27"/>
      <x:c r="EV195" s="27"/>
      <x:c r="EW195" s="27"/>
      <x:c r="EX195" s="27"/>
      <x:c r="EY195" s="27"/>
      <x:c r="EZ195" s="27"/>
      <x:c r="FA195" s="27"/>
      <x:c r="FB195" s="27"/>
      <x:c r="FC195" s="27"/>
      <x:c r="FD195" s="27"/>
      <x:c r="FE195" s="27"/>
      <x:c r="FF195" s="27"/>
      <x:c r="FG195" s="27"/>
      <x:c r="FH195" s="27"/>
      <x:c r="FI195" s="27"/>
      <x:c r="FJ195" s="27"/>
      <x:c r="FK195" s="27"/>
      <x:c r="FL195" s="27"/>
      <x:c r="FM195" s="27"/>
      <x:c r="FN195" s="27"/>
      <x:c r="FO195" s="27"/>
      <x:c r="FP195" s="27"/>
      <x:c r="FQ195" s="27"/>
      <x:c r="FR195" s="27"/>
      <x:c r="FS195" s="27"/>
      <x:c r="FT195" s="27"/>
      <x:c r="FU195" s="27"/>
      <x:c r="FV195" s="27"/>
      <x:c r="FW195" s="27"/>
      <x:c r="FX195" s="27"/>
      <x:c r="FY195" s="27"/>
      <x:c r="FZ195" s="27"/>
      <x:c r="GA195" s="27"/>
      <x:c r="GB195" s="27"/>
      <x:c r="GC195" s="27"/>
      <x:c r="GD195" s="27"/>
      <x:c r="GE195" s="27"/>
      <x:c r="GF195" s="27"/>
      <x:c r="GG195" s="27"/>
      <x:c r="GH195" s="27"/>
      <x:c r="GI195" s="27"/>
      <x:c r="GJ195" s="27"/>
      <x:c r="GK195" s="27"/>
      <x:c r="GL195" s="27"/>
      <x:c r="GM195" s="27"/>
      <x:c r="GN195" s="27"/>
      <x:c r="GO195" s="27"/>
      <x:c r="GP195" s="27"/>
      <x:c r="GQ195" s="27"/>
      <x:c r="GR195" s="27"/>
      <x:c r="GS195" s="27"/>
      <x:c r="GT195" s="27"/>
      <x:c r="GU195" s="27"/>
      <x:c r="GV195" s="27"/>
      <x:c r="GW195" s="27"/>
      <x:c r="GX195" s="27"/>
      <x:c r="GY195" s="27"/>
      <x:c r="GZ195" s="27"/>
      <x:c r="HA195" s="27"/>
      <x:c r="HB195" s="27"/>
      <x:c r="HC195" s="27"/>
      <x:c r="HD195" s="27"/>
      <x:c r="HE195" s="27"/>
      <x:c r="HF195" s="27"/>
      <x:c r="HG195" s="27"/>
      <x:c r="HH195" s="27"/>
      <x:c r="HI195" s="27"/>
      <x:c r="HJ195" s="27"/>
      <x:c r="HK195" s="27"/>
      <x:c r="HL195" s="27"/>
      <x:c r="HM195" s="27"/>
      <x:c r="HN195" s="27"/>
      <x:c r="HO195" s="27"/>
      <x:c r="HP195" s="27" t="str">
        <x:f>IF(C195="","",SUM(H195,N195,T195,Z195,AF195,AL195,AR195,AX195,BD195,BJ195,BP195,BV195,CB195,CH195,CN195,CT195,CZ195,DF195,DL195,DR195,DX195,ED195,EJ195,EP195,EV195,FB195,FH195,FN195,FT195,FZ195,GF195,GL195,GR195,GX195,HD195,HJ195))</x:f>
      </x:c>
      <x:c r="HQ195" s="27" t="str">
        <x:f>IF(C195="","",SUM(I195,O195,U195,AA195,AG195,AM195,AS195,AY195,BE195,BK195,BQ195,BW195,CC195,CI195,CO195,CU195,DA195,DG195,DM195,DS195,DY195,EE195,EK195,EQ195,EW195,FC195,FI195,FO195,FU195,GA195,GG195,GM195,GS195,GY195,HE195,HK195))</x:f>
      </x:c>
      <x:c r="HR195" s="27" t="str">
        <x:f>IF(C195="","",SUM(J195,P195,V195,AB195,AH195,AN195,AT195,AZ195,BF195,BL195,BR195,BX195,CD195,CJ195,CP195,CV195,DB195,DH195,DN195,DT195,DZ195,EF195,EL195,ER195,EX195,FD195,FJ195,FP195,FV195,GB195,GH195,GN195,GT195,GZ195,HF195,HL195))</x:f>
      </x:c>
      <x:c r="HS195" s="27" t="str">
        <x:f>IF(C195="","",SUM(K195,Q195,W195,AC195,AI195,AO195,AU195,BA195,BG195,BM195,BS195,BY195,CE195,CK195,CQ195,CW195,DC195,DI195,DO195,DU195,EA195,EG195,EM195,ES195,EY195,FE195,FK195,FQ195,FW195,GC195,GI195,GO195,GU195,HA195,HG195,HM195))</x:f>
      </x:c>
      <x:c r="HT195" s="27" t="str">
        <x:f>IF(C195="","",SUM(L195,R195,X195,AD195,AJ195,AP195,AV195,BB195,BH195,BN195,BT195,BZ195,CF195,CL195,CR195,CX195,DD195,DJ195,DP195,DV195,EB195,EH195,EN195,ET195,EZ195,FF195,FL195,FR195,FX195,GD195,GJ195,GP195,GV195,HB195,HH195,HN195))</x:f>
      </x:c>
      <x:c r="HU195" s="27" t="str">
        <x:f>IF(C195="","",SUM(M195,S195,Y195,AE195,AK195,AQ195,AW195,BC195,BI195,BO195,BU195,CA195,CG195,CM195,CS195,CY195,DE195,DK195,DQ195,DW195,EC195,EI195,EO195,EU195,FA195,FG195,FM195,FS195,FY195,GE195,GK195,GQ195,GW195,HC195,HI195,HO195))</x:f>
      </x:c>
      <x:c r="HV195" s="27" t="str">
        <x:f>IF(C195="","",IF(JI195=LARGE(JI195:JN195,1),"R",IF(JJ195=LARGE(JI195:JN195,1),"I",IF(JK195=LARGE(JI195:JN195,1),"A",IF(JL195=LARGE(JI195:JN195,1),"S",IF(JM195=LARGE(JI195:JN195,1),"E",IF(JN195=LARGE(JI195:JN195,1),"C",""))))))&amp;IF(JI195=LARGE(JI195:JN195,2),"R",IF(JJ195=LARGE(JI195:JN195,2),"I",IF(JK195=LARGE(JI195:JN195,2),"A",IF(JL195=LARGE(JI195:JN195,2),"S",IF(JM195=LARGE(JI195:JN195,2),"E",IF(JN195=LARGE(JI195:JN195,2),"C",""))))))&amp;IF(JI195=LARGE(JI195:JN195,3),"R",IF(JJ195=LARGE(JI195:JN195,3),"I",IF(JK195=LARGE(JI195:JN195,3),"A",IF(JL195=LARGE(JI195:JN195,3),"S",IF(JM195=LARGE(JI195:JN195,3),"E",IF(JN195=LARGE(JI195:JN195,3),"C","")))))))</x:f>
      </x:c>
      <x:c r="HW195" s="27" t="str">
        <x:f>IF(C195="","",IF(JI195=LARGE(JI195:JN195,1),"นักปฏิบัติ",IF(JJ195=LARGE(JI195:JN195,1),"นักคิดวิเคราะห์",IF(JK195=LARGE(JI195:JN195,1),"นักสร้างสรรค์",IF(JL195=LARGE(JI195:JN195,1),"ผู้เข้าใจผู้คน",IF(JM195=LARGE(JI195:JN195,1),"ผู้นำการเปลี่ยนแปลง",IF(JN195=LARGE(JI195:JN195,1),"ผู้จัดระบบ","ผู้จัดระบบ")))))))</x:f>
      </x:c>
      <x:c r="HX195" s="27"/>
      <x:c r="HY195" s="27"/>
      <x:c r="HZ195" s="27"/>
      <x:c r="IA195" s="27"/>
      <x:c r="IB195" s="27"/>
      <x:c r="IC195" s="27"/>
      <x:c r="ID195" s="27"/>
      <x:c r="IE195" s="27"/>
      <x:c r="IF195" s="27"/>
      <x:c r="IG195" s="27"/>
      <x:c r="IH195" s="27"/>
      <x:c r="II195" s="27"/>
      <x:c r="IJ195" s="27"/>
      <x:c r="IK195" s="27" t="str">
        <x:f>IF(C195="","",SUM(H195,N195,T195,Z195,AF195,AL195,AR195,AX195,BD195,BJ195,BP195))</x:f>
      </x:c>
      <x:c r="IL195" s="27" t="str">
        <x:f>IF(C195="","",SUM(I195,O195,U195,AA195,AG195,AM195,AS195,AY195,BE195,BK195,BQ195))</x:f>
      </x:c>
      <x:c r="IM195" s="27" t="str">
        <x:f>IF(C195="","",SUM(J195,P195,V195,AB195,AH195,AN195,AT195,AZ195,BF195,BL195,BR195))</x:f>
      </x:c>
      <x:c r="IN195" s="27" t="str">
        <x:f>IF(C195="","",SUM(K195,Q195,W195,AC195,AI195,AO195,AU195,BA195,BG195,BM195,BS195))</x:f>
      </x:c>
      <x:c r="IO195" s="27" t="str">
        <x:f>IF(C195="","",SUM(L195,R195,X195,AD195,AJ195,AP195,AV195,BB195,BH195,BN195,BT195))</x:f>
      </x:c>
      <x:c r="IP195" s="27" t="str">
        <x:f>IF(C195="","",SUM(M195,S195,Y195,AE195,AK195,AQ195,AW195,BC195,BI195,BO195,BU195))</x:f>
      </x:c>
      <x:c r="IQ195" s="27" t="str">
        <x:f>IF(C195="","",SUM(BV195,CB195,CH195,CN195,CT195,CZ195,DF195,DL195,DR195,DX195,ED195))</x:f>
      </x:c>
      <x:c r="IR195" s="27" t="str">
        <x:f>IF(C195="","",SUM(BW195,CC195,CI195,CO195,CU195,DA195,DG195,DM195,DS195,DY195,EE195))</x:f>
      </x:c>
      <x:c r="IS195" s="27" t="str">
        <x:f>IF(C195="","",SUM(BX195,CD195,CJ195,CP195,CV195,DB195,DH195,DN195,DT195,DZ195,EF195))</x:f>
      </x:c>
      <x:c r="IT195" s="27" t="str">
        <x:f>IF(C195="","",SUM(BY195,CE195,CK195,CQ195,CW195,DC195,DI195,DO195,DU195,EA195,EG195))</x:f>
      </x:c>
      <x:c r="IU195" s="27" t="str">
        <x:f>IF(C195="","",SUM(BZ195,CF195,CL195,CR195,CX195,DD195,DJ195,DP195,DV195,EB195,EH195))</x:f>
      </x:c>
      <x:c r="IV195" s="27" t="str">
        <x:f>IF(C195="","",SUM(CA195,CG195,CM195,CS195,CY195,DE195,DK195,DQ195,DW195,EC195,EI195))</x:f>
      </x:c>
      <x:c r="IW195" s="27" t="str">
        <x:f>IF(C195="","",SUM(EJ195,EP195,EV195,FB195,FH195,FN195,FT195,FZ195,GF195,GL195,GR195,GX195,HD195,HJ195))</x:f>
      </x:c>
      <x:c r="IX195" s="27" t="str">
        <x:f>IF(C195="","",SUM(EK195,EQ195,EW195,FC195,FI195,FO195,FU195,GA195,GG195,GM195,GS195,GY195,HE195,HK195))</x:f>
      </x:c>
      <x:c r="IY195" s="27" t="str">
        <x:f>IF(C195="","",SUM(EL195,ER195,EX195,FD195,FJ195,FP195,FV195,GB195,GH195,GN195,GT195,GZ195,HF195,HL195))</x:f>
      </x:c>
      <x:c r="IZ195" s="27" t="str">
        <x:f>IF(C195="","",SUM(EM195,ES195,EY195,FE195,FK195,FQ195,FW195,GC195,GI195,GO195,GU195,HA195,HG195,HM195))</x:f>
      </x:c>
      <x:c r="JA195" s="27" t="str">
        <x:f>IF(C195="","",SUM(EN195,ET195,EZ195,FF195,FL195,FR195,FX195,GD195,GJ195,GP195,GV195,HB195,HH195,HN195))</x:f>
      </x:c>
      <x:c r="JB195" s="27" t="str">
        <x:f>IF(C195="","",SUM(EO195,EU195,FA195,FG195,FM195,FS195,FY195,GE195,GK195,GQ195,GW195,HC195,HI195,HO195))</x:f>
      </x:c>
      <x:c r="JC195" s="27" t="str">
        <x:f>IF(C195="","",0)</x:f>
      </x:c>
      <x:c r="JD195" s="27" t="str">
        <x:f>IF(C195="","",0)</x:f>
      </x:c>
      <x:c r="JE195" s="27" t="str">
        <x:f>IF(C195="","",0)</x:f>
      </x:c>
      <x:c r="JF195" s="27" t="str">
        <x:f>IF(C195="","",0)</x:f>
      </x:c>
      <x:c r="JG195" s="27" t="str">
        <x:f>IF(C195="","",0)</x:f>
      </x:c>
      <x:c r="JH195" s="27" t="str">
        <x:f>IF(C195="","",0)</x:f>
      </x:c>
      <x:c r="JI195" s="27" t="str">
        <x:f>IF(C195="","",HP195*1000000000+IW195*1000000+IQ195*10000+IK195*100+JC195+6/1000)</x:f>
      </x:c>
      <x:c r="JJ195" s="27" t="str">
        <x:f>IF(C195="","",HQ195*1000000000+IX195*1000000+IR195*10000+IL195*100+JD195+5/1000)</x:f>
      </x:c>
      <x:c r="JK195" s="27" t="str">
        <x:f>IF(C195="","",HR195*1000000000+IY195*1000000+IS195*10000+IM195*100+JE195+4/1000)</x:f>
      </x:c>
      <x:c r="JL195" s="27" t="str">
        <x:f>IF(C195="","",HS195*1000000000+IZ195*1000000+IT195*10000+IN195*100+JF195+3/1000)</x:f>
      </x:c>
      <x:c r="JM195" s="27" t="str">
        <x:f>IF(C195="","",HT195*1000000000+JA195*1000000+IU195*10000+IO195*100+JG195+2/1000)</x:f>
      </x:c>
      <x:c r="JN195" s="27" t="str">
        <x:f>IF(C195="","",HU195*1000000000+JB195*1000000+IV195*10000+IP195*100+JH195+1/1000)</x:f>
      </x:c>
    </x:row>
    <x:row r="196">
      <x:c r="A196" s="27"/>
      <x:c r="B196" s="28"/>
      <x:c r="C196" s="27"/>
      <x:c r="D196" s="27"/>
      <x:c r="E196" s="27"/>
      <x:c r="F196" s="27"/>
      <x:c r="G196" s="27"/>
      <x:c r="H196" s="27"/>
      <x:c r="I196" s="27"/>
      <x:c r="J196" s="27"/>
      <x:c r="K196" s="27"/>
      <x:c r="L196" s="27"/>
      <x:c r="M196" s="27"/>
      <x:c r="N196" s="27"/>
      <x:c r="O196" s="27"/>
      <x:c r="P196" s="27"/>
      <x:c r="Q196" s="27"/>
      <x:c r="R196" s="27"/>
      <x:c r="S196" s="27"/>
      <x:c r="T196" s="27"/>
      <x:c r="U196" s="27"/>
      <x:c r="V196" s="27"/>
      <x:c r="W196" s="27"/>
      <x:c r="X196" s="27"/>
      <x:c r="Y196" s="27"/>
      <x:c r="Z196" s="27"/>
      <x:c r="AA196" s="27"/>
      <x:c r="AB196" s="27"/>
      <x:c r="AC196" s="27"/>
      <x:c r="AD196" s="27"/>
      <x:c r="AE196" s="27"/>
      <x:c r="AF196" s="27"/>
      <x:c r="AG196" s="27"/>
      <x:c r="AH196" s="27"/>
      <x:c r="AI196" s="27"/>
      <x:c r="AJ196" s="27"/>
      <x:c r="AK196" s="27"/>
      <x:c r="AL196" s="27"/>
      <x:c r="AM196" s="27"/>
      <x:c r="AN196" s="27"/>
      <x:c r="AO196" s="27"/>
      <x:c r="AP196" s="27"/>
      <x:c r="AQ196" s="27"/>
      <x:c r="AR196" s="27"/>
      <x:c r="AS196" s="27"/>
      <x:c r="AT196" s="27"/>
      <x:c r="AU196" s="27"/>
      <x:c r="AV196" s="27"/>
      <x:c r="AW196" s="27"/>
      <x:c r="AX196" s="27"/>
      <x:c r="AY196" s="27"/>
      <x:c r="AZ196" s="27"/>
      <x:c r="BA196" s="27"/>
      <x:c r="BB196" s="27"/>
      <x:c r="BC196" s="27"/>
      <x:c r="BD196" s="27"/>
      <x:c r="BE196" s="27"/>
      <x:c r="BF196" s="27"/>
      <x:c r="BG196" s="27"/>
      <x:c r="BH196" s="27"/>
      <x:c r="BI196" s="27"/>
      <x:c r="BJ196" s="27"/>
      <x:c r="BK196" s="27"/>
      <x:c r="BL196" s="27"/>
      <x:c r="BM196" s="27"/>
      <x:c r="BN196" s="27"/>
      <x:c r="BO196" s="27"/>
      <x:c r="BP196" s="27"/>
      <x:c r="BQ196" s="27"/>
      <x:c r="BR196" s="27"/>
      <x:c r="BS196" s="27"/>
      <x:c r="BT196" s="27"/>
      <x:c r="BU196" s="27"/>
      <x:c r="BV196" s="27"/>
      <x:c r="BW196" s="27"/>
      <x:c r="BX196" s="27"/>
      <x:c r="BY196" s="27"/>
      <x:c r="BZ196" s="27"/>
      <x:c r="CA196" s="27"/>
      <x:c r="CB196" s="27"/>
      <x:c r="CC196" s="27"/>
      <x:c r="CD196" s="27"/>
      <x:c r="CE196" s="27"/>
      <x:c r="CF196" s="27"/>
      <x:c r="CG196" s="27"/>
      <x:c r="CH196" s="27"/>
      <x:c r="CI196" s="27"/>
      <x:c r="CJ196" s="27"/>
      <x:c r="CK196" s="27"/>
      <x:c r="CL196" s="27"/>
      <x:c r="CM196" s="27"/>
      <x:c r="CN196" s="27"/>
      <x:c r="CO196" s="27"/>
      <x:c r="CP196" s="27"/>
      <x:c r="CQ196" s="27"/>
      <x:c r="CR196" s="27"/>
      <x:c r="CS196" s="27"/>
      <x:c r="CT196" s="27"/>
      <x:c r="CU196" s="27"/>
      <x:c r="CV196" s="27"/>
      <x:c r="CW196" s="27"/>
      <x:c r="CX196" s="27"/>
      <x:c r="CY196" s="27"/>
      <x:c r="CZ196" s="27"/>
      <x:c r="DA196" s="27"/>
      <x:c r="DB196" s="27"/>
      <x:c r="DC196" s="27"/>
      <x:c r="DD196" s="27"/>
      <x:c r="DE196" s="27"/>
      <x:c r="DF196" s="27"/>
      <x:c r="DG196" s="27"/>
      <x:c r="DH196" s="27"/>
      <x:c r="DI196" s="27"/>
      <x:c r="DJ196" s="27"/>
      <x:c r="DK196" s="27"/>
      <x:c r="DL196" s="27"/>
      <x:c r="DM196" s="27"/>
      <x:c r="DN196" s="27"/>
      <x:c r="DO196" s="27"/>
      <x:c r="DP196" s="27"/>
      <x:c r="DQ196" s="27"/>
      <x:c r="DR196" s="27"/>
      <x:c r="DS196" s="27"/>
      <x:c r="DT196" s="27"/>
      <x:c r="DU196" s="27"/>
      <x:c r="DV196" s="27"/>
      <x:c r="DW196" s="27"/>
      <x:c r="DX196" s="27"/>
      <x:c r="DY196" s="27"/>
      <x:c r="DZ196" s="27"/>
      <x:c r="EA196" s="27"/>
      <x:c r="EB196" s="27"/>
      <x:c r="EC196" s="27"/>
      <x:c r="ED196" s="27"/>
      <x:c r="EE196" s="27"/>
      <x:c r="EF196" s="27"/>
      <x:c r="EG196" s="27"/>
      <x:c r="EH196" s="27"/>
      <x:c r="EI196" s="27"/>
      <x:c r="EJ196" s="27"/>
      <x:c r="EK196" s="27"/>
      <x:c r="EL196" s="27"/>
      <x:c r="EM196" s="27"/>
      <x:c r="EN196" s="27"/>
      <x:c r="EO196" s="27"/>
      <x:c r="EP196" s="27"/>
      <x:c r="EQ196" s="27"/>
      <x:c r="ER196" s="27"/>
      <x:c r="ES196" s="27"/>
      <x:c r="ET196" s="27"/>
      <x:c r="EU196" s="27"/>
      <x:c r="EV196" s="27"/>
      <x:c r="EW196" s="27"/>
      <x:c r="EX196" s="27"/>
      <x:c r="EY196" s="27"/>
      <x:c r="EZ196" s="27"/>
      <x:c r="FA196" s="27"/>
      <x:c r="FB196" s="27"/>
      <x:c r="FC196" s="27"/>
      <x:c r="FD196" s="27"/>
      <x:c r="FE196" s="27"/>
      <x:c r="FF196" s="27"/>
      <x:c r="FG196" s="27"/>
      <x:c r="FH196" s="27"/>
      <x:c r="FI196" s="27"/>
      <x:c r="FJ196" s="27"/>
      <x:c r="FK196" s="27"/>
      <x:c r="FL196" s="27"/>
      <x:c r="FM196" s="27"/>
      <x:c r="FN196" s="27"/>
      <x:c r="FO196" s="27"/>
      <x:c r="FP196" s="27"/>
      <x:c r="FQ196" s="27"/>
      <x:c r="FR196" s="27"/>
      <x:c r="FS196" s="27"/>
      <x:c r="FT196" s="27"/>
      <x:c r="FU196" s="27"/>
      <x:c r="FV196" s="27"/>
      <x:c r="FW196" s="27"/>
      <x:c r="FX196" s="27"/>
      <x:c r="FY196" s="27"/>
      <x:c r="FZ196" s="27"/>
      <x:c r="GA196" s="27"/>
      <x:c r="GB196" s="27"/>
      <x:c r="GC196" s="27"/>
      <x:c r="GD196" s="27"/>
      <x:c r="GE196" s="27"/>
      <x:c r="GF196" s="27"/>
      <x:c r="GG196" s="27"/>
      <x:c r="GH196" s="27"/>
      <x:c r="GI196" s="27"/>
      <x:c r="GJ196" s="27"/>
      <x:c r="GK196" s="27"/>
      <x:c r="GL196" s="27"/>
      <x:c r="GM196" s="27"/>
      <x:c r="GN196" s="27"/>
      <x:c r="GO196" s="27"/>
      <x:c r="GP196" s="27"/>
      <x:c r="GQ196" s="27"/>
      <x:c r="GR196" s="27"/>
      <x:c r="GS196" s="27"/>
      <x:c r="GT196" s="27"/>
      <x:c r="GU196" s="27"/>
      <x:c r="GV196" s="27"/>
      <x:c r="GW196" s="27"/>
      <x:c r="GX196" s="27"/>
      <x:c r="GY196" s="27"/>
      <x:c r="GZ196" s="27"/>
      <x:c r="HA196" s="27"/>
      <x:c r="HB196" s="27"/>
      <x:c r="HC196" s="27"/>
      <x:c r="HD196" s="27"/>
      <x:c r="HE196" s="27"/>
      <x:c r="HF196" s="27"/>
      <x:c r="HG196" s="27"/>
      <x:c r="HH196" s="27"/>
      <x:c r="HI196" s="27"/>
      <x:c r="HJ196" s="27"/>
      <x:c r="HK196" s="27"/>
      <x:c r="HL196" s="27"/>
      <x:c r="HM196" s="27"/>
      <x:c r="HN196" s="27"/>
      <x:c r="HO196" s="27"/>
      <x:c r="HP196" s="27" t="str">
        <x:f>IF(C196="","",SUM(H196,N196,T196,Z196,AF196,AL196,AR196,AX196,BD196,BJ196,BP196,BV196,CB196,CH196,CN196,CT196,CZ196,DF196,DL196,DR196,DX196,ED196,EJ196,EP196,EV196,FB196,FH196,FN196,FT196,FZ196,GF196,GL196,GR196,GX196,HD196,HJ196))</x:f>
      </x:c>
      <x:c r="HQ196" s="27" t="str">
        <x:f>IF(C196="","",SUM(I196,O196,U196,AA196,AG196,AM196,AS196,AY196,BE196,BK196,BQ196,BW196,CC196,CI196,CO196,CU196,DA196,DG196,DM196,DS196,DY196,EE196,EK196,EQ196,EW196,FC196,FI196,FO196,FU196,GA196,GG196,GM196,GS196,GY196,HE196,HK196))</x:f>
      </x:c>
      <x:c r="HR196" s="27" t="str">
        <x:f>IF(C196="","",SUM(J196,P196,V196,AB196,AH196,AN196,AT196,AZ196,BF196,BL196,BR196,BX196,CD196,CJ196,CP196,CV196,DB196,DH196,DN196,DT196,DZ196,EF196,EL196,ER196,EX196,FD196,FJ196,FP196,FV196,GB196,GH196,GN196,GT196,GZ196,HF196,HL196))</x:f>
      </x:c>
      <x:c r="HS196" s="27" t="str">
        <x:f>IF(C196="","",SUM(K196,Q196,W196,AC196,AI196,AO196,AU196,BA196,BG196,BM196,BS196,BY196,CE196,CK196,CQ196,CW196,DC196,DI196,DO196,DU196,EA196,EG196,EM196,ES196,EY196,FE196,FK196,FQ196,FW196,GC196,GI196,GO196,GU196,HA196,HG196,HM196))</x:f>
      </x:c>
      <x:c r="HT196" s="27" t="str">
        <x:f>IF(C196="","",SUM(L196,R196,X196,AD196,AJ196,AP196,AV196,BB196,BH196,BN196,BT196,BZ196,CF196,CL196,CR196,CX196,DD196,DJ196,DP196,DV196,EB196,EH196,EN196,ET196,EZ196,FF196,FL196,FR196,FX196,GD196,GJ196,GP196,GV196,HB196,HH196,HN196))</x:f>
      </x:c>
      <x:c r="HU196" s="27" t="str">
        <x:f>IF(C196="","",SUM(M196,S196,Y196,AE196,AK196,AQ196,AW196,BC196,BI196,BO196,BU196,CA196,CG196,CM196,CS196,CY196,DE196,DK196,DQ196,DW196,EC196,EI196,EO196,EU196,FA196,FG196,FM196,FS196,FY196,GE196,GK196,GQ196,GW196,HC196,HI196,HO196))</x:f>
      </x:c>
      <x:c r="HV196" s="27" t="str">
        <x:f>IF(C196="","",IF(JI196=LARGE(JI196:JN196,1),"R",IF(JJ196=LARGE(JI196:JN196,1),"I",IF(JK196=LARGE(JI196:JN196,1),"A",IF(JL196=LARGE(JI196:JN196,1),"S",IF(JM196=LARGE(JI196:JN196,1),"E",IF(JN196=LARGE(JI196:JN196,1),"C",""))))))&amp;IF(JI196=LARGE(JI196:JN196,2),"R",IF(JJ196=LARGE(JI196:JN196,2),"I",IF(JK196=LARGE(JI196:JN196,2),"A",IF(JL196=LARGE(JI196:JN196,2),"S",IF(JM196=LARGE(JI196:JN196,2),"E",IF(JN196=LARGE(JI196:JN196,2),"C",""))))))&amp;IF(JI196=LARGE(JI196:JN196,3),"R",IF(JJ196=LARGE(JI196:JN196,3),"I",IF(JK196=LARGE(JI196:JN196,3),"A",IF(JL196=LARGE(JI196:JN196,3),"S",IF(JM196=LARGE(JI196:JN196,3),"E",IF(JN196=LARGE(JI196:JN196,3),"C","")))))))</x:f>
      </x:c>
      <x:c r="HW196" s="27" t="str">
        <x:f>IF(C196="","",IF(JI196=LARGE(JI196:JN196,1),"นักปฏิบัติ",IF(JJ196=LARGE(JI196:JN196,1),"นักคิดวิเคราะห์",IF(JK196=LARGE(JI196:JN196,1),"นักสร้างสรรค์",IF(JL196=LARGE(JI196:JN196,1),"ผู้เข้าใจผู้คน",IF(JM196=LARGE(JI196:JN196,1),"ผู้นำการเปลี่ยนแปลง",IF(JN196=LARGE(JI196:JN196,1),"ผู้จัดระบบ","ผู้จัดระบบ")))))))</x:f>
      </x:c>
      <x:c r="HX196" s="27"/>
      <x:c r="HY196" s="27"/>
      <x:c r="HZ196" s="27"/>
      <x:c r="IA196" s="27"/>
      <x:c r="IB196" s="27"/>
      <x:c r="IC196" s="27"/>
      <x:c r="ID196" s="27"/>
      <x:c r="IE196" s="27"/>
      <x:c r="IF196" s="27"/>
      <x:c r="IG196" s="27"/>
      <x:c r="IH196" s="27"/>
      <x:c r="II196" s="27"/>
      <x:c r="IJ196" s="27"/>
      <x:c r="IK196" s="27" t="str">
        <x:f>IF(C196="","",SUM(H196,N196,T196,Z196,AF196,AL196,AR196,AX196,BD196,BJ196,BP196))</x:f>
      </x:c>
      <x:c r="IL196" s="27" t="str">
        <x:f>IF(C196="","",SUM(I196,O196,U196,AA196,AG196,AM196,AS196,AY196,BE196,BK196,BQ196))</x:f>
      </x:c>
      <x:c r="IM196" s="27" t="str">
        <x:f>IF(C196="","",SUM(J196,P196,V196,AB196,AH196,AN196,AT196,AZ196,BF196,BL196,BR196))</x:f>
      </x:c>
      <x:c r="IN196" s="27" t="str">
        <x:f>IF(C196="","",SUM(K196,Q196,W196,AC196,AI196,AO196,AU196,BA196,BG196,BM196,BS196))</x:f>
      </x:c>
      <x:c r="IO196" s="27" t="str">
        <x:f>IF(C196="","",SUM(L196,R196,X196,AD196,AJ196,AP196,AV196,BB196,BH196,BN196,BT196))</x:f>
      </x:c>
      <x:c r="IP196" s="27" t="str">
        <x:f>IF(C196="","",SUM(M196,S196,Y196,AE196,AK196,AQ196,AW196,BC196,BI196,BO196,BU196))</x:f>
      </x:c>
      <x:c r="IQ196" s="27" t="str">
        <x:f>IF(C196="","",SUM(BV196,CB196,CH196,CN196,CT196,CZ196,DF196,DL196,DR196,DX196,ED196))</x:f>
      </x:c>
      <x:c r="IR196" s="27" t="str">
        <x:f>IF(C196="","",SUM(BW196,CC196,CI196,CO196,CU196,DA196,DG196,DM196,DS196,DY196,EE196))</x:f>
      </x:c>
      <x:c r="IS196" s="27" t="str">
        <x:f>IF(C196="","",SUM(BX196,CD196,CJ196,CP196,CV196,DB196,DH196,DN196,DT196,DZ196,EF196))</x:f>
      </x:c>
      <x:c r="IT196" s="27" t="str">
        <x:f>IF(C196="","",SUM(BY196,CE196,CK196,CQ196,CW196,DC196,DI196,DO196,DU196,EA196,EG196))</x:f>
      </x:c>
      <x:c r="IU196" s="27" t="str">
        <x:f>IF(C196="","",SUM(BZ196,CF196,CL196,CR196,CX196,DD196,DJ196,DP196,DV196,EB196,EH196))</x:f>
      </x:c>
      <x:c r="IV196" s="27" t="str">
        <x:f>IF(C196="","",SUM(CA196,CG196,CM196,CS196,CY196,DE196,DK196,DQ196,DW196,EC196,EI196))</x:f>
      </x:c>
      <x:c r="IW196" s="27" t="str">
        <x:f>IF(C196="","",SUM(EJ196,EP196,EV196,FB196,FH196,FN196,FT196,FZ196,GF196,GL196,GR196,GX196,HD196,HJ196))</x:f>
      </x:c>
      <x:c r="IX196" s="27" t="str">
        <x:f>IF(C196="","",SUM(EK196,EQ196,EW196,FC196,FI196,FO196,FU196,GA196,GG196,GM196,GS196,GY196,HE196,HK196))</x:f>
      </x:c>
      <x:c r="IY196" s="27" t="str">
        <x:f>IF(C196="","",SUM(EL196,ER196,EX196,FD196,FJ196,FP196,FV196,GB196,GH196,GN196,GT196,GZ196,HF196,HL196))</x:f>
      </x:c>
      <x:c r="IZ196" s="27" t="str">
        <x:f>IF(C196="","",SUM(EM196,ES196,EY196,FE196,FK196,FQ196,FW196,GC196,GI196,GO196,GU196,HA196,HG196,HM196))</x:f>
      </x:c>
      <x:c r="JA196" s="27" t="str">
        <x:f>IF(C196="","",SUM(EN196,ET196,EZ196,FF196,FL196,FR196,FX196,GD196,GJ196,GP196,GV196,HB196,HH196,HN196))</x:f>
      </x:c>
      <x:c r="JB196" s="27" t="str">
        <x:f>IF(C196="","",SUM(EO196,EU196,FA196,FG196,FM196,FS196,FY196,GE196,GK196,GQ196,GW196,HC196,HI196,HO196))</x:f>
      </x:c>
      <x:c r="JC196" s="27" t="str">
        <x:f>IF(C196="","",0)</x:f>
      </x:c>
      <x:c r="JD196" s="27" t="str">
        <x:f>IF(C196="","",0)</x:f>
      </x:c>
      <x:c r="JE196" s="27" t="str">
        <x:f>IF(C196="","",0)</x:f>
      </x:c>
      <x:c r="JF196" s="27" t="str">
        <x:f>IF(C196="","",0)</x:f>
      </x:c>
      <x:c r="JG196" s="27" t="str">
        <x:f>IF(C196="","",0)</x:f>
      </x:c>
      <x:c r="JH196" s="27" t="str">
        <x:f>IF(C196="","",0)</x:f>
      </x:c>
      <x:c r="JI196" s="27" t="str">
        <x:f>IF(C196="","",HP196*1000000000+IW196*1000000+IQ196*10000+IK196*100+JC196+6/1000)</x:f>
      </x:c>
      <x:c r="JJ196" s="27" t="str">
        <x:f>IF(C196="","",HQ196*1000000000+IX196*1000000+IR196*10000+IL196*100+JD196+5/1000)</x:f>
      </x:c>
      <x:c r="JK196" s="27" t="str">
        <x:f>IF(C196="","",HR196*1000000000+IY196*1000000+IS196*10000+IM196*100+JE196+4/1000)</x:f>
      </x:c>
      <x:c r="JL196" s="27" t="str">
        <x:f>IF(C196="","",HS196*1000000000+IZ196*1000000+IT196*10000+IN196*100+JF196+3/1000)</x:f>
      </x:c>
      <x:c r="JM196" s="27" t="str">
        <x:f>IF(C196="","",HT196*1000000000+JA196*1000000+IU196*10000+IO196*100+JG196+2/1000)</x:f>
      </x:c>
      <x:c r="JN196" s="27" t="str">
        <x:f>IF(C196="","",HU196*1000000000+JB196*1000000+IV196*10000+IP196*100+JH196+1/1000)</x:f>
      </x:c>
    </x:row>
    <x:row r="197">
      <x:c r="A197" s="27"/>
      <x:c r="B197" s="28"/>
      <x:c r="C197" s="27"/>
      <x:c r="D197" s="27"/>
      <x:c r="E197" s="27"/>
      <x:c r="F197" s="27"/>
      <x:c r="G197" s="27"/>
      <x:c r="H197" s="27"/>
      <x:c r="I197" s="27"/>
      <x:c r="J197" s="27"/>
      <x:c r="K197" s="27"/>
      <x:c r="L197" s="27"/>
      <x:c r="M197" s="27"/>
      <x:c r="N197" s="27"/>
      <x:c r="O197" s="27"/>
      <x:c r="P197" s="27"/>
      <x:c r="Q197" s="27"/>
      <x:c r="R197" s="27"/>
      <x:c r="S197" s="27"/>
      <x:c r="T197" s="27"/>
      <x:c r="U197" s="27"/>
      <x:c r="V197" s="27"/>
      <x:c r="W197" s="27"/>
      <x:c r="X197" s="27"/>
      <x:c r="Y197" s="27"/>
      <x:c r="Z197" s="27"/>
      <x:c r="AA197" s="27"/>
      <x:c r="AB197" s="27"/>
      <x:c r="AC197" s="27"/>
      <x:c r="AD197" s="27"/>
      <x:c r="AE197" s="27"/>
      <x:c r="AF197" s="27"/>
      <x:c r="AG197" s="27"/>
      <x:c r="AH197" s="27"/>
      <x:c r="AI197" s="27"/>
      <x:c r="AJ197" s="27"/>
      <x:c r="AK197" s="27"/>
      <x:c r="AL197" s="27"/>
      <x:c r="AM197" s="27"/>
      <x:c r="AN197" s="27"/>
      <x:c r="AO197" s="27"/>
      <x:c r="AP197" s="27"/>
      <x:c r="AQ197" s="27"/>
      <x:c r="AR197" s="27"/>
      <x:c r="AS197" s="27"/>
      <x:c r="AT197" s="27"/>
      <x:c r="AU197" s="27"/>
      <x:c r="AV197" s="27"/>
      <x:c r="AW197" s="27"/>
      <x:c r="AX197" s="27"/>
      <x:c r="AY197" s="27"/>
      <x:c r="AZ197" s="27"/>
      <x:c r="BA197" s="27"/>
      <x:c r="BB197" s="27"/>
      <x:c r="BC197" s="27"/>
      <x:c r="BD197" s="27"/>
      <x:c r="BE197" s="27"/>
      <x:c r="BF197" s="27"/>
      <x:c r="BG197" s="27"/>
      <x:c r="BH197" s="27"/>
      <x:c r="BI197" s="27"/>
      <x:c r="BJ197" s="27"/>
      <x:c r="BK197" s="27"/>
      <x:c r="BL197" s="27"/>
      <x:c r="BM197" s="27"/>
      <x:c r="BN197" s="27"/>
      <x:c r="BO197" s="27"/>
      <x:c r="BP197" s="27"/>
      <x:c r="BQ197" s="27"/>
      <x:c r="BR197" s="27"/>
      <x:c r="BS197" s="27"/>
      <x:c r="BT197" s="27"/>
      <x:c r="BU197" s="27"/>
      <x:c r="BV197" s="27"/>
      <x:c r="BW197" s="27"/>
      <x:c r="BX197" s="27"/>
      <x:c r="BY197" s="27"/>
      <x:c r="BZ197" s="27"/>
      <x:c r="CA197" s="27"/>
      <x:c r="CB197" s="27"/>
      <x:c r="CC197" s="27"/>
      <x:c r="CD197" s="27"/>
      <x:c r="CE197" s="27"/>
      <x:c r="CF197" s="27"/>
      <x:c r="CG197" s="27"/>
      <x:c r="CH197" s="27"/>
      <x:c r="CI197" s="27"/>
      <x:c r="CJ197" s="27"/>
      <x:c r="CK197" s="27"/>
      <x:c r="CL197" s="27"/>
      <x:c r="CM197" s="27"/>
      <x:c r="CN197" s="27"/>
      <x:c r="CO197" s="27"/>
      <x:c r="CP197" s="27"/>
      <x:c r="CQ197" s="27"/>
      <x:c r="CR197" s="27"/>
      <x:c r="CS197" s="27"/>
      <x:c r="CT197" s="27"/>
      <x:c r="CU197" s="27"/>
      <x:c r="CV197" s="27"/>
      <x:c r="CW197" s="27"/>
      <x:c r="CX197" s="27"/>
      <x:c r="CY197" s="27"/>
      <x:c r="CZ197" s="27"/>
      <x:c r="DA197" s="27"/>
      <x:c r="DB197" s="27"/>
      <x:c r="DC197" s="27"/>
      <x:c r="DD197" s="27"/>
      <x:c r="DE197" s="27"/>
      <x:c r="DF197" s="27"/>
      <x:c r="DG197" s="27"/>
      <x:c r="DH197" s="27"/>
      <x:c r="DI197" s="27"/>
      <x:c r="DJ197" s="27"/>
      <x:c r="DK197" s="27"/>
      <x:c r="DL197" s="27"/>
      <x:c r="DM197" s="27"/>
      <x:c r="DN197" s="27"/>
      <x:c r="DO197" s="27"/>
      <x:c r="DP197" s="27"/>
      <x:c r="DQ197" s="27"/>
      <x:c r="DR197" s="27"/>
      <x:c r="DS197" s="27"/>
      <x:c r="DT197" s="27"/>
      <x:c r="DU197" s="27"/>
      <x:c r="DV197" s="27"/>
      <x:c r="DW197" s="27"/>
      <x:c r="DX197" s="27"/>
      <x:c r="DY197" s="27"/>
      <x:c r="DZ197" s="27"/>
      <x:c r="EA197" s="27"/>
      <x:c r="EB197" s="27"/>
      <x:c r="EC197" s="27"/>
      <x:c r="ED197" s="27"/>
      <x:c r="EE197" s="27"/>
      <x:c r="EF197" s="27"/>
      <x:c r="EG197" s="27"/>
      <x:c r="EH197" s="27"/>
      <x:c r="EI197" s="27"/>
      <x:c r="EJ197" s="27"/>
      <x:c r="EK197" s="27"/>
      <x:c r="EL197" s="27"/>
      <x:c r="EM197" s="27"/>
      <x:c r="EN197" s="27"/>
      <x:c r="EO197" s="27"/>
      <x:c r="EP197" s="27"/>
      <x:c r="EQ197" s="27"/>
      <x:c r="ER197" s="27"/>
      <x:c r="ES197" s="27"/>
      <x:c r="ET197" s="27"/>
      <x:c r="EU197" s="27"/>
      <x:c r="EV197" s="27"/>
      <x:c r="EW197" s="27"/>
      <x:c r="EX197" s="27"/>
      <x:c r="EY197" s="27"/>
      <x:c r="EZ197" s="27"/>
      <x:c r="FA197" s="27"/>
      <x:c r="FB197" s="27"/>
      <x:c r="FC197" s="27"/>
      <x:c r="FD197" s="27"/>
      <x:c r="FE197" s="27"/>
      <x:c r="FF197" s="27"/>
      <x:c r="FG197" s="27"/>
      <x:c r="FH197" s="27"/>
      <x:c r="FI197" s="27"/>
      <x:c r="FJ197" s="27"/>
      <x:c r="FK197" s="27"/>
      <x:c r="FL197" s="27"/>
      <x:c r="FM197" s="27"/>
      <x:c r="FN197" s="27"/>
      <x:c r="FO197" s="27"/>
      <x:c r="FP197" s="27"/>
      <x:c r="FQ197" s="27"/>
      <x:c r="FR197" s="27"/>
      <x:c r="FS197" s="27"/>
      <x:c r="FT197" s="27"/>
      <x:c r="FU197" s="27"/>
      <x:c r="FV197" s="27"/>
      <x:c r="FW197" s="27"/>
      <x:c r="FX197" s="27"/>
      <x:c r="FY197" s="27"/>
      <x:c r="FZ197" s="27"/>
      <x:c r="GA197" s="27"/>
      <x:c r="GB197" s="27"/>
      <x:c r="GC197" s="27"/>
      <x:c r="GD197" s="27"/>
      <x:c r="GE197" s="27"/>
      <x:c r="GF197" s="27"/>
      <x:c r="GG197" s="27"/>
      <x:c r="GH197" s="27"/>
      <x:c r="GI197" s="27"/>
      <x:c r="GJ197" s="27"/>
      <x:c r="GK197" s="27"/>
      <x:c r="GL197" s="27"/>
      <x:c r="GM197" s="27"/>
      <x:c r="GN197" s="27"/>
      <x:c r="GO197" s="27"/>
      <x:c r="GP197" s="27"/>
      <x:c r="GQ197" s="27"/>
      <x:c r="GR197" s="27"/>
      <x:c r="GS197" s="27"/>
      <x:c r="GT197" s="27"/>
      <x:c r="GU197" s="27"/>
      <x:c r="GV197" s="27"/>
      <x:c r="GW197" s="27"/>
      <x:c r="GX197" s="27"/>
      <x:c r="GY197" s="27"/>
      <x:c r="GZ197" s="27"/>
      <x:c r="HA197" s="27"/>
      <x:c r="HB197" s="27"/>
      <x:c r="HC197" s="27"/>
      <x:c r="HD197" s="27"/>
      <x:c r="HE197" s="27"/>
      <x:c r="HF197" s="27"/>
      <x:c r="HG197" s="27"/>
      <x:c r="HH197" s="27"/>
      <x:c r="HI197" s="27"/>
      <x:c r="HJ197" s="27"/>
      <x:c r="HK197" s="27"/>
      <x:c r="HL197" s="27"/>
      <x:c r="HM197" s="27"/>
      <x:c r="HN197" s="27"/>
      <x:c r="HO197" s="27"/>
      <x:c r="HP197" s="27" t="str">
        <x:f>IF(C197="","",SUM(H197,N197,T197,Z197,AF197,AL197,AR197,AX197,BD197,BJ197,BP197,BV197,CB197,CH197,CN197,CT197,CZ197,DF197,DL197,DR197,DX197,ED197,EJ197,EP197,EV197,FB197,FH197,FN197,FT197,FZ197,GF197,GL197,GR197,GX197,HD197,HJ197))</x:f>
      </x:c>
      <x:c r="HQ197" s="27" t="str">
        <x:f>IF(C197="","",SUM(I197,O197,U197,AA197,AG197,AM197,AS197,AY197,BE197,BK197,BQ197,BW197,CC197,CI197,CO197,CU197,DA197,DG197,DM197,DS197,DY197,EE197,EK197,EQ197,EW197,FC197,FI197,FO197,FU197,GA197,GG197,GM197,GS197,GY197,HE197,HK197))</x:f>
      </x:c>
      <x:c r="HR197" s="27" t="str">
        <x:f>IF(C197="","",SUM(J197,P197,V197,AB197,AH197,AN197,AT197,AZ197,BF197,BL197,BR197,BX197,CD197,CJ197,CP197,CV197,DB197,DH197,DN197,DT197,DZ197,EF197,EL197,ER197,EX197,FD197,FJ197,FP197,FV197,GB197,GH197,GN197,GT197,GZ197,HF197,HL197))</x:f>
      </x:c>
      <x:c r="HS197" s="27" t="str">
        <x:f>IF(C197="","",SUM(K197,Q197,W197,AC197,AI197,AO197,AU197,BA197,BG197,BM197,BS197,BY197,CE197,CK197,CQ197,CW197,DC197,DI197,DO197,DU197,EA197,EG197,EM197,ES197,EY197,FE197,FK197,FQ197,FW197,GC197,GI197,GO197,GU197,HA197,HG197,HM197))</x:f>
      </x:c>
      <x:c r="HT197" s="27" t="str">
        <x:f>IF(C197="","",SUM(L197,R197,X197,AD197,AJ197,AP197,AV197,BB197,BH197,BN197,BT197,BZ197,CF197,CL197,CR197,CX197,DD197,DJ197,DP197,DV197,EB197,EH197,EN197,ET197,EZ197,FF197,FL197,FR197,FX197,GD197,GJ197,GP197,GV197,HB197,HH197,HN197))</x:f>
      </x:c>
      <x:c r="HU197" s="27" t="str">
        <x:f>IF(C197="","",SUM(M197,S197,Y197,AE197,AK197,AQ197,AW197,BC197,BI197,BO197,BU197,CA197,CG197,CM197,CS197,CY197,DE197,DK197,DQ197,DW197,EC197,EI197,EO197,EU197,FA197,FG197,FM197,FS197,FY197,GE197,GK197,GQ197,GW197,HC197,HI197,HO197))</x:f>
      </x:c>
      <x:c r="HV197" s="27" t="str">
        <x:f>IF(C197="","",IF(JI197=LARGE(JI197:JN197,1),"R",IF(JJ197=LARGE(JI197:JN197,1),"I",IF(JK197=LARGE(JI197:JN197,1),"A",IF(JL197=LARGE(JI197:JN197,1),"S",IF(JM197=LARGE(JI197:JN197,1),"E",IF(JN197=LARGE(JI197:JN197,1),"C",""))))))&amp;IF(JI197=LARGE(JI197:JN197,2),"R",IF(JJ197=LARGE(JI197:JN197,2),"I",IF(JK197=LARGE(JI197:JN197,2),"A",IF(JL197=LARGE(JI197:JN197,2),"S",IF(JM197=LARGE(JI197:JN197,2),"E",IF(JN197=LARGE(JI197:JN197,2),"C",""))))))&amp;IF(JI197=LARGE(JI197:JN197,3),"R",IF(JJ197=LARGE(JI197:JN197,3),"I",IF(JK197=LARGE(JI197:JN197,3),"A",IF(JL197=LARGE(JI197:JN197,3),"S",IF(JM197=LARGE(JI197:JN197,3),"E",IF(JN197=LARGE(JI197:JN197,3),"C","")))))))</x:f>
      </x:c>
      <x:c r="HW197" s="27" t="str">
        <x:f>IF(C197="","",IF(JI197=LARGE(JI197:JN197,1),"นักปฏิบัติ",IF(JJ197=LARGE(JI197:JN197,1),"นักคิดวิเคราะห์",IF(JK197=LARGE(JI197:JN197,1),"นักสร้างสรรค์",IF(JL197=LARGE(JI197:JN197,1),"ผู้เข้าใจผู้คน",IF(JM197=LARGE(JI197:JN197,1),"ผู้นำการเปลี่ยนแปลง",IF(JN197=LARGE(JI197:JN197,1),"ผู้จัดระบบ","ผู้จัดระบบ")))))))</x:f>
      </x:c>
      <x:c r="HX197" s="27"/>
      <x:c r="HY197" s="27"/>
      <x:c r="HZ197" s="27"/>
      <x:c r="IA197" s="27"/>
      <x:c r="IB197" s="27"/>
      <x:c r="IC197" s="27"/>
      <x:c r="ID197" s="27"/>
      <x:c r="IE197" s="27"/>
      <x:c r="IF197" s="27"/>
      <x:c r="IG197" s="27"/>
      <x:c r="IH197" s="27"/>
      <x:c r="II197" s="27"/>
      <x:c r="IJ197" s="27"/>
      <x:c r="IK197" s="27" t="str">
        <x:f>IF(C197="","",SUM(H197,N197,T197,Z197,AF197,AL197,AR197,AX197,BD197,BJ197,BP197))</x:f>
      </x:c>
      <x:c r="IL197" s="27" t="str">
        <x:f>IF(C197="","",SUM(I197,O197,U197,AA197,AG197,AM197,AS197,AY197,BE197,BK197,BQ197))</x:f>
      </x:c>
      <x:c r="IM197" s="27" t="str">
        <x:f>IF(C197="","",SUM(J197,P197,V197,AB197,AH197,AN197,AT197,AZ197,BF197,BL197,BR197))</x:f>
      </x:c>
      <x:c r="IN197" s="27" t="str">
        <x:f>IF(C197="","",SUM(K197,Q197,W197,AC197,AI197,AO197,AU197,BA197,BG197,BM197,BS197))</x:f>
      </x:c>
      <x:c r="IO197" s="27" t="str">
        <x:f>IF(C197="","",SUM(L197,R197,X197,AD197,AJ197,AP197,AV197,BB197,BH197,BN197,BT197))</x:f>
      </x:c>
      <x:c r="IP197" s="27" t="str">
        <x:f>IF(C197="","",SUM(M197,S197,Y197,AE197,AK197,AQ197,AW197,BC197,BI197,BO197,BU197))</x:f>
      </x:c>
      <x:c r="IQ197" s="27" t="str">
        <x:f>IF(C197="","",SUM(BV197,CB197,CH197,CN197,CT197,CZ197,DF197,DL197,DR197,DX197,ED197))</x:f>
      </x:c>
      <x:c r="IR197" s="27" t="str">
        <x:f>IF(C197="","",SUM(BW197,CC197,CI197,CO197,CU197,DA197,DG197,DM197,DS197,DY197,EE197))</x:f>
      </x:c>
      <x:c r="IS197" s="27" t="str">
        <x:f>IF(C197="","",SUM(BX197,CD197,CJ197,CP197,CV197,DB197,DH197,DN197,DT197,DZ197,EF197))</x:f>
      </x:c>
      <x:c r="IT197" s="27" t="str">
        <x:f>IF(C197="","",SUM(BY197,CE197,CK197,CQ197,CW197,DC197,DI197,DO197,DU197,EA197,EG197))</x:f>
      </x:c>
      <x:c r="IU197" s="27" t="str">
        <x:f>IF(C197="","",SUM(BZ197,CF197,CL197,CR197,CX197,DD197,DJ197,DP197,DV197,EB197,EH197))</x:f>
      </x:c>
      <x:c r="IV197" s="27" t="str">
        <x:f>IF(C197="","",SUM(CA197,CG197,CM197,CS197,CY197,DE197,DK197,DQ197,DW197,EC197,EI197))</x:f>
      </x:c>
      <x:c r="IW197" s="27" t="str">
        <x:f>IF(C197="","",SUM(EJ197,EP197,EV197,FB197,FH197,FN197,FT197,FZ197,GF197,GL197,GR197,GX197,HD197,HJ197))</x:f>
      </x:c>
      <x:c r="IX197" s="27" t="str">
        <x:f>IF(C197="","",SUM(EK197,EQ197,EW197,FC197,FI197,FO197,FU197,GA197,GG197,GM197,GS197,GY197,HE197,HK197))</x:f>
      </x:c>
      <x:c r="IY197" s="27" t="str">
        <x:f>IF(C197="","",SUM(EL197,ER197,EX197,FD197,FJ197,FP197,FV197,GB197,GH197,GN197,GT197,GZ197,HF197,HL197))</x:f>
      </x:c>
      <x:c r="IZ197" s="27" t="str">
        <x:f>IF(C197="","",SUM(EM197,ES197,EY197,FE197,FK197,FQ197,FW197,GC197,GI197,GO197,GU197,HA197,HG197,HM197))</x:f>
      </x:c>
      <x:c r="JA197" s="27" t="str">
        <x:f>IF(C197="","",SUM(EN197,ET197,EZ197,FF197,FL197,FR197,FX197,GD197,GJ197,GP197,GV197,HB197,HH197,HN197))</x:f>
      </x:c>
      <x:c r="JB197" s="27" t="str">
        <x:f>IF(C197="","",SUM(EO197,EU197,FA197,FG197,FM197,FS197,FY197,GE197,GK197,GQ197,GW197,HC197,HI197,HO197))</x:f>
      </x:c>
      <x:c r="JC197" s="27" t="str">
        <x:f>IF(C197="","",0)</x:f>
      </x:c>
      <x:c r="JD197" s="27" t="str">
        <x:f>IF(C197="","",0)</x:f>
      </x:c>
      <x:c r="JE197" s="27" t="str">
        <x:f>IF(C197="","",0)</x:f>
      </x:c>
      <x:c r="JF197" s="27" t="str">
        <x:f>IF(C197="","",0)</x:f>
      </x:c>
      <x:c r="JG197" s="27" t="str">
        <x:f>IF(C197="","",0)</x:f>
      </x:c>
      <x:c r="JH197" s="27" t="str">
        <x:f>IF(C197="","",0)</x:f>
      </x:c>
      <x:c r="JI197" s="27" t="str">
        <x:f>IF(C197="","",HP197*1000000000+IW197*1000000+IQ197*10000+IK197*100+JC197+6/1000)</x:f>
      </x:c>
      <x:c r="JJ197" s="27" t="str">
        <x:f>IF(C197="","",HQ197*1000000000+IX197*1000000+IR197*10000+IL197*100+JD197+5/1000)</x:f>
      </x:c>
      <x:c r="JK197" s="27" t="str">
        <x:f>IF(C197="","",HR197*1000000000+IY197*1000000+IS197*10000+IM197*100+JE197+4/1000)</x:f>
      </x:c>
      <x:c r="JL197" s="27" t="str">
        <x:f>IF(C197="","",HS197*1000000000+IZ197*1000000+IT197*10000+IN197*100+JF197+3/1000)</x:f>
      </x:c>
      <x:c r="JM197" s="27" t="str">
        <x:f>IF(C197="","",HT197*1000000000+JA197*1000000+IU197*10000+IO197*100+JG197+2/1000)</x:f>
      </x:c>
      <x:c r="JN197" s="27" t="str">
        <x:f>IF(C197="","",HU197*1000000000+JB197*1000000+IV197*10000+IP197*100+JH197+1/1000)</x:f>
      </x:c>
    </x:row>
    <x:row r="198">
      <x:c r="A198" s="27"/>
      <x:c r="B198" s="28"/>
      <x:c r="C198" s="27"/>
      <x:c r="D198" s="27"/>
      <x:c r="E198" s="27"/>
      <x:c r="F198" s="27"/>
      <x:c r="G198" s="27"/>
      <x:c r="H198" s="27"/>
      <x:c r="I198" s="27"/>
      <x:c r="J198" s="27"/>
      <x:c r="K198" s="27"/>
      <x:c r="L198" s="27"/>
      <x:c r="M198" s="27"/>
      <x:c r="N198" s="27"/>
      <x:c r="O198" s="27"/>
      <x:c r="P198" s="27"/>
      <x:c r="Q198" s="27"/>
      <x:c r="R198" s="27"/>
      <x:c r="S198" s="27"/>
      <x:c r="T198" s="27"/>
      <x:c r="U198" s="27"/>
      <x:c r="V198" s="27"/>
      <x:c r="W198" s="27"/>
      <x:c r="X198" s="27"/>
      <x:c r="Y198" s="27"/>
      <x:c r="Z198" s="27"/>
      <x:c r="AA198" s="27"/>
      <x:c r="AB198" s="27"/>
      <x:c r="AC198" s="27"/>
      <x:c r="AD198" s="27"/>
      <x:c r="AE198" s="27"/>
      <x:c r="AF198" s="27"/>
      <x:c r="AG198" s="27"/>
      <x:c r="AH198" s="27"/>
      <x:c r="AI198" s="27"/>
      <x:c r="AJ198" s="27"/>
      <x:c r="AK198" s="27"/>
      <x:c r="AL198" s="27"/>
      <x:c r="AM198" s="27"/>
      <x:c r="AN198" s="27"/>
      <x:c r="AO198" s="27"/>
      <x:c r="AP198" s="27"/>
      <x:c r="AQ198" s="27"/>
      <x:c r="AR198" s="27"/>
      <x:c r="AS198" s="27"/>
      <x:c r="AT198" s="27"/>
      <x:c r="AU198" s="27"/>
      <x:c r="AV198" s="27"/>
      <x:c r="AW198" s="27"/>
      <x:c r="AX198" s="27"/>
      <x:c r="AY198" s="27"/>
      <x:c r="AZ198" s="27"/>
      <x:c r="BA198" s="27"/>
      <x:c r="BB198" s="27"/>
      <x:c r="BC198" s="27"/>
      <x:c r="BD198" s="27"/>
      <x:c r="BE198" s="27"/>
      <x:c r="BF198" s="27"/>
      <x:c r="BG198" s="27"/>
      <x:c r="BH198" s="27"/>
      <x:c r="BI198" s="27"/>
      <x:c r="BJ198" s="27"/>
      <x:c r="BK198" s="27"/>
      <x:c r="BL198" s="27"/>
      <x:c r="BM198" s="27"/>
      <x:c r="BN198" s="27"/>
      <x:c r="BO198" s="27"/>
      <x:c r="BP198" s="27"/>
      <x:c r="BQ198" s="27"/>
      <x:c r="BR198" s="27"/>
      <x:c r="BS198" s="27"/>
      <x:c r="BT198" s="27"/>
      <x:c r="BU198" s="27"/>
      <x:c r="BV198" s="27"/>
      <x:c r="BW198" s="27"/>
      <x:c r="BX198" s="27"/>
      <x:c r="BY198" s="27"/>
      <x:c r="BZ198" s="27"/>
      <x:c r="CA198" s="27"/>
      <x:c r="CB198" s="27"/>
      <x:c r="CC198" s="27"/>
      <x:c r="CD198" s="27"/>
      <x:c r="CE198" s="27"/>
      <x:c r="CF198" s="27"/>
      <x:c r="CG198" s="27"/>
      <x:c r="CH198" s="27"/>
      <x:c r="CI198" s="27"/>
      <x:c r="CJ198" s="27"/>
      <x:c r="CK198" s="27"/>
      <x:c r="CL198" s="27"/>
      <x:c r="CM198" s="27"/>
      <x:c r="CN198" s="27"/>
      <x:c r="CO198" s="27"/>
      <x:c r="CP198" s="27"/>
      <x:c r="CQ198" s="27"/>
      <x:c r="CR198" s="27"/>
      <x:c r="CS198" s="27"/>
      <x:c r="CT198" s="27"/>
      <x:c r="CU198" s="27"/>
      <x:c r="CV198" s="27"/>
      <x:c r="CW198" s="27"/>
      <x:c r="CX198" s="27"/>
      <x:c r="CY198" s="27"/>
      <x:c r="CZ198" s="27"/>
      <x:c r="DA198" s="27"/>
      <x:c r="DB198" s="27"/>
      <x:c r="DC198" s="27"/>
      <x:c r="DD198" s="27"/>
      <x:c r="DE198" s="27"/>
      <x:c r="DF198" s="27"/>
      <x:c r="DG198" s="27"/>
      <x:c r="DH198" s="27"/>
      <x:c r="DI198" s="27"/>
      <x:c r="DJ198" s="27"/>
      <x:c r="DK198" s="27"/>
      <x:c r="DL198" s="27"/>
      <x:c r="DM198" s="27"/>
      <x:c r="DN198" s="27"/>
      <x:c r="DO198" s="27"/>
      <x:c r="DP198" s="27"/>
      <x:c r="DQ198" s="27"/>
      <x:c r="DR198" s="27"/>
      <x:c r="DS198" s="27"/>
      <x:c r="DT198" s="27"/>
      <x:c r="DU198" s="27"/>
      <x:c r="DV198" s="27"/>
      <x:c r="DW198" s="27"/>
      <x:c r="DX198" s="27"/>
      <x:c r="DY198" s="27"/>
      <x:c r="DZ198" s="27"/>
      <x:c r="EA198" s="27"/>
      <x:c r="EB198" s="27"/>
      <x:c r="EC198" s="27"/>
      <x:c r="ED198" s="27"/>
      <x:c r="EE198" s="27"/>
      <x:c r="EF198" s="27"/>
      <x:c r="EG198" s="27"/>
      <x:c r="EH198" s="27"/>
      <x:c r="EI198" s="27"/>
      <x:c r="EJ198" s="27"/>
      <x:c r="EK198" s="27"/>
      <x:c r="EL198" s="27"/>
      <x:c r="EM198" s="27"/>
      <x:c r="EN198" s="27"/>
      <x:c r="EO198" s="27"/>
      <x:c r="EP198" s="27"/>
      <x:c r="EQ198" s="27"/>
      <x:c r="ER198" s="27"/>
      <x:c r="ES198" s="27"/>
      <x:c r="ET198" s="27"/>
      <x:c r="EU198" s="27"/>
      <x:c r="EV198" s="27"/>
      <x:c r="EW198" s="27"/>
      <x:c r="EX198" s="27"/>
      <x:c r="EY198" s="27"/>
      <x:c r="EZ198" s="27"/>
      <x:c r="FA198" s="27"/>
      <x:c r="FB198" s="27"/>
      <x:c r="FC198" s="27"/>
      <x:c r="FD198" s="27"/>
      <x:c r="FE198" s="27"/>
      <x:c r="FF198" s="27"/>
      <x:c r="FG198" s="27"/>
      <x:c r="FH198" s="27"/>
      <x:c r="FI198" s="27"/>
      <x:c r="FJ198" s="27"/>
      <x:c r="FK198" s="27"/>
      <x:c r="FL198" s="27"/>
      <x:c r="FM198" s="27"/>
      <x:c r="FN198" s="27"/>
      <x:c r="FO198" s="27"/>
      <x:c r="FP198" s="27"/>
      <x:c r="FQ198" s="27"/>
      <x:c r="FR198" s="27"/>
      <x:c r="FS198" s="27"/>
      <x:c r="FT198" s="27"/>
      <x:c r="FU198" s="27"/>
      <x:c r="FV198" s="27"/>
      <x:c r="FW198" s="27"/>
      <x:c r="FX198" s="27"/>
      <x:c r="FY198" s="27"/>
      <x:c r="FZ198" s="27"/>
      <x:c r="GA198" s="27"/>
      <x:c r="GB198" s="27"/>
      <x:c r="GC198" s="27"/>
      <x:c r="GD198" s="27"/>
      <x:c r="GE198" s="27"/>
      <x:c r="GF198" s="27"/>
      <x:c r="GG198" s="27"/>
      <x:c r="GH198" s="27"/>
      <x:c r="GI198" s="27"/>
      <x:c r="GJ198" s="27"/>
      <x:c r="GK198" s="27"/>
      <x:c r="GL198" s="27"/>
      <x:c r="GM198" s="27"/>
      <x:c r="GN198" s="27"/>
      <x:c r="GO198" s="27"/>
      <x:c r="GP198" s="27"/>
      <x:c r="GQ198" s="27"/>
      <x:c r="GR198" s="27"/>
      <x:c r="GS198" s="27"/>
      <x:c r="GT198" s="27"/>
      <x:c r="GU198" s="27"/>
      <x:c r="GV198" s="27"/>
      <x:c r="GW198" s="27"/>
      <x:c r="GX198" s="27"/>
      <x:c r="GY198" s="27"/>
      <x:c r="GZ198" s="27"/>
      <x:c r="HA198" s="27"/>
      <x:c r="HB198" s="27"/>
      <x:c r="HC198" s="27"/>
      <x:c r="HD198" s="27"/>
      <x:c r="HE198" s="27"/>
      <x:c r="HF198" s="27"/>
      <x:c r="HG198" s="27"/>
      <x:c r="HH198" s="27"/>
      <x:c r="HI198" s="27"/>
      <x:c r="HJ198" s="27"/>
      <x:c r="HK198" s="27"/>
      <x:c r="HL198" s="27"/>
      <x:c r="HM198" s="27"/>
      <x:c r="HN198" s="27"/>
      <x:c r="HO198" s="27"/>
      <x:c r="HP198" s="27" t="str">
        <x:f>IF(C198="","",SUM(H198,N198,T198,Z198,AF198,AL198,AR198,AX198,BD198,BJ198,BP198,BV198,CB198,CH198,CN198,CT198,CZ198,DF198,DL198,DR198,DX198,ED198,EJ198,EP198,EV198,FB198,FH198,FN198,FT198,FZ198,GF198,GL198,GR198,GX198,HD198,HJ198))</x:f>
      </x:c>
      <x:c r="HQ198" s="27" t="str">
        <x:f>IF(C198="","",SUM(I198,O198,U198,AA198,AG198,AM198,AS198,AY198,BE198,BK198,BQ198,BW198,CC198,CI198,CO198,CU198,DA198,DG198,DM198,DS198,DY198,EE198,EK198,EQ198,EW198,FC198,FI198,FO198,FU198,GA198,GG198,GM198,GS198,GY198,HE198,HK198))</x:f>
      </x:c>
      <x:c r="HR198" s="27" t="str">
        <x:f>IF(C198="","",SUM(J198,P198,V198,AB198,AH198,AN198,AT198,AZ198,BF198,BL198,BR198,BX198,CD198,CJ198,CP198,CV198,DB198,DH198,DN198,DT198,DZ198,EF198,EL198,ER198,EX198,FD198,FJ198,FP198,FV198,GB198,GH198,GN198,GT198,GZ198,HF198,HL198))</x:f>
      </x:c>
      <x:c r="HS198" s="27" t="str">
        <x:f>IF(C198="","",SUM(K198,Q198,W198,AC198,AI198,AO198,AU198,BA198,BG198,BM198,BS198,BY198,CE198,CK198,CQ198,CW198,DC198,DI198,DO198,DU198,EA198,EG198,EM198,ES198,EY198,FE198,FK198,FQ198,FW198,GC198,GI198,GO198,GU198,HA198,HG198,HM198))</x:f>
      </x:c>
      <x:c r="HT198" s="27" t="str">
        <x:f>IF(C198="","",SUM(L198,R198,X198,AD198,AJ198,AP198,AV198,BB198,BH198,BN198,BT198,BZ198,CF198,CL198,CR198,CX198,DD198,DJ198,DP198,DV198,EB198,EH198,EN198,ET198,EZ198,FF198,FL198,FR198,FX198,GD198,GJ198,GP198,GV198,HB198,HH198,HN198))</x:f>
      </x:c>
      <x:c r="HU198" s="27" t="str">
        <x:f>IF(C198="","",SUM(M198,S198,Y198,AE198,AK198,AQ198,AW198,BC198,BI198,BO198,BU198,CA198,CG198,CM198,CS198,CY198,DE198,DK198,DQ198,DW198,EC198,EI198,EO198,EU198,FA198,FG198,FM198,FS198,FY198,GE198,GK198,GQ198,GW198,HC198,HI198,HO198))</x:f>
      </x:c>
      <x:c r="HV198" s="27" t="str">
        <x:f>IF(C198="","",IF(JI198=LARGE(JI198:JN198,1),"R",IF(JJ198=LARGE(JI198:JN198,1),"I",IF(JK198=LARGE(JI198:JN198,1),"A",IF(JL198=LARGE(JI198:JN198,1),"S",IF(JM198=LARGE(JI198:JN198,1),"E",IF(JN198=LARGE(JI198:JN198,1),"C",""))))))&amp;IF(JI198=LARGE(JI198:JN198,2),"R",IF(JJ198=LARGE(JI198:JN198,2),"I",IF(JK198=LARGE(JI198:JN198,2),"A",IF(JL198=LARGE(JI198:JN198,2),"S",IF(JM198=LARGE(JI198:JN198,2),"E",IF(JN198=LARGE(JI198:JN198,2),"C",""))))))&amp;IF(JI198=LARGE(JI198:JN198,3),"R",IF(JJ198=LARGE(JI198:JN198,3),"I",IF(JK198=LARGE(JI198:JN198,3),"A",IF(JL198=LARGE(JI198:JN198,3),"S",IF(JM198=LARGE(JI198:JN198,3),"E",IF(JN198=LARGE(JI198:JN198,3),"C","")))))))</x:f>
      </x:c>
      <x:c r="HW198" s="27" t="str">
        <x:f>IF(C198="","",IF(JI198=LARGE(JI198:JN198,1),"นักปฏิบัติ",IF(JJ198=LARGE(JI198:JN198,1),"นักคิดวิเคราะห์",IF(JK198=LARGE(JI198:JN198,1),"นักสร้างสรรค์",IF(JL198=LARGE(JI198:JN198,1),"ผู้เข้าใจผู้คน",IF(JM198=LARGE(JI198:JN198,1),"ผู้นำการเปลี่ยนแปลง",IF(JN198=LARGE(JI198:JN198,1),"ผู้จัดระบบ","ผู้จัดระบบ")))))))</x:f>
      </x:c>
      <x:c r="HX198" s="27"/>
      <x:c r="HY198" s="27"/>
      <x:c r="HZ198" s="27"/>
      <x:c r="IA198" s="27"/>
      <x:c r="IB198" s="27"/>
      <x:c r="IC198" s="27"/>
      <x:c r="ID198" s="27"/>
      <x:c r="IE198" s="27"/>
      <x:c r="IF198" s="27"/>
      <x:c r="IG198" s="27"/>
      <x:c r="IH198" s="27"/>
      <x:c r="II198" s="27"/>
      <x:c r="IJ198" s="27"/>
      <x:c r="IK198" s="27" t="str">
        <x:f>IF(C198="","",SUM(H198,N198,T198,Z198,AF198,AL198,AR198,AX198,BD198,BJ198,BP198))</x:f>
      </x:c>
      <x:c r="IL198" s="27" t="str">
        <x:f>IF(C198="","",SUM(I198,O198,U198,AA198,AG198,AM198,AS198,AY198,BE198,BK198,BQ198))</x:f>
      </x:c>
      <x:c r="IM198" s="27" t="str">
        <x:f>IF(C198="","",SUM(J198,P198,V198,AB198,AH198,AN198,AT198,AZ198,BF198,BL198,BR198))</x:f>
      </x:c>
      <x:c r="IN198" s="27" t="str">
        <x:f>IF(C198="","",SUM(K198,Q198,W198,AC198,AI198,AO198,AU198,BA198,BG198,BM198,BS198))</x:f>
      </x:c>
      <x:c r="IO198" s="27" t="str">
        <x:f>IF(C198="","",SUM(L198,R198,X198,AD198,AJ198,AP198,AV198,BB198,BH198,BN198,BT198))</x:f>
      </x:c>
      <x:c r="IP198" s="27" t="str">
        <x:f>IF(C198="","",SUM(M198,S198,Y198,AE198,AK198,AQ198,AW198,BC198,BI198,BO198,BU198))</x:f>
      </x:c>
      <x:c r="IQ198" s="27" t="str">
        <x:f>IF(C198="","",SUM(BV198,CB198,CH198,CN198,CT198,CZ198,DF198,DL198,DR198,DX198,ED198))</x:f>
      </x:c>
      <x:c r="IR198" s="27" t="str">
        <x:f>IF(C198="","",SUM(BW198,CC198,CI198,CO198,CU198,DA198,DG198,DM198,DS198,DY198,EE198))</x:f>
      </x:c>
      <x:c r="IS198" s="27" t="str">
        <x:f>IF(C198="","",SUM(BX198,CD198,CJ198,CP198,CV198,DB198,DH198,DN198,DT198,DZ198,EF198))</x:f>
      </x:c>
      <x:c r="IT198" s="27" t="str">
        <x:f>IF(C198="","",SUM(BY198,CE198,CK198,CQ198,CW198,DC198,DI198,DO198,DU198,EA198,EG198))</x:f>
      </x:c>
      <x:c r="IU198" s="27" t="str">
        <x:f>IF(C198="","",SUM(BZ198,CF198,CL198,CR198,CX198,DD198,DJ198,DP198,DV198,EB198,EH198))</x:f>
      </x:c>
      <x:c r="IV198" s="27" t="str">
        <x:f>IF(C198="","",SUM(CA198,CG198,CM198,CS198,CY198,DE198,DK198,DQ198,DW198,EC198,EI198))</x:f>
      </x:c>
      <x:c r="IW198" s="27" t="str">
        <x:f>IF(C198="","",SUM(EJ198,EP198,EV198,FB198,FH198,FN198,FT198,FZ198,GF198,GL198,GR198,GX198,HD198,HJ198))</x:f>
      </x:c>
      <x:c r="IX198" s="27" t="str">
        <x:f>IF(C198="","",SUM(EK198,EQ198,EW198,FC198,FI198,FO198,FU198,GA198,GG198,GM198,GS198,GY198,HE198,HK198))</x:f>
      </x:c>
      <x:c r="IY198" s="27" t="str">
        <x:f>IF(C198="","",SUM(EL198,ER198,EX198,FD198,FJ198,FP198,FV198,GB198,GH198,GN198,GT198,GZ198,HF198,HL198))</x:f>
      </x:c>
      <x:c r="IZ198" s="27" t="str">
        <x:f>IF(C198="","",SUM(EM198,ES198,EY198,FE198,FK198,FQ198,FW198,GC198,GI198,GO198,GU198,HA198,HG198,HM198))</x:f>
      </x:c>
      <x:c r="JA198" s="27" t="str">
        <x:f>IF(C198="","",SUM(EN198,ET198,EZ198,FF198,FL198,FR198,FX198,GD198,GJ198,GP198,GV198,HB198,HH198,HN198))</x:f>
      </x:c>
      <x:c r="JB198" s="27" t="str">
        <x:f>IF(C198="","",SUM(EO198,EU198,FA198,FG198,FM198,FS198,FY198,GE198,GK198,GQ198,GW198,HC198,HI198,HO198))</x:f>
      </x:c>
      <x:c r="JC198" s="27" t="str">
        <x:f>IF(C198="","",0)</x:f>
      </x:c>
      <x:c r="JD198" s="27" t="str">
        <x:f>IF(C198="","",0)</x:f>
      </x:c>
      <x:c r="JE198" s="27" t="str">
        <x:f>IF(C198="","",0)</x:f>
      </x:c>
      <x:c r="JF198" s="27" t="str">
        <x:f>IF(C198="","",0)</x:f>
      </x:c>
      <x:c r="JG198" s="27" t="str">
        <x:f>IF(C198="","",0)</x:f>
      </x:c>
      <x:c r="JH198" s="27" t="str">
        <x:f>IF(C198="","",0)</x:f>
      </x:c>
      <x:c r="JI198" s="27" t="str">
        <x:f>IF(C198="","",HP198*1000000000+IW198*1000000+IQ198*10000+IK198*100+JC198+6/1000)</x:f>
      </x:c>
      <x:c r="JJ198" s="27" t="str">
        <x:f>IF(C198="","",HQ198*1000000000+IX198*1000000+IR198*10000+IL198*100+JD198+5/1000)</x:f>
      </x:c>
      <x:c r="JK198" s="27" t="str">
        <x:f>IF(C198="","",HR198*1000000000+IY198*1000000+IS198*10000+IM198*100+JE198+4/1000)</x:f>
      </x:c>
      <x:c r="JL198" s="27" t="str">
        <x:f>IF(C198="","",HS198*1000000000+IZ198*1000000+IT198*10000+IN198*100+JF198+3/1000)</x:f>
      </x:c>
      <x:c r="JM198" s="27" t="str">
        <x:f>IF(C198="","",HT198*1000000000+JA198*1000000+IU198*10000+IO198*100+JG198+2/1000)</x:f>
      </x:c>
      <x:c r="JN198" s="27" t="str">
        <x:f>IF(C198="","",HU198*1000000000+JB198*1000000+IV198*10000+IP198*100+JH198+1/1000)</x:f>
      </x:c>
    </x:row>
    <x:row r="199">
      <x:c r="A199" s="27"/>
      <x:c r="B199" s="28"/>
      <x:c r="C199" s="27"/>
      <x:c r="D199" s="27"/>
      <x:c r="E199" s="27"/>
      <x:c r="F199" s="27"/>
      <x:c r="G199" s="27"/>
      <x:c r="H199" s="27"/>
      <x:c r="I199" s="27"/>
      <x:c r="J199" s="27"/>
      <x:c r="K199" s="27"/>
      <x:c r="L199" s="27"/>
      <x:c r="M199" s="27"/>
      <x:c r="N199" s="27"/>
      <x:c r="O199" s="27"/>
      <x:c r="P199" s="27"/>
      <x:c r="Q199" s="27"/>
      <x:c r="R199" s="27"/>
      <x:c r="S199" s="27"/>
      <x:c r="T199" s="27"/>
      <x:c r="U199" s="27"/>
      <x:c r="V199" s="27"/>
      <x:c r="W199" s="27"/>
      <x:c r="X199" s="27"/>
      <x:c r="Y199" s="27"/>
      <x:c r="Z199" s="27"/>
      <x:c r="AA199" s="27"/>
      <x:c r="AB199" s="27"/>
      <x:c r="AC199" s="27"/>
      <x:c r="AD199" s="27"/>
      <x:c r="AE199" s="27"/>
      <x:c r="AF199" s="27"/>
      <x:c r="AG199" s="27"/>
      <x:c r="AH199" s="27"/>
      <x:c r="AI199" s="27"/>
      <x:c r="AJ199" s="27"/>
      <x:c r="AK199" s="27"/>
      <x:c r="AL199" s="27"/>
      <x:c r="AM199" s="27"/>
      <x:c r="AN199" s="27"/>
      <x:c r="AO199" s="27"/>
      <x:c r="AP199" s="27"/>
      <x:c r="AQ199" s="27"/>
      <x:c r="AR199" s="27"/>
      <x:c r="AS199" s="27"/>
      <x:c r="AT199" s="27"/>
      <x:c r="AU199" s="27"/>
      <x:c r="AV199" s="27"/>
      <x:c r="AW199" s="27"/>
      <x:c r="AX199" s="27"/>
      <x:c r="AY199" s="27"/>
      <x:c r="AZ199" s="27"/>
      <x:c r="BA199" s="27"/>
      <x:c r="BB199" s="27"/>
      <x:c r="BC199" s="27"/>
      <x:c r="BD199" s="27"/>
      <x:c r="BE199" s="27"/>
      <x:c r="BF199" s="27"/>
      <x:c r="BG199" s="27"/>
      <x:c r="BH199" s="27"/>
      <x:c r="BI199" s="27"/>
      <x:c r="BJ199" s="27"/>
      <x:c r="BK199" s="27"/>
      <x:c r="BL199" s="27"/>
      <x:c r="BM199" s="27"/>
      <x:c r="BN199" s="27"/>
      <x:c r="BO199" s="27"/>
      <x:c r="BP199" s="27"/>
      <x:c r="BQ199" s="27"/>
      <x:c r="BR199" s="27"/>
      <x:c r="BS199" s="27"/>
      <x:c r="BT199" s="27"/>
      <x:c r="BU199" s="27"/>
      <x:c r="BV199" s="27"/>
      <x:c r="BW199" s="27"/>
      <x:c r="BX199" s="27"/>
      <x:c r="BY199" s="27"/>
      <x:c r="BZ199" s="27"/>
      <x:c r="CA199" s="27"/>
      <x:c r="CB199" s="27"/>
      <x:c r="CC199" s="27"/>
      <x:c r="CD199" s="27"/>
      <x:c r="CE199" s="27"/>
      <x:c r="CF199" s="27"/>
      <x:c r="CG199" s="27"/>
      <x:c r="CH199" s="27"/>
      <x:c r="CI199" s="27"/>
      <x:c r="CJ199" s="27"/>
      <x:c r="CK199" s="27"/>
      <x:c r="CL199" s="27"/>
      <x:c r="CM199" s="27"/>
      <x:c r="CN199" s="27"/>
      <x:c r="CO199" s="27"/>
      <x:c r="CP199" s="27"/>
      <x:c r="CQ199" s="27"/>
      <x:c r="CR199" s="27"/>
      <x:c r="CS199" s="27"/>
      <x:c r="CT199" s="27"/>
      <x:c r="CU199" s="27"/>
      <x:c r="CV199" s="27"/>
      <x:c r="CW199" s="27"/>
      <x:c r="CX199" s="27"/>
      <x:c r="CY199" s="27"/>
      <x:c r="CZ199" s="27"/>
      <x:c r="DA199" s="27"/>
      <x:c r="DB199" s="27"/>
      <x:c r="DC199" s="27"/>
      <x:c r="DD199" s="27"/>
      <x:c r="DE199" s="27"/>
      <x:c r="DF199" s="27"/>
      <x:c r="DG199" s="27"/>
      <x:c r="DH199" s="27"/>
      <x:c r="DI199" s="27"/>
      <x:c r="DJ199" s="27"/>
      <x:c r="DK199" s="27"/>
      <x:c r="DL199" s="27"/>
      <x:c r="DM199" s="27"/>
      <x:c r="DN199" s="27"/>
      <x:c r="DO199" s="27"/>
      <x:c r="DP199" s="27"/>
      <x:c r="DQ199" s="27"/>
      <x:c r="DR199" s="27"/>
      <x:c r="DS199" s="27"/>
      <x:c r="DT199" s="27"/>
      <x:c r="DU199" s="27"/>
      <x:c r="DV199" s="27"/>
      <x:c r="DW199" s="27"/>
      <x:c r="DX199" s="27"/>
      <x:c r="DY199" s="27"/>
      <x:c r="DZ199" s="27"/>
      <x:c r="EA199" s="27"/>
      <x:c r="EB199" s="27"/>
      <x:c r="EC199" s="27"/>
      <x:c r="ED199" s="27"/>
      <x:c r="EE199" s="27"/>
      <x:c r="EF199" s="27"/>
      <x:c r="EG199" s="27"/>
      <x:c r="EH199" s="27"/>
      <x:c r="EI199" s="27"/>
      <x:c r="EJ199" s="27"/>
      <x:c r="EK199" s="27"/>
      <x:c r="EL199" s="27"/>
      <x:c r="EM199" s="27"/>
      <x:c r="EN199" s="27"/>
      <x:c r="EO199" s="27"/>
      <x:c r="EP199" s="27"/>
      <x:c r="EQ199" s="27"/>
      <x:c r="ER199" s="27"/>
      <x:c r="ES199" s="27"/>
      <x:c r="ET199" s="27"/>
      <x:c r="EU199" s="27"/>
      <x:c r="EV199" s="27"/>
      <x:c r="EW199" s="27"/>
      <x:c r="EX199" s="27"/>
      <x:c r="EY199" s="27"/>
      <x:c r="EZ199" s="27"/>
      <x:c r="FA199" s="27"/>
      <x:c r="FB199" s="27"/>
      <x:c r="FC199" s="27"/>
      <x:c r="FD199" s="27"/>
      <x:c r="FE199" s="27"/>
      <x:c r="FF199" s="27"/>
      <x:c r="FG199" s="27"/>
      <x:c r="FH199" s="27"/>
      <x:c r="FI199" s="27"/>
      <x:c r="FJ199" s="27"/>
      <x:c r="FK199" s="27"/>
      <x:c r="FL199" s="27"/>
      <x:c r="FM199" s="27"/>
      <x:c r="FN199" s="27"/>
      <x:c r="FO199" s="27"/>
      <x:c r="FP199" s="27"/>
      <x:c r="FQ199" s="27"/>
      <x:c r="FR199" s="27"/>
      <x:c r="FS199" s="27"/>
      <x:c r="FT199" s="27"/>
      <x:c r="FU199" s="27"/>
      <x:c r="FV199" s="27"/>
      <x:c r="FW199" s="27"/>
      <x:c r="FX199" s="27"/>
      <x:c r="FY199" s="27"/>
      <x:c r="FZ199" s="27"/>
      <x:c r="GA199" s="27"/>
      <x:c r="GB199" s="27"/>
      <x:c r="GC199" s="27"/>
      <x:c r="GD199" s="27"/>
      <x:c r="GE199" s="27"/>
      <x:c r="GF199" s="27"/>
      <x:c r="GG199" s="27"/>
      <x:c r="GH199" s="27"/>
      <x:c r="GI199" s="27"/>
      <x:c r="GJ199" s="27"/>
      <x:c r="GK199" s="27"/>
      <x:c r="GL199" s="27"/>
      <x:c r="GM199" s="27"/>
      <x:c r="GN199" s="27"/>
      <x:c r="GO199" s="27"/>
      <x:c r="GP199" s="27"/>
      <x:c r="GQ199" s="27"/>
      <x:c r="GR199" s="27"/>
      <x:c r="GS199" s="27"/>
      <x:c r="GT199" s="27"/>
      <x:c r="GU199" s="27"/>
      <x:c r="GV199" s="27"/>
      <x:c r="GW199" s="27"/>
      <x:c r="GX199" s="27"/>
      <x:c r="GY199" s="27"/>
      <x:c r="GZ199" s="27"/>
      <x:c r="HA199" s="27"/>
      <x:c r="HB199" s="27"/>
      <x:c r="HC199" s="27"/>
      <x:c r="HD199" s="27"/>
      <x:c r="HE199" s="27"/>
      <x:c r="HF199" s="27"/>
      <x:c r="HG199" s="27"/>
      <x:c r="HH199" s="27"/>
      <x:c r="HI199" s="27"/>
      <x:c r="HJ199" s="27"/>
      <x:c r="HK199" s="27"/>
      <x:c r="HL199" s="27"/>
      <x:c r="HM199" s="27"/>
      <x:c r="HN199" s="27"/>
      <x:c r="HO199" s="27"/>
      <x:c r="HP199" s="27" t="str">
        <x:f>IF(C199="","",SUM(H199,N199,T199,Z199,AF199,AL199,AR199,AX199,BD199,BJ199,BP199,BV199,CB199,CH199,CN199,CT199,CZ199,DF199,DL199,DR199,DX199,ED199,EJ199,EP199,EV199,FB199,FH199,FN199,FT199,FZ199,GF199,GL199,GR199,GX199,HD199,HJ199))</x:f>
      </x:c>
      <x:c r="HQ199" s="27" t="str">
        <x:f>IF(C199="","",SUM(I199,O199,U199,AA199,AG199,AM199,AS199,AY199,BE199,BK199,BQ199,BW199,CC199,CI199,CO199,CU199,DA199,DG199,DM199,DS199,DY199,EE199,EK199,EQ199,EW199,FC199,FI199,FO199,FU199,GA199,GG199,GM199,GS199,GY199,HE199,HK199))</x:f>
      </x:c>
      <x:c r="HR199" s="27" t="str">
        <x:f>IF(C199="","",SUM(J199,P199,V199,AB199,AH199,AN199,AT199,AZ199,BF199,BL199,BR199,BX199,CD199,CJ199,CP199,CV199,DB199,DH199,DN199,DT199,DZ199,EF199,EL199,ER199,EX199,FD199,FJ199,FP199,FV199,GB199,GH199,GN199,GT199,GZ199,HF199,HL199))</x:f>
      </x:c>
      <x:c r="HS199" s="27" t="str">
        <x:f>IF(C199="","",SUM(K199,Q199,W199,AC199,AI199,AO199,AU199,BA199,BG199,BM199,BS199,BY199,CE199,CK199,CQ199,CW199,DC199,DI199,DO199,DU199,EA199,EG199,EM199,ES199,EY199,FE199,FK199,FQ199,FW199,GC199,GI199,GO199,GU199,HA199,HG199,HM199))</x:f>
      </x:c>
      <x:c r="HT199" s="27" t="str">
        <x:f>IF(C199="","",SUM(L199,R199,X199,AD199,AJ199,AP199,AV199,BB199,BH199,BN199,BT199,BZ199,CF199,CL199,CR199,CX199,DD199,DJ199,DP199,DV199,EB199,EH199,EN199,ET199,EZ199,FF199,FL199,FR199,FX199,GD199,GJ199,GP199,GV199,HB199,HH199,HN199))</x:f>
      </x:c>
      <x:c r="HU199" s="27" t="str">
        <x:f>IF(C199="","",SUM(M199,S199,Y199,AE199,AK199,AQ199,AW199,BC199,BI199,BO199,BU199,CA199,CG199,CM199,CS199,CY199,DE199,DK199,DQ199,DW199,EC199,EI199,EO199,EU199,FA199,FG199,FM199,FS199,FY199,GE199,GK199,GQ199,GW199,HC199,HI199,HO199))</x:f>
      </x:c>
      <x:c r="HV199" s="27" t="str">
        <x:f>IF(C199="","",IF(JI199=LARGE(JI199:JN199,1),"R",IF(JJ199=LARGE(JI199:JN199,1),"I",IF(JK199=LARGE(JI199:JN199,1),"A",IF(JL199=LARGE(JI199:JN199,1),"S",IF(JM199=LARGE(JI199:JN199,1),"E",IF(JN199=LARGE(JI199:JN199,1),"C",""))))))&amp;IF(JI199=LARGE(JI199:JN199,2),"R",IF(JJ199=LARGE(JI199:JN199,2),"I",IF(JK199=LARGE(JI199:JN199,2),"A",IF(JL199=LARGE(JI199:JN199,2),"S",IF(JM199=LARGE(JI199:JN199,2),"E",IF(JN199=LARGE(JI199:JN199,2),"C",""))))))&amp;IF(JI199=LARGE(JI199:JN199,3),"R",IF(JJ199=LARGE(JI199:JN199,3),"I",IF(JK199=LARGE(JI199:JN199,3),"A",IF(JL199=LARGE(JI199:JN199,3),"S",IF(JM199=LARGE(JI199:JN199,3),"E",IF(JN199=LARGE(JI199:JN199,3),"C","")))))))</x:f>
      </x:c>
      <x:c r="HW199" s="27" t="str">
        <x:f>IF(C199="","",IF(JI199=LARGE(JI199:JN199,1),"นักปฏิบัติ",IF(JJ199=LARGE(JI199:JN199,1),"นักคิดวิเคราะห์",IF(JK199=LARGE(JI199:JN199,1),"นักสร้างสรรค์",IF(JL199=LARGE(JI199:JN199,1),"ผู้เข้าใจผู้คน",IF(JM199=LARGE(JI199:JN199,1),"ผู้นำการเปลี่ยนแปลง",IF(JN199=LARGE(JI199:JN199,1),"ผู้จัดระบบ","ผู้จัดระบบ")))))))</x:f>
      </x:c>
      <x:c r="HX199" s="27"/>
      <x:c r="HY199" s="27"/>
      <x:c r="HZ199" s="27"/>
      <x:c r="IA199" s="27"/>
      <x:c r="IB199" s="27"/>
      <x:c r="IC199" s="27"/>
      <x:c r="ID199" s="27"/>
      <x:c r="IE199" s="27"/>
      <x:c r="IF199" s="27"/>
      <x:c r="IG199" s="27"/>
      <x:c r="IH199" s="27"/>
      <x:c r="II199" s="27"/>
      <x:c r="IJ199" s="27"/>
      <x:c r="IK199" s="27" t="str">
        <x:f>IF(C199="","",SUM(H199,N199,T199,Z199,AF199,AL199,AR199,AX199,BD199,BJ199,BP199))</x:f>
      </x:c>
      <x:c r="IL199" s="27" t="str">
        <x:f>IF(C199="","",SUM(I199,O199,U199,AA199,AG199,AM199,AS199,AY199,BE199,BK199,BQ199))</x:f>
      </x:c>
      <x:c r="IM199" s="27" t="str">
        <x:f>IF(C199="","",SUM(J199,P199,V199,AB199,AH199,AN199,AT199,AZ199,BF199,BL199,BR199))</x:f>
      </x:c>
      <x:c r="IN199" s="27" t="str">
        <x:f>IF(C199="","",SUM(K199,Q199,W199,AC199,AI199,AO199,AU199,BA199,BG199,BM199,BS199))</x:f>
      </x:c>
      <x:c r="IO199" s="27" t="str">
        <x:f>IF(C199="","",SUM(L199,R199,X199,AD199,AJ199,AP199,AV199,BB199,BH199,BN199,BT199))</x:f>
      </x:c>
      <x:c r="IP199" s="27" t="str">
        <x:f>IF(C199="","",SUM(M199,S199,Y199,AE199,AK199,AQ199,AW199,BC199,BI199,BO199,BU199))</x:f>
      </x:c>
      <x:c r="IQ199" s="27" t="str">
        <x:f>IF(C199="","",SUM(BV199,CB199,CH199,CN199,CT199,CZ199,DF199,DL199,DR199,DX199,ED199))</x:f>
      </x:c>
      <x:c r="IR199" s="27" t="str">
        <x:f>IF(C199="","",SUM(BW199,CC199,CI199,CO199,CU199,DA199,DG199,DM199,DS199,DY199,EE199))</x:f>
      </x:c>
      <x:c r="IS199" s="27" t="str">
        <x:f>IF(C199="","",SUM(BX199,CD199,CJ199,CP199,CV199,DB199,DH199,DN199,DT199,DZ199,EF199))</x:f>
      </x:c>
      <x:c r="IT199" s="27" t="str">
        <x:f>IF(C199="","",SUM(BY199,CE199,CK199,CQ199,CW199,DC199,DI199,DO199,DU199,EA199,EG199))</x:f>
      </x:c>
      <x:c r="IU199" s="27" t="str">
        <x:f>IF(C199="","",SUM(BZ199,CF199,CL199,CR199,CX199,DD199,DJ199,DP199,DV199,EB199,EH199))</x:f>
      </x:c>
      <x:c r="IV199" s="27" t="str">
        <x:f>IF(C199="","",SUM(CA199,CG199,CM199,CS199,CY199,DE199,DK199,DQ199,DW199,EC199,EI199))</x:f>
      </x:c>
      <x:c r="IW199" s="27" t="str">
        <x:f>IF(C199="","",SUM(EJ199,EP199,EV199,FB199,FH199,FN199,FT199,FZ199,GF199,GL199,GR199,GX199,HD199,HJ199))</x:f>
      </x:c>
      <x:c r="IX199" s="27" t="str">
        <x:f>IF(C199="","",SUM(EK199,EQ199,EW199,FC199,FI199,FO199,FU199,GA199,GG199,GM199,GS199,GY199,HE199,HK199))</x:f>
      </x:c>
      <x:c r="IY199" s="27" t="str">
        <x:f>IF(C199="","",SUM(EL199,ER199,EX199,FD199,FJ199,FP199,FV199,GB199,GH199,GN199,GT199,GZ199,HF199,HL199))</x:f>
      </x:c>
      <x:c r="IZ199" s="27" t="str">
        <x:f>IF(C199="","",SUM(EM199,ES199,EY199,FE199,FK199,FQ199,FW199,GC199,GI199,GO199,GU199,HA199,HG199,HM199))</x:f>
      </x:c>
      <x:c r="JA199" s="27" t="str">
        <x:f>IF(C199="","",SUM(EN199,ET199,EZ199,FF199,FL199,FR199,FX199,GD199,GJ199,GP199,GV199,HB199,HH199,HN199))</x:f>
      </x:c>
      <x:c r="JB199" s="27" t="str">
        <x:f>IF(C199="","",SUM(EO199,EU199,FA199,FG199,FM199,FS199,FY199,GE199,GK199,GQ199,GW199,HC199,HI199,HO199))</x:f>
      </x:c>
      <x:c r="JC199" s="27" t="str">
        <x:f>IF(C199="","",0)</x:f>
      </x:c>
      <x:c r="JD199" s="27" t="str">
        <x:f>IF(C199="","",0)</x:f>
      </x:c>
      <x:c r="JE199" s="27" t="str">
        <x:f>IF(C199="","",0)</x:f>
      </x:c>
      <x:c r="JF199" s="27" t="str">
        <x:f>IF(C199="","",0)</x:f>
      </x:c>
      <x:c r="JG199" s="27" t="str">
        <x:f>IF(C199="","",0)</x:f>
      </x:c>
      <x:c r="JH199" s="27" t="str">
        <x:f>IF(C199="","",0)</x:f>
      </x:c>
      <x:c r="JI199" s="27" t="str">
        <x:f>IF(C199="","",HP199*1000000000+IW199*1000000+IQ199*10000+IK199*100+JC199+6/1000)</x:f>
      </x:c>
      <x:c r="JJ199" s="27" t="str">
        <x:f>IF(C199="","",HQ199*1000000000+IX199*1000000+IR199*10000+IL199*100+JD199+5/1000)</x:f>
      </x:c>
      <x:c r="JK199" s="27" t="str">
        <x:f>IF(C199="","",HR199*1000000000+IY199*1000000+IS199*10000+IM199*100+JE199+4/1000)</x:f>
      </x:c>
      <x:c r="JL199" s="27" t="str">
        <x:f>IF(C199="","",HS199*1000000000+IZ199*1000000+IT199*10000+IN199*100+JF199+3/1000)</x:f>
      </x:c>
      <x:c r="JM199" s="27" t="str">
        <x:f>IF(C199="","",HT199*1000000000+JA199*1000000+IU199*10000+IO199*100+JG199+2/1000)</x:f>
      </x:c>
      <x:c r="JN199" s="27" t="str">
        <x:f>IF(C199="","",HU199*1000000000+JB199*1000000+IV199*10000+IP199*100+JH199+1/1000)</x:f>
      </x:c>
    </x:row>
    <x:row r="200">
      <x:c r="A200" s="27"/>
      <x:c r="B200" s="28"/>
      <x:c r="C200" s="27"/>
      <x:c r="D200" s="27"/>
      <x:c r="E200" s="27"/>
      <x:c r="F200" s="27"/>
      <x:c r="G200" s="27"/>
      <x:c r="H200" s="27"/>
      <x:c r="I200" s="27"/>
      <x:c r="J200" s="27"/>
      <x:c r="K200" s="27"/>
      <x:c r="L200" s="27"/>
      <x:c r="M200" s="27"/>
      <x:c r="N200" s="27"/>
      <x:c r="O200" s="27"/>
      <x:c r="P200" s="27"/>
      <x:c r="Q200" s="27"/>
      <x:c r="R200" s="27"/>
      <x:c r="S200" s="27"/>
      <x:c r="T200" s="27"/>
      <x:c r="U200" s="27"/>
      <x:c r="V200" s="27"/>
      <x:c r="W200" s="27"/>
      <x:c r="X200" s="27"/>
      <x:c r="Y200" s="27"/>
      <x:c r="Z200" s="27"/>
      <x:c r="AA200" s="27"/>
      <x:c r="AB200" s="27"/>
      <x:c r="AC200" s="27"/>
      <x:c r="AD200" s="27"/>
      <x:c r="AE200" s="27"/>
      <x:c r="AF200" s="27"/>
      <x:c r="AG200" s="27"/>
      <x:c r="AH200" s="27"/>
      <x:c r="AI200" s="27"/>
      <x:c r="AJ200" s="27"/>
      <x:c r="AK200" s="27"/>
      <x:c r="AL200" s="27"/>
      <x:c r="AM200" s="27"/>
      <x:c r="AN200" s="27"/>
      <x:c r="AO200" s="27"/>
      <x:c r="AP200" s="27"/>
      <x:c r="AQ200" s="27"/>
      <x:c r="AR200" s="27"/>
      <x:c r="AS200" s="27"/>
      <x:c r="AT200" s="27"/>
      <x:c r="AU200" s="27"/>
      <x:c r="AV200" s="27"/>
      <x:c r="AW200" s="27"/>
      <x:c r="AX200" s="27"/>
      <x:c r="AY200" s="27"/>
      <x:c r="AZ200" s="27"/>
      <x:c r="BA200" s="27"/>
      <x:c r="BB200" s="27"/>
      <x:c r="BC200" s="27"/>
      <x:c r="BD200" s="27"/>
      <x:c r="BE200" s="27"/>
      <x:c r="BF200" s="27"/>
      <x:c r="BG200" s="27"/>
      <x:c r="BH200" s="27"/>
      <x:c r="BI200" s="27"/>
      <x:c r="BJ200" s="27"/>
      <x:c r="BK200" s="27"/>
      <x:c r="BL200" s="27"/>
      <x:c r="BM200" s="27"/>
      <x:c r="BN200" s="27"/>
      <x:c r="BO200" s="27"/>
      <x:c r="BP200" s="27"/>
      <x:c r="BQ200" s="27"/>
      <x:c r="BR200" s="27"/>
      <x:c r="BS200" s="27"/>
      <x:c r="BT200" s="27"/>
      <x:c r="BU200" s="27"/>
      <x:c r="BV200" s="27"/>
      <x:c r="BW200" s="27"/>
      <x:c r="BX200" s="27"/>
      <x:c r="BY200" s="27"/>
      <x:c r="BZ200" s="27"/>
      <x:c r="CA200" s="27"/>
      <x:c r="CB200" s="27"/>
      <x:c r="CC200" s="27"/>
      <x:c r="CD200" s="27"/>
      <x:c r="CE200" s="27"/>
      <x:c r="CF200" s="27"/>
      <x:c r="CG200" s="27"/>
      <x:c r="CH200" s="27"/>
      <x:c r="CI200" s="27"/>
      <x:c r="CJ200" s="27"/>
      <x:c r="CK200" s="27"/>
      <x:c r="CL200" s="27"/>
      <x:c r="CM200" s="27"/>
      <x:c r="CN200" s="27"/>
      <x:c r="CO200" s="27"/>
      <x:c r="CP200" s="27"/>
      <x:c r="CQ200" s="27"/>
      <x:c r="CR200" s="27"/>
      <x:c r="CS200" s="27"/>
      <x:c r="CT200" s="27"/>
      <x:c r="CU200" s="27"/>
      <x:c r="CV200" s="27"/>
      <x:c r="CW200" s="27"/>
      <x:c r="CX200" s="27"/>
      <x:c r="CY200" s="27"/>
      <x:c r="CZ200" s="27"/>
      <x:c r="DA200" s="27"/>
      <x:c r="DB200" s="27"/>
      <x:c r="DC200" s="27"/>
      <x:c r="DD200" s="27"/>
      <x:c r="DE200" s="27"/>
      <x:c r="DF200" s="27"/>
      <x:c r="DG200" s="27"/>
      <x:c r="DH200" s="27"/>
      <x:c r="DI200" s="27"/>
      <x:c r="DJ200" s="27"/>
      <x:c r="DK200" s="27"/>
      <x:c r="DL200" s="27"/>
      <x:c r="DM200" s="27"/>
      <x:c r="DN200" s="27"/>
      <x:c r="DO200" s="27"/>
      <x:c r="DP200" s="27"/>
      <x:c r="DQ200" s="27"/>
      <x:c r="DR200" s="27"/>
      <x:c r="DS200" s="27"/>
      <x:c r="DT200" s="27"/>
      <x:c r="DU200" s="27"/>
      <x:c r="DV200" s="27"/>
      <x:c r="DW200" s="27"/>
      <x:c r="DX200" s="27"/>
      <x:c r="DY200" s="27"/>
      <x:c r="DZ200" s="27"/>
      <x:c r="EA200" s="27"/>
      <x:c r="EB200" s="27"/>
      <x:c r="EC200" s="27"/>
      <x:c r="ED200" s="27"/>
      <x:c r="EE200" s="27"/>
      <x:c r="EF200" s="27"/>
      <x:c r="EG200" s="27"/>
      <x:c r="EH200" s="27"/>
      <x:c r="EI200" s="27"/>
      <x:c r="EJ200" s="27"/>
      <x:c r="EK200" s="27"/>
      <x:c r="EL200" s="27"/>
      <x:c r="EM200" s="27"/>
      <x:c r="EN200" s="27"/>
      <x:c r="EO200" s="27"/>
      <x:c r="EP200" s="27"/>
      <x:c r="EQ200" s="27"/>
      <x:c r="ER200" s="27"/>
      <x:c r="ES200" s="27"/>
      <x:c r="ET200" s="27"/>
      <x:c r="EU200" s="27"/>
      <x:c r="EV200" s="27"/>
      <x:c r="EW200" s="27"/>
      <x:c r="EX200" s="27"/>
      <x:c r="EY200" s="27"/>
      <x:c r="EZ200" s="27"/>
      <x:c r="FA200" s="27"/>
      <x:c r="FB200" s="27"/>
      <x:c r="FC200" s="27"/>
      <x:c r="FD200" s="27"/>
      <x:c r="FE200" s="27"/>
      <x:c r="FF200" s="27"/>
      <x:c r="FG200" s="27"/>
      <x:c r="FH200" s="27"/>
      <x:c r="FI200" s="27"/>
      <x:c r="FJ200" s="27"/>
      <x:c r="FK200" s="27"/>
      <x:c r="FL200" s="27"/>
      <x:c r="FM200" s="27"/>
      <x:c r="FN200" s="27"/>
      <x:c r="FO200" s="27"/>
      <x:c r="FP200" s="27"/>
      <x:c r="FQ200" s="27"/>
      <x:c r="FR200" s="27"/>
      <x:c r="FS200" s="27"/>
      <x:c r="FT200" s="27"/>
      <x:c r="FU200" s="27"/>
      <x:c r="FV200" s="27"/>
      <x:c r="FW200" s="27"/>
      <x:c r="FX200" s="27"/>
      <x:c r="FY200" s="27"/>
      <x:c r="FZ200" s="27"/>
      <x:c r="GA200" s="27"/>
      <x:c r="GB200" s="27"/>
      <x:c r="GC200" s="27"/>
      <x:c r="GD200" s="27"/>
      <x:c r="GE200" s="27"/>
      <x:c r="GF200" s="27"/>
      <x:c r="GG200" s="27"/>
      <x:c r="GH200" s="27"/>
      <x:c r="GI200" s="27"/>
      <x:c r="GJ200" s="27"/>
      <x:c r="GK200" s="27"/>
      <x:c r="GL200" s="27"/>
      <x:c r="GM200" s="27"/>
      <x:c r="GN200" s="27"/>
      <x:c r="GO200" s="27"/>
      <x:c r="GP200" s="27"/>
      <x:c r="GQ200" s="27"/>
      <x:c r="GR200" s="27"/>
      <x:c r="GS200" s="27"/>
      <x:c r="GT200" s="27"/>
      <x:c r="GU200" s="27"/>
      <x:c r="GV200" s="27"/>
      <x:c r="GW200" s="27"/>
      <x:c r="GX200" s="27"/>
      <x:c r="GY200" s="27"/>
      <x:c r="GZ200" s="27"/>
      <x:c r="HA200" s="27"/>
      <x:c r="HB200" s="27"/>
      <x:c r="HC200" s="27"/>
      <x:c r="HD200" s="27"/>
      <x:c r="HE200" s="27"/>
      <x:c r="HF200" s="27"/>
      <x:c r="HG200" s="27"/>
      <x:c r="HH200" s="27"/>
      <x:c r="HI200" s="27"/>
      <x:c r="HJ200" s="27"/>
      <x:c r="HK200" s="27"/>
      <x:c r="HL200" s="27"/>
      <x:c r="HM200" s="27"/>
      <x:c r="HN200" s="27"/>
      <x:c r="HO200" s="27"/>
      <x:c r="HP200" s="27" t="str">
        <x:f>IF(C200="","",SUM(H200,N200,T200,Z200,AF200,AL200,AR200,AX200,BD200,BJ200,BP200,BV200,CB200,CH200,CN200,CT200,CZ200,DF200,DL200,DR200,DX200,ED200,EJ200,EP200,EV200,FB200,FH200,FN200,FT200,FZ200,GF200,GL200,GR200,GX200,HD200,HJ200))</x:f>
      </x:c>
      <x:c r="HQ200" s="27" t="str">
        <x:f>IF(C200="","",SUM(I200,O200,U200,AA200,AG200,AM200,AS200,AY200,BE200,BK200,BQ200,BW200,CC200,CI200,CO200,CU200,DA200,DG200,DM200,DS200,DY200,EE200,EK200,EQ200,EW200,FC200,FI200,FO200,FU200,GA200,GG200,GM200,GS200,GY200,HE200,HK200))</x:f>
      </x:c>
      <x:c r="HR200" s="27" t="str">
        <x:f>IF(C200="","",SUM(J200,P200,V200,AB200,AH200,AN200,AT200,AZ200,BF200,BL200,BR200,BX200,CD200,CJ200,CP200,CV200,DB200,DH200,DN200,DT200,DZ200,EF200,EL200,ER200,EX200,FD200,FJ200,FP200,FV200,GB200,GH200,GN200,GT200,GZ200,HF200,HL200))</x:f>
      </x:c>
      <x:c r="HS200" s="27" t="str">
        <x:f>IF(C200="","",SUM(K200,Q200,W200,AC200,AI200,AO200,AU200,BA200,BG200,BM200,BS200,BY200,CE200,CK200,CQ200,CW200,DC200,DI200,DO200,DU200,EA200,EG200,EM200,ES200,EY200,FE200,FK200,FQ200,FW200,GC200,GI200,GO200,GU200,HA200,HG200,HM200))</x:f>
      </x:c>
      <x:c r="HT200" s="27" t="str">
        <x:f>IF(C200="","",SUM(L200,R200,X200,AD200,AJ200,AP200,AV200,BB200,BH200,BN200,BT200,BZ200,CF200,CL200,CR200,CX200,DD200,DJ200,DP200,DV200,EB200,EH200,EN200,ET200,EZ200,FF200,FL200,FR200,FX200,GD200,GJ200,GP200,GV200,HB200,HH200,HN200))</x:f>
      </x:c>
      <x:c r="HU200" s="27" t="str">
        <x:f>IF(C200="","",SUM(M200,S200,Y200,AE200,AK200,AQ200,AW200,BC200,BI200,BO200,BU200,CA200,CG200,CM200,CS200,CY200,DE200,DK200,DQ200,DW200,EC200,EI200,EO200,EU200,FA200,FG200,FM200,FS200,FY200,GE200,GK200,GQ200,GW200,HC200,HI200,HO200))</x:f>
      </x:c>
      <x:c r="HV200" s="27" t="str">
        <x:f>IF(C200="","",IF(JI200=LARGE(JI200:JN200,1),"R",IF(JJ200=LARGE(JI200:JN200,1),"I",IF(JK200=LARGE(JI200:JN200,1),"A",IF(JL200=LARGE(JI200:JN200,1),"S",IF(JM200=LARGE(JI200:JN200,1),"E",IF(JN200=LARGE(JI200:JN200,1),"C",""))))))&amp;IF(JI200=LARGE(JI200:JN200,2),"R",IF(JJ200=LARGE(JI200:JN200,2),"I",IF(JK200=LARGE(JI200:JN200,2),"A",IF(JL200=LARGE(JI200:JN200,2),"S",IF(JM200=LARGE(JI200:JN200,2),"E",IF(JN200=LARGE(JI200:JN200,2),"C",""))))))&amp;IF(JI200=LARGE(JI200:JN200,3),"R",IF(JJ200=LARGE(JI200:JN200,3),"I",IF(JK200=LARGE(JI200:JN200,3),"A",IF(JL200=LARGE(JI200:JN200,3),"S",IF(JM200=LARGE(JI200:JN200,3),"E",IF(JN200=LARGE(JI200:JN200,3),"C","")))))))</x:f>
      </x:c>
      <x:c r="HW200" s="27" t="str">
        <x:f>IF(C200="","",IF(JI200=LARGE(JI200:JN200,1),"นักปฏิบัติ",IF(JJ200=LARGE(JI200:JN200,1),"นักคิดวิเคราะห์",IF(JK200=LARGE(JI200:JN200,1),"นักสร้างสรรค์",IF(JL200=LARGE(JI200:JN200,1),"ผู้เข้าใจผู้คน",IF(JM200=LARGE(JI200:JN200,1),"ผู้นำการเปลี่ยนแปลง",IF(JN200=LARGE(JI200:JN200,1),"ผู้จัดระบบ","ผู้จัดระบบ")))))))</x:f>
      </x:c>
      <x:c r="HX200" s="27"/>
      <x:c r="HY200" s="27"/>
      <x:c r="HZ200" s="27"/>
      <x:c r="IA200" s="27"/>
      <x:c r="IB200" s="27"/>
      <x:c r="IC200" s="27"/>
      <x:c r="ID200" s="27"/>
      <x:c r="IE200" s="27"/>
      <x:c r="IF200" s="27"/>
      <x:c r="IG200" s="27"/>
      <x:c r="IH200" s="27"/>
      <x:c r="II200" s="27"/>
      <x:c r="IJ200" s="27"/>
      <x:c r="IK200" s="27" t="str">
        <x:f>IF(C200="","",SUM(H200,N200,T200,Z200,AF200,AL200,AR200,AX200,BD200,BJ200,BP200))</x:f>
      </x:c>
      <x:c r="IL200" s="27" t="str">
        <x:f>IF(C200="","",SUM(I200,O200,U200,AA200,AG200,AM200,AS200,AY200,BE200,BK200,BQ200))</x:f>
      </x:c>
      <x:c r="IM200" s="27" t="str">
        <x:f>IF(C200="","",SUM(J200,P200,V200,AB200,AH200,AN200,AT200,AZ200,BF200,BL200,BR200))</x:f>
      </x:c>
      <x:c r="IN200" s="27" t="str">
        <x:f>IF(C200="","",SUM(K200,Q200,W200,AC200,AI200,AO200,AU200,BA200,BG200,BM200,BS200))</x:f>
      </x:c>
      <x:c r="IO200" s="27" t="str">
        <x:f>IF(C200="","",SUM(L200,R200,X200,AD200,AJ200,AP200,AV200,BB200,BH200,BN200,BT200))</x:f>
      </x:c>
      <x:c r="IP200" s="27" t="str">
        <x:f>IF(C200="","",SUM(M200,S200,Y200,AE200,AK200,AQ200,AW200,BC200,BI200,BO200,BU200))</x:f>
      </x:c>
      <x:c r="IQ200" s="27" t="str">
        <x:f>IF(C200="","",SUM(BV200,CB200,CH200,CN200,CT200,CZ200,DF200,DL200,DR200,DX200,ED200))</x:f>
      </x:c>
      <x:c r="IR200" s="27" t="str">
        <x:f>IF(C200="","",SUM(BW200,CC200,CI200,CO200,CU200,DA200,DG200,DM200,DS200,DY200,EE200))</x:f>
      </x:c>
      <x:c r="IS200" s="27" t="str">
        <x:f>IF(C200="","",SUM(BX200,CD200,CJ200,CP200,CV200,DB200,DH200,DN200,DT200,DZ200,EF200))</x:f>
      </x:c>
      <x:c r="IT200" s="27" t="str">
        <x:f>IF(C200="","",SUM(BY200,CE200,CK200,CQ200,CW200,DC200,DI200,DO200,DU200,EA200,EG200))</x:f>
      </x:c>
      <x:c r="IU200" s="27" t="str">
        <x:f>IF(C200="","",SUM(BZ200,CF200,CL200,CR200,CX200,DD200,DJ200,DP200,DV200,EB200,EH200))</x:f>
      </x:c>
      <x:c r="IV200" s="27" t="str">
        <x:f>IF(C200="","",SUM(CA200,CG200,CM200,CS200,CY200,DE200,DK200,DQ200,DW200,EC200,EI200))</x:f>
      </x:c>
      <x:c r="IW200" s="27" t="str">
        <x:f>IF(C200="","",SUM(EJ200,EP200,EV200,FB200,FH200,FN200,FT200,FZ200,GF200,GL200,GR200,GX200,HD200,HJ200))</x:f>
      </x:c>
      <x:c r="IX200" s="27" t="str">
        <x:f>IF(C200="","",SUM(EK200,EQ200,EW200,FC200,FI200,FO200,FU200,GA200,GG200,GM200,GS200,GY200,HE200,HK200))</x:f>
      </x:c>
      <x:c r="IY200" s="27" t="str">
        <x:f>IF(C200="","",SUM(EL200,ER200,EX200,FD200,FJ200,FP200,FV200,GB200,GH200,GN200,GT200,GZ200,HF200,HL200))</x:f>
      </x:c>
      <x:c r="IZ200" s="27" t="str">
        <x:f>IF(C200="","",SUM(EM200,ES200,EY200,FE200,FK200,FQ200,FW200,GC200,GI200,GO200,GU200,HA200,HG200,HM200))</x:f>
      </x:c>
      <x:c r="JA200" s="27" t="str">
        <x:f>IF(C200="","",SUM(EN200,ET200,EZ200,FF200,FL200,FR200,FX200,GD200,GJ200,GP200,GV200,HB200,HH200,HN200))</x:f>
      </x:c>
      <x:c r="JB200" s="27" t="str">
        <x:f>IF(C200="","",SUM(EO200,EU200,FA200,FG200,FM200,FS200,FY200,GE200,GK200,GQ200,GW200,HC200,HI200,HO200))</x:f>
      </x:c>
      <x:c r="JC200" s="27" t="str">
        <x:f>IF(C200="","",0)</x:f>
      </x:c>
      <x:c r="JD200" s="27" t="str">
        <x:f>IF(C200="","",0)</x:f>
      </x:c>
      <x:c r="JE200" s="27" t="str">
        <x:f>IF(C200="","",0)</x:f>
      </x:c>
      <x:c r="JF200" s="27" t="str">
        <x:f>IF(C200="","",0)</x:f>
      </x:c>
      <x:c r="JG200" s="27" t="str">
        <x:f>IF(C200="","",0)</x:f>
      </x:c>
      <x:c r="JH200" s="27" t="str">
        <x:f>IF(C200="","",0)</x:f>
      </x:c>
      <x:c r="JI200" s="27" t="str">
        <x:f>IF(C200="","",HP200*1000000000+IW200*1000000+IQ200*10000+IK200*100+JC200+6/1000)</x:f>
      </x:c>
      <x:c r="JJ200" s="27" t="str">
        <x:f>IF(C200="","",HQ200*1000000000+IX200*1000000+IR200*10000+IL200*100+JD200+5/1000)</x:f>
      </x:c>
      <x:c r="JK200" s="27" t="str">
        <x:f>IF(C200="","",HR200*1000000000+IY200*1000000+IS200*10000+IM200*100+JE200+4/1000)</x:f>
      </x:c>
      <x:c r="JL200" s="27" t="str">
        <x:f>IF(C200="","",HS200*1000000000+IZ200*1000000+IT200*10000+IN200*100+JF200+3/1000)</x:f>
      </x:c>
      <x:c r="JM200" s="27" t="str">
        <x:f>IF(C200="","",HT200*1000000000+JA200*1000000+IU200*10000+IO200*100+JG200+2/1000)</x:f>
      </x:c>
      <x:c r="JN200" s="27" t="str">
        <x:f>IF(C200="","",HU200*1000000000+JB200*1000000+IV200*10000+IP200*100+JH200+1/1000)</x:f>
      </x:c>
    </x:row>
    <x:row r="201">
      <x:c r="A201" s="27"/>
      <x:c r="B201" s="28"/>
      <x:c r="C201" s="27"/>
      <x:c r="D201" s="27"/>
      <x:c r="E201" s="27"/>
      <x:c r="F201" s="27"/>
      <x:c r="G201" s="27"/>
      <x:c r="H201" s="27"/>
      <x:c r="I201" s="27"/>
      <x:c r="J201" s="27"/>
      <x:c r="K201" s="27"/>
      <x:c r="L201" s="27"/>
      <x:c r="M201" s="27"/>
      <x:c r="N201" s="27"/>
      <x:c r="O201" s="27"/>
      <x:c r="P201" s="27"/>
      <x:c r="Q201" s="27"/>
      <x:c r="R201" s="27"/>
      <x:c r="S201" s="27"/>
      <x:c r="T201" s="27"/>
      <x:c r="U201" s="27"/>
      <x:c r="V201" s="27"/>
      <x:c r="W201" s="27"/>
      <x:c r="X201" s="27"/>
      <x:c r="Y201" s="27"/>
      <x:c r="Z201" s="27"/>
      <x:c r="AA201" s="27"/>
      <x:c r="AB201" s="27"/>
      <x:c r="AC201" s="27"/>
      <x:c r="AD201" s="27"/>
      <x:c r="AE201" s="27"/>
      <x:c r="AF201" s="27"/>
      <x:c r="AG201" s="27"/>
      <x:c r="AH201" s="27"/>
      <x:c r="AI201" s="27"/>
      <x:c r="AJ201" s="27"/>
      <x:c r="AK201" s="27"/>
      <x:c r="AL201" s="27"/>
      <x:c r="AM201" s="27"/>
      <x:c r="AN201" s="27"/>
      <x:c r="AO201" s="27"/>
      <x:c r="AP201" s="27"/>
      <x:c r="AQ201" s="27"/>
      <x:c r="AR201" s="27"/>
      <x:c r="AS201" s="27"/>
      <x:c r="AT201" s="27"/>
      <x:c r="AU201" s="27"/>
      <x:c r="AV201" s="27"/>
      <x:c r="AW201" s="27"/>
      <x:c r="AX201" s="27"/>
      <x:c r="AY201" s="27"/>
      <x:c r="AZ201" s="27"/>
      <x:c r="BA201" s="27"/>
      <x:c r="BB201" s="27"/>
      <x:c r="BC201" s="27"/>
      <x:c r="BD201" s="27"/>
      <x:c r="BE201" s="27"/>
      <x:c r="BF201" s="27"/>
      <x:c r="BG201" s="27"/>
      <x:c r="BH201" s="27"/>
      <x:c r="BI201" s="27"/>
      <x:c r="BJ201" s="27"/>
      <x:c r="BK201" s="27"/>
      <x:c r="BL201" s="27"/>
      <x:c r="BM201" s="27"/>
      <x:c r="BN201" s="27"/>
      <x:c r="BO201" s="27"/>
      <x:c r="BP201" s="27"/>
      <x:c r="BQ201" s="27"/>
      <x:c r="BR201" s="27"/>
      <x:c r="BS201" s="27"/>
      <x:c r="BT201" s="27"/>
      <x:c r="BU201" s="27"/>
      <x:c r="BV201" s="27"/>
      <x:c r="BW201" s="27"/>
      <x:c r="BX201" s="27"/>
      <x:c r="BY201" s="27"/>
      <x:c r="BZ201" s="27"/>
      <x:c r="CA201" s="27"/>
      <x:c r="CB201" s="27"/>
      <x:c r="CC201" s="27"/>
      <x:c r="CD201" s="27"/>
      <x:c r="CE201" s="27"/>
      <x:c r="CF201" s="27"/>
      <x:c r="CG201" s="27"/>
      <x:c r="CH201" s="27"/>
      <x:c r="CI201" s="27"/>
      <x:c r="CJ201" s="27"/>
      <x:c r="CK201" s="27"/>
      <x:c r="CL201" s="27"/>
      <x:c r="CM201" s="27"/>
      <x:c r="CN201" s="27"/>
      <x:c r="CO201" s="27"/>
      <x:c r="CP201" s="27"/>
      <x:c r="CQ201" s="27"/>
      <x:c r="CR201" s="27"/>
      <x:c r="CS201" s="27"/>
      <x:c r="CT201" s="27"/>
      <x:c r="CU201" s="27"/>
      <x:c r="CV201" s="27"/>
      <x:c r="CW201" s="27"/>
      <x:c r="CX201" s="27"/>
      <x:c r="CY201" s="27"/>
      <x:c r="CZ201" s="27"/>
      <x:c r="DA201" s="27"/>
      <x:c r="DB201" s="27"/>
      <x:c r="DC201" s="27"/>
      <x:c r="DD201" s="27"/>
      <x:c r="DE201" s="27"/>
      <x:c r="DF201" s="27"/>
      <x:c r="DG201" s="27"/>
      <x:c r="DH201" s="27"/>
      <x:c r="DI201" s="27"/>
      <x:c r="DJ201" s="27"/>
      <x:c r="DK201" s="27"/>
      <x:c r="DL201" s="27"/>
      <x:c r="DM201" s="27"/>
      <x:c r="DN201" s="27"/>
      <x:c r="DO201" s="27"/>
      <x:c r="DP201" s="27"/>
      <x:c r="DQ201" s="27"/>
      <x:c r="DR201" s="27"/>
      <x:c r="DS201" s="27"/>
      <x:c r="DT201" s="27"/>
      <x:c r="DU201" s="27"/>
      <x:c r="DV201" s="27"/>
      <x:c r="DW201" s="27"/>
      <x:c r="DX201" s="27"/>
      <x:c r="DY201" s="27"/>
      <x:c r="DZ201" s="27"/>
      <x:c r="EA201" s="27"/>
      <x:c r="EB201" s="27"/>
      <x:c r="EC201" s="27"/>
      <x:c r="ED201" s="27"/>
      <x:c r="EE201" s="27"/>
      <x:c r="EF201" s="27"/>
      <x:c r="EG201" s="27"/>
      <x:c r="EH201" s="27"/>
      <x:c r="EI201" s="27"/>
      <x:c r="EJ201" s="27"/>
      <x:c r="EK201" s="27"/>
      <x:c r="EL201" s="27"/>
      <x:c r="EM201" s="27"/>
      <x:c r="EN201" s="27"/>
      <x:c r="EO201" s="27"/>
      <x:c r="EP201" s="27"/>
      <x:c r="EQ201" s="27"/>
      <x:c r="ER201" s="27"/>
      <x:c r="ES201" s="27"/>
      <x:c r="ET201" s="27"/>
      <x:c r="EU201" s="27"/>
      <x:c r="EV201" s="27"/>
      <x:c r="EW201" s="27"/>
      <x:c r="EX201" s="27"/>
      <x:c r="EY201" s="27"/>
      <x:c r="EZ201" s="27"/>
      <x:c r="FA201" s="27"/>
      <x:c r="FB201" s="27"/>
      <x:c r="FC201" s="27"/>
      <x:c r="FD201" s="27"/>
      <x:c r="FE201" s="27"/>
      <x:c r="FF201" s="27"/>
      <x:c r="FG201" s="27"/>
      <x:c r="FH201" s="27"/>
      <x:c r="FI201" s="27"/>
      <x:c r="FJ201" s="27"/>
      <x:c r="FK201" s="27"/>
      <x:c r="FL201" s="27"/>
      <x:c r="FM201" s="27"/>
      <x:c r="FN201" s="27"/>
      <x:c r="FO201" s="27"/>
      <x:c r="FP201" s="27"/>
      <x:c r="FQ201" s="27"/>
      <x:c r="FR201" s="27"/>
      <x:c r="FS201" s="27"/>
      <x:c r="FT201" s="27"/>
      <x:c r="FU201" s="27"/>
      <x:c r="FV201" s="27"/>
      <x:c r="FW201" s="27"/>
      <x:c r="FX201" s="27"/>
      <x:c r="FY201" s="27"/>
      <x:c r="FZ201" s="27"/>
      <x:c r="GA201" s="27"/>
      <x:c r="GB201" s="27"/>
      <x:c r="GC201" s="27"/>
      <x:c r="GD201" s="27"/>
      <x:c r="GE201" s="27"/>
      <x:c r="GF201" s="27"/>
      <x:c r="GG201" s="27"/>
      <x:c r="GH201" s="27"/>
      <x:c r="GI201" s="27"/>
      <x:c r="GJ201" s="27"/>
      <x:c r="GK201" s="27"/>
      <x:c r="GL201" s="27"/>
      <x:c r="GM201" s="27"/>
      <x:c r="GN201" s="27"/>
      <x:c r="GO201" s="27"/>
      <x:c r="GP201" s="27"/>
      <x:c r="GQ201" s="27"/>
      <x:c r="GR201" s="27"/>
      <x:c r="GS201" s="27"/>
      <x:c r="GT201" s="27"/>
      <x:c r="GU201" s="27"/>
      <x:c r="GV201" s="27"/>
      <x:c r="GW201" s="27"/>
      <x:c r="GX201" s="27"/>
      <x:c r="GY201" s="27"/>
      <x:c r="GZ201" s="27"/>
      <x:c r="HA201" s="27"/>
      <x:c r="HB201" s="27"/>
      <x:c r="HC201" s="27"/>
      <x:c r="HD201" s="27"/>
      <x:c r="HE201" s="27"/>
      <x:c r="HF201" s="27"/>
      <x:c r="HG201" s="27"/>
      <x:c r="HH201" s="27"/>
      <x:c r="HI201" s="27"/>
      <x:c r="HJ201" s="27"/>
      <x:c r="HK201" s="27"/>
      <x:c r="HL201" s="27"/>
      <x:c r="HM201" s="27"/>
      <x:c r="HN201" s="27"/>
      <x:c r="HO201" s="27"/>
      <x:c r="HP201" s="27" t="str">
        <x:f>IF(C201="","",SUM(H201,N201,T201,Z201,AF201,AL201,AR201,AX201,BD201,BJ201,BP201,BV201,CB201,CH201,CN201,CT201,CZ201,DF201,DL201,DR201,DX201,ED201,EJ201,EP201,EV201,FB201,FH201,FN201,FT201,FZ201,GF201,GL201,GR201,GX201,HD201,HJ201))</x:f>
      </x:c>
      <x:c r="HQ201" s="27" t="str">
        <x:f>IF(C201="","",SUM(I201,O201,U201,AA201,AG201,AM201,AS201,AY201,BE201,BK201,BQ201,BW201,CC201,CI201,CO201,CU201,DA201,DG201,DM201,DS201,DY201,EE201,EK201,EQ201,EW201,FC201,FI201,FO201,FU201,GA201,GG201,GM201,GS201,GY201,HE201,HK201))</x:f>
      </x:c>
      <x:c r="HR201" s="27" t="str">
        <x:f>IF(C201="","",SUM(J201,P201,V201,AB201,AH201,AN201,AT201,AZ201,BF201,BL201,BR201,BX201,CD201,CJ201,CP201,CV201,DB201,DH201,DN201,DT201,DZ201,EF201,EL201,ER201,EX201,FD201,FJ201,FP201,FV201,GB201,GH201,GN201,GT201,GZ201,HF201,HL201))</x:f>
      </x:c>
      <x:c r="HS201" s="27" t="str">
        <x:f>IF(C201="","",SUM(K201,Q201,W201,AC201,AI201,AO201,AU201,BA201,BG201,BM201,BS201,BY201,CE201,CK201,CQ201,CW201,DC201,DI201,DO201,DU201,EA201,EG201,EM201,ES201,EY201,FE201,FK201,FQ201,FW201,GC201,GI201,GO201,GU201,HA201,HG201,HM201))</x:f>
      </x:c>
      <x:c r="HT201" s="27" t="str">
        <x:f>IF(C201="","",SUM(L201,R201,X201,AD201,AJ201,AP201,AV201,BB201,BH201,BN201,BT201,BZ201,CF201,CL201,CR201,CX201,DD201,DJ201,DP201,DV201,EB201,EH201,EN201,ET201,EZ201,FF201,FL201,FR201,FX201,GD201,GJ201,GP201,GV201,HB201,HH201,HN201))</x:f>
      </x:c>
      <x:c r="HU201" s="27" t="str">
        <x:f>IF(C201="","",SUM(M201,S201,Y201,AE201,AK201,AQ201,AW201,BC201,BI201,BO201,BU201,CA201,CG201,CM201,CS201,CY201,DE201,DK201,DQ201,DW201,EC201,EI201,EO201,EU201,FA201,FG201,FM201,FS201,FY201,GE201,GK201,GQ201,GW201,HC201,HI201,HO201))</x:f>
      </x:c>
      <x:c r="HV201" s="27" t="str">
        <x:f>IF(C201="","",IF(JI201=LARGE(JI201:JN201,1),"R",IF(JJ201=LARGE(JI201:JN201,1),"I",IF(JK201=LARGE(JI201:JN201,1),"A",IF(JL201=LARGE(JI201:JN201,1),"S",IF(JM201=LARGE(JI201:JN201,1),"E",IF(JN201=LARGE(JI201:JN201,1),"C",""))))))&amp;IF(JI201=LARGE(JI201:JN201,2),"R",IF(JJ201=LARGE(JI201:JN201,2),"I",IF(JK201=LARGE(JI201:JN201,2),"A",IF(JL201=LARGE(JI201:JN201,2),"S",IF(JM201=LARGE(JI201:JN201,2),"E",IF(JN201=LARGE(JI201:JN201,2),"C",""))))))&amp;IF(JI201=LARGE(JI201:JN201,3),"R",IF(JJ201=LARGE(JI201:JN201,3),"I",IF(JK201=LARGE(JI201:JN201,3),"A",IF(JL201=LARGE(JI201:JN201,3),"S",IF(JM201=LARGE(JI201:JN201,3),"E",IF(JN201=LARGE(JI201:JN201,3),"C","")))))))</x:f>
      </x:c>
      <x:c r="HW201" s="27" t="str">
        <x:f>IF(C201="","",IF(JI201=LARGE(JI201:JN201,1),"นักปฏิบัติ",IF(JJ201=LARGE(JI201:JN201,1),"นักคิดวิเคราะห์",IF(JK201=LARGE(JI201:JN201,1),"นักสร้างสรรค์",IF(JL201=LARGE(JI201:JN201,1),"ผู้เข้าใจผู้คน",IF(JM201=LARGE(JI201:JN201,1),"ผู้นำการเปลี่ยนแปลง",IF(JN201=LARGE(JI201:JN201,1),"ผู้จัดระบบ","ผู้จัดระบบ")))))))</x:f>
      </x:c>
      <x:c r="HX201" s="27"/>
      <x:c r="HY201" s="27"/>
      <x:c r="HZ201" s="27"/>
      <x:c r="IA201" s="27"/>
      <x:c r="IB201" s="27"/>
      <x:c r="IC201" s="27"/>
      <x:c r="ID201" s="27"/>
      <x:c r="IE201" s="27"/>
      <x:c r="IF201" s="27"/>
      <x:c r="IG201" s="27"/>
      <x:c r="IH201" s="27"/>
      <x:c r="II201" s="27"/>
      <x:c r="IJ201" s="27"/>
      <x:c r="IK201" s="27" t="str">
        <x:f>IF(C201="","",SUM(H201,N201,T201,Z201,AF201,AL201,AR201,AX201,BD201,BJ201,BP201))</x:f>
      </x:c>
      <x:c r="IL201" s="27" t="str">
        <x:f>IF(C201="","",SUM(I201,O201,U201,AA201,AG201,AM201,AS201,AY201,BE201,BK201,BQ201))</x:f>
      </x:c>
      <x:c r="IM201" s="27" t="str">
        <x:f>IF(C201="","",SUM(J201,P201,V201,AB201,AH201,AN201,AT201,AZ201,BF201,BL201,BR201))</x:f>
      </x:c>
      <x:c r="IN201" s="27" t="str">
        <x:f>IF(C201="","",SUM(K201,Q201,W201,AC201,AI201,AO201,AU201,BA201,BG201,BM201,BS201))</x:f>
      </x:c>
      <x:c r="IO201" s="27" t="str">
        <x:f>IF(C201="","",SUM(L201,R201,X201,AD201,AJ201,AP201,AV201,BB201,BH201,BN201,BT201))</x:f>
      </x:c>
      <x:c r="IP201" s="27" t="str">
        <x:f>IF(C201="","",SUM(M201,S201,Y201,AE201,AK201,AQ201,AW201,BC201,BI201,BO201,BU201))</x:f>
      </x:c>
      <x:c r="IQ201" s="27" t="str">
        <x:f>IF(C201="","",SUM(BV201,CB201,CH201,CN201,CT201,CZ201,DF201,DL201,DR201,DX201,ED201))</x:f>
      </x:c>
      <x:c r="IR201" s="27" t="str">
        <x:f>IF(C201="","",SUM(BW201,CC201,CI201,CO201,CU201,DA201,DG201,DM201,DS201,DY201,EE201))</x:f>
      </x:c>
      <x:c r="IS201" s="27" t="str">
        <x:f>IF(C201="","",SUM(BX201,CD201,CJ201,CP201,CV201,DB201,DH201,DN201,DT201,DZ201,EF201))</x:f>
      </x:c>
      <x:c r="IT201" s="27" t="str">
        <x:f>IF(C201="","",SUM(BY201,CE201,CK201,CQ201,CW201,DC201,DI201,DO201,DU201,EA201,EG201))</x:f>
      </x:c>
      <x:c r="IU201" s="27" t="str">
        <x:f>IF(C201="","",SUM(BZ201,CF201,CL201,CR201,CX201,DD201,DJ201,DP201,DV201,EB201,EH201))</x:f>
      </x:c>
      <x:c r="IV201" s="27" t="str">
        <x:f>IF(C201="","",SUM(CA201,CG201,CM201,CS201,CY201,DE201,DK201,DQ201,DW201,EC201,EI201))</x:f>
      </x:c>
      <x:c r="IW201" s="27" t="str">
        <x:f>IF(C201="","",SUM(EJ201,EP201,EV201,FB201,FH201,FN201,FT201,FZ201,GF201,GL201,GR201,GX201,HD201,HJ201))</x:f>
      </x:c>
      <x:c r="IX201" s="27" t="str">
        <x:f>IF(C201="","",SUM(EK201,EQ201,EW201,FC201,FI201,FO201,FU201,GA201,GG201,GM201,GS201,GY201,HE201,HK201))</x:f>
      </x:c>
      <x:c r="IY201" s="27" t="str">
        <x:f>IF(C201="","",SUM(EL201,ER201,EX201,FD201,FJ201,FP201,FV201,GB201,GH201,GN201,GT201,GZ201,HF201,HL201))</x:f>
      </x:c>
      <x:c r="IZ201" s="27" t="str">
        <x:f>IF(C201="","",SUM(EM201,ES201,EY201,FE201,FK201,FQ201,FW201,GC201,GI201,GO201,GU201,HA201,HG201,HM201))</x:f>
      </x:c>
      <x:c r="JA201" s="27" t="str">
        <x:f>IF(C201="","",SUM(EN201,ET201,EZ201,FF201,FL201,FR201,FX201,GD201,GJ201,GP201,GV201,HB201,HH201,HN201))</x:f>
      </x:c>
      <x:c r="JB201" s="27" t="str">
        <x:f>IF(C201="","",SUM(EO201,EU201,FA201,FG201,FM201,FS201,FY201,GE201,GK201,GQ201,GW201,HC201,HI201,HO201))</x:f>
      </x:c>
      <x:c r="JC201" s="27" t="str">
        <x:f>IF(C201="","",0)</x:f>
      </x:c>
      <x:c r="JD201" s="27" t="str">
        <x:f>IF(C201="","",0)</x:f>
      </x:c>
      <x:c r="JE201" s="27" t="str">
        <x:f>IF(C201="","",0)</x:f>
      </x:c>
      <x:c r="JF201" s="27" t="str">
        <x:f>IF(C201="","",0)</x:f>
      </x:c>
      <x:c r="JG201" s="27" t="str">
        <x:f>IF(C201="","",0)</x:f>
      </x:c>
      <x:c r="JH201" s="27" t="str">
        <x:f>IF(C201="","",0)</x:f>
      </x:c>
      <x:c r="JI201" s="27" t="str">
        <x:f>IF(C201="","",HP201*1000000000+IW201*1000000+IQ201*10000+IK201*100+JC201+6/1000)</x:f>
      </x:c>
      <x:c r="JJ201" s="27" t="str">
        <x:f>IF(C201="","",HQ201*1000000000+IX201*1000000+IR201*10000+IL201*100+JD201+5/1000)</x:f>
      </x:c>
      <x:c r="JK201" s="27" t="str">
        <x:f>IF(C201="","",HR201*1000000000+IY201*1000000+IS201*10000+IM201*100+JE201+4/1000)</x:f>
      </x:c>
      <x:c r="JL201" s="27" t="str">
        <x:f>IF(C201="","",HS201*1000000000+IZ201*1000000+IT201*10000+IN201*100+JF201+3/1000)</x:f>
      </x:c>
      <x:c r="JM201" s="27" t="str">
        <x:f>IF(C201="","",HT201*1000000000+JA201*1000000+IU201*10000+IO201*100+JG201+2/1000)</x:f>
      </x:c>
      <x:c r="JN201" s="27" t="str">
        <x:f>IF(C201="","",HU201*1000000000+JB201*1000000+IV201*10000+IP201*100+JH201+1/1000)</x:f>
      </x:c>
    </x:row>
    <x:row r="202">
      <x:c r="A202" s="27"/>
      <x:c r="B202" s="28"/>
      <x:c r="C202" s="27"/>
      <x:c r="D202" s="27"/>
      <x:c r="E202" s="27"/>
      <x:c r="F202" s="27"/>
      <x:c r="G202" s="27"/>
      <x:c r="H202" s="27"/>
      <x:c r="I202" s="27"/>
      <x:c r="J202" s="27"/>
      <x:c r="K202" s="27"/>
      <x:c r="L202" s="27"/>
      <x:c r="M202" s="27"/>
      <x:c r="N202" s="27"/>
      <x:c r="O202" s="27"/>
      <x:c r="P202" s="27"/>
      <x:c r="Q202" s="27"/>
      <x:c r="R202" s="27"/>
      <x:c r="S202" s="27"/>
      <x:c r="T202" s="27"/>
      <x:c r="U202" s="27"/>
      <x:c r="V202" s="27"/>
      <x:c r="W202" s="27"/>
      <x:c r="X202" s="27"/>
      <x:c r="Y202" s="27"/>
      <x:c r="Z202" s="27"/>
      <x:c r="AA202" s="27"/>
      <x:c r="AB202" s="27"/>
      <x:c r="AC202" s="27"/>
      <x:c r="AD202" s="27"/>
      <x:c r="AE202" s="27"/>
      <x:c r="AF202" s="27"/>
      <x:c r="AG202" s="27"/>
      <x:c r="AH202" s="27"/>
      <x:c r="AI202" s="27"/>
      <x:c r="AJ202" s="27"/>
      <x:c r="AK202" s="27"/>
      <x:c r="AL202" s="27"/>
      <x:c r="AM202" s="27"/>
      <x:c r="AN202" s="27"/>
      <x:c r="AO202" s="27"/>
      <x:c r="AP202" s="27"/>
      <x:c r="AQ202" s="27"/>
      <x:c r="AR202" s="27"/>
      <x:c r="AS202" s="27"/>
      <x:c r="AT202" s="27"/>
      <x:c r="AU202" s="27"/>
      <x:c r="AV202" s="27"/>
      <x:c r="AW202" s="27"/>
      <x:c r="AX202" s="27"/>
      <x:c r="AY202" s="27"/>
      <x:c r="AZ202" s="27"/>
      <x:c r="BA202" s="27"/>
      <x:c r="BB202" s="27"/>
      <x:c r="BC202" s="27"/>
      <x:c r="BD202" s="27"/>
      <x:c r="BE202" s="27"/>
      <x:c r="BF202" s="27"/>
      <x:c r="BG202" s="27"/>
      <x:c r="BH202" s="27"/>
      <x:c r="BI202" s="27"/>
      <x:c r="BJ202" s="27"/>
      <x:c r="BK202" s="27"/>
      <x:c r="BL202" s="27"/>
      <x:c r="BM202" s="27"/>
      <x:c r="BN202" s="27"/>
      <x:c r="BO202" s="27"/>
      <x:c r="BP202" s="27"/>
      <x:c r="BQ202" s="27"/>
      <x:c r="BR202" s="27"/>
      <x:c r="BS202" s="27"/>
      <x:c r="BT202" s="27"/>
      <x:c r="BU202" s="27"/>
      <x:c r="BV202" s="27"/>
      <x:c r="BW202" s="27"/>
      <x:c r="BX202" s="27"/>
      <x:c r="BY202" s="27"/>
      <x:c r="BZ202" s="27"/>
      <x:c r="CA202" s="27"/>
      <x:c r="CB202" s="27"/>
      <x:c r="CC202" s="27"/>
      <x:c r="CD202" s="27"/>
      <x:c r="CE202" s="27"/>
      <x:c r="CF202" s="27"/>
      <x:c r="CG202" s="27"/>
      <x:c r="CH202" s="27"/>
      <x:c r="CI202" s="27"/>
      <x:c r="CJ202" s="27"/>
      <x:c r="CK202" s="27"/>
      <x:c r="CL202" s="27"/>
      <x:c r="CM202" s="27"/>
      <x:c r="CN202" s="27"/>
      <x:c r="CO202" s="27"/>
      <x:c r="CP202" s="27"/>
      <x:c r="CQ202" s="27"/>
      <x:c r="CR202" s="27"/>
      <x:c r="CS202" s="27"/>
      <x:c r="CT202" s="27"/>
      <x:c r="CU202" s="27"/>
      <x:c r="CV202" s="27"/>
      <x:c r="CW202" s="27"/>
      <x:c r="CX202" s="27"/>
      <x:c r="CY202" s="27"/>
      <x:c r="CZ202" s="27"/>
      <x:c r="DA202" s="27"/>
      <x:c r="DB202" s="27"/>
      <x:c r="DC202" s="27"/>
      <x:c r="DD202" s="27"/>
      <x:c r="DE202" s="27"/>
      <x:c r="DF202" s="27"/>
      <x:c r="DG202" s="27"/>
      <x:c r="DH202" s="27"/>
      <x:c r="DI202" s="27"/>
      <x:c r="DJ202" s="27"/>
      <x:c r="DK202" s="27"/>
      <x:c r="DL202" s="27"/>
      <x:c r="DM202" s="27"/>
      <x:c r="DN202" s="27"/>
      <x:c r="DO202" s="27"/>
      <x:c r="DP202" s="27"/>
      <x:c r="DQ202" s="27"/>
      <x:c r="DR202" s="27"/>
      <x:c r="DS202" s="27"/>
      <x:c r="DT202" s="27"/>
      <x:c r="DU202" s="27"/>
      <x:c r="DV202" s="27"/>
      <x:c r="DW202" s="27"/>
      <x:c r="DX202" s="27"/>
      <x:c r="DY202" s="27"/>
      <x:c r="DZ202" s="27"/>
      <x:c r="EA202" s="27"/>
      <x:c r="EB202" s="27"/>
      <x:c r="EC202" s="27"/>
      <x:c r="ED202" s="27"/>
      <x:c r="EE202" s="27"/>
      <x:c r="EF202" s="27"/>
      <x:c r="EG202" s="27"/>
      <x:c r="EH202" s="27"/>
      <x:c r="EI202" s="27"/>
      <x:c r="EJ202" s="27"/>
      <x:c r="EK202" s="27"/>
      <x:c r="EL202" s="27"/>
      <x:c r="EM202" s="27"/>
      <x:c r="EN202" s="27"/>
      <x:c r="EO202" s="27"/>
      <x:c r="EP202" s="27"/>
      <x:c r="EQ202" s="27"/>
      <x:c r="ER202" s="27"/>
      <x:c r="ES202" s="27"/>
      <x:c r="ET202" s="27"/>
      <x:c r="EU202" s="27"/>
      <x:c r="EV202" s="27"/>
      <x:c r="EW202" s="27"/>
      <x:c r="EX202" s="27"/>
      <x:c r="EY202" s="27"/>
      <x:c r="EZ202" s="27"/>
      <x:c r="FA202" s="27"/>
      <x:c r="FB202" s="27"/>
      <x:c r="FC202" s="27"/>
      <x:c r="FD202" s="27"/>
      <x:c r="FE202" s="27"/>
      <x:c r="FF202" s="27"/>
      <x:c r="FG202" s="27"/>
      <x:c r="FH202" s="27"/>
      <x:c r="FI202" s="27"/>
      <x:c r="FJ202" s="27"/>
      <x:c r="FK202" s="27"/>
      <x:c r="FL202" s="27"/>
      <x:c r="FM202" s="27"/>
      <x:c r="FN202" s="27"/>
      <x:c r="FO202" s="27"/>
      <x:c r="FP202" s="27"/>
      <x:c r="FQ202" s="27"/>
      <x:c r="FR202" s="27"/>
      <x:c r="FS202" s="27"/>
      <x:c r="FT202" s="27"/>
      <x:c r="FU202" s="27"/>
      <x:c r="FV202" s="27"/>
      <x:c r="FW202" s="27"/>
      <x:c r="FX202" s="27"/>
      <x:c r="FY202" s="27"/>
      <x:c r="FZ202" s="27"/>
      <x:c r="GA202" s="27"/>
      <x:c r="GB202" s="27"/>
      <x:c r="GC202" s="27"/>
      <x:c r="GD202" s="27"/>
      <x:c r="GE202" s="27"/>
      <x:c r="GF202" s="27"/>
      <x:c r="GG202" s="27"/>
      <x:c r="GH202" s="27"/>
      <x:c r="GI202" s="27"/>
      <x:c r="GJ202" s="27"/>
      <x:c r="GK202" s="27"/>
      <x:c r="GL202" s="27"/>
      <x:c r="GM202" s="27"/>
      <x:c r="GN202" s="27"/>
      <x:c r="GO202" s="27"/>
      <x:c r="GP202" s="27"/>
      <x:c r="GQ202" s="27"/>
      <x:c r="GR202" s="27"/>
      <x:c r="GS202" s="27"/>
      <x:c r="GT202" s="27"/>
      <x:c r="GU202" s="27"/>
      <x:c r="GV202" s="27"/>
      <x:c r="GW202" s="27"/>
      <x:c r="GX202" s="27"/>
      <x:c r="GY202" s="27"/>
      <x:c r="GZ202" s="27"/>
      <x:c r="HA202" s="27"/>
      <x:c r="HB202" s="27"/>
      <x:c r="HC202" s="27"/>
      <x:c r="HD202" s="27"/>
      <x:c r="HE202" s="27"/>
      <x:c r="HF202" s="27"/>
      <x:c r="HG202" s="27"/>
      <x:c r="HH202" s="27"/>
      <x:c r="HI202" s="27"/>
      <x:c r="HJ202" s="27"/>
      <x:c r="HK202" s="27"/>
      <x:c r="HL202" s="27"/>
      <x:c r="HM202" s="27"/>
      <x:c r="HN202" s="27"/>
      <x:c r="HO202" s="27"/>
      <x:c r="HP202" s="27" t="str">
        <x:f>IF(C202="","",SUM(H202,N202,T202,Z202,AF202,AL202,AR202,AX202,BD202,BJ202,BP202,BV202,CB202,CH202,CN202,CT202,CZ202,DF202,DL202,DR202,DX202,ED202,EJ202,EP202,EV202,FB202,FH202,FN202,FT202,FZ202,GF202,GL202,GR202,GX202,HD202,HJ202))</x:f>
      </x:c>
      <x:c r="HQ202" s="27" t="str">
        <x:f>IF(C202="","",SUM(I202,O202,U202,AA202,AG202,AM202,AS202,AY202,BE202,BK202,BQ202,BW202,CC202,CI202,CO202,CU202,DA202,DG202,DM202,DS202,DY202,EE202,EK202,EQ202,EW202,FC202,FI202,FO202,FU202,GA202,GG202,GM202,GS202,GY202,HE202,HK202))</x:f>
      </x:c>
      <x:c r="HR202" s="27" t="str">
        <x:f>IF(C202="","",SUM(J202,P202,V202,AB202,AH202,AN202,AT202,AZ202,BF202,BL202,BR202,BX202,CD202,CJ202,CP202,CV202,DB202,DH202,DN202,DT202,DZ202,EF202,EL202,ER202,EX202,FD202,FJ202,FP202,FV202,GB202,GH202,GN202,GT202,GZ202,HF202,HL202))</x:f>
      </x:c>
      <x:c r="HS202" s="27" t="str">
        <x:f>IF(C202="","",SUM(K202,Q202,W202,AC202,AI202,AO202,AU202,BA202,BG202,BM202,BS202,BY202,CE202,CK202,CQ202,CW202,DC202,DI202,DO202,DU202,EA202,EG202,EM202,ES202,EY202,FE202,FK202,FQ202,FW202,GC202,GI202,GO202,GU202,HA202,HG202,HM202))</x:f>
      </x:c>
      <x:c r="HT202" s="27" t="str">
        <x:f>IF(C202="","",SUM(L202,R202,X202,AD202,AJ202,AP202,AV202,BB202,BH202,BN202,BT202,BZ202,CF202,CL202,CR202,CX202,DD202,DJ202,DP202,DV202,EB202,EH202,EN202,ET202,EZ202,FF202,FL202,FR202,FX202,GD202,GJ202,GP202,GV202,HB202,HH202,HN202))</x:f>
      </x:c>
      <x:c r="HU202" s="27" t="str">
        <x:f>IF(C202="","",SUM(M202,S202,Y202,AE202,AK202,AQ202,AW202,BC202,BI202,BO202,BU202,CA202,CG202,CM202,CS202,CY202,DE202,DK202,DQ202,DW202,EC202,EI202,EO202,EU202,FA202,FG202,FM202,FS202,FY202,GE202,GK202,GQ202,GW202,HC202,HI202,HO202))</x:f>
      </x:c>
      <x:c r="HV202" s="27" t="str">
        <x:f>IF(C202="","",IF(JI202=LARGE(JI202:JN202,1),"R",IF(JJ202=LARGE(JI202:JN202,1),"I",IF(JK202=LARGE(JI202:JN202,1),"A",IF(JL202=LARGE(JI202:JN202,1),"S",IF(JM202=LARGE(JI202:JN202,1),"E",IF(JN202=LARGE(JI202:JN202,1),"C",""))))))&amp;IF(JI202=LARGE(JI202:JN202,2),"R",IF(JJ202=LARGE(JI202:JN202,2),"I",IF(JK202=LARGE(JI202:JN202,2),"A",IF(JL202=LARGE(JI202:JN202,2),"S",IF(JM202=LARGE(JI202:JN202,2),"E",IF(JN202=LARGE(JI202:JN202,2),"C",""))))))&amp;IF(JI202=LARGE(JI202:JN202,3),"R",IF(JJ202=LARGE(JI202:JN202,3),"I",IF(JK202=LARGE(JI202:JN202,3),"A",IF(JL202=LARGE(JI202:JN202,3),"S",IF(JM202=LARGE(JI202:JN202,3),"E",IF(JN202=LARGE(JI202:JN202,3),"C","")))))))</x:f>
      </x:c>
      <x:c r="HW202" s="27" t="str">
        <x:f>IF(C202="","",IF(JI202=LARGE(JI202:JN202,1),"นักปฏิบัติ",IF(JJ202=LARGE(JI202:JN202,1),"นักคิดวิเคราะห์",IF(JK202=LARGE(JI202:JN202,1),"นักสร้างสรรค์",IF(JL202=LARGE(JI202:JN202,1),"ผู้เข้าใจผู้คน",IF(JM202=LARGE(JI202:JN202,1),"ผู้นำการเปลี่ยนแปลง",IF(JN202=LARGE(JI202:JN202,1),"ผู้จัดระบบ","ผู้จัดระบบ")))))))</x:f>
      </x:c>
      <x:c r="HX202" s="27"/>
      <x:c r="HY202" s="27"/>
      <x:c r="HZ202" s="27"/>
      <x:c r="IA202" s="27"/>
      <x:c r="IB202" s="27"/>
      <x:c r="IC202" s="27"/>
      <x:c r="ID202" s="27"/>
      <x:c r="IE202" s="27"/>
      <x:c r="IF202" s="27"/>
      <x:c r="IG202" s="27"/>
      <x:c r="IH202" s="27"/>
      <x:c r="II202" s="27"/>
      <x:c r="IJ202" s="27"/>
      <x:c r="IK202" s="27" t="str">
        <x:f>IF(C202="","",SUM(H202,N202,T202,Z202,AF202,AL202,AR202,AX202,BD202,BJ202,BP202))</x:f>
      </x:c>
      <x:c r="IL202" s="27" t="str">
        <x:f>IF(C202="","",SUM(I202,O202,U202,AA202,AG202,AM202,AS202,AY202,BE202,BK202,BQ202))</x:f>
      </x:c>
      <x:c r="IM202" s="27" t="str">
        <x:f>IF(C202="","",SUM(J202,P202,V202,AB202,AH202,AN202,AT202,AZ202,BF202,BL202,BR202))</x:f>
      </x:c>
      <x:c r="IN202" s="27" t="str">
        <x:f>IF(C202="","",SUM(K202,Q202,W202,AC202,AI202,AO202,AU202,BA202,BG202,BM202,BS202))</x:f>
      </x:c>
      <x:c r="IO202" s="27" t="str">
        <x:f>IF(C202="","",SUM(L202,R202,X202,AD202,AJ202,AP202,AV202,BB202,BH202,BN202,BT202))</x:f>
      </x:c>
      <x:c r="IP202" s="27" t="str">
        <x:f>IF(C202="","",SUM(M202,S202,Y202,AE202,AK202,AQ202,AW202,BC202,BI202,BO202,BU202))</x:f>
      </x:c>
      <x:c r="IQ202" s="27" t="str">
        <x:f>IF(C202="","",SUM(BV202,CB202,CH202,CN202,CT202,CZ202,DF202,DL202,DR202,DX202,ED202))</x:f>
      </x:c>
      <x:c r="IR202" s="27" t="str">
        <x:f>IF(C202="","",SUM(BW202,CC202,CI202,CO202,CU202,DA202,DG202,DM202,DS202,DY202,EE202))</x:f>
      </x:c>
      <x:c r="IS202" s="27" t="str">
        <x:f>IF(C202="","",SUM(BX202,CD202,CJ202,CP202,CV202,DB202,DH202,DN202,DT202,DZ202,EF202))</x:f>
      </x:c>
      <x:c r="IT202" s="27" t="str">
        <x:f>IF(C202="","",SUM(BY202,CE202,CK202,CQ202,CW202,DC202,DI202,DO202,DU202,EA202,EG202))</x:f>
      </x:c>
      <x:c r="IU202" s="27" t="str">
        <x:f>IF(C202="","",SUM(BZ202,CF202,CL202,CR202,CX202,DD202,DJ202,DP202,DV202,EB202,EH202))</x:f>
      </x:c>
      <x:c r="IV202" s="27" t="str">
        <x:f>IF(C202="","",SUM(CA202,CG202,CM202,CS202,CY202,DE202,DK202,DQ202,DW202,EC202,EI202))</x:f>
      </x:c>
      <x:c r="IW202" s="27" t="str">
        <x:f>IF(C202="","",SUM(EJ202,EP202,EV202,FB202,FH202,FN202,FT202,FZ202,GF202,GL202,GR202,GX202,HD202,HJ202))</x:f>
      </x:c>
      <x:c r="IX202" s="27" t="str">
        <x:f>IF(C202="","",SUM(EK202,EQ202,EW202,FC202,FI202,FO202,FU202,GA202,GG202,GM202,GS202,GY202,HE202,HK202))</x:f>
      </x:c>
      <x:c r="IY202" s="27" t="str">
        <x:f>IF(C202="","",SUM(EL202,ER202,EX202,FD202,FJ202,FP202,FV202,GB202,GH202,GN202,GT202,GZ202,HF202,HL202))</x:f>
      </x:c>
      <x:c r="IZ202" s="27" t="str">
        <x:f>IF(C202="","",SUM(EM202,ES202,EY202,FE202,FK202,FQ202,FW202,GC202,GI202,GO202,GU202,HA202,HG202,HM202))</x:f>
      </x:c>
      <x:c r="JA202" s="27" t="str">
        <x:f>IF(C202="","",SUM(EN202,ET202,EZ202,FF202,FL202,FR202,FX202,GD202,GJ202,GP202,GV202,HB202,HH202,HN202))</x:f>
      </x:c>
      <x:c r="JB202" s="27" t="str">
        <x:f>IF(C202="","",SUM(EO202,EU202,FA202,FG202,FM202,FS202,FY202,GE202,GK202,GQ202,GW202,HC202,HI202,HO202))</x:f>
      </x:c>
      <x:c r="JC202" s="27" t="str">
        <x:f>IF(C202="","",0)</x:f>
      </x:c>
      <x:c r="JD202" s="27" t="str">
        <x:f>IF(C202="","",0)</x:f>
      </x:c>
      <x:c r="JE202" s="27" t="str">
        <x:f>IF(C202="","",0)</x:f>
      </x:c>
      <x:c r="JF202" s="27" t="str">
        <x:f>IF(C202="","",0)</x:f>
      </x:c>
      <x:c r="JG202" s="27" t="str">
        <x:f>IF(C202="","",0)</x:f>
      </x:c>
      <x:c r="JH202" s="27" t="str">
        <x:f>IF(C202="","",0)</x:f>
      </x:c>
      <x:c r="JI202" s="27" t="str">
        <x:f>IF(C202="","",HP202*1000000000+IW202*1000000+IQ202*10000+IK202*100+JC202+6/1000)</x:f>
      </x:c>
      <x:c r="JJ202" s="27" t="str">
        <x:f>IF(C202="","",HQ202*1000000000+IX202*1000000+IR202*10000+IL202*100+JD202+5/1000)</x:f>
      </x:c>
      <x:c r="JK202" s="27" t="str">
        <x:f>IF(C202="","",HR202*1000000000+IY202*1000000+IS202*10000+IM202*100+JE202+4/1000)</x:f>
      </x:c>
      <x:c r="JL202" s="27" t="str">
        <x:f>IF(C202="","",HS202*1000000000+IZ202*1000000+IT202*10000+IN202*100+JF202+3/1000)</x:f>
      </x:c>
      <x:c r="JM202" s="27" t="str">
        <x:f>IF(C202="","",HT202*1000000000+JA202*1000000+IU202*10000+IO202*100+JG202+2/1000)</x:f>
      </x:c>
      <x:c r="JN202" s="27" t="str">
        <x:f>IF(C202="","",HU202*1000000000+JB202*1000000+IV202*10000+IP202*100+JH202+1/1000)</x:f>
      </x:c>
    </x:row>
    <x:row r="203">
      <x:c r="A203" s="27"/>
      <x:c r="B203" s="28"/>
      <x:c r="C203" s="27"/>
      <x:c r="D203" s="27"/>
      <x:c r="E203" s="27"/>
      <x:c r="F203" s="27"/>
      <x:c r="G203" s="27"/>
      <x:c r="H203" s="27"/>
      <x:c r="I203" s="27"/>
      <x:c r="J203" s="27"/>
      <x:c r="K203" s="27"/>
      <x:c r="L203" s="27"/>
      <x:c r="M203" s="27"/>
      <x:c r="N203" s="27"/>
      <x:c r="O203" s="27"/>
      <x:c r="P203" s="27"/>
      <x:c r="Q203" s="27"/>
      <x:c r="R203" s="27"/>
      <x:c r="S203" s="27"/>
      <x:c r="T203" s="27"/>
      <x:c r="U203" s="27"/>
      <x:c r="V203" s="27"/>
      <x:c r="W203" s="27"/>
      <x:c r="X203" s="27"/>
      <x:c r="Y203" s="27"/>
      <x:c r="Z203" s="27"/>
      <x:c r="AA203" s="27"/>
      <x:c r="AB203" s="27"/>
      <x:c r="AC203" s="27"/>
      <x:c r="AD203" s="27"/>
      <x:c r="AE203" s="27"/>
      <x:c r="AF203" s="27"/>
      <x:c r="AG203" s="27"/>
      <x:c r="AH203" s="27"/>
      <x:c r="AI203" s="27"/>
      <x:c r="AJ203" s="27"/>
      <x:c r="AK203" s="27"/>
      <x:c r="AL203" s="27"/>
      <x:c r="AM203" s="27"/>
      <x:c r="AN203" s="27"/>
      <x:c r="AO203" s="27"/>
      <x:c r="AP203" s="27"/>
      <x:c r="AQ203" s="27"/>
      <x:c r="AR203" s="27"/>
      <x:c r="AS203" s="27"/>
      <x:c r="AT203" s="27"/>
      <x:c r="AU203" s="27"/>
      <x:c r="AV203" s="27"/>
      <x:c r="AW203" s="27"/>
      <x:c r="AX203" s="27"/>
      <x:c r="AY203" s="27"/>
      <x:c r="AZ203" s="27"/>
      <x:c r="BA203" s="27"/>
      <x:c r="BB203" s="27"/>
      <x:c r="BC203" s="27"/>
      <x:c r="BD203" s="27"/>
      <x:c r="BE203" s="27"/>
      <x:c r="BF203" s="27"/>
      <x:c r="BG203" s="27"/>
      <x:c r="BH203" s="27"/>
      <x:c r="BI203" s="27"/>
      <x:c r="BJ203" s="27"/>
      <x:c r="BK203" s="27"/>
      <x:c r="BL203" s="27"/>
      <x:c r="BM203" s="27"/>
      <x:c r="BN203" s="27"/>
      <x:c r="BO203" s="27"/>
      <x:c r="BP203" s="27"/>
      <x:c r="BQ203" s="27"/>
      <x:c r="BR203" s="27"/>
      <x:c r="BS203" s="27"/>
      <x:c r="BT203" s="27"/>
      <x:c r="BU203" s="27"/>
      <x:c r="BV203" s="27"/>
      <x:c r="BW203" s="27"/>
      <x:c r="BX203" s="27"/>
      <x:c r="BY203" s="27"/>
      <x:c r="BZ203" s="27"/>
      <x:c r="CA203" s="27"/>
      <x:c r="CB203" s="27"/>
      <x:c r="CC203" s="27"/>
      <x:c r="CD203" s="27"/>
      <x:c r="CE203" s="27"/>
      <x:c r="CF203" s="27"/>
      <x:c r="CG203" s="27"/>
      <x:c r="CH203" s="27"/>
      <x:c r="CI203" s="27"/>
      <x:c r="CJ203" s="27"/>
      <x:c r="CK203" s="27"/>
      <x:c r="CL203" s="27"/>
      <x:c r="CM203" s="27"/>
      <x:c r="CN203" s="27"/>
      <x:c r="CO203" s="27"/>
      <x:c r="CP203" s="27"/>
      <x:c r="CQ203" s="27"/>
      <x:c r="CR203" s="27"/>
      <x:c r="CS203" s="27"/>
      <x:c r="CT203" s="27"/>
      <x:c r="CU203" s="27"/>
      <x:c r="CV203" s="27"/>
      <x:c r="CW203" s="27"/>
      <x:c r="CX203" s="27"/>
      <x:c r="CY203" s="27"/>
      <x:c r="CZ203" s="27"/>
      <x:c r="DA203" s="27"/>
      <x:c r="DB203" s="27"/>
      <x:c r="DC203" s="27"/>
      <x:c r="DD203" s="27"/>
      <x:c r="DE203" s="27"/>
      <x:c r="DF203" s="27"/>
      <x:c r="DG203" s="27"/>
      <x:c r="DH203" s="27"/>
      <x:c r="DI203" s="27"/>
      <x:c r="DJ203" s="27"/>
      <x:c r="DK203" s="27"/>
      <x:c r="DL203" s="27"/>
      <x:c r="DM203" s="27"/>
      <x:c r="DN203" s="27"/>
      <x:c r="DO203" s="27"/>
      <x:c r="DP203" s="27"/>
      <x:c r="DQ203" s="27"/>
      <x:c r="DR203" s="27"/>
      <x:c r="DS203" s="27"/>
      <x:c r="DT203" s="27"/>
      <x:c r="DU203" s="27"/>
      <x:c r="DV203" s="27"/>
      <x:c r="DW203" s="27"/>
      <x:c r="DX203" s="27"/>
      <x:c r="DY203" s="27"/>
      <x:c r="DZ203" s="27"/>
      <x:c r="EA203" s="27"/>
      <x:c r="EB203" s="27"/>
      <x:c r="EC203" s="27"/>
      <x:c r="ED203" s="27"/>
      <x:c r="EE203" s="27"/>
      <x:c r="EF203" s="27"/>
      <x:c r="EG203" s="27"/>
      <x:c r="EH203" s="27"/>
      <x:c r="EI203" s="27"/>
      <x:c r="EJ203" s="27"/>
      <x:c r="EK203" s="27"/>
      <x:c r="EL203" s="27"/>
      <x:c r="EM203" s="27"/>
      <x:c r="EN203" s="27"/>
      <x:c r="EO203" s="27"/>
      <x:c r="EP203" s="27"/>
      <x:c r="EQ203" s="27"/>
      <x:c r="ER203" s="27"/>
      <x:c r="ES203" s="27"/>
      <x:c r="ET203" s="27"/>
      <x:c r="EU203" s="27"/>
      <x:c r="EV203" s="27"/>
      <x:c r="EW203" s="27"/>
      <x:c r="EX203" s="27"/>
      <x:c r="EY203" s="27"/>
      <x:c r="EZ203" s="27"/>
      <x:c r="FA203" s="27"/>
      <x:c r="FB203" s="27"/>
      <x:c r="FC203" s="27"/>
      <x:c r="FD203" s="27"/>
      <x:c r="FE203" s="27"/>
      <x:c r="FF203" s="27"/>
      <x:c r="FG203" s="27"/>
      <x:c r="FH203" s="27"/>
      <x:c r="FI203" s="27"/>
      <x:c r="FJ203" s="27"/>
      <x:c r="FK203" s="27"/>
      <x:c r="FL203" s="27"/>
      <x:c r="FM203" s="27"/>
      <x:c r="FN203" s="27"/>
      <x:c r="FO203" s="27"/>
      <x:c r="FP203" s="27"/>
      <x:c r="FQ203" s="27"/>
      <x:c r="FR203" s="27"/>
      <x:c r="FS203" s="27"/>
      <x:c r="FT203" s="27"/>
      <x:c r="FU203" s="27"/>
      <x:c r="FV203" s="27"/>
      <x:c r="FW203" s="27"/>
      <x:c r="FX203" s="27"/>
      <x:c r="FY203" s="27"/>
      <x:c r="FZ203" s="27"/>
      <x:c r="GA203" s="27"/>
      <x:c r="GB203" s="27"/>
      <x:c r="GC203" s="27"/>
      <x:c r="GD203" s="27"/>
      <x:c r="GE203" s="27"/>
      <x:c r="GF203" s="27"/>
      <x:c r="GG203" s="27"/>
      <x:c r="GH203" s="27"/>
      <x:c r="GI203" s="27"/>
      <x:c r="GJ203" s="27"/>
      <x:c r="GK203" s="27"/>
      <x:c r="GL203" s="27"/>
      <x:c r="GM203" s="27"/>
      <x:c r="GN203" s="27"/>
      <x:c r="GO203" s="27"/>
      <x:c r="GP203" s="27"/>
      <x:c r="GQ203" s="27"/>
      <x:c r="GR203" s="27"/>
      <x:c r="GS203" s="27"/>
      <x:c r="GT203" s="27"/>
      <x:c r="GU203" s="27"/>
      <x:c r="GV203" s="27"/>
      <x:c r="GW203" s="27"/>
      <x:c r="GX203" s="27"/>
      <x:c r="GY203" s="27"/>
      <x:c r="GZ203" s="27"/>
      <x:c r="HA203" s="27"/>
      <x:c r="HB203" s="27"/>
      <x:c r="HC203" s="27"/>
      <x:c r="HD203" s="27"/>
      <x:c r="HE203" s="27"/>
      <x:c r="HF203" s="27"/>
      <x:c r="HG203" s="27"/>
      <x:c r="HH203" s="27"/>
      <x:c r="HI203" s="27"/>
      <x:c r="HJ203" s="27"/>
      <x:c r="HK203" s="27"/>
      <x:c r="HL203" s="27"/>
      <x:c r="HM203" s="27"/>
      <x:c r="HN203" s="27"/>
      <x:c r="HO203" s="27"/>
      <x:c r="HP203" s="27" t="str">
        <x:f>IF(C203="","",SUM(H203,N203,T203,Z203,AF203,AL203,AR203,AX203,BD203,BJ203,BP203,BV203,CB203,CH203,CN203,CT203,CZ203,DF203,DL203,DR203,DX203,ED203,EJ203,EP203,EV203,FB203,FH203,FN203,FT203,FZ203,GF203,GL203,GR203,GX203,HD203,HJ203))</x:f>
      </x:c>
      <x:c r="HQ203" s="27" t="str">
        <x:f>IF(C203="","",SUM(I203,O203,U203,AA203,AG203,AM203,AS203,AY203,BE203,BK203,BQ203,BW203,CC203,CI203,CO203,CU203,DA203,DG203,DM203,DS203,DY203,EE203,EK203,EQ203,EW203,FC203,FI203,FO203,FU203,GA203,GG203,GM203,GS203,GY203,HE203,HK203))</x:f>
      </x:c>
      <x:c r="HR203" s="27" t="str">
        <x:f>IF(C203="","",SUM(J203,P203,V203,AB203,AH203,AN203,AT203,AZ203,BF203,BL203,BR203,BX203,CD203,CJ203,CP203,CV203,DB203,DH203,DN203,DT203,DZ203,EF203,EL203,ER203,EX203,FD203,FJ203,FP203,FV203,GB203,GH203,GN203,GT203,GZ203,HF203,HL203))</x:f>
      </x:c>
      <x:c r="HS203" s="27" t="str">
        <x:f>IF(C203="","",SUM(K203,Q203,W203,AC203,AI203,AO203,AU203,BA203,BG203,BM203,BS203,BY203,CE203,CK203,CQ203,CW203,DC203,DI203,DO203,DU203,EA203,EG203,EM203,ES203,EY203,FE203,FK203,FQ203,FW203,GC203,GI203,GO203,GU203,HA203,HG203,HM203))</x:f>
      </x:c>
      <x:c r="HT203" s="27" t="str">
        <x:f>IF(C203="","",SUM(L203,R203,X203,AD203,AJ203,AP203,AV203,BB203,BH203,BN203,BT203,BZ203,CF203,CL203,CR203,CX203,DD203,DJ203,DP203,DV203,EB203,EH203,EN203,ET203,EZ203,FF203,FL203,FR203,FX203,GD203,GJ203,GP203,GV203,HB203,HH203,HN203))</x:f>
      </x:c>
      <x:c r="HU203" s="27" t="str">
        <x:f>IF(C203="","",SUM(M203,S203,Y203,AE203,AK203,AQ203,AW203,BC203,BI203,BO203,BU203,CA203,CG203,CM203,CS203,CY203,DE203,DK203,DQ203,DW203,EC203,EI203,EO203,EU203,FA203,FG203,FM203,FS203,FY203,GE203,GK203,GQ203,GW203,HC203,HI203,HO203))</x:f>
      </x:c>
      <x:c r="HV203" s="27" t="str">
        <x:f>IF(C203="","",IF(JI203=LARGE(JI203:JN203,1),"R",IF(JJ203=LARGE(JI203:JN203,1),"I",IF(JK203=LARGE(JI203:JN203,1),"A",IF(JL203=LARGE(JI203:JN203,1),"S",IF(JM203=LARGE(JI203:JN203,1),"E",IF(JN203=LARGE(JI203:JN203,1),"C",""))))))&amp;IF(JI203=LARGE(JI203:JN203,2),"R",IF(JJ203=LARGE(JI203:JN203,2),"I",IF(JK203=LARGE(JI203:JN203,2),"A",IF(JL203=LARGE(JI203:JN203,2),"S",IF(JM203=LARGE(JI203:JN203,2),"E",IF(JN203=LARGE(JI203:JN203,2),"C",""))))))&amp;IF(JI203=LARGE(JI203:JN203,3),"R",IF(JJ203=LARGE(JI203:JN203,3),"I",IF(JK203=LARGE(JI203:JN203,3),"A",IF(JL203=LARGE(JI203:JN203,3),"S",IF(JM203=LARGE(JI203:JN203,3),"E",IF(JN203=LARGE(JI203:JN203,3),"C","")))))))</x:f>
      </x:c>
      <x:c r="HW203" s="27" t="str">
        <x:f>IF(C203="","",IF(JI203=LARGE(JI203:JN203,1),"นักปฏิบัติ",IF(JJ203=LARGE(JI203:JN203,1),"นักคิดวิเคราะห์",IF(JK203=LARGE(JI203:JN203,1),"นักสร้างสรรค์",IF(JL203=LARGE(JI203:JN203,1),"ผู้เข้าใจผู้คน",IF(JM203=LARGE(JI203:JN203,1),"ผู้นำการเปลี่ยนแปลง",IF(JN203=LARGE(JI203:JN203,1),"ผู้จัดระบบ","ผู้จัดระบบ")))))))</x:f>
      </x:c>
      <x:c r="HX203" s="27"/>
      <x:c r="HY203" s="27"/>
      <x:c r="HZ203" s="27"/>
      <x:c r="IA203" s="27"/>
      <x:c r="IB203" s="27"/>
      <x:c r="IC203" s="27"/>
      <x:c r="ID203" s="27"/>
      <x:c r="IE203" s="27"/>
      <x:c r="IF203" s="27"/>
      <x:c r="IG203" s="27"/>
      <x:c r="IH203" s="27"/>
      <x:c r="II203" s="27"/>
      <x:c r="IJ203" s="27"/>
      <x:c r="IK203" s="27" t="str">
        <x:f>IF(C203="","",SUM(H203,N203,T203,Z203,AF203,AL203,AR203,AX203,BD203,BJ203,BP203))</x:f>
      </x:c>
      <x:c r="IL203" s="27" t="str">
        <x:f>IF(C203="","",SUM(I203,O203,U203,AA203,AG203,AM203,AS203,AY203,BE203,BK203,BQ203))</x:f>
      </x:c>
      <x:c r="IM203" s="27" t="str">
        <x:f>IF(C203="","",SUM(J203,P203,V203,AB203,AH203,AN203,AT203,AZ203,BF203,BL203,BR203))</x:f>
      </x:c>
      <x:c r="IN203" s="27" t="str">
        <x:f>IF(C203="","",SUM(K203,Q203,W203,AC203,AI203,AO203,AU203,BA203,BG203,BM203,BS203))</x:f>
      </x:c>
      <x:c r="IO203" s="27" t="str">
        <x:f>IF(C203="","",SUM(L203,R203,X203,AD203,AJ203,AP203,AV203,BB203,BH203,BN203,BT203))</x:f>
      </x:c>
      <x:c r="IP203" s="27" t="str">
        <x:f>IF(C203="","",SUM(M203,S203,Y203,AE203,AK203,AQ203,AW203,BC203,BI203,BO203,BU203))</x:f>
      </x:c>
      <x:c r="IQ203" s="27" t="str">
        <x:f>IF(C203="","",SUM(BV203,CB203,CH203,CN203,CT203,CZ203,DF203,DL203,DR203,DX203,ED203))</x:f>
      </x:c>
      <x:c r="IR203" s="27" t="str">
        <x:f>IF(C203="","",SUM(BW203,CC203,CI203,CO203,CU203,DA203,DG203,DM203,DS203,DY203,EE203))</x:f>
      </x:c>
      <x:c r="IS203" s="27" t="str">
        <x:f>IF(C203="","",SUM(BX203,CD203,CJ203,CP203,CV203,DB203,DH203,DN203,DT203,DZ203,EF203))</x:f>
      </x:c>
      <x:c r="IT203" s="27" t="str">
        <x:f>IF(C203="","",SUM(BY203,CE203,CK203,CQ203,CW203,DC203,DI203,DO203,DU203,EA203,EG203))</x:f>
      </x:c>
      <x:c r="IU203" s="27" t="str">
        <x:f>IF(C203="","",SUM(BZ203,CF203,CL203,CR203,CX203,DD203,DJ203,DP203,DV203,EB203,EH203))</x:f>
      </x:c>
      <x:c r="IV203" s="27" t="str">
        <x:f>IF(C203="","",SUM(CA203,CG203,CM203,CS203,CY203,DE203,DK203,DQ203,DW203,EC203,EI203))</x:f>
      </x:c>
      <x:c r="IW203" s="27" t="str">
        <x:f>IF(C203="","",SUM(EJ203,EP203,EV203,FB203,FH203,FN203,FT203,FZ203,GF203,GL203,GR203,GX203,HD203,HJ203))</x:f>
      </x:c>
      <x:c r="IX203" s="27" t="str">
        <x:f>IF(C203="","",SUM(EK203,EQ203,EW203,FC203,FI203,FO203,FU203,GA203,GG203,GM203,GS203,GY203,HE203,HK203))</x:f>
      </x:c>
      <x:c r="IY203" s="27" t="str">
        <x:f>IF(C203="","",SUM(EL203,ER203,EX203,FD203,FJ203,FP203,FV203,GB203,GH203,GN203,GT203,GZ203,HF203,HL203))</x:f>
      </x:c>
      <x:c r="IZ203" s="27" t="str">
        <x:f>IF(C203="","",SUM(EM203,ES203,EY203,FE203,FK203,FQ203,FW203,GC203,GI203,GO203,GU203,HA203,HG203,HM203))</x:f>
      </x:c>
      <x:c r="JA203" s="27" t="str">
        <x:f>IF(C203="","",SUM(EN203,ET203,EZ203,FF203,FL203,FR203,FX203,GD203,GJ203,GP203,GV203,HB203,HH203,HN203))</x:f>
      </x:c>
      <x:c r="JB203" s="27" t="str">
        <x:f>IF(C203="","",SUM(EO203,EU203,FA203,FG203,FM203,FS203,FY203,GE203,GK203,GQ203,GW203,HC203,HI203,HO203))</x:f>
      </x:c>
      <x:c r="JC203" s="27" t="str">
        <x:f>IF(C203="","",0)</x:f>
      </x:c>
      <x:c r="JD203" s="27" t="str">
        <x:f>IF(C203="","",0)</x:f>
      </x:c>
      <x:c r="JE203" s="27" t="str">
        <x:f>IF(C203="","",0)</x:f>
      </x:c>
      <x:c r="JF203" s="27" t="str">
        <x:f>IF(C203="","",0)</x:f>
      </x:c>
      <x:c r="JG203" s="27" t="str">
        <x:f>IF(C203="","",0)</x:f>
      </x:c>
      <x:c r="JH203" s="27" t="str">
        <x:f>IF(C203="","",0)</x:f>
      </x:c>
      <x:c r="JI203" s="27" t="str">
        <x:f>IF(C203="","",HP203*1000000000+IW203*1000000+IQ203*10000+IK203*100+JC203+6/1000)</x:f>
      </x:c>
      <x:c r="JJ203" s="27" t="str">
        <x:f>IF(C203="","",HQ203*1000000000+IX203*1000000+IR203*10000+IL203*100+JD203+5/1000)</x:f>
      </x:c>
      <x:c r="JK203" s="27" t="str">
        <x:f>IF(C203="","",HR203*1000000000+IY203*1000000+IS203*10000+IM203*100+JE203+4/1000)</x:f>
      </x:c>
      <x:c r="JL203" s="27" t="str">
        <x:f>IF(C203="","",HS203*1000000000+IZ203*1000000+IT203*10000+IN203*100+JF203+3/1000)</x:f>
      </x:c>
      <x:c r="JM203" s="27" t="str">
        <x:f>IF(C203="","",HT203*1000000000+JA203*1000000+IU203*10000+IO203*100+JG203+2/1000)</x:f>
      </x:c>
      <x:c r="JN203" s="27" t="str">
        <x:f>IF(C203="","",HU203*1000000000+JB203*1000000+IV203*10000+IP203*100+JH203+1/1000)</x:f>
      </x:c>
    </x:row>
    <x:row r="204">
      <x:c r="A204" s="27"/>
      <x:c r="B204" s="28"/>
      <x:c r="C204" s="27"/>
      <x:c r="D204" s="27"/>
      <x:c r="E204" s="27"/>
      <x:c r="F204" s="27"/>
      <x:c r="G204" s="27"/>
      <x:c r="H204" s="27"/>
      <x:c r="I204" s="27"/>
      <x:c r="J204" s="27"/>
      <x:c r="K204" s="27"/>
      <x:c r="L204" s="27"/>
      <x:c r="M204" s="27"/>
      <x:c r="N204" s="27"/>
      <x:c r="O204" s="27"/>
      <x:c r="P204" s="27"/>
      <x:c r="Q204" s="27"/>
      <x:c r="R204" s="27"/>
      <x:c r="S204" s="27"/>
      <x:c r="T204" s="27"/>
      <x:c r="U204" s="27"/>
      <x:c r="V204" s="27"/>
      <x:c r="W204" s="27"/>
      <x:c r="X204" s="27"/>
      <x:c r="Y204" s="27"/>
      <x:c r="Z204" s="27"/>
      <x:c r="AA204" s="27"/>
      <x:c r="AB204" s="27"/>
      <x:c r="AC204" s="27"/>
      <x:c r="AD204" s="27"/>
      <x:c r="AE204" s="27"/>
      <x:c r="AF204" s="27"/>
      <x:c r="AG204" s="27"/>
      <x:c r="AH204" s="27"/>
      <x:c r="AI204" s="27"/>
      <x:c r="AJ204" s="27"/>
      <x:c r="AK204" s="27"/>
      <x:c r="AL204" s="27"/>
      <x:c r="AM204" s="27"/>
      <x:c r="AN204" s="27"/>
      <x:c r="AO204" s="27"/>
      <x:c r="AP204" s="27"/>
      <x:c r="AQ204" s="27"/>
      <x:c r="AR204" s="27"/>
      <x:c r="AS204" s="27"/>
      <x:c r="AT204" s="27"/>
      <x:c r="AU204" s="27"/>
      <x:c r="AV204" s="27"/>
      <x:c r="AW204" s="27"/>
      <x:c r="AX204" s="27"/>
      <x:c r="AY204" s="27"/>
      <x:c r="AZ204" s="27"/>
      <x:c r="BA204" s="27"/>
      <x:c r="BB204" s="27"/>
      <x:c r="BC204" s="27"/>
      <x:c r="BD204" s="27"/>
      <x:c r="BE204" s="27"/>
      <x:c r="BF204" s="27"/>
      <x:c r="BG204" s="27"/>
      <x:c r="BH204" s="27"/>
      <x:c r="BI204" s="27"/>
      <x:c r="BJ204" s="27"/>
      <x:c r="BK204" s="27"/>
      <x:c r="BL204" s="27"/>
      <x:c r="BM204" s="27"/>
      <x:c r="BN204" s="27"/>
      <x:c r="BO204" s="27"/>
      <x:c r="BP204" s="27"/>
      <x:c r="BQ204" s="27"/>
      <x:c r="BR204" s="27"/>
      <x:c r="BS204" s="27"/>
      <x:c r="BT204" s="27"/>
      <x:c r="BU204" s="27"/>
      <x:c r="BV204" s="27"/>
      <x:c r="BW204" s="27"/>
      <x:c r="BX204" s="27"/>
      <x:c r="BY204" s="27"/>
      <x:c r="BZ204" s="27"/>
      <x:c r="CA204" s="27"/>
      <x:c r="CB204" s="27"/>
      <x:c r="CC204" s="27"/>
      <x:c r="CD204" s="27"/>
      <x:c r="CE204" s="27"/>
      <x:c r="CF204" s="27"/>
      <x:c r="CG204" s="27"/>
      <x:c r="CH204" s="27"/>
      <x:c r="CI204" s="27"/>
      <x:c r="CJ204" s="27"/>
      <x:c r="CK204" s="27"/>
      <x:c r="CL204" s="27"/>
      <x:c r="CM204" s="27"/>
      <x:c r="CN204" s="27"/>
      <x:c r="CO204" s="27"/>
      <x:c r="CP204" s="27"/>
      <x:c r="CQ204" s="27"/>
      <x:c r="CR204" s="27"/>
      <x:c r="CS204" s="27"/>
      <x:c r="CT204" s="27"/>
      <x:c r="CU204" s="27"/>
      <x:c r="CV204" s="27"/>
      <x:c r="CW204" s="27"/>
      <x:c r="CX204" s="27"/>
      <x:c r="CY204" s="27"/>
      <x:c r="CZ204" s="27"/>
      <x:c r="DA204" s="27"/>
      <x:c r="DB204" s="27"/>
      <x:c r="DC204" s="27"/>
      <x:c r="DD204" s="27"/>
      <x:c r="DE204" s="27"/>
      <x:c r="DF204" s="27"/>
      <x:c r="DG204" s="27"/>
      <x:c r="DH204" s="27"/>
      <x:c r="DI204" s="27"/>
      <x:c r="DJ204" s="27"/>
      <x:c r="DK204" s="27"/>
      <x:c r="DL204" s="27"/>
      <x:c r="DM204" s="27"/>
      <x:c r="DN204" s="27"/>
      <x:c r="DO204" s="27"/>
      <x:c r="DP204" s="27"/>
      <x:c r="DQ204" s="27"/>
      <x:c r="DR204" s="27"/>
      <x:c r="DS204" s="27"/>
      <x:c r="DT204" s="27"/>
      <x:c r="DU204" s="27"/>
      <x:c r="DV204" s="27"/>
      <x:c r="DW204" s="27"/>
      <x:c r="DX204" s="27"/>
      <x:c r="DY204" s="27"/>
      <x:c r="DZ204" s="27"/>
      <x:c r="EA204" s="27"/>
      <x:c r="EB204" s="27"/>
      <x:c r="EC204" s="27"/>
      <x:c r="ED204" s="27"/>
      <x:c r="EE204" s="27"/>
      <x:c r="EF204" s="27"/>
      <x:c r="EG204" s="27"/>
      <x:c r="EH204" s="27"/>
      <x:c r="EI204" s="27"/>
      <x:c r="EJ204" s="27"/>
      <x:c r="EK204" s="27"/>
      <x:c r="EL204" s="27"/>
      <x:c r="EM204" s="27"/>
      <x:c r="EN204" s="27"/>
      <x:c r="EO204" s="27"/>
      <x:c r="EP204" s="27"/>
      <x:c r="EQ204" s="27"/>
      <x:c r="ER204" s="27"/>
      <x:c r="ES204" s="27"/>
      <x:c r="ET204" s="27"/>
      <x:c r="EU204" s="27"/>
      <x:c r="EV204" s="27"/>
      <x:c r="EW204" s="27"/>
      <x:c r="EX204" s="27"/>
      <x:c r="EY204" s="27"/>
      <x:c r="EZ204" s="27"/>
      <x:c r="FA204" s="27"/>
      <x:c r="FB204" s="27"/>
      <x:c r="FC204" s="27"/>
      <x:c r="FD204" s="27"/>
      <x:c r="FE204" s="27"/>
      <x:c r="FF204" s="27"/>
      <x:c r="FG204" s="27"/>
      <x:c r="FH204" s="27"/>
      <x:c r="FI204" s="27"/>
      <x:c r="FJ204" s="27"/>
      <x:c r="FK204" s="27"/>
      <x:c r="FL204" s="27"/>
      <x:c r="FM204" s="27"/>
      <x:c r="FN204" s="27"/>
      <x:c r="FO204" s="27"/>
      <x:c r="FP204" s="27"/>
      <x:c r="FQ204" s="27"/>
      <x:c r="FR204" s="27"/>
      <x:c r="FS204" s="27"/>
      <x:c r="FT204" s="27"/>
      <x:c r="FU204" s="27"/>
      <x:c r="FV204" s="27"/>
      <x:c r="FW204" s="27"/>
      <x:c r="FX204" s="27"/>
      <x:c r="FY204" s="27"/>
      <x:c r="FZ204" s="27"/>
      <x:c r="GA204" s="27"/>
      <x:c r="GB204" s="27"/>
      <x:c r="GC204" s="27"/>
      <x:c r="GD204" s="27"/>
      <x:c r="GE204" s="27"/>
      <x:c r="GF204" s="27"/>
      <x:c r="GG204" s="27"/>
      <x:c r="GH204" s="27"/>
      <x:c r="GI204" s="27"/>
      <x:c r="GJ204" s="27"/>
      <x:c r="GK204" s="27"/>
      <x:c r="GL204" s="27"/>
      <x:c r="GM204" s="27"/>
      <x:c r="GN204" s="27"/>
      <x:c r="GO204" s="27"/>
      <x:c r="GP204" s="27"/>
      <x:c r="GQ204" s="27"/>
      <x:c r="GR204" s="27"/>
      <x:c r="GS204" s="27"/>
      <x:c r="GT204" s="27"/>
      <x:c r="GU204" s="27"/>
      <x:c r="GV204" s="27"/>
      <x:c r="GW204" s="27"/>
      <x:c r="GX204" s="27"/>
      <x:c r="GY204" s="27"/>
      <x:c r="GZ204" s="27"/>
      <x:c r="HA204" s="27"/>
      <x:c r="HB204" s="27"/>
      <x:c r="HC204" s="27"/>
      <x:c r="HD204" s="27"/>
      <x:c r="HE204" s="27"/>
      <x:c r="HF204" s="27"/>
      <x:c r="HG204" s="27"/>
      <x:c r="HH204" s="27"/>
      <x:c r="HI204" s="27"/>
      <x:c r="HJ204" s="27"/>
      <x:c r="HK204" s="27"/>
      <x:c r="HL204" s="27"/>
      <x:c r="HM204" s="27"/>
      <x:c r="HN204" s="27"/>
      <x:c r="HO204" s="27"/>
      <x:c r="HP204" s="27" t="str">
        <x:f>IF(C204="","",SUM(H204,N204,T204,Z204,AF204,AL204,AR204,AX204,BD204,BJ204,BP204,BV204,CB204,CH204,CN204,CT204,CZ204,DF204,DL204,DR204,DX204,ED204,EJ204,EP204,EV204,FB204,FH204,FN204,FT204,FZ204,GF204,GL204,GR204,GX204,HD204,HJ204))</x:f>
      </x:c>
      <x:c r="HQ204" s="27" t="str">
        <x:f>IF(C204="","",SUM(I204,O204,U204,AA204,AG204,AM204,AS204,AY204,BE204,BK204,BQ204,BW204,CC204,CI204,CO204,CU204,DA204,DG204,DM204,DS204,DY204,EE204,EK204,EQ204,EW204,FC204,FI204,FO204,FU204,GA204,GG204,GM204,GS204,GY204,HE204,HK204))</x:f>
      </x:c>
      <x:c r="HR204" s="27" t="str">
        <x:f>IF(C204="","",SUM(J204,P204,V204,AB204,AH204,AN204,AT204,AZ204,BF204,BL204,BR204,BX204,CD204,CJ204,CP204,CV204,DB204,DH204,DN204,DT204,DZ204,EF204,EL204,ER204,EX204,FD204,FJ204,FP204,FV204,GB204,GH204,GN204,GT204,GZ204,HF204,HL204))</x:f>
      </x:c>
      <x:c r="HS204" s="27" t="str">
        <x:f>IF(C204="","",SUM(K204,Q204,W204,AC204,AI204,AO204,AU204,BA204,BG204,BM204,BS204,BY204,CE204,CK204,CQ204,CW204,DC204,DI204,DO204,DU204,EA204,EG204,EM204,ES204,EY204,FE204,FK204,FQ204,FW204,GC204,GI204,GO204,GU204,HA204,HG204,HM204))</x:f>
      </x:c>
      <x:c r="HT204" s="27" t="str">
        <x:f>IF(C204="","",SUM(L204,R204,X204,AD204,AJ204,AP204,AV204,BB204,BH204,BN204,BT204,BZ204,CF204,CL204,CR204,CX204,DD204,DJ204,DP204,DV204,EB204,EH204,EN204,ET204,EZ204,FF204,FL204,FR204,FX204,GD204,GJ204,GP204,GV204,HB204,HH204,HN204))</x:f>
      </x:c>
      <x:c r="HU204" s="27" t="str">
        <x:f>IF(C204="","",SUM(M204,S204,Y204,AE204,AK204,AQ204,AW204,BC204,BI204,BO204,BU204,CA204,CG204,CM204,CS204,CY204,DE204,DK204,DQ204,DW204,EC204,EI204,EO204,EU204,FA204,FG204,FM204,FS204,FY204,GE204,GK204,GQ204,GW204,HC204,HI204,HO204))</x:f>
      </x:c>
      <x:c r="HV204" s="27" t="str">
        <x:f>IF(C204="","",IF(JI204=LARGE(JI204:JN204,1),"R",IF(JJ204=LARGE(JI204:JN204,1),"I",IF(JK204=LARGE(JI204:JN204,1),"A",IF(JL204=LARGE(JI204:JN204,1),"S",IF(JM204=LARGE(JI204:JN204,1),"E",IF(JN204=LARGE(JI204:JN204,1),"C",""))))))&amp;IF(JI204=LARGE(JI204:JN204,2),"R",IF(JJ204=LARGE(JI204:JN204,2),"I",IF(JK204=LARGE(JI204:JN204,2),"A",IF(JL204=LARGE(JI204:JN204,2),"S",IF(JM204=LARGE(JI204:JN204,2),"E",IF(JN204=LARGE(JI204:JN204,2),"C",""))))))&amp;IF(JI204=LARGE(JI204:JN204,3),"R",IF(JJ204=LARGE(JI204:JN204,3),"I",IF(JK204=LARGE(JI204:JN204,3),"A",IF(JL204=LARGE(JI204:JN204,3),"S",IF(JM204=LARGE(JI204:JN204,3),"E",IF(JN204=LARGE(JI204:JN204,3),"C","")))))))</x:f>
      </x:c>
      <x:c r="HW204" s="27" t="str">
        <x:f>IF(C204="","",IF(JI204=LARGE(JI204:JN204,1),"นักปฏิบัติ",IF(JJ204=LARGE(JI204:JN204,1),"นักคิดวิเคราะห์",IF(JK204=LARGE(JI204:JN204,1),"นักสร้างสรรค์",IF(JL204=LARGE(JI204:JN204,1),"ผู้เข้าใจผู้คน",IF(JM204=LARGE(JI204:JN204,1),"ผู้นำการเปลี่ยนแปลง",IF(JN204=LARGE(JI204:JN204,1),"ผู้จัดระบบ","ผู้จัดระบบ")))))))</x:f>
      </x:c>
      <x:c r="HX204" s="27"/>
      <x:c r="HY204" s="27"/>
      <x:c r="HZ204" s="27"/>
      <x:c r="IA204" s="27"/>
      <x:c r="IB204" s="27"/>
      <x:c r="IC204" s="27"/>
      <x:c r="ID204" s="27"/>
      <x:c r="IE204" s="27"/>
      <x:c r="IF204" s="27"/>
      <x:c r="IG204" s="27"/>
      <x:c r="IH204" s="27"/>
      <x:c r="II204" s="27"/>
      <x:c r="IJ204" s="27"/>
      <x:c r="IK204" s="27" t="str">
        <x:f>IF(C204="","",SUM(H204,N204,T204,Z204,AF204,AL204,AR204,AX204,BD204,BJ204,BP204))</x:f>
      </x:c>
      <x:c r="IL204" s="27" t="str">
        <x:f>IF(C204="","",SUM(I204,O204,U204,AA204,AG204,AM204,AS204,AY204,BE204,BK204,BQ204))</x:f>
      </x:c>
      <x:c r="IM204" s="27" t="str">
        <x:f>IF(C204="","",SUM(J204,P204,V204,AB204,AH204,AN204,AT204,AZ204,BF204,BL204,BR204))</x:f>
      </x:c>
      <x:c r="IN204" s="27" t="str">
        <x:f>IF(C204="","",SUM(K204,Q204,W204,AC204,AI204,AO204,AU204,BA204,BG204,BM204,BS204))</x:f>
      </x:c>
      <x:c r="IO204" s="27" t="str">
        <x:f>IF(C204="","",SUM(L204,R204,X204,AD204,AJ204,AP204,AV204,BB204,BH204,BN204,BT204))</x:f>
      </x:c>
      <x:c r="IP204" s="27" t="str">
        <x:f>IF(C204="","",SUM(M204,S204,Y204,AE204,AK204,AQ204,AW204,BC204,BI204,BO204,BU204))</x:f>
      </x:c>
      <x:c r="IQ204" s="27" t="str">
        <x:f>IF(C204="","",SUM(BV204,CB204,CH204,CN204,CT204,CZ204,DF204,DL204,DR204,DX204,ED204))</x:f>
      </x:c>
      <x:c r="IR204" s="27" t="str">
        <x:f>IF(C204="","",SUM(BW204,CC204,CI204,CO204,CU204,DA204,DG204,DM204,DS204,DY204,EE204))</x:f>
      </x:c>
      <x:c r="IS204" s="27" t="str">
        <x:f>IF(C204="","",SUM(BX204,CD204,CJ204,CP204,CV204,DB204,DH204,DN204,DT204,DZ204,EF204))</x:f>
      </x:c>
      <x:c r="IT204" s="27" t="str">
        <x:f>IF(C204="","",SUM(BY204,CE204,CK204,CQ204,CW204,DC204,DI204,DO204,DU204,EA204,EG204))</x:f>
      </x:c>
      <x:c r="IU204" s="27" t="str">
        <x:f>IF(C204="","",SUM(BZ204,CF204,CL204,CR204,CX204,DD204,DJ204,DP204,DV204,EB204,EH204))</x:f>
      </x:c>
      <x:c r="IV204" s="27" t="str">
        <x:f>IF(C204="","",SUM(CA204,CG204,CM204,CS204,CY204,DE204,DK204,DQ204,DW204,EC204,EI204))</x:f>
      </x:c>
      <x:c r="IW204" s="27" t="str">
        <x:f>IF(C204="","",SUM(EJ204,EP204,EV204,FB204,FH204,FN204,FT204,FZ204,GF204,GL204,GR204,GX204,HD204,HJ204))</x:f>
      </x:c>
      <x:c r="IX204" s="27" t="str">
        <x:f>IF(C204="","",SUM(EK204,EQ204,EW204,FC204,FI204,FO204,FU204,GA204,GG204,GM204,GS204,GY204,HE204,HK204))</x:f>
      </x:c>
      <x:c r="IY204" s="27" t="str">
        <x:f>IF(C204="","",SUM(EL204,ER204,EX204,FD204,FJ204,FP204,FV204,GB204,GH204,GN204,GT204,GZ204,HF204,HL204))</x:f>
      </x:c>
      <x:c r="IZ204" s="27" t="str">
        <x:f>IF(C204="","",SUM(EM204,ES204,EY204,FE204,FK204,FQ204,FW204,GC204,GI204,GO204,GU204,HA204,HG204,HM204))</x:f>
      </x:c>
      <x:c r="JA204" s="27" t="str">
        <x:f>IF(C204="","",SUM(EN204,ET204,EZ204,FF204,FL204,FR204,FX204,GD204,GJ204,GP204,GV204,HB204,HH204,HN204))</x:f>
      </x:c>
      <x:c r="JB204" s="27" t="str">
        <x:f>IF(C204="","",SUM(EO204,EU204,FA204,FG204,FM204,FS204,FY204,GE204,GK204,GQ204,GW204,HC204,HI204,HO204))</x:f>
      </x:c>
      <x:c r="JC204" s="27" t="str">
        <x:f>IF(C204="","",0)</x:f>
      </x:c>
      <x:c r="JD204" s="27" t="str">
        <x:f>IF(C204="","",0)</x:f>
      </x:c>
      <x:c r="JE204" s="27" t="str">
        <x:f>IF(C204="","",0)</x:f>
      </x:c>
      <x:c r="JF204" s="27" t="str">
        <x:f>IF(C204="","",0)</x:f>
      </x:c>
      <x:c r="JG204" s="27" t="str">
        <x:f>IF(C204="","",0)</x:f>
      </x:c>
      <x:c r="JH204" s="27" t="str">
        <x:f>IF(C204="","",0)</x:f>
      </x:c>
      <x:c r="JI204" s="27" t="str">
        <x:f>IF(C204="","",HP204*1000000000+IW204*1000000+IQ204*10000+IK204*100+JC204+6/1000)</x:f>
      </x:c>
      <x:c r="JJ204" s="27" t="str">
        <x:f>IF(C204="","",HQ204*1000000000+IX204*1000000+IR204*10000+IL204*100+JD204+5/1000)</x:f>
      </x:c>
      <x:c r="JK204" s="27" t="str">
        <x:f>IF(C204="","",HR204*1000000000+IY204*1000000+IS204*10000+IM204*100+JE204+4/1000)</x:f>
      </x:c>
      <x:c r="JL204" s="27" t="str">
        <x:f>IF(C204="","",HS204*1000000000+IZ204*1000000+IT204*10000+IN204*100+JF204+3/1000)</x:f>
      </x:c>
      <x:c r="JM204" s="27" t="str">
        <x:f>IF(C204="","",HT204*1000000000+JA204*1000000+IU204*10000+IO204*100+JG204+2/1000)</x:f>
      </x:c>
      <x:c r="JN204" s="27" t="str">
        <x:f>IF(C204="","",HU204*1000000000+JB204*1000000+IV204*10000+IP204*100+JH204+1/1000)</x:f>
      </x:c>
    </x:row>
    <x:row r="205">
      <x:c r="A205" s="27"/>
      <x:c r="B205" s="28"/>
      <x:c r="C205" s="27"/>
      <x:c r="D205" s="27"/>
      <x:c r="E205" s="27"/>
      <x:c r="F205" s="27"/>
      <x:c r="G205" s="27"/>
      <x:c r="H205" s="27"/>
      <x:c r="I205" s="27"/>
      <x:c r="J205" s="27"/>
      <x:c r="K205" s="27"/>
      <x:c r="L205" s="27"/>
      <x:c r="M205" s="27"/>
      <x:c r="N205" s="27"/>
      <x:c r="O205" s="27"/>
      <x:c r="P205" s="27"/>
      <x:c r="Q205" s="27"/>
      <x:c r="R205" s="27"/>
      <x:c r="S205" s="27"/>
      <x:c r="T205" s="27"/>
      <x:c r="U205" s="27"/>
      <x:c r="V205" s="27"/>
      <x:c r="W205" s="27"/>
      <x:c r="X205" s="27"/>
      <x:c r="Y205" s="27"/>
      <x:c r="Z205" s="27"/>
      <x:c r="AA205" s="27"/>
      <x:c r="AB205" s="27"/>
      <x:c r="AC205" s="27"/>
      <x:c r="AD205" s="27"/>
      <x:c r="AE205" s="27"/>
      <x:c r="AF205" s="27"/>
      <x:c r="AG205" s="27"/>
      <x:c r="AH205" s="27"/>
      <x:c r="AI205" s="27"/>
      <x:c r="AJ205" s="27"/>
      <x:c r="AK205" s="27"/>
      <x:c r="AL205" s="27"/>
      <x:c r="AM205" s="27"/>
      <x:c r="AN205" s="27"/>
      <x:c r="AO205" s="27"/>
      <x:c r="AP205" s="27"/>
      <x:c r="AQ205" s="27"/>
      <x:c r="AR205" s="27"/>
      <x:c r="AS205" s="27"/>
      <x:c r="AT205" s="27"/>
      <x:c r="AU205" s="27"/>
      <x:c r="AV205" s="27"/>
      <x:c r="AW205" s="27"/>
      <x:c r="AX205" s="27"/>
      <x:c r="AY205" s="27"/>
      <x:c r="AZ205" s="27"/>
      <x:c r="BA205" s="27"/>
      <x:c r="BB205" s="27"/>
      <x:c r="BC205" s="27"/>
      <x:c r="BD205" s="27"/>
      <x:c r="BE205" s="27"/>
      <x:c r="BF205" s="27"/>
      <x:c r="BG205" s="27"/>
      <x:c r="BH205" s="27"/>
      <x:c r="BI205" s="27"/>
      <x:c r="BJ205" s="27"/>
      <x:c r="BK205" s="27"/>
      <x:c r="BL205" s="27"/>
      <x:c r="BM205" s="27"/>
      <x:c r="BN205" s="27"/>
      <x:c r="BO205" s="27"/>
      <x:c r="BP205" s="27"/>
      <x:c r="BQ205" s="27"/>
      <x:c r="BR205" s="27"/>
      <x:c r="BS205" s="27"/>
      <x:c r="BT205" s="27"/>
      <x:c r="BU205" s="27"/>
      <x:c r="BV205" s="27"/>
      <x:c r="BW205" s="27"/>
      <x:c r="BX205" s="27"/>
      <x:c r="BY205" s="27"/>
      <x:c r="BZ205" s="27"/>
      <x:c r="CA205" s="27"/>
      <x:c r="CB205" s="27"/>
      <x:c r="CC205" s="27"/>
      <x:c r="CD205" s="27"/>
      <x:c r="CE205" s="27"/>
      <x:c r="CF205" s="27"/>
      <x:c r="CG205" s="27"/>
      <x:c r="CH205" s="27"/>
      <x:c r="CI205" s="27"/>
      <x:c r="CJ205" s="27"/>
      <x:c r="CK205" s="27"/>
      <x:c r="CL205" s="27"/>
      <x:c r="CM205" s="27"/>
      <x:c r="CN205" s="27"/>
      <x:c r="CO205" s="27"/>
      <x:c r="CP205" s="27"/>
      <x:c r="CQ205" s="27"/>
      <x:c r="CR205" s="27"/>
      <x:c r="CS205" s="27"/>
      <x:c r="CT205" s="27"/>
      <x:c r="CU205" s="27"/>
      <x:c r="CV205" s="27"/>
      <x:c r="CW205" s="27"/>
      <x:c r="CX205" s="27"/>
      <x:c r="CY205" s="27"/>
      <x:c r="CZ205" s="27"/>
      <x:c r="DA205" s="27"/>
      <x:c r="DB205" s="27"/>
      <x:c r="DC205" s="27"/>
      <x:c r="DD205" s="27"/>
      <x:c r="DE205" s="27"/>
      <x:c r="DF205" s="27"/>
      <x:c r="DG205" s="27"/>
      <x:c r="DH205" s="27"/>
      <x:c r="DI205" s="27"/>
      <x:c r="DJ205" s="27"/>
      <x:c r="DK205" s="27"/>
      <x:c r="DL205" s="27"/>
      <x:c r="DM205" s="27"/>
      <x:c r="DN205" s="27"/>
      <x:c r="DO205" s="27"/>
      <x:c r="DP205" s="27"/>
      <x:c r="DQ205" s="27"/>
      <x:c r="DR205" s="27"/>
      <x:c r="DS205" s="27"/>
      <x:c r="DT205" s="27"/>
      <x:c r="DU205" s="27"/>
      <x:c r="DV205" s="27"/>
      <x:c r="DW205" s="27"/>
      <x:c r="DX205" s="27"/>
      <x:c r="DY205" s="27"/>
      <x:c r="DZ205" s="27"/>
      <x:c r="EA205" s="27"/>
      <x:c r="EB205" s="27"/>
      <x:c r="EC205" s="27"/>
      <x:c r="ED205" s="27"/>
      <x:c r="EE205" s="27"/>
      <x:c r="EF205" s="27"/>
      <x:c r="EG205" s="27"/>
      <x:c r="EH205" s="27"/>
      <x:c r="EI205" s="27"/>
      <x:c r="EJ205" s="27"/>
      <x:c r="EK205" s="27"/>
      <x:c r="EL205" s="27"/>
      <x:c r="EM205" s="27"/>
      <x:c r="EN205" s="27"/>
      <x:c r="EO205" s="27"/>
      <x:c r="EP205" s="27"/>
      <x:c r="EQ205" s="27"/>
      <x:c r="ER205" s="27"/>
      <x:c r="ES205" s="27"/>
      <x:c r="ET205" s="27"/>
      <x:c r="EU205" s="27"/>
      <x:c r="EV205" s="27"/>
      <x:c r="EW205" s="27"/>
      <x:c r="EX205" s="27"/>
      <x:c r="EY205" s="27"/>
      <x:c r="EZ205" s="27"/>
      <x:c r="FA205" s="27"/>
      <x:c r="FB205" s="27"/>
      <x:c r="FC205" s="27"/>
      <x:c r="FD205" s="27"/>
      <x:c r="FE205" s="27"/>
      <x:c r="FF205" s="27"/>
      <x:c r="FG205" s="27"/>
      <x:c r="FH205" s="27"/>
      <x:c r="FI205" s="27"/>
      <x:c r="FJ205" s="27"/>
      <x:c r="FK205" s="27"/>
      <x:c r="FL205" s="27"/>
      <x:c r="FM205" s="27"/>
      <x:c r="FN205" s="27"/>
      <x:c r="FO205" s="27"/>
      <x:c r="FP205" s="27"/>
      <x:c r="FQ205" s="27"/>
      <x:c r="FR205" s="27"/>
      <x:c r="FS205" s="27"/>
      <x:c r="FT205" s="27"/>
      <x:c r="FU205" s="27"/>
      <x:c r="FV205" s="27"/>
      <x:c r="FW205" s="27"/>
      <x:c r="FX205" s="27"/>
      <x:c r="FY205" s="27"/>
      <x:c r="FZ205" s="27"/>
      <x:c r="GA205" s="27"/>
      <x:c r="GB205" s="27"/>
      <x:c r="GC205" s="27"/>
      <x:c r="GD205" s="27"/>
      <x:c r="GE205" s="27"/>
      <x:c r="GF205" s="27"/>
      <x:c r="GG205" s="27"/>
      <x:c r="GH205" s="27"/>
      <x:c r="GI205" s="27"/>
      <x:c r="GJ205" s="27"/>
      <x:c r="GK205" s="27"/>
      <x:c r="GL205" s="27"/>
      <x:c r="GM205" s="27"/>
      <x:c r="GN205" s="27"/>
      <x:c r="GO205" s="27"/>
      <x:c r="GP205" s="27"/>
      <x:c r="GQ205" s="27"/>
      <x:c r="GR205" s="27"/>
      <x:c r="GS205" s="27"/>
      <x:c r="GT205" s="27"/>
      <x:c r="GU205" s="27"/>
      <x:c r="GV205" s="27"/>
      <x:c r="GW205" s="27"/>
      <x:c r="GX205" s="27"/>
      <x:c r="GY205" s="27"/>
      <x:c r="GZ205" s="27"/>
      <x:c r="HA205" s="27"/>
      <x:c r="HB205" s="27"/>
      <x:c r="HC205" s="27"/>
      <x:c r="HD205" s="27"/>
      <x:c r="HE205" s="27"/>
      <x:c r="HF205" s="27"/>
      <x:c r="HG205" s="27"/>
      <x:c r="HH205" s="27"/>
      <x:c r="HI205" s="27"/>
      <x:c r="HJ205" s="27"/>
      <x:c r="HK205" s="27"/>
      <x:c r="HL205" s="27"/>
      <x:c r="HM205" s="27"/>
      <x:c r="HN205" s="27"/>
      <x:c r="HO205" s="27"/>
      <x:c r="HP205" s="27" t="str">
        <x:f>IF(C205="","",SUM(H205,N205,T205,Z205,AF205,AL205,AR205,AX205,BD205,BJ205,BP205,BV205,CB205,CH205,CN205,CT205,CZ205,DF205,DL205,DR205,DX205,ED205,EJ205,EP205,EV205,FB205,FH205,FN205,FT205,FZ205,GF205,GL205,GR205,GX205,HD205,HJ205))</x:f>
      </x:c>
      <x:c r="HQ205" s="27" t="str">
        <x:f>IF(C205="","",SUM(I205,O205,U205,AA205,AG205,AM205,AS205,AY205,BE205,BK205,BQ205,BW205,CC205,CI205,CO205,CU205,DA205,DG205,DM205,DS205,DY205,EE205,EK205,EQ205,EW205,FC205,FI205,FO205,FU205,GA205,GG205,GM205,GS205,GY205,HE205,HK205))</x:f>
      </x:c>
      <x:c r="HR205" s="27" t="str">
        <x:f>IF(C205="","",SUM(J205,P205,V205,AB205,AH205,AN205,AT205,AZ205,BF205,BL205,BR205,BX205,CD205,CJ205,CP205,CV205,DB205,DH205,DN205,DT205,DZ205,EF205,EL205,ER205,EX205,FD205,FJ205,FP205,FV205,GB205,GH205,GN205,GT205,GZ205,HF205,HL205))</x:f>
      </x:c>
      <x:c r="HS205" s="27" t="str">
        <x:f>IF(C205="","",SUM(K205,Q205,W205,AC205,AI205,AO205,AU205,BA205,BG205,BM205,BS205,BY205,CE205,CK205,CQ205,CW205,DC205,DI205,DO205,DU205,EA205,EG205,EM205,ES205,EY205,FE205,FK205,FQ205,FW205,GC205,GI205,GO205,GU205,HA205,HG205,HM205))</x:f>
      </x:c>
      <x:c r="HT205" s="27" t="str">
        <x:f>IF(C205="","",SUM(L205,R205,X205,AD205,AJ205,AP205,AV205,BB205,BH205,BN205,BT205,BZ205,CF205,CL205,CR205,CX205,DD205,DJ205,DP205,DV205,EB205,EH205,EN205,ET205,EZ205,FF205,FL205,FR205,FX205,GD205,GJ205,GP205,GV205,HB205,HH205,HN205))</x:f>
      </x:c>
      <x:c r="HU205" s="27" t="str">
        <x:f>IF(C205="","",SUM(M205,S205,Y205,AE205,AK205,AQ205,AW205,BC205,BI205,BO205,BU205,CA205,CG205,CM205,CS205,CY205,DE205,DK205,DQ205,DW205,EC205,EI205,EO205,EU205,FA205,FG205,FM205,FS205,FY205,GE205,GK205,GQ205,GW205,HC205,HI205,HO205))</x:f>
      </x:c>
      <x:c r="HV205" s="27" t="str">
        <x:f>IF(C205="","",IF(JI205=LARGE(JI205:JN205,1),"R",IF(JJ205=LARGE(JI205:JN205,1),"I",IF(JK205=LARGE(JI205:JN205,1),"A",IF(JL205=LARGE(JI205:JN205,1),"S",IF(JM205=LARGE(JI205:JN205,1),"E",IF(JN205=LARGE(JI205:JN205,1),"C",""))))))&amp;IF(JI205=LARGE(JI205:JN205,2),"R",IF(JJ205=LARGE(JI205:JN205,2),"I",IF(JK205=LARGE(JI205:JN205,2),"A",IF(JL205=LARGE(JI205:JN205,2),"S",IF(JM205=LARGE(JI205:JN205,2),"E",IF(JN205=LARGE(JI205:JN205,2),"C",""))))))&amp;IF(JI205=LARGE(JI205:JN205,3),"R",IF(JJ205=LARGE(JI205:JN205,3),"I",IF(JK205=LARGE(JI205:JN205,3),"A",IF(JL205=LARGE(JI205:JN205,3),"S",IF(JM205=LARGE(JI205:JN205,3),"E",IF(JN205=LARGE(JI205:JN205,3),"C","")))))))</x:f>
      </x:c>
      <x:c r="HW205" s="27" t="str">
        <x:f>IF(C205="","",IF(JI205=LARGE(JI205:JN205,1),"นักปฏิบัติ",IF(JJ205=LARGE(JI205:JN205,1),"นักคิดวิเคราะห์",IF(JK205=LARGE(JI205:JN205,1),"นักสร้างสรรค์",IF(JL205=LARGE(JI205:JN205,1),"ผู้เข้าใจผู้คน",IF(JM205=LARGE(JI205:JN205,1),"ผู้นำการเปลี่ยนแปลง",IF(JN205=LARGE(JI205:JN205,1),"ผู้จัดระบบ","ผู้จัดระบบ")))))))</x:f>
      </x:c>
      <x:c r="HX205" s="27"/>
      <x:c r="HY205" s="27"/>
      <x:c r="HZ205" s="27"/>
      <x:c r="IA205" s="27"/>
      <x:c r="IB205" s="27"/>
      <x:c r="IC205" s="27"/>
      <x:c r="ID205" s="27"/>
      <x:c r="IE205" s="27"/>
      <x:c r="IF205" s="27"/>
      <x:c r="IG205" s="27"/>
      <x:c r="IH205" s="27"/>
      <x:c r="II205" s="27"/>
      <x:c r="IJ205" s="27"/>
      <x:c r="IK205" s="27" t="str">
        <x:f>IF(C205="","",SUM(H205,N205,T205,Z205,AF205,AL205,AR205,AX205,BD205,BJ205,BP205))</x:f>
      </x:c>
      <x:c r="IL205" s="27" t="str">
        <x:f>IF(C205="","",SUM(I205,O205,U205,AA205,AG205,AM205,AS205,AY205,BE205,BK205,BQ205))</x:f>
      </x:c>
      <x:c r="IM205" s="27" t="str">
        <x:f>IF(C205="","",SUM(J205,P205,V205,AB205,AH205,AN205,AT205,AZ205,BF205,BL205,BR205))</x:f>
      </x:c>
      <x:c r="IN205" s="27" t="str">
        <x:f>IF(C205="","",SUM(K205,Q205,W205,AC205,AI205,AO205,AU205,BA205,BG205,BM205,BS205))</x:f>
      </x:c>
      <x:c r="IO205" s="27" t="str">
        <x:f>IF(C205="","",SUM(L205,R205,X205,AD205,AJ205,AP205,AV205,BB205,BH205,BN205,BT205))</x:f>
      </x:c>
      <x:c r="IP205" s="27" t="str">
        <x:f>IF(C205="","",SUM(M205,S205,Y205,AE205,AK205,AQ205,AW205,BC205,BI205,BO205,BU205))</x:f>
      </x:c>
      <x:c r="IQ205" s="27" t="str">
        <x:f>IF(C205="","",SUM(BV205,CB205,CH205,CN205,CT205,CZ205,DF205,DL205,DR205,DX205,ED205))</x:f>
      </x:c>
      <x:c r="IR205" s="27" t="str">
        <x:f>IF(C205="","",SUM(BW205,CC205,CI205,CO205,CU205,DA205,DG205,DM205,DS205,DY205,EE205))</x:f>
      </x:c>
      <x:c r="IS205" s="27" t="str">
        <x:f>IF(C205="","",SUM(BX205,CD205,CJ205,CP205,CV205,DB205,DH205,DN205,DT205,DZ205,EF205))</x:f>
      </x:c>
      <x:c r="IT205" s="27" t="str">
        <x:f>IF(C205="","",SUM(BY205,CE205,CK205,CQ205,CW205,DC205,DI205,DO205,DU205,EA205,EG205))</x:f>
      </x:c>
      <x:c r="IU205" s="27" t="str">
        <x:f>IF(C205="","",SUM(BZ205,CF205,CL205,CR205,CX205,DD205,DJ205,DP205,DV205,EB205,EH205))</x:f>
      </x:c>
      <x:c r="IV205" s="27" t="str">
        <x:f>IF(C205="","",SUM(CA205,CG205,CM205,CS205,CY205,DE205,DK205,DQ205,DW205,EC205,EI205))</x:f>
      </x:c>
      <x:c r="IW205" s="27" t="str">
        <x:f>IF(C205="","",SUM(EJ205,EP205,EV205,FB205,FH205,FN205,FT205,FZ205,GF205,GL205,GR205,GX205,HD205,HJ205))</x:f>
      </x:c>
      <x:c r="IX205" s="27" t="str">
        <x:f>IF(C205="","",SUM(EK205,EQ205,EW205,FC205,FI205,FO205,FU205,GA205,GG205,GM205,GS205,GY205,HE205,HK205))</x:f>
      </x:c>
      <x:c r="IY205" s="27" t="str">
        <x:f>IF(C205="","",SUM(EL205,ER205,EX205,FD205,FJ205,FP205,FV205,GB205,GH205,GN205,GT205,GZ205,HF205,HL205))</x:f>
      </x:c>
      <x:c r="IZ205" s="27" t="str">
        <x:f>IF(C205="","",SUM(EM205,ES205,EY205,FE205,FK205,FQ205,FW205,GC205,GI205,GO205,GU205,HA205,HG205,HM205))</x:f>
      </x:c>
      <x:c r="JA205" s="27" t="str">
        <x:f>IF(C205="","",SUM(EN205,ET205,EZ205,FF205,FL205,FR205,FX205,GD205,GJ205,GP205,GV205,HB205,HH205,HN205))</x:f>
      </x:c>
      <x:c r="JB205" s="27" t="str">
        <x:f>IF(C205="","",SUM(EO205,EU205,FA205,FG205,FM205,FS205,FY205,GE205,GK205,GQ205,GW205,HC205,HI205,HO205))</x:f>
      </x:c>
      <x:c r="JC205" s="27" t="str">
        <x:f>IF(C205="","",0)</x:f>
      </x:c>
      <x:c r="JD205" s="27" t="str">
        <x:f>IF(C205="","",0)</x:f>
      </x:c>
      <x:c r="JE205" s="27" t="str">
        <x:f>IF(C205="","",0)</x:f>
      </x:c>
      <x:c r="JF205" s="27" t="str">
        <x:f>IF(C205="","",0)</x:f>
      </x:c>
      <x:c r="JG205" s="27" t="str">
        <x:f>IF(C205="","",0)</x:f>
      </x:c>
      <x:c r="JH205" s="27" t="str">
        <x:f>IF(C205="","",0)</x:f>
      </x:c>
      <x:c r="JI205" s="27" t="str">
        <x:f>IF(C205="","",HP205*1000000000+IW205*1000000+IQ205*10000+IK205*100+JC205+6/1000)</x:f>
      </x:c>
      <x:c r="JJ205" s="27" t="str">
        <x:f>IF(C205="","",HQ205*1000000000+IX205*1000000+IR205*10000+IL205*100+JD205+5/1000)</x:f>
      </x:c>
      <x:c r="JK205" s="27" t="str">
        <x:f>IF(C205="","",HR205*1000000000+IY205*1000000+IS205*10000+IM205*100+JE205+4/1000)</x:f>
      </x:c>
      <x:c r="JL205" s="27" t="str">
        <x:f>IF(C205="","",HS205*1000000000+IZ205*1000000+IT205*10000+IN205*100+JF205+3/1000)</x:f>
      </x:c>
      <x:c r="JM205" s="27" t="str">
        <x:f>IF(C205="","",HT205*1000000000+JA205*1000000+IU205*10000+IO205*100+JG205+2/1000)</x:f>
      </x:c>
      <x:c r="JN205" s="27" t="str">
        <x:f>IF(C205="","",HU205*1000000000+JB205*1000000+IV205*10000+IP205*100+JH205+1/1000)</x:f>
      </x:c>
    </x:row>
  </x:sheetData>
  <x:mergeCells>
    <x:mergeCell ref="A1:JN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4" hidden="0" customWidth="1"/>
    <x:col min="4" max="4" width="62" hidden="0" customWidth="1"/>
    <x:col min="5" max="5" width="12" hidden="0" customWidth="1"/>
    <x:col min="6" max="6" width="12" hidden="0" customWidth="1"/>
  </x:cols>
  <x:sheetData>
    <x:row r="1">
      <x:c r="A1" s="4" t="str">
        <x:v>คำถาม RIASEC</x:v>
      </x:c>
      <x:c r="B1" s="4"/>
      <x:c r="C1" s="4"/>
      <x:c r="D1" s="4"/>
      <x:c r="E1" s="4"/>
      <x:c r="F1" s="4"/>
    </x:row>
    <x:row r="2">
      <x:c r="A2" s="5" t="str">
        <x:v>แก้ไขข้อความได้ตามบริบทโรงเรียน แต่คงรหัส R/I/A/S/E/C และค่าคำตอบไว้เพื่อสูตรคะแนน</x:v>
      </x:c>
    </x:row>
    <x:row r="4">
      <x:c r="A4" s="23" t="str">
        <x:v>รหัสคำถาม</x:v>
      </x:c>
      <x:c r="B4" s="24" t="str">
        <x:v>มิติ S.D.S.</x:v>
      </x:c>
      <x:c r="C4" s="24" t="str">
        <x:v>รหัส RIASEC</x:v>
      </x:c>
      <x:c r="D4" s="24" t="str">
        <x:v>ข้อความคำถาม</x:v>
      </x:c>
      <x:c r="E4" s="24" t="str">
        <x:v>ใช่/สนใจ</x:v>
      </x:c>
      <x:c r="F4" s="25" t="str">
        <x:v>ไม่ใช่</x:v>
      </x:c>
    </x:row>
    <x:row r="5">
      <x:c r="A5" s="9" t="str">
        <x:v>001</x:v>
      </x:c>
      <x:c r="B5" s="9" t="str">
        <x:v>กิจกรรม</x:v>
      </x:c>
      <x:c r="C5" s="9" t="str">
        <x:v>R</x:v>
      </x:c>
      <x:c r="D5" s="9" t="str">
        <x:v>ประกอบหรือซ่อมสิ่งของที่มีชิ้นส่วน</x:v>
      </x:c>
      <x:c r="E5" s="9" t="n">
        <x:v>1</x:v>
      </x:c>
      <x:c r="F5" s="9" t="n">
        <x:v>0</x:v>
      </x:c>
    </x:row>
    <x:row r="6">
      <x:c r="A6" s="9" t="str">
        <x:v>002</x:v>
      </x:c>
      <x:c r="B6" s="9" t="str">
        <x:v>กิจกรรม</x:v>
      </x:c>
      <x:c r="C6" s="9" t="str">
        <x:v>I</x:v>
      </x:c>
      <x:c r="D6" s="9" t="str">
        <x:v>ทดลอง ค้นคว้า หรือหาคำตอบจากข้อมูล</x:v>
      </x:c>
      <x:c r="E6" s="9" t="n">
        <x:v>1</x:v>
      </x:c>
      <x:c r="F6" s="9" t="n">
        <x:v>0</x:v>
      </x:c>
    </x:row>
    <x:row r="7">
      <x:c r="A7" s="9" t="str">
        <x:v>003</x:v>
      </x:c>
      <x:c r="B7" s="9" t="str">
        <x:v>กิจกรรม</x:v>
      </x:c>
      <x:c r="C7" s="9" t="str">
        <x:v>A</x:v>
      </x:c>
      <x:c r="D7" s="9" t="str">
        <x:v>วาดภาพ ออกแบบ หรือสร้างผลงาน</x:v>
      </x:c>
      <x:c r="E7" s="9" t="n">
        <x:v>1</x:v>
      </x:c>
      <x:c r="F7" s="9" t="n">
        <x:v>0</x:v>
      </x:c>
    </x:row>
    <x:row r="8">
      <x:c r="A8" s="9" t="str">
        <x:v>004</x:v>
      </x:c>
      <x:c r="B8" s="9" t="str">
        <x:v>กิจกรรม</x:v>
      </x:c>
      <x:c r="C8" s="9" t="str">
        <x:v>S</x:v>
      </x:c>
      <x:c r="D8" s="9" t="str">
        <x:v>สอน อธิบาย หรือช่วยคนแก้ปัญหา</x:v>
      </x:c>
      <x:c r="E8" s="9" t="n">
        <x:v>1</x:v>
      </x:c>
      <x:c r="F8" s="9" t="n">
        <x:v>0</x:v>
      </x:c>
    </x:row>
    <x:row r="9">
      <x:c r="A9" s="9" t="str">
        <x:v>005</x:v>
      </x:c>
      <x:c r="B9" s="9" t="str">
        <x:v>กิจกรรม</x:v>
      </x:c>
      <x:c r="C9" s="9" t="str">
        <x:v>E</x:v>
      </x:c>
      <x:c r="D9" s="9" t="str">
        <x:v>ชวนคนเห็นด้วยกับไอเดียของคุณ</x:v>
      </x:c>
      <x:c r="E9" s="9" t="n">
        <x:v>1</x:v>
      </x:c>
      <x:c r="F9" s="9" t="n">
        <x:v>0</x:v>
      </x:c>
    </x:row>
    <x:row r="10">
      <x:c r="A10" s="9" t="str">
        <x:v>006</x:v>
      </x:c>
      <x:c r="B10" s="9" t="str">
        <x:v>กิจกรรม</x:v>
      </x:c>
      <x:c r="C10" s="9" t="str">
        <x:v>C</x:v>
      </x:c>
      <x:c r="D10" s="9" t="str">
        <x:v>จัดแฟ้ม ข้อมูล หรือรายการให้เป็นระเบียบ</x:v>
      </x:c>
      <x:c r="E10" s="9" t="n">
        <x:v>1</x:v>
      </x:c>
      <x:c r="F10" s="9" t="n">
        <x:v>0</x:v>
      </x:c>
    </x:row>
    <x:row r="11">
      <x:c r="A11" s="9" t="str">
        <x:v>007</x:v>
      </x:c>
      <x:c r="B11" s="9" t="str">
        <x:v>กิจกรรม</x:v>
      </x:c>
      <x:c r="C11" s="9" t="str">
        <x:v>R</x:v>
      </x:c>
      <x:c r="D11" s="9" t="str">
        <x:v>ประกอบหรือซ่อมสิ่งของที่มีชิ้นส่วน</x:v>
      </x:c>
      <x:c r="E11" s="9" t="n">
        <x:v>1</x:v>
      </x:c>
      <x:c r="F11" s="9" t="n">
        <x:v>0</x:v>
      </x:c>
    </x:row>
    <x:row r="12">
      <x:c r="A12" s="9" t="str">
        <x:v>008</x:v>
      </x:c>
      <x:c r="B12" s="9" t="str">
        <x:v>กิจกรรม</x:v>
      </x:c>
      <x:c r="C12" s="9" t="str">
        <x:v>I</x:v>
      </x:c>
      <x:c r="D12" s="9" t="str">
        <x:v>ทดลอง ค้นคว้า หรือหาคำตอบจากข้อมูล</x:v>
      </x:c>
      <x:c r="E12" s="9" t="n">
        <x:v>1</x:v>
      </x:c>
      <x:c r="F12" s="9" t="n">
        <x:v>0</x:v>
      </x:c>
    </x:row>
    <x:row r="13">
      <x:c r="A13" s="9" t="str">
        <x:v>009</x:v>
      </x:c>
      <x:c r="B13" s="9" t="str">
        <x:v>กิจกรรม</x:v>
      </x:c>
      <x:c r="C13" s="9" t="str">
        <x:v>A</x:v>
      </x:c>
      <x:c r="D13" s="9" t="str">
        <x:v>วาดภาพ ออกแบบ หรือสร้างผลงาน</x:v>
      </x:c>
      <x:c r="E13" s="9" t="n">
        <x:v>1</x:v>
      </x:c>
      <x:c r="F13" s="9" t="n">
        <x:v>0</x:v>
      </x:c>
    </x:row>
    <x:row r="14">
      <x:c r="A14" s="9" t="str">
        <x:v>010</x:v>
      </x:c>
      <x:c r="B14" s="9" t="str">
        <x:v>กิจกรรม</x:v>
      </x:c>
      <x:c r="C14" s="9" t="str">
        <x:v>S</x:v>
      </x:c>
      <x:c r="D14" s="9" t="str">
        <x:v>สอน อธิบาย หรือช่วยคนแก้ปัญหา</x:v>
      </x:c>
      <x:c r="E14" s="9" t="n">
        <x:v>1</x:v>
      </x:c>
      <x:c r="F14" s="9" t="n">
        <x:v>0</x:v>
      </x:c>
    </x:row>
    <x:row r="15">
      <x:c r="A15" s="9" t="str">
        <x:v>011</x:v>
      </x:c>
      <x:c r="B15" s="9" t="str">
        <x:v>กิจกรรม</x:v>
      </x:c>
      <x:c r="C15" s="9" t="str">
        <x:v>E</x:v>
      </x:c>
      <x:c r="D15" s="9" t="str">
        <x:v>ชวนคนเห็นด้วยกับไอเดียของคุณ</x:v>
      </x:c>
      <x:c r="E15" s="9" t="n">
        <x:v>1</x:v>
      </x:c>
      <x:c r="F15" s="9" t="n">
        <x:v>0</x:v>
      </x:c>
    </x:row>
    <x:row r="16">
      <x:c r="A16" s="9" t="str">
        <x:v>012</x:v>
      </x:c>
      <x:c r="B16" s="9" t="str">
        <x:v>กิจกรรม</x:v>
      </x:c>
      <x:c r="C16" s="9" t="str">
        <x:v>C</x:v>
      </x:c>
      <x:c r="D16" s="9" t="str">
        <x:v>จัดแฟ้ม ข้อมูล หรือรายการให้เป็นระเบียบ</x:v>
      </x:c>
      <x:c r="E16" s="9" t="n">
        <x:v>1</x:v>
      </x:c>
      <x:c r="F16" s="9" t="n">
        <x:v>0</x:v>
      </x:c>
    </x:row>
    <x:row r="17">
      <x:c r="A17" s="9" t="str">
        <x:v>013</x:v>
      </x:c>
      <x:c r="B17" s="9" t="str">
        <x:v>กิจกรรม</x:v>
      </x:c>
      <x:c r="C17" s="9" t="str">
        <x:v>R</x:v>
      </x:c>
      <x:c r="D17" s="9" t="str">
        <x:v>ประกอบหรือซ่อมสิ่งของที่มีชิ้นส่วน</x:v>
      </x:c>
      <x:c r="E17" s="9" t="n">
        <x:v>1</x:v>
      </x:c>
      <x:c r="F17" s="9" t="n">
        <x:v>0</x:v>
      </x:c>
    </x:row>
    <x:row r="18">
      <x:c r="A18" s="9" t="str">
        <x:v>014</x:v>
      </x:c>
      <x:c r="B18" s="9" t="str">
        <x:v>กิจกรรม</x:v>
      </x:c>
      <x:c r="C18" s="9" t="str">
        <x:v>I</x:v>
      </x:c>
      <x:c r="D18" s="9" t="str">
        <x:v>ทดลอง ค้นคว้า หรือหาคำตอบจากข้อมูล</x:v>
      </x:c>
      <x:c r="E18" s="9" t="n">
        <x:v>1</x:v>
      </x:c>
      <x:c r="F18" s="9" t="n">
        <x:v>0</x:v>
      </x:c>
    </x:row>
    <x:row r="19">
      <x:c r="A19" s="9" t="str">
        <x:v>015</x:v>
      </x:c>
      <x:c r="B19" s="9" t="str">
        <x:v>กิจกรรม</x:v>
      </x:c>
      <x:c r="C19" s="9" t="str">
        <x:v>A</x:v>
      </x:c>
      <x:c r="D19" s="9" t="str">
        <x:v>วาดภาพ ออกแบบ หรือสร้างผลงาน</x:v>
      </x:c>
      <x:c r="E19" s="9" t="n">
        <x:v>1</x:v>
      </x:c>
      <x:c r="F19" s="9" t="n">
        <x:v>0</x:v>
      </x:c>
    </x:row>
    <x:row r="20">
      <x:c r="A20" s="9" t="str">
        <x:v>016</x:v>
      </x:c>
      <x:c r="B20" s="9" t="str">
        <x:v>กิจกรรม</x:v>
      </x:c>
      <x:c r="C20" s="9" t="str">
        <x:v>S</x:v>
      </x:c>
      <x:c r="D20" s="9" t="str">
        <x:v>สอน อธิบาย หรือช่วยคนแก้ปัญหา</x:v>
      </x:c>
      <x:c r="E20" s="9" t="n">
        <x:v>1</x:v>
      </x:c>
      <x:c r="F20" s="9" t="n">
        <x:v>0</x:v>
      </x:c>
    </x:row>
    <x:row r="21">
      <x:c r="A21" s="9" t="str">
        <x:v>017</x:v>
      </x:c>
      <x:c r="B21" s="9" t="str">
        <x:v>กิจกรรม</x:v>
      </x:c>
      <x:c r="C21" s="9" t="str">
        <x:v>E</x:v>
      </x:c>
      <x:c r="D21" s="9" t="str">
        <x:v>ชวนคนเห็นด้วยกับไอเดียของคุณ</x:v>
      </x:c>
      <x:c r="E21" s="9" t="n">
        <x:v>1</x:v>
      </x:c>
      <x:c r="F21" s="9" t="n">
        <x:v>0</x:v>
      </x:c>
    </x:row>
    <x:row r="22">
      <x:c r="A22" s="9" t="str">
        <x:v>018</x:v>
      </x:c>
      <x:c r="B22" s="9" t="str">
        <x:v>กิจกรรม</x:v>
      </x:c>
      <x:c r="C22" s="9" t="str">
        <x:v>C</x:v>
      </x:c>
      <x:c r="D22" s="9" t="str">
        <x:v>จัดแฟ้ม ข้อมูล หรือรายการให้เป็นระเบียบ</x:v>
      </x:c>
      <x:c r="E22" s="9" t="n">
        <x:v>1</x:v>
      </x:c>
      <x:c r="F22" s="9" t="n">
        <x:v>0</x:v>
      </x:c>
    </x:row>
    <x:row r="23">
      <x:c r="A23" s="9" t="str">
        <x:v>019</x:v>
      </x:c>
      <x:c r="B23" s="9" t="str">
        <x:v>กิจกรรม</x:v>
      </x:c>
      <x:c r="C23" s="9" t="str">
        <x:v>R</x:v>
      </x:c>
      <x:c r="D23" s="9" t="str">
        <x:v>ประกอบหรือซ่อมสิ่งของที่มีชิ้นส่วน</x:v>
      </x:c>
      <x:c r="E23" s="9" t="n">
        <x:v>1</x:v>
      </x:c>
      <x:c r="F23" s="9" t="n">
        <x:v>0</x:v>
      </x:c>
    </x:row>
    <x:row r="24">
      <x:c r="A24" s="9" t="str">
        <x:v>020</x:v>
      </x:c>
      <x:c r="B24" s="9" t="str">
        <x:v>กิจกรรม</x:v>
      </x:c>
      <x:c r="C24" s="9" t="str">
        <x:v>I</x:v>
      </x:c>
      <x:c r="D24" s="9" t="str">
        <x:v>ทดลอง ค้นคว้า หรือหาคำตอบจากข้อมูล</x:v>
      </x:c>
      <x:c r="E24" s="9" t="n">
        <x:v>1</x:v>
      </x:c>
      <x:c r="F24" s="9" t="n">
        <x:v>0</x:v>
      </x:c>
    </x:row>
    <x:row r="25">
      <x:c r="A25" s="9" t="str">
        <x:v>021</x:v>
      </x:c>
      <x:c r="B25" s="9" t="str">
        <x:v>กิจกรรม</x:v>
      </x:c>
      <x:c r="C25" s="9" t="str">
        <x:v>A</x:v>
      </x:c>
      <x:c r="D25" s="9" t="str">
        <x:v>วาดภาพ ออกแบบ หรือสร้างผลงาน</x:v>
      </x:c>
      <x:c r="E25" s="9" t="n">
        <x:v>1</x:v>
      </x:c>
      <x:c r="F25" s="9" t="n">
        <x:v>0</x:v>
      </x:c>
    </x:row>
    <x:row r="26">
      <x:c r="A26" s="9" t="str">
        <x:v>022</x:v>
      </x:c>
      <x:c r="B26" s="9" t="str">
        <x:v>กิจกรรม</x:v>
      </x:c>
      <x:c r="C26" s="9" t="str">
        <x:v>S</x:v>
      </x:c>
      <x:c r="D26" s="9" t="str">
        <x:v>สอน อธิบาย หรือช่วยคนแก้ปัญหา</x:v>
      </x:c>
      <x:c r="E26" s="9" t="n">
        <x:v>1</x:v>
      </x:c>
      <x:c r="F26" s="9" t="n">
        <x:v>0</x:v>
      </x:c>
    </x:row>
    <x:row r="27">
      <x:c r="A27" s="9" t="str">
        <x:v>023</x:v>
      </x:c>
      <x:c r="B27" s="9" t="str">
        <x:v>กิจกรรม</x:v>
      </x:c>
      <x:c r="C27" s="9" t="str">
        <x:v>E</x:v>
      </x:c>
      <x:c r="D27" s="9" t="str">
        <x:v>ชวนคนเห็นด้วยกับไอเดียของคุณ</x:v>
      </x:c>
      <x:c r="E27" s="9" t="n">
        <x:v>1</x:v>
      </x:c>
      <x:c r="F27" s="9" t="n">
        <x:v>0</x:v>
      </x:c>
    </x:row>
    <x:row r="28">
      <x:c r="A28" s="9" t="str">
        <x:v>024</x:v>
      </x:c>
      <x:c r="B28" s="9" t="str">
        <x:v>กิจกรรม</x:v>
      </x:c>
      <x:c r="C28" s="9" t="str">
        <x:v>C</x:v>
      </x:c>
      <x:c r="D28" s="9" t="str">
        <x:v>จัดแฟ้ม ข้อมูล หรือรายการให้เป็นระเบียบ</x:v>
      </x:c>
      <x:c r="E28" s="9" t="n">
        <x:v>1</x:v>
      </x:c>
      <x:c r="F28" s="9" t="n">
        <x:v>0</x:v>
      </x:c>
    </x:row>
    <x:row r="29">
      <x:c r="A29" s="9" t="str">
        <x:v>025</x:v>
      </x:c>
      <x:c r="B29" s="9" t="str">
        <x:v>กิจกรรม</x:v>
      </x:c>
      <x:c r="C29" s="9" t="str">
        <x:v>R</x:v>
      </x:c>
      <x:c r="D29" s="9" t="str">
        <x:v>ประกอบหรือซ่อมสิ่งของที่มีชิ้นส่วน</x:v>
      </x:c>
      <x:c r="E29" s="9" t="n">
        <x:v>1</x:v>
      </x:c>
      <x:c r="F29" s="9" t="n">
        <x:v>0</x:v>
      </x:c>
    </x:row>
    <x:row r="30">
      <x:c r="A30" s="9" t="str">
        <x:v>026</x:v>
      </x:c>
      <x:c r="B30" s="9" t="str">
        <x:v>กิจกรรม</x:v>
      </x:c>
      <x:c r="C30" s="9" t="str">
        <x:v>I</x:v>
      </x:c>
      <x:c r="D30" s="9" t="str">
        <x:v>ทดลอง ค้นคว้า หรือหาคำตอบจากข้อมูล</x:v>
      </x:c>
      <x:c r="E30" s="9" t="n">
        <x:v>1</x:v>
      </x:c>
      <x:c r="F30" s="9" t="n">
        <x:v>0</x:v>
      </x:c>
    </x:row>
    <x:row r="31">
      <x:c r="A31" s="9" t="str">
        <x:v>027</x:v>
      </x:c>
      <x:c r="B31" s="9" t="str">
        <x:v>กิจกรรม</x:v>
      </x:c>
      <x:c r="C31" s="9" t="str">
        <x:v>A</x:v>
      </x:c>
      <x:c r="D31" s="9" t="str">
        <x:v>วาดภาพ ออกแบบ หรือสร้างผลงาน</x:v>
      </x:c>
      <x:c r="E31" s="9" t="n">
        <x:v>1</x:v>
      </x:c>
      <x:c r="F31" s="9" t="n">
        <x:v>0</x:v>
      </x:c>
    </x:row>
    <x:row r="32">
      <x:c r="A32" s="9" t="str">
        <x:v>028</x:v>
      </x:c>
      <x:c r="B32" s="9" t="str">
        <x:v>กิจกรรม</x:v>
      </x:c>
      <x:c r="C32" s="9" t="str">
        <x:v>S</x:v>
      </x:c>
      <x:c r="D32" s="9" t="str">
        <x:v>สอน อธิบาย หรือช่วยคนแก้ปัญหา</x:v>
      </x:c>
      <x:c r="E32" s="9" t="n">
        <x:v>1</x:v>
      </x:c>
      <x:c r="F32" s="9" t="n">
        <x:v>0</x:v>
      </x:c>
    </x:row>
    <x:row r="33">
      <x:c r="A33" s="9" t="str">
        <x:v>029</x:v>
      </x:c>
      <x:c r="B33" s="9" t="str">
        <x:v>กิจกรรม</x:v>
      </x:c>
      <x:c r="C33" s="9" t="str">
        <x:v>E</x:v>
      </x:c>
      <x:c r="D33" s="9" t="str">
        <x:v>ชวนคนเห็นด้วยกับไอเดียของคุณ</x:v>
      </x:c>
      <x:c r="E33" s="9" t="n">
        <x:v>1</x:v>
      </x:c>
      <x:c r="F33" s="9" t="n">
        <x:v>0</x:v>
      </x:c>
    </x:row>
    <x:row r="34">
      <x:c r="A34" s="9" t="str">
        <x:v>030</x:v>
      </x:c>
      <x:c r="B34" s="9" t="str">
        <x:v>กิจกรรม</x:v>
      </x:c>
      <x:c r="C34" s="9" t="str">
        <x:v>C</x:v>
      </x:c>
      <x:c r="D34" s="9" t="str">
        <x:v>จัดแฟ้ม ข้อมูล หรือรายการให้เป็นระเบียบ</x:v>
      </x:c>
      <x:c r="E34" s="9" t="n">
        <x:v>1</x:v>
      </x:c>
      <x:c r="F34" s="9" t="n">
        <x:v>0</x:v>
      </x:c>
    </x:row>
    <x:row r="35">
      <x:c r="A35" s="9" t="str">
        <x:v>031</x:v>
      </x:c>
      <x:c r="B35" s="9" t="str">
        <x:v>กิจกรรม</x:v>
      </x:c>
      <x:c r="C35" s="9" t="str">
        <x:v>R</x:v>
      </x:c>
      <x:c r="D35" s="9" t="str">
        <x:v>ประกอบหรือซ่อมสิ่งของที่มีชิ้นส่วน</x:v>
      </x:c>
      <x:c r="E35" s="9" t="n">
        <x:v>1</x:v>
      </x:c>
      <x:c r="F35" s="9" t="n">
        <x:v>0</x:v>
      </x:c>
    </x:row>
    <x:row r="36">
      <x:c r="A36" s="9" t="str">
        <x:v>032</x:v>
      </x:c>
      <x:c r="B36" s="9" t="str">
        <x:v>กิจกรรม</x:v>
      </x:c>
      <x:c r="C36" s="9" t="str">
        <x:v>I</x:v>
      </x:c>
      <x:c r="D36" s="9" t="str">
        <x:v>ทดลอง ค้นคว้า หรือหาคำตอบจากข้อมูล</x:v>
      </x:c>
      <x:c r="E36" s="9" t="n">
        <x:v>1</x:v>
      </x:c>
      <x:c r="F36" s="9" t="n">
        <x:v>0</x:v>
      </x:c>
    </x:row>
    <x:row r="37">
      <x:c r="A37" s="9" t="str">
        <x:v>033</x:v>
      </x:c>
      <x:c r="B37" s="9" t="str">
        <x:v>กิจกรรม</x:v>
      </x:c>
      <x:c r="C37" s="9" t="str">
        <x:v>A</x:v>
      </x:c>
      <x:c r="D37" s="9" t="str">
        <x:v>วาดภาพ ออกแบบ หรือสร้างผลงาน</x:v>
      </x:c>
      <x:c r="E37" s="9" t="n">
        <x:v>1</x:v>
      </x:c>
      <x:c r="F37" s="9" t="n">
        <x:v>0</x:v>
      </x:c>
    </x:row>
    <x:row r="38">
      <x:c r="A38" s="9" t="str">
        <x:v>034</x:v>
      </x:c>
      <x:c r="B38" s="9" t="str">
        <x:v>กิจกรรม</x:v>
      </x:c>
      <x:c r="C38" s="9" t="str">
        <x:v>S</x:v>
      </x:c>
      <x:c r="D38" s="9" t="str">
        <x:v>สอน อธิบาย หรือช่วยคนแก้ปัญหา</x:v>
      </x:c>
      <x:c r="E38" s="9" t="n">
        <x:v>1</x:v>
      </x:c>
      <x:c r="F38" s="9" t="n">
        <x:v>0</x:v>
      </x:c>
    </x:row>
    <x:row r="39">
      <x:c r="A39" s="9" t="str">
        <x:v>035</x:v>
      </x:c>
      <x:c r="B39" s="9" t="str">
        <x:v>กิจกรรม</x:v>
      </x:c>
      <x:c r="C39" s="9" t="str">
        <x:v>E</x:v>
      </x:c>
      <x:c r="D39" s="9" t="str">
        <x:v>ชวนคนเห็นด้วยกับไอเดียของคุณ</x:v>
      </x:c>
      <x:c r="E39" s="9" t="n">
        <x:v>1</x:v>
      </x:c>
      <x:c r="F39" s="9" t="n">
        <x:v>0</x:v>
      </x:c>
    </x:row>
    <x:row r="40">
      <x:c r="A40" s="9" t="str">
        <x:v>036</x:v>
      </x:c>
      <x:c r="B40" s="9" t="str">
        <x:v>กิจกรรม</x:v>
      </x:c>
      <x:c r="C40" s="9" t="str">
        <x:v>C</x:v>
      </x:c>
      <x:c r="D40" s="9" t="str">
        <x:v>จัดแฟ้ม ข้อมูล หรือรายการให้เป็นระเบียบ</x:v>
      </x:c>
      <x:c r="E40" s="9" t="n">
        <x:v>1</x:v>
      </x:c>
      <x:c r="F40" s="9" t="n">
        <x:v>0</x:v>
      </x:c>
    </x:row>
    <x:row r="41">
      <x:c r="A41" s="9" t="str">
        <x:v>037</x:v>
      </x:c>
      <x:c r="B41" s="9" t="str">
        <x:v>กิจกรรม</x:v>
      </x:c>
      <x:c r="C41" s="9" t="str">
        <x:v>R</x:v>
      </x:c>
      <x:c r="D41" s="9" t="str">
        <x:v>ประกอบหรือซ่อมสิ่งของที่มีชิ้นส่วน</x:v>
      </x:c>
      <x:c r="E41" s="9" t="n">
        <x:v>1</x:v>
      </x:c>
      <x:c r="F41" s="9" t="n">
        <x:v>0</x:v>
      </x:c>
    </x:row>
    <x:row r="42">
      <x:c r="A42" s="9" t="str">
        <x:v>038</x:v>
      </x:c>
      <x:c r="B42" s="9" t="str">
        <x:v>กิจกรรม</x:v>
      </x:c>
      <x:c r="C42" s="9" t="str">
        <x:v>I</x:v>
      </x:c>
      <x:c r="D42" s="9" t="str">
        <x:v>ทดลอง ค้นคว้า หรือหาคำตอบจากข้อมูล</x:v>
      </x:c>
      <x:c r="E42" s="9" t="n">
        <x:v>1</x:v>
      </x:c>
      <x:c r="F42" s="9" t="n">
        <x:v>0</x:v>
      </x:c>
    </x:row>
    <x:row r="43">
      <x:c r="A43" s="9" t="str">
        <x:v>039</x:v>
      </x:c>
      <x:c r="B43" s="9" t="str">
        <x:v>กิจกรรม</x:v>
      </x:c>
      <x:c r="C43" s="9" t="str">
        <x:v>A</x:v>
      </x:c>
      <x:c r="D43" s="9" t="str">
        <x:v>วาดภาพ ออกแบบ หรือสร้างผลงาน</x:v>
      </x:c>
      <x:c r="E43" s="9" t="n">
        <x:v>1</x:v>
      </x:c>
      <x:c r="F43" s="9" t="n">
        <x:v>0</x:v>
      </x:c>
    </x:row>
    <x:row r="44">
      <x:c r="A44" s="9" t="str">
        <x:v>040</x:v>
      </x:c>
      <x:c r="B44" s="9" t="str">
        <x:v>กิจกรรม</x:v>
      </x:c>
      <x:c r="C44" s="9" t="str">
        <x:v>S</x:v>
      </x:c>
      <x:c r="D44" s="9" t="str">
        <x:v>สอน อธิบาย หรือช่วยคนแก้ปัญหา</x:v>
      </x:c>
      <x:c r="E44" s="9" t="n">
        <x:v>1</x:v>
      </x:c>
      <x:c r="F44" s="9" t="n">
        <x:v>0</x:v>
      </x:c>
    </x:row>
    <x:row r="45">
      <x:c r="A45" s="9" t="str">
        <x:v>041</x:v>
      </x:c>
      <x:c r="B45" s="9" t="str">
        <x:v>กิจกรรม</x:v>
      </x:c>
      <x:c r="C45" s="9" t="str">
        <x:v>E</x:v>
      </x:c>
      <x:c r="D45" s="9" t="str">
        <x:v>ชวนคนเห็นด้วยกับไอเดียของคุณ</x:v>
      </x:c>
      <x:c r="E45" s="9" t="n">
        <x:v>1</x:v>
      </x:c>
      <x:c r="F45" s="9" t="n">
        <x:v>0</x:v>
      </x:c>
    </x:row>
    <x:row r="46">
      <x:c r="A46" s="9" t="str">
        <x:v>042</x:v>
      </x:c>
      <x:c r="B46" s="9" t="str">
        <x:v>กิจกรรม</x:v>
      </x:c>
      <x:c r="C46" s="9" t="str">
        <x:v>C</x:v>
      </x:c>
      <x:c r="D46" s="9" t="str">
        <x:v>จัดแฟ้ม ข้อมูล หรือรายการให้เป็นระเบียบ</x:v>
      </x:c>
      <x:c r="E46" s="9" t="n">
        <x:v>1</x:v>
      </x:c>
      <x:c r="F46" s="9" t="n">
        <x:v>0</x:v>
      </x:c>
    </x:row>
    <x:row r="47">
      <x:c r="A47" s="9" t="str">
        <x:v>043</x:v>
      </x:c>
      <x:c r="B47" s="9" t="str">
        <x:v>กิจกรรม</x:v>
      </x:c>
      <x:c r="C47" s="9" t="str">
        <x:v>R</x:v>
      </x:c>
      <x:c r="D47" s="9" t="str">
        <x:v>ประกอบหรือซ่อมสิ่งของที่มีชิ้นส่วน</x:v>
      </x:c>
      <x:c r="E47" s="9" t="n">
        <x:v>1</x:v>
      </x:c>
      <x:c r="F47" s="9" t="n">
        <x:v>0</x:v>
      </x:c>
    </x:row>
    <x:row r="48">
      <x:c r="A48" s="9" t="str">
        <x:v>044</x:v>
      </x:c>
      <x:c r="B48" s="9" t="str">
        <x:v>กิจกรรม</x:v>
      </x:c>
      <x:c r="C48" s="9" t="str">
        <x:v>I</x:v>
      </x:c>
      <x:c r="D48" s="9" t="str">
        <x:v>ทดลอง ค้นคว้า หรือหาคำตอบจากข้อมูล</x:v>
      </x:c>
      <x:c r="E48" s="9" t="n">
        <x:v>1</x:v>
      </x:c>
      <x:c r="F48" s="9" t="n">
        <x:v>0</x:v>
      </x:c>
    </x:row>
    <x:row r="49">
      <x:c r="A49" s="9" t="str">
        <x:v>045</x:v>
      </x:c>
      <x:c r="B49" s="9" t="str">
        <x:v>กิจกรรม</x:v>
      </x:c>
      <x:c r="C49" s="9" t="str">
        <x:v>A</x:v>
      </x:c>
      <x:c r="D49" s="9" t="str">
        <x:v>วาดภาพ ออกแบบ หรือสร้างผลงาน</x:v>
      </x:c>
      <x:c r="E49" s="9" t="n">
        <x:v>1</x:v>
      </x:c>
      <x:c r="F49" s="9" t="n">
        <x:v>0</x:v>
      </x:c>
    </x:row>
    <x:row r="50">
      <x:c r="A50" s="9" t="str">
        <x:v>046</x:v>
      </x:c>
      <x:c r="B50" s="9" t="str">
        <x:v>กิจกรรม</x:v>
      </x:c>
      <x:c r="C50" s="9" t="str">
        <x:v>S</x:v>
      </x:c>
      <x:c r="D50" s="9" t="str">
        <x:v>สอน อธิบาย หรือช่วยคนแก้ปัญหา</x:v>
      </x:c>
      <x:c r="E50" s="9" t="n">
        <x:v>1</x:v>
      </x:c>
      <x:c r="F50" s="9" t="n">
        <x:v>0</x:v>
      </x:c>
    </x:row>
    <x:row r="51">
      <x:c r="A51" s="9" t="str">
        <x:v>047</x:v>
      </x:c>
      <x:c r="B51" s="9" t="str">
        <x:v>กิจกรรม</x:v>
      </x:c>
      <x:c r="C51" s="9" t="str">
        <x:v>E</x:v>
      </x:c>
      <x:c r="D51" s="9" t="str">
        <x:v>ชวนคนเห็นด้วยกับไอเดียของคุณ</x:v>
      </x:c>
      <x:c r="E51" s="9" t="n">
        <x:v>1</x:v>
      </x:c>
      <x:c r="F51" s="9" t="n">
        <x:v>0</x:v>
      </x:c>
    </x:row>
    <x:row r="52">
      <x:c r="A52" s="9" t="str">
        <x:v>048</x:v>
      </x:c>
      <x:c r="B52" s="9" t="str">
        <x:v>กิจกรรม</x:v>
      </x:c>
      <x:c r="C52" s="9" t="str">
        <x:v>C</x:v>
      </x:c>
      <x:c r="D52" s="9" t="str">
        <x:v>จัดแฟ้ม ข้อมูล หรือรายการให้เป็นระเบียบ</x:v>
      </x:c>
      <x:c r="E52" s="9" t="n">
        <x:v>1</x:v>
      </x:c>
      <x:c r="F52" s="9" t="n">
        <x:v>0</x:v>
      </x:c>
    </x:row>
    <x:row r="53">
      <x:c r="A53" s="9" t="str">
        <x:v>049</x:v>
      </x:c>
      <x:c r="B53" s="9" t="str">
        <x:v>กิจกรรม</x:v>
      </x:c>
      <x:c r="C53" s="9" t="str">
        <x:v>R</x:v>
      </x:c>
      <x:c r="D53" s="9" t="str">
        <x:v>ประกอบหรือซ่อมสิ่งของที่มีชิ้นส่วน</x:v>
      </x:c>
      <x:c r="E53" s="9" t="n">
        <x:v>1</x:v>
      </x:c>
      <x:c r="F53" s="9" t="n">
        <x:v>0</x:v>
      </x:c>
    </x:row>
    <x:row r="54">
      <x:c r="A54" s="9" t="str">
        <x:v>050</x:v>
      </x:c>
      <x:c r="B54" s="9" t="str">
        <x:v>กิจกรรม</x:v>
      </x:c>
      <x:c r="C54" s="9" t="str">
        <x:v>I</x:v>
      </x:c>
      <x:c r="D54" s="9" t="str">
        <x:v>ทดลอง ค้นคว้า หรือหาคำตอบจากข้อมูล</x:v>
      </x:c>
      <x:c r="E54" s="9" t="n">
        <x:v>1</x:v>
      </x:c>
      <x:c r="F54" s="9" t="n">
        <x:v>0</x:v>
      </x:c>
    </x:row>
    <x:row r="55">
      <x:c r="A55" s="9" t="str">
        <x:v>051</x:v>
      </x:c>
      <x:c r="B55" s="9" t="str">
        <x:v>กิจกรรม</x:v>
      </x:c>
      <x:c r="C55" s="9" t="str">
        <x:v>A</x:v>
      </x:c>
      <x:c r="D55" s="9" t="str">
        <x:v>วาดภาพ ออกแบบ หรือสร้างผลงาน</x:v>
      </x:c>
      <x:c r="E55" s="9" t="n">
        <x:v>1</x:v>
      </x:c>
      <x:c r="F55" s="9" t="n">
        <x:v>0</x:v>
      </x:c>
    </x:row>
    <x:row r="56">
      <x:c r="A56" s="9" t="str">
        <x:v>052</x:v>
      </x:c>
      <x:c r="B56" s="9" t="str">
        <x:v>กิจกรรม</x:v>
      </x:c>
      <x:c r="C56" s="9" t="str">
        <x:v>S</x:v>
      </x:c>
      <x:c r="D56" s="9" t="str">
        <x:v>สอน อธิบาย หรือช่วยคนแก้ปัญหา</x:v>
      </x:c>
      <x:c r="E56" s="9" t="n">
        <x:v>1</x:v>
      </x:c>
      <x:c r="F56" s="9" t="n">
        <x:v>0</x:v>
      </x:c>
    </x:row>
    <x:row r="57">
      <x:c r="A57" s="9" t="str">
        <x:v>053</x:v>
      </x:c>
      <x:c r="B57" s="9" t="str">
        <x:v>กิจกรรม</x:v>
      </x:c>
      <x:c r="C57" s="9" t="str">
        <x:v>E</x:v>
      </x:c>
      <x:c r="D57" s="9" t="str">
        <x:v>ชวนคนเห็นด้วยกับไอเดียของคุณ</x:v>
      </x:c>
      <x:c r="E57" s="9" t="n">
        <x:v>1</x:v>
      </x:c>
      <x:c r="F57" s="9" t="n">
        <x:v>0</x:v>
      </x:c>
    </x:row>
    <x:row r="58">
      <x:c r="A58" s="9" t="str">
        <x:v>054</x:v>
      </x:c>
      <x:c r="B58" s="9" t="str">
        <x:v>กิจกรรม</x:v>
      </x:c>
      <x:c r="C58" s="9" t="str">
        <x:v>C</x:v>
      </x:c>
      <x:c r="D58" s="9" t="str">
        <x:v>จัดแฟ้ม ข้อมูล หรือรายการให้เป็นระเบียบ</x:v>
      </x:c>
      <x:c r="E58" s="9" t="n">
        <x:v>1</x:v>
      </x:c>
      <x:c r="F58" s="9" t="n">
        <x:v>0</x:v>
      </x:c>
    </x:row>
    <x:row r="59">
      <x:c r="A59" s="9" t="str">
        <x:v>055</x:v>
      </x:c>
      <x:c r="B59" s="9" t="str">
        <x:v>กิจกรรม</x:v>
      </x:c>
      <x:c r="C59" s="9" t="str">
        <x:v>R</x:v>
      </x:c>
      <x:c r="D59" s="9" t="str">
        <x:v>ประกอบหรือซ่อมสิ่งของที่มีชิ้นส่วน</x:v>
      </x:c>
      <x:c r="E59" s="9" t="n">
        <x:v>1</x:v>
      </x:c>
      <x:c r="F59" s="9" t="n">
        <x:v>0</x:v>
      </x:c>
    </x:row>
    <x:row r="60">
      <x:c r="A60" s="9" t="str">
        <x:v>056</x:v>
      </x:c>
      <x:c r="B60" s="9" t="str">
        <x:v>กิจกรรม</x:v>
      </x:c>
      <x:c r="C60" s="9" t="str">
        <x:v>I</x:v>
      </x:c>
      <x:c r="D60" s="9" t="str">
        <x:v>ทดลอง ค้นคว้า หรือหาคำตอบจากข้อมูล</x:v>
      </x:c>
      <x:c r="E60" s="9" t="n">
        <x:v>1</x:v>
      </x:c>
      <x:c r="F60" s="9" t="n">
        <x:v>0</x:v>
      </x:c>
    </x:row>
    <x:row r="61">
      <x:c r="A61" s="9" t="str">
        <x:v>057</x:v>
      </x:c>
      <x:c r="B61" s="9" t="str">
        <x:v>กิจกรรม</x:v>
      </x:c>
      <x:c r="C61" s="9" t="str">
        <x:v>A</x:v>
      </x:c>
      <x:c r="D61" s="9" t="str">
        <x:v>วาดภาพ ออกแบบ หรือสร้างผลงาน</x:v>
      </x:c>
      <x:c r="E61" s="9" t="n">
        <x:v>1</x:v>
      </x:c>
      <x:c r="F61" s="9" t="n">
        <x:v>0</x:v>
      </x:c>
    </x:row>
    <x:row r="62">
      <x:c r="A62" s="9" t="str">
        <x:v>058</x:v>
      </x:c>
      <x:c r="B62" s="9" t="str">
        <x:v>กิจกรรม</x:v>
      </x:c>
      <x:c r="C62" s="9" t="str">
        <x:v>S</x:v>
      </x:c>
      <x:c r="D62" s="9" t="str">
        <x:v>สอน อธิบาย หรือช่วยคนแก้ปัญหา</x:v>
      </x:c>
      <x:c r="E62" s="9" t="n">
        <x:v>1</x:v>
      </x:c>
      <x:c r="F62" s="9" t="n">
        <x:v>0</x:v>
      </x:c>
    </x:row>
    <x:row r="63">
      <x:c r="A63" s="9" t="str">
        <x:v>059</x:v>
      </x:c>
      <x:c r="B63" s="9" t="str">
        <x:v>กิจกรรม</x:v>
      </x:c>
      <x:c r="C63" s="9" t="str">
        <x:v>E</x:v>
      </x:c>
      <x:c r="D63" s="9" t="str">
        <x:v>ชวนคนเห็นด้วยกับไอเดียของคุณ</x:v>
      </x:c>
      <x:c r="E63" s="9" t="n">
        <x:v>1</x:v>
      </x:c>
      <x:c r="F63" s="9" t="n">
        <x:v>0</x:v>
      </x:c>
    </x:row>
    <x:row r="64">
      <x:c r="A64" s="9" t="str">
        <x:v>060</x:v>
      </x:c>
      <x:c r="B64" s="9" t="str">
        <x:v>กิจกรรม</x:v>
      </x:c>
      <x:c r="C64" s="9" t="str">
        <x:v>C</x:v>
      </x:c>
      <x:c r="D64" s="9" t="str">
        <x:v>จัดแฟ้ม ข้อมูล หรือรายการให้เป็นระเบียบ</x:v>
      </x:c>
      <x:c r="E64" s="9" t="n">
        <x:v>1</x:v>
      </x:c>
      <x:c r="F64" s="9" t="n">
        <x:v>0</x:v>
      </x:c>
    </x:row>
    <x:row r="65">
      <x:c r="A65" s="9" t="str">
        <x:v>061</x:v>
      </x:c>
      <x:c r="B65" s="9" t="str">
        <x:v>กิจกรรม</x:v>
      </x:c>
      <x:c r="C65" s="9" t="str">
        <x:v>R</x:v>
      </x:c>
      <x:c r="D65" s="9" t="str">
        <x:v>ประกอบหรือซ่อมสิ่งของที่มีชิ้นส่วน</x:v>
      </x:c>
      <x:c r="E65" s="9" t="n">
        <x:v>1</x:v>
      </x:c>
      <x:c r="F65" s="9" t="n">
        <x:v>0</x:v>
      </x:c>
    </x:row>
    <x:row r="66">
      <x:c r="A66" s="9" t="str">
        <x:v>062</x:v>
      </x:c>
      <x:c r="B66" s="9" t="str">
        <x:v>กิจกรรม</x:v>
      </x:c>
      <x:c r="C66" s="9" t="str">
        <x:v>I</x:v>
      </x:c>
      <x:c r="D66" s="9" t="str">
        <x:v>ทดลอง ค้นคว้า หรือหาคำตอบจากข้อมูล</x:v>
      </x:c>
      <x:c r="E66" s="9" t="n">
        <x:v>1</x:v>
      </x:c>
      <x:c r="F66" s="9" t="n">
        <x:v>0</x:v>
      </x:c>
    </x:row>
    <x:row r="67">
      <x:c r="A67" s="9" t="str">
        <x:v>063</x:v>
      </x:c>
      <x:c r="B67" s="9" t="str">
        <x:v>กิจกรรม</x:v>
      </x:c>
      <x:c r="C67" s="9" t="str">
        <x:v>A</x:v>
      </x:c>
      <x:c r="D67" s="9" t="str">
        <x:v>วาดภาพ ออกแบบ หรือสร้างผลงาน</x:v>
      </x:c>
      <x:c r="E67" s="9" t="n">
        <x:v>1</x:v>
      </x:c>
      <x:c r="F67" s="9" t="n">
        <x:v>0</x:v>
      </x:c>
    </x:row>
    <x:row r="68">
      <x:c r="A68" s="9" t="str">
        <x:v>064</x:v>
      </x:c>
      <x:c r="B68" s="9" t="str">
        <x:v>กิจกรรม</x:v>
      </x:c>
      <x:c r="C68" s="9" t="str">
        <x:v>S</x:v>
      </x:c>
      <x:c r="D68" s="9" t="str">
        <x:v>สอน อธิบาย หรือช่วยคนแก้ปัญหา</x:v>
      </x:c>
      <x:c r="E68" s="9" t="n">
        <x:v>1</x:v>
      </x:c>
      <x:c r="F68" s="9" t="n">
        <x:v>0</x:v>
      </x:c>
    </x:row>
    <x:row r="69">
      <x:c r="A69" s="9" t="str">
        <x:v>065</x:v>
      </x:c>
      <x:c r="B69" s="9" t="str">
        <x:v>กิจกรรม</x:v>
      </x:c>
      <x:c r="C69" s="9" t="str">
        <x:v>E</x:v>
      </x:c>
      <x:c r="D69" s="9" t="str">
        <x:v>ชวนคนเห็นด้วยกับไอเดียของคุณ</x:v>
      </x:c>
      <x:c r="E69" s="9" t="n">
        <x:v>1</x:v>
      </x:c>
      <x:c r="F69" s="9" t="n">
        <x:v>0</x:v>
      </x:c>
    </x:row>
    <x:row r="70">
      <x:c r="A70" s="9" t="str">
        <x:v>066</x:v>
      </x:c>
      <x:c r="B70" s="9" t="str">
        <x:v>กิจกรรม</x:v>
      </x:c>
      <x:c r="C70" s="9" t="str">
        <x:v>C</x:v>
      </x:c>
      <x:c r="D70" s="9" t="str">
        <x:v>จัดแฟ้ม ข้อมูล หรือรายการให้เป็นระเบียบ</x:v>
      </x:c>
      <x:c r="E70" s="9" t="n">
        <x:v>1</x:v>
      </x:c>
      <x:c r="F70" s="9" t="n">
        <x:v>0</x:v>
      </x:c>
    </x:row>
    <x:row r="71">
      <x:c r="A71" s="9" t="str">
        <x:v>067</x:v>
      </x:c>
      <x:c r="B71" s="9" t="str">
        <x:v>ความสามารถ</x:v>
      </x:c>
      <x:c r="C71" s="9" t="str">
        <x:v>R</x:v>
      </x:c>
      <x:c r="D71" s="9" t="str">
        <x:v>ใช้เครื่องมือหรืออุปกรณ์ได้อย่างคล่องแคล่ว</x:v>
      </x:c>
      <x:c r="E71" s="9" t="n">
        <x:v>1</x:v>
      </x:c>
      <x:c r="F71" s="9" t="n">
        <x:v>0</x:v>
      </x:c>
    </x:row>
    <x:row r="72">
      <x:c r="A72" s="9" t="str">
        <x:v>068</x:v>
      </x:c>
      <x:c r="B72" s="9" t="str">
        <x:v>ความสามารถ</x:v>
      </x:c>
      <x:c r="C72" s="9" t="str">
        <x:v>I</x:v>
      </x:c>
      <x:c r="D72" s="9" t="str">
        <x:v>วิเคราะห์โจทย์ที่มีเหตุผลหลายขั้นตอน</x:v>
      </x:c>
      <x:c r="E72" s="9" t="n">
        <x:v>1</x:v>
      </x:c>
      <x:c r="F72" s="9" t="n">
        <x:v>0</x:v>
      </x:c>
    </x:row>
    <x:row r="73">
      <x:c r="A73" s="9" t="str">
        <x:v>069</x:v>
      </x:c>
      <x:c r="B73" s="9" t="str">
        <x:v>ความสามารถ</x:v>
      </x:c>
      <x:c r="C73" s="9" t="str">
        <x:v>A</x:v>
      </x:c>
      <x:c r="D73" s="9" t="str">
        <x:v>คิดไอเดียหรือวิธีนำเสนอแปลกใหม่</x:v>
      </x:c>
      <x:c r="E73" s="9" t="n">
        <x:v>1</x:v>
      </x:c>
      <x:c r="F73" s="9" t="n">
        <x:v>0</x:v>
      </x:c>
    </x:row>
    <x:row r="74">
      <x:c r="A74" s="9" t="str">
        <x:v>070</x:v>
      </x:c>
      <x:c r="B74" s="9" t="str">
        <x:v>ความสามารถ</x:v>
      </x:c>
      <x:c r="C74" s="9" t="str">
        <x:v>S</x:v>
      </x:c>
      <x:c r="D74" s="9" t="str">
        <x:v>รับฟังความรู้สึกและสื่อสารกับคนอื่น</x:v>
      </x:c>
      <x:c r="E74" s="9" t="n">
        <x:v>1</x:v>
      </x:c>
      <x:c r="F74" s="9" t="n">
        <x:v>0</x:v>
      </x:c>
    </x:row>
    <x:row r="75">
      <x:c r="A75" s="9" t="str">
        <x:v>071</x:v>
      </x:c>
      <x:c r="B75" s="9" t="str">
        <x:v>ความสามารถ</x:v>
      </x:c>
      <x:c r="C75" s="9" t="str">
        <x:v>E</x:v>
      </x:c>
      <x:c r="D75" s="9" t="str">
        <x:v>วางเป้าหมายและพาคนอื่นทำงานให้สำเร็จ</x:v>
      </x:c>
      <x:c r="E75" s="9" t="n">
        <x:v>1</x:v>
      </x:c>
      <x:c r="F75" s="9" t="n">
        <x:v>0</x:v>
      </x:c>
    </x:row>
    <x:row r="76">
      <x:c r="A76" s="9" t="str">
        <x:v>072</x:v>
      </x:c>
      <x:c r="B76" s="9" t="str">
        <x:v>ความสามารถ</x:v>
      </x:c>
      <x:c r="C76" s="9" t="str">
        <x:v>C</x:v>
      </x:c>
      <x:c r="D76" s="9" t="str">
        <x:v>ตรวจรายละเอียด ตัวเลข หรือเอกสารได้รอบคอบ</x:v>
      </x:c>
      <x:c r="E76" s="9" t="n">
        <x:v>1</x:v>
      </x:c>
      <x:c r="F76" s="9" t="n">
        <x:v>0</x:v>
      </x:c>
    </x:row>
    <x:row r="77">
      <x:c r="A77" s="9" t="str">
        <x:v>073</x:v>
      </x:c>
      <x:c r="B77" s="9" t="str">
        <x:v>ความสามารถ</x:v>
      </x:c>
      <x:c r="C77" s="9" t="str">
        <x:v>R</x:v>
      </x:c>
      <x:c r="D77" s="9" t="str">
        <x:v>ใช้เครื่องมือหรืออุปกรณ์ได้อย่างคล่องแคล่ว</x:v>
      </x:c>
      <x:c r="E77" s="9" t="n">
        <x:v>1</x:v>
      </x:c>
      <x:c r="F77" s="9" t="n">
        <x:v>0</x:v>
      </x:c>
    </x:row>
    <x:row r="78">
      <x:c r="A78" s="9" t="str">
        <x:v>074</x:v>
      </x:c>
      <x:c r="B78" s="9" t="str">
        <x:v>ความสามารถ</x:v>
      </x:c>
      <x:c r="C78" s="9" t="str">
        <x:v>I</x:v>
      </x:c>
      <x:c r="D78" s="9" t="str">
        <x:v>วิเคราะห์โจทย์ที่มีเหตุผลหลายขั้นตอน</x:v>
      </x:c>
      <x:c r="E78" s="9" t="n">
        <x:v>1</x:v>
      </x:c>
      <x:c r="F78" s="9" t="n">
        <x:v>0</x:v>
      </x:c>
    </x:row>
    <x:row r="79">
      <x:c r="A79" s="9" t="str">
        <x:v>075</x:v>
      </x:c>
      <x:c r="B79" s="9" t="str">
        <x:v>ความสามารถ</x:v>
      </x:c>
      <x:c r="C79" s="9" t="str">
        <x:v>A</x:v>
      </x:c>
      <x:c r="D79" s="9" t="str">
        <x:v>คิดไอเดียหรือวิธีนำเสนอแปลกใหม่</x:v>
      </x:c>
      <x:c r="E79" s="9" t="n">
        <x:v>1</x:v>
      </x:c>
      <x:c r="F79" s="9" t="n">
        <x:v>0</x:v>
      </x:c>
    </x:row>
    <x:row r="80">
      <x:c r="A80" s="9" t="str">
        <x:v>076</x:v>
      </x:c>
      <x:c r="B80" s="9" t="str">
        <x:v>ความสามารถ</x:v>
      </x:c>
      <x:c r="C80" s="9" t="str">
        <x:v>S</x:v>
      </x:c>
      <x:c r="D80" s="9" t="str">
        <x:v>รับฟังความรู้สึกและสื่อสารกับคนอื่น</x:v>
      </x:c>
      <x:c r="E80" s="9" t="n">
        <x:v>1</x:v>
      </x:c>
      <x:c r="F80" s="9" t="n">
        <x:v>0</x:v>
      </x:c>
    </x:row>
    <x:row r="81">
      <x:c r="A81" s="9" t="str">
        <x:v>077</x:v>
      </x:c>
      <x:c r="B81" s="9" t="str">
        <x:v>ความสามารถ</x:v>
      </x:c>
      <x:c r="C81" s="9" t="str">
        <x:v>E</x:v>
      </x:c>
      <x:c r="D81" s="9" t="str">
        <x:v>วางเป้าหมายและพาคนอื่นทำงานให้สำเร็จ</x:v>
      </x:c>
      <x:c r="E81" s="9" t="n">
        <x:v>1</x:v>
      </x:c>
      <x:c r="F81" s="9" t="n">
        <x:v>0</x:v>
      </x:c>
    </x:row>
    <x:row r="82">
      <x:c r="A82" s="9" t="str">
        <x:v>078</x:v>
      </x:c>
      <x:c r="B82" s="9" t="str">
        <x:v>ความสามารถ</x:v>
      </x:c>
      <x:c r="C82" s="9" t="str">
        <x:v>C</x:v>
      </x:c>
      <x:c r="D82" s="9" t="str">
        <x:v>ตรวจรายละเอียด ตัวเลข หรือเอกสารได้รอบคอบ</x:v>
      </x:c>
      <x:c r="E82" s="9" t="n">
        <x:v>1</x:v>
      </x:c>
      <x:c r="F82" s="9" t="n">
        <x:v>0</x:v>
      </x:c>
    </x:row>
    <x:row r="83">
      <x:c r="A83" s="9" t="str">
        <x:v>079</x:v>
      </x:c>
      <x:c r="B83" s="9" t="str">
        <x:v>ความสามารถ</x:v>
      </x:c>
      <x:c r="C83" s="9" t="str">
        <x:v>R</x:v>
      </x:c>
      <x:c r="D83" s="9" t="str">
        <x:v>ใช้เครื่องมือหรืออุปกรณ์ได้อย่างคล่องแคล่ว</x:v>
      </x:c>
      <x:c r="E83" s="9" t="n">
        <x:v>1</x:v>
      </x:c>
      <x:c r="F83" s="9" t="n">
        <x:v>0</x:v>
      </x:c>
    </x:row>
    <x:row r="84">
      <x:c r="A84" s="9" t="str">
        <x:v>080</x:v>
      </x:c>
      <x:c r="B84" s="9" t="str">
        <x:v>ความสามารถ</x:v>
      </x:c>
      <x:c r="C84" s="9" t="str">
        <x:v>I</x:v>
      </x:c>
      <x:c r="D84" s="9" t="str">
        <x:v>วิเคราะห์โจทย์ที่มีเหตุผลหลายขั้นตอน</x:v>
      </x:c>
      <x:c r="E84" s="9" t="n">
        <x:v>1</x:v>
      </x:c>
      <x:c r="F84" s="9" t="n">
        <x:v>0</x:v>
      </x:c>
    </x:row>
    <x:row r="85">
      <x:c r="A85" s="9" t="str">
        <x:v>081</x:v>
      </x:c>
      <x:c r="B85" s="9" t="str">
        <x:v>ความสามารถ</x:v>
      </x:c>
      <x:c r="C85" s="9" t="str">
        <x:v>A</x:v>
      </x:c>
      <x:c r="D85" s="9" t="str">
        <x:v>คิดไอเดียหรือวิธีนำเสนอแปลกใหม่</x:v>
      </x:c>
      <x:c r="E85" s="9" t="n">
        <x:v>1</x:v>
      </x:c>
      <x:c r="F85" s="9" t="n">
        <x:v>0</x:v>
      </x:c>
    </x:row>
    <x:row r="86">
      <x:c r="A86" s="9" t="str">
        <x:v>082</x:v>
      </x:c>
      <x:c r="B86" s="9" t="str">
        <x:v>ความสามารถ</x:v>
      </x:c>
      <x:c r="C86" s="9" t="str">
        <x:v>S</x:v>
      </x:c>
      <x:c r="D86" s="9" t="str">
        <x:v>รับฟังความรู้สึกและสื่อสารกับคนอื่น</x:v>
      </x:c>
      <x:c r="E86" s="9" t="n">
        <x:v>1</x:v>
      </x:c>
      <x:c r="F86" s="9" t="n">
        <x:v>0</x:v>
      </x:c>
    </x:row>
    <x:row r="87">
      <x:c r="A87" s="9" t="str">
        <x:v>083</x:v>
      </x:c>
      <x:c r="B87" s="9" t="str">
        <x:v>ความสามารถ</x:v>
      </x:c>
      <x:c r="C87" s="9" t="str">
        <x:v>E</x:v>
      </x:c>
      <x:c r="D87" s="9" t="str">
        <x:v>วางเป้าหมายและพาคนอื่นทำงานให้สำเร็จ</x:v>
      </x:c>
      <x:c r="E87" s="9" t="n">
        <x:v>1</x:v>
      </x:c>
      <x:c r="F87" s="9" t="n">
        <x:v>0</x:v>
      </x:c>
    </x:row>
    <x:row r="88">
      <x:c r="A88" s="9" t="str">
        <x:v>084</x:v>
      </x:c>
      <x:c r="B88" s="9" t="str">
        <x:v>ความสามารถ</x:v>
      </x:c>
      <x:c r="C88" s="9" t="str">
        <x:v>C</x:v>
      </x:c>
      <x:c r="D88" s="9" t="str">
        <x:v>ตรวจรายละเอียด ตัวเลข หรือเอกสารได้รอบคอบ</x:v>
      </x:c>
      <x:c r="E88" s="9" t="n">
        <x:v>1</x:v>
      </x:c>
      <x:c r="F88" s="9" t="n">
        <x:v>0</x:v>
      </x:c>
    </x:row>
    <x:row r="89">
      <x:c r="A89" s="9" t="str">
        <x:v>085</x:v>
      </x:c>
      <x:c r="B89" s="9" t="str">
        <x:v>ความสามารถ</x:v>
      </x:c>
      <x:c r="C89" s="9" t="str">
        <x:v>R</x:v>
      </x:c>
      <x:c r="D89" s="9" t="str">
        <x:v>ใช้เครื่องมือหรืออุปกรณ์ได้อย่างคล่องแคล่ว</x:v>
      </x:c>
      <x:c r="E89" s="9" t="n">
        <x:v>1</x:v>
      </x:c>
      <x:c r="F89" s="9" t="n">
        <x:v>0</x:v>
      </x:c>
    </x:row>
    <x:row r="90">
      <x:c r="A90" s="9" t="str">
        <x:v>086</x:v>
      </x:c>
      <x:c r="B90" s="9" t="str">
        <x:v>ความสามารถ</x:v>
      </x:c>
      <x:c r="C90" s="9" t="str">
        <x:v>I</x:v>
      </x:c>
      <x:c r="D90" s="9" t="str">
        <x:v>วิเคราะห์โจทย์ที่มีเหตุผลหลายขั้นตอน</x:v>
      </x:c>
      <x:c r="E90" s="9" t="n">
        <x:v>1</x:v>
      </x:c>
      <x:c r="F90" s="9" t="n">
        <x:v>0</x:v>
      </x:c>
    </x:row>
    <x:row r="91">
      <x:c r="A91" s="9" t="str">
        <x:v>087</x:v>
      </x:c>
      <x:c r="B91" s="9" t="str">
        <x:v>ความสามารถ</x:v>
      </x:c>
      <x:c r="C91" s="9" t="str">
        <x:v>A</x:v>
      </x:c>
      <x:c r="D91" s="9" t="str">
        <x:v>คิดไอเดียหรือวิธีนำเสนอแปลกใหม่</x:v>
      </x:c>
      <x:c r="E91" s="9" t="n">
        <x:v>1</x:v>
      </x:c>
      <x:c r="F91" s="9" t="n">
        <x:v>0</x:v>
      </x:c>
    </x:row>
    <x:row r="92">
      <x:c r="A92" s="9" t="str">
        <x:v>088</x:v>
      </x:c>
      <x:c r="B92" s="9" t="str">
        <x:v>ความสามารถ</x:v>
      </x:c>
      <x:c r="C92" s="9" t="str">
        <x:v>S</x:v>
      </x:c>
      <x:c r="D92" s="9" t="str">
        <x:v>รับฟังความรู้สึกและสื่อสารกับคนอื่น</x:v>
      </x:c>
      <x:c r="E92" s="9" t="n">
        <x:v>1</x:v>
      </x:c>
      <x:c r="F92" s="9" t="n">
        <x:v>0</x:v>
      </x:c>
    </x:row>
    <x:row r="93">
      <x:c r="A93" s="9" t="str">
        <x:v>089</x:v>
      </x:c>
      <x:c r="B93" s="9" t="str">
        <x:v>ความสามารถ</x:v>
      </x:c>
      <x:c r="C93" s="9" t="str">
        <x:v>E</x:v>
      </x:c>
      <x:c r="D93" s="9" t="str">
        <x:v>วางเป้าหมายและพาคนอื่นทำงานให้สำเร็จ</x:v>
      </x:c>
      <x:c r="E93" s="9" t="n">
        <x:v>1</x:v>
      </x:c>
      <x:c r="F93" s="9" t="n">
        <x:v>0</x:v>
      </x:c>
    </x:row>
    <x:row r="94">
      <x:c r="A94" s="9" t="str">
        <x:v>090</x:v>
      </x:c>
      <x:c r="B94" s="9" t="str">
        <x:v>ความสามารถ</x:v>
      </x:c>
      <x:c r="C94" s="9" t="str">
        <x:v>C</x:v>
      </x:c>
      <x:c r="D94" s="9" t="str">
        <x:v>ตรวจรายละเอียด ตัวเลข หรือเอกสารได้รอบคอบ</x:v>
      </x:c>
      <x:c r="E94" s="9" t="n">
        <x:v>1</x:v>
      </x:c>
      <x:c r="F94" s="9" t="n">
        <x:v>0</x:v>
      </x:c>
    </x:row>
    <x:row r="95">
      <x:c r="A95" s="9" t="str">
        <x:v>091</x:v>
      </x:c>
      <x:c r="B95" s="9" t="str">
        <x:v>ความสามารถ</x:v>
      </x:c>
      <x:c r="C95" s="9" t="str">
        <x:v>R</x:v>
      </x:c>
      <x:c r="D95" s="9" t="str">
        <x:v>ใช้เครื่องมือหรืออุปกรณ์ได้อย่างคล่องแคล่ว</x:v>
      </x:c>
      <x:c r="E95" s="9" t="n">
        <x:v>1</x:v>
      </x:c>
      <x:c r="F95" s="9" t="n">
        <x:v>0</x:v>
      </x:c>
    </x:row>
    <x:row r="96">
      <x:c r="A96" s="9" t="str">
        <x:v>092</x:v>
      </x:c>
      <x:c r="B96" s="9" t="str">
        <x:v>ความสามารถ</x:v>
      </x:c>
      <x:c r="C96" s="9" t="str">
        <x:v>I</x:v>
      </x:c>
      <x:c r="D96" s="9" t="str">
        <x:v>วิเคราะห์โจทย์ที่มีเหตุผลหลายขั้นตอน</x:v>
      </x:c>
      <x:c r="E96" s="9" t="n">
        <x:v>1</x:v>
      </x:c>
      <x:c r="F96" s="9" t="n">
        <x:v>0</x:v>
      </x:c>
    </x:row>
    <x:row r="97">
      <x:c r="A97" s="9" t="str">
        <x:v>093</x:v>
      </x:c>
      <x:c r="B97" s="9" t="str">
        <x:v>ความสามารถ</x:v>
      </x:c>
      <x:c r="C97" s="9" t="str">
        <x:v>A</x:v>
      </x:c>
      <x:c r="D97" s="9" t="str">
        <x:v>คิดไอเดียหรือวิธีนำเสนอแปลกใหม่</x:v>
      </x:c>
      <x:c r="E97" s="9" t="n">
        <x:v>1</x:v>
      </x:c>
      <x:c r="F97" s="9" t="n">
        <x:v>0</x:v>
      </x:c>
    </x:row>
    <x:row r="98">
      <x:c r="A98" s="9" t="str">
        <x:v>094</x:v>
      </x:c>
      <x:c r="B98" s="9" t="str">
        <x:v>ความสามารถ</x:v>
      </x:c>
      <x:c r="C98" s="9" t="str">
        <x:v>S</x:v>
      </x:c>
      <x:c r="D98" s="9" t="str">
        <x:v>รับฟังความรู้สึกและสื่อสารกับคนอื่น</x:v>
      </x:c>
      <x:c r="E98" s="9" t="n">
        <x:v>1</x:v>
      </x:c>
      <x:c r="F98" s="9" t="n">
        <x:v>0</x:v>
      </x:c>
    </x:row>
    <x:row r="99">
      <x:c r="A99" s="9" t="str">
        <x:v>095</x:v>
      </x:c>
      <x:c r="B99" s="9" t="str">
        <x:v>ความสามารถ</x:v>
      </x:c>
      <x:c r="C99" s="9" t="str">
        <x:v>E</x:v>
      </x:c>
      <x:c r="D99" s="9" t="str">
        <x:v>วางเป้าหมายและพาคนอื่นทำงานให้สำเร็จ</x:v>
      </x:c>
      <x:c r="E99" s="9" t="n">
        <x:v>1</x:v>
      </x:c>
      <x:c r="F99" s="9" t="n">
        <x:v>0</x:v>
      </x:c>
    </x:row>
    <x:row r="100">
      <x:c r="A100" s="9" t="str">
        <x:v>096</x:v>
      </x:c>
      <x:c r="B100" s="9" t="str">
        <x:v>ความสามารถ</x:v>
      </x:c>
      <x:c r="C100" s="9" t="str">
        <x:v>C</x:v>
      </x:c>
      <x:c r="D100" s="9" t="str">
        <x:v>ตรวจรายละเอียด ตัวเลข หรือเอกสารได้รอบคอบ</x:v>
      </x:c>
      <x:c r="E100" s="9" t="n">
        <x:v>1</x:v>
      </x:c>
      <x:c r="F100" s="9" t="n">
        <x:v>0</x:v>
      </x:c>
    </x:row>
    <x:row r="101">
      <x:c r="A101" s="9" t="str">
        <x:v>097</x:v>
      </x:c>
      <x:c r="B101" s="9" t="str">
        <x:v>ความสามารถ</x:v>
      </x:c>
      <x:c r="C101" s="9" t="str">
        <x:v>R</x:v>
      </x:c>
      <x:c r="D101" s="9" t="str">
        <x:v>ใช้เครื่องมือหรืออุปกรณ์ได้อย่างคล่องแคล่ว</x:v>
      </x:c>
      <x:c r="E101" s="9" t="n">
        <x:v>1</x:v>
      </x:c>
      <x:c r="F101" s="9" t="n">
        <x:v>0</x:v>
      </x:c>
    </x:row>
    <x:row r="102">
      <x:c r="A102" s="9" t="str">
        <x:v>098</x:v>
      </x:c>
      <x:c r="B102" s="9" t="str">
        <x:v>ความสามารถ</x:v>
      </x:c>
      <x:c r="C102" s="9" t="str">
        <x:v>I</x:v>
      </x:c>
      <x:c r="D102" s="9" t="str">
        <x:v>วิเคราะห์โจทย์ที่มีเหตุผลหลายขั้นตอน</x:v>
      </x:c>
      <x:c r="E102" s="9" t="n">
        <x:v>1</x:v>
      </x:c>
      <x:c r="F102" s="9" t="n">
        <x:v>0</x:v>
      </x:c>
    </x:row>
    <x:row r="103">
      <x:c r="A103" s="9" t="str">
        <x:v>099</x:v>
      </x:c>
      <x:c r="B103" s="9" t="str">
        <x:v>ความสามารถ</x:v>
      </x:c>
      <x:c r="C103" s="9" t="str">
        <x:v>A</x:v>
      </x:c>
      <x:c r="D103" s="9" t="str">
        <x:v>คิดไอเดียหรือวิธีนำเสนอแปลกใหม่</x:v>
      </x:c>
      <x:c r="E103" s="9" t="n">
        <x:v>1</x:v>
      </x:c>
      <x:c r="F103" s="9" t="n">
        <x:v>0</x:v>
      </x:c>
    </x:row>
    <x:row r="104">
      <x:c r="A104" s="9" t="str">
        <x:v>100</x:v>
      </x:c>
      <x:c r="B104" s="9" t="str">
        <x:v>ความสามารถ</x:v>
      </x:c>
      <x:c r="C104" s="9" t="str">
        <x:v>S</x:v>
      </x:c>
      <x:c r="D104" s="9" t="str">
        <x:v>รับฟังความรู้สึกและสื่อสารกับคนอื่น</x:v>
      </x:c>
      <x:c r="E104" s="9" t="n">
        <x:v>1</x:v>
      </x:c>
      <x:c r="F104" s="9" t="n">
        <x:v>0</x:v>
      </x:c>
    </x:row>
    <x:row r="105">
      <x:c r="A105" s="9" t="str">
        <x:v>101</x:v>
      </x:c>
      <x:c r="B105" s="9" t="str">
        <x:v>ความสามารถ</x:v>
      </x:c>
      <x:c r="C105" s="9" t="str">
        <x:v>E</x:v>
      </x:c>
      <x:c r="D105" s="9" t="str">
        <x:v>วางเป้าหมายและพาคนอื่นทำงานให้สำเร็จ</x:v>
      </x:c>
      <x:c r="E105" s="9" t="n">
        <x:v>1</x:v>
      </x:c>
      <x:c r="F105" s="9" t="n">
        <x:v>0</x:v>
      </x:c>
    </x:row>
    <x:row r="106">
      <x:c r="A106" s="9" t="str">
        <x:v>102</x:v>
      </x:c>
      <x:c r="B106" s="9" t="str">
        <x:v>ความสามารถ</x:v>
      </x:c>
      <x:c r="C106" s="9" t="str">
        <x:v>C</x:v>
      </x:c>
      <x:c r="D106" s="9" t="str">
        <x:v>ตรวจรายละเอียด ตัวเลข หรือเอกสารได้รอบคอบ</x:v>
      </x:c>
      <x:c r="E106" s="9" t="n">
        <x:v>1</x:v>
      </x:c>
      <x:c r="F106" s="9" t="n">
        <x:v>0</x:v>
      </x:c>
    </x:row>
    <x:row r="107">
      <x:c r="A107" s="9" t="str">
        <x:v>103</x:v>
      </x:c>
      <x:c r="B107" s="9" t="str">
        <x:v>ความสามารถ</x:v>
      </x:c>
      <x:c r="C107" s="9" t="str">
        <x:v>R</x:v>
      </x:c>
      <x:c r="D107" s="9" t="str">
        <x:v>ใช้เครื่องมือหรืออุปกรณ์ได้อย่างคล่องแคล่ว</x:v>
      </x:c>
      <x:c r="E107" s="9" t="n">
        <x:v>1</x:v>
      </x:c>
      <x:c r="F107" s="9" t="n">
        <x:v>0</x:v>
      </x:c>
    </x:row>
    <x:row r="108">
      <x:c r="A108" s="9" t="str">
        <x:v>104</x:v>
      </x:c>
      <x:c r="B108" s="9" t="str">
        <x:v>ความสามารถ</x:v>
      </x:c>
      <x:c r="C108" s="9" t="str">
        <x:v>I</x:v>
      </x:c>
      <x:c r="D108" s="9" t="str">
        <x:v>วิเคราะห์โจทย์ที่มีเหตุผลหลายขั้นตอน</x:v>
      </x:c>
      <x:c r="E108" s="9" t="n">
        <x:v>1</x:v>
      </x:c>
      <x:c r="F108" s="9" t="n">
        <x:v>0</x:v>
      </x:c>
    </x:row>
    <x:row r="109">
      <x:c r="A109" s="9" t="str">
        <x:v>105</x:v>
      </x:c>
      <x:c r="B109" s="9" t="str">
        <x:v>ความสามารถ</x:v>
      </x:c>
      <x:c r="C109" s="9" t="str">
        <x:v>A</x:v>
      </x:c>
      <x:c r="D109" s="9" t="str">
        <x:v>คิดไอเดียหรือวิธีนำเสนอแปลกใหม่</x:v>
      </x:c>
      <x:c r="E109" s="9" t="n">
        <x:v>1</x:v>
      </x:c>
      <x:c r="F109" s="9" t="n">
        <x:v>0</x:v>
      </x:c>
    </x:row>
    <x:row r="110">
      <x:c r="A110" s="9" t="str">
        <x:v>106</x:v>
      </x:c>
      <x:c r="B110" s="9" t="str">
        <x:v>ความสามารถ</x:v>
      </x:c>
      <x:c r="C110" s="9" t="str">
        <x:v>S</x:v>
      </x:c>
      <x:c r="D110" s="9" t="str">
        <x:v>รับฟังความรู้สึกและสื่อสารกับคนอื่น</x:v>
      </x:c>
      <x:c r="E110" s="9" t="n">
        <x:v>1</x:v>
      </x:c>
      <x:c r="F110" s="9" t="n">
        <x:v>0</x:v>
      </x:c>
    </x:row>
    <x:row r="111">
      <x:c r="A111" s="9" t="str">
        <x:v>107</x:v>
      </x:c>
      <x:c r="B111" s="9" t="str">
        <x:v>ความสามารถ</x:v>
      </x:c>
      <x:c r="C111" s="9" t="str">
        <x:v>E</x:v>
      </x:c>
      <x:c r="D111" s="9" t="str">
        <x:v>วางเป้าหมายและพาคนอื่นทำงานให้สำเร็จ</x:v>
      </x:c>
      <x:c r="E111" s="9" t="n">
        <x:v>1</x:v>
      </x:c>
      <x:c r="F111" s="9" t="n">
        <x:v>0</x:v>
      </x:c>
    </x:row>
    <x:row r="112">
      <x:c r="A112" s="9" t="str">
        <x:v>108</x:v>
      </x:c>
      <x:c r="B112" s="9" t="str">
        <x:v>ความสามารถ</x:v>
      </x:c>
      <x:c r="C112" s="9" t="str">
        <x:v>C</x:v>
      </x:c>
      <x:c r="D112" s="9" t="str">
        <x:v>ตรวจรายละเอียด ตัวเลข หรือเอกสารได้รอบคอบ</x:v>
      </x:c>
      <x:c r="E112" s="9" t="n">
        <x:v>1</x:v>
      </x:c>
      <x:c r="F112" s="9" t="n">
        <x:v>0</x:v>
      </x:c>
    </x:row>
    <x:row r="113">
      <x:c r="A113" s="9" t="str">
        <x:v>109</x:v>
      </x:c>
      <x:c r="B113" s="9" t="str">
        <x:v>ความสามารถ</x:v>
      </x:c>
      <x:c r="C113" s="9" t="str">
        <x:v>R</x:v>
      </x:c>
      <x:c r="D113" s="9" t="str">
        <x:v>ใช้เครื่องมือหรืออุปกรณ์ได้อย่างคล่องแคล่ว</x:v>
      </x:c>
      <x:c r="E113" s="9" t="n">
        <x:v>1</x:v>
      </x:c>
      <x:c r="F113" s="9" t="n">
        <x:v>0</x:v>
      </x:c>
    </x:row>
    <x:row r="114">
      <x:c r="A114" s="9" t="str">
        <x:v>110</x:v>
      </x:c>
      <x:c r="B114" s="9" t="str">
        <x:v>ความสามารถ</x:v>
      </x:c>
      <x:c r="C114" s="9" t="str">
        <x:v>I</x:v>
      </x:c>
      <x:c r="D114" s="9" t="str">
        <x:v>วิเคราะห์โจทย์ที่มีเหตุผลหลายขั้นตอน</x:v>
      </x:c>
      <x:c r="E114" s="9" t="n">
        <x:v>1</x:v>
      </x:c>
      <x:c r="F114" s="9" t="n">
        <x:v>0</x:v>
      </x:c>
    </x:row>
    <x:row r="115">
      <x:c r="A115" s="9" t="str">
        <x:v>111</x:v>
      </x:c>
      <x:c r="B115" s="9" t="str">
        <x:v>ความสามารถ</x:v>
      </x:c>
      <x:c r="C115" s="9" t="str">
        <x:v>A</x:v>
      </x:c>
      <x:c r="D115" s="9" t="str">
        <x:v>คิดไอเดียหรือวิธีนำเสนอแปลกใหม่</x:v>
      </x:c>
      <x:c r="E115" s="9" t="n">
        <x:v>1</x:v>
      </x:c>
      <x:c r="F115" s="9" t="n">
        <x:v>0</x:v>
      </x:c>
    </x:row>
    <x:row r="116">
      <x:c r="A116" s="9" t="str">
        <x:v>112</x:v>
      </x:c>
      <x:c r="B116" s="9" t="str">
        <x:v>ความสามารถ</x:v>
      </x:c>
      <x:c r="C116" s="9" t="str">
        <x:v>S</x:v>
      </x:c>
      <x:c r="D116" s="9" t="str">
        <x:v>รับฟังความรู้สึกและสื่อสารกับคนอื่น</x:v>
      </x:c>
      <x:c r="E116" s="9" t="n">
        <x:v>1</x:v>
      </x:c>
      <x:c r="F116" s="9" t="n">
        <x:v>0</x:v>
      </x:c>
    </x:row>
    <x:row r="117">
      <x:c r="A117" s="9" t="str">
        <x:v>113</x:v>
      </x:c>
      <x:c r="B117" s="9" t="str">
        <x:v>ความสามารถ</x:v>
      </x:c>
      <x:c r="C117" s="9" t="str">
        <x:v>E</x:v>
      </x:c>
      <x:c r="D117" s="9" t="str">
        <x:v>วางเป้าหมายและพาคนอื่นทำงานให้สำเร็จ</x:v>
      </x:c>
      <x:c r="E117" s="9" t="n">
        <x:v>1</x:v>
      </x:c>
      <x:c r="F117" s="9" t="n">
        <x:v>0</x:v>
      </x:c>
    </x:row>
    <x:row r="118">
      <x:c r="A118" s="9" t="str">
        <x:v>114</x:v>
      </x:c>
      <x:c r="B118" s="9" t="str">
        <x:v>ความสามารถ</x:v>
      </x:c>
      <x:c r="C118" s="9" t="str">
        <x:v>C</x:v>
      </x:c>
      <x:c r="D118" s="9" t="str">
        <x:v>ตรวจรายละเอียด ตัวเลข หรือเอกสารได้รอบคอบ</x:v>
      </x:c>
      <x:c r="E118" s="9" t="n">
        <x:v>1</x:v>
      </x:c>
      <x:c r="F118" s="9" t="n">
        <x:v>0</x:v>
      </x:c>
    </x:row>
    <x:row r="119">
      <x:c r="A119" s="9" t="str">
        <x:v>115</x:v>
      </x:c>
      <x:c r="B119" s="9" t="str">
        <x:v>ความสามารถ</x:v>
      </x:c>
      <x:c r="C119" s="9" t="str">
        <x:v>R</x:v>
      </x:c>
      <x:c r="D119" s="9" t="str">
        <x:v>ใช้เครื่องมือหรืออุปกรณ์ได้อย่างคล่องแคล่ว</x:v>
      </x:c>
      <x:c r="E119" s="9" t="n">
        <x:v>1</x:v>
      </x:c>
      <x:c r="F119" s="9" t="n">
        <x:v>0</x:v>
      </x:c>
    </x:row>
    <x:row r="120">
      <x:c r="A120" s="9" t="str">
        <x:v>116</x:v>
      </x:c>
      <x:c r="B120" s="9" t="str">
        <x:v>ความสามารถ</x:v>
      </x:c>
      <x:c r="C120" s="9" t="str">
        <x:v>I</x:v>
      </x:c>
      <x:c r="D120" s="9" t="str">
        <x:v>วิเคราะห์โจทย์ที่มีเหตุผลหลายขั้นตอน</x:v>
      </x:c>
      <x:c r="E120" s="9" t="n">
        <x:v>1</x:v>
      </x:c>
      <x:c r="F120" s="9" t="n">
        <x:v>0</x:v>
      </x:c>
    </x:row>
    <x:row r="121">
      <x:c r="A121" s="9" t="str">
        <x:v>117</x:v>
      </x:c>
      <x:c r="B121" s="9" t="str">
        <x:v>ความสามารถ</x:v>
      </x:c>
      <x:c r="C121" s="9" t="str">
        <x:v>A</x:v>
      </x:c>
      <x:c r="D121" s="9" t="str">
        <x:v>คิดไอเดียหรือวิธีนำเสนอแปลกใหม่</x:v>
      </x:c>
      <x:c r="E121" s="9" t="n">
        <x:v>1</x:v>
      </x:c>
      <x:c r="F121" s="9" t="n">
        <x:v>0</x:v>
      </x:c>
    </x:row>
    <x:row r="122">
      <x:c r="A122" s="9" t="str">
        <x:v>118</x:v>
      </x:c>
      <x:c r="B122" s="9" t="str">
        <x:v>ความสามารถ</x:v>
      </x:c>
      <x:c r="C122" s="9" t="str">
        <x:v>S</x:v>
      </x:c>
      <x:c r="D122" s="9" t="str">
        <x:v>รับฟังความรู้สึกและสื่อสารกับคนอื่น</x:v>
      </x:c>
      <x:c r="E122" s="9" t="n">
        <x:v>1</x:v>
      </x:c>
      <x:c r="F122" s="9" t="n">
        <x:v>0</x:v>
      </x:c>
    </x:row>
    <x:row r="123">
      <x:c r="A123" s="9" t="str">
        <x:v>119</x:v>
      </x:c>
      <x:c r="B123" s="9" t="str">
        <x:v>ความสามารถ</x:v>
      </x:c>
      <x:c r="C123" s="9" t="str">
        <x:v>E</x:v>
      </x:c>
      <x:c r="D123" s="9" t="str">
        <x:v>วางเป้าหมายและพาคนอื่นทำงานให้สำเร็จ</x:v>
      </x:c>
      <x:c r="E123" s="9" t="n">
        <x:v>1</x:v>
      </x:c>
      <x:c r="F123" s="9" t="n">
        <x:v>0</x:v>
      </x:c>
    </x:row>
    <x:row r="124">
      <x:c r="A124" s="9" t="str">
        <x:v>120</x:v>
      </x:c>
      <x:c r="B124" s="9" t="str">
        <x:v>ความสามารถ</x:v>
      </x:c>
      <x:c r="C124" s="9" t="str">
        <x:v>C</x:v>
      </x:c>
      <x:c r="D124" s="9" t="str">
        <x:v>ตรวจรายละเอียด ตัวเลข หรือเอกสารได้รอบคอบ</x:v>
      </x:c>
      <x:c r="E124" s="9" t="n">
        <x:v>1</x:v>
      </x:c>
      <x:c r="F124" s="9" t="n">
        <x:v>0</x:v>
      </x:c>
    </x:row>
    <x:row r="125">
      <x:c r="A125" s="9" t="str">
        <x:v>121</x:v>
      </x:c>
      <x:c r="B125" s="9" t="str">
        <x:v>ความสามารถ</x:v>
      </x:c>
      <x:c r="C125" s="9" t="str">
        <x:v>R</x:v>
      </x:c>
      <x:c r="D125" s="9" t="str">
        <x:v>ใช้เครื่องมือหรืออุปกรณ์ได้อย่างคล่องแคล่ว</x:v>
      </x:c>
      <x:c r="E125" s="9" t="n">
        <x:v>1</x:v>
      </x:c>
      <x:c r="F125" s="9" t="n">
        <x:v>0</x:v>
      </x:c>
    </x:row>
    <x:row r="126">
      <x:c r="A126" s="9" t="str">
        <x:v>122</x:v>
      </x:c>
      <x:c r="B126" s="9" t="str">
        <x:v>ความสามารถ</x:v>
      </x:c>
      <x:c r="C126" s="9" t="str">
        <x:v>I</x:v>
      </x:c>
      <x:c r="D126" s="9" t="str">
        <x:v>วิเคราะห์โจทย์ที่มีเหตุผลหลายขั้นตอน</x:v>
      </x:c>
      <x:c r="E126" s="9" t="n">
        <x:v>1</x:v>
      </x:c>
      <x:c r="F126" s="9" t="n">
        <x:v>0</x:v>
      </x:c>
    </x:row>
    <x:row r="127">
      <x:c r="A127" s="9" t="str">
        <x:v>123</x:v>
      </x:c>
      <x:c r="B127" s="9" t="str">
        <x:v>ความสามารถ</x:v>
      </x:c>
      <x:c r="C127" s="9" t="str">
        <x:v>A</x:v>
      </x:c>
      <x:c r="D127" s="9" t="str">
        <x:v>คิดไอเดียหรือวิธีนำเสนอแปลกใหม่</x:v>
      </x:c>
      <x:c r="E127" s="9" t="n">
        <x:v>1</x:v>
      </x:c>
      <x:c r="F127" s="9" t="n">
        <x:v>0</x:v>
      </x:c>
    </x:row>
    <x:row r="128">
      <x:c r="A128" s="9" t="str">
        <x:v>124</x:v>
      </x:c>
      <x:c r="B128" s="9" t="str">
        <x:v>ความสามารถ</x:v>
      </x:c>
      <x:c r="C128" s="9" t="str">
        <x:v>S</x:v>
      </x:c>
      <x:c r="D128" s="9" t="str">
        <x:v>รับฟังความรู้สึกและสื่อสารกับคนอื่น</x:v>
      </x:c>
      <x:c r="E128" s="9" t="n">
        <x:v>1</x:v>
      </x:c>
      <x:c r="F128" s="9" t="n">
        <x:v>0</x:v>
      </x:c>
    </x:row>
    <x:row r="129">
      <x:c r="A129" s="9" t="str">
        <x:v>125</x:v>
      </x:c>
      <x:c r="B129" s="9" t="str">
        <x:v>ความสามารถ</x:v>
      </x:c>
      <x:c r="C129" s="9" t="str">
        <x:v>E</x:v>
      </x:c>
      <x:c r="D129" s="9" t="str">
        <x:v>วางเป้าหมายและพาคนอื่นทำงานให้สำเร็จ</x:v>
      </x:c>
      <x:c r="E129" s="9" t="n">
        <x:v>1</x:v>
      </x:c>
      <x:c r="F129" s="9" t="n">
        <x:v>0</x:v>
      </x:c>
    </x:row>
    <x:row r="130">
      <x:c r="A130" s="9" t="str">
        <x:v>126</x:v>
      </x:c>
      <x:c r="B130" s="9" t="str">
        <x:v>ความสามารถ</x:v>
      </x:c>
      <x:c r="C130" s="9" t="str">
        <x:v>C</x:v>
      </x:c>
      <x:c r="D130" s="9" t="str">
        <x:v>ตรวจรายละเอียด ตัวเลข หรือเอกสารได้รอบคอบ</x:v>
      </x:c>
      <x:c r="E130" s="9" t="n">
        <x:v>1</x:v>
      </x:c>
      <x:c r="F130" s="9" t="n">
        <x:v>0</x:v>
      </x:c>
    </x:row>
    <x:row r="131">
      <x:c r="A131" s="9" t="str">
        <x:v>127</x:v>
      </x:c>
      <x:c r="B131" s="9" t="str">
        <x:v>ความสามารถ</x:v>
      </x:c>
      <x:c r="C131" s="9" t="str">
        <x:v>R</x:v>
      </x:c>
      <x:c r="D131" s="9" t="str">
        <x:v>ใช้เครื่องมือหรืออุปกรณ์ได้อย่างคล่องแคล่ว</x:v>
      </x:c>
      <x:c r="E131" s="9" t="n">
        <x:v>1</x:v>
      </x:c>
      <x:c r="F131" s="9" t="n">
        <x:v>0</x:v>
      </x:c>
    </x:row>
    <x:row r="132">
      <x:c r="A132" s="9" t="str">
        <x:v>128</x:v>
      </x:c>
      <x:c r="B132" s="9" t="str">
        <x:v>ความสามารถ</x:v>
      </x:c>
      <x:c r="C132" s="9" t="str">
        <x:v>I</x:v>
      </x:c>
      <x:c r="D132" s="9" t="str">
        <x:v>วิเคราะห์โจทย์ที่มีเหตุผลหลายขั้นตอน</x:v>
      </x:c>
      <x:c r="E132" s="9" t="n">
        <x:v>1</x:v>
      </x:c>
      <x:c r="F132" s="9" t="n">
        <x:v>0</x:v>
      </x:c>
    </x:row>
    <x:row r="133">
      <x:c r="A133" s="9" t="str">
        <x:v>129</x:v>
      </x:c>
      <x:c r="B133" s="9" t="str">
        <x:v>ความสามารถ</x:v>
      </x:c>
      <x:c r="C133" s="9" t="str">
        <x:v>A</x:v>
      </x:c>
      <x:c r="D133" s="9" t="str">
        <x:v>คิดไอเดียหรือวิธีนำเสนอแปลกใหม่</x:v>
      </x:c>
      <x:c r="E133" s="9" t="n">
        <x:v>1</x:v>
      </x:c>
      <x:c r="F133" s="9" t="n">
        <x:v>0</x:v>
      </x:c>
    </x:row>
    <x:row r="134">
      <x:c r="A134" s="9" t="str">
        <x:v>130</x:v>
      </x:c>
      <x:c r="B134" s="9" t="str">
        <x:v>ความสามารถ</x:v>
      </x:c>
      <x:c r="C134" s="9" t="str">
        <x:v>S</x:v>
      </x:c>
      <x:c r="D134" s="9" t="str">
        <x:v>รับฟังความรู้สึกและสื่อสารกับคนอื่น</x:v>
      </x:c>
      <x:c r="E134" s="9" t="n">
        <x:v>1</x:v>
      </x:c>
      <x:c r="F134" s="9" t="n">
        <x:v>0</x:v>
      </x:c>
    </x:row>
    <x:row r="135">
      <x:c r="A135" s="9" t="str">
        <x:v>131</x:v>
      </x:c>
      <x:c r="B135" s="9" t="str">
        <x:v>ความสามารถ</x:v>
      </x:c>
      <x:c r="C135" s="9" t="str">
        <x:v>E</x:v>
      </x:c>
      <x:c r="D135" s="9" t="str">
        <x:v>วางเป้าหมายและพาคนอื่นทำงานให้สำเร็จ</x:v>
      </x:c>
      <x:c r="E135" s="9" t="n">
        <x:v>1</x:v>
      </x:c>
      <x:c r="F135" s="9" t="n">
        <x:v>0</x:v>
      </x:c>
    </x:row>
    <x:row r="136">
      <x:c r="A136" s="9" t="str">
        <x:v>132</x:v>
      </x:c>
      <x:c r="B136" s="9" t="str">
        <x:v>ความสามารถ</x:v>
      </x:c>
      <x:c r="C136" s="9" t="str">
        <x:v>C</x:v>
      </x:c>
      <x:c r="D136" s="9" t="str">
        <x:v>ตรวจรายละเอียด ตัวเลข หรือเอกสารได้รอบคอบ</x:v>
      </x:c>
      <x:c r="E136" s="9" t="n">
        <x:v>1</x:v>
      </x:c>
      <x:c r="F136" s="9" t="n">
        <x:v>0</x:v>
      </x:c>
    </x:row>
    <x:row r="137">
      <x:c r="A137" s="9" t="str">
        <x:v>133</x:v>
      </x:c>
      <x:c r="B137" s="9" t="str">
        <x:v>อาชีพ</x:v>
      </x:c>
      <x:c r="C137" s="9" t="str">
        <x:v>R</x:v>
      </x:c>
      <x:c r="D137" s="9" t="str">
        <x:v>สนใจอาชีพที่ได้ทำงานกับเครื่องมือ เทคโนโลยี หรือภาคสนาม</x:v>
      </x:c>
      <x:c r="E137" s="9" t="n">
        <x:v>1</x:v>
      </x:c>
      <x:c r="F137" s="9" t="n">
        <x:v>0</x:v>
      </x:c>
    </x:row>
    <x:row r="138">
      <x:c r="A138" s="9" t="str">
        <x:v>134</x:v>
      </x:c>
      <x:c r="B138" s="9" t="str">
        <x:v>อาชีพ</x:v>
      </x:c>
      <x:c r="C138" s="9" t="str">
        <x:v>I</x:v>
      </x:c>
      <x:c r="D138" s="9" t="str">
        <x:v>สนใจอาชีพนักวิทยาศาสตร์ นักวิจัย หรือผู้เชี่ยวชาญ</x:v>
      </x:c>
      <x:c r="E138" s="9" t="n">
        <x:v>1</x:v>
      </x:c>
      <x:c r="F138" s="9" t="n">
        <x:v>0</x:v>
      </x:c>
    </x:row>
    <x:row r="139">
      <x:c r="A139" s="9" t="str">
        <x:v>135</x:v>
      </x:c>
      <x:c r="B139" s="9" t="str">
        <x:v>อาชีพ</x:v>
      </x:c>
      <x:c r="C139" s="9" t="str">
        <x:v>A</x:v>
      </x:c>
      <x:c r="D139" s="9" t="str">
        <x:v>สนใจอาชีพนักออกแบบ นักเขียน หรือผู้สร้างสื่อ</x:v>
      </x:c>
      <x:c r="E139" s="9" t="n">
        <x:v>1</x:v>
      </x:c>
      <x:c r="F139" s="9" t="n">
        <x:v>0</x:v>
      </x:c>
    </x:row>
    <x:row r="140">
      <x:c r="A140" s="9" t="str">
        <x:v>136</x:v>
      </x:c>
      <x:c r="B140" s="9" t="str">
        <x:v>อาชีพ</x:v>
      </x:c>
      <x:c r="C140" s="9" t="str">
        <x:v>S</x:v>
      </x:c>
      <x:c r="D140" s="9" t="str">
        <x:v>สนใจอาชีพครู บุคลากรสุขภาพ หรือผู้ให้คำปรึกษา</x:v>
      </x:c>
      <x:c r="E140" s="9" t="n">
        <x:v>1</x:v>
      </x:c>
      <x:c r="F140" s="9" t="n">
        <x:v>0</x:v>
      </x:c>
    </x:row>
    <x:row r="141">
      <x:c r="A141" s="9" t="str">
        <x:v>137</x:v>
      </x:c>
      <x:c r="B141" s="9" t="str">
        <x:v>อาชีพ</x:v>
      </x:c>
      <x:c r="C141" s="9" t="str">
        <x:v>E</x:v>
      </x:c>
      <x:c r="D141" s="9" t="str">
        <x:v>สนใจอาชีพนักธุรกิจ นักการตลาด หรือผู้นำโครงการ</x:v>
      </x:c>
      <x:c r="E141" s="9" t="n">
        <x:v>1</x:v>
      </x:c>
      <x:c r="F141" s="9" t="n">
        <x:v>0</x:v>
      </x:c>
    </x:row>
    <x:row r="142">
      <x:c r="A142" s="9" t="str">
        <x:v>138</x:v>
      </x:c>
      <x:c r="B142" s="9" t="str">
        <x:v>อาชีพ</x:v>
      </x:c>
      <x:c r="C142" s="9" t="str">
        <x:v>C</x:v>
      </x:c>
      <x:c r="D142" s="9" t="str">
        <x:v>สนใจอาชีพบัญชี การเงิน ธุรการ หรือวางระบบข้อมูล</x:v>
      </x:c>
      <x:c r="E142" s="9" t="n">
        <x:v>1</x:v>
      </x:c>
      <x:c r="F142" s="9" t="n">
        <x:v>0</x:v>
      </x:c>
    </x:row>
    <x:row r="143">
      <x:c r="A143" s="9" t="str">
        <x:v>139</x:v>
      </x:c>
      <x:c r="B143" s="9" t="str">
        <x:v>อาชีพ</x:v>
      </x:c>
      <x:c r="C143" s="9" t="str">
        <x:v>R</x:v>
      </x:c>
      <x:c r="D143" s="9" t="str">
        <x:v>สนใจอาชีพที่ได้ทำงานกับเครื่องมือ เทคโนโลยี หรือภาคสนาม</x:v>
      </x:c>
      <x:c r="E143" s="9" t="n">
        <x:v>1</x:v>
      </x:c>
      <x:c r="F143" s="9" t="n">
        <x:v>0</x:v>
      </x:c>
    </x:row>
    <x:row r="144">
      <x:c r="A144" s="9" t="str">
        <x:v>140</x:v>
      </x:c>
      <x:c r="B144" s="9" t="str">
        <x:v>อาชีพ</x:v>
      </x:c>
      <x:c r="C144" s="9" t="str">
        <x:v>I</x:v>
      </x:c>
      <x:c r="D144" s="9" t="str">
        <x:v>สนใจอาชีพนักวิทยาศาสตร์ นักวิจัย หรือผู้เชี่ยวชาญ</x:v>
      </x:c>
      <x:c r="E144" s="9" t="n">
        <x:v>1</x:v>
      </x:c>
      <x:c r="F144" s="9" t="n">
        <x:v>0</x:v>
      </x:c>
    </x:row>
    <x:row r="145">
      <x:c r="A145" s="9" t="str">
        <x:v>141</x:v>
      </x:c>
      <x:c r="B145" s="9" t="str">
        <x:v>อาชีพ</x:v>
      </x:c>
      <x:c r="C145" s="9" t="str">
        <x:v>A</x:v>
      </x:c>
      <x:c r="D145" s="9" t="str">
        <x:v>สนใจอาชีพนักออกแบบ นักเขียน หรือผู้สร้างสื่อ</x:v>
      </x:c>
      <x:c r="E145" s="9" t="n">
        <x:v>1</x:v>
      </x:c>
      <x:c r="F145" s="9" t="n">
        <x:v>0</x:v>
      </x:c>
    </x:row>
    <x:row r="146">
      <x:c r="A146" s="9" t="str">
        <x:v>142</x:v>
      </x:c>
      <x:c r="B146" s="9" t="str">
        <x:v>อาชีพ</x:v>
      </x:c>
      <x:c r="C146" s="9" t="str">
        <x:v>S</x:v>
      </x:c>
      <x:c r="D146" s="9" t="str">
        <x:v>สนใจอาชีพครู บุคลากรสุขภาพ หรือผู้ให้คำปรึกษา</x:v>
      </x:c>
      <x:c r="E146" s="9" t="n">
        <x:v>1</x:v>
      </x:c>
      <x:c r="F146" s="9" t="n">
        <x:v>0</x:v>
      </x:c>
    </x:row>
    <x:row r="147">
      <x:c r="A147" s="9" t="str">
        <x:v>143</x:v>
      </x:c>
      <x:c r="B147" s="9" t="str">
        <x:v>อาชีพ</x:v>
      </x:c>
      <x:c r="C147" s="9" t="str">
        <x:v>E</x:v>
      </x:c>
      <x:c r="D147" s="9" t="str">
        <x:v>สนใจอาชีพนักธุรกิจ นักการตลาด หรือผู้นำโครงการ</x:v>
      </x:c>
      <x:c r="E147" s="9" t="n">
        <x:v>1</x:v>
      </x:c>
      <x:c r="F147" s="9" t="n">
        <x:v>0</x:v>
      </x:c>
    </x:row>
    <x:row r="148">
      <x:c r="A148" s="9" t="str">
        <x:v>144</x:v>
      </x:c>
      <x:c r="B148" s="9" t="str">
        <x:v>อาชีพ</x:v>
      </x:c>
      <x:c r="C148" s="9" t="str">
        <x:v>C</x:v>
      </x:c>
      <x:c r="D148" s="9" t="str">
        <x:v>สนใจอาชีพบัญชี การเงิน ธุรการ หรือวางระบบข้อมูล</x:v>
      </x:c>
      <x:c r="E148" s="9" t="n">
        <x:v>1</x:v>
      </x:c>
      <x:c r="F148" s="9" t="n">
        <x:v>0</x:v>
      </x:c>
    </x:row>
    <x:row r="149">
      <x:c r="A149" s="9" t="str">
        <x:v>145</x:v>
      </x:c>
      <x:c r="B149" s="9" t="str">
        <x:v>อาชีพ</x:v>
      </x:c>
      <x:c r="C149" s="9" t="str">
        <x:v>R</x:v>
      </x:c>
      <x:c r="D149" s="9" t="str">
        <x:v>สนใจอาชีพที่ได้ทำงานกับเครื่องมือ เทคโนโลยี หรือภาคสนาม</x:v>
      </x:c>
      <x:c r="E149" s="9" t="n">
        <x:v>1</x:v>
      </x:c>
      <x:c r="F149" s="9" t="n">
        <x:v>0</x:v>
      </x:c>
    </x:row>
    <x:row r="150">
      <x:c r="A150" s="9" t="str">
        <x:v>146</x:v>
      </x:c>
      <x:c r="B150" s="9" t="str">
        <x:v>อาชีพ</x:v>
      </x:c>
      <x:c r="C150" s="9" t="str">
        <x:v>I</x:v>
      </x:c>
      <x:c r="D150" s="9" t="str">
        <x:v>สนใจอาชีพนักวิทยาศาสตร์ นักวิจัย หรือผู้เชี่ยวชาญ</x:v>
      </x:c>
      <x:c r="E150" s="9" t="n">
        <x:v>1</x:v>
      </x:c>
      <x:c r="F150" s="9" t="n">
        <x:v>0</x:v>
      </x:c>
    </x:row>
    <x:row r="151">
      <x:c r="A151" s="9" t="str">
        <x:v>147</x:v>
      </x:c>
      <x:c r="B151" s="9" t="str">
        <x:v>อาชีพ</x:v>
      </x:c>
      <x:c r="C151" s="9" t="str">
        <x:v>A</x:v>
      </x:c>
      <x:c r="D151" s="9" t="str">
        <x:v>สนใจอาชีพนักออกแบบ นักเขียน หรือผู้สร้างสื่อ</x:v>
      </x:c>
      <x:c r="E151" s="9" t="n">
        <x:v>1</x:v>
      </x:c>
      <x:c r="F151" s="9" t="n">
        <x:v>0</x:v>
      </x:c>
    </x:row>
    <x:row r="152">
      <x:c r="A152" s="9" t="str">
        <x:v>148</x:v>
      </x:c>
      <x:c r="B152" s="9" t="str">
        <x:v>อาชีพ</x:v>
      </x:c>
      <x:c r="C152" s="9" t="str">
        <x:v>S</x:v>
      </x:c>
      <x:c r="D152" s="9" t="str">
        <x:v>สนใจอาชีพครู บุคลากรสุขภาพ หรือผู้ให้คำปรึกษา</x:v>
      </x:c>
      <x:c r="E152" s="9" t="n">
        <x:v>1</x:v>
      </x:c>
      <x:c r="F152" s="9" t="n">
        <x:v>0</x:v>
      </x:c>
    </x:row>
    <x:row r="153">
      <x:c r="A153" s="9" t="str">
        <x:v>149</x:v>
      </x:c>
      <x:c r="B153" s="9" t="str">
        <x:v>อาชีพ</x:v>
      </x:c>
      <x:c r="C153" s="9" t="str">
        <x:v>E</x:v>
      </x:c>
      <x:c r="D153" s="9" t="str">
        <x:v>สนใจอาชีพนักธุรกิจ นักการตลาด หรือผู้นำโครงการ</x:v>
      </x:c>
      <x:c r="E153" s="9" t="n">
        <x:v>1</x:v>
      </x:c>
      <x:c r="F153" s="9" t="n">
        <x:v>0</x:v>
      </x:c>
    </x:row>
    <x:row r="154">
      <x:c r="A154" s="9" t="str">
        <x:v>150</x:v>
      </x:c>
      <x:c r="B154" s="9" t="str">
        <x:v>อาชีพ</x:v>
      </x:c>
      <x:c r="C154" s="9" t="str">
        <x:v>C</x:v>
      </x:c>
      <x:c r="D154" s="9" t="str">
        <x:v>สนใจอาชีพบัญชี การเงิน ธุรการ หรือวางระบบข้อมูล</x:v>
      </x:c>
      <x:c r="E154" s="9" t="n">
        <x:v>1</x:v>
      </x:c>
      <x:c r="F154" s="9" t="n">
        <x:v>0</x:v>
      </x:c>
    </x:row>
    <x:row r="155">
      <x:c r="A155" s="9" t="str">
        <x:v>151</x:v>
      </x:c>
      <x:c r="B155" s="9" t="str">
        <x:v>อาชีพ</x:v>
      </x:c>
      <x:c r="C155" s="9" t="str">
        <x:v>R</x:v>
      </x:c>
      <x:c r="D155" s="9" t="str">
        <x:v>สนใจอาชีพที่ได้ทำงานกับเครื่องมือ เทคโนโลยี หรือภาคสนาม</x:v>
      </x:c>
      <x:c r="E155" s="9" t="n">
        <x:v>1</x:v>
      </x:c>
      <x:c r="F155" s="9" t="n">
        <x:v>0</x:v>
      </x:c>
    </x:row>
    <x:row r="156">
      <x:c r="A156" s="9" t="str">
        <x:v>152</x:v>
      </x:c>
      <x:c r="B156" s="9" t="str">
        <x:v>อาชีพ</x:v>
      </x:c>
      <x:c r="C156" s="9" t="str">
        <x:v>I</x:v>
      </x:c>
      <x:c r="D156" s="9" t="str">
        <x:v>สนใจอาชีพนักวิทยาศาสตร์ นักวิจัย หรือผู้เชี่ยวชาญ</x:v>
      </x:c>
      <x:c r="E156" s="9" t="n">
        <x:v>1</x:v>
      </x:c>
      <x:c r="F156" s="9" t="n">
        <x:v>0</x:v>
      </x:c>
    </x:row>
    <x:row r="157">
      <x:c r="A157" s="9" t="str">
        <x:v>153</x:v>
      </x:c>
      <x:c r="B157" s="9" t="str">
        <x:v>อาชีพ</x:v>
      </x:c>
      <x:c r="C157" s="9" t="str">
        <x:v>A</x:v>
      </x:c>
      <x:c r="D157" s="9" t="str">
        <x:v>สนใจอาชีพนักออกแบบ นักเขียน หรือผู้สร้างสื่อ</x:v>
      </x:c>
      <x:c r="E157" s="9" t="n">
        <x:v>1</x:v>
      </x:c>
      <x:c r="F157" s="9" t="n">
        <x:v>0</x:v>
      </x:c>
    </x:row>
    <x:row r="158">
      <x:c r="A158" s="9" t="str">
        <x:v>154</x:v>
      </x:c>
      <x:c r="B158" s="9" t="str">
        <x:v>อาชีพ</x:v>
      </x:c>
      <x:c r="C158" s="9" t="str">
        <x:v>S</x:v>
      </x:c>
      <x:c r="D158" s="9" t="str">
        <x:v>สนใจอาชีพครู บุคลากรสุขภาพ หรือผู้ให้คำปรึกษา</x:v>
      </x:c>
      <x:c r="E158" s="9" t="n">
        <x:v>1</x:v>
      </x:c>
      <x:c r="F158" s="9" t="n">
        <x:v>0</x:v>
      </x:c>
    </x:row>
    <x:row r="159">
      <x:c r="A159" s="9" t="str">
        <x:v>155</x:v>
      </x:c>
      <x:c r="B159" s="9" t="str">
        <x:v>อาชีพ</x:v>
      </x:c>
      <x:c r="C159" s="9" t="str">
        <x:v>E</x:v>
      </x:c>
      <x:c r="D159" s="9" t="str">
        <x:v>สนใจอาชีพนักธุรกิจ นักการตลาด หรือผู้นำโครงการ</x:v>
      </x:c>
      <x:c r="E159" s="9" t="n">
        <x:v>1</x:v>
      </x:c>
      <x:c r="F159" s="9" t="n">
        <x:v>0</x:v>
      </x:c>
    </x:row>
    <x:row r="160">
      <x:c r="A160" s="9" t="str">
        <x:v>156</x:v>
      </x:c>
      <x:c r="B160" s="9" t="str">
        <x:v>อาชีพ</x:v>
      </x:c>
      <x:c r="C160" s="9" t="str">
        <x:v>C</x:v>
      </x:c>
      <x:c r="D160" s="9" t="str">
        <x:v>สนใจอาชีพบัญชี การเงิน ธุรการ หรือวางระบบข้อมูล</x:v>
      </x:c>
      <x:c r="E160" s="9" t="n">
        <x:v>1</x:v>
      </x:c>
      <x:c r="F160" s="9" t="n">
        <x:v>0</x:v>
      </x:c>
    </x:row>
    <x:row r="161">
      <x:c r="A161" s="9" t="str">
        <x:v>157</x:v>
      </x:c>
      <x:c r="B161" s="9" t="str">
        <x:v>อาชีพ</x:v>
      </x:c>
      <x:c r="C161" s="9" t="str">
        <x:v>R</x:v>
      </x:c>
      <x:c r="D161" s="9" t="str">
        <x:v>สนใจอาชีพที่ได้ทำงานกับเครื่องมือ เทคโนโลยี หรือภาคสนาม</x:v>
      </x:c>
      <x:c r="E161" s="9" t="n">
        <x:v>1</x:v>
      </x:c>
      <x:c r="F161" s="9" t="n">
        <x:v>0</x:v>
      </x:c>
    </x:row>
    <x:row r="162">
      <x:c r="A162" s="9" t="str">
        <x:v>158</x:v>
      </x:c>
      <x:c r="B162" s="9" t="str">
        <x:v>อาชีพ</x:v>
      </x:c>
      <x:c r="C162" s="9" t="str">
        <x:v>I</x:v>
      </x:c>
      <x:c r="D162" s="9" t="str">
        <x:v>สนใจอาชีพนักวิทยาศาสตร์ นักวิจัย หรือผู้เชี่ยวชาญ</x:v>
      </x:c>
      <x:c r="E162" s="9" t="n">
        <x:v>1</x:v>
      </x:c>
      <x:c r="F162" s="9" t="n">
        <x:v>0</x:v>
      </x:c>
    </x:row>
    <x:row r="163">
      <x:c r="A163" s="9" t="str">
        <x:v>159</x:v>
      </x:c>
      <x:c r="B163" s="9" t="str">
        <x:v>อาชีพ</x:v>
      </x:c>
      <x:c r="C163" s="9" t="str">
        <x:v>A</x:v>
      </x:c>
      <x:c r="D163" s="9" t="str">
        <x:v>สนใจอาชีพนักออกแบบ นักเขียน หรือผู้สร้างสื่อ</x:v>
      </x:c>
      <x:c r="E163" s="9" t="n">
        <x:v>1</x:v>
      </x:c>
      <x:c r="F163" s="9" t="n">
        <x:v>0</x:v>
      </x:c>
    </x:row>
    <x:row r="164">
      <x:c r="A164" s="9" t="str">
        <x:v>160</x:v>
      </x:c>
      <x:c r="B164" s="9" t="str">
        <x:v>อาชีพ</x:v>
      </x:c>
      <x:c r="C164" s="9" t="str">
        <x:v>S</x:v>
      </x:c>
      <x:c r="D164" s="9" t="str">
        <x:v>สนใจอาชีพครู บุคลากรสุขภาพ หรือผู้ให้คำปรึกษา</x:v>
      </x:c>
      <x:c r="E164" s="9" t="n">
        <x:v>1</x:v>
      </x:c>
      <x:c r="F164" s="9" t="n">
        <x:v>0</x:v>
      </x:c>
    </x:row>
    <x:row r="165">
      <x:c r="A165" s="9" t="str">
        <x:v>161</x:v>
      </x:c>
      <x:c r="B165" s="9" t="str">
        <x:v>อาชีพ</x:v>
      </x:c>
      <x:c r="C165" s="9" t="str">
        <x:v>E</x:v>
      </x:c>
      <x:c r="D165" s="9" t="str">
        <x:v>สนใจอาชีพนักธุรกิจ นักการตลาด หรือผู้นำโครงการ</x:v>
      </x:c>
      <x:c r="E165" s="9" t="n">
        <x:v>1</x:v>
      </x:c>
      <x:c r="F165" s="9" t="n">
        <x:v>0</x:v>
      </x:c>
    </x:row>
    <x:row r="166">
      <x:c r="A166" s="9" t="str">
        <x:v>162</x:v>
      </x:c>
      <x:c r="B166" s="9" t="str">
        <x:v>อาชีพ</x:v>
      </x:c>
      <x:c r="C166" s="9" t="str">
        <x:v>C</x:v>
      </x:c>
      <x:c r="D166" s="9" t="str">
        <x:v>สนใจอาชีพบัญชี การเงิน ธุรการ หรือวางระบบข้อมูล</x:v>
      </x:c>
      <x:c r="E166" s="9" t="n">
        <x:v>1</x:v>
      </x:c>
      <x:c r="F166" s="9" t="n">
        <x:v>0</x:v>
      </x:c>
    </x:row>
    <x:row r="167">
      <x:c r="A167" s="9" t="str">
        <x:v>163</x:v>
      </x:c>
      <x:c r="B167" s="9" t="str">
        <x:v>อาชีพ</x:v>
      </x:c>
      <x:c r="C167" s="9" t="str">
        <x:v>R</x:v>
      </x:c>
      <x:c r="D167" s="9" t="str">
        <x:v>สนใจอาชีพที่ได้ทำงานกับเครื่องมือ เทคโนโลยี หรือภาคสนาม</x:v>
      </x:c>
      <x:c r="E167" s="9" t="n">
        <x:v>1</x:v>
      </x:c>
      <x:c r="F167" s="9" t="n">
        <x:v>0</x:v>
      </x:c>
    </x:row>
    <x:row r="168">
      <x:c r="A168" s="9" t="str">
        <x:v>164</x:v>
      </x:c>
      <x:c r="B168" s="9" t="str">
        <x:v>อาชีพ</x:v>
      </x:c>
      <x:c r="C168" s="9" t="str">
        <x:v>I</x:v>
      </x:c>
      <x:c r="D168" s="9" t="str">
        <x:v>สนใจอาชีพนักวิทยาศาสตร์ นักวิจัย หรือผู้เชี่ยวชาญ</x:v>
      </x:c>
      <x:c r="E168" s="9" t="n">
        <x:v>1</x:v>
      </x:c>
      <x:c r="F168" s="9" t="n">
        <x:v>0</x:v>
      </x:c>
    </x:row>
    <x:row r="169">
      <x:c r="A169" s="9" t="str">
        <x:v>165</x:v>
      </x:c>
      <x:c r="B169" s="9" t="str">
        <x:v>อาชีพ</x:v>
      </x:c>
      <x:c r="C169" s="9" t="str">
        <x:v>A</x:v>
      </x:c>
      <x:c r="D169" s="9" t="str">
        <x:v>สนใจอาชีพนักออกแบบ นักเขียน หรือผู้สร้างสื่อ</x:v>
      </x:c>
      <x:c r="E169" s="9" t="n">
        <x:v>1</x:v>
      </x:c>
      <x:c r="F169" s="9" t="n">
        <x:v>0</x:v>
      </x:c>
    </x:row>
    <x:row r="170">
      <x:c r="A170" s="9" t="str">
        <x:v>166</x:v>
      </x:c>
      <x:c r="B170" s="9" t="str">
        <x:v>อาชีพ</x:v>
      </x:c>
      <x:c r="C170" s="9" t="str">
        <x:v>S</x:v>
      </x:c>
      <x:c r="D170" s="9" t="str">
        <x:v>สนใจอาชีพครู บุคลากรสุขภาพ หรือผู้ให้คำปรึกษา</x:v>
      </x:c>
      <x:c r="E170" s="9" t="n">
        <x:v>1</x:v>
      </x:c>
      <x:c r="F170" s="9" t="n">
        <x:v>0</x:v>
      </x:c>
    </x:row>
    <x:row r="171">
      <x:c r="A171" s="9" t="str">
        <x:v>167</x:v>
      </x:c>
      <x:c r="B171" s="9" t="str">
        <x:v>อาชีพ</x:v>
      </x:c>
      <x:c r="C171" s="9" t="str">
        <x:v>E</x:v>
      </x:c>
      <x:c r="D171" s="9" t="str">
        <x:v>สนใจอาชีพนักธุรกิจ นักการตลาด หรือผู้นำโครงการ</x:v>
      </x:c>
      <x:c r="E171" s="9" t="n">
        <x:v>1</x:v>
      </x:c>
      <x:c r="F171" s="9" t="n">
        <x:v>0</x:v>
      </x:c>
    </x:row>
    <x:row r="172">
      <x:c r="A172" s="9" t="str">
        <x:v>168</x:v>
      </x:c>
      <x:c r="B172" s="9" t="str">
        <x:v>อาชีพ</x:v>
      </x:c>
      <x:c r="C172" s="9" t="str">
        <x:v>C</x:v>
      </x:c>
      <x:c r="D172" s="9" t="str">
        <x:v>สนใจอาชีพบัญชี การเงิน ธุรการ หรือวางระบบข้อมูล</x:v>
      </x:c>
      <x:c r="E172" s="9" t="n">
        <x:v>1</x:v>
      </x:c>
      <x:c r="F172" s="9" t="n">
        <x:v>0</x:v>
      </x:c>
    </x:row>
    <x:row r="173">
      <x:c r="A173" s="9" t="str">
        <x:v>169</x:v>
      </x:c>
      <x:c r="B173" s="9" t="str">
        <x:v>อาชีพ</x:v>
      </x:c>
      <x:c r="C173" s="9" t="str">
        <x:v>R</x:v>
      </x:c>
      <x:c r="D173" s="9" t="str">
        <x:v>สนใจอาชีพที่ได้ทำงานกับเครื่องมือ เทคโนโลยี หรือภาคสนาม</x:v>
      </x:c>
      <x:c r="E173" s="9" t="n">
        <x:v>1</x:v>
      </x:c>
      <x:c r="F173" s="9" t="n">
        <x:v>0</x:v>
      </x:c>
    </x:row>
    <x:row r="174">
      <x:c r="A174" s="9" t="str">
        <x:v>170</x:v>
      </x:c>
      <x:c r="B174" s="9" t="str">
        <x:v>อาชีพ</x:v>
      </x:c>
      <x:c r="C174" s="9" t="str">
        <x:v>I</x:v>
      </x:c>
      <x:c r="D174" s="9" t="str">
        <x:v>สนใจอาชีพนักวิทยาศาสตร์ นักวิจัย หรือผู้เชี่ยวชาญ</x:v>
      </x:c>
      <x:c r="E174" s="9" t="n">
        <x:v>1</x:v>
      </x:c>
      <x:c r="F174" s="9" t="n">
        <x:v>0</x:v>
      </x:c>
    </x:row>
    <x:row r="175">
      <x:c r="A175" s="9" t="str">
        <x:v>171</x:v>
      </x:c>
      <x:c r="B175" s="9" t="str">
        <x:v>อาชีพ</x:v>
      </x:c>
      <x:c r="C175" s="9" t="str">
        <x:v>A</x:v>
      </x:c>
      <x:c r="D175" s="9" t="str">
        <x:v>สนใจอาชีพนักออกแบบ นักเขียน หรือผู้สร้างสื่อ</x:v>
      </x:c>
      <x:c r="E175" s="9" t="n">
        <x:v>1</x:v>
      </x:c>
      <x:c r="F175" s="9" t="n">
        <x:v>0</x:v>
      </x:c>
    </x:row>
    <x:row r="176">
      <x:c r="A176" s="9" t="str">
        <x:v>172</x:v>
      </x:c>
      <x:c r="B176" s="9" t="str">
        <x:v>อาชีพ</x:v>
      </x:c>
      <x:c r="C176" s="9" t="str">
        <x:v>S</x:v>
      </x:c>
      <x:c r="D176" s="9" t="str">
        <x:v>สนใจอาชีพครู บุคลากรสุขภาพ หรือผู้ให้คำปรึกษา</x:v>
      </x:c>
      <x:c r="E176" s="9" t="n">
        <x:v>1</x:v>
      </x:c>
      <x:c r="F176" s="9" t="n">
        <x:v>0</x:v>
      </x:c>
    </x:row>
    <x:row r="177">
      <x:c r="A177" s="9" t="str">
        <x:v>173</x:v>
      </x:c>
      <x:c r="B177" s="9" t="str">
        <x:v>อาชีพ</x:v>
      </x:c>
      <x:c r="C177" s="9" t="str">
        <x:v>E</x:v>
      </x:c>
      <x:c r="D177" s="9" t="str">
        <x:v>สนใจอาชีพนักธุรกิจ นักการตลาด หรือผู้นำโครงการ</x:v>
      </x:c>
      <x:c r="E177" s="9" t="n">
        <x:v>1</x:v>
      </x:c>
      <x:c r="F177" s="9" t="n">
        <x:v>0</x:v>
      </x:c>
    </x:row>
    <x:row r="178">
      <x:c r="A178" s="9" t="str">
        <x:v>174</x:v>
      </x:c>
      <x:c r="B178" s="9" t="str">
        <x:v>อาชีพ</x:v>
      </x:c>
      <x:c r="C178" s="9" t="str">
        <x:v>C</x:v>
      </x:c>
      <x:c r="D178" s="9" t="str">
        <x:v>สนใจอาชีพบัญชี การเงิน ธุรการ หรือวางระบบข้อมูล</x:v>
      </x:c>
      <x:c r="E178" s="9" t="n">
        <x:v>1</x:v>
      </x:c>
      <x:c r="F178" s="9" t="n">
        <x:v>0</x:v>
      </x:c>
    </x:row>
    <x:row r="179">
      <x:c r="A179" s="9" t="str">
        <x:v>175</x:v>
      </x:c>
      <x:c r="B179" s="9" t="str">
        <x:v>อาชีพ</x:v>
      </x:c>
      <x:c r="C179" s="9" t="str">
        <x:v>R</x:v>
      </x:c>
      <x:c r="D179" s="9" t="str">
        <x:v>สนใจอาชีพที่ได้ทำงานกับเครื่องมือ เทคโนโลยี หรือภาคสนาม</x:v>
      </x:c>
      <x:c r="E179" s="9" t="n">
        <x:v>1</x:v>
      </x:c>
      <x:c r="F179" s="9" t="n">
        <x:v>0</x:v>
      </x:c>
    </x:row>
    <x:row r="180">
      <x:c r="A180" s="9" t="str">
        <x:v>176</x:v>
      </x:c>
      <x:c r="B180" s="9" t="str">
        <x:v>อาชีพ</x:v>
      </x:c>
      <x:c r="C180" s="9" t="str">
        <x:v>I</x:v>
      </x:c>
      <x:c r="D180" s="9" t="str">
        <x:v>สนใจอาชีพนักวิทยาศาสตร์ นักวิจัย หรือผู้เชี่ยวชาญ</x:v>
      </x:c>
      <x:c r="E180" s="9" t="n">
        <x:v>1</x:v>
      </x:c>
      <x:c r="F180" s="9" t="n">
        <x:v>0</x:v>
      </x:c>
    </x:row>
    <x:row r="181">
      <x:c r="A181" s="9" t="str">
        <x:v>177</x:v>
      </x:c>
      <x:c r="B181" s="9" t="str">
        <x:v>อาชีพ</x:v>
      </x:c>
      <x:c r="C181" s="9" t="str">
        <x:v>A</x:v>
      </x:c>
      <x:c r="D181" s="9" t="str">
        <x:v>สนใจอาชีพนักออกแบบ นักเขียน หรือผู้สร้างสื่อ</x:v>
      </x:c>
      <x:c r="E181" s="9" t="n">
        <x:v>1</x:v>
      </x:c>
      <x:c r="F181" s="9" t="n">
        <x:v>0</x:v>
      </x:c>
    </x:row>
    <x:row r="182">
      <x:c r="A182" s="9" t="str">
        <x:v>178</x:v>
      </x:c>
      <x:c r="B182" s="9" t="str">
        <x:v>อาชีพ</x:v>
      </x:c>
      <x:c r="C182" s="9" t="str">
        <x:v>S</x:v>
      </x:c>
      <x:c r="D182" s="9" t="str">
        <x:v>สนใจอาชีพครู บุคลากรสุขภาพ หรือผู้ให้คำปรึกษา</x:v>
      </x:c>
      <x:c r="E182" s="9" t="n">
        <x:v>1</x:v>
      </x:c>
      <x:c r="F182" s="9" t="n">
        <x:v>0</x:v>
      </x:c>
    </x:row>
    <x:row r="183">
      <x:c r="A183" s="9" t="str">
        <x:v>179</x:v>
      </x:c>
      <x:c r="B183" s="9" t="str">
        <x:v>อาชีพ</x:v>
      </x:c>
      <x:c r="C183" s="9" t="str">
        <x:v>E</x:v>
      </x:c>
      <x:c r="D183" s="9" t="str">
        <x:v>สนใจอาชีพนักธุรกิจ นักการตลาด หรือผู้นำโครงการ</x:v>
      </x:c>
      <x:c r="E183" s="9" t="n">
        <x:v>1</x:v>
      </x:c>
      <x:c r="F183" s="9" t="n">
        <x:v>0</x:v>
      </x:c>
    </x:row>
    <x:row r="184">
      <x:c r="A184" s="9" t="str">
        <x:v>180</x:v>
      </x:c>
      <x:c r="B184" s="9" t="str">
        <x:v>อาชีพ</x:v>
      </x:c>
      <x:c r="C184" s="9" t="str">
        <x:v>C</x:v>
      </x:c>
      <x:c r="D184" s="9" t="str">
        <x:v>สนใจอาชีพบัญชี การเงิน ธุรการ หรือวางระบบข้อมูล</x:v>
      </x:c>
      <x:c r="E184" s="9" t="n">
        <x:v>1</x:v>
      </x:c>
      <x:c r="F184" s="9" t="n">
        <x:v>0</x:v>
      </x:c>
    </x:row>
    <x:row r="185">
      <x:c r="A185" s="9" t="str">
        <x:v>181</x:v>
      </x:c>
      <x:c r="B185" s="9" t="str">
        <x:v>อาชีพ</x:v>
      </x:c>
      <x:c r="C185" s="9" t="str">
        <x:v>R</x:v>
      </x:c>
      <x:c r="D185" s="9" t="str">
        <x:v>สนใจอาชีพที่ได้ทำงานกับเครื่องมือ เทคโนโลยี หรือภาคสนาม</x:v>
      </x:c>
      <x:c r="E185" s="9" t="n">
        <x:v>1</x:v>
      </x:c>
      <x:c r="F185" s="9" t="n">
        <x:v>0</x:v>
      </x:c>
    </x:row>
    <x:row r="186">
      <x:c r="A186" s="9" t="str">
        <x:v>182</x:v>
      </x:c>
      <x:c r="B186" s="9" t="str">
        <x:v>อาชีพ</x:v>
      </x:c>
      <x:c r="C186" s="9" t="str">
        <x:v>I</x:v>
      </x:c>
      <x:c r="D186" s="9" t="str">
        <x:v>สนใจอาชีพนักวิทยาศาสตร์ นักวิจัย หรือผู้เชี่ยวชาญ</x:v>
      </x:c>
      <x:c r="E186" s="9" t="n">
        <x:v>1</x:v>
      </x:c>
      <x:c r="F186" s="9" t="n">
        <x:v>0</x:v>
      </x:c>
    </x:row>
    <x:row r="187">
      <x:c r="A187" s="9" t="str">
        <x:v>183</x:v>
      </x:c>
      <x:c r="B187" s="9" t="str">
        <x:v>อาชีพ</x:v>
      </x:c>
      <x:c r="C187" s="9" t="str">
        <x:v>A</x:v>
      </x:c>
      <x:c r="D187" s="9" t="str">
        <x:v>สนใจอาชีพนักออกแบบ นักเขียน หรือผู้สร้างสื่อ</x:v>
      </x:c>
      <x:c r="E187" s="9" t="n">
        <x:v>1</x:v>
      </x:c>
      <x:c r="F187" s="9" t="n">
        <x:v>0</x:v>
      </x:c>
    </x:row>
    <x:row r="188">
      <x:c r="A188" s="9" t="str">
        <x:v>184</x:v>
      </x:c>
      <x:c r="B188" s="9" t="str">
        <x:v>อาชีพ</x:v>
      </x:c>
      <x:c r="C188" s="9" t="str">
        <x:v>S</x:v>
      </x:c>
      <x:c r="D188" s="9" t="str">
        <x:v>สนใจอาชีพครู บุคลากรสุขภาพ หรือผู้ให้คำปรึกษา</x:v>
      </x:c>
      <x:c r="E188" s="9" t="n">
        <x:v>1</x:v>
      </x:c>
      <x:c r="F188" s="9" t="n">
        <x:v>0</x:v>
      </x:c>
    </x:row>
    <x:row r="189">
      <x:c r="A189" s="9" t="str">
        <x:v>185</x:v>
      </x:c>
      <x:c r="B189" s="9" t="str">
        <x:v>อาชีพ</x:v>
      </x:c>
      <x:c r="C189" s="9" t="str">
        <x:v>E</x:v>
      </x:c>
      <x:c r="D189" s="9" t="str">
        <x:v>สนใจอาชีพนักธุรกิจ นักการตลาด หรือผู้นำโครงการ</x:v>
      </x:c>
      <x:c r="E189" s="9" t="n">
        <x:v>1</x:v>
      </x:c>
      <x:c r="F189" s="9" t="n">
        <x:v>0</x:v>
      </x:c>
    </x:row>
    <x:row r="190">
      <x:c r="A190" s="9" t="str">
        <x:v>186</x:v>
      </x:c>
      <x:c r="B190" s="9" t="str">
        <x:v>อาชีพ</x:v>
      </x:c>
      <x:c r="C190" s="9" t="str">
        <x:v>C</x:v>
      </x:c>
      <x:c r="D190" s="9" t="str">
        <x:v>สนใจอาชีพบัญชี การเงิน ธุรการ หรือวางระบบข้อมูล</x:v>
      </x:c>
      <x:c r="E190" s="9" t="n">
        <x:v>1</x:v>
      </x:c>
      <x:c r="F190" s="9" t="n">
        <x:v>0</x:v>
      </x:c>
    </x:row>
    <x:row r="191">
      <x:c r="A191" s="9" t="str">
        <x:v>187</x:v>
      </x:c>
      <x:c r="B191" s="9" t="str">
        <x:v>อาชีพ</x:v>
      </x:c>
      <x:c r="C191" s="9" t="str">
        <x:v>R</x:v>
      </x:c>
      <x:c r="D191" s="9" t="str">
        <x:v>สนใจอาชีพที่ได้ทำงานกับเครื่องมือ เทคโนโลยี หรือภาคสนาม</x:v>
      </x:c>
      <x:c r="E191" s="9" t="n">
        <x:v>1</x:v>
      </x:c>
      <x:c r="F191" s="9" t="n">
        <x:v>0</x:v>
      </x:c>
    </x:row>
    <x:row r="192">
      <x:c r="A192" s="9" t="str">
        <x:v>188</x:v>
      </x:c>
      <x:c r="B192" s="9" t="str">
        <x:v>อาชีพ</x:v>
      </x:c>
      <x:c r="C192" s="9" t="str">
        <x:v>I</x:v>
      </x:c>
      <x:c r="D192" s="9" t="str">
        <x:v>สนใจอาชีพนักวิทยาศาสตร์ นักวิจัย หรือผู้เชี่ยวชาญ</x:v>
      </x:c>
      <x:c r="E192" s="9" t="n">
        <x:v>1</x:v>
      </x:c>
      <x:c r="F192" s="9" t="n">
        <x:v>0</x:v>
      </x:c>
    </x:row>
    <x:row r="193">
      <x:c r="A193" s="9" t="str">
        <x:v>189</x:v>
      </x:c>
      <x:c r="B193" s="9" t="str">
        <x:v>อาชีพ</x:v>
      </x:c>
      <x:c r="C193" s="9" t="str">
        <x:v>A</x:v>
      </x:c>
      <x:c r="D193" s="9" t="str">
        <x:v>สนใจอาชีพนักออกแบบ นักเขียน หรือผู้สร้างสื่อ</x:v>
      </x:c>
      <x:c r="E193" s="9" t="n">
        <x:v>1</x:v>
      </x:c>
      <x:c r="F193" s="9" t="n">
        <x:v>0</x:v>
      </x:c>
    </x:row>
    <x:row r="194">
      <x:c r="A194" s="9" t="str">
        <x:v>190</x:v>
      </x:c>
      <x:c r="B194" s="9" t="str">
        <x:v>อาชีพ</x:v>
      </x:c>
      <x:c r="C194" s="9" t="str">
        <x:v>S</x:v>
      </x:c>
      <x:c r="D194" s="9" t="str">
        <x:v>สนใจอาชีพครู บุคลากรสุขภาพ หรือผู้ให้คำปรึกษา</x:v>
      </x:c>
      <x:c r="E194" s="9" t="n">
        <x:v>1</x:v>
      </x:c>
      <x:c r="F194" s="9" t="n">
        <x:v>0</x:v>
      </x:c>
    </x:row>
    <x:row r="195">
      <x:c r="A195" s="9" t="str">
        <x:v>191</x:v>
      </x:c>
      <x:c r="B195" s="9" t="str">
        <x:v>อาชีพ</x:v>
      </x:c>
      <x:c r="C195" s="9" t="str">
        <x:v>E</x:v>
      </x:c>
      <x:c r="D195" s="9" t="str">
        <x:v>สนใจอาชีพนักธุรกิจ นักการตลาด หรือผู้นำโครงการ</x:v>
      </x:c>
      <x:c r="E195" s="9" t="n">
        <x:v>1</x:v>
      </x:c>
      <x:c r="F195" s="9" t="n">
        <x:v>0</x:v>
      </x:c>
    </x:row>
    <x:row r="196">
      <x:c r="A196" s="9" t="str">
        <x:v>192</x:v>
      </x:c>
      <x:c r="B196" s="9" t="str">
        <x:v>อาชีพ</x:v>
      </x:c>
      <x:c r="C196" s="9" t="str">
        <x:v>C</x:v>
      </x:c>
      <x:c r="D196" s="9" t="str">
        <x:v>สนใจอาชีพบัญชี การเงิน ธุรการ หรือวางระบบข้อมูล</x:v>
      </x:c>
      <x:c r="E196" s="9" t="n">
        <x:v>1</x:v>
      </x:c>
      <x:c r="F196" s="9" t="n">
        <x:v>0</x:v>
      </x:c>
    </x:row>
    <x:row r="197">
      <x:c r="A197" s="9" t="str">
        <x:v>193</x:v>
      </x:c>
      <x:c r="B197" s="9" t="str">
        <x:v>อาชีพ</x:v>
      </x:c>
      <x:c r="C197" s="9" t="str">
        <x:v>R</x:v>
      </x:c>
      <x:c r="D197" s="9" t="str">
        <x:v>สนใจอาชีพที่ได้ทำงานกับเครื่องมือ เทคโนโลยี หรือภาคสนาม</x:v>
      </x:c>
      <x:c r="E197" s="9" t="n">
        <x:v>1</x:v>
      </x:c>
      <x:c r="F197" s="9" t="n">
        <x:v>0</x:v>
      </x:c>
    </x:row>
    <x:row r="198">
      <x:c r="A198" s="9" t="str">
        <x:v>194</x:v>
      </x:c>
      <x:c r="B198" s="9" t="str">
        <x:v>อาชีพ</x:v>
      </x:c>
      <x:c r="C198" s="9" t="str">
        <x:v>I</x:v>
      </x:c>
      <x:c r="D198" s="9" t="str">
        <x:v>สนใจอาชีพนักวิทยาศาสตร์ นักวิจัย หรือผู้เชี่ยวชาญ</x:v>
      </x:c>
      <x:c r="E198" s="9" t="n">
        <x:v>1</x:v>
      </x:c>
      <x:c r="F198" s="9" t="n">
        <x:v>0</x:v>
      </x:c>
    </x:row>
    <x:row r="199">
      <x:c r="A199" s="9" t="str">
        <x:v>195</x:v>
      </x:c>
      <x:c r="B199" s="9" t="str">
        <x:v>อาชีพ</x:v>
      </x:c>
      <x:c r="C199" s="9" t="str">
        <x:v>A</x:v>
      </x:c>
      <x:c r="D199" s="9" t="str">
        <x:v>สนใจอาชีพนักออกแบบ นักเขียน หรือผู้สร้างสื่อ</x:v>
      </x:c>
      <x:c r="E199" s="9" t="n">
        <x:v>1</x:v>
      </x:c>
      <x:c r="F199" s="9" t="n">
        <x:v>0</x:v>
      </x:c>
    </x:row>
    <x:row r="200">
      <x:c r="A200" s="9" t="str">
        <x:v>196</x:v>
      </x:c>
      <x:c r="B200" s="9" t="str">
        <x:v>อาชีพ</x:v>
      </x:c>
      <x:c r="C200" s="9" t="str">
        <x:v>S</x:v>
      </x:c>
      <x:c r="D200" s="9" t="str">
        <x:v>สนใจอาชีพครู บุคลากรสุขภาพ หรือผู้ให้คำปรึกษา</x:v>
      </x:c>
      <x:c r="E200" s="9" t="n">
        <x:v>1</x:v>
      </x:c>
      <x:c r="F200" s="9" t="n">
        <x:v>0</x:v>
      </x:c>
    </x:row>
    <x:row r="201">
      <x:c r="A201" s="9" t="str">
        <x:v>197</x:v>
      </x:c>
      <x:c r="B201" s="9" t="str">
        <x:v>อาชีพ</x:v>
      </x:c>
      <x:c r="C201" s="9" t="str">
        <x:v>E</x:v>
      </x:c>
      <x:c r="D201" s="9" t="str">
        <x:v>สนใจอาชีพนักธุรกิจ นักการตลาด หรือผู้นำโครงการ</x:v>
      </x:c>
      <x:c r="E201" s="9" t="n">
        <x:v>1</x:v>
      </x:c>
      <x:c r="F201" s="9" t="n">
        <x:v>0</x:v>
      </x:c>
    </x:row>
    <x:row r="202">
      <x:c r="A202" s="9" t="str">
        <x:v>198</x:v>
      </x:c>
      <x:c r="B202" s="9" t="str">
        <x:v>อาชีพ</x:v>
      </x:c>
      <x:c r="C202" s="9" t="str">
        <x:v>C</x:v>
      </x:c>
      <x:c r="D202" s="9" t="str">
        <x:v>สนใจอาชีพบัญชี การเงิน ธุรการ หรือวางระบบข้อมูล</x:v>
      </x:c>
      <x:c r="E202" s="9" t="n">
        <x:v>1</x:v>
      </x:c>
      <x:c r="F202" s="9" t="n">
        <x:v>0</x:v>
      </x:c>
    </x:row>
    <x:row r="203">
      <x:c r="A203" s="9" t="str">
        <x:v>199</x:v>
      </x:c>
      <x:c r="B203" s="9" t="str">
        <x:v>อาชีพ</x:v>
      </x:c>
      <x:c r="C203" s="9" t="str">
        <x:v>R</x:v>
      </x:c>
      <x:c r="D203" s="9" t="str">
        <x:v>สนใจอาชีพที่ได้ทำงานกับเครื่องมือ เทคโนโลยี หรือภาคสนาม</x:v>
      </x:c>
      <x:c r="E203" s="9" t="n">
        <x:v>1</x:v>
      </x:c>
      <x:c r="F203" s="9" t="n">
        <x:v>0</x:v>
      </x:c>
    </x:row>
    <x:row r="204">
      <x:c r="A204" s="9" t="str">
        <x:v>200</x:v>
      </x:c>
      <x:c r="B204" s="9" t="str">
        <x:v>อาชีพ</x:v>
      </x:c>
      <x:c r="C204" s="9" t="str">
        <x:v>I</x:v>
      </x:c>
      <x:c r="D204" s="9" t="str">
        <x:v>สนใจอาชีพนักวิทยาศาสตร์ นักวิจัย หรือผู้เชี่ยวชาญ</x:v>
      </x:c>
      <x:c r="E204" s="9" t="n">
        <x:v>1</x:v>
      </x:c>
      <x:c r="F204" s="9" t="n">
        <x:v>0</x:v>
      </x:c>
    </x:row>
    <x:row r="205">
      <x:c r="A205" s="9" t="str">
        <x:v>201</x:v>
      </x:c>
      <x:c r="B205" s="9" t="str">
        <x:v>อาชีพ</x:v>
      </x:c>
      <x:c r="C205" s="9" t="str">
        <x:v>A</x:v>
      </x:c>
      <x:c r="D205" s="9" t="str">
        <x:v>สนใจอาชีพนักออกแบบ นักเขียน หรือผู้สร้างสื่อ</x:v>
      </x:c>
      <x:c r="E205" s="9" t="n">
        <x:v>1</x:v>
      </x:c>
      <x:c r="F205" s="9" t="n">
        <x:v>0</x:v>
      </x:c>
    </x:row>
    <x:row r="206">
      <x:c r="A206" s="9" t="str">
        <x:v>202</x:v>
      </x:c>
      <x:c r="B206" s="9" t="str">
        <x:v>อาชีพ</x:v>
      </x:c>
      <x:c r="C206" s="9" t="str">
        <x:v>S</x:v>
      </x:c>
      <x:c r="D206" s="9" t="str">
        <x:v>สนใจอาชีพครู บุคลากรสุขภาพ หรือผู้ให้คำปรึกษา</x:v>
      </x:c>
      <x:c r="E206" s="9" t="n">
        <x:v>1</x:v>
      </x:c>
      <x:c r="F206" s="9" t="n">
        <x:v>0</x:v>
      </x:c>
    </x:row>
    <x:row r="207">
      <x:c r="A207" s="9" t="str">
        <x:v>203</x:v>
      </x:c>
      <x:c r="B207" s="9" t="str">
        <x:v>อาชีพ</x:v>
      </x:c>
      <x:c r="C207" s="9" t="str">
        <x:v>E</x:v>
      </x:c>
      <x:c r="D207" s="9" t="str">
        <x:v>สนใจอาชีพนักธุรกิจ นักการตลาด หรือผู้นำโครงการ</x:v>
      </x:c>
      <x:c r="E207" s="9" t="n">
        <x:v>1</x:v>
      </x:c>
      <x:c r="F207" s="9" t="n">
        <x:v>0</x:v>
      </x:c>
    </x:row>
    <x:row r="208">
      <x:c r="A208" s="9" t="str">
        <x:v>204</x:v>
      </x:c>
      <x:c r="B208" s="9" t="str">
        <x:v>อาชีพ</x:v>
      </x:c>
      <x:c r="C208" s="9" t="str">
        <x:v>C</x:v>
      </x:c>
      <x:c r="D208" s="9" t="str">
        <x:v>สนใจอาชีพบัญชี การเงิน ธุรการ หรือวางระบบข้อมูล</x:v>
      </x:c>
      <x:c r="E208" s="9" t="n">
        <x:v>1</x:v>
      </x:c>
      <x:c r="F208" s="9" t="n">
        <x:v>0</x:v>
      </x:c>
    </x:row>
    <x:row r="209">
      <x:c r="A209" s="9" t="str">
        <x:v>205</x:v>
      </x:c>
      <x:c r="B209" s="9" t="str">
        <x:v>อาชีพ</x:v>
      </x:c>
      <x:c r="C209" s="9" t="str">
        <x:v>R</x:v>
      </x:c>
      <x:c r="D209" s="9" t="str">
        <x:v>สนใจอาชีพที่ได้ทำงานกับเครื่องมือ เทคโนโลยี หรือภาคสนาม</x:v>
      </x:c>
      <x:c r="E209" s="9" t="n">
        <x:v>1</x:v>
      </x:c>
      <x:c r="F209" s="9" t="n">
        <x:v>0</x:v>
      </x:c>
    </x:row>
    <x:row r="210">
      <x:c r="A210" s="9" t="str">
        <x:v>206</x:v>
      </x:c>
      <x:c r="B210" s="9" t="str">
        <x:v>อาชีพ</x:v>
      </x:c>
      <x:c r="C210" s="9" t="str">
        <x:v>I</x:v>
      </x:c>
      <x:c r="D210" s="9" t="str">
        <x:v>สนใจอาชีพนักวิทยาศาสตร์ นักวิจัย หรือผู้เชี่ยวชาญ</x:v>
      </x:c>
      <x:c r="E210" s="9" t="n">
        <x:v>1</x:v>
      </x:c>
      <x:c r="F210" s="9" t="n">
        <x:v>0</x:v>
      </x:c>
    </x:row>
    <x:row r="211">
      <x:c r="A211" s="9" t="str">
        <x:v>207</x:v>
      </x:c>
      <x:c r="B211" s="9" t="str">
        <x:v>อาชีพ</x:v>
      </x:c>
      <x:c r="C211" s="9" t="str">
        <x:v>A</x:v>
      </x:c>
      <x:c r="D211" s="9" t="str">
        <x:v>สนใจอาชีพนักออกแบบ นักเขียน หรือผู้สร้างสื่อ</x:v>
      </x:c>
      <x:c r="E211" s="9" t="n">
        <x:v>1</x:v>
      </x:c>
      <x:c r="F211" s="9" t="n">
        <x:v>0</x:v>
      </x:c>
    </x:row>
    <x:row r="212">
      <x:c r="A212" s="9" t="str">
        <x:v>208</x:v>
      </x:c>
      <x:c r="B212" s="9" t="str">
        <x:v>อาชีพ</x:v>
      </x:c>
      <x:c r="C212" s="9" t="str">
        <x:v>S</x:v>
      </x:c>
      <x:c r="D212" s="9" t="str">
        <x:v>สนใจอาชีพครู บุคลากรสุขภาพ หรือผู้ให้คำปรึกษา</x:v>
      </x:c>
      <x:c r="E212" s="9" t="n">
        <x:v>1</x:v>
      </x:c>
      <x:c r="F212" s="9" t="n">
        <x:v>0</x:v>
      </x:c>
    </x:row>
    <x:row r="213">
      <x:c r="A213" s="9" t="str">
        <x:v>209</x:v>
      </x:c>
      <x:c r="B213" s="9" t="str">
        <x:v>อาชีพ</x:v>
      </x:c>
      <x:c r="C213" s="9" t="str">
        <x:v>E</x:v>
      </x:c>
      <x:c r="D213" s="9" t="str">
        <x:v>สนใจอาชีพนักธุรกิจ นักการตลาด หรือผู้นำโครงการ</x:v>
      </x:c>
      <x:c r="E213" s="9" t="n">
        <x:v>1</x:v>
      </x:c>
      <x:c r="F213" s="9" t="n">
        <x:v>0</x:v>
      </x:c>
    </x:row>
    <x:row r="214">
      <x:c r="A214" s="9" t="str">
        <x:v>210</x:v>
      </x:c>
      <x:c r="B214" s="9" t="str">
        <x:v>อาชีพ</x:v>
      </x:c>
      <x:c r="C214" s="9" t="str">
        <x:v>C</x:v>
      </x:c>
      <x:c r="D214" s="9" t="str">
        <x:v>สนใจอาชีพบัญชี การเงิน ธุรการ หรือวางระบบข้อมูล</x:v>
      </x:c>
      <x:c r="E214" s="9" t="n">
        <x:v>1</x:v>
      </x:c>
      <x:c r="F214" s="9" t="n">
        <x:v>0</x:v>
      </x:c>
    </x:row>
    <x:row r="215">
      <x:c r="A215" s="9" t="str">
        <x:v>211</x:v>
      </x:c>
      <x:c r="B215" s="9" t="str">
        <x:v>อาชีพ</x:v>
      </x:c>
      <x:c r="C215" s="9" t="str">
        <x:v>R</x:v>
      </x:c>
      <x:c r="D215" s="9" t="str">
        <x:v>สนใจอาชีพที่ได้ทำงานกับเครื่องมือ เทคโนโลยี หรือภาคสนาม</x:v>
      </x:c>
      <x:c r="E215" s="9" t="n">
        <x:v>1</x:v>
      </x:c>
      <x:c r="F215" s="9" t="n">
        <x:v>0</x:v>
      </x:c>
    </x:row>
    <x:row r="216">
      <x:c r="A216" s="9" t="str">
        <x:v>212</x:v>
      </x:c>
      <x:c r="B216" s="9" t="str">
        <x:v>อาชีพ</x:v>
      </x:c>
      <x:c r="C216" s="9" t="str">
        <x:v>I</x:v>
      </x:c>
      <x:c r="D216" s="9" t="str">
        <x:v>สนใจอาชีพนักวิทยาศาสตร์ นักวิจัย หรือผู้เชี่ยวชาญ</x:v>
      </x:c>
      <x:c r="E216" s="9" t="n">
        <x:v>1</x:v>
      </x:c>
      <x:c r="F216" s="9" t="n">
        <x:v>0</x:v>
      </x:c>
    </x:row>
    <x:row r="217">
      <x:c r="A217" s="9" t="str">
        <x:v>213</x:v>
      </x:c>
      <x:c r="B217" s="9" t="str">
        <x:v>อาชีพ</x:v>
      </x:c>
      <x:c r="C217" s="9" t="str">
        <x:v>A</x:v>
      </x:c>
      <x:c r="D217" s="9" t="str">
        <x:v>สนใจอาชีพนักออกแบบ นักเขียน หรือผู้สร้างสื่อ</x:v>
      </x:c>
      <x:c r="E217" s="9" t="n">
        <x:v>1</x:v>
      </x:c>
      <x:c r="F217" s="9" t="n">
        <x:v>0</x:v>
      </x:c>
    </x:row>
    <x:row r="218">
      <x:c r="A218" s="9" t="str">
        <x:v>214</x:v>
      </x:c>
      <x:c r="B218" s="9" t="str">
        <x:v>อาชีพ</x:v>
      </x:c>
      <x:c r="C218" s="9" t="str">
        <x:v>S</x:v>
      </x:c>
      <x:c r="D218" s="9" t="str">
        <x:v>สนใจอาชีพครู บุคลากรสุขภาพ หรือผู้ให้คำปรึกษา</x:v>
      </x:c>
      <x:c r="E218" s="9" t="n">
        <x:v>1</x:v>
      </x:c>
      <x:c r="F218" s="9" t="n">
        <x:v>0</x:v>
      </x:c>
    </x:row>
    <x:row r="219">
      <x:c r="A219" s="9" t="str">
        <x:v>215</x:v>
      </x:c>
      <x:c r="B219" s="9" t="str">
        <x:v>อาชีพ</x:v>
      </x:c>
      <x:c r="C219" s="9" t="str">
        <x:v>E</x:v>
      </x:c>
      <x:c r="D219" s="9" t="str">
        <x:v>สนใจอาชีพนักธุรกิจ นักการตลาด หรือผู้นำโครงการ</x:v>
      </x:c>
      <x:c r="E219" s="9" t="n">
        <x:v>1</x:v>
      </x:c>
      <x:c r="F219" s="9" t="n">
        <x:v>0</x:v>
      </x:c>
    </x:row>
    <x:row r="220">
      <x:c r="A220" s="9" t="str">
        <x:v>216</x:v>
      </x:c>
      <x:c r="B220" s="9" t="str">
        <x:v>อาชีพ</x:v>
      </x:c>
      <x:c r="C220" s="9" t="str">
        <x:v>C</x:v>
      </x:c>
      <x:c r="D220" s="9" t="str">
        <x:v>สนใจอาชีพบัญชี การเงิน ธุรการ หรือวางระบบข้อมูล</x:v>
      </x:c>
      <x:c r="E220" s="9" t="n">
        <x:v>1</x:v>
      </x:c>
      <x:c r="F220" s="9" t="n">
        <x:v>0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42" hidden="0" customWidth="1"/>
    <x:col min="4" max="4" width="38" hidden="0" customWidth="1"/>
    <x:col min="5" max="5" width="28" hidden="0" customWidth="1"/>
  </x:cols>
  <x:sheetData>
    <x:row r="1">
      <x:c r="A1" s="4" t="str">
        <x:v>อาชีพและคณะ</x:v>
      </x:c>
      <x:c r="B1" s="4"/>
      <x:c r="C1" s="4"/>
      <x:c r="D1" s="4"/>
      <x:c r="E1" s="4"/>
    </x:row>
    <x:row r="2">
      <x:c r="A2" s="5" t="str">
        <x:v>ตารางอ้างอิงสำหรับหน้า Career Explorer ใน Glide</x:v>
      </x:c>
    </x:row>
    <x:row r="4">
      <x:c r="A4" s="23" t="str">
        <x:v>อาชีพ</x:v>
      </x:c>
      <x:c r="B4" s="24" t="str">
        <x:v>รหัส RIASEC</x:v>
      </x:c>
      <x:c r="C4" s="24" t="str">
        <x:v>ภาพรวมงาน</x:v>
      </x:c>
      <x:c r="D4" s="24" t="str">
        <x:v>คณะ/สาขาในไทย</x:v>
      </x:c>
      <x:c r="E4" s="25" t="str">
        <x:v>ลิงก์ค้นหาหลักสูตร</x:v>
      </x:c>
    </x:row>
    <x:row r="5">
      <x:c r="A5" s="9" t="str">
        <x:v>วิศวกรหุ่นยนต์</x:v>
      </x:c>
      <x:c r="B5" s="9" t="str">
        <x:v>RI</x:v>
      </x:c>
      <x:c r="C5" s="9" t="str">
        <x:v>ออกแบบระบบอัตโนมัติ</x:v>
      </x:c>
      <x:c r="D5" s="9" t="str">
        <x:v>วิศวกรรมเมคคาทรอนิกส์ / หุ่นยนต์</x:v>
      </x:c>
      <x:c r="E5" s="9" t="str">
        <x:v>https://course.mytcas.com/</x:v>
      </x:c>
    </x:row>
    <x:row r="6">
      <x:c r="A6" s="9" t="str">
        <x:v>นักพัฒนาซอฟต์แวร์</x:v>
      </x:c>
      <x:c r="B6" s="9" t="str">
        <x:v>IC</x:v>
      </x:c>
      <x:c r="C6" s="9" t="str">
        <x:v>สร้างระบบและแอป</x:v>
      </x:c>
      <x:c r="D6" s="9" t="str">
        <x:v>วิทยาการคอมพิวเตอร์ / IT</x:v>
      </x:c>
      <x:c r="E6" s="9" t="str">
        <x:v>https://course.mytcas.com/</x:v>
      </x:c>
    </x:row>
    <x:row r="7">
      <x:c r="A7" s="9" t="str">
        <x:v>นักวิเคราะห์ข้อมูล</x:v>
      </x:c>
      <x:c r="B7" s="9" t="str">
        <x:v>IC</x:v>
      </x:c>
      <x:c r="C7" s="9" t="str">
        <x:v>แปลข้อมูลเป็นข้อค้นพบ</x:v>
      </x:c>
      <x:c r="D7" s="9" t="str">
        <x:v>สถิติ / Data Science</x:v>
      </x:c>
      <x:c r="E7" s="9" t="str">
        <x:v>https://course.mytcas.com/</x:v>
      </x:c>
    </x:row>
    <x:row r="8">
      <x:c r="A8" s="9" t="str">
        <x:v>นักออกแบบ UX/UI</x:v>
      </x:c>
      <x:c r="B8" s="9" t="str">
        <x:v>AI</x:v>
      </x:c>
      <x:c r="C8" s="9" t="str">
        <x:v>ออกแบบประสบการณ์ดิจิทัล</x:v>
      </x:c>
      <x:c r="D8" s="9" t="str">
        <x:v>ออกแบบนิเทศศิลป์ / IT</x:v>
      </x:c>
      <x:c r="E8" s="9" t="str">
        <x:v>https://course.mytcas.com/</x:v>
      </x:c>
    </x:row>
    <x:row r="9">
      <x:c r="A9" s="9" t="str">
        <x:v>ครู</x:v>
      </x:c>
      <x:c r="B9" s="9" t="str">
        <x:v>SA</x:v>
      </x:c>
      <x:c r="C9" s="9" t="str">
        <x:v>ออกแบบการเรียนรู้</x:v>
      </x:c>
      <x:c r="D9" s="9" t="str">
        <x:v>ครุศาสตร์ / ศึกษาศาสตร์</x:v>
      </x:c>
      <x:c r="E9" s="9" t="str">
        <x:v>https://course.mytcas.com/</x:v>
      </x:c>
    </x:row>
    <x:row r="10">
      <x:c r="A10" s="9" t="str">
        <x:v>นักจิตวิทยา</x:v>
      </x:c>
      <x:c r="B10" s="9" t="str">
        <x:v>SI</x:v>
      </x:c>
      <x:c r="C10" s="9" t="str">
        <x:v>ส่งเสริมสุขภาวะทางใจ</x:v>
      </x:c>
      <x:c r="D10" s="9" t="str">
        <x:v>จิตวิทยา</x:v>
      </x:c>
      <x:c r="E10" s="9" t="str">
        <x:v>https://course.mytcas.com/</x:v>
      </x:c>
    </x:row>
    <x:row r="11">
      <x:c r="A11" s="9" t="str">
        <x:v>พยาบาลวิชาชีพ</x:v>
      </x:c>
      <x:c r="B11" s="9" t="str">
        <x:v>SI</x:v>
      </x:c>
      <x:c r="C11" s="9" t="str">
        <x:v>ดูแลสุขภาพด้วยความรู้และหัวใจ</x:v>
      </x:c>
      <x:c r="D11" s="9" t="str">
        <x:v>พยาบาลศาสตร์</x:v>
      </x:c>
      <x:c r="E11" s="9" t="str">
        <x:v>https://course.mytcas.com/</x:v>
      </x:c>
    </x:row>
    <x:row r="12">
      <x:c r="A12" s="9" t="str">
        <x:v>ผู้ประกอบการ</x:v>
      </x:c>
      <x:c r="B12" s="9" t="str">
        <x:v>ER</x:v>
      </x:c>
      <x:c r="C12" s="9" t="str">
        <x:v>เปลี่ยนปัญหาเป็นโอกาส</x:v>
      </x:c>
      <x:c r="D12" s="9" t="str">
        <x:v>บริหารธุรกิจ / ผู้ประกอบการ</x:v>
      </x:c>
      <x:c r="E12" s="9" t="str">
        <x:v>https://course.mytcas.com/</x:v>
      </x:c>
    </x:row>
    <x:row r="13">
      <x:c r="A13" s="9" t="str">
        <x:v>นักการตลาดดิจิทัล</x:v>
      </x:c>
      <x:c r="B13" s="9" t="str">
        <x:v>EA</x:v>
      </x:c>
      <x:c r="C13" s="9" t="str">
        <x:v>เข้าใจลูกค้าและแบรนด์</x:v>
      </x:c>
      <x:c r="D13" s="9" t="str">
        <x:v>การตลาด / นิเทศศาสตร์</x:v>
      </x:c>
      <x:c r="E13" s="9" t="str">
        <x:v>https://course.mytcas.com/</x:v>
      </x:c>
    </x:row>
    <x:row r="14">
      <x:c r="A14" s="9" t="str">
        <x:v>นักบัญชี</x:v>
      </x:c>
      <x:c r="B14" s="9" t="str">
        <x:v>CE</x:v>
      </x:c>
      <x:c r="C14" s="9" t="str">
        <x:v>จัดการข้อมูลการเงิน</x:v>
      </x:c>
      <x:c r="D14" s="9" t="str">
        <x:v>บัญชี</x:v>
      </x:c>
      <x:c r="E14" s="9" t="str">
        <x:v>https://course.mytcas.com/</x:v>
      </x:c>
    </x:row>
    <x:row r="15">
      <x:c r="A15" s="9" t="str">
        <x:v>นักโลจิสติกส์</x:v>
      </x:c>
      <x:c r="B15" s="9" t="str">
        <x:v>CR</x:v>
      </x:c>
      <x:c r="C15" s="9" t="str">
        <x:v>จัดระบบการเคลื่อนย้ายสินค้า</x:v>
      </x:c>
      <x:c r="D15" s="9" t="str">
        <x:v>โลจิสติกส์ / วิศวกรรมอุตสาหการ</x:v>
      </x:c>
      <x:c r="E15" s="9" t="str">
        <x:v>https://course.mytcas.com/</x:v>
      </x:c>
    </x:row>
    <x:row r="16">
      <x:c r="A16" s="9" t="str">
        <x:v>เกษตรกรอัจฉริยะ</x:v>
      </x:c>
      <x:c r="B16" s="9" t="str">
        <x:v>RI</x:v>
      </x:c>
      <x:c r="C16" s="9" t="str">
        <x:v>ใช้ข้อมูลยกระดับการเกษตร</x:v>
      </x:c>
      <x:c r="D16" s="9" t="str">
        <x:v>เกษตรศาสตร์ / เกษตรดิจิทัล</x:v>
      </x:c>
      <x:c r="E16" s="9" t="str">
        <x:v>https://course.mytcas.com/</x:v>
      </x:c>
    </x:row>
  </x:sheetData>
  <x:mergeCells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4" hidden="0" customWidth="1"/>
    <x:col min="3" max="3" width="42" hidden="0" customWidth="1"/>
    <x:col min="4" max="4" width="50" hidden="0" customWidth="1"/>
    <x:col min="5" max="5" width="32" hidden="0" customWidth="1"/>
  </x:cols>
  <x:sheetData>
    <x:row r="1">
      <x:c r="A1" s="4" t="str">
        <x:v>มหาวิทยาลัย 5 ตัวเลือกต่อสาขา</x:v>
      </x:c>
      <x:c r="B1" s="4"/>
      <x:c r="C1" s="4"/>
      <x:c r="D1" s="4"/>
      <x:c r="E1" s="4"/>
    </x:row>
    <x:row r="2">
      <x:c r="A2" s="5" t="str">
        <x:v>รายการแนะนำเพื่อเริ่มค้นหา ไม่ใช่อันดับทางการ; ตรวจสอบหลักสูตรและรอบ TCAS ปัจจุบันจาก MyTCAS ก่อนตัดสินใจ</x:v>
      </x:c>
    </x:row>
    <x:row r="4">
      <x:c r="A4" s="23" t="str">
        <x:v>สาขา/หลักสูตร</x:v>
      </x:c>
      <x:c r="B4" s="24" t="str">
        <x:v>ลำดับแนะนำ</x:v>
      </x:c>
      <x:c r="C4" s="24" t="str">
        <x:v>มหาวิทยาลัย</x:v>
      </x:c>
      <x:c r="D4" s="24" t="str">
        <x:v>คำแนะนำก่อนสมัคร</x:v>
      </x:c>
      <x:c r="E4" s="25" t="str">
        <x:v>ลิงก์ค้นหาหลักสูตร</x:v>
      </x:c>
    </x:row>
    <x:row r="5">
      <x:c r="A5" s="9" t="str">
        <x:v>วิศวกรรมเมคคาทรอนิกส์ / หุ่นยนต์</x:v>
      </x:c>
      <x:c r="B5" s="9" t="n">
        <x:v>1</x:v>
      </x:c>
      <x:c r="C5" s="9" t="str">
        <x:v>จุฬาลงกรณ์มหาวิทยาลัย</x:v>
      </x:c>
      <x:c r="D5" s="9" t="str">
        <x:v>ตรวจสอบชื่อคณะ/หลักสูตรและรอบรับสมัครล่าสุดใน MyTCAS</x:v>
      </x:c>
      <x:c r="E5" s="9" t="str">
        <x:v>https://course.mytcas.com/</x:v>
      </x:c>
    </x:row>
    <x:row r="6">
      <x:c r="A6" s="9" t="str">
        <x:v>วิศวกรรมเมคคาทรอนิกส์ / หุ่นยนต์</x:v>
      </x:c>
      <x:c r="B6" s="9" t="n">
        <x:v>2</x:v>
      </x:c>
      <x:c r="C6" s="9" t="str">
        <x:v>มหาวิทยาลัยเทคโนโลยีพระจอมเกล้าธนบุรี</x:v>
      </x:c>
      <x:c r="D6" s="9" t="str">
        <x:v>ตรวจสอบชื่อคณะ/หลักสูตรและรอบรับสมัครล่าสุดใน MyTCAS</x:v>
      </x:c>
      <x:c r="E6" s="9" t="str">
        <x:v>https://course.mytcas.com/</x:v>
      </x:c>
    </x:row>
    <x:row r="7">
      <x:c r="A7" s="9" t="str">
        <x:v>วิศวกรรมเมคคาทรอนิกส์ / หุ่นยนต์</x:v>
      </x:c>
      <x:c r="B7" s="9" t="n">
        <x:v>3</x:v>
      </x:c>
      <x:c r="C7" s="9" t="str">
        <x:v>สถาบันเทคโนโลยีพระจอมเกล้าเจ้าคุณทหารลาดกระบัง</x:v>
      </x:c>
      <x:c r="D7" s="9" t="str">
        <x:v>ตรวจสอบชื่อคณะ/หลักสูตรและรอบรับสมัครล่าสุดใน MyTCAS</x:v>
      </x:c>
      <x:c r="E7" s="9" t="str">
        <x:v>https://course.mytcas.com/</x:v>
      </x:c>
    </x:row>
    <x:row r="8">
      <x:c r="A8" s="9" t="str">
        <x:v>วิศวกรรมเมคคาทรอนิกส์ / หุ่นยนต์</x:v>
      </x:c>
      <x:c r="B8" s="9" t="n">
        <x:v>4</x:v>
      </x:c>
      <x:c r="C8" s="9" t="str">
        <x:v>มหาวิทยาลัยเกษตรศาสตร์</x:v>
      </x:c>
      <x:c r="D8" s="9" t="str">
        <x:v>ตรวจสอบชื่อคณะ/หลักสูตรและรอบรับสมัครล่าสุดใน MyTCAS</x:v>
      </x:c>
      <x:c r="E8" s="9" t="str">
        <x:v>https://course.mytcas.com/</x:v>
      </x:c>
    </x:row>
    <x:row r="9">
      <x:c r="A9" s="9" t="str">
        <x:v>วิศวกรรมเมคคาทรอนิกส์ / หุ่นยนต์</x:v>
      </x:c>
      <x:c r="B9" s="9" t="n">
        <x:v>5</x:v>
      </x:c>
      <x:c r="C9" s="9" t="str">
        <x:v>มหาวิทยาลัยเทคโนโลยีสุรนารี</x:v>
      </x:c>
      <x:c r="D9" s="9" t="str">
        <x:v>ตรวจสอบชื่อคณะ/หลักสูตรและรอบรับสมัครล่าสุดใน MyTCAS</x:v>
      </x:c>
      <x:c r="E9" s="9" t="str">
        <x:v>https://course.mytcas.com/</x:v>
      </x:c>
    </x:row>
    <x:row r="10">
      <x:c r="A10" s="9" t="str">
        <x:v>วิทยาการคอมพิวเตอร์ / IT</x:v>
      </x:c>
      <x:c r="B10" s="9" t="n">
        <x:v>1</x:v>
      </x:c>
      <x:c r="C10" s="9" t="str">
        <x:v>จุฬาลงกรณ์มหาวิทยาลัย</x:v>
      </x:c>
      <x:c r="D10" s="9" t="str">
        <x:v>ตรวจสอบชื่อคณะ/หลักสูตรและรอบรับสมัครล่าสุดใน MyTCAS</x:v>
      </x:c>
      <x:c r="E10" s="9" t="str">
        <x:v>https://course.mytcas.com/</x:v>
      </x:c>
    </x:row>
    <x:row r="11">
      <x:c r="A11" s="9" t="str">
        <x:v>วิทยาการคอมพิวเตอร์ / IT</x:v>
      </x:c>
      <x:c r="B11" s="9" t="n">
        <x:v>2</x:v>
      </x:c>
      <x:c r="C11" s="9" t="str">
        <x:v>มหาวิทยาลัยเทคโนโลยีพระจอมเกล้าธนบุรี</x:v>
      </x:c>
      <x:c r="D11" s="9" t="str">
        <x:v>ตรวจสอบชื่อคณะ/หลักสูตรและรอบรับสมัครล่าสุดใน MyTCAS</x:v>
      </x:c>
      <x:c r="E11" s="9" t="str">
        <x:v>https://course.mytcas.com/</x:v>
      </x:c>
    </x:row>
    <x:row r="12">
      <x:c r="A12" s="9" t="str">
        <x:v>วิทยาการคอมพิวเตอร์ / IT</x:v>
      </x:c>
      <x:c r="B12" s="9" t="n">
        <x:v>3</x:v>
      </x:c>
      <x:c r="C12" s="9" t="str">
        <x:v>สถาบันเทคโนโลยีพระจอมเกล้าเจ้าคุณทหารลาดกระบัง</x:v>
      </x:c>
      <x:c r="D12" s="9" t="str">
        <x:v>ตรวจสอบชื่อคณะ/หลักสูตรและรอบรับสมัครล่าสุดใน MyTCAS</x:v>
      </x:c>
      <x:c r="E12" s="9" t="str">
        <x:v>https://course.mytcas.com/</x:v>
      </x:c>
    </x:row>
    <x:row r="13">
      <x:c r="A13" s="9" t="str">
        <x:v>วิทยาการคอมพิวเตอร์ / IT</x:v>
      </x:c>
      <x:c r="B13" s="9" t="n">
        <x:v>4</x:v>
      </x:c>
      <x:c r="C13" s="9" t="str">
        <x:v>มหาวิทยาลัยเกษตรศาสตร์</x:v>
      </x:c>
      <x:c r="D13" s="9" t="str">
        <x:v>ตรวจสอบชื่อคณะ/หลักสูตรและรอบรับสมัครล่าสุดใน MyTCAS</x:v>
      </x:c>
      <x:c r="E13" s="9" t="str">
        <x:v>https://course.mytcas.com/</x:v>
      </x:c>
    </x:row>
    <x:row r="14">
      <x:c r="A14" s="9" t="str">
        <x:v>วิทยาการคอมพิวเตอร์ / IT</x:v>
      </x:c>
      <x:c r="B14" s="9" t="n">
        <x:v>5</x:v>
      </x:c>
      <x:c r="C14" s="9" t="str">
        <x:v>มหาวิทยาลัยมหิดล</x:v>
      </x:c>
      <x:c r="D14" s="9" t="str">
        <x:v>ตรวจสอบชื่อคณะ/หลักสูตรและรอบรับสมัครล่าสุดใน MyTCAS</x:v>
      </x:c>
      <x:c r="E14" s="9" t="str">
        <x:v>https://course.mytcas.com/</x:v>
      </x:c>
    </x:row>
    <x:row r="15">
      <x:c r="A15" s="9" t="str">
        <x:v>สถิติ / Data Science</x:v>
      </x:c>
      <x:c r="B15" s="9" t="n">
        <x:v>1</x:v>
      </x:c>
      <x:c r="C15" s="9" t="str">
        <x:v>จุฬาลงกรณ์มหาวิทยาลัย</x:v>
      </x:c>
      <x:c r="D15" s="9" t="str">
        <x:v>ตรวจสอบชื่อคณะ/หลักสูตรและรอบรับสมัครล่าสุดใน MyTCAS</x:v>
      </x:c>
      <x:c r="E15" s="9" t="str">
        <x:v>https://course.mytcas.com/</x:v>
      </x:c>
    </x:row>
    <x:row r="16">
      <x:c r="A16" s="9" t="str">
        <x:v>สถิติ / Data Science</x:v>
      </x:c>
      <x:c r="B16" s="9" t="n">
        <x:v>2</x:v>
      </x:c>
      <x:c r="C16" s="9" t="str">
        <x:v>มหาวิทยาลัยธรรมศาสตร์</x:v>
      </x:c>
      <x:c r="D16" s="9" t="str">
        <x:v>ตรวจสอบชื่อคณะ/หลักสูตรและรอบรับสมัครล่าสุดใน MyTCAS</x:v>
      </x:c>
      <x:c r="E16" s="9" t="str">
        <x:v>https://course.mytcas.com/</x:v>
      </x:c>
    </x:row>
    <x:row r="17">
      <x:c r="A17" s="9" t="str">
        <x:v>สถิติ / Data Science</x:v>
      </x:c>
      <x:c r="B17" s="9" t="n">
        <x:v>3</x:v>
      </x:c>
      <x:c r="C17" s="9" t="str">
        <x:v>มหาวิทยาลัยมหิดล</x:v>
      </x:c>
      <x:c r="D17" s="9" t="str">
        <x:v>ตรวจสอบชื่อคณะ/หลักสูตรและรอบรับสมัครล่าสุดใน MyTCAS</x:v>
      </x:c>
      <x:c r="E17" s="9" t="str">
        <x:v>https://course.mytcas.com/</x:v>
      </x:c>
    </x:row>
    <x:row r="18">
      <x:c r="A18" s="9" t="str">
        <x:v>สถิติ / Data Science</x:v>
      </x:c>
      <x:c r="B18" s="9" t="n">
        <x:v>4</x:v>
      </x:c>
      <x:c r="C18" s="9" t="str">
        <x:v>มหาวิทยาลัยเกษตรศาสตร์</x:v>
      </x:c>
      <x:c r="D18" s="9" t="str">
        <x:v>ตรวจสอบชื่อคณะ/หลักสูตรและรอบรับสมัครล่าสุดใน MyTCAS</x:v>
      </x:c>
      <x:c r="E18" s="9" t="str">
        <x:v>https://course.mytcas.com/</x:v>
      </x:c>
    </x:row>
    <x:row r="19">
      <x:c r="A19" s="9" t="str">
        <x:v>สถิติ / Data Science</x:v>
      </x:c>
      <x:c r="B19" s="9" t="n">
        <x:v>5</x:v>
      </x:c>
      <x:c r="C19" s="9" t="str">
        <x:v>มหาวิทยาลัยเชียงใหม่</x:v>
      </x:c>
      <x:c r="D19" s="9" t="str">
        <x:v>ตรวจสอบชื่อคณะ/หลักสูตรและรอบรับสมัครล่าสุดใน MyTCAS</x:v>
      </x:c>
      <x:c r="E19" s="9" t="str">
        <x:v>https://course.mytcas.com/</x:v>
      </x:c>
    </x:row>
    <x:row r="20">
      <x:c r="A20" s="9" t="str">
        <x:v>ออกแบบนิเทศศิลป์ / IT</x:v>
      </x:c>
      <x:c r="B20" s="9" t="n">
        <x:v>1</x:v>
      </x:c>
      <x:c r="C20" s="9" t="str">
        <x:v>จุฬาลงกรณ์มหาวิทยาลัย</x:v>
      </x:c>
      <x:c r="D20" s="9" t="str">
        <x:v>ตรวจสอบชื่อคณะ/หลักสูตรและรอบรับสมัครล่าสุดใน MyTCAS</x:v>
      </x:c>
      <x:c r="E20" s="9" t="str">
        <x:v>https://course.mytcas.com/</x:v>
      </x:c>
    </x:row>
    <x:row r="21">
      <x:c r="A21" s="9" t="str">
        <x:v>ออกแบบนิเทศศิลป์ / IT</x:v>
      </x:c>
      <x:c r="B21" s="9" t="n">
        <x:v>2</x:v>
      </x:c>
      <x:c r="C21" s="9" t="str">
        <x:v>มหาวิทยาลัยเทคโนโลยีพระจอมเกล้าธนบุรี</x:v>
      </x:c>
      <x:c r="D21" s="9" t="str">
        <x:v>ตรวจสอบชื่อคณะ/หลักสูตรและรอบรับสมัครล่าสุดใน MyTCAS</x:v>
      </x:c>
      <x:c r="E21" s="9" t="str">
        <x:v>https://course.mytcas.com/</x:v>
      </x:c>
    </x:row>
    <x:row r="22">
      <x:c r="A22" s="9" t="str">
        <x:v>ออกแบบนิเทศศิลป์ / IT</x:v>
      </x:c>
      <x:c r="B22" s="9" t="n">
        <x:v>3</x:v>
      </x:c>
      <x:c r="C22" s="9" t="str">
        <x:v>สถาบันเทคโนโลยีพระจอมเกล้าเจ้าคุณทหารลาดกระบัง</x:v>
      </x:c>
      <x:c r="D22" s="9" t="str">
        <x:v>ตรวจสอบชื่อคณะ/หลักสูตรและรอบรับสมัครล่าสุดใน MyTCAS</x:v>
      </x:c>
      <x:c r="E22" s="9" t="str">
        <x:v>https://course.mytcas.com/</x:v>
      </x:c>
    </x:row>
    <x:row r="23">
      <x:c r="A23" s="9" t="str">
        <x:v>ออกแบบนิเทศศิลป์ / IT</x:v>
      </x:c>
      <x:c r="B23" s="9" t="n">
        <x:v>4</x:v>
      </x:c>
      <x:c r="C23" s="9" t="str">
        <x:v>มหาวิทยาลัยศิลปากร</x:v>
      </x:c>
      <x:c r="D23" s="9" t="str">
        <x:v>ตรวจสอบชื่อคณะ/หลักสูตรและรอบรับสมัครล่าสุดใน MyTCAS</x:v>
      </x:c>
      <x:c r="E23" s="9" t="str">
        <x:v>https://course.mytcas.com/</x:v>
      </x:c>
    </x:row>
    <x:row r="24">
      <x:c r="A24" s="9" t="str">
        <x:v>ออกแบบนิเทศศิลป์ / IT</x:v>
      </x:c>
      <x:c r="B24" s="9" t="n">
        <x:v>5</x:v>
      </x:c>
      <x:c r="C24" s="9" t="str">
        <x:v>มหาวิทยาลัยกรุงเทพ</x:v>
      </x:c>
      <x:c r="D24" s="9" t="str">
        <x:v>ตรวจสอบชื่อคณะ/หลักสูตรและรอบรับสมัครล่าสุดใน MyTCAS</x:v>
      </x:c>
      <x:c r="E24" s="9" t="str">
        <x:v>https://course.mytcas.com/</x:v>
      </x:c>
    </x:row>
    <x:row r="25">
      <x:c r="A25" s="9" t="str">
        <x:v>ครุศาสตร์ / ศึกษาศาสตร์</x:v>
      </x:c>
      <x:c r="B25" s="9" t="n">
        <x:v>1</x:v>
      </x:c>
      <x:c r="C25" s="9" t="str">
        <x:v>จุฬาลงกรณ์มหาวิทยาลัย</x:v>
      </x:c>
      <x:c r="D25" s="9" t="str">
        <x:v>ตรวจสอบชื่อคณะ/หลักสูตรและรอบรับสมัครล่าสุดใน MyTCAS</x:v>
      </x:c>
      <x:c r="E25" s="9" t="str">
        <x:v>https://course.mytcas.com/</x:v>
      </x:c>
    </x:row>
    <x:row r="26">
      <x:c r="A26" s="9" t="str">
        <x:v>ครุศาสตร์ / ศึกษาศาสตร์</x:v>
      </x:c>
      <x:c r="B26" s="9" t="n">
        <x:v>2</x:v>
      </x:c>
      <x:c r="C26" s="9" t="str">
        <x:v>มหาวิทยาลัยเกษตรศาสตร์</x:v>
      </x:c>
      <x:c r="D26" s="9" t="str">
        <x:v>ตรวจสอบชื่อคณะ/หลักสูตรและรอบรับสมัครล่าสุดใน MyTCAS</x:v>
      </x:c>
      <x:c r="E26" s="9" t="str">
        <x:v>https://course.mytcas.com/</x:v>
      </x:c>
    </x:row>
    <x:row r="27">
      <x:c r="A27" s="9" t="str">
        <x:v>ครุศาสตร์ / ศึกษาศาสตร์</x:v>
      </x:c>
      <x:c r="B27" s="9" t="n">
        <x:v>3</x:v>
      </x:c>
      <x:c r="C27" s="9" t="str">
        <x:v>มหาวิทยาลัยเชียงใหม่</x:v>
      </x:c>
      <x:c r="D27" s="9" t="str">
        <x:v>ตรวจสอบชื่อคณะ/หลักสูตรและรอบรับสมัครล่าสุดใน MyTCAS</x:v>
      </x:c>
      <x:c r="E27" s="9" t="str">
        <x:v>https://course.mytcas.com/</x:v>
      </x:c>
    </x:row>
    <x:row r="28">
      <x:c r="A28" s="9" t="str">
        <x:v>ครุศาสตร์ / ศึกษาศาสตร์</x:v>
      </x:c>
      <x:c r="B28" s="9" t="n">
        <x:v>4</x:v>
      </x:c>
      <x:c r="C28" s="9" t="str">
        <x:v>มหาวิทยาลัยขอนแก่น</x:v>
      </x:c>
      <x:c r="D28" s="9" t="str">
        <x:v>ตรวจสอบชื่อคณะ/หลักสูตรและรอบรับสมัครล่าสุดใน MyTCAS</x:v>
      </x:c>
      <x:c r="E28" s="9" t="str">
        <x:v>https://course.mytcas.com/</x:v>
      </x:c>
    </x:row>
    <x:row r="29">
      <x:c r="A29" s="9" t="str">
        <x:v>ครุศาสตร์ / ศึกษาศาสตร์</x:v>
      </x:c>
      <x:c r="B29" s="9" t="n">
        <x:v>5</x:v>
      </x:c>
      <x:c r="C29" s="9" t="str">
        <x:v>มหาวิทยาลัยศรีนครินทรวิโรฒ</x:v>
      </x:c>
      <x:c r="D29" s="9" t="str">
        <x:v>ตรวจสอบชื่อคณะ/หลักสูตรและรอบรับสมัครล่าสุดใน MyTCAS</x:v>
      </x:c>
      <x:c r="E29" s="9" t="str">
        <x:v>https://course.mytcas.com/</x:v>
      </x:c>
    </x:row>
    <x:row r="30">
      <x:c r="A30" s="9" t="str">
        <x:v>จิตวิทยา</x:v>
      </x:c>
      <x:c r="B30" s="9" t="n">
        <x:v>1</x:v>
      </x:c>
      <x:c r="C30" s="9" t="str">
        <x:v>จุฬาลงกรณ์มหาวิทยาลัย</x:v>
      </x:c>
      <x:c r="D30" s="9" t="str">
        <x:v>ตรวจสอบชื่อคณะ/หลักสูตรและรอบรับสมัครล่าสุดใน MyTCAS</x:v>
      </x:c>
      <x:c r="E30" s="9" t="str">
        <x:v>https://course.mytcas.com/</x:v>
      </x:c>
    </x:row>
    <x:row r="31">
      <x:c r="A31" s="9" t="str">
        <x:v>จิตวิทยา</x:v>
      </x:c>
      <x:c r="B31" s="9" t="n">
        <x:v>2</x:v>
      </x:c>
      <x:c r="C31" s="9" t="str">
        <x:v>มหาวิทยาลัยธรรมศาสตร์</x:v>
      </x:c>
      <x:c r="D31" s="9" t="str">
        <x:v>ตรวจสอบชื่อคณะ/หลักสูตรและรอบรับสมัครล่าสุดใน MyTCAS</x:v>
      </x:c>
      <x:c r="E31" s="9" t="str">
        <x:v>https://course.mytcas.com/</x:v>
      </x:c>
    </x:row>
    <x:row r="32">
      <x:c r="A32" s="9" t="str">
        <x:v>จิตวิทยา</x:v>
      </x:c>
      <x:c r="B32" s="9" t="n">
        <x:v>3</x:v>
      </x:c>
      <x:c r="C32" s="9" t="str">
        <x:v>มหาวิทยาลัยเกษตรศาสตร์</x:v>
      </x:c>
      <x:c r="D32" s="9" t="str">
        <x:v>ตรวจสอบชื่อคณะ/หลักสูตรและรอบรับสมัครล่าสุดใน MyTCAS</x:v>
      </x:c>
      <x:c r="E32" s="9" t="str">
        <x:v>https://course.mytcas.com/</x:v>
      </x:c>
    </x:row>
    <x:row r="33">
      <x:c r="A33" s="9" t="str">
        <x:v>จิตวิทยา</x:v>
      </x:c>
      <x:c r="B33" s="9" t="n">
        <x:v>4</x:v>
      </x:c>
      <x:c r="C33" s="9" t="str">
        <x:v>มหาวิทยาลัยเชียงใหม่</x:v>
      </x:c>
      <x:c r="D33" s="9" t="str">
        <x:v>ตรวจสอบชื่อคณะ/หลักสูตรและรอบรับสมัครล่าสุดใน MyTCAS</x:v>
      </x:c>
      <x:c r="E33" s="9" t="str">
        <x:v>https://course.mytcas.com/</x:v>
      </x:c>
    </x:row>
    <x:row r="34">
      <x:c r="A34" s="9" t="str">
        <x:v>จิตวิทยา</x:v>
      </x:c>
      <x:c r="B34" s="9" t="n">
        <x:v>5</x:v>
      </x:c>
      <x:c r="C34" s="9" t="str">
        <x:v>มหาวิทยาลัยศรีนครินทรวิโรฒ</x:v>
      </x:c>
      <x:c r="D34" s="9" t="str">
        <x:v>ตรวจสอบชื่อคณะ/หลักสูตรและรอบรับสมัครล่าสุดใน MyTCAS</x:v>
      </x:c>
      <x:c r="E34" s="9" t="str">
        <x:v>https://course.mytcas.com/</x:v>
      </x:c>
    </x:row>
    <x:row r="35">
      <x:c r="A35" s="9" t="str">
        <x:v>พยาบาลศาสตร์</x:v>
      </x:c>
      <x:c r="B35" s="9" t="n">
        <x:v>1</x:v>
      </x:c>
      <x:c r="C35" s="9" t="str">
        <x:v>มหาวิทยาลัยมหิดล</x:v>
      </x:c>
      <x:c r="D35" s="9" t="str">
        <x:v>ตรวจสอบชื่อคณะ/หลักสูตรและรอบรับสมัครล่าสุดใน MyTCAS</x:v>
      </x:c>
      <x:c r="E35" s="9" t="str">
        <x:v>https://course.mytcas.com/</x:v>
      </x:c>
    </x:row>
    <x:row r="36">
      <x:c r="A36" s="9" t="str">
        <x:v>พยาบาลศาสตร์</x:v>
      </x:c>
      <x:c r="B36" s="9" t="n">
        <x:v>2</x:v>
      </x:c>
      <x:c r="C36" s="9" t="str">
        <x:v>จุฬาลงกรณ์มหาวิทยาลัย</x:v>
      </x:c>
      <x:c r="D36" s="9" t="str">
        <x:v>ตรวจสอบชื่อคณะ/หลักสูตรและรอบรับสมัครล่าสุดใน MyTCAS</x:v>
      </x:c>
      <x:c r="E36" s="9" t="str">
        <x:v>https://course.mytcas.com/</x:v>
      </x:c>
    </x:row>
    <x:row r="37">
      <x:c r="A37" s="9" t="str">
        <x:v>พยาบาลศาสตร์</x:v>
      </x:c>
      <x:c r="B37" s="9" t="n">
        <x:v>3</x:v>
      </x:c>
      <x:c r="C37" s="9" t="str">
        <x:v>มหาวิทยาลัยเชียงใหม่</x:v>
      </x:c>
      <x:c r="D37" s="9" t="str">
        <x:v>ตรวจสอบชื่อคณะ/หลักสูตรและรอบรับสมัครล่าสุดใน MyTCAS</x:v>
      </x:c>
      <x:c r="E37" s="9" t="str">
        <x:v>https://course.mytcas.com/</x:v>
      </x:c>
    </x:row>
    <x:row r="38">
      <x:c r="A38" s="9" t="str">
        <x:v>พยาบาลศาสตร์</x:v>
      </x:c>
      <x:c r="B38" s="9" t="n">
        <x:v>4</x:v>
      </x:c>
      <x:c r="C38" s="9" t="str">
        <x:v>มหาวิทยาลัยขอนแก่น</x:v>
      </x:c>
      <x:c r="D38" s="9" t="str">
        <x:v>ตรวจสอบชื่อคณะ/หลักสูตรและรอบรับสมัครล่าสุดใน MyTCAS</x:v>
      </x:c>
      <x:c r="E38" s="9" t="str">
        <x:v>https://course.mytcas.com/</x:v>
      </x:c>
    </x:row>
    <x:row r="39">
      <x:c r="A39" s="9" t="str">
        <x:v>พยาบาลศาสตร์</x:v>
      </x:c>
      <x:c r="B39" s="9" t="n">
        <x:v>5</x:v>
      </x:c>
      <x:c r="C39" s="9" t="str">
        <x:v>มหาวิทยาลัยสงขลานครินทร์</x:v>
      </x:c>
      <x:c r="D39" s="9" t="str">
        <x:v>ตรวจสอบชื่อคณะ/หลักสูตรและรอบรับสมัครล่าสุดใน MyTCAS</x:v>
      </x:c>
      <x:c r="E39" s="9" t="str">
        <x:v>https://course.mytcas.com/</x:v>
      </x:c>
    </x:row>
    <x:row r="40">
      <x:c r="A40" s="9" t="str">
        <x:v>บริหารธุรกิจ / ผู้ประกอบการ</x:v>
      </x:c>
      <x:c r="B40" s="9" t="n">
        <x:v>1</x:v>
      </x:c>
      <x:c r="C40" s="9" t="str">
        <x:v>จุฬาลงกรณ์มหาวิทยาลัย</x:v>
      </x:c>
      <x:c r="D40" s="9" t="str">
        <x:v>ตรวจสอบชื่อคณะ/หลักสูตรและรอบรับสมัครล่าสุดใน MyTCAS</x:v>
      </x:c>
      <x:c r="E40" s="9" t="str">
        <x:v>https://course.mytcas.com/</x:v>
      </x:c>
    </x:row>
    <x:row r="41">
      <x:c r="A41" s="9" t="str">
        <x:v>บริหารธุรกิจ / ผู้ประกอบการ</x:v>
      </x:c>
      <x:c r="B41" s="9" t="n">
        <x:v>2</x:v>
      </x:c>
      <x:c r="C41" s="9" t="str">
        <x:v>มหาวิทยาลัยธรรมศาสตร์</x:v>
      </x:c>
      <x:c r="D41" s="9" t="str">
        <x:v>ตรวจสอบชื่อคณะ/หลักสูตรและรอบรับสมัครล่าสุดใน MyTCAS</x:v>
      </x:c>
      <x:c r="E41" s="9" t="str">
        <x:v>https://course.mytcas.com/</x:v>
      </x:c>
    </x:row>
    <x:row r="42">
      <x:c r="A42" s="9" t="str">
        <x:v>บริหารธุรกิจ / ผู้ประกอบการ</x:v>
      </x:c>
      <x:c r="B42" s="9" t="n">
        <x:v>3</x:v>
      </x:c>
      <x:c r="C42" s="9" t="str">
        <x:v>มหาวิทยาลัยมหิดล</x:v>
      </x:c>
      <x:c r="D42" s="9" t="str">
        <x:v>ตรวจสอบชื่อคณะ/หลักสูตรและรอบรับสมัครล่าสุดใน MyTCAS</x:v>
      </x:c>
      <x:c r="E42" s="9" t="str">
        <x:v>https://course.mytcas.com/</x:v>
      </x:c>
    </x:row>
    <x:row r="43">
      <x:c r="A43" s="9" t="str">
        <x:v>บริหารธุรกิจ / ผู้ประกอบการ</x:v>
      </x:c>
      <x:c r="B43" s="9" t="n">
        <x:v>4</x:v>
      </x:c>
      <x:c r="C43" s="9" t="str">
        <x:v>มหาวิทยาลัยเกษตรศาสตร์</x:v>
      </x:c>
      <x:c r="D43" s="9" t="str">
        <x:v>ตรวจสอบชื่อคณะ/หลักสูตรและรอบรับสมัครล่าสุดใน MyTCAS</x:v>
      </x:c>
      <x:c r="E43" s="9" t="str">
        <x:v>https://course.mytcas.com/</x:v>
      </x:c>
    </x:row>
    <x:row r="44">
      <x:c r="A44" s="9" t="str">
        <x:v>บริหารธุรกิจ / ผู้ประกอบการ</x:v>
      </x:c>
      <x:c r="B44" s="9" t="n">
        <x:v>5</x:v>
      </x:c>
      <x:c r="C44" s="9" t="str">
        <x:v>มหาวิทยาลัยเชียงใหม่</x:v>
      </x:c>
      <x:c r="D44" s="9" t="str">
        <x:v>ตรวจสอบชื่อคณะ/หลักสูตรและรอบรับสมัครล่าสุดใน MyTCAS</x:v>
      </x:c>
      <x:c r="E44" s="9" t="str">
        <x:v>https://course.mytcas.com/</x:v>
      </x:c>
    </x:row>
    <x:row r="45">
      <x:c r="A45" s="9" t="str">
        <x:v>การตลาด / นิเทศศาสตร์</x:v>
      </x:c>
      <x:c r="B45" s="9" t="n">
        <x:v>1</x:v>
      </x:c>
      <x:c r="C45" s="9" t="str">
        <x:v>จุฬาลงกรณ์มหาวิทยาลัย</x:v>
      </x:c>
      <x:c r="D45" s="9" t="str">
        <x:v>ตรวจสอบชื่อคณะ/หลักสูตรและรอบรับสมัครล่าสุดใน MyTCAS</x:v>
      </x:c>
      <x:c r="E45" s="9" t="str">
        <x:v>https://course.mytcas.com/</x:v>
      </x:c>
    </x:row>
    <x:row r="46">
      <x:c r="A46" s="9" t="str">
        <x:v>การตลาด / นิเทศศาสตร์</x:v>
      </x:c>
      <x:c r="B46" s="9" t="n">
        <x:v>2</x:v>
      </x:c>
      <x:c r="C46" s="9" t="str">
        <x:v>มหาวิทยาลัยธรรมศาสตร์</x:v>
      </x:c>
      <x:c r="D46" s="9" t="str">
        <x:v>ตรวจสอบชื่อคณะ/หลักสูตรและรอบรับสมัครล่าสุดใน MyTCAS</x:v>
      </x:c>
      <x:c r="E46" s="9" t="str">
        <x:v>https://course.mytcas.com/</x:v>
      </x:c>
    </x:row>
    <x:row r="47">
      <x:c r="A47" s="9" t="str">
        <x:v>การตลาด / นิเทศศาสตร์</x:v>
      </x:c>
      <x:c r="B47" s="9" t="n">
        <x:v>3</x:v>
      </x:c>
      <x:c r="C47" s="9" t="str">
        <x:v>มหาวิทยาลัยมหิดล</x:v>
      </x:c>
      <x:c r="D47" s="9" t="str">
        <x:v>ตรวจสอบชื่อคณะ/หลักสูตรและรอบรับสมัครล่าสุดใน MyTCAS</x:v>
      </x:c>
      <x:c r="E47" s="9" t="str">
        <x:v>https://course.mytcas.com/</x:v>
      </x:c>
    </x:row>
    <x:row r="48">
      <x:c r="A48" s="9" t="str">
        <x:v>การตลาด / นิเทศศาสตร์</x:v>
      </x:c>
      <x:c r="B48" s="9" t="n">
        <x:v>4</x:v>
      </x:c>
      <x:c r="C48" s="9" t="str">
        <x:v>มหาวิทยาลัยเกษตรศาสตร์</x:v>
      </x:c>
      <x:c r="D48" s="9" t="str">
        <x:v>ตรวจสอบชื่อคณะ/หลักสูตรและรอบรับสมัครล่าสุดใน MyTCAS</x:v>
      </x:c>
      <x:c r="E48" s="9" t="str">
        <x:v>https://course.mytcas.com/</x:v>
      </x:c>
    </x:row>
    <x:row r="49">
      <x:c r="A49" s="9" t="str">
        <x:v>การตลาด / นิเทศศาสตร์</x:v>
      </x:c>
      <x:c r="B49" s="9" t="n">
        <x:v>5</x:v>
      </x:c>
      <x:c r="C49" s="9" t="str">
        <x:v>มหาวิทยาลัยเชียงใหม่</x:v>
      </x:c>
      <x:c r="D49" s="9" t="str">
        <x:v>ตรวจสอบชื่อคณะ/หลักสูตรและรอบรับสมัครล่าสุดใน MyTCAS</x:v>
      </x:c>
      <x:c r="E49" s="9" t="str">
        <x:v>https://course.mytcas.com/</x:v>
      </x:c>
    </x:row>
    <x:row r="50">
      <x:c r="A50" s="9" t="str">
        <x:v>บัญชี</x:v>
      </x:c>
      <x:c r="B50" s="9" t="n">
        <x:v>1</x:v>
      </x:c>
      <x:c r="C50" s="9" t="str">
        <x:v>จุฬาลงกรณ์มหาวิทยาลัย</x:v>
      </x:c>
      <x:c r="D50" s="9" t="str">
        <x:v>ตรวจสอบชื่อคณะ/หลักสูตรและรอบรับสมัครล่าสุดใน MyTCAS</x:v>
      </x:c>
      <x:c r="E50" s="9" t="str">
        <x:v>https://course.mytcas.com/</x:v>
      </x:c>
    </x:row>
    <x:row r="51">
      <x:c r="A51" s="9" t="str">
        <x:v>บัญชี</x:v>
      </x:c>
      <x:c r="B51" s="9" t="n">
        <x:v>2</x:v>
      </x:c>
      <x:c r="C51" s="9" t="str">
        <x:v>มหาวิทยาลัยธรรมศาสตร์</x:v>
      </x:c>
      <x:c r="D51" s="9" t="str">
        <x:v>ตรวจสอบชื่อคณะ/หลักสูตรและรอบรับสมัครล่าสุดใน MyTCAS</x:v>
      </x:c>
      <x:c r="E51" s="9" t="str">
        <x:v>https://course.mytcas.com/</x:v>
      </x:c>
    </x:row>
    <x:row r="52">
      <x:c r="A52" s="9" t="str">
        <x:v>บัญชี</x:v>
      </x:c>
      <x:c r="B52" s="9" t="n">
        <x:v>3</x:v>
      </x:c>
      <x:c r="C52" s="9" t="str">
        <x:v>มหาวิทยาลัยเกษตรศาสตร์</x:v>
      </x:c>
      <x:c r="D52" s="9" t="str">
        <x:v>ตรวจสอบชื่อคณะ/หลักสูตรและรอบรับสมัครล่าสุดใน MyTCAS</x:v>
      </x:c>
      <x:c r="E52" s="9" t="str">
        <x:v>https://course.mytcas.com/</x:v>
      </x:c>
    </x:row>
    <x:row r="53">
      <x:c r="A53" s="9" t="str">
        <x:v>บัญชี</x:v>
      </x:c>
      <x:c r="B53" s="9" t="n">
        <x:v>4</x:v>
      </x:c>
      <x:c r="C53" s="9" t="str">
        <x:v>มหาวิทยาลัยมหิดล</x:v>
      </x:c>
      <x:c r="D53" s="9" t="str">
        <x:v>ตรวจสอบชื่อคณะ/หลักสูตรและรอบรับสมัครล่าสุดใน MyTCAS</x:v>
      </x:c>
      <x:c r="E53" s="9" t="str">
        <x:v>https://course.mytcas.com/</x:v>
      </x:c>
    </x:row>
    <x:row r="54">
      <x:c r="A54" s="9" t="str">
        <x:v>บัญชี</x:v>
      </x:c>
      <x:c r="B54" s="9" t="n">
        <x:v>5</x:v>
      </x:c>
      <x:c r="C54" s="9" t="str">
        <x:v>มหาวิทยาลัยเชียงใหม่</x:v>
      </x:c>
      <x:c r="D54" s="9" t="str">
        <x:v>ตรวจสอบชื่อคณะ/หลักสูตรและรอบรับสมัครล่าสุดใน MyTCAS</x:v>
      </x:c>
      <x:c r="E54" s="9" t="str">
        <x:v>https://course.mytcas.com/</x:v>
      </x:c>
    </x:row>
    <x:row r="55">
      <x:c r="A55" s="9" t="str">
        <x:v>โลจิสติกส์ / วิศวกรรมอุตสาหการ</x:v>
      </x:c>
      <x:c r="B55" s="9" t="n">
        <x:v>1</x:v>
      </x:c>
      <x:c r="C55" s="9" t="str">
        <x:v>มหาวิทยาลัยบูรพา</x:v>
      </x:c>
      <x:c r="D55" s="9" t="str">
        <x:v>ตรวจสอบชื่อคณะ/หลักสูตรและรอบรับสมัครล่าสุดใน MyTCAS</x:v>
      </x:c>
      <x:c r="E55" s="9" t="str">
        <x:v>https://course.mytcas.com/</x:v>
      </x:c>
    </x:row>
    <x:row r="56">
      <x:c r="A56" s="9" t="str">
        <x:v>โลจิสติกส์ / วิศวกรรมอุตสาหการ</x:v>
      </x:c>
      <x:c r="B56" s="9" t="n">
        <x:v>2</x:v>
      </x:c>
      <x:c r="C56" s="9" t="str">
        <x:v>มหาวิทยาลัยเกษตรศาสตร์</x:v>
      </x:c>
      <x:c r="D56" s="9" t="str">
        <x:v>ตรวจสอบชื่อคณะ/หลักสูตรและรอบรับสมัครล่าสุดใน MyTCAS</x:v>
      </x:c>
      <x:c r="E56" s="9" t="str">
        <x:v>https://course.mytcas.com/</x:v>
      </x:c>
    </x:row>
    <x:row r="57">
      <x:c r="A57" s="9" t="str">
        <x:v>โลจิสติกส์ / วิศวกรรมอุตสาหการ</x:v>
      </x:c>
      <x:c r="B57" s="9" t="n">
        <x:v>3</x:v>
      </x:c>
      <x:c r="C57" s="9" t="str">
        <x:v>มหาวิทยาลัยเทคโนโลยีพระจอมเกล้าธนบุรี</x:v>
      </x:c>
      <x:c r="D57" s="9" t="str">
        <x:v>ตรวจสอบชื่อคณะ/หลักสูตรและรอบรับสมัครล่าสุดใน MyTCAS</x:v>
      </x:c>
      <x:c r="E57" s="9" t="str">
        <x:v>https://course.mytcas.com/</x:v>
      </x:c>
    </x:row>
    <x:row r="58">
      <x:c r="A58" s="9" t="str">
        <x:v>โลจิสติกส์ / วิศวกรรมอุตสาหการ</x:v>
      </x:c>
      <x:c r="B58" s="9" t="n">
        <x:v>4</x:v>
      </x:c>
      <x:c r="C58" s="9" t="str">
        <x:v>สถาบันเทคโนโลยีพระจอมเกล้าเจ้าคุณทหารลาดกระบัง</x:v>
      </x:c>
      <x:c r="D58" s="9" t="str">
        <x:v>ตรวจสอบชื่อคณะ/หลักสูตรและรอบรับสมัครล่าสุดใน MyTCAS</x:v>
      </x:c>
      <x:c r="E58" s="9" t="str">
        <x:v>https://course.mytcas.com/</x:v>
      </x:c>
    </x:row>
    <x:row r="59">
      <x:c r="A59" s="9" t="str">
        <x:v>โลจิสติกส์ / วิศวกรรมอุตสาหการ</x:v>
      </x:c>
      <x:c r="B59" s="9" t="n">
        <x:v>5</x:v>
      </x:c>
      <x:c r="C59" s="9" t="str">
        <x:v>มหาวิทยาลัยนเรศวร</x:v>
      </x:c>
      <x:c r="D59" s="9" t="str">
        <x:v>ตรวจสอบชื่อคณะ/หลักสูตรและรอบรับสมัครล่าสุดใน MyTCAS</x:v>
      </x:c>
      <x:c r="E59" s="9" t="str">
        <x:v>https://course.mytcas.com/</x:v>
      </x:c>
    </x:row>
    <x:row r="60">
      <x:c r="A60" s="9" t="str">
        <x:v>เกษตรศาสตร์ / เกษตรดิจิทัล</x:v>
      </x:c>
      <x:c r="B60" s="9" t="n">
        <x:v>1</x:v>
      </x:c>
      <x:c r="C60" s="9" t="str">
        <x:v>มหาวิทยาลัยเกษตรศาสตร์</x:v>
      </x:c>
      <x:c r="D60" s="9" t="str">
        <x:v>ตรวจสอบชื่อคณะ/หลักสูตรและรอบรับสมัครล่าสุดใน MyTCAS</x:v>
      </x:c>
      <x:c r="E60" s="9" t="str">
        <x:v>https://course.mytcas.com/</x:v>
      </x:c>
    </x:row>
    <x:row r="61">
      <x:c r="A61" s="9" t="str">
        <x:v>เกษตรศาสตร์ / เกษตรดิจิทัล</x:v>
      </x:c>
      <x:c r="B61" s="9" t="n">
        <x:v>2</x:v>
      </x:c>
      <x:c r="C61" s="9" t="str">
        <x:v>มหาวิทยาลัยแม่โจ้</x:v>
      </x:c>
      <x:c r="D61" s="9" t="str">
        <x:v>ตรวจสอบชื่อคณะ/หลักสูตรและรอบรับสมัครล่าสุดใน MyTCAS</x:v>
      </x:c>
      <x:c r="E61" s="9" t="str">
        <x:v>https://course.mytcas.com/</x:v>
      </x:c>
    </x:row>
    <x:row r="62">
      <x:c r="A62" s="9" t="str">
        <x:v>เกษตรศาสตร์ / เกษตรดิจิทัล</x:v>
      </x:c>
      <x:c r="B62" s="9" t="n">
        <x:v>3</x:v>
      </x:c>
      <x:c r="C62" s="9" t="str">
        <x:v>มหาวิทยาลัยขอนแก่น</x:v>
      </x:c>
      <x:c r="D62" s="9" t="str">
        <x:v>ตรวจสอบชื่อคณะ/หลักสูตรและรอบรับสมัครล่าสุดใน MyTCAS</x:v>
      </x:c>
      <x:c r="E62" s="9" t="str">
        <x:v>https://course.mytcas.com/</x:v>
      </x:c>
    </x:row>
    <x:row r="63">
      <x:c r="A63" s="9" t="str">
        <x:v>เกษตรศาสตร์ / เกษตรดิจิทัล</x:v>
      </x:c>
      <x:c r="B63" s="9" t="n">
        <x:v>4</x:v>
      </x:c>
      <x:c r="C63" s="9" t="str">
        <x:v>มหาวิทยาลัยเชียงใหม่</x:v>
      </x:c>
      <x:c r="D63" s="9" t="str">
        <x:v>ตรวจสอบชื่อคณะ/หลักสูตรและรอบรับสมัครล่าสุดใน MyTCAS</x:v>
      </x:c>
      <x:c r="E63" s="9" t="str">
        <x:v>https://course.mytcas.com/</x:v>
      </x:c>
    </x:row>
    <x:row r="64">
      <x:c r="A64" s="9" t="str">
        <x:v>เกษตรศาสตร์ / เกษตรดิจิทัล</x:v>
      </x:c>
      <x:c r="B64" s="9" t="n">
        <x:v>5</x:v>
      </x:c>
      <x:c r="C64" s="9" t="str">
        <x:v>มหาวิทยาลัยสงขลานครินทร์</x:v>
      </x:c>
      <x:c r="D64" s="9" t="str">
        <x:v>ตรวจสอบชื่อคณะ/หลักสูตรและรอบรับสมัครล่าสุดใน MyTCAS</x:v>
      </x:c>
      <x:c r="E64" s="9" t="str">
        <x:v>https://course.mytcas.com/</x:v>
      </x:c>
    </x:row>
  </x:sheetData>
  <x:mergeCells>
    <x:mergeCell ref="A1:E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4" hidden="0" customWidth="1"/>
    <x:col min="3" max="3" width="34" hidden="0" customWidth="1"/>
  </x:cols>
  <x:sheetData>
    <x:row r="1">
      <x:c r="A1" s="4" t="str">
        <x:v>ลิงก์ไทย</x:v>
      </x:c>
      <x:c r="B1" s="4"/>
      <x:c r="C1" s="4"/>
    </x:row>
    <x:row r="2">
      <x:c r="A2" s="5" t="str">
        <x:v>ใช้ในหน้าทรัพยากรและการศึกษาต่อของ Glide</x:v>
      </x:c>
    </x:row>
    <x:row r="4">
      <x:c r="A4" s="23" t="str">
        <x:v>แหล่งข้อมูล</x:v>
      </x:c>
      <x:c r="B4" s="24" t="str">
        <x:v>การใช้งาน</x:v>
      </x:c>
      <x:c r="C4" s="25" t="str">
        <x:v>URL</x:v>
      </x:c>
    </x:row>
    <x:row r="5">
      <x:c r="A5" s="9" t="str">
        <x:v>MyTCAS · ค้นหาหลักสูตร</x:v>
      </x:c>
      <x:c r="B5" s="9" t="str">
        <x:v>ค้นหาคณะ มหาวิทยาลัย และหลักสูตร</x:v>
      </x:c>
      <x:c r="C5" s="9" t="str">
        <x:v>https://course.mytcas.com/</x:v>
      </x:c>
    </x:row>
    <x:row r="6">
      <x:c r="A6" s="9" t="str">
        <x:v>MyTCAS · ระบบ TCAS</x:v>
      </x:c>
      <x:c r="B6" s="9" t="str">
        <x:v>ข้อมูลการรับสมัครระดับอุดมศึกษา</x:v>
      </x:c>
      <x:c r="C6" s="9" t="str">
        <x:v>https://www.mytcas.com/</x:v>
      </x:c>
    </x:row>
    <x:row r="7">
      <x:c r="A7" s="9" t="str">
        <x:v>กระทรวงแรงงาน</x:v>
      </x:c>
      <x:c r="B7" s="9" t="str">
        <x:v>ข่าวและข้อมูลด้านแรงงานไทย</x:v>
      </x:c>
      <x:c r="C7" s="9" t="str">
        <x:v>https://www.mol.go.th/</x:v>
      </x:c>
    </x:row>
    <x:row r="8">
      <x:c r="A8" s="9" t="str">
        <x:v>กรมการจัดหางาน</x:v>
      </x:c>
      <x:c r="B8" s="9" t="str">
        <x:v>บริการหางานและข้อมูลตลาดแรงงาน</x:v>
      </x:c>
      <x:c r="C8" s="9" t="str">
        <x:v>https://www.doe.go.th/</x:v>
      </x:c>
    </x:row>
    <x:row r="9">
      <x:c r="A9" s="9" t="str">
        <x:v>JobThai</x:v>
      </x:c>
      <x:c r="B9" s="9" t="str">
        <x:v>ค้นหางานและฝึกงานในไทย</x:v>
      </x:c>
      <x:c r="C9" s="9" t="str">
        <x:v>https://www.jobthai.com/</x:v>
      </x:c>
    </x:row>
    <x:row r="10">
      <x:c r="A10" s="9" t="str">
        <x:v>JobsDB Thailand</x:v>
      </x:c>
      <x:c r="B10" s="9" t="str">
        <x:v>งานและคำแนะนำอาชีพ</x:v>
      </x:c>
      <x:c r="C10" s="9" t="str">
        <x:v>https://th.jobsdb.com/</x:v>
      </x:c>
    </x:row>
    <x:row r="11">
      <x:c r="A11" s="9" t="str">
        <x:v>JOBBKK</x:v>
      </x:c>
      <x:c r="B11" s="9" t="str">
        <x:v>ค้นหางานและสร้างเรซูเม่</x:v>
      </x:c>
      <x:c r="C11" s="9" t="str">
        <x:v>https://www.jobbkk.com/</x:v>
      </x:c>
    </x:row>
    <x:row r="12">
      <x:c r="A12" s="9" t="str">
        <x:v>JobTH</x:v>
      </x:c>
      <x:c r="B12" s="9" t="str">
        <x:v>ตำแหน่งงานทั่วประเทศไทย</x:v>
      </x:c>
      <x:c r="C12" s="9" t="str">
        <x:v>https://www.jobth.com/</x:v>
      </x:c>
    </x:row>
  </x:sheetData>
  <x:mergeCells>
    <x:mergeCell ref="A1:C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0" hidden="0" customWidth="1"/>
    <x:col min="4" max="4" width="27" hidden="0" customWidth="1"/>
    <x:col min="5" max="5" width="46" hidden="0" customWidth="1"/>
  </x:cols>
  <x:sheetData>
    <x:row r="1">
      <x:c r="A1" s="4" t="str">
        <x:v>สรุปผลห้อง</x:v>
      </x:c>
      <x:c r="B1" s="4"/>
      <x:c r="C1" s="4"/>
      <x:c r="D1" s="4"/>
      <x:c r="E1" s="4"/>
      <x:c r="F1" s="4"/>
      <x:c r="G1" s="4"/>
      <x:c r="H1" s="4"/>
    </x:row>
    <x:row r="2">
      <x:c r="A2" s="5" t="str">
        <x:v>หน้า Dashboard สำหรับครูแนะแนว: สูตรจะนับจากตารางคำตอบนักเรียนอัตโนมัติ</x:v>
      </x:c>
    </x:row>
    <x:row r="4">
      <x:c r="A4" s="31" t="str">
        <x:v>นักเรียนที่ส่งคำตอบ</x:v>
      </x:c>
      <x:c r="B4" s="29" t="n">
        <x:f>COUNT('คำตอบนักเรียน'!HP5:HP205)</x:f>
        <x:v>1</x:v>
      </x:c>
      <x:c r="D4" s="31" t="str">
        <x:v>คะแนน E เฉลี่ย</x:v>
      </x:c>
      <x:c r="E4" s="29" t="n">
        <x:f>AVERAGE('คำตอบนักเรียน'!HT5:HT205)</x:f>
        <x:v>34</x:v>
      </x:c>
    </x:row>
    <x:row r="5">
      <x:c r="A5" s="31" t="str">
        <x:v>คะแนน R เฉลี่ย</x:v>
      </x:c>
      <x:c r="B5" s="29" t="n">
        <x:f>AVERAGE('คำตอบนักเรียน'!HP5:HP205)</x:f>
        <x:v>34</x:v>
      </x:c>
      <x:c r="D5" s="31" t="str">
        <x:v>คะแนน C เฉลี่ย</x:v>
      </x:c>
      <x:c r="E5" s="29" t="n">
        <x:f>AVERAGE('คำตอบนักเรียน'!HU5:HU205)</x:f>
        <x:v>34</x:v>
      </x:c>
    </x:row>
    <x:row r="6">
      <x:c r="A6" s="31" t="str">
        <x:v>คะแนน I เฉลี่ย</x:v>
      </x:c>
      <x:c r="B6" s="29" t="n">
        <x:f>AVERAGE('คำตอบนักเรียน'!HQ5:HQ205)</x:f>
        <x:v>34</x:v>
      </x:c>
      <x:c r="D6" s="31" t="str">
        <x:v>หมายเหตุ</x:v>
      </x:c>
      <x:c r="E6" s="29" t="str">
        <x:v>เพิ่มแถวในคำตอบนักเรียนได้ถึงแถว 205</x:v>
      </x:c>
    </x:row>
    <x:row r="7">
      <x:c r="A7" s="31" t="str">
        <x:v>คะแนน A เฉลี่ย</x:v>
      </x:c>
      <x:c r="B7" s="29" t="n">
        <x:f>AVERAGE('คำตอบนักเรียน'!HR5:HR205)</x:f>
        <x:v>34</x:v>
      </x:c>
      <x:c r="D7" s="31" t="str">
        <x:v>ข้อควรใช้</x:v>
      </x:c>
      <x:c r="E7" s="29" t="str">
        <x:v>ใช้เพื่อแนะแนว ไม่ใช่ตัดสินอนาคต</x:v>
      </x:c>
    </x:row>
    <x:row r="8">
      <x:c r="A8" s="31" t="str">
        <x:v>คะแนน S เฉลี่ย</x:v>
      </x:c>
      <x:c r="B8" s="29" t="n">
        <x:f>AVERAGE('คำตอบนักเรียน'!HS5:HS205)</x:f>
        <x:v>34</x:v>
      </x:c>
      <x:c r="D8" s="31" t="str">
        <x:v>แหล่งหลักสูตร</x:v>
      </x:c>
      <x:c r="E8" s="29" t="str">
        <x:v>https://course.mytcas.com/</x:v>
      </x:c>
    </x:row>
  </x:sheetData>
  <x:mergeCells>
    <x:mergeCell ref="A1:H1"/>
  </x:mergeCells>
  <x:pageMargins left="0.7" right="0.7" top="0.75" bottom="0.75" header="0.3" footer="0.3"/>
</x:worksheet>
</file>